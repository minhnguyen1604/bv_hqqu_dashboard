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ts.tranthidiemquynh\OneDrive\Desktop\"/>
    </mc:Choice>
  </mc:AlternateContent>
  <bookViews>
    <workbookView xWindow="0" yWindow="0" windowWidth="19200" windowHeight="9675" activeTab="3"/>
  </bookViews>
  <sheets>
    <sheet name="PGĐ" sheetId="17" r:id="rId1"/>
    <sheet name="ĐMCP" sheetId="15" r:id="rId2"/>
    <sheet name="HQ1" sheetId="5" r:id="rId3"/>
    <sheet name="HQ2" sheetId="8" r:id="rId4"/>
    <sheet name="Tong_hop_HQNV_2026Q1_2026-06-23" sheetId="1" r:id="rId5"/>
    <sheet name="checkDT-BT(1)" sheetId="16" r:id="rId6"/>
    <sheet name="CHECK_DT-BT" sheetId="4" r:id="rId7"/>
    <sheet name="CHECK_DT-BT_chi_tiet" sheetId="10" r:id="rId8"/>
    <sheet name="Report_HQ1" sheetId="11" r:id="rId9"/>
    <sheet name="Report_HQ2" sheetId="12" r:id="rId10"/>
    <sheet name="Report_Tổng" sheetId="13" r:id="rId11"/>
    <sheet name="Sheet3" sheetId="9" state="hidden" r:id="rId12"/>
    <sheet name="Sheet2" sheetId="7" state="hidden" r:id="rId13"/>
    <sheet name="Sheet1" sheetId="6" r:id="rId14"/>
  </sheets>
  <externalReferences>
    <externalReference r:id="rId15"/>
    <externalReference r:id="rId16"/>
  </externalReferences>
  <definedNames>
    <definedName name="_xlnm._FilterDatabase" localSheetId="1" hidden="1">ĐMCP!$A$10:$N$1037</definedName>
    <definedName name="_xlnm._FilterDatabase" localSheetId="2" hidden="1">'HQ1'!$A$2:$I$438</definedName>
    <definedName name="_xlnm._FilterDatabase" localSheetId="3" hidden="1">'HQ2'!$A$2:$AD$748</definedName>
    <definedName name="_xlnm._FilterDatabase" localSheetId="0" hidden="1">PGĐ!$A$3:$F$730</definedName>
    <definedName name="_xlnm._FilterDatabase" localSheetId="4" hidden="1">'Tong_hop_HQNV_2026Q1_2026-06-23'!$A$1:$T$790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8" l="1"/>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3" i="8"/>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4" i="17"/>
  <c r="J3" i="5"/>
  <c r="J1" i="5" s="1"/>
  <c r="AE1" i="8" l="1"/>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4"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5" i="17"/>
  <c r="A4" i="17"/>
  <c r="E2" i="17"/>
  <c r="Q1039" i="15" l="1"/>
  <c r="Q1040" i="15"/>
  <c r="Q1041" i="15"/>
  <c r="Q1042" i="15"/>
  <c r="Q1043" i="15"/>
  <c r="Q1044" i="15"/>
  <c r="Q1045" i="15"/>
  <c r="Q1046" i="15"/>
  <c r="Q1047" i="15"/>
  <c r="Q1048" i="15"/>
  <c r="Q1049" i="15"/>
  <c r="Q1050" i="15"/>
  <c r="Q1051" i="15"/>
  <c r="Q1052" i="15"/>
  <c r="Q1053" i="15"/>
  <c r="Q1054" i="15"/>
  <c r="Q1055" i="15"/>
  <c r="Q1056" i="15"/>
  <c r="Q1057" i="15"/>
  <c r="Q1058" i="15"/>
  <c r="Q1059" i="15"/>
  <c r="Q1060" i="15"/>
  <c r="Q1061" i="15"/>
  <c r="Q1062" i="15"/>
  <c r="Q1063" i="15"/>
  <c r="Q1064" i="15"/>
  <c r="Q1065" i="15"/>
  <c r="Q1066" i="15"/>
  <c r="Q1067" i="15"/>
  <c r="Q1068" i="15"/>
  <c r="Q1069" i="15"/>
  <c r="Q1070" i="15"/>
  <c r="Q1071" i="15"/>
  <c r="Q1072" i="15"/>
  <c r="Q1073" i="15"/>
  <c r="Q1074" i="15"/>
  <c r="Q1075" i="15"/>
  <c r="Q1076" i="15"/>
  <c r="Q1077" i="15"/>
  <c r="Q1078" i="15"/>
  <c r="Q1079" i="15"/>
  <c r="Q1080" i="15"/>
  <c r="Q1081" i="15"/>
  <c r="Q1082" i="15"/>
  <c r="Q1083" i="15"/>
  <c r="Q1084" i="15"/>
  <c r="Q1085" i="15"/>
  <c r="Q1086" i="15"/>
  <c r="Q1087" i="15"/>
  <c r="Q1088" i="15"/>
  <c r="Q1038" i="15"/>
  <c r="M399" i="5"/>
  <c r="N399" i="5" s="1"/>
  <c r="M398" i="5"/>
  <c r="N398" i="5" s="1"/>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3" i="5"/>
  <c r="P1085" i="15" l="1"/>
  <c r="P1086" i="15"/>
  <c r="P1087" i="15"/>
  <c r="P1088" i="15"/>
  <c r="D1088" i="15"/>
  <c r="D1087" i="15"/>
  <c r="D1086" i="15"/>
  <c r="D1085" i="15"/>
  <c r="D1084" i="15"/>
  <c r="D1083" i="15"/>
  <c r="D1082" i="15"/>
  <c r="D1081" i="15"/>
  <c r="D1080" i="15"/>
  <c r="D1079" i="15"/>
  <c r="A1088" i="15"/>
  <c r="O1088" i="15" s="1"/>
  <c r="A1087" i="15"/>
  <c r="O1087" i="15" s="1"/>
  <c r="A1086" i="15"/>
  <c r="O1086" i="15" s="1"/>
  <c r="A1085" i="15"/>
  <c r="O1085" i="15" s="1"/>
  <c r="A1084" i="15"/>
  <c r="A1077" i="15"/>
  <c r="A1076" i="15"/>
  <c r="A1075" i="15"/>
  <c r="A1074" i="15"/>
  <c r="A1073" i="15"/>
  <c r="A1072" i="15"/>
  <c r="A1071" i="15"/>
  <c r="A1070" i="15"/>
  <c r="A1069" i="15"/>
  <c r="A1068" i="15"/>
  <c r="A1067" i="15"/>
  <c r="A1066" i="15"/>
  <c r="A1065" i="15"/>
  <c r="A1064" i="15"/>
  <c r="A1063" i="15"/>
  <c r="A1062" i="15"/>
  <c r="C1" i="8" l="1"/>
  <c r="C1" i="5"/>
  <c r="B1" i="8" s="1"/>
  <c r="D1" i="5"/>
  <c r="E1" i="5"/>
  <c r="F1" i="5"/>
  <c r="G1" i="5"/>
  <c r="H1" i="5"/>
  <c r="I1" i="5"/>
  <c r="F15" i="16" l="1"/>
  <c r="G15" i="16" s="1"/>
  <c r="F6" i="16"/>
  <c r="F16" i="16"/>
  <c r="G16" i="16" s="1"/>
  <c r="F7" i="16"/>
  <c r="F17" i="16"/>
  <c r="G17" i="16" s="1"/>
  <c r="F12" i="16"/>
  <c r="G12" i="16" s="1"/>
  <c r="F14" i="16"/>
  <c r="G14" i="16" s="1"/>
  <c r="F8" i="16"/>
  <c r="F4" i="16"/>
  <c r="G4" i="16" s="1"/>
  <c r="F11" i="16"/>
  <c r="G11" i="16" s="1"/>
  <c r="F13" i="16"/>
  <c r="G13" i="16" s="1"/>
  <c r="D1" i="8"/>
  <c r="F5" i="16" l="1"/>
  <c r="G5" i="16" s="1"/>
  <c r="F20" i="16" l="1"/>
  <c r="G89" i="12" l="1"/>
  <c r="AL86" i="4"/>
  <c r="D84" i="4"/>
  <c r="E84" i="4"/>
  <c r="F84" i="4"/>
  <c r="G84" i="4"/>
  <c r="H84" i="4"/>
  <c r="I84" i="4"/>
  <c r="J84" i="4"/>
  <c r="K84" i="4"/>
  <c r="L84" i="4"/>
  <c r="M84" i="4"/>
  <c r="N84" i="4"/>
  <c r="O84" i="4"/>
  <c r="P84" i="4"/>
  <c r="S84" i="4"/>
  <c r="T84" i="4"/>
  <c r="W84" i="4"/>
  <c r="X84" i="4"/>
  <c r="Y84" i="4"/>
  <c r="Z84" i="4"/>
  <c r="AA84" i="4"/>
  <c r="AB84" i="4"/>
  <c r="AC84" i="4"/>
  <c r="AD84" i="4"/>
  <c r="AE84" i="4"/>
  <c r="AF84" i="4"/>
  <c r="AG84" i="4"/>
  <c r="AH84" i="4"/>
  <c r="AI84" i="4"/>
  <c r="AL84" i="4"/>
  <c r="AM84" i="4"/>
  <c r="D85" i="4"/>
  <c r="E85" i="4"/>
  <c r="F85" i="4"/>
  <c r="G85" i="4"/>
  <c r="H85" i="4"/>
  <c r="I85" i="4"/>
  <c r="J85" i="4"/>
  <c r="K85" i="4"/>
  <c r="L85" i="4"/>
  <c r="M85" i="4"/>
  <c r="N85" i="4"/>
  <c r="O85" i="4"/>
  <c r="P85" i="4"/>
  <c r="S85" i="4"/>
  <c r="T85" i="4"/>
  <c r="W85" i="4"/>
  <c r="X85" i="4"/>
  <c r="Y85" i="4"/>
  <c r="Z85" i="4"/>
  <c r="AA85" i="4"/>
  <c r="AB85" i="4"/>
  <c r="AC85" i="4"/>
  <c r="AD85" i="4"/>
  <c r="AE85" i="4"/>
  <c r="AF85" i="4"/>
  <c r="AG85" i="4"/>
  <c r="AH85" i="4"/>
  <c r="AI85" i="4"/>
  <c r="AL85" i="4"/>
  <c r="AM85" i="4"/>
  <c r="D86" i="4"/>
  <c r="E86" i="4"/>
  <c r="F86" i="4"/>
  <c r="G86" i="4"/>
  <c r="H86" i="4"/>
  <c r="I86" i="4"/>
  <c r="J86" i="4"/>
  <c r="K86" i="4"/>
  <c r="L86" i="4"/>
  <c r="M86" i="4"/>
  <c r="N86" i="4"/>
  <c r="O86" i="4"/>
  <c r="P86" i="4"/>
  <c r="S86" i="4"/>
  <c r="T86" i="4"/>
  <c r="W86" i="4"/>
  <c r="X86" i="4"/>
  <c r="Y86" i="4"/>
  <c r="Z86" i="4"/>
  <c r="AA86" i="4"/>
  <c r="AB86" i="4"/>
  <c r="AC86" i="4"/>
  <c r="AD86" i="4"/>
  <c r="AE86" i="4"/>
  <c r="AF86" i="4"/>
  <c r="AG86" i="4"/>
  <c r="AH86" i="4"/>
  <c r="AI86" i="4"/>
  <c r="AM86" i="4"/>
  <c r="D87" i="4"/>
  <c r="E87" i="4"/>
  <c r="F87" i="4"/>
  <c r="G87" i="4"/>
  <c r="H87" i="4"/>
  <c r="I87" i="4"/>
  <c r="J87" i="4"/>
  <c r="K87" i="4"/>
  <c r="L87" i="4"/>
  <c r="M87" i="4"/>
  <c r="N87" i="4"/>
  <c r="O87" i="4"/>
  <c r="P87" i="4"/>
  <c r="S87" i="4"/>
  <c r="T87" i="4"/>
  <c r="W87" i="4"/>
  <c r="X87" i="4"/>
  <c r="Y87" i="4"/>
  <c r="Z87" i="4"/>
  <c r="AA87" i="4"/>
  <c r="AB87" i="4"/>
  <c r="AC87" i="4"/>
  <c r="AD87" i="4"/>
  <c r="AE87" i="4"/>
  <c r="AF87" i="4"/>
  <c r="AG87" i="4"/>
  <c r="AH87" i="4"/>
  <c r="AI87" i="4"/>
  <c r="AL87" i="4"/>
  <c r="AM87" i="4"/>
  <c r="D88" i="4"/>
  <c r="E88" i="4"/>
  <c r="F88" i="4"/>
  <c r="G88" i="4"/>
  <c r="H88" i="4"/>
  <c r="I88" i="4"/>
  <c r="J88" i="4"/>
  <c r="K88" i="4"/>
  <c r="L88" i="4"/>
  <c r="M88" i="4"/>
  <c r="N88" i="4"/>
  <c r="O88" i="4"/>
  <c r="P88" i="4"/>
  <c r="S88" i="4"/>
  <c r="T88" i="4"/>
  <c r="W88" i="4"/>
  <c r="X88" i="4"/>
  <c r="Y88" i="4"/>
  <c r="Z88" i="4"/>
  <c r="AA88" i="4"/>
  <c r="AB88" i="4"/>
  <c r="AC88" i="4"/>
  <c r="AD88" i="4"/>
  <c r="AE88" i="4"/>
  <c r="AF88" i="4"/>
  <c r="AG88" i="4"/>
  <c r="AH88" i="4"/>
  <c r="AI88" i="4"/>
  <c r="AL88" i="4"/>
  <c r="AM88" i="4"/>
  <c r="D89" i="4"/>
  <c r="E89" i="4"/>
  <c r="F89" i="4"/>
  <c r="G89" i="4"/>
  <c r="H89" i="4"/>
  <c r="I89" i="4"/>
  <c r="J89" i="4"/>
  <c r="K89" i="4"/>
  <c r="L89" i="4"/>
  <c r="M89" i="4"/>
  <c r="N89" i="4"/>
  <c r="O89" i="4"/>
  <c r="P89" i="4"/>
  <c r="S89" i="4"/>
  <c r="T89" i="4"/>
  <c r="W89" i="4"/>
  <c r="X89" i="4"/>
  <c r="Y89" i="4"/>
  <c r="Z89" i="4"/>
  <c r="AA89" i="4"/>
  <c r="AB89" i="4"/>
  <c r="AC89" i="4"/>
  <c r="AD89" i="4"/>
  <c r="AE89" i="4"/>
  <c r="AF89" i="4"/>
  <c r="AG89" i="4"/>
  <c r="AH89" i="4"/>
  <c r="AI89" i="4"/>
  <c r="AL89" i="4"/>
  <c r="AM89" i="4"/>
  <c r="D90" i="4"/>
  <c r="E90" i="4"/>
  <c r="F90" i="4"/>
  <c r="G90" i="4"/>
  <c r="H90" i="4"/>
  <c r="I90" i="4"/>
  <c r="J90" i="4"/>
  <c r="K90" i="4"/>
  <c r="L90" i="4"/>
  <c r="M90" i="4"/>
  <c r="N90" i="4"/>
  <c r="O90" i="4"/>
  <c r="P90" i="4"/>
  <c r="S90" i="4"/>
  <c r="T90" i="4"/>
  <c r="W90" i="4"/>
  <c r="X90" i="4"/>
  <c r="Y90" i="4"/>
  <c r="Z90" i="4"/>
  <c r="AA90" i="4"/>
  <c r="AB90" i="4"/>
  <c r="AC90" i="4"/>
  <c r="AD90" i="4"/>
  <c r="AE90" i="4"/>
  <c r="AF90" i="4"/>
  <c r="AG90" i="4"/>
  <c r="AH90" i="4"/>
  <c r="AI90" i="4"/>
  <c r="AL90" i="4"/>
  <c r="AM90" i="4"/>
  <c r="D91" i="4"/>
  <c r="E91" i="4"/>
  <c r="F91" i="4"/>
  <c r="G91" i="4"/>
  <c r="H91" i="4"/>
  <c r="I91" i="4"/>
  <c r="J91" i="4"/>
  <c r="K91" i="4"/>
  <c r="L91" i="4"/>
  <c r="M91" i="4"/>
  <c r="N91" i="4"/>
  <c r="O91" i="4"/>
  <c r="P91" i="4"/>
  <c r="S91" i="4"/>
  <c r="T91" i="4"/>
  <c r="W91" i="4"/>
  <c r="X91" i="4"/>
  <c r="Y91" i="4"/>
  <c r="Z91" i="4"/>
  <c r="AA91" i="4"/>
  <c r="AB91" i="4"/>
  <c r="AC91" i="4"/>
  <c r="AD91" i="4"/>
  <c r="AE91" i="4"/>
  <c r="AF91" i="4"/>
  <c r="AG91" i="4"/>
  <c r="AH91" i="4"/>
  <c r="AI91" i="4"/>
  <c r="AL91" i="4"/>
  <c r="AM91" i="4"/>
  <c r="D92" i="4"/>
  <c r="E92" i="4"/>
  <c r="F92" i="4"/>
  <c r="G92" i="4"/>
  <c r="H92" i="4"/>
  <c r="I92" i="4"/>
  <c r="J92" i="4"/>
  <c r="K92" i="4"/>
  <c r="L92" i="4"/>
  <c r="M92" i="4"/>
  <c r="N92" i="4"/>
  <c r="O92" i="4"/>
  <c r="P92" i="4"/>
  <c r="S92" i="4"/>
  <c r="T92" i="4"/>
  <c r="W92" i="4"/>
  <c r="X92" i="4"/>
  <c r="Y92" i="4"/>
  <c r="Z92" i="4"/>
  <c r="AA92" i="4"/>
  <c r="AB92" i="4"/>
  <c r="AC92" i="4"/>
  <c r="AD92" i="4"/>
  <c r="AE92" i="4"/>
  <c r="AF92" i="4"/>
  <c r="AG92" i="4"/>
  <c r="AH92" i="4"/>
  <c r="AI92" i="4"/>
  <c r="AL92" i="4"/>
  <c r="AM92" i="4"/>
  <c r="AJ90" i="4" l="1"/>
  <c r="AN90" i="4" s="1"/>
  <c r="Q89" i="4"/>
  <c r="U89" i="4" s="1"/>
  <c r="R87" i="4"/>
  <c r="V87" i="4" s="1"/>
  <c r="AJ86" i="4"/>
  <c r="Q91" i="4"/>
  <c r="U91" i="4" s="1"/>
  <c r="AJ92" i="4"/>
  <c r="AN92" i="4" s="1"/>
  <c r="AK91" i="4"/>
  <c r="AO91" i="4" s="1"/>
  <c r="R90" i="4"/>
  <c r="V90" i="4" s="1"/>
  <c r="AJ88" i="4"/>
  <c r="AN88" i="4" s="1"/>
  <c r="Q88" i="4"/>
  <c r="U88" i="4" s="1"/>
  <c r="AK87" i="4"/>
  <c r="AO87" i="4" s="1"/>
  <c r="R86" i="4"/>
  <c r="V86" i="4" s="1"/>
  <c r="AJ85" i="4"/>
  <c r="AN85" i="4" s="1"/>
  <c r="AJ84" i="4"/>
  <c r="AN84" i="4" s="1"/>
  <c r="Q84" i="4"/>
  <c r="U84" i="4" s="1"/>
  <c r="Q92" i="4"/>
  <c r="U92" i="4" s="1"/>
  <c r="R91" i="4"/>
  <c r="V91" i="4" s="1"/>
  <c r="AK90" i="4"/>
  <c r="AO90" i="4" s="1"/>
  <c r="AJ89" i="4"/>
  <c r="AN89" i="4" s="1"/>
  <c r="AK86" i="4"/>
  <c r="AO86" i="4" s="1"/>
  <c r="Q85" i="4"/>
  <c r="U85" i="4" s="1"/>
  <c r="AJ91" i="4"/>
  <c r="AN91" i="4" s="1"/>
  <c r="Q90" i="4"/>
  <c r="U90" i="4" s="1"/>
  <c r="R89" i="4"/>
  <c r="V89" i="4" s="1"/>
  <c r="R88" i="4"/>
  <c r="V88" i="4" s="1"/>
  <c r="Q87" i="4"/>
  <c r="U87" i="4" s="1"/>
  <c r="Q86" i="4"/>
  <c r="U86" i="4" s="1"/>
  <c r="R85" i="4"/>
  <c r="V85" i="4" s="1"/>
  <c r="R84" i="4"/>
  <c r="V84" i="4" s="1"/>
  <c r="AK92" i="4"/>
  <c r="AO92" i="4" s="1"/>
  <c r="AK89" i="4"/>
  <c r="AO89" i="4" s="1"/>
  <c r="AK88" i="4"/>
  <c r="AO88" i="4" s="1"/>
  <c r="AJ87" i="4"/>
  <c r="AN87" i="4" s="1"/>
  <c r="AK85" i="4"/>
  <c r="AO85" i="4" s="1"/>
  <c r="AK84" i="4"/>
  <c r="AO84" i="4" s="1"/>
  <c r="R92" i="4"/>
  <c r="V92" i="4" s="1"/>
  <c r="AN86" i="4"/>
  <c r="Q1037" i="15"/>
  <c r="P1038" i="15"/>
  <c r="P1037" i="15"/>
  <c r="P1039" i="15"/>
  <c r="P1040" i="15"/>
  <c r="P1041" i="15"/>
  <c r="P1042" i="15"/>
  <c r="P1043" i="15"/>
  <c r="P1044" i="15"/>
  <c r="P1045" i="15"/>
  <c r="P1046" i="15"/>
  <c r="P1047" i="15"/>
  <c r="P1048" i="15"/>
  <c r="P1049" i="15"/>
  <c r="P1050" i="15"/>
  <c r="P1051" i="15"/>
  <c r="P1052" i="15"/>
  <c r="P1053" i="15"/>
  <c r="P1054" i="15"/>
  <c r="P1055" i="15"/>
  <c r="P1056" i="15"/>
  <c r="P1057" i="15"/>
  <c r="P1058" i="15"/>
  <c r="P1059" i="15"/>
  <c r="P1060" i="15"/>
  <c r="P1061" i="15"/>
  <c r="P1062" i="15"/>
  <c r="P1063" i="15"/>
  <c r="P1064" i="15"/>
  <c r="P1065" i="15"/>
  <c r="P1066" i="15"/>
  <c r="P1067" i="15"/>
  <c r="P1068" i="15"/>
  <c r="P1069" i="15"/>
  <c r="P1070" i="15"/>
  <c r="P1071" i="15"/>
  <c r="P1072" i="15"/>
  <c r="P1073" i="15"/>
  <c r="P1074" i="15"/>
  <c r="P1075" i="15"/>
  <c r="P1076" i="15"/>
  <c r="P1077" i="15"/>
  <c r="P1078" i="15"/>
  <c r="P1079" i="15"/>
  <c r="P1080" i="15"/>
  <c r="P1081" i="15"/>
  <c r="P1082" i="15"/>
  <c r="P1083" i="15"/>
  <c r="P1084" i="15"/>
  <c r="O1084"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38" i="15"/>
  <c r="O1039" i="15"/>
  <c r="O1040" i="15"/>
  <c r="O1041" i="15"/>
  <c r="O1042" i="15"/>
  <c r="O1043" i="15"/>
  <c r="O1044" i="15"/>
  <c r="O1045" i="15"/>
  <c r="O1046" i="15"/>
  <c r="O1047" i="15"/>
  <c r="O1048" i="15"/>
  <c r="O1049" i="15"/>
  <c r="O1050" i="15"/>
  <c r="O1051" i="15"/>
  <c r="O1052" i="15"/>
  <c r="O1053" i="15"/>
  <c r="M437" i="5" l="1"/>
  <c r="N437" i="5" s="1"/>
  <c r="AG9" i="8" l="1"/>
  <c r="AH9" i="8" s="1"/>
  <c r="AG17" i="8"/>
  <c r="AH17" i="8" s="1"/>
  <c r="AG25" i="8"/>
  <c r="AH25" i="8" s="1"/>
  <c r="AG29" i="8"/>
  <c r="AH29" i="8" s="1"/>
  <c r="AG665" i="8"/>
  <c r="AH665" i="8" s="1"/>
  <c r="AG677" i="8"/>
  <c r="AH677" i="8" s="1"/>
  <c r="AG678" i="8"/>
  <c r="AH678" i="8" s="1"/>
  <c r="AG679" i="8"/>
  <c r="AH679" i="8" s="1"/>
  <c r="AG680" i="8"/>
  <c r="AH680" i="8" s="1"/>
  <c r="AG681" i="8"/>
  <c r="AH681" i="8" s="1"/>
  <c r="AG682" i="8"/>
  <c r="AH682" i="8" s="1"/>
  <c r="AG683" i="8"/>
  <c r="AH683" i="8" s="1"/>
  <c r="AG684" i="8"/>
  <c r="AH684" i="8" s="1"/>
  <c r="AG685" i="8"/>
  <c r="AH685" i="8" s="1"/>
  <c r="AG686" i="8"/>
  <c r="AH686" i="8" s="1"/>
  <c r="AG687" i="8"/>
  <c r="AH687" i="8" s="1"/>
  <c r="AG688" i="8"/>
  <c r="AH688" i="8" s="1"/>
  <c r="AG689" i="8"/>
  <c r="AH689" i="8" s="1"/>
  <c r="AG690" i="8"/>
  <c r="AH690" i="8" s="1"/>
  <c r="AG691" i="8"/>
  <c r="AH691" i="8" s="1"/>
  <c r="AG692" i="8"/>
  <c r="AH692" i="8" s="1"/>
  <c r="AG693" i="8"/>
  <c r="AH693" i="8" s="1"/>
  <c r="AG694" i="8"/>
  <c r="AH694" i="8" s="1"/>
  <c r="AG695" i="8"/>
  <c r="AH695" i="8" s="1"/>
  <c r="AG696" i="8"/>
  <c r="AH696" i="8" s="1"/>
  <c r="AG697" i="8"/>
  <c r="AH697" i="8" s="1"/>
  <c r="AG698" i="8"/>
  <c r="AH698" i="8" s="1"/>
  <c r="AG699" i="8"/>
  <c r="AH699" i="8" s="1"/>
  <c r="AG700" i="8"/>
  <c r="AH700" i="8" s="1"/>
  <c r="AG701" i="8"/>
  <c r="AH701" i="8" s="1"/>
  <c r="AG702" i="8"/>
  <c r="AH702" i="8" s="1"/>
  <c r="AG703" i="8"/>
  <c r="AH703" i="8" s="1"/>
  <c r="AG704" i="8"/>
  <c r="AH704" i="8" s="1"/>
  <c r="AG705" i="8"/>
  <c r="AH705" i="8" s="1"/>
  <c r="AG706" i="8"/>
  <c r="AH706" i="8" s="1"/>
  <c r="AG707" i="8"/>
  <c r="AH707" i="8" s="1"/>
  <c r="AG708" i="8"/>
  <c r="AH708" i="8" s="1"/>
  <c r="AG709" i="8"/>
  <c r="AH709" i="8" s="1"/>
  <c r="AG710" i="8"/>
  <c r="AH710" i="8" s="1"/>
  <c r="AG711" i="8"/>
  <c r="AH711" i="8" s="1"/>
  <c r="AG712" i="8"/>
  <c r="AH712" i="8" s="1"/>
  <c r="AG713" i="8"/>
  <c r="AH713" i="8" s="1"/>
  <c r="AG714" i="8"/>
  <c r="AH714" i="8" s="1"/>
  <c r="AG715" i="8"/>
  <c r="AH715" i="8" s="1"/>
  <c r="AG716" i="8"/>
  <c r="AH716" i="8" s="1"/>
  <c r="AG717" i="8"/>
  <c r="AH717" i="8" s="1"/>
  <c r="AG718" i="8"/>
  <c r="AH718" i="8" s="1"/>
  <c r="AG719" i="8"/>
  <c r="AH719" i="8" s="1"/>
  <c r="AG720" i="8"/>
  <c r="AH720" i="8" s="1"/>
  <c r="AG721" i="8"/>
  <c r="AH721" i="8" s="1"/>
  <c r="AG722" i="8"/>
  <c r="AH722" i="8" s="1"/>
  <c r="AG723" i="8"/>
  <c r="AH723" i="8" s="1"/>
  <c r="AG724" i="8"/>
  <c r="AH724" i="8" s="1"/>
  <c r="AG725" i="8"/>
  <c r="AH725" i="8" s="1"/>
  <c r="AG726" i="8"/>
  <c r="AH726" i="8" s="1"/>
  <c r="AG727" i="8"/>
  <c r="AH727" i="8" s="1"/>
  <c r="AG728" i="8"/>
  <c r="AH728" i="8" s="1"/>
  <c r="AG729" i="8"/>
  <c r="AH729" i="8" s="1"/>
  <c r="AG730" i="8"/>
  <c r="AH730" i="8" s="1"/>
  <c r="AG731" i="8"/>
  <c r="AH731" i="8" s="1"/>
  <c r="AG732" i="8"/>
  <c r="AH732" i="8" s="1"/>
  <c r="AG733" i="8"/>
  <c r="AH733" i="8" s="1"/>
  <c r="AG734" i="8"/>
  <c r="AH734" i="8" s="1"/>
  <c r="AG735" i="8"/>
  <c r="AH735" i="8" s="1"/>
  <c r="AG736" i="8"/>
  <c r="AH736" i="8" s="1"/>
  <c r="AG737" i="8"/>
  <c r="AH737" i="8" s="1"/>
  <c r="AG738" i="8"/>
  <c r="AH738" i="8" s="1"/>
  <c r="AG739" i="8"/>
  <c r="AH739" i="8" s="1"/>
  <c r="AG740" i="8"/>
  <c r="AH740" i="8" s="1"/>
  <c r="AG741" i="8"/>
  <c r="AH741" i="8" s="1"/>
  <c r="AG742" i="8"/>
  <c r="AH742" i="8" s="1"/>
  <c r="AG743" i="8"/>
  <c r="AH743" i="8" s="1"/>
  <c r="AG744" i="8"/>
  <c r="AH744" i="8" s="1"/>
  <c r="AG745" i="8"/>
  <c r="AH745" i="8" s="1"/>
  <c r="AG746" i="8"/>
  <c r="AH746" i="8" s="1"/>
  <c r="AG747" i="8"/>
  <c r="AH747" i="8" s="1"/>
  <c r="AG748" i="8"/>
  <c r="AH748" i="8" s="1"/>
  <c r="AG3" i="8"/>
  <c r="AH3" i="8" s="1"/>
  <c r="M3" i="5"/>
  <c r="N3" i="5" s="1"/>
  <c r="M8" i="5"/>
  <c r="N8" i="5" s="1"/>
  <c r="M13" i="5"/>
  <c r="N13" i="5" s="1"/>
  <c r="M18" i="5"/>
  <c r="N18" i="5" s="1"/>
  <c r="M23" i="5"/>
  <c r="N23" i="5" s="1"/>
  <c r="M28" i="5"/>
  <c r="N28" i="5" s="1"/>
  <c r="M33" i="5"/>
  <c r="N33" i="5" s="1"/>
  <c r="M38" i="5"/>
  <c r="N38" i="5" s="1"/>
  <c r="M43" i="5"/>
  <c r="N43" i="5" s="1"/>
  <c r="M48" i="5"/>
  <c r="N48" i="5" s="1"/>
  <c r="M53" i="5"/>
  <c r="N53" i="5" s="1"/>
  <c r="M58" i="5"/>
  <c r="N58" i="5" s="1"/>
  <c r="M63" i="5"/>
  <c r="N63" i="5" s="1"/>
  <c r="M68" i="5"/>
  <c r="N68" i="5" s="1"/>
  <c r="M73" i="5"/>
  <c r="N73" i="5" s="1"/>
  <c r="M78" i="5"/>
  <c r="N78" i="5" s="1"/>
  <c r="M83" i="5"/>
  <c r="N83" i="5" s="1"/>
  <c r="M88" i="5"/>
  <c r="N88" i="5" s="1"/>
  <c r="M93" i="5"/>
  <c r="N93" i="5" s="1"/>
  <c r="M98" i="5"/>
  <c r="N98" i="5" s="1"/>
  <c r="M103" i="5"/>
  <c r="N103" i="5" s="1"/>
  <c r="M108" i="5"/>
  <c r="N108" i="5" s="1"/>
  <c r="M113" i="5"/>
  <c r="N113" i="5" s="1"/>
  <c r="M118" i="5"/>
  <c r="N118" i="5" s="1"/>
  <c r="M123" i="5"/>
  <c r="N123" i="5" s="1"/>
  <c r="M128" i="5"/>
  <c r="N128" i="5" s="1"/>
  <c r="M133" i="5"/>
  <c r="N133" i="5" s="1"/>
  <c r="M138" i="5"/>
  <c r="N138" i="5" s="1"/>
  <c r="M143" i="5"/>
  <c r="N143" i="5" s="1"/>
  <c r="M148" i="5"/>
  <c r="N148" i="5" s="1"/>
  <c r="M153" i="5"/>
  <c r="N153" i="5" s="1"/>
  <c r="M158" i="5"/>
  <c r="N158" i="5" s="1"/>
  <c r="M163" i="5"/>
  <c r="N163" i="5" s="1"/>
  <c r="M168" i="5"/>
  <c r="N168" i="5" s="1"/>
  <c r="M173" i="5"/>
  <c r="N173" i="5" s="1"/>
  <c r="M178" i="5"/>
  <c r="N178" i="5" s="1"/>
  <c r="M183" i="5"/>
  <c r="N183" i="5" s="1"/>
  <c r="M188" i="5"/>
  <c r="N188" i="5" s="1"/>
  <c r="M193" i="5"/>
  <c r="N193" i="5" s="1"/>
  <c r="M198" i="5"/>
  <c r="N198" i="5" s="1"/>
  <c r="M203" i="5"/>
  <c r="N203" i="5" s="1"/>
  <c r="M208" i="5"/>
  <c r="N208" i="5" s="1"/>
  <c r="M213" i="5"/>
  <c r="N213" i="5" s="1"/>
  <c r="M218" i="5"/>
  <c r="N218" i="5" s="1"/>
  <c r="M223" i="5"/>
  <c r="N223" i="5" s="1"/>
  <c r="M228" i="5"/>
  <c r="N228" i="5" s="1"/>
  <c r="M233" i="5"/>
  <c r="N233" i="5" s="1"/>
  <c r="M238" i="5"/>
  <c r="N238" i="5" s="1"/>
  <c r="M243" i="5"/>
  <c r="N243" i="5" s="1"/>
  <c r="M248" i="5"/>
  <c r="N248" i="5" s="1"/>
  <c r="M253" i="5"/>
  <c r="N253" i="5" s="1"/>
  <c r="M258" i="5"/>
  <c r="N258" i="5" s="1"/>
  <c r="M263" i="5"/>
  <c r="N263" i="5" s="1"/>
  <c r="M268" i="5"/>
  <c r="N268" i="5" s="1"/>
  <c r="M273" i="5"/>
  <c r="N273" i="5" s="1"/>
  <c r="M278" i="5"/>
  <c r="N278" i="5" s="1"/>
  <c r="M283" i="5"/>
  <c r="N283" i="5" s="1"/>
  <c r="M288" i="5"/>
  <c r="N288" i="5" s="1"/>
  <c r="M293" i="5"/>
  <c r="N293" i="5" s="1"/>
  <c r="M298" i="5"/>
  <c r="N298" i="5" s="1"/>
  <c r="M303" i="5"/>
  <c r="N303" i="5" s="1"/>
  <c r="M308" i="5"/>
  <c r="N308" i="5" s="1"/>
  <c r="M313" i="5"/>
  <c r="N313" i="5" s="1"/>
  <c r="M318" i="5"/>
  <c r="N318" i="5" s="1"/>
  <c r="M323" i="5"/>
  <c r="N323" i="5" s="1"/>
  <c r="M328" i="5"/>
  <c r="N328" i="5" s="1"/>
  <c r="M333" i="5"/>
  <c r="N333" i="5" s="1"/>
  <c r="M338" i="5"/>
  <c r="N338" i="5" s="1"/>
  <c r="M343" i="5"/>
  <c r="N343" i="5" s="1"/>
  <c r="M348" i="5"/>
  <c r="N348" i="5" s="1"/>
  <c r="M353" i="5"/>
  <c r="N353" i="5" s="1"/>
  <c r="M358" i="5"/>
  <c r="N358" i="5" s="1"/>
  <c r="M363" i="5"/>
  <c r="N363" i="5" s="1"/>
  <c r="M368" i="5"/>
  <c r="N368" i="5" s="1"/>
  <c r="M373" i="5"/>
  <c r="N373" i="5" s="1"/>
  <c r="M378" i="5"/>
  <c r="N378" i="5" s="1"/>
  <c r="M383" i="5"/>
  <c r="N383" i="5" s="1"/>
  <c r="M388" i="5"/>
  <c r="N388" i="5" s="1"/>
  <c r="M393" i="5"/>
  <c r="N393" i="5" s="1"/>
  <c r="M403" i="5"/>
  <c r="N403" i="5" s="1"/>
  <c r="M408" i="5"/>
  <c r="N408" i="5" s="1"/>
  <c r="M412" i="5"/>
  <c r="N412" i="5" s="1"/>
  <c r="M416" i="5"/>
  <c r="N416" i="5" s="1"/>
  <c r="M420" i="5"/>
  <c r="N420" i="5" s="1"/>
  <c r="M425" i="5"/>
  <c r="N425" i="5" s="1"/>
  <c r="M430" i="5"/>
  <c r="N430" i="5" s="1"/>
  <c r="M435" i="5"/>
  <c r="N435" i="5" s="1"/>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Q535" i="15"/>
  <c r="Q536" i="15"/>
  <c r="Q537" i="15"/>
  <c r="Q538" i="15"/>
  <c r="Q539" i="15"/>
  <c r="Q540" i="15"/>
  <c r="Q541" i="15"/>
  <c r="Q542" i="15"/>
  <c r="Q543" i="15"/>
  <c r="Q544" i="15"/>
  <c r="Q545" i="15"/>
  <c r="Q546" i="15"/>
  <c r="Q547" i="15"/>
  <c r="Q548" i="15"/>
  <c r="Q549" i="15"/>
  <c r="Q550" i="15"/>
  <c r="Q551" i="15"/>
  <c r="Q552" i="15"/>
  <c r="Q553" i="15"/>
  <c r="Q554" i="15"/>
  <c r="Q555" i="15"/>
  <c r="Q556" i="15"/>
  <c r="Q557" i="15"/>
  <c r="Q558" i="15"/>
  <c r="Q559" i="15"/>
  <c r="Q560" i="15"/>
  <c r="Q561" i="15"/>
  <c r="Q562" i="15"/>
  <c r="Q563" i="15"/>
  <c r="Q564" i="15"/>
  <c r="Q565" i="15"/>
  <c r="Q566" i="15"/>
  <c r="Q567" i="15"/>
  <c r="Q568" i="15"/>
  <c r="Q569" i="15"/>
  <c r="Q570" i="15"/>
  <c r="Q571" i="15"/>
  <c r="Q572" i="15"/>
  <c r="Q573" i="15"/>
  <c r="Q574" i="15"/>
  <c r="Q575" i="15"/>
  <c r="Q576" i="15"/>
  <c r="Q577" i="15"/>
  <c r="Q578" i="15"/>
  <c r="Q579" i="15"/>
  <c r="Q580" i="15"/>
  <c r="Q581" i="15"/>
  <c r="Q582" i="15"/>
  <c r="Q583" i="15"/>
  <c r="Q584" i="15"/>
  <c r="Q585" i="15"/>
  <c r="Q586" i="15"/>
  <c r="Q587" i="15"/>
  <c r="Q588" i="15"/>
  <c r="Q589" i="15"/>
  <c r="Q590" i="15"/>
  <c r="Q591" i="15"/>
  <c r="Q592" i="15"/>
  <c r="Q593" i="15"/>
  <c r="Q594" i="15"/>
  <c r="Q595" i="15"/>
  <c r="Q596" i="15"/>
  <c r="Q597" i="15"/>
  <c r="Q598" i="15"/>
  <c r="Q599" i="15"/>
  <c r="Q600" i="15"/>
  <c r="Q601" i="15"/>
  <c r="Q602" i="15"/>
  <c r="Q603" i="15"/>
  <c r="Q604" i="15"/>
  <c r="Q605" i="15"/>
  <c r="Q606" i="15"/>
  <c r="Q607" i="15"/>
  <c r="Q608" i="15"/>
  <c r="Q609" i="15"/>
  <c r="Q610" i="15"/>
  <c r="Q611" i="15"/>
  <c r="Q612" i="15"/>
  <c r="Q613" i="15"/>
  <c r="Q614" i="15"/>
  <c r="Q615" i="15"/>
  <c r="Q616" i="15"/>
  <c r="Q617" i="15"/>
  <c r="Q618" i="15"/>
  <c r="Q619" i="15"/>
  <c r="Q620" i="15"/>
  <c r="Q621" i="15"/>
  <c r="Q622" i="15"/>
  <c r="Q623" i="15"/>
  <c r="Q624" i="15"/>
  <c r="Q625" i="15"/>
  <c r="Q626" i="15"/>
  <c r="Q627" i="15"/>
  <c r="Q628" i="15"/>
  <c r="Q629" i="15"/>
  <c r="Q630" i="15"/>
  <c r="Q631" i="15"/>
  <c r="Q632" i="15"/>
  <c r="Q633" i="15"/>
  <c r="Q634" i="15"/>
  <c r="Q635" i="15"/>
  <c r="Q636" i="15"/>
  <c r="Q637" i="15"/>
  <c r="Q638" i="15"/>
  <c r="Q639" i="15"/>
  <c r="Q640" i="15"/>
  <c r="Q641" i="15"/>
  <c r="Q642" i="15"/>
  <c r="Q643" i="15"/>
  <c r="Q644" i="15"/>
  <c r="Q645" i="15"/>
  <c r="Q646" i="15"/>
  <c r="Q647" i="15"/>
  <c r="Q648" i="15"/>
  <c r="Q649" i="15"/>
  <c r="Q650" i="15"/>
  <c r="Q651" i="15"/>
  <c r="Q652" i="15"/>
  <c r="Q653" i="15"/>
  <c r="Q654" i="15"/>
  <c r="Q655" i="15"/>
  <c r="Q656" i="15"/>
  <c r="Q657" i="15"/>
  <c r="Q658" i="15"/>
  <c r="Q659" i="15"/>
  <c r="Q660" i="15"/>
  <c r="Q661" i="15"/>
  <c r="Q662" i="15"/>
  <c r="Q663" i="15"/>
  <c r="Q664" i="15"/>
  <c r="Q665" i="15"/>
  <c r="Q666" i="15"/>
  <c r="Q667" i="15"/>
  <c r="Q668" i="15"/>
  <c r="Q669" i="15"/>
  <c r="Q670" i="15"/>
  <c r="Q671" i="15"/>
  <c r="Q672" i="15"/>
  <c r="Q673" i="15"/>
  <c r="Q674" i="15"/>
  <c r="Q675" i="15"/>
  <c r="Q676" i="15"/>
  <c r="Q677" i="15"/>
  <c r="Q678" i="15"/>
  <c r="Q679" i="15"/>
  <c r="Q680" i="15"/>
  <c r="Q681" i="15"/>
  <c r="Q682" i="15"/>
  <c r="Q683" i="15"/>
  <c r="Q684" i="15"/>
  <c r="Q685" i="15"/>
  <c r="Q686" i="15"/>
  <c r="Q687" i="15"/>
  <c r="Q688" i="15"/>
  <c r="Q689" i="15"/>
  <c r="Q690" i="15"/>
  <c r="Q691" i="15"/>
  <c r="Q692" i="15"/>
  <c r="Q693" i="15"/>
  <c r="Q694" i="15"/>
  <c r="Q695" i="15"/>
  <c r="Q696" i="15"/>
  <c r="Q697" i="15"/>
  <c r="Q698" i="15"/>
  <c r="Q699" i="15"/>
  <c r="Q700" i="15"/>
  <c r="Q701" i="15"/>
  <c r="Q702" i="15"/>
  <c r="Q703" i="15"/>
  <c r="Q704" i="15"/>
  <c r="Q705" i="15"/>
  <c r="Q706" i="15"/>
  <c r="Q707" i="15"/>
  <c r="Q708" i="15"/>
  <c r="Q709" i="15"/>
  <c r="Q710" i="15"/>
  <c r="Q711" i="15"/>
  <c r="Q712" i="15"/>
  <c r="Q713" i="15"/>
  <c r="Q714" i="15"/>
  <c r="Q715" i="15"/>
  <c r="Q716" i="15"/>
  <c r="Q717" i="15"/>
  <c r="Q718" i="15"/>
  <c r="Q719" i="15"/>
  <c r="Q720" i="15"/>
  <c r="Q721" i="15"/>
  <c r="Q722" i="15"/>
  <c r="Q723" i="15"/>
  <c r="Q724" i="15"/>
  <c r="Q725" i="15"/>
  <c r="Q726" i="15"/>
  <c r="Q727" i="15"/>
  <c r="Q728" i="15"/>
  <c r="Q729" i="15"/>
  <c r="Q730" i="15"/>
  <c r="Q731" i="15"/>
  <c r="Q732" i="15"/>
  <c r="Q733" i="15"/>
  <c r="Q734" i="15"/>
  <c r="Q735" i="15"/>
  <c r="Q736" i="15"/>
  <c r="Q737" i="15"/>
  <c r="Q738" i="15"/>
  <c r="Q739" i="15"/>
  <c r="Q740" i="15"/>
  <c r="Q741" i="15"/>
  <c r="Q742" i="15"/>
  <c r="Q743" i="15"/>
  <c r="Q744" i="15"/>
  <c r="Q745" i="15"/>
  <c r="Q746" i="15"/>
  <c r="Q747" i="15"/>
  <c r="Q748" i="15"/>
  <c r="Q749" i="15"/>
  <c r="Q750" i="15"/>
  <c r="Q751" i="15"/>
  <c r="Q752" i="15"/>
  <c r="Q753" i="15"/>
  <c r="Q754" i="15"/>
  <c r="Q755" i="15"/>
  <c r="Q756" i="15"/>
  <c r="Q757" i="15"/>
  <c r="Q758" i="15"/>
  <c r="Q759" i="15"/>
  <c r="Q760" i="15"/>
  <c r="Q761" i="15"/>
  <c r="Q762" i="15"/>
  <c r="Q763" i="15"/>
  <c r="Q764" i="15"/>
  <c r="Q765" i="15"/>
  <c r="Q766" i="15"/>
  <c r="Q767" i="15"/>
  <c r="Q768" i="15"/>
  <c r="Q769" i="15"/>
  <c r="Q770" i="15"/>
  <c r="Q771" i="15"/>
  <c r="Q772" i="15"/>
  <c r="Q773" i="15"/>
  <c r="Q774" i="15"/>
  <c r="Q775" i="15"/>
  <c r="Q776" i="15"/>
  <c r="Q777" i="15"/>
  <c r="Q778" i="15"/>
  <c r="Q779" i="15"/>
  <c r="Q780" i="15"/>
  <c r="Q781" i="15"/>
  <c r="Q782" i="15"/>
  <c r="Q783" i="15"/>
  <c r="Q784" i="15"/>
  <c r="Q785" i="15"/>
  <c r="Q786" i="15"/>
  <c r="Q787" i="15"/>
  <c r="Q788" i="15"/>
  <c r="Q789" i="15"/>
  <c r="Q790" i="15"/>
  <c r="Q791" i="15"/>
  <c r="Q792" i="15"/>
  <c r="Q793" i="15"/>
  <c r="Q794" i="15"/>
  <c r="Q795" i="15"/>
  <c r="Q796" i="15"/>
  <c r="Q797" i="15"/>
  <c r="Q798" i="15"/>
  <c r="Q799" i="15"/>
  <c r="Q800" i="15"/>
  <c r="Q801" i="15"/>
  <c r="Q802" i="15"/>
  <c r="Q803" i="15"/>
  <c r="Q804" i="15"/>
  <c r="Q805" i="15"/>
  <c r="Q806" i="15"/>
  <c r="Q807" i="15"/>
  <c r="Q808" i="15"/>
  <c r="Q809" i="15"/>
  <c r="Q810" i="15"/>
  <c r="Q811" i="15"/>
  <c r="Q812" i="15"/>
  <c r="Q813" i="15"/>
  <c r="Q814" i="15"/>
  <c r="Q815" i="15"/>
  <c r="Q816" i="15"/>
  <c r="Q817" i="15"/>
  <c r="Q818" i="15"/>
  <c r="Q819" i="15"/>
  <c r="Q820" i="15"/>
  <c r="Q821" i="15"/>
  <c r="Q822" i="15"/>
  <c r="Q823" i="15"/>
  <c r="Q824" i="15"/>
  <c r="Q825" i="15"/>
  <c r="Q826" i="15"/>
  <c r="Q827" i="15"/>
  <c r="Q828" i="15"/>
  <c r="Q829" i="15"/>
  <c r="Q830" i="15"/>
  <c r="Q831" i="15"/>
  <c r="Q832" i="15"/>
  <c r="Q833" i="15"/>
  <c r="Q834" i="15"/>
  <c r="Q835" i="15"/>
  <c r="Q836" i="15"/>
  <c r="Q837" i="15"/>
  <c r="Q838" i="15"/>
  <c r="Q839" i="15"/>
  <c r="Q840" i="15"/>
  <c r="Q841" i="15"/>
  <c r="Q842" i="15"/>
  <c r="Q843" i="15"/>
  <c r="Q844" i="15"/>
  <c r="Q845" i="15"/>
  <c r="Q846" i="15"/>
  <c r="Q847" i="15"/>
  <c r="Q848" i="15"/>
  <c r="Q849" i="15"/>
  <c r="Q850" i="15"/>
  <c r="Q851" i="15"/>
  <c r="Q852" i="15"/>
  <c r="Q853" i="15"/>
  <c r="Q854" i="15"/>
  <c r="Q855" i="15"/>
  <c r="Q856" i="15"/>
  <c r="Q857" i="15"/>
  <c r="Q858" i="15"/>
  <c r="Q859" i="15"/>
  <c r="Q860" i="15"/>
  <c r="Q861" i="15"/>
  <c r="Q862" i="15"/>
  <c r="Q863" i="15"/>
  <c r="Q864" i="15"/>
  <c r="Q865" i="15"/>
  <c r="Q866" i="15"/>
  <c r="Q867" i="15"/>
  <c r="Q868" i="15"/>
  <c r="Q869" i="15"/>
  <c r="Q870" i="15"/>
  <c r="Q871" i="15"/>
  <c r="Q872" i="15"/>
  <c r="Q873" i="15"/>
  <c r="Q874" i="15"/>
  <c r="Q875" i="15"/>
  <c r="Q876" i="15"/>
  <c r="Q877" i="15"/>
  <c r="Q878" i="15"/>
  <c r="Q879" i="15"/>
  <c r="Q880" i="15"/>
  <c r="Q881" i="15"/>
  <c r="Q882" i="15"/>
  <c r="Q883" i="15"/>
  <c r="Q884" i="15"/>
  <c r="Q885" i="15"/>
  <c r="Q886" i="15"/>
  <c r="Q887" i="15"/>
  <c r="Q888" i="15"/>
  <c r="Q889" i="15"/>
  <c r="Q890" i="15"/>
  <c r="Q891" i="15"/>
  <c r="Q892" i="15"/>
  <c r="Q893" i="15"/>
  <c r="Q894" i="15"/>
  <c r="Q895" i="15"/>
  <c r="Q896" i="15"/>
  <c r="Q897" i="15"/>
  <c r="Q898" i="15"/>
  <c r="Q899" i="15"/>
  <c r="Q900" i="15"/>
  <c r="Q901" i="15"/>
  <c r="Q902" i="15"/>
  <c r="Q903" i="15"/>
  <c r="Q904" i="15"/>
  <c r="Q905" i="15"/>
  <c r="Q906" i="15"/>
  <c r="Q907" i="15"/>
  <c r="Q908" i="15"/>
  <c r="Q909" i="15"/>
  <c r="Q910" i="15"/>
  <c r="Q911" i="15"/>
  <c r="Q912" i="15"/>
  <c r="Q913" i="15"/>
  <c r="Q914" i="15"/>
  <c r="Q915" i="15"/>
  <c r="Q916" i="15"/>
  <c r="Q917" i="15"/>
  <c r="Q918" i="15"/>
  <c r="Q919" i="15"/>
  <c r="Q920" i="15"/>
  <c r="Q921" i="15"/>
  <c r="Q922" i="15"/>
  <c r="Q923" i="15"/>
  <c r="Q924" i="15"/>
  <c r="Q925" i="15"/>
  <c r="Q926" i="15"/>
  <c r="Q927" i="15"/>
  <c r="Q928" i="15"/>
  <c r="Q929" i="15"/>
  <c r="Q930" i="15"/>
  <c r="Q931" i="15"/>
  <c r="Q932" i="15"/>
  <c r="Q933" i="15"/>
  <c r="Q934" i="15"/>
  <c r="Q935" i="15"/>
  <c r="Q936" i="15"/>
  <c r="Q937" i="15"/>
  <c r="Q938" i="15"/>
  <c r="Q939" i="15"/>
  <c r="Q940" i="15"/>
  <c r="Q941" i="15"/>
  <c r="Q942" i="15"/>
  <c r="Q943" i="15"/>
  <c r="Q944" i="15"/>
  <c r="Q945" i="15"/>
  <c r="Q946" i="15"/>
  <c r="Q947" i="15"/>
  <c r="Q948" i="15"/>
  <c r="Q949" i="15"/>
  <c r="Q950" i="15"/>
  <c r="Q951" i="15"/>
  <c r="Q952" i="15"/>
  <c r="Q953" i="15"/>
  <c r="Q954" i="15"/>
  <c r="Q955" i="15"/>
  <c r="Q956" i="15"/>
  <c r="Q957" i="15"/>
  <c r="Q958" i="15"/>
  <c r="Q959" i="15"/>
  <c r="Q960" i="15"/>
  <c r="Q961" i="15"/>
  <c r="Q962" i="15"/>
  <c r="Q963" i="15"/>
  <c r="Q964" i="15"/>
  <c r="Q965" i="15"/>
  <c r="Q966" i="15"/>
  <c r="Q967" i="15"/>
  <c r="Q968" i="15"/>
  <c r="Q969" i="15"/>
  <c r="Q970" i="15"/>
  <c r="Q971" i="15"/>
  <c r="Q972" i="15"/>
  <c r="Q973" i="15"/>
  <c r="Q974" i="15"/>
  <c r="Q975" i="15"/>
  <c r="Q976" i="15"/>
  <c r="Q977" i="15"/>
  <c r="Q978" i="15"/>
  <c r="Q979" i="15"/>
  <c r="Q980" i="15"/>
  <c r="Q981" i="15"/>
  <c r="Q982" i="15"/>
  <c r="Q983" i="15"/>
  <c r="Q984" i="15"/>
  <c r="Q985" i="15"/>
  <c r="Q986" i="15"/>
  <c r="Q987" i="15"/>
  <c r="Q988" i="15"/>
  <c r="Q989" i="15"/>
  <c r="Q990" i="15"/>
  <c r="Q991" i="15"/>
  <c r="Q992" i="15"/>
  <c r="Q993" i="15"/>
  <c r="Q994" i="15"/>
  <c r="Q995" i="15"/>
  <c r="Q996" i="15"/>
  <c r="Q997" i="15"/>
  <c r="Q998" i="15"/>
  <c r="Q999" i="15"/>
  <c r="Q1000" i="15"/>
  <c r="Q1001" i="15"/>
  <c r="Q1002" i="15"/>
  <c r="Q1003" i="15"/>
  <c r="Q1004" i="15"/>
  <c r="Q1005" i="15"/>
  <c r="Q1006" i="15"/>
  <c r="Q1007" i="15"/>
  <c r="Q1008" i="15"/>
  <c r="Q1009" i="15"/>
  <c r="Q1010" i="15"/>
  <c r="Q1011" i="15"/>
  <c r="Q1012" i="15"/>
  <c r="Q1013" i="15"/>
  <c r="Q1014" i="15"/>
  <c r="Q1015" i="15"/>
  <c r="Q1016" i="15"/>
  <c r="Q1017" i="15"/>
  <c r="Q1018" i="15"/>
  <c r="Q1019" i="15"/>
  <c r="Q1020" i="15"/>
  <c r="Q1021" i="15"/>
  <c r="Q1022" i="15"/>
  <c r="Q1023" i="15"/>
  <c r="Q1024" i="15"/>
  <c r="Q1025" i="15"/>
  <c r="Q1026" i="15"/>
  <c r="Q1027" i="15"/>
  <c r="Q1028" i="15"/>
  <c r="Q1029" i="15"/>
  <c r="Q1030" i="15"/>
  <c r="Q1031" i="15"/>
  <c r="Q1032" i="15"/>
  <c r="Q1033" i="15"/>
  <c r="Q1034" i="15"/>
  <c r="Q1035" i="15"/>
  <c r="Q1036" i="15"/>
  <c r="Q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327" i="15"/>
  <c r="P328" i="15"/>
  <c r="P329" i="15"/>
  <c r="P330" i="15"/>
  <c r="P331" i="15"/>
  <c r="P332" i="15"/>
  <c r="P333" i="15"/>
  <c r="P334" i="15"/>
  <c r="P335" i="15"/>
  <c r="P336" i="15"/>
  <c r="P337" i="15"/>
  <c r="P338" i="15"/>
  <c r="P339" i="15"/>
  <c r="P340" i="15"/>
  <c r="P341" i="15"/>
  <c r="P342" i="15"/>
  <c r="P343" i="15"/>
  <c r="P344" i="15"/>
  <c r="P345" i="15"/>
  <c r="P346" i="15"/>
  <c r="P347" i="15"/>
  <c r="P348" i="15"/>
  <c r="P349" i="15"/>
  <c r="P350" i="15"/>
  <c r="P351" i="15"/>
  <c r="P352" i="15"/>
  <c r="P353" i="15"/>
  <c r="P354" i="15"/>
  <c r="P355" i="15"/>
  <c r="P356" i="15"/>
  <c r="P357" i="15"/>
  <c r="P358" i="15"/>
  <c r="P359" i="15"/>
  <c r="P360" i="15"/>
  <c r="P361"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2" i="15"/>
  <c r="P413" i="15"/>
  <c r="P414" i="15"/>
  <c r="P415" i="15"/>
  <c r="P416" i="15"/>
  <c r="P417" i="15"/>
  <c r="P418" i="15"/>
  <c r="P419" i="15"/>
  <c r="P420" i="15"/>
  <c r="P421" i="15"/>
  <c r="P422" i="15"/>
  <c r="P423" i="15"/>
  <c r="P424" i="15"/>
  <c r="P425" i="15"/>
  <c r="P426" i="15"/>
  <c r="P427" i="15"/>
  <c r="P428" i="15"/>
  <c r="P429" i="15"/>
  <c r="P430" i="15"/>
  <c r="P431" i="15"/>
  <c r="P432" i="15"/>
  <c r="P433" i="15"/>
  <c r="P434" i="15"/>
  <c r="P435" i="15"/>
  <c r="P436" i="15"/>
  <c r="P437" i="15"/>
  <c r="P438" i="15"/>
  <c r="P439" i="15"/>
  <c r="P440" i="15"/>
  <c r="P441" i="15"/>
  <c r="P442" i="15"/>
  <c r="P443" i="15"/>
  <c r="P444" i="15"/>
  <c r="P445" i="15"/>
  <c r="P446" i="15"/>
  <c r="P447" i="15"/>
  <c r="P448" i="15"/>
  <c r="P449" i="15"/>
  <c r="P450" i="15"/>
  <c r="P451"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P502" i="15"/>
  <c r="P503" i="15"/>
  <c r="P504" i="15"/>
  <c r="P505" i="15"/>
  <c r="P506" i="15"/>
  <c r="P507" i="15"/>
  <c r="P508" i="15"/>
  <c r="P509" i="15"/>
  <c r="P510" i="15"/>
  <c r="P511" i="15"/>
  <c r="P512" i="15"/>
  <c r="P513" i="15"/>
  <c r="P514" i="15"/>
  <c r="P515" i="15"/>
  <c r="P516" i="15"/>
  <c r="P517" i="15"/>
  <c r="P518" i="15"/>
  <c r="P519" i="15"/>
  <c r="P520" i="15"/>
  <c r="P521" i="15"/>
  <c r="P522" i="15"/>
  <c r="P523" i="15"/>
  <c r="P524" i="15"/>
  <c r="P525" i="15"/>
  <c r="P526" i="15"/>
  <c r="P527" i="15"/>
  <c r="P528" i="15"/>
  <c r="P529" i="15"/>
  <c r="P530" i="15"/>
  <c r="P531" i="15"/>
  <c r="P532" i="15"/>
  <c r="P533" i="15"/>
  <c r="P534" i="15"/>
  <c r="P535" i="15"/>
  <c r="P536" i="15"/>
  <c r="P537" i="15"/>
  <c r="P538" i="15"/>
  <c r="P539" i="15"/>
  <c r="P540" i="15"/>
  <c r="P541" i="15"/>
  <c r="P542" i="15"/>
  <c r="P543" i="15"/>
  <c r="P544" i="15"/>
  <c r="P545" i="15"/>
  <c r="P546" i="15"/>
  <c r="P547" i="15"/>
  <c r="P548" i="15"/>
  <c r="P549" i="15"/>
  <c r="P550" i="15"/>
  <c r="P551" i="15"/>
  <c r="P552" i="15"/>
  <c r="P553" i="15"/>
  <c r="P554" i="15"/>
  <c r="P555" i="15"/>
  <c r="P556" i="15"/>
  <c r="P557" i="15"/>
  <c r="P558" i="15"/>
  <c r="P559" i="15"/>
  <c r="P560" i="15"/>
  <c r="P561" i="15"/>
  <c r="P562" i="15"/>
  <c r="P563" i="15"/>
  <c r="P564" i="15"/>
  <c r="P565" i="15"/>
  <c r="P566" i="15"/>
  <c r="P567" i="15"/>
  <c r="P568" i="15"/>
  <c r="P569" i="15"/>
  <c r="P570" i="15"/>
  <c r="P571" i="15"/>
  <c r="P572" i="15"/>
  <c r="P573" i="15"/>
  <c r="P574" i="15"/>
  <c r="P575" i="15"/>
  <c r="P576" i="15"/>
  <c r="P577" i="15"/>
  <c r="P578" i="15"/>
  <c r="P579" i="15"/>
  <c r="P580" i="15"/>
  <c r="P581" i="15"/>
  <c r="P582" i="15"/>
  <c r="P583" i="15"/>
  <c r="P584" i="15"/>
  <c r="P585" i="15"/>
  <c r="P586" i="15"/>
  <c r="P587" i="15"/>
  <c r="P588" i="15"/>
  <c r="P589" i="15"/>
  <c r="P590" i="15"/>
  <c r="P591" i="15"/>
  <c r="P592" i="15"/>
  <c r="P593" i="15"/>
  <c r="P594" i="15"/>
  <c r="P595" i="15"/>
  <c r="P596" i="15"/>
  <c r="P597" i="15"/>
  <c r="P598" i="15"/>
  <c r="P599" i="15"/>
  <c r="P600" i="15"/>
  <c r="P601" i="15"/>
  <c r="P602" i="15"/>
  <c r="P603" i="15"/>
  <c r="P604" i="15"/>
  <c r="P605" i="15"/>
  <c r="P606" i="15"/>
  <c r="P607" i="15"/>
  <c r="P608" i="15"/>
  <c r="P609" i="15"/>
  <c r="P610" i="15"/>
  <c r="P611" i="15"/>
  <c r="P612" i="15"/>
  <c r="P613" i="15"/>
  <c r="P614" i="15"/>
  <c r="P615" i="15"/>
  <c r="P616" i="15"/>
  <c r="P617" i="15"/>
  <c r="P618" i="15"/>
  <c r="P619" i="15"/>
  <c r="P620" i="15"/>
  <c r="P621" i="15"/>
  <c r="P622" i="15"/>
  <c r="P623" i="15"/>
  <c r="P624" i="15"/>
  <c r="P625" i="15"/>
  <c r="P626" i="15"/>
  <c r="P627" i="15"/>
  <c r="P628" i="15"/>
  <c r="P629" i="15"/>
  <c r="P630" i="15"/>
  <c r="P631" i="15"/>
  <c r="P632" i="15"/>
  <c r="P633" i="15"/>
  <c r="P634" i="15"/>
  <c r="P635" i="15"/>
  <c r="P636" i="15"/>
  <c r="P637" i="15"/>
  <c r="P638" i="15"/>
  <c r="P639" i="15"/>
  <c r="P640" i="15"/>
  <c r="P641" i="15"/>
  <c r="P642" i="15"/>
  <c r="P643" i="15"/>
  <c r="P644" i="15"/>
  <c r="P645" i="15"/>
  <c r="P646" i="15"/>
  <c r="P647" i="15"/>
  <c r="P648" i="15"/>
  <c r="P649" i="15"/>
  <c r="P650" i="15"/>
  <c r="P651" i="15"/>
  <c r="P652" i="15"/>
  <c r="P653" i="15"/>
  <c r="P654" i="15"/>
  <c r="P655" i="15"/>
  <c r="P656" i="15"/>
  <c r="P657" i="15"/>
  <c r="P658" i="15"/>
  <c r="P659" i="15"/>
  <c r="P660" i="15"/>
  <c r="P661" i="15"/>
  <c r="P662" i="15"/>
  <c r="P663" i="15"/>
  <c r="P664" i="15"/>
  <c r="P665" i="15"/>
  <c r="P666" i="15"/>
  <c r="P667" i="15"/>
  <c r="P668" i="15"/>
  <c r="P669" i="15"/>
  <c r="P670" i="15"/>
  <c r="P671" i="15"/>
  <c r="P672" i="15"/>
  <c r="P673" i="15"/>
  <c r="P674" i="15"/>
  <c r="P675" i="15"/>
  <c r="P676" i="15"/>
  <c r="P677" i="15"/>
  <c r="P678" i="15"/>
  <c r="P679" i="15"/>
  <c r="P680" i="15"/>
  <c r="P681" i="15"/>
  <c r="P682" i="15"/>
  <c r="P683" i="15"/>
  <c r="P684" i="15"/>
  <c r="P685" i="15"/>
  <c r="P686" i="15"/>
  <c r="P687" i="15"/>
  <c r="P688" i="15"/>
  <c r="P689" i="15"/>
  <c r="P690" i="15"/>
  <c r="P691" i="15"/>
  <c r="P692" i="15"/>
  <c r="P693" i="15"/>
  <c r="P694" i="15"/>
  <c r="P695" i="15"/>
  <c r="P696" i="15"/>
  <c r="P697" i="15"/>
  <c r="P698" i="15"/>
  <c r="P699" i="15"/>
  <c r="P700" i="15"/>
  <c r="P701" i="15"/>
  <c r="P702" i="15"/>
  <c r="P703" i="15"/>
  <c r="P704" i="15"/>
  <c r="P705" i="15"/>
  <c r="P706" i="15"/>
  <c r="P707" i="15"/>
  <c r="P708" i="15"/>
  <c r="P709" i="15"/>
  <c r="P710" i="15"/>
  <c r="P711" i="15"/>
  <c r="P712" i="15"/>
  <c r="P713" i="15"/>
  <c r="P714" i="15"/>
  <c r="P715" i="15"/>
  <c r="P716" i="15"/>
  <c r="P717" i="15"/>
  <c r="P718" i="15"/>
  <c r="P719" i="15"/>
  <c r="P720" i="15"/>
  <c r="P721" i="15"/>
  <c r="P722" i="15"/>
  <c r="P723" i="15"/>
  <c r="P724" i="15"/>
  <c r="P725" i="15"/>
  <c r="P726" i="15"/>
  <c r="P727" i="15"/>
  <c r="P728" i="15"/>
  <c r="P729" i="15"/>
  <c r="P730" i="15"/>
  <c r="P731" i="15"/>
  <c r="P732" i="15"/>
  <c r="P733" i="15"/>
  <c r="P734" i="15"/>
  <c r="P735" i="15"/>
  <c r="P736" i="15"/>
  <c r="P737" i="15"/>
  <c r="P738" i="15"/>
  <c r="P739" i="15"/>
  <c r="P740" i="15"/>
  <c r="P741" i="15"/>
  <c r="P742" i="15"/>
  <c r="P743" i="15"/>
  <c r="P744" i="15"/>
  <c r="P745" i="15"/>
  <c r="P746" i="15"/>
  <c r="P747" i="15"/>
  <c r="P748" i="15"/>
  <c r="P749" i="15"/>
  <c r="P750" i="15"/>
  <c r="P751" i="15"/>
  <c r="P752" i="15"/>
  <c r="P753" i="15"/>
  <c r="P754" i="15"/>
  <c r="P755" i="15"/>
  <c r="P756" i="15"/>
  <c r="P757" i="15"/>
  <c r="P758" i="15"/>
  <c r="P759" i="15"/>
  <c r="P760" i="15"/>
  <c r="P761" i="15"/>
  <c r="P762" i="15"/>
  <c r="P763" i="15"/>
  <c r="P764" i="15"/>
  <c r="P765" i="15"/>
  <c r="P766" i="15"/>
  <c r="P767" i="15"/>
  <c r="P768" i="15"/>
  <c r="P769" i="15"/>
  <c r="P770" i="15"/>
  <c r="P771" i="15"/>
  <c r="P772" i="15"/>
  <c r="P773" i="15"/>
  <c r="P774" i="15"/>
  <c r="P775" i="15"/>
  <c r="P776" i="15"/>
  <c r="P777" i="15"/>
  <c r="P778" i="15"/>
  <c r="P779" i="15"/>
  <c r="P780" i="15"/>
  <c r="P781" i="15"/>
  <c r="P782" i="15"/>
  <c r="P783" i="15"/>
  <c r="P784" i="15"/>
  <c r="P785" i="15"/>
  <c r="P786" i="15"/>
  <c r="P787" i="15"/>
  <c r="P788" i="15"/>
  <c r="P789" i="15"/>
  <c r="P790" i="15"/>
  <c r="P791" i="15"/>
  <c r="P792" i="15"/>
  <c r="P793" i="15"/>
  <c r="P794" i="15"/>
  <c r="P795" i="15"/>
  <c r="P796" i="15"/>
  <c r="P797" i="15"/>
  <c r="P798" i="15"/>
  <c r="P799" i="15"/>
  <c r="P800" i="15"/>
  <c r="P801" i="15"/>
  <c r="P802" i="15"/>
  <c r="P803" i="15"/>
  <c r="P804" i="15"/>
  <c r="P805" i="15"/>
  <c r="P806" i="15"/>
  <c r="P807" i="15"/>
  <c r="P808" i="15"/>
  <c r="P809" i="15"/>
  <c r="P810" i="15"/>
  <c r="P811" i="15"/>
  <c r="P812" i="15"/>
  <c r="P813" i="15"/>
  <c r="P814" i="15"/>
  <c r="P815" i="15"/>
  <c r="P816" i="15"/>
  <c r="P817" i="15"/>
  <c r="P818" i="15"/>
  <c r="P819" i="15"/>
  <c r="P820" i="15"/>
  <c r="P821" i="15"/>
  <c r="P822" i="15"/>
  <c r="P823" i="15"/>
  <c r="P824" i="15"/>
  <c r="P825" i="15"/>
  <c r="P826" i="15"/>
  <c r="P827" i="15"/>
  <c r="P828" i="15"/>
  <c r="P829" i="15"/>
  <c r="P830" i="15"/>
  <c r="P831" i="15"/>
  <c r="P832" i="15"/>
  <c r="P833" i="15"/>
  <c r="P834" i="15"/>
  <c r="P835" i="15"/>
  <c r="P836" i="15"/>
  <c r="P837" i="15"/>
  <c r="P838" i="15"/>
  <c r="P839" i="15"/>
  <c r="P840" i="15"/>
  <c r="P841" i="15"/>
  <c r="P842" i="15"/>
  <c r="P843" i="15"/>
  <c r="P844" i="15"/>
  <c r="P845" i="15"/>
  <c r="P846" i="15"/>
  <c r="P847" i="15"/>
  <c r="P848" i="15"/>
  <c r="P849" i="15"/>
  <c r="P850" i="15"/>
  <c r="P851" i="15"/>
  <c r="P852" i="15"/>
  <c r="P853" i="15"/>
  <c r="P854" i="15"/>
  <c r="P855" i="15"/>
  <c r="P856" i="15"/>
  <c r="P857" i="15"/>
  <c r="P858" i="15"/>
  <c r="P859" i="15"/>
  <c r="P860" i="15"/>
  <c r="P861" i="15"/>
  <c r="P862" i="15"/>
  <c r="P863" i="15"/>
  <c r="P864" i="15"/>
  <c r="P865" i="15"/>
  <c r="P866" i="15"/>
  <c r="P867" i="15"/>
  <c r="P868" i="15"/>
  <c r="P869" i="15"/>
  <c r="P870" i="15"/>
  <c r="P871" i="15"/>
  <c r="P872" i="15"/>
  <c r="P873" i="15"/>
  <c r="P874" i="15"/>
  <c r="P875" i="15"/>
  <c r="P876" i="15"/>
  <c r="P877" i="15"/>
  <c r="P878" i="15"/>
  <c r="P879" i="15"/>
  <c r="P880" i="15"/>
  <c r="P881" i="15"/>
  <c r="P882" i="15"/>
  <c r="P883" i="15"/>
  <c r="P884" i="15"/>
  <c r="P885" i="15"/>
  <c r="P886" i="15"/>
  <c r="P887" i="15"/>
  <c r="P888" i="15"/>
  <c r="P889" i="15"/>
  <c r="P890" i="15"/>
  <c r="P891" i="15"/>
  <c r="P892" i="15"/>
  <c r="P893" i="15"/>
  <c r="P894" i="15"/>
  <c r="P895" i="15"/>
  <c r="P896" i="15"/>
  <c r="P897" i="15"/>
  <c r="P898" i="15"/>
  <c r="P899" i="15"/>
  <c r="P900" i="15"/>
  <c r="P901" i="15"/>
  <c r="P902" i="15"/>
  <c r="P903" i="15"/>
  <c r="P904" i="15"/>
  <c r="P905" i="15"/>
  <c r="P906" i="15"/>
  <c r="P907" i="15"/>
  <c r="P908" i="15"/>
  <c r="P909" i="15"/>
  <c r="P910" i="15"/>
  <c r="P911" i="15"/>
  <c r="P912" i="15"/>
  <c r="P913" i="15"/>
  <c r="P914" i="15"/>
  <c r="P915" i="15"/>
  <c r="P916" i="15"/>
  <c r="P917" i="15"/>
  <c r="P918" i="15"/>
  <c r="P919" i="15"/>
  <c r="P920" i="15"/>
  <c r="P921" i="15"/>
  <c r="P922" i="15"/>
  <c r="P923" i="15"/>
  <c r="P924" i="15"/>
  <c r="P925" i="15"/>
  <c r="P926" i="15"/>
  <c r="P927" i="15"/>
  <c r="P928" i="15"/>
  <c r="P929" i="15"/>
  <c r="P930" i="15"/>
  <c r="P931" i="15"/>
  <c r="P932" i="15"/>
  <c r="P933" i="15"/>
  <c r="P934" i="15"/>
  <c r="P935" i="15"/>
  <c r="P936" i="15"/>
  <c r="P937" i="15"/>
  <c r="P938" i="15"/>
  <c r="P939" i="15"/>
  <c r="P940" i="15"/>
  <c r="P941" i="15"/>
  <c r="P942" i="15"/>
  <c r="P943" i="15"/>
  <c r="P944" i="15"/>
  <c r="P945" i="15"/>
  <c r="P946" i="15"/>
  <c r="P947" i="15"/>
  <c r="P948" i="15"/>
  <c r="P949" i="15"/>
  <c r="P950" i="15"/>
  <c r="P951" i="15"/>
  <c r="P952" i="15"/>
  <c r="P953" i="15"/>
  <c r="P954" i="15"/>
  <c r="P955" i="15"/>
  <c r="P956" i="15"/>
  <c r="P957" i="15"/>
  <c r="P958" i="15"/>
  <c r="P959" i="15"/>
  <c r="P960" i="15"/>
  <c r="P961" i="15"/>
  <c r="P962" i="15"/>
  <c r="P963" i="15"/>
  <c r="P964" i="15"/>
  <c r="P965" i="15"/>
  <c r="P966" i="15"/>
  <c r="P967" i="15"/>
  <c r="P968" i="15"/>
  <c r="P969" i="15"/>
  <c r="P970" i="15"/>
  <c r="P971" i="15"/>
  <c r="P972" i="15"/>
  <c r="P973" i="15"/>
  <c r="P974" i="15"/>
  <c r="P975" i="15"/>
  <c r="P976" i="15"/>
  <c r="P977" i="15"/>
  <c r="P978" i="15"/>
  <c r="P979" i="15"/>
  <c r="P980" i="15"/>
  <c r="P981" i="15"/>
  <c r="P982" i="15"/>
  <c r="P983" i="15"/>
  <c r="P984" i="15"/>
  <c r="P985" i="15"/>
  <c r="P986" i="15"/>
  <c r="P987" i="15"/>
  <c r="P988" i="15"/>
  <c r="P989" i="15"/>
  <c r="P990" i="15"/>
  <c r="P991" i="15"/>
  <c r="P992" i="15"/>
  <c r="P993" i="15"/>
  <c r="P994" i="15"/>
  <c r="P995" i="15"/>
  <c r="P996" i="15"/>
  <c r="P997" i="15"/>
  <c r="P998" i="15"/>
  <c r="P999" i="15"/>
  <c r="P1000" i="15"/>
  <c r="P1001" i="15"/>
  <c r="P1002" i="15"/>
  <c r="P1003" i="15"/>
  <c r="P1004" i="15"/>
  <c r="P1005" i="15"/>
  <c r="P1006" i="15"/>
  <c r="P1007" i="15"/>
  <c r="P1008" i="15"/>
  <c r="P1009" i="15"/>
  <c r="P1010" i="15"/>
  <c r="P1011" i="15"/>
  <c r="P1012" i="15"/>
  <c r="P1013" i="15"/>
  <c r="P1014" i="15"/>
  <c r="P1015" i="15"/>
  <c r="P1016" i="15"/>
  <c r="P1017" i="15"/>
  <c r="P1018" i="15"/>
  <c r="P1019" i="15"/>
  <c r="P1020" i="15"/>
  <c r="P1021" i="15"/>
  <c r="P1022" i="15"/>
  <c r="P1023" i="15"/>
  <c r="P1024" i="15"/>
  <c r="P1025" i="15"/>
  <c r="P1026" i="15"/>
  <c r="P1027" i="15"/>
  <c r="P1028" i="15"/>
  <c r="P1029" i="15"/>
  <c r="P1030" i="15"/>
  <c r="P1031" i="15"/>
  <c r="P1032" i="15"/>
  <c r="P1033" i="15"/>
  <c r="P1034" i="15"/>
  <c r="P1035" i="15"/>
  <c r="P1036" i="15"/>
  <c r="P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O388" i="15"/>
  <c r="O389" i="15"/>
  <c r="O390" i="15"/>
  <c r="O391" i="15"/>
  <c r="O392" i="15"/>
  <c r="O393" i="15"/>
  <c r="O394" i="15"/>
  <c r="O395" i="15"/>
  <c r="O396" i="15"/>
  <c r="O397" i="15"/>
  <c r="O398" i="15"/>
  <c r="O399" i="15"/>
  <c r="O400" i="15"/>
  <c r="O401" i="15"/>
  <c r="O402" i="15"/>
  <c r="O403" i="15"/>
  <c r="O404" i="15"/>
  <c r="O405" i="15"/>
  <c r="O406" i="15"/>
  <c r="O407" i="15"/>
  <c r="O408" i="15"/>
  <c r="O409" i="15"/>
  <c r="O410" i="15"/>
  <c r="O411" i="15"/>
  <c r="O412" i="15"/>
  <c r="O413" i="15"/>
  <c r="O414" i="15"/>
  <c r="O415" i="15"/>
  <c r="O416" i="15"/>
  <c r="O417" i="15"/>
  <c r="O418" i="15"/>
  <c r="O419" i="15"/>
  <c r="O420" i="15"/>
  <c r="O421" i="15"/>
  <c r="O422" i="15"/>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8" i="15"/>
  <c r="O709" i="15"/>
  <c r="O710" i="15"/>
  <c r="O711" i="15"/>
  <c r="O712" i="15"/>
  <c r="O713" i="15"/>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1" i="15"/>
  <c r="AG232" i="8" l="1"/>
  <c r="AH232" i="8" s="1"/>
  <c r="AG295" i="8"/>
  <c r="AH295" i="8" s="1"/>
  <c r="AG46" i="8"/>
  <c r="AH46" i="8" s="1"/>
  <c r="AG358" i="8"/>
  <c r="AH358" i="8" s="1"/>
  <c r="AG620" i="8"/>
  <c r="AH620" i="8" s="1"/>
  <c r="AG62" i="8"/>
  <c r="AH62" i="8" s="1"/>
  <c r="AG202" i="8"/>
  <c r="AH202" i="8" s="1"/>
  <c r="AG256" i="8"/>
  <c r="AH256" i="8" s="1"/>
  <c r="AG122" i="8"/>
  <c r="AH122" i="8" s="1"/>
  <c r="AG186" i="8"/>
  <c r="AH186" i="8" s="1"/>
  <c r="AG444" i="8"/>
  <c r="AH444" i="8" s="1"/>
  <c r="AG663" i="8"/>
  <c r="AH663" i="8" s="1"/>
  <c r="AG612" i="8"/>
  <c r="AH612" i="8" s="1"/>
  <c r="AG550" i="8"/>
  <c r="AH550" i="8" s="1"/>
  <c r="AG492" i="8"/>
  <c r="AH492" i="8" s="1"/>
  <c r="AG429" i="8"/>
  <c r="AH429" i="8" s="1"/>
  <c r="AG366" i="8"/>
  <c r="AH366" i="8" s="1"/>
  <c r="AG303" i="8"/>
  <c r="AH303" i="8" s="1"/>
  <c r="AG240" i="8"/>
  <c r="AH240" i="8" s="1"/>
  <c r="AG178" i="8"/>
  <c r="AH178" i="8" s="1"/>
  <c r="AG114" i="8"/>
  <c r="AH114" i="8" s="1"/>
  <c r="AG54" i="8"/>
  <c r="AH54" i="8" s="1"/>
  <c r="AG661" i="8"/>
  <c r="AH661" i="8" s="1"/>
  <c r="AG548" i="8"/>
  <c r="AH548" i="8" s="1"/>
  <c r="AG106" i="8"/>
  <c r="AH106" i="8" s="1"/>
  <c r="AG653" i="8"/>
  <c r="AH653" i="8" s="1"/>
  <c r="AG596" i="8"/>
  <c r="AH596" i="8" s="1"/>
  <c r="AG540" i="8"/>
  <c r="AH540" i="8" s="1"/>
  <c r="AG476" i="8"/>
  <c r="AH476" i="8" s="1"/>
  <c r="AG413" i="8"/>
  <c r="AH413" i="8" s="1"/>
  <c r="AG351" i="8"/>
  <c r="AH351" i="8" s="1"/>
  <c r="AG287" i="8"/>
  <c r="AH287" i="8" s="1"/>
  <c r="AG225" i="8"/>
  <c r="AH225" i="8" s="1"/>
  <c r="AG162" i="8"/>
  <c r="AH162" i="8" s="1"/>
  <c r="AG101" i="8"/>
  <c r="AH101" i="8" s="1"/>
  <c r="AG38" i="8"/>
  <c r="AH38" i="8" s="1"/>
  <c r="AG604" i="8"/>
  <c r="AH604" i="8" s="1"/>
  <c r="AG484" i="8"/>
  <c r="AH484" i="8" s="1"/>
  <c r="AG170" i="8"/>
  <c r="AH170" i="8" s="1"/>
  <c r="AG676" i="8"/>
  <c r="AH676" i="8" s="1"/>
  <c r="AG646" i="8"/>
  <c r="AH646" i="8" s="1"/>
  <c r="AG589" i="8"/>
  <c r="AH589" i="8" s="1"/>
  <c r="AG532" i="8"/>
  <c r="AH532" i="8" s="1"/>
  <c r="AG468" i="8"/>
  <c r="AH468" i="8" s="1"/>
  <c r="AG405" i="8"/>
  <c r="AH405" i="8" s="1"/>
  <c r="AG343" i="8"/>
  <c r="AH343" i="8" s="1"/>
  <c r="AG280" i="8"/>
  <c r="AH280" i="8" s="1"/>
  <c r="AG218" i="8"/>
  <c r="AH218" i="8" s="1"/>
  <c r="AG154" i="8"/>
  <c r="AH154" i="8" s="1"/>
  <c r="AG94" i="8"/>
  <c r="AH94" i="8" s="1"/>
  <c r="AG30" i="8"/>
  <c r="AH30" i="8" s="1"/>
  <c r="AG421" i="8"/>
  <c r="AH421" i="8" s="1"/>
  <c r="AG675" i="8"/>
  <c r="AH675" i="8" s="1"/>
  <c r="AG638" i="8"/>
  <c r="AH638" i="8" s="1"/>
  <c r="AG581" i="8"/>
  <c r="AH581" i="8" s="1"/>
  <c r="AG524" i="8"/>
  <c r="AH524" i="8" s="1"/>
  <c r="AG460" i="8"/>
  <c r="AH460" i="8" s="1"/>
  <c r="AG397" i="8"/>
  <c r="AH397" i="8" s="1"/>
  <c r="AG335" i="8"/>
  <c r="AH335" i="8" s="1"/>
  <c r="AG272" i="8"/>
  <c r="AH272" i="8" s="1"/>
  <c r="AG210" i="8"/>
  <c r="AH210" i="8" s="1"/>
  <c r="AG146" i="8"/>
  <c r="AH146" i="8" s="1"/>
  <c r="AG86" i="8"/>
  <c r="AH86" i="8" s="1"/>
  <c r="AG674" i="8"/>
  <c r="AH674" i="8" s="1"/>
  <c r="AG635" i="8"/>
  <c r="AH635" i="8" s="1"/>
  <c r="AG573" i="8"/>
  <c r="AH573" i="8" s="1"/>
  <c r="AG516" i="8"/>
  <c r="AH516" i="8" s="1"/>
  <c r="AG452" i="8"/>
  <c r="AH452" i="8" s="1"/>
  <c r="AG389" i="8"/>
  <c r="AH389" i="8" s="1"/>
  <c r="AG327" i="8"/>
  <c r="AH327" i="8" s="1"/>
  <c r="AG264" i="8"/>
  <c r="AH264" i="8" s="1"/>
  <c r="AG138" i="8"/>
  <c r="AH138" i="8" s="1"/>
  <c r="AG78" i="8"/>
  <c r="AH78" i="8" s="1"/>
  <c r="AG673" i="8"/>
  <c r="AH673" i="8" s="1"/>
  <c r="AG628" i="8"/>
  <c r="AH628" i="8" s="1"/>
  <c r="AG565" i="8"/>
  <c r="AH565" i="8" s="1"/>
  <c r="AG508" i="8"/>
  <c r="AH508" i="8" s="1"/>
  <c r="AG381" i="8"/>
  <c r="AH381" i="8" s="1"/>
  <c r="AG319" i="8"/>
  <c r="AH319" i="8" s="1"/>
  <c r="AG194" i="8"/>
  <c r="AH194" i="8" s="1"/>
  <c r="AG130" i="8"/>
  <c r="AH130" i="8" s="1"/>
  <c r="AG70" i="8"/>
  <c r="AH70" i="8" s="1"/>
  <c r="AG558" i="8"/>
  <c r="AH558" i="8" s="1"/>
  <c r="AG500" i="8"/>
  <c r="AH500" i="8" s="1"/>
  <c r="AG437" i="8"/>
  <c r="AH437" i="8" s="1"/>
  <c r="AG373" i="8"/>
  <c r="AH373" i="8" s="1"/>
  <c r="AG311" i="8"/>
  <c r="AH311" i="8" s="1"/>
  <c r="AG248" i="8"/>
  <c r="AH248" i="8" s="1"/>
  <c r="M421" i="5"/>
  <c r="N421" i="5" s="1"/>
  <c r="M267" i="5"/>
  <c r="N267" i="5" s="1"/>
  <c r="M26" i="5"/>
  <c r="N26" i="5" s="1"/>
  <c r="AG656" i="8"/>
  <c r="AH656" i="8" s="1"/>
  <c r="AG541" i="8"/>
  <c r="AH541" i="8" s="1"/>
  <c r="M365" i="5"/>
  <c r="N365" i="5" s="1"/>
  <c r="M259" i="5"/>
  <c r="N259" i="5" s="1"/>
  <c r="AG485" i="8"/>
  <c r="AH485" i="8" s="1"/>
  <c r="M17" i="5"/>
  <c r="N17" i="5" s="1"/>
  <c r="AG626" i="8"/>
  <c r="AH626" i="8" s="1"/>
  <c r="M51" i="5"/>
  <c r="N51" i="5" s="1"/>
  <c r="AG12" i="8"/>
  <c r="AH12" i="8" s="1"/>
  <c r="AG36" i="8"/>
  <c r="AH36" i="8" s="1"/>
  <c r="AG100" i="8"/>
  <c r="AH100" i="8" s="1"/>
  <c r="AG156" i="8"/>
  <c r="AH156" i="8" s="1"/>
  <c r="AG300" i="8"/>
  <c r="AH300" i="8" s="1"/>
  <c r="AG308" i="8"/>
  <c r="AH308" i="8" s="1"/>
  <c r="AG316" i="8"/>
  <c r="AH316" i="8" s="1"/>
  <c r="AG332" i="8"/>
  <c r="AH332" i="8" s="1"/>
  <c r="AG340" i="8"/>
  <c r="AH340" i="8" s="1"/>
  <c r="AG348" i="8"/>
  <c r="AH348" i="8" s="1"/>
  <c r="AG61" i="8"/>
  <c r="AH61" i="8" s="1"/>
  <c r="AG133" i="8"/>
  <c r="AH133" i="8" s="1"/>
  <c r="AG189" i="8"/>
  <c r="AH189" i="8" s="1"/>
  <c r="AG213" i="8"/>
  <c r="AH213" i="8" s="1"/>
  <c r="AG245" i="8"/>
  <c r="AH245" i="8" s="1"/>
  <c r="AG261" i="8"/>
  <c r="AH261" i="8" s="1"/>
  <c r="AG269" i="8"/>
  <c r="AH269" i="8" s="1"/>
  <c r="AG6" i="8"/>
  <c r="AH6" i="8" s="1"/>
  <c r="AG119" i="8"/>
  <c r="AH119" i="8" s="1"/>
  <c r="AG127" i="8"/>
  <c r="AH127" i="8" s="1"/>
  <c r="AG143" i="8"/>
  <c r="AH143" i="8" s="1"/>
  <c r="AG151" i="8"/>
  <c r="AH151" i="8" s="1"/>
  <c r="AG207" i="8"/>
  <c r="AH207" i="8" s="1"/>
  <c r="AG255" i="8"/>
  <c r="AH255" i="8" s="1"/>
  <c r="AG24" i="8"/>
  <c r="AH24" i="8" s="1"/>
  <c r="AG112" i="8"/>
  <c r="AH112" i="8" s="1"/>
  <c r="AG168" i="8"/>
  <c r="AH168" i="8" s="1"/>
  <c r="AG176" i="8"/>
  <c r="AH176" i="8" s="1"/>
  <c r="AG184" i="8"/>
  <c r="AH184" i="8" s="1"/>
  <c r="AG464" i="8"/>
  <c r="AH464" i="8" s="1"/>
  <c r="AG105" i="8"/>
  <c r="AH105" i="8" s="1"/>
  <c r="AG201" i="8"/>
  <c r="AH201" i="8" s="1"/>
  <c r="AG377" i="8"/>
  <c r="AH377" i="8" s="1"/>
  <c r="AG409" i="8"/>
  <c r="AH409" i="8" s="1"/>
  <c r="AG425" i="8"/>
  <c r="AH425" i="8" s="1"/>
  <c r="AG449" i="8"/>
  <c r="AH449" i="8" s="1"/>
  <c r="AG457" i="8"/>
  <c r="AH457" i="8" s="1"/>
  <c r="AG481" i="8"/>
  <c r="AH481" i="8" s="1"/>
  <c r="AG489" i="8"/>
  <c r="AH489" i="8" s="1"/>
  <c r="AG497" i="8"/>
  <c r="AH497" i="8" s="1"/>
  <c r="AG513" i="8"/>
  <c r="AH513" i="8" s="1"/>
  <c r="AG585" i="8"/>
  <c r="AH585" i="8" s="1"/>
  <c r="AG601" i="8"/>
  <c r="AH601" i="8" s="1"/>
  <c r="AG609" i="8"/>
  <c r="AH609" i="8" s="1"/>
  <c r="AG657" i="8"/>
  <c r="AH657" i="8" s="1"/>
  <c r="AG27" i="8"/>
  <c r="AH27" i="8" s="1"/>
  <c r="AG43" i="8"/>
  <c r="AH43" i="8" s="1"/>
  <c r="AG51" i="8"/>
  <c r="AH51" i="8" s="1"/>
  <c r="AG83" i="8"/>
  <c r="AH83" i="8" s="1"/>
  <c r="AG91" i="8"/>
  <c r="AH91" i="8" s="1"/>
  <c r="AG235" i="8"/>
  <c r="AH235" i="8" s="1"/>
  <c r="AG275" i="8"/>
  <c r="AH275" i="8" s="1"/>
  <c r="AG291" i="8"/>
  <c r="AH291" i="8" s="1"/>
  <c r="AG323" i="8"/>
  <c r="AH323" i="8" s="1"/>
  <c r="AG387" i="8"/>
  <c r="AH387" i="8" s="1"/>
  <c r="AG395" i="8"/>
  <c r="AH395" i="8" s="1"/>
  <c r="AG419" i="8"/>
  <c r="AH419" i="8" s="1"/>
  <c r="AG66" i="8"/>
  <c r="AH66" i="8" s="1"/>
  <c r="AG402" i="8"/>
  <c r="AH402" i="8" s="1"/>
  <c r="AG434" i="8"/>
  <c r="AH434" i="8" s="1"/>
  <c r="AG520" i="8"/>
  <c r="AH520" i="8" s="1"/>
  <c r="AG616" i="8"/>
  <c r="AH616" i="8" s="1"/>
  <c r="AG637" i="8"/>
  <c r="AH637" i="8" s="1"/>
  <c r="AG669" i="8"/>
  <c r="AH669" i="8" s="1"/>
  <c r="AG74" i="8"/>
  <c r="AH74" i="8" s="1"/>
  <c r="AG544" i="8"/>
  <c r="AH544" i="8" s="1"/>
  <c r="AG503" i="8"/>
  <c r="AH503" i="8" s="1"/>
  <c r="AG557" i="8"/>
  <c r="AH557" i="8" s="1"/>
  <c r="AG578" i="8"/>
  <c r="AH578" i="8" s="1"/>
  <c r="AG662" i="8"/>
  <c r="AH662" i="8" s="1"/>
  <c r="AG536" i="8"/>
  <c r="AH536" i="8" s="1"/>
  <c r="AG568" i="8"/>
  <c r="AH568" i="8" s="1"/>
  <c r="AG642" i="8"/>
  <c r="AH642" i="8" s="1"/>
  <c r="AG362" i="8"/>
  <c r="AH362" i="8" s="1"/>
  <c r="AG527" i="8"/>
  <c r="AH527" i="8" s="1"/>
  <c r="AG664" i="8"/>
  <c r="AH664" i="8" s="1"/>
  <c r="AG624" i="8"/>
  <c r="AH624" i="8" s="1"/>
  <c r="M187" i="5"/>
  <c r="N187" i="5" s="1"/>
  <c r="AG20" i="8"/>
  <c r="AH20" i="8" s="1"/>
  <c r="AG116" i="8"/>
  <c r="AH116" i="8" s="1"/>
  <c r="AG124" i="8"/>
  <c r="AH124" i="8" s="1"/>
  <c r="AG236" i="8"/>
  <c r="AH236" i="8" s="1"/>
  <c r="AG244" i="8"/>
  <c r="AH244" i="8" s="1"/>
  <c r="AG388" i="8"/>
  <c r="AH388" i="8" s="1"/>
  <c r="AG420" i="8"/>
  <c r="AH420" i="8" s="1"/>
  <c r="AG5" i="8"/>
  <c r="AH5" i="8" s="1"/>
  <c r="AG109" i="8"/>
  <c r="AH109" i="8" s="1"/>
  <c r="AG149" i="8"/>
  <c r="AH149" i="8" s="1"/>
  <c r="AG157" i="8"/>
  <c r="AH157" i="8" s="1"/>
  <c r="AG165" i="8"/>
  <c r="AH165" i="8" s="1"/>
  <c r="AG221" i="8"/>
  <c r="AH221" i="8" s="1"/>
  <c r="AG229" i="8"/>
  <c r="AH229" i="8" s="1"/>
  <c r="AG95" i="8"/>
  <c r="AH95" i="8" s="1"/>
  <c r="AG103" i="8"/>
  <c r="AH103" i="8" s="1"/>
  <c r="AG199" i="8"/>
  <c r="AH199" i="8" s="1"/>
  <c r="AG56" i="8"/>
  <c r="AH56" i="8" s="1"/>
  <c r="AG64" i="8"/>
  <c r="AH64" i="8" s="1"/>
  <c r="AG80" i="8"/>
  <c r="AH80" i="8" s="1"/>
  <c r="AG88" i="8"/>
  <c r="AH88" i="8" s="1"/>
  <c r="AG408" i="8"/>
  <c r="AH408" i="8" s="1"/>
  <c r="AG496" i="8"/>
  <c r="AH496" i="8" s="1"/>
  <c r="AG33" i="8"/>
  <c r="AH33" i="8" s="1"/>
  <c r="AG41" i="8"/>
  <c r="AH41" i="8" s="1"/>
  <c r="AG49" i="8"/>
  <c r="AH49" i="8" s="1"/>
  <c r="AG73" i="8"/>
  <c r="AH73" i="8" s="1"/>
  <c r="AG209" i="8"/>
  <c r="AH209" i="8" s="1"/>
  <c r="AG249" i="8"/>
  <c r="AH249" i="8" s="1"/>
  <c r="AG313" i="8"/>
  <c r="AH313" i="8" s="1"/>
  <c r="AG321" i="8"/>
  <c r="AH321" i="8" s="1"/>
  <c r="AG337" i="8"/>
  <c r="AH337" i="8" s="1"/>
  <c r="AG361" i="8"/>
  <c r="AH361" i="8" s="1"/>
  <c r="AG369" i="8"/>
  <c r="AH369" i="8" s="1"/>
  <c r="AG401" i="8"/>
  <c r="AH401" i="8" s="1"/>
  <c r="AG433" i="8"/>
  <c r="AH433" i="8" s="1"/>
  <c r="AG441" i="8"/>
  <c r="AH441" i="8" s="1"/>
  <c r="AG473" i="8"/>
  <c r="AH473" i="8" s="1"/>
  <c r="AG505" i="8"/>
  <c r="AH505" i="8" s="1"/>
  <c r="AG537" i="8"/>
  <c r="AH537" i="8" s="1"/>
  <c r="AG545" i="8"/>
  <c r="AH545" i="8" s="1"/>
  <c r="AG569" i="8"/>
  <c r="AH569" i="8" s="1"/>
  <c r="AG641" i="8"/>
  <c r="AH641" i="8" s="1"/>
  <c r="AG649" i="8"/>
  <c r="AH649" i="8" s="1"/>
  <c r="AG131" i="8"/>
  <c r="AH131" i="8" s="1"/>
  <c r="AG187" i="8"/>
  <c r="AH187" i="8" s="1"/>
  <c r="AG283" i="8"/>
  <c r="AH283" i="8" s="1"/>
  <c r="AG299" i="8"/>
  <c r="AH299" i="8" s="1"/>
  <c r="AG331" i="8"/>
  <c r="AH331" i="8" s="1"/>
  <c r="AG347" i="8"/>
  <c r="AH347" i="8" s="1"/>
  <c r="AG355" i="8"/>
  <c r="AH355" i="8" s="1"/>
  <c r="AG306" i="8"/>
  <c r="AH306" i="8" s="1"/>
  <c r="AG486" i="8"/>
  <c r="AH486" i="8" s="1"/>
  <c r="AG584" i="8"/>
  <c r="AH584" i="8" s="1"/>
  <c r="AG10" i="8"/>
  <c r="AH10" i="8" s="1"/>
  <c r="AG266" i="8"/>
  <c r="AH266" i="8" s="1"/>
  <c r="AG511" i="8"/>
  <c r="AH511" i="8" s="1"/>
  <c r="AG607" i="8"/>
  <c r="AH607" i="8" s="1"/>
  <c r="AG290" i="8"/>
  <c r="AH290" i="8" s="1"/>
  <c r="AG390" i="8"/>
  <c r="AH390" i="8" s="1"/>
  <c r="AG422" i="8"/>
  <c r="AH422" i="8" s="1"/>
  <c r="AG463" i="8"/>
  <c r="AH463" i="8" s="1"/>
  <c r="AG556" i="8"/>
  <c r="AH556" i="8" s="1"/>
  <c r="AG576" i="8"/>
  <c r="AH576" i="8" s="1"/>
  <c r="AG375" i="8"/>
  <c r="AH375" i="8" s="1"/>
  <c r="AG453" i="8"/>
  <c r="AH453" i="8" s="1"/>
  <c r="AG631" i="8"/>
  <c r="AH631" i="8" s="1"/>
  <c r="AG142" i="8"/>
  <c r="AH142" i="8" s="1"/>
  <c r="AG174" i="8"/>
  <c r="AH174" i="8" s="1"/>
  <c r="AG274" i="8"/>
  <c r="AH274" i="8" s="1"/>
  <c r="AG479" i="8"/>
  <c r="AH479" i="8" s="1"/>
  <c r="AG602" i="8"/>
  <c r="AH602" i="8" s="1"/>
  <c r="AG623" i="8"/>
  <c r="AH623" i="8" s="1"/>
  <c r="AG182" i="8"/>
  <c r="AH182" i="8" s="1"/>
  <c r="AG214" i="8"/>
  <c r="AH214" i="8" s="1"/>
  <c r="AG258" i="8"/>
  <c r="AH258" i="8" s="1"/>
  <c r="AG528" i="8"/>
  <c r="AH528" i="8" s="1"/>
  <c r="AG592" i="8"/>
  <c r="AH592" i="8" s="1"/>
  <c r="M405" i="5"/>
  <c r="N405" i="5" s="1"/>
  <c r="M387" i="5"/>
  <c r="N387" i="5" s="1"/>
  <c r="M347" i="5"/>
  <c r="N347" i="5" s="1"/>
  <c r="M60" i="5"/>
  <c r="N60" i="5" s="1"/>
  <c r="M100" i="5"/>
  <c r="N100" i="5" s="1"/>
  <c r="M140" i="5"/>
  <c r="N140" i="5" s="1"/>
  <c r="M180" i="5"/>
  <c r="N180" i="5" s="1"/>
  <c r="M220" i="5"/>
  <c r="N220" i="5" s="1"/>
  <c r="M260" i="5"/>
  <c r="N260" i="5" s="1"/>
  <c r="M300" i="5"/>
  <c r="N300" i="5" s="1"/>
  <c r="M340" i="5"/>
  <c r="N340" i="5" s="1"/>
  <c r="M380" i="5"/>
  <c r="N380" i="5" s="1"/>
  <c r="M10" i="5"/>
  <c r="N10" i="5" s="1"/>
  <c r="M45" i="5"/>
  <c r="N45" i="5" s="1"/>
  <c r="M85" i="5"/>
  <c r="N85" i="5" s="1"/>
  <c r="M125" i="5"/>
  <c r="N125" i="5" s="1"/>
  <c r="M165" i="5"/>
  <c r="N165" i="5" s="1"/>
  <c r="M205" i="5"/>
  <c r="N205" i="5" s="1"/>
  <c r="M245" i="5"/>
  <c r="N245" i="5" s="1"/>
  <c r="M285" i="5"/>
  <c r="N285" i="5" s="1"/>
  <c r="M325" i="5"/>
  <c r="N325" i="5" s="1"/>
  <c r="M20" i="5"/>
  <c r="N20" i="5" s="1"/>
  <c r="M70" i="5"/>
  <c r="N70" i="5" s="1"/>
  <c r="M110" i="5"/>
  <c r="N110" i="5" s="1"/>
  <c r="M150" i="5"/>
  <c r="N150" i="5" s="1"/>
  <c r="M190" i="5"/>
  <c r="N190" i="5" s="1"/>
  <c r="M230" i="5"/>
  <c r="N230" i="5" s="1"/>
  <c r="M270" i="5"/>
  <c r="N270" i="5" s="1"/>
  <c r="M310" i="5"/>
  <c r="N310" i="5" s="1"/>
  <c r="M350" i="5"/>
  <c r="N350" i="5" s="1"/>
  <c r="M390" i="5"/>
  <c r="N390" i="5" s="1"/>
  <c r="M422" i="5"/>
  <c r="N422" i="5" s="1"/>
  <c r="M30" i="5"/>
  <c r="N30" i="5" s="1"/>
  <c r="M55" i="5"/>
  <c r="N55" i="5" s="1"/>
  <c r="M95" i="5"/>
  <c r="N95" i="5" s="1"/>
  <c r="M135" i="5"/>
  <c r="N135" i="5" s="1"/>
  <c r="M175" i="5"/>
  <c r="N175" i="5" s="1"/>
  <c r="M215" i="5"/>
  <c r="N215" i="5" s="1"/>
  <c r="M255" i="5"/>
  <c r="N255" i="5" s="1"/>
  <c r="M295" i="5"/>
  <c r="N295" i="5" s="1"/>
  <c r="M335" i="5"/>
  <c r="N335" i="5" s="1"/>
  <c r="M375" i="5"/>
  <c r="N375" i="5" s="1"/>
  <c r="M432" i="5"/>
  <c r="N432" i="5" s="1"/>
  <c r="M5" i="5"/>
  <c r="N5" i="5" s="1"/>
  <c r="M40" i="5"/>
  <c r="N40" i="5" s="1"/>
  <c r="M80" i="5"/>
  <c r="N80" i="5" s="1"/>
  <c r="M120" i="5"/>
  <c r="N120" i="5" s="1"/>
  <c r="M160" i="5"/>
  <c r="N160" i="5" s="1"/>
  <c r="M200" i="5"/>
  <c r="N200" i="5" s="1"/>
  <c r="M240" i="5"/>
  <c r="N240" i="5" s="1"/>
  <c r="M280" i="5"/>
  <c r="N280" i="5" s="1"/>
  <c r="M320" i="5"/>
  <c r="N320" i="5" s="1"/>
  <c r="M360" i="5"/>
  <c r="N360" i="5" s="1"/>
  <c r="M400" i="5"/>
  <c r="N400" i="5" s="1"/>
  <c r="M65" i="5"/>
  <c r="N65" i="5" s="1"/>
  <c r="M105" i="5"/>
  <c r="N105" i="5" s="1"/>
  <c r="M145" i="5"/>
  <c r="N145" i="5" s="1"/>
  <c r="M185" i="5"/>
  <c r="N185" i="5" s="1"/>
  <c r="M225" i="5"/>
  <c r="N225" i="5" s="1"/>
  <c r="M265" i="5"/>
  <c r="N265" i="5" s="1"/>
  <c r="M305" i="5"/>
  <c r="N305" i="5" s="1"/>
  <c r="M345" i="5"/>
  <c r="N345" i="5" s="1"/>
  <c r="M385" i="5"/>
  <c r="N385" i="5" s="1"/>
  <c r="M15" i="5"/>
  <c r="N15" i="5" s="1"/>
  <c r="M25" i="5"/>
  <c r="N25" i="5" s="1"/>
  <c r="M50" i="5"/>
  <c r="N50" i="5" s="1"/>
  <c r="M90" i="5"/>
  <c r="N90" i="5" s="1"/>
  <c r="M130" i="5"/>
  <c r="N130" i="5" s="1"/>
  <c r="M170" i="5"/>
  <c r="N170" i="5" s="1"/>
  <c r="M210" i="5"/>
  <c r="N210" i="5" s="1"/>
  <c r="M250" i="5"/>
  <c r="N250" i="5" s="1"/>
  <c r="M290" i="5"/>
  <c r="N290" i="5" s="1"/>
  <c r="M330" i="5"/>
  <c r="N330" i="5" s="1"/>
  <c r="M370" i="5"/>
  <c r="N370" i="5" s="1"/>
  <c r="M410" i="5"/>
  <c r="N410" i="5" s="1"/>
  <c r="M418" i="5"/>
  <c r="N418" i="5" s="1"/>
  <c r="M404" i="5"/>
  <c r="N404" i="5" s="1"/>
  <c r="M37" i="5"/>
  <c r="N37" i="5" s="1"/>
  <c r="AG310" i="8"/>
  <c r="AH310" i="8" s="1"/>
  <c r="M419" i="5"/>
  <c r="N419" i="5" s="1"/>
  <c r="M381" i="5"/>
  <c r="N381" i="5" s="1"/>
  <c r="M341" i="5"/>
  <c r="N341" i="5" s="1"/>
  <c r="M315" i="5"/>
  <c r="N315" i="5" s="1"/>
  <c r="M291" i="5"/>
  <c r="N291" i="5" s="1"/>
  <c r="M235" i="5"/>
  <c r="N235" i="5" s="1"/>
  <c r="M211" i="5"/>
  <c r="N211" i="5" s="1"/>
  <c r="M155" i="5"/>
  <c r="N155" i="5" s="1"/>
  <c r="M131" i="5"/>
  <c r="N131" i="5" s="1"/>
  <c r="M75" i="5"/>
  <c r="N75" i="5" s="1"/>
  <c r="AG615" i="8"/>
  <c r="AH615" i="8" s="1"/>
  <c r="AG282" i="8"/>
  <c r="AH282" i="8" s="1"/>
  <c r="AG367" i="8"/>
  <c r="AH367" i="8" s="1"/>
  <c r="AG399" i="8"/>
  <c r="AH399" i="8" s="1"/>
  <c r="AG431" i="8"/>
  <c r="AH431" i="8" s="1"/>
  <c r="M428" i="5"/>
  <c r="N428" i="5" s="1"/>
  <c r="M261" i="5"/>
  <c r="N261" i="5" s="1"/>
  <c r="M301" i="5"/>
  <c r="N301" i="5" s="1"/>
  <c r="M397" i="5"/>
  <c r="N397" i="5" s="1"/>
  <c r="M357" i="5"/>
  <c r="N357" i="5" s="1"/>
  <c r="AG583" i="8"/>
  <c r="AH583" i="8" s="1"/>
  <c r="M269" i="5"/>
  <c r="N269" i="5" s="1"/>
  <c r="M309" i="5"/>
  <c r="N309" i="5" s="1"/>
  <c r="AG326" i="8"/>
  <c r="AH326" i="8" s="1"/>
  <c r="AG383" i="8"/>
  <c r="AH383" i="8" s="1"/>
  <c r="AG415" i="8"/>
  <c r="AH415" i="8" s="1"/>
  <c r="AG44" i="8"/>
  <c r="AH44" i="8" s="1"/>
  <c r="AG68" i="8"/>
  <c r="AH68" i="8" s="1"/>
  <c r="AG76" i="8"/>
  <c r="AH76" i="8" s="1"/>
  <c r="AG84" i="8"/>
  <c r="AH84" i="8" s="1"/>
  <c r="AG92" i="8"/>
  <c r="AH92" i="8" s="1"/>
  <c r="AG252" i="8"/>
  <c r="AH252" i="8" s="1"/>
  <c r="AG292" i="8"/>
  <c r="AH292" i="8" s="1"/>
  <c r="AG356" i="8"/>
  <c r="AH356" i="8" s="1"/>
  <c r="AG173" i="8"/>
  <c r="AH173" i="8" s="1"/>
  <c r="AG205" i="8"/>
  <c r="AH205" i="8" s="1"/>
  <c r="AG277" i="8"/>
  <c r="AH277" i="8" s="1"/>
  <c r="AG285" i="8"/>
  <c r="AH285" i="8" s="1"/>
  <c r="AG301" i="8"/>
  <c r="AH301" i="8" s="1"/>
  <c r="AG309" i="8"/>
  <c r="AH309" i="8" s="1"/>
  <c r="AG317" i="8"/>
  <c r="AH317" i="8" s="1"/>
  <c r="AG325" i="8"/>
  <c r="AH325" i="8" s="1"/>
  <c r="AG333" i="8"/>
  <c r="AH333" i="8" s="1"/>
  <c r="AG341" i="8"/>
  <c r="AH341" i="8" s="1"/>
  <c r="AG349" i="8"/>
  <c r="AH349" i="8" s="1"/>
  <c r="AG47" i="8"/>
  <c r="AH47" i="8" s="1"/>
  <c r="AG167" i="8"/>
  <c r="AH167" i="8" s="1"/>
  <c r="AG183" i="8"/>
  <c r="AH183" i="8" s="1"/>
  <c r="AG191" i="8"/>
  <c r="AH191" i="8" s="1"/>
  <c r="AG215" i="8"/>
  <c r="AH215" i="8" s="1"/>
  <c r="AG16" i="8"/>
  <c r="AH16" i="8" s="1"/>
  <c r="AG32" i="8"/>
  <c r="AH32" i="8" s="1"/>
  <c r="AG120" i="8"/>
  <c r="AH120" i="8" s="1"/>
  <c r="AG128" i="8"/>
  <c r="AH128" i="8" s="1"/>
  <c r="AG136" i="8"/>
  <c r="AH136" i="8" s="1"/>
  <c r="AG144" i="8"/>
  <c r="AH144" i="8" s="1"/>
  <c r="AG200" i="8"/>
  <c r="AH200" i="8" s="1"/>
  <c r="AG392" i="8"/>
  <c r="AH392" i="8" s="1"/>
  <c r="AG416" i="8"/>
  <c r="AH416" i="8" s="1"/>
  <c r="AG385" i="8"/>
  <c r="AH385" i="8" s="1"/>
  <c r="AG465" i="8"/>
  <c r="AH465" i="8" s="1"/>
  <c r="AG521" i="8"/>
  <c r="AH521" i="8" s="1"/>
  <c r="AG529" i="8"/>
  <c r="AH529" i="8" s="1"/>
  <c r="AG593" i="8"/>
  <c r="AH593" i="8" s="1"/>
  <c r="AG625" i="8"/>
  <c r="AH625" i="8" s="1"/>
  <c r="AG19" i="8"/>
  <c r="AH19" i="8" s="1"/>
  <c r="AG59" i="8"/>
  <c r="AH59" i="8" s="1"/>
  <c r="AG363" i="8"/>
  <c r="AH363" i="8" s="1"/>
  <c r="AG371" i="8"/>
  <c r="AH371" i="8" s="1"/>
  <c r="AG379" i="8"/>
  <c r="AH379" i="8" s="1"/>
  <c r="AG403" i="8"/>
  <c r="AH403" i="8" s="1"/>
  <c r="AG435" i="8"/>
  <c r="AH435" i="8" s="1"/>
  <c r="AG563" i="8"/>
  <c r="AH563" i="8" s="1"/>
  <c r="AG579" i="8"/>
  <c r="AH579" i="8" s="1"/>
  <c r="AG603" i="8"/>
  <c r="AH603" i="8" s="1"/>
  <c r="AG643" i="8"/>
  <c r="AH643" i="8" s="1"/>
  <c r="AG98" i="8"/>
  <c r="AH98" i="8" s="1"/>
  <c r="AG158" i="8"/>
  <c r="AH158" i="8" s="1"/>
  <c r="AG222" i="8"/>
  <c r="AH222" i="8" s="1"/>
  <c r="AG474" i="8"/>
  <c r="AH474" i="8" s="1"/>
  <c r="AG552" i="8"/>
  <c r="AH552" i="8" s="1"/>
  <c r="AG658" i="8"/>
  <c r="AH658" i="8" s="1"/>
  <c r="AG246" i="8"/>
  <c r="AH246" i="8" s="1"/>
  <c r="AG450" i="8"/>
  <c r="AH450" i="8" s="1"/>
  <c r="AG586" i="8"/>
  <c r="AH586" i="8" s="1"/>
  <c r="AG618" i="8"/>
  <c r="AH618" i="8" s="1"/>
  <c r="AG270" i="8"/>
  <c r="AH270" i="8" s="1"/>
  <c r="AG490" i="8"/>
  <c r="AH490" i="8" s="1"/>
  <c r="AG650" i="8"/>
  <c r="AH650" i="8" s="1"/>
  <c r="AG670" i="8"/>
  <c r="AH670" i="8" s="1"/>
  <c r="AG262" i="8"/>
  <c r="AH262" i="8" s="1"/>
  <c r="AG230" i="8"/>
  <c r="AH230" i="8" s="1"/>
  <c r="AG514" i="8"/>
  <c r="AH514" i="8" s="1"/>
  <c r="AG546" i="8"/>
  <c r="AH546" i="8" s="1"/>
  <c r="AG610" i="8"/>
  <c r="AH610" i="8" s="1"/>
  <c r="AG110" i="8"/>
  <c r="AH110" i="8" s="1"/>
  <c r="AG410" i="8"/>
  <c r="AH410" i="8" s="1"/>
  <c r="AG426" i="8"/>
  <c r="AH426" i="8" s="1"/>
  <c r="AG442" i="8"/>
  <c r="AH442" i="8" s="1"/>
  <c r="AG504" i="8"/>
  <c r="AH504" i="8" s="1"/>
  <c r="AG632" i="8"/>
  <c r="AH632" i="8" s="1"/>
  <c r="AG482" i="8"/>
  <c r="AH482" i="8" s="1"/>
  <c r="AG538" i="8"/>
  <c r="AH538" i="8" s="1"/>
  <c r="AG570" i="8"/>
  <c r="AH570" i="8" s="1"/>
  <c r="AG150" i="8"/>
  <c r="AH150" i="8" s="1"/>
  <c r="AG238" i="8"/>
  <c r="AH238" i="8" s="1"/>
  <c r="AG458" i="8"/>
  <c r="AH458" i="8" s="1"/>
  <c r="AG605" i="8"/>
  <c r="AH605" i="8" s="1"/>
  <c r="AG498" i="8"/>
  <c r="AH498" i="8" s="1"/>
  <c r="AG509" i="8"/>
  <c r="AH509" i="8" s="1"/>
  <c r="M277" i="5"/>
  <c r="N277" i="5" s="1"/>
  <c r="M317" i="5"/>
  <c r="N317" i="5" s="1"/>
  <c r="M379" i="5"/>
  <c r="N379" i="5" s="1"/>
  <c r="M339" i="5"/>
  <c r="N339" i="5" s="1"/>
  <c r="M179" i="5"/>
  <c r="N179" i="5" s="1"/>
  <c r="M99" i="5"/>
  <c r="N99" i="5" s="1"/>
  <c r="M413" i="5"/>
  <c r="N413" i="5" s="1"/>
  <c r="M395" i="5"/>
  <c r="N395" i="5" s="1"/>
  <c r="M355" i="5"/>
  <c r="N355" i="5" s="1"/>
  <c r="M307" i="5"/>
  <c r="N307" i="5" s="1"/>
  <c r="M227" i="5"/>
  <c r="N227" i="5" s="1"/>
  <c r="M147" i="5"/>
  <c r="N147" i="5" s="1"/>
  <c r="M67" i="5"/>
  <c r="N67" i="5" s="1"/>
  <c r="AG666" i="8"/>
  <c r="AH666" i="8" s="1"/>
  <c r="AG636" i="8"/>
  <c r="AH636" i="8" s="1"/>
  <c r="AG562" i="8"/>
  <c r="AH562" i="8" s="1"/>
  <c r="AG530" i="8"/>
  <c r="AH530" i="8" s="1"/>
  <c r="AG446" i="8"/>
  <c r="AH446" i="8" s="1"/>
  <c r="M107" i="5"/>
  <c r="N107" i="5" s="1"/>
  <c r="AG471" i="8"/>
  <c r="AH471" i="8" s="1"/>
  <c r="AG346" i="8"/>
  <c r="AH346" i="8" s="1"/>
  <c r="M66" i="5"/>
  <c r="N66" i="5" s="1"/>
  <c r="AG250" i="8"/>
  <c r="AH250" i="8" s="1"/>
  <c r="M411" i="5"/>
  <c r="N411" i="5" s="1"/>
  <c r="M389" i="5"/>
  <c r="N389" i="5" s="1"/>
  <c r="M371" i="5"/>
  <c r="N371" i="5" s="1"/>
  <c r="M349" i="5"/>
  <c r="N349" i="5" s="1"/>
  <c r="M331" i="5"/>
  <c r="N331" i="5" s="1"/>
  <c r="M275" i="5"/>
  <c r="N275" i="5" s="1"/>
  <c r="M251" i="5"/>
  <c r="N251" i="5" s="1"/>
  <c r="M195" i="5"/>
  <c r="N195" i="5" s="1"/>
  <c r="M171" i="5"/>
  <c r="N171" i="5" s="1"/>
  <c r="M115" i="5"/>
  <c r="N115" i="5" s="1"/>
  <c r="M91" i="5"/>
  <c r="N91" i="5" s="1"/>
  <c r="M35" i="5"/>
  <c r="N35" i="5" s="1"/>
  <c r="M429" i="5"/>
  <c r="N429" i="5" s="1"/>
  <c r="M427" i="5"/>
  <c r="N427" i="5" s="1"/>
  <c r="M149" i="5"/>
  <c r="N149" i="5" s="1"/>
  <c r="AG82" i="8"/>
  <c r="AH82" i="8" s="1"/>
  <c r="M299" i="5"/>
  <c r="N299" i="5" s="1"/>
  <c r="M219" i="5"/>
  <c r="N219" i="5" s="1"/>
  <c r="M139" i="5"/>
  <c r="N139" i="5" s="1"/>
  <c r="M59" i="5"/>
  <c r="N59" i="5" s="1"/>
  <c r="AG594" i="8"/>
  <c r="AH594" i="8" s="1"/>
  <c r="AG551" i="8"/>
  <c r="AH551" i="8" s="1"/>
  <c r="AG519" i="8"/>
  <c r="AH519" i="8" s="1"/>
  <c r="M24" i="5"/>
  <c r="N24" i="5" s="1"/>
  <c r="AG60" i="8"/>
  <c r="AH60" i="8" s="1"/>
  <c r="AG324" i="8"/>
  <c r="AH324" i="8" s="1"/>
  <c r="AG412" i="8"/>
  <c r="AH412" i="8" s="1"/>
  <c r="AG428" i="8"/>
  <c r="AH428" i="8" s="1"/>
  <c r="AG37" i="8"/>
  <c r="AH37" i="8" s="1"/>
  <c r="AG77" i="8"/>
  <c r="AH77" i="8" s="1"/>
  <c r="AG125" i="8"/>
  <c r="AH125" i="8" s="1"/>
  <c r="AG237" i="8"/>
  <c r="AH237" i="8" s="1"/>
  <c r="AG365" i="8"/>
  <c r="AH365" i="8" s="1"/>
  <c r="AG22" i="8"/>
  <c r="AH22" i="8" s="1"/>
  <c r="AG7" i="8"/>
  <c r="AH7" i="8" s="1"/>
  <c r="AG15" i="8"/>
  <c r="AH15" i="8" s="1"/>
  <c r="AG135" i="8"/>
  <c r="AH135" i="8" s="1"/>
  <c r="AG159" i="8"/>
  <c r="AH159" i="8" s="1"/>
  <c r="AG223" i="8"/>
  <c r="AH223" i="8" s="1"/>
  <c r="AG247" i="8"/>
  <c r="AH247" i="8" s="1"/>
  <c r="AG279" i="8"/>
  <c r="AH279" i="8" s="1"/>
  <c r="AG152" i="8"/>
  <c r="AH152" i="8" s="1"/>
  <c r="AG208" i="8"/>
  <c r="AH208" i="8" s="1"/>
  <c r="AG296" i="8"/>
  <c r="AH296" i="8" s="1"/>
  <c r="AG352" i="8"/>
  <c r="AH352" i="8" s="1"/>
  <c r="AG400" i="8"/>
  <c r="AH400" i="8" s="1"/>
  <c r="AG472" i="8"/>
  <c r="AH472" i="8" s="1"/>
  <c r="AG81" i="8"/>
  <c r="AH81" i="8" s="1"/>
  <c r="AG97" i="8"/>
  <c r="AH97" i="8" s="1"/>
  <c r="AG113" i="8"/>
  <c r="AH113" i="8" s="1"/>
  <c r="AG169" i="8"/>
  <c r="AH169" i="8" s="1"/>
  <c r="AG177" i="8"/>
  <c r="AH177" i="8" s="1"/>
  <c r="AG193" i="8"/>
  <c r="AH193" i="8" s="1"/>
  <c r="AG217" i="8"/>
  <c r="AH217" i="8" s="1"/>
  <c r="AG281" i="8"/>
  <c r="AH281" i="8" s="1"/>
  <c r="AG305" i="8"/>
  <c r="AH305" i="8" s="1"/>
  <c r="AG345" i="8"/>
  <c r="AH345" i="8" s="1"/>
  <c r="AG561" i="8"/>
  <c r="AH561" i="8" s="1"/>
  <c r="AG577" i="8"/>
  <c r="AH577" i="8" s="1"/>
  <c r="AG67" i="8"/>
  <c r="AH67" i="8" s="1"/>
  <c r="AG139" i="8"/>
  <c r="AH139" i="8" s="1"/>
  <c r="AG179" i="8"/>
  <c r="AH179" i="8" s="1"/>
  <c r="AG195" i="8"/>
  <c r="AH195" i="8" s="1"/>
  <c r="AG227" i="8"/>
  <c r="AH227" i="8" s="1"/>
  <c r="AG259" i="8"/>
  <c r="AH259" i="8" s="1"/>
  <c r="AG267" i="8"/>
  <c r="AH267" i="8" s="1"/>
  <c r="AG467" i="8"/>
  <c r="AH467" i="8" s="1"/>
  <c r="AG507" i="8"/>
  <c r="AH507" i="8" s="1"/>
  <c r="AG523" i="8"/>
  <c r="AH523" i="8" s="1"/>
  <c r="AG531" i="8"/>
  <c r="AH531" i="8" s="1"/>
  <c r="AG595" i="8"/>
  <c r="AH595" i="8" s="1"/>
  <c r="AG627" i="8"/>
  <c r="AH627" i="8" s="1"/>
  <c r="M434" i="5"/>
  <c r="N434" i="5" s="1"/>
  <c r="M426" i="5"/>
  <c r="N426" i="5" s="1"/>
  <c r="M402" i="5"/>
  <c r="N402" i="5" s="1"/>
  <c r="M394" i="5"/>
  <c r="N394" i="5" s="1"/>
  <c r="M386" i="5"/>
  <c r="N386" i="5" s="1"/>
  <c r="M362" i="5"/>
  <c r="N362" i="5" s="1"/>
  <c r="M354" i="5"/>
  <c r="N354" i="5" s="1"/>
  <c r="M346" i="5"/>
  <c r="N346" i="5" s="1"/>
  <c r="M322" i="5"/>
  <c r="N322" i="5" s="1"/>
  <c r="M314" i="5"/>
  <c r="N314" i="5" s="1"/>
  <c r="M306" i="5"/>
  <c r="N306" i="5" s="1"/>
  <c r="M282" i="5"/>
  <c r="N282" i="5" s="1"/>
  <c r="M274" i="5"/>
  <c r="N274" i="5" s="1"/>
  <c r="M266" i="5"/>
  <c r="N266" i="5" s="1"/>
  <c r="M242" i="5"/>
  <c r="N242" i="5" s="1"/>
  <c r="M234" i="5"/>
  <c r="N234" i="5" s="1"/>
  <c r="M226" i="5"/>
  <c r="N226" i="5" s="1"/>
  <c r="M202" i="5"/>
  <c r="N202" i="5" s="1"/>
  <c r="M194" i="5"/>
  <c r="N194" i="5" s="1"/>
  <c r="M186" i="5"/>
  <c r="N186" i="5" s="1"/>
  <c r="M162" i="5"/>
  <c r="N162" i="5" s="1"/>
  <c r="M154" i="5"/>
  <c r="N154" i="5" s="1"/>
  <c r="M146" i="5"/>
  <c r="N146" i="5" s="1"/>
  <c r="M122" i="5"/>
  <c r="N122" i="5" s="1"/>
  <c r="M114" i="5"/>
  <c r="N114" i="5" s="1"/>
  <c r="M106" i="5"/>
  <c r="N106" i="5" s="1"/>
  <c r="M82" i="5"/>
  <c r="N82" i="5" s="1"/>
  <c r="M74" i="5"/>
  <c r="N74" i="5" s="1"/>
  <c r="M42" i="5"/>
  <c r="N42" i="5" s="1"/>
  <c r="M34" i="5"/>
  <c r="N34" i="5" s="1"/>
  <c r="M7" i="5"/>
  <c r="N7" i="5" s="1"/>
  <c r="AG655" i="8"/>
  <c r="AH655" i="8" s="1"/>
  <c r="AG645" i="8"/>
  <c r="AH645" i="8" s="1"/>
  <c r="AG614" i="8"/>
  <c r="AH614" i="8" s="1"/>
  <c r="AG582" i="8"/>
  <c r="AH582" i="8" s="1"/>
  <c r="AG572" i="8"/>
  <c r="AH572" i="8" s="1"/>
  <c r="AG560" i="8"/>
  <c r="AH560" i="8" s="1"/>
  <c r="AG518" i="8"/>
  <c r="AH518" i="8" s="1"/>
  <c r="AG495" i="8"/>
  <c r="AH495" i="8" s="1"/>
  <c r="AG470" i="8"/>
  <c r="AH470" i="8" s="1"/>
  <c r="AG445" i="8"/>
  <c r="AH445" i="8" s="1"/>
  <c r="AG430" i="8"/>
  <c r="AH430" i="8" s="1"/>
  <c r="AG414" i="8"/>
  <c r="AH414" i="8" s="1"/>
  <c r="AG398" i="8"/>
  <c r="AH398" i="8" s="1"/>
  <c r="AG382" i="8"/>
  <c r="AH382" i="8" s="1"/>
  <c r="AG322" i="8"/>
  <c r="AH322" i="8" s="1"/>
  <c r="AG302" i="8"/>
  <c r="AH302" i="8" s="1"/>
  <c r="AG118" i="8"/>
  <c r="AH118" i="8" s="1"/>
  <c r="AG90" i="8"/>
  <c r="AH90" i="8" s="1"/>
  <c r="AG58" i="8"/>
  <c r="AH58" i="8" s="1"/>
  <c r="M436" i="5"/>
  <c r="N436" i="5" s="1"/>
  <c r="M16" i="5"/>
  <c r="N16" i="5" s="1"/>
  <c r="M433" i="5"/>
  <c r="N433" i="5" s="1"/>
  <c r="M417" i="5"/>
  <c r="N417" i="5" s="1"/>
  <c r="M409" i="5"/>
  <c r="N409" i="5" s="1"/>
  <c r="M401" i="5"/>
  <c r="N401" i="5" s="1"/>
  <c r="M377" i="5"/>
  <c r="N377" i="5" s="1"/>
  <c r="M369" i="5"/>
  <c r="N369" i="5" s="1"/>
  <c r="M361" i="5"/>
  <c r="N361" i="5" s="1"/>
  <c r="M337" i="5"/>
  <c r="N337" i="5" s="1"/>
  <c r="M329" i="5"/>
  <c r="N329" i="5" s="1"/>
  <c r="M321" i="5"/>
  <c r="N321" i="5" s="1"/>
  <c r="M297" i="5"/>
  <c r="N297" i="5" s="1"/>
  <c r="M289" i="5"/>
  <c r="N289" i="5" s="1"/>
  <c r="M281" i="5"/>
  <c r="N281" i="5" s="1"/>
  <c r="M257" i="5"/>
  <c r="N257" i="5" s="1"/>
  <c r="M249" i="5"/>
  <c r="N249" i="5" s="1"/>
  <c r="M241" i="5"/>
  <c r="N241" i="5" s="1"/>
  <c r="M217" i="5"/>
  <c r="N217" i="5" s="1"/>
  <c r="M209" i="5"/>
  <c r="N209" i="5" s="1"/>
  <c r="M201" i="5"/>
  <c r="N201" i="5" s="1"/>
  <c r="M177" i="5"/>
  <c r="N177" i="5" s="1"/>
  <c r="M169" i="5"/>
  <c r="N169" i="5" s="1"/>
  <c r="M161" i="5"/>
  <c r="N161" i="5" s="1"/>
  <c r="M137" i="5"/>
  <c r="N137" i="5" s="1"/>
  <c r="M129" i="5"/>
  <c r="N129" i="5" s="1"/>
  <c r="M121" i="5"/>
  <c r="N121" i="5" s="1"/>
  <c r="M97" i="5"/>
  <c r="N97" i="5" s="1"/>
  <c r="M89" i="5"/>
  <c r="N89" i="5" s="1"/>
  <c r="M81" i="5"/>
  <c r="N81" i="5" s="1"/>
  <c r="M57" i="5"/>
  <c r="N57" i="5" s="1"/>
  <c r="M49" i="5"/>
  <c r="N49" i="5" s="1"/>
  <c r="M41" i="5"/>
  <c r="N41" i="5" s="1"/>
  <c r="M14" i="5"/>
  <c r="N14" i="5" s="1"/>
  <c r="M6" i="5"/>
  <c r="N6" i="5" s="1"/>
  <c r="AG654" i="8"/>
  <c r="AH654" i="8" s="1"/>
  <c r="AG644" i="8"/>
  <c r="AH644" i="8" s="1"/>
  <c r="AG634" i="8"/>
  <c r="AH634" i="8" s="1"/>
  <c r="AG613" i="8"/>
  <c r="AH613" i="8" s="1"/>
  <c r="AG591" i="8"/>
  <c r="AH591" i="8" s="1"/>
  <c r="AG559" i="8"/>
  <c r="AH559" i="8" s="1"/>
  <c r="AG549" i="8"/>
  <c r="AH549" i="8" s="1"/>
  <c r="AG517" i="8"/>
  <c r="AH517" i="8" s="1"/>
  <c r="AG506" i="8"/>
  <c r="AH506" i="8" s="1"/>
  <c r="AG494" i="8"/>
  <c r="AH494" i="8" s="1"/>
  <c r="AG469" i="8"/>
  <c r="AH469" i="8" s="1"/>
  <c r="AG455" i="8"/>
  <c r="AH455" i="8" s="1"/>
  <c r="AG342" i="8"/>
  <c r="AH342" i="8" s="1"/>
  <c r="AG298" i="8"/>
  <c r="AH298" i="8" s="1"/>
  <c r="AG278" i="8"/>
  <c r="AH278" i="8" s="1"/>
  <c r="AG234" i="8"/>
  <c r="AH234" i="8" s="1"/>
  <c r="AG26" i="8"/>
  <c r="AH26" i="8" s="1"/>
  <c r="M392" i="5"/>
  <c r="N392" i="5" s="1"/>
  <c r="M384" i="5"/>
  <c r="N384" i="5" s="1"/>
  <c r="M376" i="5"/>
  <c r="N376" i="5" s="1"/>
  <c r="M352" i="5"/>
  <c r="N352" i="5" s="1"/>
  <c r="M344" i="5"/>
  <c r="N344" i="5" s="1"/>
  <c r="M336" i="5"/>
  <c r="N336" i="5" s="1"/>
  <c r="M312" i="5"/>
  <c r="N312" i="5" s="1"/>
  <c r="M304" i="5"/>
  <c r="N304" i="5" s="1"/>
  <c r="M296" i="5"/>
  <c r="N296" i="5" s="1"/>
  <c r="M272" i="5"/>
  <c r="N272" i="5" s="1"/>
  <c r="M264" i="5"/>
  <c r="N264" i="5" s="1"/>
  <c r="M256" i="5"/>
  <c r="N256" i="5" s="1"/>
  <c r="M232" i="5"/>
  <c r="N232" i="5" s="1"/>
  <c r="M224" i="5"/>
  <c r="N224" i="5" s="1"/>
  <c r="M216" i="5"/>
  <c r="N216" i="5" s="1"/>
  <c r="M192" i="5"/>
  <c r="N192" i="5" s="1"/>
  <c r="M184" i="5"/>
  <c r="N184" i="5" s="1"/>
  <c r="M176" i="5"/>
  <c r="N176" i="5" s="1"/>
  <c r="M152" i="5"/>
  <c r="N152" i="5" s="1"/>
  <c r="M144" i="5"/>
  <c r="N144" i="5" s="1"/>
  <c r="M136" i="5"/>
  <c r="N136" i="5" s="1"/>
  <c r="M112" i="5"/>
  <c r="N112" i="5" s="1"/>
  <c r="M104" i="5"/>
  <c r="N104" i="5" s="1"/>
  <c r="M96" i="5"/>
  <c r="N96" i="5" s="1"/>
  <c r="M72" i="5"/>
  <c r="N72" i="5" s="1"/>
  <c r="M64" i="5"/>
  <c r="N64" i="5" s="1"/>
  <c r="M56" i="5"/>
  <c r="N56" i="5" s="1"/>
  <c r="M31" i="5"/>
  <c r="N31" i="5" s="1"/>
  <c r="M22" i="5"/>
  <c r="N22" i="5" s="1"/>
  <c r="AG672" i="8"/>
  <c r="AH672" i="8" s="1"/>
  <c r="AG622" i="8"/>
  <c r="AH622" i="8" s="1"/>
  <c r="AG600" i="8"/>
  <c r="AH600" i="8" s="1"/>
  <c r="AG590" i="8"/>
  <c r="AH590" i="8" s="1"/>
  <c r="AG580" i="8"/>
  <c r="AH580" i="8" s="1"/>
  <c r="AG526" i="8"/>
  <c r="AH526" i="8" s="1"/>
  <c r="AG493" i="8"/>
  <c r="AH493" i="8" s="1"/>
  <c r="AG454" i="8"/>
  <c r="AH454" i="8" s="1"/>
  <c r="AG394" i="8"/>
  <c r="AH394" i="8" s="1"/>
  <c r="AG378" i="8"/>
  <c r="AH378" i="8" s="1"/>
  <c r="AG359" i="8"/>
  <c r="AH359" i="8" s="1"/>
  <c r="AG338" i="8"/>
  <c r="AH338" i="8" s="1"/>
  <c r="AG318" i="8"/>
  <c r="AH318" i="8" s="1"/>
  <c r="AG254" i="8"/>
  <c r="AH254" i="8" s="1"/>
  <c r="AG206" i="8"/>
  <c r="AH206" i="8" s="1"/>
  <c r="AG50" i="8"/>
  <c r="AH50" i="8" s="1"/>
  <c r="AG52" i="8"/>
  <c r="AH52" i="8" s="1"/>
  <c r="AG108" i="8"/>
  <c r="AH108" i="8" s="1"/>
  <c r="AG140" i="8"/>
  <c r="AH140" i="8" s="1"/>
  <c r="AG172" i="8"/>
  <c r="AH172" i="8" s="1"/>
  <c r="AG204" i="8"/>
  <c r="AH204" i="8" s="1"/>
  <c r="AG212" i="8"/>
  <c r="AH212" i="8" s="1"/>
  <c r="AG220" i="8"/>
  <c r="AH220" i="8" s="1"/>
  <c r="AG260" i="8"/>
  <c r="AH260" i="8" s="1"/>
  <c r="AG268" i="8"/>
  <c r="AH268" i="8" s="1"/>
  <c r="AG276" i="8"/>
  <c r="AH276" i="8" s="1"/>
  <c r="AG284" i="8"/>
  <c r="AH284" i="8" s="1"/>
  <c r="AG117" i="8"/>
  <c r="AH117" i="8" s="1"/>
  <c r="AG181" i="8"/>
  <c r="AH181" i="8" s="1"/>
  <c r="AG197" i="8"/>
  <c r="AH197" i="8" s="1"/>
  <c r="AG253" i="8"/>
  <c r="AH253" i="8" s="1"/>
  <c r="AG14" i="8"/>
  <c r="AH14" i="8" s="1"/>
  <c r="AG23" i="8"/>
  <c r="AH23" i="8" s="1"/>
  <c r="AG8" i="8"/>
  <c r="AH8" i="8" s="1"/>
  <c r="AG40" i="8"/>
  <c r="AH40" i="8" s="1"/>
  <c r="AG72" i="8"/>
  <c r="AH72" i="8" s="1"/>
  <c r="AG104" i="8"/>
  <c r="AH104" i="8" s="1"/>
  <c r="AG160" i="8"/>
  <c r="AH160" i="8" s="1"/>
  <c r="AG368" i="8"/>
  <c r="AH368" i="8" s="1"/>
  <c r="AG376" i="8"/>
  <c r="AH376" i="8" s="1"/>
  <c r="AG384" i="8"/>
  <c r="AH384" i="8" s="1"/>
  <c r="AG432" i="8"/>
  <c r="AH432" i="8" s="1"/>
  <c r="AG448" i="8"/>
  <c r="AH448" i="8" s="1"/>
  <c r="AG456" i="8"/>
  <c r="AH456" i="8" s="1"/>
  <c r="AG480" i="8"/>
  <c r="AH480" i="8" s="1"/>
  <c r="AG488" i="8"/>
  <c r="AH488" i="8" s="1"/>
  <c r="AG65" i="8"/>
  <c r="AH65" i="8" s="1"/>
  <c r="AG89" i="8"/>
  <c r="AH89" i="8" s="1"/>
  <c r="AG153" i="8"/>
  <c r="AH153" i="8" s="1"/>
  <c r="AG233" i="8"/>
  <c r="AH233" i="8" s="1"/>
  <c r="AG289" i="8"/>
  <c r="AH289" i="8" s="1"/>
  <c r="AG329" i="8"/>
  <c r="AH329" i="8" s="1"/>
  <c r="AG417" i="8"/>
  <c r="AH417" i="8" s="1"/>
  <c r="AG617" i="8"/>
  <c r="AH617" i="8" s="1"/>
  <c r="AG35" i="8"/>
  <c r="AH35" i="8" s="1"/>
  <c r="AG99" i="8"/>
  <c r="AH99" i="8" s="1"/>
  <c r="AG307" i="8"/>
  <c r="AH307" i="8" s="1"/>
  <c r="AG315" i="8"/>
  <c r="AH315" i="8" s="1"/>
  <c r="AG339" i="8"/>
  <c r="AH339" i="8" s="1"/>
  <c r="AG667" i="8"/>
  <c r="AH667" i="8" s="1"/>
  <c r="M431" i="5"/>
  <c r="N431" i="5" s="1"/>
  <c r="M423" i="5"/>
  <c r="N423" i="5" s="1"/>
  <c r="M415" i="5"/>
  <c r="N415" i="5" s="1"/>
  <c r="M407" i="5"/>
  <c r="N407" i="5" s="1"/>
  <c r="M391" i="5"/>
  <c r="N391" i="5" s="1"/>
  <c r="M367" i="5"/>
  <c r="N367" i="5" s="1"/>
  <c r="M359" i="5"/>
  <c r="N359" i="5" s="1"/>
  <c r="M351" i="5"/>
  <c r="N351" i="5" s="1"/>
  <c r="M327" i="5"/>
  <c r="N327" i="5" s="1"/>
  <c r="M319" i="5"/>
  <c r="N319" i="5" s="1"/>
  <c r="M311" i="5"/>
  <c r="N311" i="5" s="1"/>
  <c r="M287" i="5"/>
  <c r="N287" i="5" s="1"/>
  <c r="M279" i="5"/>
  <c r="N279" i="5" s="1"/>
  <c r="M271" i="5"/>
  <c r="N271" i="5" s="1"/>
  <c r="M247" i="5"/>
  <c r="N247" i="5" s="1"/>
  <c r="M239" i="5"/>
  <c r="N239" i="5" s="1"/>
  <c r="M231" i="5"/>
  <c r="N231" i="5" s="1"/>
  <c r="M207" i="5"/>
  <c r="N207" i="5" s="1"/>
  <c r="M199" i="5"/>
  <c r="N199" i="5" s="1"/>
  <c r="M191" i="5"/>
  <c r="N191" i="5" s="1"/>
  <c r="M167" i="5"/>
  <c r="N167" i="5" s="1"/>
  <c r="M159" i="5"/>
  <c r="N159" i="5" s="1"/>
  <c r="M151" i="5"/>
  <c r="N151" i="5" s="1"/>
  <c r="M127" i="5"/>
  <c r="N127" i="5" s="1"/>
  <c r="M119" i="5"/>
  <c r="N119" i="5" s="1"/>
  <c r="M111" i="5"/>
  <c r="N111" i="5" s="1"/>
  <c r="M87" i="5"/>
  <c r="N87" i="5" s="1"/>
  <c r="M79" i="5"/>
  <c r="N79" i="5" s="1"/>
  <c r="M71" i="5"/>
  <c r="N71" i="5" s="1"/>
  <c r="M47" i="5"/>
  <c r="N47" i="5" s="1"/>
  <c r="M39" i="5"/>
  <c r="N39" i="5" s="1"/>
  <c r="M21" i="5"/>
  <c r="N21" i="5" s="1"/>
  <c r="M12" i="5"/>
  <c r="N12" i="5" s="1"/>
  <c r="M4" i="5"/>
  <c r="N4" i="5" s="1"/>
  <c r="AG671" i="8"/>
  <c r="AH671" i="8" s="1"/>
  <c r="AG652" i="8"/>
  <c r="AH652" i="8" s="1"/>
  <c r="AG640" i="8"/>
  <c r="AH640" i="8" s="1"/>
  <c r="AG621" i="8"/>
  <c r="AH621" i="8" s="1"/>
  <c r="AG599" i="8"/>
  <c r="AH599" i="8" s="1"/>
  <c r="AG567" i="8"/>
  <c r="AH567" i="8" s="1"/>
  <c r="AG535" i="8"/>
  <c r="AH535" i="8" s="1"/>
  <c r="AG525" i="8"/>
  <c r="AH525" i="8" s="1"/>
  <c r="AG478" i="8"/>
  <c r="AH478" i="8" s="1"/>
  <c r="AG466" i="8"/>
  <c r="AH466" i="8" s="1"/>
  <c r="AG439" i="8"/>
  <c r="AH439" i="8" s="1"/>
  <c r="AG423" i="8"/>
  <c r="AH423" i="8" s="1"/>
  <c r="AG407" i="8"/>
  <c r="AH407" i="8" s="1"/>
  <c r="AG391" i="8"/>
  <c r="AH391" i="8" s="1"/>
  <c r="AG314" i="8"/>
  <c r="AH314" i="8" s="1"/>
  <c r="AG294" i="8"/>
  <c r="AH294" i="8" s="1"/>
  <c r="AG18" i="8"/>
  <c r="AH18" i="8" s="1"/>
  <c r="AG4" i="8"/>
  <c r="AH4" i="8" s="1"/>
  <c r="AG28" i="8"/>
  <c r="AH28" i="8" s="1"/>
  <c r="AG132" i="8"/>
  <c r="AH132" i="8" s="1"/>
  <c r="AG164" i="8"/>
  <c r="AH164" i="8" s="1"/>
  <c r="AG180" i="8"/>
  <c r="AH180" i="8" s="1"/>
  <c r="AG188" i="8"/>
  <c r="AH188" i="8" s="1"/>
  <c r="AG196" i="8"/>
  <c r="AH196" i="8" s="1"/>
  <c r="AG228" i="8"/>
  <c r="AH228" i="8" s="1"/>
  <c r="AG21" i="8"/>
  <c r="AH21" i="8" s="1"/>
  <c r="AG53" i="8"/>
  <c r="AH53" i="8" s="1"/>
  <c r="AG141" i="8"/>
  <c r="AH141" i="8" s="1"/>
  <c r="AG39" i="8"/>
  <c r="AH39" i="8" s="1"/>
  <c r="AG55" i="8"/>
  <c r="AH55" i="8" s="1"/>
  <c r="AG63" i="8"/>
  <c r="AH63" i="8" s="1"/>
  <c r="AG71" i="8"/>
  <c r="AH71" i="8" s="1"/>
  <c r="AG79" i="8"/>
  <c r="AH79" i="8" s="1"/>
  <c r="AG87" i="8"/>
  <c r="AH87" i="8" s="1"/>
  <c r="AG96" i="8"/>
  <c r="AH96" i="8" s="1"/>
  <c r="AG288" i="8"/>
  <c r="AH288" i="8" s="1"/>
  <c r="AG304" i="8"/>
  <c r="AH304" i="8" s="1"/>
  <c r="AG312" i="8"/>
  <c r="AH312" i="8" s="1"/>
  <c r="AG320" i="8"/>
  <c r="AH320" i="8" s="1"/>
  <c r="AG328" i="8"/>
  <c r="AH328" i="8" s="1"/>
  <c r="AG336" i="8"/>
  <c r="AH336" i="8" s="1"/>
  <c r="AG344" i="8"/>
  <c r="AH344" i="8" s="1"/>
  <c r="AG360" i="8"/>
  <c r="AH360" i="8" s="1"/>
  <c r="AG424" i="8"/>
  <c r="AH424" i="8" s="1"/>
  <c r="AG440" i="8"/>
  <c r="AH440" i="8" s="1"/>
  <c r="AG241" i="8"/>
  <c r="AH241" i="8" s="1"/>
  <c r="AG257" i="8"/>
  <c r="AH257" i="8" s="1"/>
  <c r="AG265" i="8"/>
  <c r="AH265" i="8" s="1"/>
  <c r="AG273" i="8"/>
  <c r="AH273" i="8" s="1"/>
  <c r="AG297" i="8"/>
  <c r="AH297" i="8" s="1"/>
  <c r="AG353" i="8"/>
  <c r="AH353" i="8" s="1"/>
  <c r="AG393" i="8"/>
  <c r="AH393" i="8" s="1"/>
  <c r="AG553" i="8"/>
  <c r="AH553" i="8" s="1"/>
  <c r="AG11" i="8"/>
  <c r="AH11" i="8" s="1"/>
  <c r="AG107" i="8"/>
  <c r="AH107" i="8" s="1"/>
  <c r="AG115" i="8"/>
  <c r="AH115" i="8" s="1"/>
  <c r="AG123" i="8"/>
  <c r="AH123" i="8" s="1"/>
  <c r="AG147" i="8"/>
  <c r="AH147" i="8" s="1"/>
  <c r="AG155" i="8"/>
  <c r="AH155" i="8" s="1"/>
  <c r="AG171" i="8"/>
  <c r="AH171" i="8" s="1"/>
  <c r="AG211" i="8"/>
  <c r="AH211" i="8" s="1"/>
  <c r="AG219" i="8"/>
  <c r="AH219" i="8" s="1"/>
  <c r="M424" i="5"/>
  <c r="N424" i="5" s="1"/>
  <c r="M414" i="5"/>
  <c r="N414" i="5" s="1"/>
  <c r="M406" i="5"/>
  <c r="N406" i="5" s="1"/>
  <c r="M382" i="5"/>
  <c r="N382" i="5" s="1"/>
  <c r="M374" i="5"/>
  <c r="N374" i="5" s="1"/>
  <c r="M366" i="5"/>
  <c r="N366" i="5" s="1"/>
  <c r="M342" i="5"/>
  <c r="N342" i="5" s="1"/>
  <c r="M334" i="5"/>
  <c r="N334" i="5" s="1"/>
  <c r="M326" i="5"/>
  <c r="N326" i="5" s="1"/>
  <c r="M302" i="5"/>
  <c r="N302" i="5" s="1"/>
  <c r="M294" i="5"/>
  <c r="N294" i="5" s="1"/>
  <c r="M286" i="5"/>
  <c r="N286" i="5" s="1"/>
  <c r="M262" i="5"/>
  <c r="N262" i="5" s="1"/>
  <c r="M254" i="5"/>
  <c r="N254" i="5" s="1"/>
  <c r="M246" i="5"/>
  <c r="N246" i="5" s="1"/>
  <c r="M222" i="5"/>
  <c r="N222" i="5" s="1"/>
  <c r="M214" i="5"/>
  <c r="N214" i="5" s="1"/>
  <c r="M206" i="5"/>
  <c r="N206" i="5" s="1"/>
  <c r="M182" i="5"/>
  <c r="N182" i="5" s="1"/>
  <c r="M174" i="5"/>
  <c r="N174" i="5" s="1"/>
  <c r="M166" i="5"/>
  <c r="N166" i="5" s="1"/>
  <c r="M142" i="5"/>
  <c r="N142" i="5" s="1"/>
  <c r="M134" i="5"/>
  <c r="N134" i="5" s="1"/>
  <c r="M126" i="5"/>
  <c r="N126" i="5" s="1"/>
  <c r="M102" i="5"/>
  <c r="N102" i="5" s="1"/>
  <c r="M94" i="5"/>
  <c r="N94" i="5" s="1"/>
  <c r="M86" i="5"/>
  <c r="N86" i="5" s="1"/>
  <c r="M62" i="5"/>
  <c r="N62" i="5" s="1"/>
  <c r="M54" i="5"/>
  <c r="N54" i="5" s="1"/>
  <c r="M46" i="5"/>
  <c r="N46" i="5" s="1"/>
  <c r="M29" i="5"/>
  <c r="N29" i="5" s="1"/>
  <c r="M11" i="5"/>
  <c r="N11" i="5" s="1"/>
  <c r="AG639" i="8"/>
  <c r="AH639" i="8" s="1"/>
  <c r="AG630" i="8"/>
  <c r="AH630" i="8" s="1"/>
  <c r="AG608" i="8"/>
  <c r="AH608" i="8" s="1"/>
  <c r="AG598" i="8"/>
  <c r="AH598" i="8" s="1"/>
  <c r="AG588" i="8"/>
  <c r="AH588" i="8" s="1"/>
  <c r="AG566" i="8"/>
  <c r="AH566" i="8" s="1"/>
  <c r="AG534" i="8"/>
  <c r="AH534" i="8" s="1"/>
  <c r="AG512" i="8"/>
  <c r="AH512" i="8" s="1"/>
  <c r="AG502" i="8"/>
  <c r="AH502" i="8" s="1"/>
  <c r="AG477" i="8"/>
  <c r="AH477" i="8" s="1"/>
  <c r="AG438" i="8"/>
  <c r="AH438" i="8" s="1"/>
  <c r="AG406" i="8"/>
  <c r="AH406" i="8" s="1"/>
  <c r="AG374" i="8"/>
  <c r="AH374" i="8" s="1"/>
  <c r="AG354" i="8"/>
  <c r="AH354" i="8" s="1"/>
  <c r="AG334" i="8"/>
  <c r="AH334" i="8" s="1"/>
  <c r="AG226" i="8"/>
  <c r="AH226" i="8" s="1"/>
  <c r="AG198" i="8"/>
  <c r="AH198" i="8" s="1"/>
  <c r="AG166" i="8"/>
  <c r="AH166" i="8" s="1"/>
  <c r="AG134" i="8"/>
  <c r="AH134" i="8" s="1"/>
  <c r="AG102" i="8"/>
  <c r="AH102" i="8" s="1"/>
  <c r="AG42" i="8"/>
  <c r="AH42" i="8" s="1"/>
  <c r="M237" i="5"/>
  <c r="N237" i="5" s="1"/>
  <c r="M229" i="5"/>
  <c r="N229" i="5" s="1"/>
  <c r="M221" i="5"/>
  <c r="N221" i="5" s="1"/>
  <c r="M197" i="5"/>
  <c r="N197" i="5" s="1"/>
  <c r="M189" i="5"/>
  <c r="N189" i="5" s="1"/>
  <c r="M181" i="5"/>
  <c r="N181" i="5" s="1"/>
  <c r="M157" i="5"/>
  <c r="N157" i="5" s="1"/>
  <c r="M141" i="5"/>
  <c r="N141" i="5" s="1"/>
  <c r="M117" i="5"/>
  <c r="N117" i="5" s="1"/>
  <c r="M109" i="5"/>
  <c r="N109" i="5" s="1"/>
  <c r="M101" i="5"/>
  <c r="N101" i="5" s="1"/>
  <c r="M77" i="5"/>
  <c r="N77" i="5" s="1"/>
  <c r="M69" i="5"/>
  <c r="N69" i="5" s="1"/>
  <c r="M61" i="5"/>
  <c r="N61" i="5" s="1"/>
  <c r="M19" i="5"/>
  <c r="N19" i="5" s="1"/>
  <c r="AG660" i="8"/>
  <c r="AH660" i="8" s="1"/>
  <c r="AG648" i="8"/>
  <c r="AH648" i="8" s="1"/>
  <c r="AG629" i="8"/>
  <c r="AH629" i="8" s="1"/>
  <c r="AG597" i="8"/>
  <c r="AH597" i="8" s="1"/>
  <c r="AG575" i="8"/>
  <c r="AH575" i="8" s="1"/>
  <c r="AG554" i="8"/>
  <c r="AH554" i="8" s="1"/>
  <c r="AG543" i="8"/>
  <c r="AH543" i="8" s="1"/>
  <c r="AG533" i="8"/>
  <c r="AH533" i="8" s="1"/>
  <c r="AG522" i="8"/>
  <c r="AH522" i="8" s="1"/>
  <c r="AG501" i="8"/>
  <c r="AH501" i="8" s="1"/>
  <c r="AG487" i="8"/>
  <c r="AH487" i="8" s="1"/>
  <c r="AG462" i="8"/>
  <c r="AH462" i="8" s="1"/>
  <c r="AG330" i="8"/>
  <c r="AH330" i="8" s="1"/>
  <c r="M438" i="5"/>
  <c r="N438" i="5" s="1"/>
  <c r="M32" i="5"/>
  <c r="N32" i="5" s="1"/>
  <c r="AG148" i="8"/>
  <c r="AH148" i="8" s="1"/>
  <c r="AG364" i="8"/>
  <c r="AH364" i="8" s="1"/>
  <c r="AG372" i="8"/>
  <c r="AH372" i="8" s="1"/>
  <c r="AG380" i="8"/>
  <c r="AH380" i="8" s="1"/>
  <c r="AG396" i="8"/>
  <c r="AH396" i="8" s="1"/>
  <c r="AG404" i="8"/>
  <c r="AH404" i="8" s="1"/>
  <c r="AG436" i="8"/>
  <c r="AH436" i="8" s="1"/>
  <c r="AG13" i="8"/>
  <c r="AH13" i="8" s="1"/>
  <c r="AG45" i="8"/>
  <c r="AH45" i="8" s="1"/>
  <c r="AG69" i="8"/>
  <c r="AH69" i="8" s="1"/>
  <c r="AG85" i="8"/>
  <c r="AH85" i="8" s="1"/>
  <c r="AG93" i="8"/>
  <c r="AH93" i="8" s="1"/>
  <c r="AG293" i="8"/>
  <c r="AH293" i="8" s="1"/>
  <c r="AG357" i="8"/>
  <c r="AH357" i="8" s="1"/>
  <c r="AG31" i="8"/>
  <c r="AH31" i="8" s="1"/>
  <c r="AG111" i="8"/>
  <c r="AH111" i="8" s="1"/>
  <c r="AG175" i="8"/>
  <c r="AH175" i="8" s="1"/>
  <c r="AG231" i="8"/>
  <c r="AH231" i="8" s="1"/>
  <c r="AG239" i="8"/>
  <c r="AH239" i="8" s="1"/>
  <c r="AG263" i="8"/>
  <c r="AH263" i="8" s="1"/>
  <c r="AG271" i="8"/>
  <c r="AH271" i="8" s="1"/>
  <c r="AG48" i="8"/>
  <c r="AH48" i="8" s="1"/>
  <c r="AG192" i="8"/>
  <c r="AH192" i="8" s="1"/>
  <c r="AG216" i="8"/>
  <c r="AH216" i="8" s="1"/>
  <c r="AG224" i="8"/>
  <c r="AH224" i="8" s="1"/>
  <c r="AG57" i="8"/>
  <c r="AH57" i="8" s="1"/>
  <c r="AG121" i="8"/>
  <c r="AH121" i="8" s="1"/>
  <c r="AG129" i="8"/>
  <c r="AH129" i="8" s="1"/>
  <c r="AG137" i="8"/>
  <c r="AH137" i="8" s="1"/>
  <c r="AG145" i="8"/>
  <c r="AH145" i="8" s="1"/>
  <c r="AG161" i="8"/>
  <c r="AH161" i="8" s="1"/>
  <c r="AG185" i="8"/>
  <c r="AH185" i="8" s="1"/>
  <c r="AG633" i="8"/>
  <c r="AH633" i="8" s="1"/>
  <c r="AG75" i="8"/>
  <c r="AH75" i="8" s="1"/>
  <c r="AG163" i="8"/>
  <c r="AH163" i="8" s="1"/>
  <c r="AG203" i="8"/>
  <c r="AH203" i="8" s="1"/>
  <c r="AG243" i="8"/>
  <c r="AH243" i="8" s="1"/>
  <c r="AG251" i="8"/>
  <c r="AH251" i="8" s="1"/>
  <c r="AG411" i="8"/>
  <c r="AH411" i="8" s="1"/>
  <c r="AG427" i="8"/>
  <c r="AH427" i="8" s="1"/>
  <c r="AG443" i="8"/>
  <c r="AH443" i="8" s="1"/>
  <c r="AG451" i="8"/>
  <c r="AH451" i="8" s="1"/>
  <c r="AG459" i="8"/>
  <c r="AH459" i="8" s="1"/>
  <c r="AG475" i="8"/>
  <c r="AH475" i="8" s="1"/>
  <c r="AG483" i="8"/>
  <c r="AH483" i="8" s="1"/>
  <c r="AG491" i="8"/>
  <c r="AH491" i="8" s="1"/>
  <c r="AG499" i="8"/>
  <c r="AH499" i="8" s="1"/>
  <c r="AG515" i="8"/>
  <c r="AH515" i="8" s="1"/>
  <c r="AG539" i="8"/>
  <c r="AH539" i="8" s="1"/>
  <c r="AG547" i="8"/>
  <c r="AH547" i="8" s="1"/>
  <c r="AG555" i="8"/>
  <c r="AH555" i="8" s="1"/>
  <c r="AG571" i="8"/>
  <c r="AH571" i="8" s="1"/>
  <c r="AG587" i="8"/>
  <c r="AH587" i="8" s="1"/>
  <c r="AG611" i="8"/>
  <c r="AH611" i="8" s="1"/>
  <c r="AG619" i="8"/>
  <c r="AH619" i="8" s="1"/>
  <c r="AG651" i="8"/>
  <c r="AH651" i="8" s="1"/>
  <c r="AG659" i="8"/>
  <c r="AH659" i="8" s="1"/>
  <c r="M396" i="5"/>
  <c r="N396" i="5" s="1"/>
  <c r="M372" i="5"/>
  <c r="N372" i="5" s="1"/>
  <c r="M364" i="5"/>
  <c r="N364" i="5" s="1"/>
  <c r="M356" i="5"/>
  <c r="N356" i="5" s="1"/>
  <c r="M332" i="5"/>
  <c r="N332" i="5" s="1"/>
  <c r="M324" i="5"/>
  <c r="N324" i="5" s="1"/>
  <c r="M316" i="5"/>
  <c r="N316" i="5" s="1"/>
  <c r="M292" i="5"/>
  <c r="N292" i="5" s="1"/>
  <c r="M284" i="5"/>
  <c r="N284" i="5" s="1"/>
  <c r="M276" i="5"/>
  <c r="N276" i="5" s="1"/>
  <c r="M252" i="5"/>
  <c r="N252" i="5" s="1"/>
  <c r="M244" i="5"/>
  <c r="N244" i="5" s="1"/>
  <c r="M236" i="5"/>
  <c r="N236" i="5" s="1"/>
  <c r="M212" i="5"/>
  <c r="N212" i="5" s="1"/>
  <c r="M204" i="5"/>
  <c r="N204" i="5" s="1"/>
  <c r="M196" i="5"/>
  <c r="N196" i="5" s="1"/>
  <c r="M172" i="5"/>
  <c r="N172" i="5" s="1"/>
  <c r="M164" i="5"/>
  <c r="N164" i="5" s="1"/>
  <c r="M156" i="5"/>
  <c r="N156" i="5" s="1"/>
  <c r="M132" i="5"/>
  <c r="N132" i="5" s="1"/>
  <c r="M124" i="5"/>
  <c r="N124" i="5" s="1"/>
  <c r="M116" i="5"/>
  <c r="N116" i="5" s="1"/>
  <c r="M92" i="5"/>
  <c r="N92" i="5" s="1"/>
  <c r="M84" i="5"/>
  <c r="N84" i="5" s="1"/>
  <c r="M76" i="5"/>
  <c r="N76" i="5" s="1"/>
  <c r="M52" i="5"/>
  <c r="N52" i="5" s="1"/>
  <c r="M44" i="5"/>
  <c r="N44" i="5" s="1"/>
  <c r="M36" i="5"/>
  <c r="N36" i="5" s="1"/>
  <c r="M27" i="5"/>
  <c r="N27" i="5" s="1"/>
  <c r="M9" i="5"/>
  <c r="N9" i="5" s="1"/>
  <c r="AG668" i="8"/>
  <c r="AH668" i="8" s="1"/>
  <c r="AG647" i="8"/>
  <c r="AH647" i="8" s="1"/>
  <c r="AG606" i="8"/>
  <c r="AH606" i="8" s="1"/>
  <c r="AG574" i="8"/>
  <c r="AH574" i="8" s="1"/>
  <c r="AG564" i="8"/>
  <c r="AH564" i="8" s="1"/>
  <c r="AG542" i="8"/>
  <c r="AH542" i="8" s="1"/>
  <c r="AG510" i="8"/>
  <c r="AH510" i="8" s="1"/>
  <c r="AG461" i="8"/>
  <c r="AH461" i="8" s="1"/>
  <c r="AG447" i="8"/>
  <c r="AH447" i="8" s="1"/>
  <c r="AG418" i="8"/>
  <c r="AH418" i="8" s="1"/>
  <c r="AG386" i="8"/>
  <c r="AH386" i="8" s="1"/>
  <c r="AG370" i="8"/>
  <c r="AH370" i="8" s="1"/>
  <c r="AG350" i="8"/>
  <c r="AH350" i="8" s="1"/>
  <c r="AG286" i="8"/>
  <c r="AH286" i="8" s="1"/>
  <c r="AG242" i="8"/>
  <c r="AH242" i="8" s="1"/>
  <c r="AG190" i="8"/>
  <c r="AH190" i="8" s="1"/>
  <c r="AG126" i="8"/>
  <c r="AH126" i="8" s="1"/>
  <c r="AG34" i="8"/>
  <c r="AH34" i="8" s="1"/>
  <c r="J25" i="13"/>
  <c r="J8" i="13"/>
  <c r="J9" i="13"/>
  <c r="J10" i="13"/>
  <c r="J11" i="13"/>
  <c r="J12" i="13"/>
  <c r="J13" i="13"/>
  <c r="J14" i="13"/>
  <c r="J15" i="13"/>
  <c r="J16" i="13"/>
  <c r="J17" i="13"/>
  <c r="J18" i="13"/>
  <c r="J19" i="13"/>
  <c r="J20" i="13"/>
  <c r="J21" i="13"/>
  <c r="J22" i="13"/>
  <c r="J23" i="13"/>
  <c r="J24"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90" i="13"/>
  <c r="J91" i="13"/>
  <c r="J92" i="13"/>
  <c r="J7" i="13"/>
  <c r="I95"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90" i="13"/>
  <c r="E91" i="13"/>
  <c r="E92" i="13"/>
  <c r="E93" i="13"/>
  <c r="E7"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90" i="13"/>
  <c r="D91" i="13"/>
  <c r="D92" i="13"/>
  <c r="D93" i="13"/>
  <c r="E95" i="13"/>
  <c r="E94" i="13"/>
  <c r="J93" i="13"/>
  <c r="E89" i="13"/>
  <c r="J88" i="13"/>
  <c r="B86" i="13"/>
  <c r="C86" i="13" s="1"/>
  <c r="E86" i="13" s="1"/>
  <c r="N2" i="5" l="1"/>
  <c r="I90" i="13"/>
  <c r="I86" i="13"/>
  <c r="J86" i="13"/>
  <c r="AH2" i="8"/>
  <c r="E87" i="13"/>
  <c r="D87" i="13"/>
  <c r="J87" i="13"/>
  <c r="J89" i="13"/>
  <c r="D88" i="13"/>
  <c r="E88" i="13"/>
  <c r="I88" i="13"/>
  <c r="J95" i="13"/>
  <c r="I89" i="13"/>
  <c r="D89" i="13"/>
  <c r="D95" i="13"/>
  <c r="J94" i="13"/>
  <c r="D94" i="13"/>
  <c r="D86" i="13"/>
  <c r="I91" i="13"/>
  <c r="I92" i="13"/>
  <c r="I87" i="13"/>
  <c r="I94" i="13"/>
  <c r="I93" i="13"/>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9" i="12"/>
  <c r="L7" i="12"/>
  <c r="D7" i="12"/>
  <c r="D8" i="12"/>
  <c r="E8" i="12"/>
  <c r="F8" i="12"/>
  <c r="G8" i="12"/>
  <c r="H8" i="12"/>
  <c r="I8" i="12"/>
  <c r="J8" i="12"/>
  <c r="D9" i="12"/>
  <c r="E9" i="12"/>
  <c r="F9" i="12"/>
  <c r="G9" i="12"/>
  <c r="H9" i="12"/>
  <c r="I9" i="12"/>
  <c r="J9" i="12"/>
  <c r="D10" i="12"/>
  <c r="E10" i="12"/>
  <c r="F10" i="12"/>
  <c r="G10" i="12"/>
  <c r="H10" i="12"/>
  <c r="I10" i="12"/>
  <c r="J10" i="12"/>
  <c r="D11" i="12"/>
  <c r="E11" i="12"/>
  <c r="F11" i="12"/>
  <c r="G11" i="12"/>
  <c r="H11" i="12"/>
  <c r="I11" i="12"/>
  <c r="J11" i="12"/>
  <c r="D12" i="12"/>
  <c r="E12" i="12"/>
  <c r="F12" i="12"/>
  <c r="G12" i="12"/>
  <c r="H12" i="12"/>
  <c r="I12" i="12"/>
  <c r="J12" i="12"/>
  <c r="D13" i="12"/>
  <c r="E13" i="12"/>
  <c r="F13" i="12"/>
  <c r="G13" i="12"/>
  <c r="H13" i="12"/>
  <c r="I13" i="12"/>
  <c r="J13" i="12"/>
  <c r="D14" i="12"/>
  <c r="E14" i="12"/>
  <c r="F14" i="12"/>
  <c r="G14" i="12"/>
  <c r="H14" i="12"/>
  <c r="I14" i="12"/>
  <c r="J14" i="12"/>
  <c r="D15" i="12"/>
  <c r="E15" i="12"/>
  <c r="F15" i="12"/>
  <c r="G15" i="12"/>
  <c r="H15" i="12"/>
  <c r="I15" i="12"/>
  <c r="J15" i="12"/>
  <c r="D16" i="12"/>
  <c r="E16" i="12"/>
  <c r="F16" i="12"/>
  <c r="G16" i="12"/>
  <c r="H16" i="12"/>
  <c r="I16" i="12"/>
  <c r="J16" i="12"/>
  <c r="D17" i="12"/>
  <c r="E17" i="12"/>
  <c r="F17" i="12"/>
  <c r="G17" i="12"/>
  <c r="H17" i="12"/>
  <c r="I17" i="12"/>
  <c r="J17" i="12"/>
  <c r="D18" i="12"/>
  <c r="E18" i="12"/>
  <c r="F18" i="12"/>
  <c r="G18" i="12"/>
  <c r="H18" i="12"/>
  <c r="I18" i="12"/>
  <c r="J18" i="12"/>
  <c r="D19" i="12"/>
  <c r="E19" i="12"/>
  <c r="F19" i="12"/>
  <c r="G19" i="12"/>
  <c r="H19" i="12"/>
  <c r="I19" i="12"/>
  <c r="J19" i="12"/>
  <c r="D20" i="12"/>
  <c r="E20" i="12"/>
  <c r="F20" i="12"/>
  <c r="G20" i="12"/>
  <c r="H20" i="12"/>
  <c r="I20" i="12"/>
  <c r="J20" i="12"/>
  <c r="D21" i="12"/>
  <c r="E21" i="12"/>
  <c r="F21" i="12"/>
  <c r="G21" i="12"/>
  <c r="H21" i="12"/>
  <c r="I21" i="12"/>
  <c r="J21" i="12"/>
  <c r="D22" i="12"/>
  <c r="E22" i="12"/>
  <c r="F22" i="12"/>
  <c r="G22" i="12"/>
  <c r="H22" i="12"/>
  <c r="I22" i="12"/>
  <c r="J22" i="12"/>
  <c r="D23" i="12"/>
  <c r="E23" i="12"/>
  <c r="F23" i="12"/>
  <c r="G23" i="12"/>
  <c r="H23" i="12"/>
  <c r="I23" i="12"/>
  <c r="J23" i="12"/>
  <c r="D24" i="12"/>
  <c r="E24" i="12"/>
  <c r="F24" i="12"/>
  <c r="G24" i="12"/>
  <c r="H24" i="12"/>
  <c r="I24" i="12"/>
  <c r="J24" i="12"/>
  <c r="D25" i="12"/>
  <c r="E25" i="12"/>
  <c r="F25" i="12"/>
  <c r="G25" i="12"/>
  <c r="H25" i="12"/>
  <c r="I25" i="12"/>
  <c r="J25" i="12"/>
  <c r="D26" i="12"/>
  <c r="E26" i="12"/>
  <c r="F26" i="12"/>
  <c r="G26" i="12"/>
  <c r="H26" i="12"/>
  <c r="I26" i="12"/>
  <c r="J26" i="12"/>
  <c r="D27" i="12"/>
  <c r="E27" i="12"/>
  <c r="F27" i="12"/>
  <c r="G27" i="12"/>
  <c r="H27" i="12"/>
  <c r="I27" i="12"/>
  <c r="J27" i="12"/>
  <c r="D28" i="12"/>
  <c r="E28" i="12"/>
  <c r="F28" i="12"/>
  <c r="G28" i="12"/>
  <c r="H28" i="12"/>
  <c r="I28" i="12"/>
  <c r="J28" i="12"/>
  <c r="D29" i="12"/>
  <c r="E29" i="12"/>
  <c r="F29" i="12"/>
  <c r="G29" i="12"/>
  <c r="H29" i="12"/>
  <c r="I29" i="12"/>
  <c r="J29" i="12"/>
  <c r="D30" i="12"/>
  <c r="E30" i="12"/>
  <c r="F30" i="12"/>
  <c r="G30" i="12"/>
  <c r="H30" i="12"/>
  <c r="I30" i="12"/>
  <c r="J30" i="12"/>
  <c r="D31" i="12"/>
  <c r="E31" i="12"/>
  <c r="F31" i="12"/>
  <c r="G31" i="12"/>
  <c r="H31" i="12"/>
  <c r="I31" i="12"/>
  <c r="J31" i="12"/>
  <c r="D32" i="12"/>
  <c r="E32" i="12"/>
  <c r="F32" i="12"/>
  <c r="G32" i="12"/>
  <c r="H32" i="12"/>
  <c r="I32" i="12"/>
  <c r="J32" i="12"/>
  <c r="D33" i="12"/>
  <c r="E33" i="12"/>
  <c r="F33" i="12"/>
  <c r="G33" i="12"/>
  <c r="H33" i="12"/>
  <c r="I33" i="12"/>
  <c r="J33" i="12"/>
  <c r="D34" i="12"/>
  <c r="E34" i="12"/>
  <c r="F34" i="12"/>
  <c r="G34" i="12"/>
  <c r="H34" i="12"/>
  <c r="I34" i="12"/>
  <c r="J34" i="12"/>
  <c r="D35" i="12"/>
  <c r="E35" i="12"/>
  <c r="F35" i="12"/>
  <c r="G35" i="12"/>
  <c r="H35" i="12"/>
  <c r="I35" i="12"/>
  <c r="J35" i="12"/>
  <c r="D36" i="12"/>
  <c r="E36" i="12"/>
  <c r="F36" i="12"/>
  <c r="G36" i="12"/>
  <c r="H36" i="12"/>
  <c r="I36" i="12"/>
  <c r="J36" i="12"/>
  <c r="D37" i="12"/>
  <c r="E37" i="12"/>
  <c r="F37" i="12"/>
  <c r="G37" i="12"/>
  <c r="H37" i="12"/>
  <c r="I37" i="12"/>
  <c r="J37" i="12"/>
  <c r="D38" i="12"/>
  <c r="E38" i="12"/>
  <c r="F38" i="12"/>
  <c r="G38" i="12"/>
  <c r="H38" i="12"/>
  <c r="I38" i="12"/>
  <c r="J38" i="12"/>
  <c r="D39" i="12"/>
  <c r="E39" i="12"/>
  <c r="F39" i="12"/>
  <c r="G39" i="12"/>
  <c r="H39" i="12"/>
  <c r="I39" i="12"/>
  <c r="J39" i="12"/>
  <c r="D40" i="12"/>
  <c r="E40" i="12"/>
  <c r="F40" i="12"/>
  <c r="G40" i="12"/>
  <c r="H40" i="12"/>
  <c r="I40" i="12"/>
  <c r="J40" i="12"/>
  <c r="D41" i="12"/>
  <c r="E41" i="12"/>
  <c r="F41" i="12"/>
  <c r="G41" i="12"/>
  <c r="H41" i="12"/>
  <c r="I41" i="12"/>
  <c r="J41" i="12"/>
  <c r="D42" i="12"/>
  <c r="E42" i="12"/>
  <c r="F42" i="12"/>
  <c r="G42" i="12"/>
  <c r="H42" i="12"/>
  <c r="I42" i="12"/>
  <c r="J42" i="12"/>
  <c r="D43" i="12"/>
  <c r="E43" i="12"/>
  <c r="F43" i="12"/>
  <c r="G43" i="12"/>
  <c r="H43" i="12"/>
  <c r="I43" i="12"/>
  <c r="J43" i="12"/>
  <c r="D44" i="12"/>
  <c r="E44" i="12"/>
  <c r="F44" i="12"/>
  <c r="G44" i="12"/>
  <c r="H44" i="12"/>
  <c r="I44" i="12"/>
  <c r="J44" i="12"/>
  <c r="D45" i="12"/>
  <c r="E45" i="12"/>
  <c r="F45" i="12"/>
  <c r="G45" i="12"/>
  <c r="H45" i="12"/>
  <c r="I45" i="12"/>
  <c r="J45" i="12"/>
  <c r="D46" i="12"/>
  <c r="E46" i="12"/>
  <c r="F46" i="12"/>
  <c r="G46" i="12"/>
  <c r="H46" i="12"/>
  <c r="I46" i="12"/>
  <c r="J46" i="12"/>
  <c r="D47" i="12"/>
  <c r="E47" i="12"/>
  <c r="F47" i="12"/>
  <c r="G47" i="12"/>
  <c r="H47" i="12"/>
  <c r="I47" i="12"/>
  <c r="J47" i="12"/>
  <c r="D48" i="12"/>
  <c r="E48" i="12"/>
  <c r="F48" i="12"/>
  <c r="G48" i="12"/>
  <c r="H48" i="12"/>
  <c r="I48" i="12"/>
  <c r="J48" i="12"/>
  <c r="D49" i="12"/>
  <c r="E49" i="12"/>
  <c r="F49" i="12"/>
  <c r="G49" i="12"/>
  <c r="H49" i="12"/>
  <c r="I49" i="12"/>
  <c r="J49" i="12"/>
  <c r="D50" i="12"/>
  <c r="E50" i="12"/>
  <c r="F50" i="12"/>
  <c r="G50" i="12"/>
  <c r="H50" i="12"/>
  <c r="I50" i="12"/>
  <c r="J50" i="12"/>
  <c r="D51" i="12"/>
  <c r="E51" i="12"/>
  <c r="F51" i="12"/>
  <c r="G51" i="12"/>
  <c r="H51" i="12"/>
  <c r="I51" i="12"/>
  <c r="J51" i="12"/>
  <c r="D52" i="12"/>
  <c r="E52" i="12"/>
  <c r="F52" i="12"/>
  <c r="G52" i="12"/>
  <c r="H52" i="12"/>
  <c r="I52" i="12"/>
  <c r="J52" i="12"/>
  <c r="D53" i="12"/>
  <c r="E53" i="12"/>
  <c r="F53" i="12"/>
  <c r="G53" i="12"/>
  <c r="H53" i="12"/>
  <c r="I53" i="12"/>
  <c r="J53" i="12"/>
  <c r="D54" i="12"/>
  <c r="E54" i="12"/>
  <c r="F54" i="12"/>
  <c r="G54" i="12"/>
  <c r="H54" i="12"/>
  <c r="I54" i="12"/>
  <c r="J54" i="12"/>
  <c r="D55" i="12"/>
  <c r="E55" i="12"/>
  <c r="F55" i="12"/>
  <c r="G55" i="12"/>
  <c r="H55" i="12"/>
  <c r="I55" i="12"/>
  <c r="J55" i="12"/>
  <c r="D56" i="12"/>
  <c r="E56" i="12"/>
  <c r="F56" i="12"/>
  <c r="G56" i="12"/>
  <c r="H56" i="12"/>
  <c r="I56" i="12"/>
  <c r="J56" i="12"/>
  <c r="D57" i="12"/>
  <c r="E57" i="12"/>
  <c r="F57" i="12"/>
  <c r="G57" i="12"/>
  <c r="H57" i="12"/>
  <c r="I57" i="12"/>
  <c r="J57" i="12"/>
  <c r="D58" i="12"/>
  <c r="E58" i="12"/>
  <c r="F58" i="12"/>
  <c r="G58" i="12"/>
  <c r="H58" i="12"/>
  <c r="I58" i="12"/>
  <c r="J58" i="12"/>
  <c r="D59" i="12"/>
  <c r="E59" i="12"/>
  <c r="F59" i="12"/>
  <c r="G59" i="12"/>
  <c r="H59" i="12"/>
  <c r="I59" i="12"/>
  <c r="J59" i="12"/>
  <c r="D60" i="12"/>
  <c r="E60" i="12"/>
  <c r="F60" i="12"/>
  <c r="G60" i="12"/>
  <c r="H60" i="12"/>
  <c r="I60" i="12"/>
  <c r="J60" i="12"/>
  <c r="D61" i="12"/>
  <c r="E61" i="12"/>
  <c r="F61" i="12"/>
  <c r="G61" i="12"/>
  <c r="H61" i="12"/>
  <c r="I61" i="12"/>
  <c r="J61" i="12"/>
  <c r="D62" i="12"/>
  <c r="E62" i="12"/>
  <c r="F62" i="12"/>
  <c r="G62" i="12"/>
  <c r="H62" i="12"/>
  <c r="I62" i="12"/>
  <c r="J62" i="12"/>
  <c r="D63" i="12"/>
  <c r="E63" i="12"/>
  <c r="F63" i="12"/>
  <c r="G63" i="12"/>
  <c r="H63" i="12"/>
  <c r="I63" i="12"/>
  <c r="J63" i="12"/>
  <c r="D64" i="12"/>
  <c r="E64" i="12"/>
  <c r="F64" i="12"/>
  <c r="G64" i="12"/>
  <c r="H64" i="12"/>
  <c r="I64" i="12"/>
  <c r="J64" i="12"/>
  <c r="D65" i="12"/>
  <c r="E65" i="12"/>
  <c r="F65" i="12"/>
  <c r="G65" i="12"/>
  <c r="H65" i="12"/>
  <c r="I65" i="12"/>
  <c r="J65" i="12"/>
  <c r="D66" i="12"/>
  <c r="E66" i="12"/>
  <c r="F66" i="12"/>
  <c r="G66" i="12"/>
  <c r="H66" i="12"/>
  <c r="I66" i="12"/>
  <c r="J66" i="12"/>
  <c r="D67" i="12"/>
  <c r="E67" i="12"/>
  <c r="F67" i="12"/>
  <c r="G67" i="12"/>
  <c r="H67" i="12"/>
  <c r="I67" i="12"/>
  <c r="J67" i="12"/>
  <c r="D68" i="12"/>
  <c r="E68" i="12"/>
  <c r="F68" i="12"/>
  <c r="G68" i="12"/>
  <c r="H68" i="12"/>
  <c r="I68" i="12"/>
  <c r="J68" i="12"/>
  <c r="D69" i="12"/>
  <c r="E69" i="12"/>
  <c r="F69" i="12"/>
  <c r="G69" i="12"/>
  <c r="H69" i="12"/>
  <c r="I69" i="12"/>
  <c r="J69" i="12"/>
  <c r="D70" i="12"/>
  <c r="E70" i="12"/>
  <c r="F70" i="12"/>
  <c r="G70" i="12"/>
  <c r="H70" i="12"/>
  <c r="I70" i="12"/>
  <c r="J70" i="12"/>
  <c r="D71" i="12"/>
  <c r="E71" i="12"/>
  <c r="F71" i="12"/>
  <c r="G71" i="12"/>
  <c r="H71" i="12"/>
  <c r="I71" i="12"/>
  <c r="J71" i="12"/>
  <c r="D72" i="12"/>
  <c r="E72" i="12"/>
  <c r="F72" i="12"/>
  <c r="G72" i="12"/>
  <c r="H72" i="12"/>
  <c r="I72" i="12"/>
  <c r="J72" i="12"/>
  <c r="D73" i="12"/>
  <c r="E73" i="12"/>
  <c r="F73" i="12"/>
  <c r="G73" i="12"/>
  <c r="H73" i="12"/>
  <c r="I73" i="12"/>
  <c r="J73" i="12"/>
  <c r="D74" i="12"/>
  <c r="E74" i="12"/>
  <c r="F74" i="12"/>
  <c r="G74" i="12"/>
  <c r="H74" i="12"/>
  <c r="I74" i="12"/>
  <c r="J74" i="12"/>
  <c r="D75" i="12"/>
  <c r="E75" i="12"/>
  <c r="F75" i="12"/>
  <c r="G75" i="12"/>
  <c r="H75" i="12"/>
  <c r="I75" i="12"/>
  <c r="J75" i="12"/>
  <c r="D76" i="12"/>
  <c r="E76" i="12"/>
  <c r="F76" i="12"/>
  <c r="G76" i="12"/>
  <c r="H76" i="12"/>
  <c r="I76" i="12"/>
  <c r="J76" i="12"/>
  <c r="D77" i="12"/>
  <c r="E77" i="12"/>
  <c r="F77" i="12"/>
  <c r="G77" i="12"/>
  <c r="H77" i="12"/>
  <c r="I77" i="12"/>
  <c r="J77" i="12"/>
  <c r="D78" i="12"/>
  <c r="E78" i="12"/>
  <c r="F78" i="12"/>
  <c r="G78" i="12"/>
  <c r="H78" i="12"/>
  <c r="I78" i="12"/>
  <c r="J78" i="12"/>
  <c r="D79" i="12"/>
  <c r="E79" i="12"/>
  <c r="F79" i="12"/>
  <c r="G79" i="12"/>
  <c r="H79" i="12"/>
  <c r="I79" i="12"/>
  <c r="J79" i="12"/>
  <c r="D80" i="12"/>
  <c r="E80" i="12"/>
  <c r="F80" i="12"/>
  <c r="G80" i="12"/>
  <c r="H80" i="12"/>
  <c r="I80" i="12"/>
  <c r="J80" i="12"/>
  <c r="D81" i="12"/>
  <c r="E81" i="12"/>
  <c r="F81" i="12"/>
  <c r="G81" i="12"/>
  <c r="H81" i="12"/>
  <c r="I81" i="12"/>
  <c r="J81" i="12"/>
  <c r="D82" i="12"/>
  <c r="E82" i="12"/>
  <c r="F82" i="12"/>
  <c r="G82" i="12"/>
  <c r="H82" i="12"/>
  <c r="I82" i="12"/>
  <c r="J82" i="12"/>
  <c r="D83" i="12"/>
  <c r="E83" i="12"/>
  <c r="F83" i="12"/>
  <c r="G83" i="12"/>
  <c r="H83" i="12"/>
  <c r="I83" i="12"/>
  <c r="J83" i="12"/>
  <c r="D84" i="12"/>
  <c r="E84" i="12"/>
  <c r="F84" i="12"/>
  <c r="G84" i="12"/>
  <c r="H84" i="12"/>
  <c r="I84" i="12"/>
  <c r="J84" i="12"/>
  <c r="D85" i="12"/>
  <c r="E85" i="12"/>
  <c r="F85" i="12"/>
  <c r="G85" i="12"/>
  <c r="H85" i="12"/>
  <c r="I85" i="12"/>
  <c r="J85" i="12"/>
  <c r="E88" i="12"/>
  <c r="D89" i="12"/>
  <c r="E89" i="12"/>
  <c r="F89" i="12"/>
  <c r="D90" i="12"/>
  <c r="E90" i="12"/>
  <c r="F90" i="12"/>
  <c r="G90" i="12"/>
  <c r="E91" i="12"/>
  <c r="F91" i="12"/>
  <c r="G91" i="12"/>
  <c r="H91" i="12"/>
  <c r="F92" i="12"/>
  <c r="G92" i="12"/>
  <c r="H92" i="12"/>
  <c r="I92" i="12"/>
  <c r="D95" i="12"/>
  <c r="J7" i="12"/>
  <c r="I7" i="12"/>
  <c r="H7" i="12"/>
  <c r="G7" i="12"/>
  <c r="F7" i="12"/>
  <c r="E7" i="12"/>
  <c r="L95" i="12"/>
  <c r="L94" i="12"/>
  <c r="D93" i="12"/>
  <c r="J92" i="12"/>
  <c r="I91" i="12"/>
  <c r="L90" i="12"/>
  <c r="J88" i="12"/>
  <c r="B86" i="12"/>
  <c r="C86" i="12" s="1"/>
  <c r="L86" i="12" s="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92" i="11"/>
  <c r="I7" i="11"/>
  <c r="D7" i="11"/>
  <c r="D8" i="11"/>
  <c r="E8" i="11"/>
  <c r="F8" i="11"/>
  <c r="G8" i="11"/>
  <c r="D9" i="11"/>
  <c r="E9" i="11"/>
  <c r="F9" i="11"/>
  <c r="G9" i="11"/>
  <c r="D10" i="11"/>
  <c r="E10" i="11"/>
  <c r="F10" i="11"/>
  <c r="G10" i="11"/>
  <c r="D11" i="11"/>
  <c r="E11" i="11"/>
  <c r="F11" i="11"/>
  <c r="G11" i="11"/>
  <c r="D12" i="11"/>
  <c r="E12" i="11"/>
  <c r="F12" i="11"/>
  <c r="G12" i="11"/>
  <c r="D13" i="11"/>
  <c r="E13" i="11"/>
  <c r="F13" i="11"/>
  <c r="G13" i="11"/>
  <c r="D14" i="11"/>
  <c r="E14" i="11"/>
  <c r="F14" i="11"/>
  <c r="G14" i="11"/>
  <c r="D15" i="11"/>
  <c r="E15" i="11"/>
  <c r="F15" i="11"/>
  <c r="G15" i="11"/>
  <c r="D16" i="11"/>
  <c r="E16" i="11"/>
  <c r="F16" i="11"/>
  <c r="G16" i="11"/>
  <c r="D17" i="11"/>
  <c r="E17" i="11"/>
  <c r="F17" i="11"/>
  <c r="G17" i="11"/>
  <c r="D18" i="11"/>
  <c r="E18" i="11"/>
  <c r="F18" i="11"/>
  <c r="G18" i="11"/>
  <c r="D19" i="11"/>
  <c r="E19" i="11"/>
  <c r="F19" i="11"/>
  <c r="G19" i="11"/>
  <c r="D20" i="11"/>
  <c r="E20" i="11"/>
  <c r="F20" i="11"/>
  <c r="G20" i="11"/>
  <c r="D21" i="11"/>
  <c r="E21" i="11"/>
  <c r="F21" i="11"/>
  <c r="G21" i="11"/>
  <c r="D22" i="11"/>
  <c r="E22" i="11"/>
  <c r="F22" i="11"/>
  <c r="G22" i="11"/>
  <c r="D23" i="11"/>
  <c r="E23" i="11"/>
  <c r="F23" i="11"/>
  <c r="G23" i="11"/>
  <c r="D24" i="11"/>
  <c r="E24" i="11"/>
  <c r="F24" i="11"/>
  <c r="G24" i="11"/>
  <c r="D25" i="11"/>
  <c r="E25" i="11"/>
  <c r="F25" i="11"/>
  <c r="G25" i="11"/>
  <c r="D26" i="11"/>
  <c r="E26" i="11"/>
  <c r="F26" i="11"/>
  <c r="G26" i="11"/>
  <c r="D27" i="11"/>
  <c r="E27" i="11"/>
  <c r="F27" i="11"/>
  <c r="G27" i="11"/>
  <c r="D28" i="11"/>
  <c r="E28" i="11"/>
  <c r="F28" i="11"/>
  <c r="G28" i="11"/>
  <c r="D29" i="11"/>
  <c r="E29" i="11"/>
  <c r="F29" i="11"/>
  <c r="G29" i="11"/>
  <c r="D30" i="11"/>
  <c r="E30" i="11"/>
  <c r="F30" i="11"/>
  <c r="G30" i="11"/>
  <c r="D31" i="11"/>
  <c r="E31" i="11"/>
  <c r="F31" i="11"/>
  <c r="G31" i="11"/>
  <c r="D32" i="11"/>
  <c r="E32" i="11"/>
  <c r="F32" i="11"/>
  <c r="G32" i="11"/>
  <c r="D33" i="11"/>
  <c r="E33" i="11"/>
  <c r="F33" i="11"/>
  <c r="G33" i="11"/>
  <c r="D34" i="11"/>
  <c r="E34" i="11"/>
  <c r="F34" i="11"/>
  <c r="G34" i="11"/>
  <c r="D35" i="11"/>
  <c r="E35" i="11"/>
  <c r="F35" i="11"/>
  <c r="G35" i="11"/>
  <c r="D36" i="11"/>
  <c r="E36" i="11"/>
  <c r="F36" i="11"/>
  <c r="G36" i="11"/>
  <c r="D37" i="11"/>
  <c r="E37" i="11"/>
  <c r="F37" i="11"/>
  <c r="G37" i="11"/>
  <c r="D38" i="11"/>
  <c r="E38" i="11"/>
  <c r="F38" i="11"/>
  <c r="G38" i="11"/>
  <c r="D39" i="11"/>
  <c r="E39" i="11"/>
  <c r="F39" i="11"/>
  <c r="G39" i="11"/>
  <c r="D40" i="11"/>
  <c r="E40" i="11"/>
  <c r="F40" i="11"/>
  <c r="G40" i="11"/>
  <c r="D41" i="11"/>
  <c r="E41" i="11"/>
  <c r="F41" i="11"/>
  <c r="G41" i="11"/>
  <c r="D42" i="11"/>
  <c r="E42" i="11"/>
  <c r="F42" i="11"/>
  <c r="G42" i="11"/>
  <c r="D43" i="11"/>
  <c r="E43" i="11"/>
  <c r="F43" i="11"/>
  <c r="G43" i="11"/>
  <c r="D44" i="11"/>
  <c r="E44" i="11"/>
  <c r="F44" i="11"/>
  <c r="G44" i="11"/>
  <c r="D45" i="11"/>
  <c r="E45" i="11"/>
  <c r="F45" i="11"/>
  <c r="G45" i="11"/>
  <c r="D46" i="11"/>
  <c r="E46" i="11"/>
  <c r="F46" i="11"/>
  <c r="G46" i="11"/>
  <c r="D47" i="11"/>
  <c r="E47" i="11"/>
  <c r="F47" i="11"/>
  <c r="G47" i="11"/>
  <c r="D48" i="11"/>
  <c r="E48" i="11"/>
  <c r="F48" i="11"/>
  <c r="G48" i="11"/>
  <c r="D49" i="11"/>
  <c r="E49" i="11"/>
  <c r="F49" i="11"/>
  <c r="G49" i="11"/>
  <c r="D50" i="11"/>
  <c r="E50" i="11"/>
  <c r="F50" i="11"/>
  <c r="G50" i="11"/>
  <c r="D51" i="11"/>
  <c r="E51" i="11"/>
  <c r="F51" i="11"/>
  <c r="G51" i="11"/>
  <c r="D52" i="11"/>
  <c r="E52" i="11"/>
  <c r="F52" i="11"/>
  <c r="G52" i="11"/>
  <c r="D53" i="11"/>
  <c r="E53" i="11"/>
  <c r="F53" i="11"/>
  <c r="G53" i="11"/>
  <c r="D54" i="11"/>
  <c r="E54" i="11"/>
  <c r="F54" i="11"/>
  <c r="G54" i="11"/>
  <c r="D55" i="11"/>
  <c r="E55" i="11"/>
  <c r="F55" i="11"/>
  <c r="G55" i="11"/>
  <c r="D56" i="11"/>
  <c r="E56" i="11"/>
  <c r="F56" i="11"/>
  <c r="G56" i="11"/>
  <c r="D57" i="11"/>
  <c r="E57" i="11"/>
  <c r="F57" i="11"/>
  <c r="G57" i="11"/>
  <c r="D58" i="11"/>
  <c r="E58" i="11"/>
  <c r="F58" i="11"/>
  <c r="G58" i="11"/>
  <c r="D59" i="11"/>
  <c r="E59" i="11"/>
  <c r="F59" i="11"/>
  <c r="G59" i="11"/>
  <c r="D60" i="11"/>
  <c r="E60" i="11"/>
  <c r="F60" i="11"/>
  <c r="G60" i="11"/>
  <c r="D61" i="11"/>
  <c r="E61" i="11"/>
  <c r="F61" i="11"/>
  <c r="G61" i="11"/>
  <c r="D62" i="11"/>
  <c r="E62" i="11"/>
  <c r="F62" i="11"/>
  <c r="G62" i="11"/>
  <c r="D63" i="11"/>
  <c r="E63" i="11"/>
  <c r="F63" i="11"/>
  <c r="G63" i="11"/>
  <c r="D64" i="11"/>
  <c r="E64" i="11"/>
  <c r="F64" i="11"/>
  <c r="G64" i="11"/>
  <c r="D65" i="11"/>
  <c r="E65" i="11"/>
  <c r="F65" i="11"/>
  <c r="G65" i="11"/>
  <c r="D66" i="11"/>
  <c r="E66" i="11"/>
  <c r="F66" i="11"/>
  <c r="G66" i="11"/>
  <c r="D67" i="11"/>
  <c r="E67" i="11"/>
  <c r="F67" i="11"/>
  <c r="G67" i="11"/>
  <c r="D68" i="11"/>
  <c r="E68" i="11"/>
  <c r="F68" i="11"/>
  <c r="G68" i="11"/>
  <c r="D69" i="11"/>
  <c r="E69" i="11"/>
  <c r="F69" i="11"/>
  <c r="G69" i="11"/>
  <c r="D70" i="11"/>
  <c r="E70" i="11"/>
  <c r="F70" i="11"/>
  <c r="G70" i="11"/>
  <c r="D71" i="11"/>
  <c r="E71" i="11"/>
  <c r="F71" i="11"/>
  <c r="G71" i="11"/>
  <c r="D72" i="11"/>
  <c r="E72" i="11"/>
  <c r="F72" i="11"/>
  <c r="G72" i="11"/>
  <c r="D73" i="11"/>
  <c r="E73" i="11"/>
  <c r="F73" i="11"/>
  <c r="G73" i="11"/>
  <c r="D74" i="11"/>
  <c r="E74" i="11"/>
  <c r="F74" i="11"/>
  <c r="G74" i="11"/>
  <c r="D75" i="11"/>
  <c r="E75" i="11"/>
  <c r="F75" i="11"/>
  <c r="G75" i="11"/>
  <c r="D76" i="11"/>
  <c r="E76" i="11"/>
  <c r="F76" i="11"/>
  <c r="G76" i="11"/>
  <c r="D77" i="11"/>
  <c r="E77" i="11"/>
  <c r="F77" i="11"/>
  <c r="G77" i="11"/>
  <c r="D78" i="11"/>
  <c r="E78" i="11"/>
  <c r="F78" i="11"/>
  <c r="G78" i="11"/>
  <c r="D79" i="11"/>
  <c r="E79" i="11"/>
  <c r="F79" i="11"/>
  <c r="G79" i="11"/>
  <c r="D80" i="11"/>
  <c r="E80" i="11"/>
  <c r="F80" i="11"/>
  <c r="G80" i="11"/>
  <c r="D81" i="11"/>
  <c r="E81" i="11"/>
  <c r="F81" i="11"/>
  <c r="G81" i="11"/>
  <c r="D82" i="11"/>
  <c r="E82" i="11"/>
  <c r="F82" i="11"/>
  <c r="G82" i="11"/>
  <c r="D83" i="11"/>
  <c r="E83" i="11"/>
  <c r="F83" i="11"/>
  <c r="G83" i="11"/>
  <c r="D84" i="11"/>
  <c r="E84" i="11"/>
  <c r="F84" i="11"/>
  <c r="G84" i="11"/>
  <c r="D85" i="11"/>
  <c r="E85" i="11"/>
  <c r="F85" i="11"/>
  <c r="G85" i="11"/>
  <c r="F89" i="11"/>
  <c r="F91" i="11"/>
  <c r="G94" i="11"/>
  <c r="E7" i="11"/>
  <c r="F7" i="11"/>
  <c r="G7" i="11"/>
  <c r="I95" i="11"/>
  <c r="I94" i="11"/>
  <c r="D93" i="11"/>
  <c r="E92" i="11"/>
  <c r="E91" i="11"/>
  <c r="D90" i="11"/>
  <c r="G89" i="11"/>
  <c r="D88" i="11"/>
  <c r="B86" i="11"/>
  <c r="C86" i="11" s="1"/>
  <c r="H5" i="12" l="1"/>
  <c r="H4" i="12"/>
  <c r="H3" i="12"/>
  <c r="I4" i="12"/>
  <c r="I3" i="12"/>
  <c r="I5" i="12"/>
  <c r="J3" i="12"/>
  <c r="J4" i="12"/>
  <c r="J5" i="12"/>
  <c r="G3" i="12"/>
  <c r="G5" i="12"/>
  <c r="G4" i="12"/>
  <c r="E4" i="12"/>
  <c r="E5" i="12"/>
  <c r="E3" i="12"/>
  <c r="F3" i="12"/>
  <c r="F5" i="12"/>
  <c r="F4" i="12"/>
  <c r="D4" i="12"/>
  <c r="D3" i="12"/>
  <c r="D5" i="12"/>
  <c r="L87" i="12"/>
  <c r="J87" i="12"/>
  <c r="D87" i="12"/>
  <c r="E87" i="12"/>
  <c r="F87" i="12"/>
  <c r="G87" i="12"/>
  <c r="H87" i="12"/>
  <c r="I87" i="12"/>
  <c r="I86" i="11"/>
  <c r="D86" i="11"/>
  <c r="J93" i="12"/>
  <c r="I93" i="12"/>
  <c r="J95" i="12"/>
  <c r="I94" i="12"/>
  <c r="H93" i="12"/>
  <c r="I95" i="12"/>
  <c r="H94" i="12"/>
  <c r="G95" i="11"/>
  <c r="E93" i="11"/>
  <c r="H95" i="12"/>
  <c r="G94" i="12"/>
  <c r="F93" i="12"/>
  <c r="E92" i="12"/>
  <c r="D91" i="12"/>
  <c r="J89" i="12"/>
  <c r="I88" i="12"/>
  <c r="G86" i="12"/>
  <c r="L93" i="12"/>
  <c r="F95" i="11"/>
  <c r="G92" i="11"/>
  <c r="G95" i="12"/>
  <c r="F94" i="12"/>
  <c r="E93" i="12"/>
  <c r="D92" i="12"/>
  <c r="J90" i="12"/>
  <c r="I89" i="12"/>
  <c r="H88" i="12"/>
  <c r="F86" i="12"/>
  <c r="L92" i="12"/>
  <c r="D94" i="11"/>
  <c r="F93" i="11"/>
  <c r="G93" i="12"/>
  <c r="E95" i="11"/>
  <c r="D92" i="11"/>
  <c r="F95" i="12"/>
  <c r="E94" i="12"/>
  <c r="J91" i="12"/>
  <c r="I90" i="12"/>
  <c r="H89" i="12"/>
  <c r="G88" i="12"/>
  <c r="E86" i="12"/>
  <c r="L91" i="12"/>
  <c r="J94" i="12"/>
  <c r="D95" i="11"/>
  <c r="G91" i="11"/>
  <c r="I93" i="11"/>
  <c r="E95" i="12"/>
  <c r="D94" i="12"/>
  <c r="H90" i="12"/>
  <c r="F88" i="12"/>
  <c r="D86" i="12"/>
  <c r="D88" i="12"/>
  <c r="J86" i="12"/>
  <c r="L88" i="12"/>
  <c r="G93" i="11"/>
  <c r="I86" i="12"/>
  <c r="H86" i="12"/>
  <c r="G4" i="11"/>
  <c r="G3" i="11"/>
  <c r="G5" i="11"/>
  <c r="F3" i="11"/>
  <c r="F5" i="11"/>
  <c r="F4" i="11"/>
  <c r="H32" i="11"/>
  <c r="F32" i="13" s="1"/>
  <c r="K32" i="13" s="1"/>
  <c r="E5" i="11"/>
  <c r="E3" i="11"/>
  <c r="E4" i="11"/>
  <c r="H11" i="11"/>
  <c r="F11" i="13" s="1"/>
  <c r="K11" i="13" s="1"/>
  <c r="D3" i="11"/>
  <c r="D5" i="11"/>
  <c r="D4" i="11"/>
  <c r="H45" i="11"/>
  <c r="F45" i="13" s="1"/>
  <c r="K45" i="13" s="1"/>
  <c r="H29" i="11"/>
  <c r="F29" i="13" s="1"/>
  <c r="K29" i="13" s="1"/>
  <c r="H48" i="11"/>
  <c r="F48" i="13" s="1"/>
  <c r="K48" i="13" s="1"/>
  <c r="H40" i="11"/>
  <c r="F40" i="13" s="1"/>
  <c r="K40" i="13" s="1"/>
  <c r="H24" i="11"/>
  <c r="F24" i="13" s="1"/>
  <c r="K24" i="13" s="1"/>
  <c r="H16" i="11"/>
  <c r="F16" i="13" s="1"/>
  <c r="K16" i="13" s="1"/>
  <c r="H12" i="11"/>
  <c r="F12" i="13" s="1"/>
  <c r="K12" i="13" s="1"/>
  <c r="H10" i="11"/>
  <c r="H8" i="11"/>
  <c r="F8" i="13" s="1"/>
  <c r="K8" i="13" s="1"/>
  <c r="H83" i="11"/>
  <c r="F83" i="13" s="1"/>
  <c r="K83" i="13" s="1"/>
  <c r="H72" i="11"/>
  <c r="F72" i="13" s="1"/>
  <c r="K72" i="13" s="1"/>
  <c r="H51" i="11"/>
  <c r="F51" i="13" s="1"/>
  <c r="K51" i="13" s="1"/>
  <c r="H75" i="11"/>
  <c r="J75" i="11" s="1"/>
  <c r="H27" i="11"/>
  <c r="J27" i="11" s="1"/>
  <c r="H67" i="11"/>
  <c r="F67" i="13" s="1"/>
  <c r="K67" i="13" s="1"/>
  <c r="H59" i="11"/>
  <c r="J59" i="11" s="1"/>
  <c r="H43" i="11"/>
  <c r="J43" i="11" s="1"/>
  <c r="H37" i="11"/>
  <c r="J37" i="11" s="1"/>
  <c r="H35" i="11"/>
  <c r="J35" i="11" s="1"/>
  <c r="H21" i="11"/>
  <c r="J21" i="11" s="1"/>
  <c r="H19" i="11"/>
  <c r="J19" i="11" s="1"/>
  <c r="H13" i="11"/>
  <c r="F13" i="13" s="1"/>
  <c r="K13" i="13" s="1"/>
  <c r="H53" i="11"/>
  <c r="J53" i="11" s="1"/>
  <c r="H78" i="11"/>
  <c r="F78" i="13" s="1"/>
  <c r="K78" i="13" s="1"/>
  <c r="H70" i="11"/>
  <c r="F70" i="13" s="1"/>
  <c r="K70" i="13" s="1"/>
  <c r="H64" i="11"/>
  <c r="J64" i="11" s="1"/>
  <c r="H56" i="11"/>
  <c r="F56" i="13" s="1"/>
  <c r="K56" i="13" s="1"/>
  <c r="K18" i="12"/>
  <c r="G18" i="13" s="1"/>
  <c r="L18" i="13" s="1"/>
  <c r="K83" i="12"/>
  <c r="K75" i="12"/>
  <c r="K67" i="12"/>
  <c r="K56" i="12"/>
  <c r="K54" i="12"/>
  <c r="K48" i="12"/>
  <c r="K46" i="12"/>
  <c r="G87" i="11"/>
  <c r="I87" i="11"/>
  <c r="E87" i="11"/>
  <c r="D87" i="11"/>
  <c r="F87" i="11"/>
  <c r="D91" i="11"/>
  <c r="D89" i="11"/>
  <c r="H85" i="11"/>
  <c r="H81" i="11"/>
  <c r="H79" i="11"/>
  <c r="H77" i="11"/>
  <c r="H73" i="11"/>
  <c r="H71" i="11"/>
  <c r="H69" i="11"/>
  <c r="H65" i="11"/>
  <c r="H63" i="11"/>
  <c r="H61" i="11"/>
  <c r="H57" i="11"/>
  <c r="H55" i="11"/>
  <c r="H49" i="11"/>
  <c r="H47" i="11"/>
  <c r="H41" i="11"/>
  <c r="H39" i="11"/>
  <c r="H33" i="11"/>
  <c r="H31" i="11"/>
  <c r="H25" i="11"/>
  <c r="H23" i="11"/>
  <c r="H17" i="11"/>
  <c r="H15" i="11"/>
  <c r="H9" i="11"/>
  <c r="I91" i="11"/>
  <c r="E89" i="11"/>
  <c r="I90" i="11"/>
  <c r="F94" i="11"/>
  <c r="F92" i="11"/>
  <c r="H92" i="11" s="1"/>
  <c r="F90" i="11"/>
  <c r="F88" i="11"/>
  <c r="F86" i="11"/>
  <c r="I89" i="11"/>
  <c r="J48" i="11"/>
  <c r="G90" i="11"/>
  <c r="G88" i="11"/>
  <c r="G86" i="11"/>
  <c r="E94" i="11"/>
  <c r="E90" i="11"/>
  <c r="E88" i="11"/>
  <c r="E86" i="11"/>
  <c r="H84" i="11"/>
  <c r="H82" i="11"/>
  <c r="H80" i="11"/>
  <c r="H76" i="11"/>
  <c r="H74" i="11"/>
  <c r="H68" i="11"/>
  <c r="H66" i="11"/>
  <c r="H62" i="11"/>
  <c r="H60" i="11"/>
  <c r="H58" i="11"/>
  <c r="H54" i="11"/>
  <c r="H52" i="11"/>
  <c r="H50" i="11"/>
  <c r="H46" i="11"/>
  <c r="H44" i="11"/>
  <c r="H42" i="11"/>
  <c r="H38" i="11"/>
  <c r="H36" i="11"/>
  <c r="H34" i="11"/>
  <c r="H30" i="11"/>
  <c r="H28" i="11"/>
  <c r="H26" i="11"/>
  <c r="H22" i="11"/>
  <c r="H20" i="11"/>
  <c r="H18" i="11"/>
  <c r="H14" i="11"/>
  <c r="I88" i="11"/>
  <c r="K82" i="12"/>
  <c r="K59" i="12"/>
  <c r="K51" i="12"/>
  <c r="K43" i="12"/>
  <c r="K35" i="12"/>
  <c r="K27" i="12"/>
  <c r="K19" i="12"/>
  <c r="K11" i="12"/>
  <c r="K68" i="12"/>
  <c r="K60" i="12"/>
  <c r="K53" i="12"/>
  <c r="K52" i="12"/>
  <c r="K45" i="12"/>
  <c r="K44" i="12"/>
  <c r="K37" i="12"/>
  <c r="K36" i="12"/>
  <c r="K29" i="12"/>
  <c r="K28" i="12"/>
  <c r="K20" i="12"/>
  <c r="K12" i="12"/>
  <c r="K77" i="12"/>
  <c r="K69" i="12"/>
  <c r="K61" i="12"/>
  <c r="K40" i="12"/>
  <c r="K38" i="12"/>
  <c r="K32" i="12"/>
  <c r="K30" i="12"/>
  <c r="K24" i="12"/>
  <c r="K22" i="12"/>
  <c r="K16" i="12"/>
  <c r="K14" i="12"/>
  <c r="K8" i="12"/>
  <c r="K85" i="12"/>
  <c r="K70" i="12"/>
  <c r="K64" i="12"/>
  <c r="K79" i="12"/>
  <c r="K71" i="12"/>
  <c r="K63" i="12"/>
  <c r="K55" i="12"/>
  <c r="K47" i="12"/>
  <c r="K39" i="12"/>
  <c r="K31" i="12"/>
  <c r="K23" i="12"/>
  <c r="K15" i="12"/>
  <c r="K84" i="12"/>
  <c r="K76" i="12"/>
  <c r="K78" i="12"/>
  <c r="K72" i="12"/>
  <c r="K80" i="12"/>
  <c r="K62" i="12"/>
  <c r="K81" i="12"/>
  <c r="K74" i="12"/>
  <c r="K73" i="12"/>
  <c r="K66" i="12"/>
  <c r="K65" i="12"/>
  <c r="K58" i="12"/>
  <c r="K57" i="12"/>
  <c r="K50" i="12"/>
  <c r="K49" i="12"/>
  <c r="K42" i="12"/>
  <c r="K41" i="12"/>
  <c r="K34" i="12"/>
  <c r="K33" i="12"/>
  <c r="K26" i="12"/>
  <c r="K25" i="12"/>
  <c r="K21" i="12"/>
  <c r="K17" i="12"/>
  <c r="K13" i="12"/>
  <c r="K10" i="12"/>
  <c r="K9" i="12"/>
  <c r="K7" i="12"/>
  <c r="H7" i="11"/>
  <c r="J7" i="11" s="1"/>
  <c r="F10" i="13" l="1"/>
  <c r="K10" i="13" s="1"/>
  <c r="J10" i="11"/>
  <c r="J29" i="11"/>
  <c r="K89" i="12"/>
  <c r="M89" i="12" s="1"/>
  <c r="J78" i="11"/>
  <c r="K3" i="12"/>
  <c r="K4" i="12"/>
  <c r="K5" i="12"/>
  <c r="K91" i="12"/>
  <c r="M91" i="12" s="1"/>
  <c r="K87" i="12"/>
  <c r="M87" i="12" s="1"/>
  <c r="J24" i="11"/>
  <c r="J11" i="11"/>
  <c r="J83" i="11"/>
  <c r="J70" i="11"/>
  <c r="J16" i="11"/>
  <c r="H91" i="11"/>
  <c r="J91" i="11" s="1"/>
  <c r="F37" i="13"/>
  <c r="K37" i="13" s="1"/>
  <c r="J51" i="11"/>
  <c r="F27" i="13"/>
  <c r="K27" i="13" s="1"/>
  <c r="J12" i="11"/>
  <c r="H95" i="11"/>
  <c r="J95" i="11" s="1"/>
  <c r="J40" i="11"/>
  <c r="K88" i="12"/>
  <c r="M88" i="12" s="1"/>
  <c r="K92" i="12"/>
  <c r="M92" i="12" s="1"/>
  <c r="K94" i="12"/>
  <c r="M94" i="12" s="1"/>
  <c r="K95" i="12"/>
  <c r="M95" i="12" s="1"/>
  <c r="F64" i="13"/>
  <c r="K64" i="13" s="1"/>
  <c r="F43" i="13"/>
  <c r="K43" i="13" s="1"/>
  <c r="K86" i="12"/>
  <c r="M86" i="12" s="1"/>
  <c r="K93" i="12"/>
  <c r="M93" i="12" s="1"/>
  <c r="K90" i="12"/>
  <c r="G90" i="13" s="1"/>
  <c r="L90" i="13" s="1"/>
  <c r="J45" i="11"/>
  <c r="H93" i="11"/>
  <c r="F75" i="13"/>
  <c r="K75" i="13" s="1"/>
  <c r="J32" i="11"/>
  <c r="J13" i="11"/>
  <c r="J72" i="11"/>
  <c r="J8" i="11"/>
  <c r="H94" i="11"/>
  <c r="F94" i="13" s="1"/>
  <c r="M18" i="12"/>
  <c r="J93" i="11"/>
  <c r="F59" i="13"/>
  <c r="K59" i="13" s="1"/>
  <c r="H88" i="11"/>
  <c r="J88" i="11" s="1"/>
  <c r="F53" i="13"/>
  <c r="K53" i="13" s="1"/>
  <c r="F19" i="13"/>
  <c r="K19" i="13" s="1"/>
  <c r="H87" i="11"/>
  <c r="J87" i="11" s="1"/>
  <c r="F35" i="13"/>
  <c r="K35" i="13" s="1"/>
  <c r="J56" i="11"/>
  <c r="F21" i="13"/>
  <c r="K21" i="13" s="1"/>
  <c r="H90" i="11"/>
  <c r="J67" i="11"/>
  <c r="H86" i="11"/>
  <c r="F86" i="13" s="1"/>
  <c r="K86" i="13" s="1"/>
  <c r="M28" i="12"/>
  <c r="G28" i="13"/>
  <c r="L28" i="13" s="1"/>
  <c r="M60" i="12"/>
  <c r="G60" i="13"/>
  <c r="L60" i="13" s="1"/>
  <c r="M59" i="12"/>
  <c r="G59" i="13"/>
  <c r="M58" i="12"/>
  <c r="G58" i="13"/>
  <c r="L58" i="13" s="1"/>
  <c r="M65" i="12"/>
  <c r="G65" i="13"/>
  <c r="L65" i="13" s="1"/>
  <c r="M29" i="12"/>
  <c r="G29" i="13"/>
  <c r="M68" i="12"/>
  <c r="G68" i="13"/>
  <c r="L68" i="13" s="1"/>
  <c r="M66" i="12"/>
  <c r="G66" i="13"/>
  <c r="L66" i="13" s="1"/>
  <c r="M7" i="12"/>
  <c r="G7" i="13"/>
  <c r="L7" i="13" s="1"/>
  <c r="M63" i="12"/>
  <c r="G63" i="13"/>
  <c r="L63" i="13" s="1"/>
  <c r="M33" i="12"/>
  <c r="G33" i="13"/>
  <c r="L33" i="13" s="1"/>
  <c r="M71" i="12"/>
  <c r="G71" i="13"/>
  <c r="L71" i="13" s="1"/>
  <c r="M34" i="12"/>
  <c r="G34" i="13"/>
  <c r="L34" i="13" s="1"/>
  <c r="M79" i="12"/>
  <c r="G79" i="13"/>
  <c r="L79" i="13" s="1"/>
  <c r="M11" i="12"/>
  <c r="G11" i="13"/>
  <c r="M22" i="12"/>
  <c r="G22" i="13"/>
  <c r="L22" i="13" s="1"/>
  <c r="M19" i="12"/>
  <c r="G19" i="13"/>
  <c r="L19" i="13" s="1"/>
  <c r="M42" i="12"/>
  <c r="G42" i="13"/>
  <c r="L42" i="13" s="1"/>
  <c r="M74" i="12"/>
  <c r="G74" i="13"/>
  <c r="L74" i="13" s="1"/>
  <c r="M72" i="12"/>
  <c r="G72" i="13"/>
  <c r="M31" i="12"/>
  <c r="G31" i="13"/>
  <c r="L31" i="13" s="1"/>
  <c r="M24" i="12"/>
  <c r="G24" i="13"/>
  <c r="M69" i="12"/>
  <c r="G69" i="13"/>
  <c r="L69" i="13" s="1"/>
  <c r="M44" i="12"/>
  <c r="G44" i="13"/>
  <c r="L44" i="13" s="1"/>
  <c r="M27" i="12"/>
  <c r="G27" i="13"/>
  <c r="M46" i="12"/>
  <c r="G46" i="13"/>
  <c r="L46" i="13" s="1"/>
  <c r="M67" i="12"/>
  <c r="G67" i="13"/>
  <c r="M62" i="12"/>
  <c r="G62" i="13"/>
  <c r="L62" i="13" s="1"/>
  <c r="M9" i="12"/>
  <c r="G9" i="13"/>
  <c r="L9" i="13" s="1"/>
  <c r="M14" i="12"/>
  <c r="G14" i="13"/>
  <c r="L14" i="13" s="1"/>
  <c r="M73" i="12"/>
  <c r="G73" i="13"/>
  <c r="L73" i="13" s="1"/>
  <c r="M37" i="12"/>
  <c r="G37" i="13"/>
  <c r="M78" i="12"/>
  <c r="G78" i="13"/>
  <c r="M64" i="12"/>
  <c r="G64" i="13"/>
  <c r="M30" i="12"/>
  <c r="G30" i="13"/>
  <c r="L30" i="13" s="1"/>
  <c r="M45" i="12"/>
  <c r="G45" i="13"/>
  <c r="M35" i="12"/>
  <c r="G35" i="13"/>
  <c r="L35" i="13" s="1"/>
  <c r="M48" i="12"/>
  <c r="G48" i="13"/>
  <c r="M75" i="12"/>
  <c r="G75" i="13"/>
  <c r="M26" i="12"/>
  <c r="G26" i="13"/>
  <c r="L26" i="13" s="1"/>
  <c r="M40" i="12"/>
  <c r="G40" i="13"/>
  <c r="M80" i="12"/>
  <c r="G80" i="13"/>
  <c r="L80" i="13" s="1"/>
  <c r="M15" i="12"/>
  <c r="G15" i="13"/>
  <c r="L15" i="13" s="1"/>
  <c r="M36" i="12"/>
  <c r="G36" i="13"/>
  <c r="L36" i="13" s="1"/>
  <c r="M81" i="12"/>
  <c r="G81" i="13"/>
  <c r="L81" i="13" s="1"/>
  <c r="M21" i="12"/>
  <c r="G21" i="13"/>
  <c r="L21" i="13" s="1"/>
  <c r="M70" i="12"/>
  <c r="G70" i="13"/>
  <c r="M43" i="12"/>
  <c r="G43" i="13"/>
  <c r="M54" i="12"/>
  <c r="G54" i="13"/>
  <c r="L54" i="13" s="1"/>
  <c r="M83" i="12"/>
  <c r="G83" i="13"/>
  <c r="M8" i="12"/>
  <c r="G8" i="13"/>
  <c r="M10" i="12"/>
  <c r="G10" i="13"/>
  <c r="M16" i="12"/>
  <c r="G16" i="13"/>
  <c r="M82" i="12"/>
  <c r="G82" i="13"/>
  <c r="L82" i="13" s="1"/>
  <c r="M13" i="12"/>
  <c r="G13" i="13"/>
  <c r="M41" i="12"/>
  <c r="G41" i="13"/>
  <c r="L41" i="13" s="1"/>
  <c r="M23" i="12"/>
  <c r="G23" i="13"/>
  <c r="L23" i="13" s="1"/>
  <c r="M61" i="12"/>
  <c r="G61" i="13"/>
  <c r="L61" i="13" s="1"/>
  <c r="M17" i="12"/>
  <c r="G17" i="13"/>
  <c r="L17" i="13" s="1"/>
  <c r="M49" i="12"/>
  <c r="G49" i="13"/>
  <c r="L49" i="13" s="1"/>
  <c r="M39" i="12"/>
  <c r="G39" i="13"/>
  <c r="L39" i="13" s="1"/>
  <c r="M77" i="12"/>
  <c r="G77" i="13"/>
  <c r="L77" i="13" s="1"/>
  <c r="M50" i="12"/>
  <c r="G50" i="13"/>
  <c r="L50" i="13" s="1"/>
  <c r="M76" i="12"/>
  <c r="G76" i="13"/>
  <c r="L76" i="13" s="1"/>
  <c r="M47" i="12"/>
  <c r="G47" i="13"/>
  <c r="L47" i="13" s="1"/>
  <c r="M32" i="12"/>
  <c r="G32" i="13"/>
  <c r="M12" i="12"/>
  <c r="G12" i="13"/>
  <c r="M52" i="12"/>
  <c r="G52" i="13"/>
  <c r="L52" i="13" s="1"/>
  <c r="M25" i="12"/>
  <c r="G25" i="13"/>
  <c r="L25" i="13" s="1"/>
  <c r="M57" i="12"/>
  <c r="G57" i="13"/>
  <c r="L57" i="13" s="1"/>
  <c r="M84" i="12"/>
  <c r="G84" i="13"/>
  <c r="L84" i="13" s="1"/>
  <c r="M55" i="12"/>
  <c r="G55" i="13"/>
  <c r="L55" i="13" s="1"/>
  <c r="M85" i="12"/>
  <c r="G85" i="13"/>
  <c r="L85" i="13" s="1"/>
  <c r="M38" i="12"/>
  <c r="G38" i="13"/>
  <c r="L38" i="13" s="1"/>
  <c r="M20" i="12"/>
  <c r="G20" i="13"/>
  <c r="L20" i="13" s="1"/>
  <c r="M53" i="12"/>
  <c r="G53" i="13"/>
  <c r="M51" i="12"/>
  <c r="G51" i="13"/>
  <c r="M56" i="12"/>
  <c r="G56" i="13"/>
  <c r="F92" i="13"/>
  <c r="J92" i="11"/>
  <c r="F28" i="13"/>
  <c r="J28" i="11"/>
  <c r="F50" i="13"/>
  <c r="K50" i="13" s="1"/>
  <c r="J50" i="11"/>
  <c r="F74" i="13"/>
  <c r="J74" i="11"/>
  <c r="F17" i="13"/>
  <c r="K17" i="13" s="1"/>
  <c r="J17" i="11"/>
  <c r="F49" i="13"/>
  <c r="J49" i="11"/>
  <c r="F73" i="13"/>
  <c r="J73" i="11"/>
  <c r="F15" i="13"/>
  <c r="K15" i="13" s="1"/>
  <c r="J15" i="11"/>
  <c r="F47" i="13"/>
  <c r="K47" i="13" s="1"/>
  <c r="J47" i="11"/>
  <c r="F71" i="13"/>
  <c r="K71" i="13" s="1"/>
  <c r="J71" i="11"/>
  <c r="F23" i="13"/>
  <c r="K23" i="13" s="1"/>
  <c r="J23" i="11"/>
  <c r="F55" i="13"/>
  <c r="K55" i="13" s="1"/>
  <c r="J55" i="11"/>
  <c r="F77" i="13"/>
  <c r="K77" i="13" s="1"/>
  <c r="J77" i="11"/>
  <c r="F30" i="13"/>
  <c r="K30" i="13" s="1"/>
  <c r="J30" i="11"/>
  <c r="F52" i="13"/>
  <c r="K52" i="13" s="1"/>
  <c r="J52" i="11"/>
  <c r="F76" i="13"/>
  <c r="K76" i="13" s="1"/>
  <c r="J76" i="11"/>
  <c r="F25" i="13"/>
  <c r="K25" i="13" s="1"/>
  <c r="J25" i="11"/>
  <c r="F57" i="13"/>
  <c r="K57" i="13" s="1"/>
  <c r="J57" i="11"/>
  <c r="F79" i="13"/>
  <c r="K79" i="13" s="1"/>
  <c r="J79" i="11"/>
  <c r="F34" i="13"/>
  <c r="K34" i="13" s="1"/>
  <c r="J34" i="11"/>
  <c r="F54" i="13"/>
  <c r="K54" i="13" s="1"/>
  <c r="J54" i="11"/>
  <c r="F80" i="13"/>
  <c r="K80" i="13" s="1"/>
  <c r="J80" i="11"/>
  <c r="F31" i="13"/>
  <c r="K31" i="13" s="1"/>
  <c r="J31" i="11"/>
  <c r="F61" i="13"/>
  <c r="K61" i="13" s="1"/>
  <c r="J61" i="11"/>
  <c r="F81" i="13"/>
  <c r="K81" i="13" s="1"/>
  <c r="J81" i="11"/>
  <c r="F87" i="13"/>
  <c r="K87" i="13" s="1"/>
  <c r="F14" i="13"/>
  <c r="K14" i="13" s="1"/>
  <c r="J14" i="11"/>
  <c r="F36" i="13"/>
  <c r="K36" i="13" s="1"/>
  <c r="J36" i="11"/>
  <c r="F58" i="13"/>
  <c r="K58" i="13" s="1"/>
  <c r="J58" i="11"/>
  <c r="F82" i="13"/>
  <c r="K82" i="13" s="1"/>
  <c r="J82" i="11"/>
  <c r="F7" i="13"/>
  <c r="K7" i="13" s="1"/>
  <c r="F18" i="13"/>
  <c r="J18" i="11"/>
  <c r="F38" i="13"/>
  <c r="K38" i="13" s="1"/>
  <c r="J38" i="11"/>
  <c r="F60" i="13"/>
  <c r="J60" i="11"/>
  <c r="F84" i="13"/>
  <c r="K84" i="13" s="1"/>
  <c r="J84" i="11"/>
  <c r="F33" i="13"/>
  <c r="K33" i="13" s="1"/>
  <c r="J33" i="11"/>
  <c r="F63" i="13"/>
  <c r="K63" i="13" s="1"/>
  <c r="J63" i="11"/>
  <c r="F85" i="13"/>
  <c r="K85" i="13" s="1"/>
  <c r="J85" i="11"/>
  <c r="F39" i="13"/>
  <c r="K39" i="13" s="1"/>
  <c r="J39" i="11"/>
  <c r="F65" i="13"/>
  <c r="K65" i="13" s="1"/>
  <c r="J65" i="11"/>
  <c r="H89" i="11"/>
  <c r="F26" i="13"/>
  <c r="J26" i="11"/>
  <c r="F46" i="13"/>
  <c r="K46" i="13" s="1"/>
  <c r="J46" i="11"/>
  <c r="F68" i="13"/>
  <c r="J68" i="11"/>
  <c r="F20" i="13"/>
  <c r="K20" i="13" s="1"/>
  <c r="J20" i="11"/>
  <c r="F42" i="13"/>
  <c r="J42" i="11"/>
  <c r="F62" i="13"/>
  <c r="K62" i="13" s="1"/>
  <c r="J62" i="11"/>
  <c r="F22" i="13"/>
  <c r="J22" i="11"/>
  <c r="F44" i="13"/>
  <c r="J44" i="11"/>
  <c r="F66" i="13"/>
  <c r="K66" i="13" s="1"/>
  <c r="J66" i="11"/>
  <c r="F88" i="13"/>
  <c r="F9" i="13"/>
  <c r="J9" i="11"/>
  <c r="F41" i="13"/>
  <c r="K41" i="13" s="1"/>
  <c r="J41" i="11"/>
  <c r="F69" i="13"/>
  <c r="K69" i="13" s="1"/>
  <c r="J69" i="11"/>
  <c r="H5" i="11"/>
  <c r="H3" i="11"/>
  <c r="H4" i="11"/>
  <c r="F91" i="13" l="1"/>
  <c r="K91" i="13" s="1"/>
  <c r="J94" i="11"/>
  <c r="G89" i="13"/>
  <c r="L89" i="13" s="1"/>
  <c r="G93" i="13"/>
  <c r="L93" i="13" s="1"/>
  <c r="G88" i="13"/>
  <c r="L88" i="13" s="1"/>
  <c r="G92" i="13"/>
  <c r="L92" i="13" s="1"/>
  <c r="G87" i="13"/>
  <c r="L87" i="13" s="1"/>
  <c r="G94" i="13"/>
  <c r="L94" i="13" s="1"/>
  <c r="G95" i="13"/>
  <c r="L95" i="13" s="1"/>
  <c r="F95" i="13"/>
  <c r="K95" i="13" s="1"/>
  <c r="G86" i="13"/>
  <c r="L86" i="13" s="1"/>
  <c r="G91" i="13"/>
  <c r="L91" i="13" s="1"/>
  <c r="M90" i="12"/>
  <c r="F90" i="13"/>
  <c r="K90" i="13" s="1"/>
  <c r="F93" i="13"/>
  <c r="K93" i="13" s="1"/>
  <c r="H59" i="13"/>
  <c r="L59" i="13"/>
  <c r="H72" i="13"/>
  <c r="L72" i="13"/>
  <c r="H51" i="13"/>
  <c r="L51" i="13"/>
  <c r="H43" i="13"/>
  <c r="L43" i="13"/>
  <c r="H8" i="13"/>
  <c r="L8" i="13"/>
  <c r="H40" i="13"/>
  <c r="L40" i="13"/>
  <c r="H64" i="13"/>
  <c r="L64" i="13"/>
  <c r="H24" i="13"/>
  <c r="L24" i="13"/>
  <c r="H32" i="13"/>
  <c r="L32" i="13"/>
  <c r="H48" i="13"/>
  <c r="L48" i="13"/>
  <c r="H70" i="13"/>
  <c r="L70" i="13"/>
  <c r="H11" i="13"/>
  <c r="L11" i="13"/>
  <c r="H53" i="13"/>
  <c r="L53" i="13"/>
  <c r="H16" i="13"/>
  <c r="L16" i="13"/>
  <c r="H78" i="13"/>
  <c r="L78" i="13"/>
  <c r="H27" i="13"/>
  <c r="L27" i="13"/>
  <c r="H83" i="13"/>
  <c r="L83" i="13"/>
  <c r="H56" i="13"/>
  <c r="L56" i="13"/>
  <c r="H75" i="13"/>
  <c r="L75" i="13"/>
  <c r="H45" i="13"/>
  <c r="L45" i="13"/>
  <c r="H37" i="13"/>
  <c r="L37" i="13"/>
  <c r="H67" i="13"/>
  <c r="L67" i="13"/>
  <c r="H29" i="13"/>
  <c r="L29" i="13"/>
  <c r="H13" i="13"/>
  <c r="L13" i="13"/>
  <c r="H12" i="13"/>
  <c r="L12" i="13"/>
  <c r="H10" i="13"/>
  <c r="L10" i="13"/>
  <c r="H21" i="13"/>
  <c r="K92" i="13"/>
  <c r="H60" i="13"/>
  <c r="K60" i="13"/>
  <c r="H73" i="13"/>
  <c r="K73" i="13"/>
  <c r="H42" i="13"/>
  <c r="K42" i="13"/>
  <c r="H28" i="13"/>
  <c r="K28" i="13"/>
  <c r="H44" i="13"/>
  <c r="K44" i="13"/>
  <c r="H49" i="13"/>
  <c r="K49" i="13"/>
  <c r="H26" i="13"/>
  <c r="K26" i="13"/>
  <c r="H22" i="13"/>
  <c r="K22" i="13"/>
  <c r="H9" i="13"/>
  <c r="K9" i="13"/>
  <c r="K94" i="13"/>
  <c r="H18" i="13"/>
  <c r="K18" i="13"/>
  <c r="H74" i="13"/>
  <c r="K74" i="13"/>
  <c r="K88" i="13"/>
  <c r="H68" i="13"/>
  <c r="K68" i="13"/>
  <c r="H82" i="13"/>
  <c r="H63" i="13"/>
  <c r="H38" i="13"/>
  <c r="H58" i="13"/>
  <c r="H81" i="13"/>
  <c r="H20" i="13"/>
  <c r="H65" i="13"/>
  <c r="H33" i="13"/>
  <c r="H36" i="13"/>
  <c r="H61" i="13"/>
  <c r="H34" i="13"/>
  <c r="H76" i="13"/>
  <c r="H15" i="13"/>
  <c r="H39" i="13"/>
  <c r="H84" i="13"/>
  <c r="H31" i="13"/>
  <c r="H79" i="13"/>
  <c r="H52" i="13"/>
  <c r="H23" i="13"/>
  <c r="H17" i="13"/>
  <c r="H14" i="13"/>
  <c r="H69" i="13"/>
  <c r="H66" i="13"/>
  <c r="H46" i="13"/>
  <c r="H50" i="13"/>
  <c r="H85" i="13"/>
  <c r="H80" i="13"/>
  <c r="H57" i="13"/>
  <c r="H30" i="13"/>
  <c r="H71" i="13"/>
  <c r="H35" i="13"/>
  <c r="H19" i="13"/>
  <c r="J90" i="11"/>
  <c r="J86" i="11"/>
  <c r="H7" i="13"/>
  <c r="F3" i="13"/>
  <c r="F4" i="13"/>
  <c r="F5" i="13"/>
  <c r="H54" i="13"/>
  <c r="H25" i="13"/>
  <c r="H77" i="13"/>
  <c r="H47" i="13"/>
  <c r="H62" i="13"/>
  <c r="G5" i="13"/>
  <c r="G3" i="13"/>
  <c r="G4" i="13"/>
  <c r="H41" i="13"/>
  <c r="H55" i="13"/>
  <c r="F89" i="13"/>
  <c r="J89" i="11"/>
  <c r="Q3" i="1"/>
  <c r="R3" i="1" s="1"/>
  <c r="T3" i="1" s="1"/>
  <c r="Q4" i="1"/>
  <c r="R4" i="1" s="1"/>
  <c r="T4" i="1" s="1"/>
  <c r="Q5" i="1"/>
  <c r="R5" i="1" s="1"/>
  <c r="T5" i="1" s="1"/>
  <c r="Q6" i="1"/>
  <c r="R6" i="1" s="1"/>
  <c r="T6" i="1" s="1"/>
  <c r="Q7" i="1"/>
  <c r="R7" i="1" s="1"/>
  <c r="T7" i="1" s="1"/>
  <c r="Q8" i="1"/>
  <c r="R8" i="1" s="1"/>
  <c r="T8" i="1" s="1"/>
  <c r="Q9" i="1"/>
  <c r="Q10" i="1"/>
  <c r="R10" i="1" s="1"/>
  <c r="T10" i="1" s="1"/>
  <c r="Q11" i="1"/>
  <c r="R11" i="1" s="1"/>
  <c r="T11" i="1" s="1"/>
  <c r="Q12" i="1"/>
  <c r="R12" i="1" s="1"/>
  <c r="T12" i="1" s="1"/>
  <c r="Q13" i="1"/>
  <c r="R13" i="1" s="1"/>
  <c r="Q14" i="1"/>
  <c r="R14" i="1" s="1"/>
  <c r="Q15" i="1"/>
  <c r="R15" i="1" s="1"/>
  <c r="Q16" i="1"/>
  <c r="R16" i="1" s="1"/>
  <c r="Q17" i="1"/>
  <c r="R17" i="1" s="1"/>
  <c r="Q18" i="1"/>
  <c r="R18" i="1" s="1"/>
  <c r="Q19" i="1"/>
  <c r="R19" i="1" s="1"/>
  <c r="Q20" i="1"/>
  <c r="Q21" i="1"/>
  <c r="R21" i="1" s="1"/>
  <c r="Q22" i="1"/>
  <c r="R22" i="1" s="1"/>
  <c r="T22" i="1" s="1"/>
  <c r="Q23" i="1"/>
  <c r="R23" i="1" s="1"/>
  <c r="Q24" i="1"/>
  <c r="R24" i="1" s="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T40" i="1" s="1"/>
  <c r="Q41" i="1"/>
  <c r="R41" i="1" s="1"/>
  <c r="T41" i="1" s="1"/>
  <c r="Q42" i="1"/>
  <c r="R42" i="1" s="1"/>
  <c r="T42" i="1" s="1"/>
  <c r="Q43" i="1"/>
  <c r="R43" i="1" s="1"/>
  <c r="T43" i="1" s="1"/>
  <c r="Q44" i="1"/>
  <c r="R44" i="1" s="1"/>
  <c r="T44" i="1" s="1"/>
  <c r="Q45" i="1"/>
  <c r="R45" i="1" s="1"/>
  <c r="T45" i="1" s="1"/>
  <c r="Q46" i="1"/>
  <c r="R46" i="1" s="1"/>
  <c r="T46" i="1" s="1"/>
  <c r="Q47" i="1"/>
  <c r="R47" i="1" s="1"/>
  <c r="T47" i="1" s="1"/>
  <c r="Q48" i="1"/>
  <c r="R48" i="1" s="1"/>
  <c r="T48" i="1" s="1"/>
  <c r="Q49" i="1"/>
  <c r="R49" i="1" s="1"/>
  <c r="T49" i="1" s="1"/>
  <c r="Q50" i="1"/>
  <c r="R50" i="1" s="1"/>
  <c r="T50" i="1" s="1"/>
  <c r="Q51" i="1"/>
  <c r="R51" i="1" s="1"/>
  <c r="T51" i="1" s="1"/>
  <c r="Q52" i="1"/>
  <c r="R52" i="1" s="1"/>
  <c r="T52" i="1" s="1"/>
  <c r="Q53" i="1"/>
  <c r="R53" i="1" s="1"/>
  <c r="T53" i="1" s="1"/>
  <c r="Q54" i="1"/>
  <c r="R54" i="1" s="1"/>
  <c r="T54" i="1" s="1"/>
  <c r="Q55" i="1"/>
  <c r="R55" i="1" s="1"/>
  <c r="T55" i="1" s="1"/>
  <c r="Q56" i="1"/>
  <c r="R56" i="1" s="1"/>
  <c r="T56" i="1" s="1"/>
  <c r="Q57" i="1"/>
  <c r="R57" i="1" s="1"/>
  <c r="T57" i="1" s="1"/>
  <c r="Q58" i="1"/>
  <c r="R58" i="1" s="1"/>
  <c r="T58" i="1" s="1"/>
  <c r="Q59" i="1"/>
  <c r="R59" i="1" s="1"/>
  <c r="T59" i="1" s="1"/>
  <c r="Q60" i="1"/>
  <c r="R60" i="1" s="1"/>
  <c r="T60" i="1" s="1"/>
  <c r="Q61" i="1"/>
  <c r="R61" i="1" s="1"/>
  <c r="T61" i="1" s="1"/>
  <c r="Q62" i="1"/>
  <c r="R62" i="1" s="1"/>
  <c r="T62" i="1" s="1"/>
  <c r="Q63" i="1"/>
  <c r="R63" i="1" s="1"/>
  <c r="T63" i="1" s="1"/>
  <c r="Q64" i="1"/>
  <c r="R64" i="1" s="1"/>
  <c r="T64" i="1" s="1"/>
  <c r="Q65" i="1"/>
  <c r="R65" i="1" s="1"/>
  <c r="T65" i="1" s="1"/>
  <c r="Q66" i="1"/>
  <c r="R66" i="1" s="1"/>
  <c r="T66" i="1" s="1"/>
  <c r="Q67" i="1"/>
  <c r="R67" i="1" s="1"/>
  <c r="T67" i="1" s="1"/>
  <c r="Q68" i="1"/>
  <c r="R68" i="1" s="1"/>
  <c r="T68" i="1" s="1"/>
  <c r="Q69" i="1"/>
  <c r="R69" i="1" s="1"/>
  <c r="T69" i="1" s="1"/>
  <c r="Q70" i="1"/>
  <c r="R70" i="1" s="1"/>
  <c r="T70" i="1" s="1"/>
  <c r="Q71" i="1"/>
  <c r="R71" i="1" s="1"/>
  <c r="T71" i="1" s="1"/>
  <c r="Q72" i="1"/>
  <c r="R72" i="1" s="1"/>
  <c r="T72" i="1" s="1"/>
  <c r="Q73" i="1"/>
  <c r="R73" i="1" s="1"/>
  <c r="T73" i="1" s="1"/>
  <c r="Q74" i="1"/>
  <c r="R74" i="1" s="1"/>
  <c r="T74" i="1" s="1"/>
  <c r="Q75" i="1"/>
  <c r="R75" i="1" s="1"/>
  <c r="T75" i="1" s="1"/>
  <c r="Q76" i="1"/>
  <c r="R76" i="1" s="1"/>
  <c r="T76" i="1" s="1"/>
  <c r="Q77" i="1"/>
  <c r="R77" i="1" s="1"/>
  <c r="T77" i="1" s="1"/>
  <c r="Q78" i="1"/>
  <c r="R78" i="1" s="1"/>
  <c r="T78" i="1" s="1"/>
  <c r="Q79" i="1"/>
  <c r="R79" i="1" s="1"/>
  <c r="T79" i="1" s="1"/>
  <c r="Q80" i="1"/>
  <c r="R80" i="1" s="1"/>
  <c r="T80" i="1" s="1"/>
  <c r="Q81" i="1"/>
  <c r="R81" i="1" s="1"/>
  <c r="T81" i="1" s="1"/>
  <c r="Q82" i="1"/>
  <c r="Q83" i="1"/>
  <c r="R83" i="1" s="1"/>
  <c r="T83" i="1" s="1"/>
  <c r="Q84" i="1"/>
  <c r="R84" i="1" s="1"/>
  <c r="T84" i="1" s="1"/>
  <c r="Q85" i="1"/>
  <c r="R85" i="1" s="1"/>
  <c r="T85" i="1" s="1"/>
  <c r="Q86" i="1"/>
  <c r="R86" i="1" s="1"/>
  <c r="T86" i="1" s="1"/>
  <c r="Q87" i="1"/>
  <c r="R87" i="1" s="1"/>
  <c r="T87" i="1" s="1"/>
  <c r="Q88" i="1"/>
  <c r="R88" i="1" s="1"/>
  <c r="T88" i="1" s="1"/>
  <c r="Q89" i="1"/>
  <c r="R89" i="1" s="1"/>
  <c r="T89" i="1" s="1"/>
  <c r="Q90" i="1"/>
  <c r="R90" i="1" s="1"/>
  <c r="T90" i="1" s="1"/>
  <c r="Q91" i="1"/>
  <c r="R91" i="1" s="1"/>
  <c r="T91" i="1" s="1"/>
  <c r="Q92" i="1"/>
  <c r="R92" i="1" s="1"/>
  <c r="T92" i="1" s="1"/>
  <c r="Q93" i="1"/>
  <c r="R93" i="1" s="1"/>
  <c r="T93" i="1" s="1"/>
  <c r="Q94" i="1"/>
  <c r="R94" i="1" s="1"/>
  <c r="T94" i="1" s="1"/>
  <c r="Q95" i="1"/>
  <c r="R95" i="1" s="1"/>
  <c r="T95" i="1" s="1"/>
  <c r="Q96" i="1"/>
  <c r="R96" i="1" s="1"/>
  <c r="T96" i="1" s="1"/>
  <c r="Q97" i="1"/>
  <c r="R97" i="1" s="1"/>
  <c r="T97" i="1" s="1"/>
  <c r="Q98" i="1"/>
  <c r="Q99" i="1"/>
  <c r="R99" i="1" s="1"/>
  <c r="T99" i="1" s="1"/>
  <c r="Q100" i="1"/>
  <c r="R100" i="1" s="1"/>
  <c r="T100" i="1" s="1"/>
  <c r="Q101" i="1"/>
  <c r="R101" i="1" s="1"/>
  <c r="T101" i="1" s="1"/>
  <c r="Q102" i="1"/>
  <c r="R102" i="1" s="1"/>
  <c r="T102" i="1" s="1"/>
  <c r="Q103" i="1"/>
  <c r="R103" i="1" s="1"/>
  <c r="T103" i="1" s="1"/>
  <c r="Q104" i="1"/>
  <c r="R104" i="1" s="1"/>
  <c r="T104" i="1" s="1"/>
  <c r="Q105" i="1"/>
  <c r="R105" i="1" s="1"/>
  <c r="T105" i="1" s="1"/>
  <c r="Q106" i="1"/>
  <c r="R106" i="1" s="1"/>
  <c r="T106" i="1" s="1"/>
  <c r="Q107" i="1"/>
  <c r="R107" i="1" s="1"/>
  <c r="T107" i="1" s="1"/>
  <c r="Q108" i="1"/>
  <c r="R108" i="1" s="1"/>
  <c r="T108" i="1" s="1"/>
  <c r="Q109" i="1"/>
  <c r="R109" i="1" s="1"/>
  <c r="T109" i="1" s="1"/>
  <c r="Q110" i="1"/>
  <c r="R110" i="1" s="1"/>
  <c r="T110" i="1" s="1"/>
  <c r="Q111" i="1"/>
  <c r="R111" i="1" s="1"/>
  <c r="T111" i="1" s="1"/>
  <c r="Q112" i="1"/>
  <c r="Q113" i="1"/>
  <c r="R113" i="1" s="1"/>
  <c r="T113" i="1" s="1"/>
  <c r="Q114" i="1"/>
  <c r="R114" i="1" s="1"/>
  <c r="T114" i="1" s="1"/>
  <c r="Q115" i="1"/>
  <c r="R115" i="1" s="1"/>
  <c r="T115" i="1" s="1"/>
  <c r="Q116" i="1"/>
  <c r="R116" i="1" s="1"/>
  <c r="T116" i="1" s="1"/>
  <c r="Q117" i="1"/>
  <c r="R117" i="1" s="1"/>
  <c r="T117" i="1" s="1"/>
  <c r="Q118" i="1"/>
  <c r="R118" i="1" s="1"/>
  <c r="T118" i="1" s="1"/>
  <c r="Q119" i="1"/>
  <c r="R119" i="1" s="1"/>
  <c r="T119" i="1" s="1"/>
  <c r="Q120" i="1"/>
  <c r="R120" i="1" s="1"/>
  <c r="T120" i="1" s="1"/>
  <c r="Q121" i="1"/>
  <c r="R121" i="1" s="1"/>
  <c r="T121" i="1" s="1"/>
  <c r="Q122" i="1"/>
  <c r="R122" i="1" s="1"/>
  <c r="T122" i="1" s="1"/>
  <c r="Q123" i="1"/>
  <c r="R123" i="1" s="1"/>
  <c r="T123" i="1" s="1"/>
  <c r="Q124" i="1"/>
  <c r="R124" i="1" s="1"/>
  <c r="T124" i="1" s="1"/>
  <c r="Q125" i="1"/>
  <c r="R125" i="1" s="1"/>
  <c r="T125" i="1" s="1"/>
  <c r="Q126" i="1"/>
  <c r="R126" i="1" s="1"/>
  <c r="T126" i="1" s="1"/>
  <c r="Q127" i="1"/>
  <c r="R127" i="1" s="1"/>
  <c r="T127" i="1" s="1"/>
  <c r="Q128" i="1"/>
  <c r="R128" i="1" s="1"/>
  <c r="T128" i="1" s="1"/>
  <c r="Q129" i="1"/>
  <c r="R129" i="1" s="1"/>
  <c r="T129" i="1" s="1"/>
  <c r="Q130" i="1"/>
  <c r="R130" i="1" s="1"/>
  <c r="T130" i="1" s="1"/>
  <c r="Q131" i="1"/>
  <c r="R131" i="1" s="1"/>
  <c r="T131" i="1" s="1"/>
  <c r="Q132" i="1"/>
  <c r="R132" i="1" s="1"/>
  <c r="T132" i="1" s="1"/>
  <c r="Q133" i="1"/>
  <c r="R133" i="1" s="1"/>
  <c r="T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Q157" i="1"/>
  <c r="R157" i="1" s="1"/>
  <c r="Q158" i="1"/>
  <c r="R158" i="1" s="1"/>
  <c r="Q159" i="1"/>
  <c r="R159" i="1" s="1"/>
  <c r="Q160" i="1"/>
  <c r="R160" i="1" s="1"/>
  <c r="Q161" i="1"/>
  <c r="Q162" i="1"/>
  <c r="R162" i="1" s="1"/>
  <c r="Q163" i="1"/>
  <c r="R163" i="1" s="1"/>
  <c r="Q164" i="1"/>
  <c r="Q165" i="1"/>
  <c r="R165" i="1" s="1"/>
  <c r="Q166" i="1"/>
  <c r="R166" i="1" s="1"/>
  <c r="Q167" i="1"/>
  <c r="R167" i="1" s="1"/>
  <c r="Q168" i="1"/>
  <c r="R168" i="1" s="1"/>
  <c r="Q169" i="1"/>
  <c r="R169" i="1" s="1"/>
  <c r="Q170" i="1"/>
  <c r="R170" i="1" s="1"/>
  <c r="Q171" i="1"/>
  <c r="R171" i="1" s="1"/>
  <c r="Q172" i="1"/>
  <c r="Q173" i="1"/>
  <c r="R173" i="1" s="1"/>
  <c r="Q174" i="1"/>
  <c r="R174" i="1" s="1"/>
  <c r="Q175" i="1"/>
  <c r="R175" i="1" s="1"/>
  <c r="Q176" i="1"/>
  <c r="R176" i="1" s="1"/>
  <c r="Q177" i="1"/>
  <c r="Q178" i="1"/>
  <c r="R178" i="1" s="1"/>
  <c r="Q179" i="1"/>
  <c r="R179" i="1" s="1"/>
  <c r="Q180" i="1"/>
  <c r="R180" i="1" s="1"/>
  <c r="T180" i="1" s="1"/>
  <c r="Q181" i="1"/>
  <c r="R181" i="1" s="1"/>
  <c r="T181" i="1" s="1"/>
  <c r="Q182" i="1"/>
  <c r="R182" i="1" s="1"/>
  <c r="T182" i="1" s="1"/>
  <c r="Q183" i="1"/>
  <c r="R183" i="1" s="1"/>
  <c r="T183" i="1" s="1"/>
  <c r="Q184" i="1"/>
  <c r="R184" i="1" s="1"/>
  <c r="T184" i="1" s="1"/>
  <c r="Q185" i="1"/>
  <c r="R185" i="1" s="1"/>
  <c r="T185" i="1" s="1"/>
  <c r="Q186" i="1"/>
  <c r="R186" i="1" s="1"/>
  <c r="T186" i="1" s="1"/>
  <c r="Q187" i="1"/>
  <c r="R187" i="1" s="1"/>
  <c r="T187" i="1" s="1"/>
  <c r="Q188" i="1"/>
  <c r="R188" i="1" s="1"/>
  <c r="T188" i="1" s="1"/>
  <c r="Q189" i="1"/>
  <c r="R189" i="1" s="1"/>
  <c r="T189" i="1" s="1"/>
  <c r="Q190" i="1"/>
  <c r="R190" i="1" s="1"/>
  <c r="T190" i="1" s="1"/>
  <c r="Q191" i="1"/>
  <c r="R191" i="1" s="1"/>
  <c r="T191" i="1" s="1"/>
  <c r="Q192" i="1"/>
  <c r="R192" i="1" s="1"/>
  <c r="T192" i="1" s="1"/>
  <c r="Q193" i="1"/>
  <c r="R193" i="1" s="1"/>
  <c r="T193" i="1" s="1"/>
  <c r="Q194" i="1"/>
  <c r="R194" i="1" s="1"/>
  <c r="T194" i="1" s="1"/>
  <c r="Q195" i="1"/>
  <c r="R195" i="1" s="1"/>
  <c r="T195" i="1" s="1"/>
  <c r="Q196" i="1"/>
  <c r="R196" i="1" s="1"/>
  <c r="T196" i="1" s="1"/>
  <c r="Q197" i="1"/>
  <c r="R197" i="1" s="1"/>
  <c r="T197" i="1" s="1"/>
  <c r="Q198" i="1"/>
  <c r="R198" i="1" s="1"/>
  <c r="T198" i="1" s="1"/>
  <c r="Q199" i="1"/>
  <c r="R199" i="1" s="1"/>
  <c r="T199" i="1" s="1"/>
  <c r="Q200" i="1"/>
  <c r="R200" i="1" s="1"/>
  <c r="T200" i="1" s="1"/>
  <c r="Q201" i="1"/>
  <c r="R201" i="1" s="1"/>
  <c r="T201" i="1" s="1"/>
  <c r="Q202" i="1"/>
  <c r="R202" i="1" s="1"/>
  <c r="T202" i="1" s="1"/>
  <c r="Q203" i="1"/>
  <c r="R203" i="1" s="1"/>
  <c r="T203" i="1" s="1"/>
  <c r="Q204" i="1"/>
  <c r="R204" i="1" s="1"/>
  <c r="T204" i="1" s="1"/>
  <c r="Q205" i="1"/>
  <c r="R205" i="1" s="1"/>
  <c r="T205" i="1" s="1"/>
  <c r="Q206" i="1"/>
  <c r="R206" i="1" s="1"/>
  <c r="T206" i="1" s="1"/>
  <c r="Q207" i="1"/>
  <c r="R207" i="1" s="1"/>
  <c r="T207" i="1" s="1"/>
  <c r="Q208" i="1"/>
  <c r="R208" i="1" s="1"/>
  <c r="T208" i="1" s="1"/>
  <c r="Q209" i="1"/>
  <c r="R209" i="1" s="1"/>
  <c r="T209" i="1" s="1"/>
  <c r="Q210" i="1"/>
  <c r="R210" i="1" s="1"/>
  <c r="T210" i="1" s="1"/>
  <c r="Q211" i="1"/>
  <c r="R211" i="1" s="1"/>
  <c r="T211" i="1" s="1"/>
  <c r="Q212" i="1"/>
  <c r="R212" i="1" s="1"/>
  <c r="T212" i="1" s="1"/>
  <c r="Q213" i="1"/>
  <c r="R213" i="1" s="1"/>
  <c r="T213" i="1" s="1"/>
  <c r="Q214" i="1"/>
  <c r="R214" i="1" s="1"/>
  <c r="T214" i="1" s="1"/>
  <c r="Q215" i="1"/>
  <c r="R215" i="1" s="1"/>
  <c r="T215" i="1" s="1"/>
  <c r="Q216" i="1"/>
  <c r="R216" i="1" s="1"/>
  <c r="T216" i="1" s="1"/>
  <c r="Q217" i="1"/>
  <c r="R217" i="1" s="1"/>
  <c r="T217" i="1" s="1"/>
  <c r="Q218" i="1"/>
  <c r="R218" i="1" s="1"/>
  <c r="T218" i="1" s="1"/>
  <c r="Q219" i="1"/>
  <c r="R219" i="1" s="1"/>
  <c r="T219" i="1" s="1"/>
  <c r="Q220" i="1"/>
  <c r="R220" i="1" s="1"/>
  <c r="T220" i="1" s="1"/>
  <c r="Q221" i="1"/>
  <c r="R221" i="1" s="1"/>
  <c r="T221" i="1" s="1"/>
  <c r="Q222" i="1"/>
  <c r="R222" i="1" s="1"/>
  <c r="T222" i="1" s="1"/>
  <c r="Q223" i="1"/>
  <c r="R223" i="1" s="1"/>
  <c r="T223" i="1" s="1"/>
  <c r="Q224" i="1"/>
  <c r="R224" i="1" s="1"/>
  <c r="T224" i="1" s="1"/>
  <c r="Q225" i="1"/>
  <c r="R225" i="1" s="1"/>
  <c r="T225" i="1" s="1"/>
  <c r="Q226" i="1"/>
  <c r="R226" i="1" s="1"/>
  <c r="T226" i="1" s="1"/>
  <c r="Q227" i="1"/>
  <c r="R227" i="1" s="1"/>
  <c r="T227" i="1" s="1"/>
  <c r="Q228" i="1"/>
  <c r="R228" i="1" s="1"/>
  <c r="T228" i="1" s="1"/>
  <c r="Q229" i="1"/>
  <c r="R229" i="1" s="1"/>
  <c r="T229" i="1" s="1"/>
  <c r="Q230" i="1"/>
  <c r="R230" i="1" s="1"/>
  <c r="T230" i="1" s="1"/>
  <c r="Q231" i="1"/>
  <c r="R231" i="1" s="1"/>
  <c r="T231" i="1" s="1"/>
  <c r="Q232" i="1"/>
  <c r="R232" i="1" s="1"/>
  <c r="T232" i="1" s="1"/>
  <c r="Q233" i="1"/>
  <c r="R233" i="1" s="1"/>
  <c r="T233" i="1" s="1"/>
  <c r="Q234" i="1"/>
  <c r="R234" i="1" s="1"/>
  <c r="T234" i="1" s="1"/>
  <c r="Q235" i="1"/>
  <c r="R235" i="1" s="1"/>
  <c r="T235" i="1" s="1"/>
  <c r="Q236" i="1"/>
  <c r="R236" i="1" s="1"/>
  <c r="T236" i="1" s="1"/>
  <c r="Q237" i="1"/>
  <c r="R237" i="1" s="1"/>
  <c r="T237" i="1" s="1"/>
  <c r="Q238" i="1"/>
  <c r="R238" i="1" s="1"/>
  <c r="T238" i="1" s="1"/>
  <c r="Q239" i="1"/>
  <c r="R239" i="1" s="1"/>
  <c r="T239" i="1" s="1"/>
  <c r="Q240" i="1"/>
  <c r="R240" i="1" s="1"/>
  <c r="T240" i="1" s="1"/>
  <c r="Q241" i="1"/>
  <c r="R241" i="1" s="1"/>
  <c r="T241" i="1" s="1"/>
  <c r="Q242" i="1"/>
  <c r="R242" i="1" s="1"/>
  <c r="T242" i="1" s="1"/>
  <c r="Q243" i="1"/>
  <c r="R243" i="1" s="1"/>
  <c r="T243" i="1" s="1"/>
  <c r="Q244" i="1"/>
  <c r="Q245" i="1"/>
  <c r="R245" i="1" s="1"/>
  <c r="T245" i="1" s="1"/>
  <c r="Q246" i="1"/>
  <c r="R246" i="1" s="1"/>
  <c r="T246" i="1" s="1"/>
  <c r="Q247" i="1"/>
  <c r="R247" i="1" s="1"/>
  <c r="T247" i="1" s="1"/>
  <c r="Q248" i="1"/>
  <c r="R248" i="1" s="1"/>
  <c r="T248" i="1" s="1"/>
  <c r="Q249" i="1"/>
  <c r="R249" i="1" s="1"/>
  <c r="T249" i="1" s="1"/>
  <c r="Q250" i="1"/>
  <c r="R250" i="1" s="1"/>
  <c r="T250" i="1" s="1"/>
  <c r="Q251" i="1"/>
  <c r="R251" i="1" s="1"/>
  <c r="T251" i="1" s="1"/>
  <c r="Q252" i="1"/>
  <c r="Q253" i="1"/>
  <c r="R253" i="1" s="1"/>
  <c r="T253" i="1" s="1"/>
  <c r="Q254" i="1"/>
  <c r="R254" i="1" s="1"/>
  <c r="T254" i="1" s="1"/>
  <c r="Q255" i="1"/>
  <c r="R255" i="1" s="1"/>
  <c r="T255" i="1" s="1"/>
  <c r="Q256" i="1"/>
  <c r="R256" i="1" s="1"/>
  <c r="T256" i="1" s="1"/>
  <c r="Q257" i="1"/>
  <c r="R257" i="1" s="1"/>
  <c r="T257" i="1" s="1"/>
  <c r="Q258" i="1"/>
  <c r="R258" i="1" s="1"/>
  <c r="T258" i="1" s="1"/>
  <c r="Q259" i="1"/>
  <c r="R259" i="1" s="1"/>
  <c r="T259" i="1" s="1"/>
  <c r="Q260" i="1"/>
  <c r="Q261" i="1"/>
  <c r="R261" i="1" s="1"/>
  <c r="T261" i="1" s="1"/>
  <c r="Q262" i="1"/>
  <c r="R262" i="1" s="1"/>
  <c r="T262" i="1" s="1"/>
  <c r="Q263" i="1"/>
  <c r="R263" i="1" s="1"/>
  <c r="T263" i="1" s="1"/>
  <c r="Q264" i="1"/>
  <c r="R264" i="1" s="1"/>
  <c r="T264" i="1" s="1"/>
  <c r="Q265" i="1"/>
  <c r="R265" i="1" s="1"/>
  <c r="T265" i="1" s="1"/>
  <c r="Q266" i="1"/>
  <c r="R266" i="1" s="1"/>
  <c r="T266" i="1" s="1"/>
  <c r="Q267" i="1"/>
  <c r="R267" i="1" s="1"/>
  <c r="T267" i="1" s="1"/>
  <c r="Q268" i="1"/>
  <c r="Q269" i="1"/>
  <c r="R269" i="1" s="1"/>
  <c r="T269" i="1" s="1"/>
  <c r="Q270" i="1"/>
  <c r="R270" i="1" s="1"/>
  <c r="T270" i="1" s="1"/>
  <c r="Q271" i="1"/>
  <c r="R271" i="1" s="1"/>
  <c r="T271" i="1" s="1"/>
  <c r="Q272" i="1"/>
  <c r="Q273" i="1"/>
  <c r="Q274" i="1"/>
  <c r="R274" i="1" s="1"/>
  <c r="T274" i="1" s="1"/>
  <c r="Q275" i="1"/>
  <c r="R275" i="1" s="1"/>
  <c r="T275" i="1" s="1"/>
  <c r="Q276" i="1"/>
  <c r="Q277" i="1"/>
  <c r="R277" i="1" s="1"/>
  <c r="T277" i="1" s="1"/>
  <c r="Q278" i="1"/>
  <c r="R278" i="1" s="1"/>
  <c r="T278" i="1" s="1"/>
  <c r="Q279" i="1"/>
  <c r="R279" i="1" s="1"/>
  <c r="T279" i="1" s="1"/>
  <c r="Q280" i="1"/>
  <c r="R280" i="1" s="1"/>
  <c r="T280" i="1" s="1"/>
  <c r="Q281" i="1"/>
  <c r="R281" i="1" s="1"/>
  <c r="T281" i="1" s="1"/>
  <c r="Q282" i="1"/>
  <c r="R282" i="1" s="1"/>
  <c r="T282" i="1" s="1"/>
  <c r="Q283" i="1"/>
  <c r="R283" i="1" s="1"/>
  <c r="T283" i="1" s="1"/>
  <c r="Q284" i="1"/>
  <c r="R284" i="1" s="1"/>
  <c r="T284" i="1" s="1"/>
  <c r="Q285" i="1"/>
  <c r="R285" i="1" s="1"/>
  <c r="T285" i="1" s="1"/>
  <c r="Q286" i="1"/>
  <c r="R286" i="1" s="1"/>
  <c r="T286" i="1" s="1"/>
  <c r="Q287" i="1"/>
  <c r="R287" i="1" s="1"/>
  <c r="T287" i="1" s="1"/>
  <c r="Q288" i="1"/>
  <c r="R288" i="1" s="1"/>
  <c r="T288" i="1" s="1"/>
  <c r="Q289" i="1"/>
  <c r="Q290" i="1"/>
  <c r="R290" i="1" s="1"/>
  <c r="T290" i="1" s="1"/>
  <c r="Q291" i="1"/>
  <c r="R291" i="1" s="1"/>
  <c r="T291" i="1" s="1"/>
  <c r="Q292" i="1"/>
  <c r="R292" i="1" s="1"/>
  <c r="T292" i="1" s="1"/>
  <c r="Q293" i="1"/>
  <c r="R293" i="1" s="1"/>
  <c r="T293" i="1" s="1"/>
  <c r="Q294" i="1"/>
  <c r="R294" i="1" s="1"/>
  <c r="T294" i="1" s="1"/>
  <c r="Q295" i="1"/>
  <c r="R295" i="1" s="1"/>
  <c r="T295" i="1" s="1"/>
  <c r="Q296" i="1"/>
  <c r="R296" i="1" s="1"/>
  <c r="T296" i="1" s="1"/>
  <c r="Q297" i="1"/>
  <c r="Q298" i="1"/>
  <c r="R298" i="1" s="1"/>
  <c r="T298" i="1" s="1"/>
  <c r="Q299" i="1"/>
  <c r="R299" i="1" s="1"/>
  <c r="T299" i="1" s="1"/>
  <c r="Q300" i="1"/>
  <c r="R300" i="1" s="1"/>
  <c r="T300" i="1" s="1"/>
  <c r="Q301" i="1"/>
  <c r="R301" i="1" s="1"/>
  <c r="T301" i="1" s="1"/>
  <c r="Q302" i="1"/>
  <c r="R302" i="1" s="1"/>
  <c r="T302" i="1" s="1"/>
  <c r="Q303" i="1"/>
  <c r="R303" i="1" s="1"/>
  <c r="T303" i="1" s="1"/>
  <c r="Q304" i="1"/>
  <c r="R304" i="1" s="1"/>
  <c r="T304" i="1" s="1"/>
  <c r="Q305" i="1"/>
  <c r="R305" i="1" s="1"/>
  <c r="T305" i="1" s="1"/>
  <c r="Q306" i="1"/>
  <c r="R306" i="1" s="1"/>
  <c r="T306" i="1" s="1"/>
  <c r="Q307" i="1"/>
  <c r="R307" i="1" s="1"/>
  <c r="T307" i="1" s="1"/>
  <c r="Q308" i="1"/>
  <c r="Q309" i="1"/>
  <c r="R309" i="1" s="1"/>
  <c r="T309" i="1" s="1"/>
  <c r="Q310" i="1"/>
  <c r="R310" i="1" s="1"/>
  <c r="Q311" i="1"/>
  <c r="R311" i="1" s="1"/>
  <c r="Q312" i="1"/>
  <c r="R312" i="1" s="1"/>
  <c r="Q313" i="1"/>
  <c r="Q314" i="1"/>
  <c r="R314" i="1" s="1"/>
  <c r="Q315" i="1"/>
  <c r="R315" i="1" s="1"/>
  <c r="Q316" i="1"/>
  <c r="Q317" i="1"/>
  <c r="R317" i="1" s="1"/>
  <c r="Q318" i="1"/>
  <c r="R318" i="1" s="1"/>
  <c r="Q319" i="1"/>
  <c r="R319" i="1" s="1"/>
  <c r="Q320" i="1"/>
  <c r="R320" i="1" s="1"/>
  <c r="Q321" i="1"/>
  <c r="Q322" i="1"/>
  <c r="Q323" i="1"/>
  <c r="R323" i="1" s="1"/>
  <c r="Q324" i="1"/>
  <c r="Q325" i="1"/>
  <c r="R325" i="1" s="1"/>
  <c r="Q326" i="1"/>
  <c r="R326" i="1" s="1"/>
  <c r="Q327" i="1"/>
  <c r="R327" i="1" s="1"/>
  <c r="Q328" i="1"/>
  <c r="R328" i="1" s="1"/>
  <c r="Q329" i="1"/>
  <c r="R329" i="1" s="1"/>
  <c r="Q330" i="1"/>
  <c r="R330" i="1" s="1"/>
  <c r="Q331" i="1"/>
  <c r="R331" i="1" s="1"/>
  <c r="Q332" i="1"/>
  <c r="Q333" i="1"/>
  <c r="R333" i="1" s="1"/>
  <c r="Q334" i="1"/>
  <c r="R334" i="1" s="1"/>
  <c r="Q335" i="1"/>
  <c r="R335" i="1" s="1"/>
  <c r="Q336" i="1"/>
  <c r="R336" i="1" s="1"/>
  <c r="Q337" i="1"/>
  <c r="R337" i="1" s="1"/>
  <c r="Q338" i="1"/>
  <c r="R338" i="1" s="1"/>
  <c r="Q339" i="1"/>
  <c r="R339" i="1" s="1"/>
  <c r="Q340" i="1"/>
  <c r="Q341" i="1"/>
  <c r="R341" i="1" s="1"/>
  <c r="Q342" i="1"/>
  <c r="R342" i="1" s="1"/>
  <c r="Q343" i="1"/>
  <c r="R343" i="1" s="1"/>
  <c r="Q344" i="1"/>
  <c r="R344" i="1" s="1"/>
  <c r="Q345" i="1"/>
  <c r="R345" i="1" s="1"/>
  <c r="Q346" i="1"/>
  <c r="R346" i="1" s="1"/>
  <c r="Q347" i="1"/>
  <c r="Q348" i="1"/>
  <c r="Q349" i="1"/>
  <c r="R349" i="1" s="1"/>
  <c r="Q350" i="1"/>
  <c r="R350" i="1" s="1"/>
  <c r="Q351" i="1"/>
  <c r="R351" i="1" s="1"/>
  <c r="Q352" i="1"/>
  <c r="R352" i="1" s="1"/>
  <c r="Q353" i="1"/>
  <c r="R353" i="1" s="1"/>
  <c r="Q354" i="1"/>
  <c r="R354" i="1" s="1"/>
  <c r="Q355" i="1"/>
  <c r="R355" i="1" s="1"/>
  <c r="Q356" i="1"/>
  <c r="Q357" i="1"/>
  <c r="R357" i="1" s="1"/>
  <c r="Q358" i="1"/>
  <c r="R358" i="1" s="1"/>
  <c r="Q359" i="1"/>
  <c r="R359" i="1" s="1"/>
  <c r="Q360" i="1"/>
  <c r="R360" i="1" s="1"/>
  <c r="Q361" i="1"/>
  <c r="R361" i="1" s="1"/>
  <c r="Q362" i="1"/>
  <c r="R362" i="1" s="1"/>
  <c r="Q363" i="1"/>
  <c r="R363" i="1" s="1"/>
  <c r="Q364" i="1"/>
  <c r="Q365" i="1"/>
  <c r="R365" i="1" s="1"/>
  <c r="Q366" i="1"/>
  <c r="R366" i="1" s="1"/>
  <c r="Q367" i="1"/>
  <c r="R367" i="1" s="1"/>
  <c r="Q368" i="1"/>
  <c r="R368" i="1" s="1"/>
  <c r="Q369" i="1"/>
  <c r="R369" i="1" s="1"/>
  <c r="Q370" i="1"/>
  <c r="R370" i="1" s="1"/>
  <c r="Q371" i="1"/>
  <c r="R371" i="1" s="1"/>
  <c r="Q372" i="1"/>
  <c r="R372" i="1" s="1"/>
  <c r="Q373" i="1"/>
  <c r="R373" i="1" s="1"/>
  <c r="Q374" i="1"/>
  <c r="R374" i="1" s="1"/>
  <c r="Q375" i="1"/>
  <c r="R375" i="1" s="1"/>
  <c r="Q376" i="1"/>
  <c r="R376" i="1" s="1"/>
  <c r="Q377" i="1"/>
  <c r="Q378" i="1"/>
  <c r="R378" i="1" s="1"/>
  <c r="Q379" i="1"/>
  <c r="R379" i="1" s="1"/>
  <c r="Q380" i="1"/>
  <c r="R380" i="1" s="1"/>
  <c r="Q381" i="1"/>
  <c r="R381" i="1" s="1"/>
  <c r="Q382" i="1"/>
  <c r="R382" i="1" s="1"/>
  <c r="Q383" i="1"/>
  <c r="R383" i="1" s="1"/>
  <c r="Q384" i="1"/>
  <c r="R384" i="1" s="1"/>
  <c r="Q385" i="1"/>
  <c r="Q386" i="1"/>
  <c r="R386" i="1" s="1"/>
  <c r="Q387" i="1"/>
  <c r="R387" i="1" s="1"/>
  <c r="Q388" i="1"/>
  <c r="R388" i="1" s="1"/>
  <c r="Q389" i="1"/>
  <c r="Q390" i="1"/>
  <c r="R390" i="1" s="1"/>
  <c r="Q391" i="1"/>
  <c r="R391" i="1" s="1"/>
  <c r="Q392" i="1"/>
  <c r="Q393" i="1"/>
  <c r="Q394" i="1"/>
  <c r="R394" i="1" s="1"/>
  <c r="Q395" i="1"/>
  <c r="R395" i="1" s="1"/>
  <c r="Q396" i="1"/>
  <c r="R396" i="1" s="1"/>
  <c r="Q397" i="1"/>
  <c r="R397" i="1" s="1"/>
  <c r="Q398" i="1"/>
  <c r="Q399" i="1"/>
  <c r="R399" i="1" s="1"/>
  <c r="Q400" i="1"/>
  <c r="R400" i="1" s="1"/>
  <c r="Q401" i="1"/>
  <c r="Q402" i="1"/>
  <c r="R402" i="1" s="1"/>
  <c r="Q403" i="1"/>
  <c r="R403" i="1" s="1"/>
  <c r="Q404" i="1"/>
  <c r="R404" i="1" s="1"/>
  <c r="Q405" i="1"/>
  <c r="Q406" i="1"/>
  <c r="R406" i="1" s="1"/>
  <c r="Q407" i="1"/>
  <c r="R407" i="1" s="1"/>
  <c r="Q408" i="1"/>
  <c r="R408" i="1" s="1"/>
  <c r="Q409" i="1"/>
  <c r="Q410" i="1"/>
  <c r="R410" i="1" s="1"/>
  <c r="Q411" i="1"/>
  <c r="R411" i="1" s="1"/>
  <c r="Q412" i="1"/>
  <c r="R412" i="1" s="1"/>
  <c r="Q413" i="1"/>
  <c r="R413" i="1" s="1"/>
  <c r="Q414" i="1"/>
  <c r="R414" i="1" s="1"/>
  <c r="Q415" i="1"/>
  <c r="R415" i="1" s="1"/>
  <c r="Q416" i="1"/>
  <c r="R416" i="1" s="1"/>
  <c r="Q417" i="1"/>
  <c r="Q418" i="1"/>
  <c r="R418" i="1" s="1"/>
  <c r="Q419" i="1"/>
  <c r="R419" i="1" s="1"/>
  <c r="T419" i="1" s="1"/>
  <c r="Q420" i="1"/>
  <c r="R420" i="1" s="1"/>
  <c r="T420" i="1" s="1"/>
  <c r="Q421" i="1"/>
  <c r="R421" i="1" s="1"/>
  <c r="T421" i="1" s="1"/>
  <c r="Q422" i="1"/>
  <c r="R422" i="1" s="1"/>
  <c r="T422" i="1" s="1"/>
  <c r="Q423" i="1"/>
  <c r="R423" i="1" s="1"/>
  <c r="T423" i="1" s="1"/>
  <c r="Q424" i="1"/>
  <c r="R424" i="1" s="1"/>
  <c r="T424" i="1" s="1"/>
  <c r="Q425" i="1"/>
  <c r="R425" i="1" s="1"/>
  <c r="T425" i="1" s="1"/>
  <c r="Q426" i="1"/>
  <c r="R426" i="1" s="1"/>
  <c r="T426" i="1" s="1"/>
  <c r="Q427" i="1"/>
  <c r="R427" i="1" s="1"/>
  <c r="T427" i="1" s="1"/>
  <c r="Q428" i="1"/>
  <c r="R428" i="1" s="1"/>
  <c r="T428" i="1" s="1"/>
  <c r="Q429" i="1"/>
  <c r="R429" i="1" s="1"/>
  <c r="T429" i="1" s="1"/>
  <c r="Q430" i="1"/>
  <c r="R430" i="1" s="1"/>
  <c r="T430" i="1" s="1"/>
  <c r="Q431" i="1"/>
  <c r="R431" i="1" s="1"/>
  <c r="T431" i="1" s="1"/>
  <c r="Q432" i="1"/>
  <c r="R432" i="1" s="1"/>
  <c r="T432" i="1" s="1"/>
  <c r="Q433" i="1"/>
  <c r="R433" i="1" s="1"/>
  <c r="T433" i="1" s="1"/>
  <c r="Q434" i="1"/>
  <c r="R434" i="1" s="1"/>
  <c r="T434" i="1" s="1"/>
  <c r="Q435" i="1"/>
  <c r="R435" i="1" s="1"/>
  <c r="T435" i="1" s="1"/>
  <c r="Q436" i="1"/>
  <c r="Q437" i="1"/>
  <c r="Q438" i="1"/>
  <c r="R438" i="1" s="1"/>
  <c r="T438" i="1" s="1"/>
  <c r="Q439" i="1"/>
  <c r="R439" i="1" s="1"/>
  <c r="T439" i="1" s="1"/>
  <c r="Q440" i="1"/>
  <c r="R440" i="1" s="1"/>
  <c r="T440" i="1" s="1"/>
  <c r="Q441" i="1"/>
  <c r="Q442" i="1"/>
  <c r="R442" i="1" s="1"/>
  <c r="T442" i="1" s="1"/>
  <c r="Q443" i="1"/>
  <c r="R443" i="1" s="1"/>
  <c r="T443" i="1" s="1"/>
  <c r="Q444" i="1"/>
  <c r="Q445" i="1"/>
  <c r="R445" i="1" s="1"/>
  <c r="T445" i="1" s="1"/>
  <c r="Q446" i="1"/>
  <c r="R446" i="1" s="1"/>
  <c r="T446" i="1" s="1"/>
  <c r="Q447" i="1"/>
  <c r="R447" i="1" s="1"/>
  <c r="T447" i="1" s="1"/>
  <c r="Q448" i="1"/>
  <c r="R448" i="1" s="1"/>
  <c r="T448" i="1" s="1"/>
  <c r="Q449" i="1"/>
  <c r="Q450" i="1"/>
  <c r="R450" i="1" s="1"/>
  <c r="T450" i="1" s="1"/>
  <c r="Q451" i="1"/>
  <c r="R451" i="1" s="1"/>
  <c r="T451" i="1" s="1"/>
  <c r="Q452" i="1"/>
  <c r="Q453" i="1"/>
  <c r="R453" i="1" s="1"/>
  <c r="T453" i="1" s="1"/>
  <c r="Q454" i="1"/>
  <c r="R454" i="1" s="1"/>
  <c r="T454" i="1" s="1"/>
  <c r="Q455" i="1"/>
  <c r="R455" i="1" s="1"/>
  <c r="T455" i="1" s="1"/>
  <c r="Q456" i="1"/>
  <c r="R456" i="1" s="1"/>
  <c r="T456" i="1" s="1"/>
  <c r="Q457" i="1"/>
  <c r="Q458" i="1"/>
  <c r="R458" i="1" s="1"/>
  <c r="T458" i="1" s="1"/>
  <c r="Q459" i="1"/>
  <c r="R459" i="1" s="1"/>
  <c r="T459" i="1" s="1"/>
  <c r="Q460" i="1"/>
  <c r="Q461" i="1"/>
  <c r="R461" i="1" s="1"/>
  <c r="T461" i="1" s="1"/>
  <c r="Q462" i="1"/>
  <c r="Q463" i="1"/>
  <c r="R463" i="1" s="1"/>
  <c r="T463" i="1" s="1"/>
  <c r="Q464" i="1"/>
  <c r="R464" i="1" s="1"/>
  <c r="T464" i="1" s="1"/>
  <c r="Q465" i="1"/>
  <c r="R465" i="1" s="1"/>
  <c r="T465" i="1" s="1"/>
  <c r="Q466" i="1"/>
  <c r="R466" i="1" s="1"/>
  <c r="T466" i="1" s="1"/>
  <c r="Q467" i="1"/>
  <c r="R467" i="1" s="1"/>
  <c r="T467" i="1" s="1"/>
  <c r="Q468" i="1"/>
  <c r="R468" i="1" s="1"/>
  <c r="T468" i="1" s="1"/>
  <c r="Q469" i="1"/>
  <c r="R469" i="1" s="1"/>
  <c r="T469" i="1" s="1"/>
  <c r="Q470" i="1"/>
  <c r="R470" i="1" s="1"/>
  <c r="T470" i="1" s="1"/>
  <c r="Q471" i="1"/>
  <c r="R471" i="1" s="1"/>
  <c r="T471" i="1" s="1"/>
  <c r="Q472" i="1"/>
  <c r="R472" i="1" s="1"/>
  <c r="T472" i="1" s="1"/>
  <c r="Q473" i="1"/>
  <c r="R473" i="1" s="1"/>
  <c r="T473" i="1" s="1"/>
  <c r="Q474" i="1"/>
  <c r="R474" i="1" s="1"/>
  <c r="T474" i="1" s="1"/>
  <c r="Q475" i="1"/>
  <c r="R475" i="1" s="1"/>
  <c r="T475" i="1" s="1"/>
  <c r="Q476" i="1"/>
  <c r="R476" i="1" s="1"/>
  <c r="T476" i="1" s="1"/>
  <c r="Q477" i="1"/>
  <c r="R477" i="1" s="1"/>
  <c r="T477" i="1" s="1"/>
  <c r="Q478" i="1"/>
  <c r="R478" i="1" s="1"/>
  <c r="T478" i="1" s="1"/>
  <c r="Q479" i="1"/>
  <c r="R479" i="1" s="1"/>
  <c r="T479" i="1" s="1"/>
  <c r="Q480" i="1"/>
  <c r="R480" i="1" s="1"/>
  <c r="T480" i="1" s="1"/>
  <c r="Q481" i="1"/>
  <c r="R481" i="1" s="1"/>
  <c r="T481" i="1" s="1"/>
  <c r="Q482" i="1"/>
  <c r="R482" i="1" s="1"/>
  <c r="T482" i="1" s="1"/>
  <c r="Q483" i="1"/>
  <c r="R483" i="1" s="1"/>
  <c r="T483" i="1" s="1"/>
  <c r="Q484" i="1"/>
  <c r="R484" i="1" s="1"/>
  <c r="T484" i="1" s="1"/>
  <c r="Q485" i="1"/>
  <c r="R485" i="1" s="1"/>
  <c r="T485" i="1" s="1"/>
  <c r="Q486" i="1"/>
  <c r="R486" i="1" s="1"/>
  <c r="T486" i="1" s="1"/>
  <c r="Q487" i="1"/>
  <c r="R487" i="1" s="1"/>
  <c r="T487" i="1" s="1"/>
  <c r="Q488" i="1"/>
  <c r="Q489" i="1"/>
  <c r="R489" i="1" s="1"/>
  <c r="T489" i="1" s="1"/>
  <c r="Q490" i="1"/>
  <c r="R490" i="1" s="1"/>
  <c r="T490" i="1" s="1"/>
  <c r="Q491" i="1"/>
  <c r="R491" i="1" s="1"/>
  <c r="T491" i="1" s="1"/>
  <c r="Q492" i="1"/>
  <c r="R492" i="1" s="1"/>
  <c r="T492" i="1" s="1"/>
  <c r="Q493" i="1"/>
  <c r="R493" i="1" s="1"/>
  <c r="T493" i="1" s="1"/>
  <c r="Q494" i="1"/>
  <c r="R494" i="1" s="1"/>
  <c r="T494" i="1" s="1"/>
  <c r="Q495" i="1"/>
  <c r="R495" i="1" s="1"/>
  <c r="T495" i="1" s="1"/>
  <c r="Q496" i="1"/>
  <c r="R496" i="1" s="1"/>
  <c r="T496" i="1" s="1"/>
  <c r="Q497" i="1"/>
  <c r="R497" i="1" s="1"/>
  <c r="T497" i="1" s="1"/>
  <c r="Q498" i="1"/>
  <c r="R498" i="1" s="1"/>
  <c r="T498" i="1" s="1"/>
  <c r="Q499" i="1"/>
  <c r="Q500" i="1"/>
  <c r="Q501" i="1"/>
  <c r="R501" i="1" s="1"/>
  <c r="T501" i="1" s="1"/>
  <c r="Q502" i="1"/>
  <c r="R502" i="1" s="1"/>
  <c r="T502" i="1" s="1"/>
  <c r="Q503" i="1"/>
  <c r="R503" i="1" s="1"/>
  <c r="T503" i="1" s="1"/>
  <c r="Q504" i="1"/>
  <c r="R504" i="1" s="1"/>
  <c r="T504" i="1" s="1"/>
  <c r="Q505" i="1"/>
  <c r="R505" i="1" s="1"/>
  <c r="T505" i="1" s="1"/>
  <c r="Q506" i="1"/>
  <c r="R506" i="1" s="1"/>
  <c r="T506" i="1" s="1"/>
  <c r="Q507" i="1"/>
  <c r="R507" i="1" s="1"/>
  <c r="T507" i="1" s="1"/>
  <c r="Q508" i="1"/>
  <c r="R508" i="1" s="1"/>
  <c r="T508" i="1" s="1"/>
  <c r="Q509" i="1"/>
  <c r="R509" i="1" s="1"/>
  <c r="T509" i="1" s="1"/>
  <c r="Q510" i="1"/>
  <c r="R510" i="1" s="1"/>
  <c r="T510" i="1" s="1"/>
  <c r="Q511" i="1"/>
  <c r="R511" i="1" s="1"/>
  <c r="T511" i="1" s="1"/>
  <c r="Q512" i="1"/>
  <c r="R512" i="1" s="1"/>
  <c r="T512" i="1" s="1"/>
  <c r="Q513" i="1"/>
  <c r="R513" i="1" s="1"/>
  <c r="T513" i="1" s="1"/>
  <c r="Q514" i="1"/>
  <c r="R514" i="1" s="1"/>
  <c r="T514" i="1" s="1"/>
  <c r="Q515" i="1"/>
  <c r="Q516" i="1"/>
  <c r="Q517" i="1"/>
  <c r="R517" i="1" s="1"/>
  <c r="T517" i="1" s="1"/>
  <c r="Q518" i="1"/>
  <c r="R518" i="1" s="1"/>
  <c r="T518" i="1" s="1"/>
  <c r="Q519" i="1"/>
  <c r="R519" i="1" s="1"/>
  <c r="T519" i="1" s="1"/>
  <c r="Q520" i="1"/>
  <c r="Q521" i="1"/>
  <c r="R521" i="1" s="1"/>
  <c r="T521" i="1" s="1"/>
  <c r="Q522" i="1"/>
  <c r="R522" i="1" s="1"/>
  <c r="T522" i="1" s="1"/>
  <c r="Q523" i="1"/>
  <c r="R523" i="1" s="1"/>
  <c r="T523" i="1" s="1"/>
  <c r="Q524" i="1"/>
  <c r="R524" i="1" s="1"/>
  <c r="T524" i="1" s="1"/>
  <c r="Q525" i="1"/>
  <c r="R525" i="1" s="1"/>
  <c r="T525" i="1" s="1"/>
  <c r="Q526" i="1"/>
  <c r="R526" i="1" s="1"/>
  <c r="T526" i="1" s="1"/>
  <c r="Q527" i="1"/>
  <c r="R527" i="1" s="1"/>
  <c r="Q528" i="1"/>
  <c r="R528" i="1" s="1"/>
  <c r="Q529" i="1"/>
  <c r="Q530" i="1"/>
  <c r="R530" i="1" s="1"/>
  <c r="Q531" i="1"/>
  <c r="R531" i="1" s="1"/>
  <c r="Q532" i="1"/>
  <c r="Q533" i="1"/>
  <c r="R533" i="1" s="1"/>
  <c r="Q534" i="1"/>
  <c r="R534" i="1" s="1"/>
  <c r="Q535" i="1"/>
  <c r="R535" i="1" s="1"/>
  <c r="Q536" i="1"/>
  <c r="Q537" i="1"/>
  <c r="Q538" i="1"/>
  <c r="R538" i="1" s="1"/>
  <c r="Q539" i="1"/>
  <c r="R539" i="1" s="1"/>
  <c r="Q540" i="1"/>
  <c r="Q541" i="1"/>
  <c r="R541" i="1" s="1"/>
  <c r="Q542" i="1"/>
  <c r="R542" i="1" s="1"/>
  <c r="Q543" i="1"/>
  <c r="R543" i="1" s="1"/>
  <c r="Q544" i="1"/>
  <c r="R544" i="1" s="1"/>
  <c r="Q545" i="1"/>
  <c r="Q546" i="1"/>
  <c r="R546" i="1" s="1"/>
  <c r="Q547" i="1"/>
  <c r="R547" i="1" s="1"/>
  <c r="Q548" i="1"/>
  <c r="Q549" i="1"/>
  <c r="R549" i="1" s="1"/>
  <c r="Q550" i="1"/>
  <c r="R550" i="1" s="1"/>
  <c r="Q551" i="1"/>
  <c r="R551" i="1" s="1"/>
  <c r="Q552" i="1"/>
  <c r="Q553" i="1"/>
  <c r="R553" i="1" s="1"/>
  <c r="Q554" i="1"/>
  <c r="R554" i="1" s="1"/>
  <c r="Q555" i="1"/>
  <c r="R555" i="1" s="1"/>
  <c r="Q556" i="1"/>
  <c r="Q557" i="1"/>
  <c r="R557" i="1" s="1"/>
  <c r="Q558" i="1"/>
  <c r="R558" i="1" s="1"/>
  <c r="Q559" i="1"/>
  <c r="R559" i="1" s="1"/>
  <c r="Q560" i="1"/>
  <c r="R560" i="1" s="1"/>
  <c r="Q561" i="1"/>
  <c r="R561" i="1" s="1"/>
  <c r="Q562" i="1"/>
  <c r="R562" i="1" s="1"/>
  <c r="Q563" i="1"/>
  <c r="R563" i="1" s="1"/>
  <c r="T563" i="1" s="1"/>
  <c r="Q564" i="1"/>
  <c r="Q565" i="1"/>
  <c r="Q566" i="1"/>
  <c r="R566" i="1" s="1"/>
  <c r="T566" i="1" s="1"/>
  <c r="Q567" i="1"/>
  <c r="R567" i="1" s="1"/>
  <c r="T567" i="1" s="1"/>
  <c r="Q568" i="1"/>
  <c r="R568" i="1" s="1"/>
  <c r="T568" i="1" s="1"/>
  <c r="Q569" i="1"/>
  <c r="R569" i="1" s="1"/>
  <c r="Q570" i="1"/>
  <c r="R570" i="1" s="1"/>
  <c r="Q571" i="1"/>
  <c r="R571" i="1" s="1"/>
  <c r="Q572" i="1"/>
  <c r="Q573" i="1"/>
  <c r="Q574" i="1"/>
  <c r="R574" i="1" s="1"/>
  <c r="Q575" i="1"/>
  <c r="R575" i="1" s="1"/>
  <c r="Q576" i="1"/>
  <c r="R576" i="1" s="1"/>
  <c r="Q577" i="1"/>
  <c r="Q578" i="1"/>
  <c r="R578" i="1" s="1"/>
  <c r="Q579" i="1"/>
  <c r="R579" i="1" s="1"/>
  <c r="Q580" i="1"/>
  <c r="Q581" i="1"/>
  <c r="Q582" i="1"/>
  <c r="R582" i="1" s="1"/>
  <c r="Q583" i="1"/>
  <c r="R583" i="1" s="1"/>
  <c r="Q584" i="1"/>
  <c r="R584" i="1" s="1"/>
  <c r="Q585" i="1"/>
  <c r="Q586" i="1"/>
  <c r="R586" i="1" s="1"/>
  <c r="Q587" i="1"/>
  <c r="R587" i="1" s="1"/>
  <c r="Q588" i="1"/>
  <c r="Q589" i="1"/>
  <c r="Q590" i="1"/>
  <c r="R590" i="1" s="1"/>
  <c r="Q591" i="1"/>
  <c r="R591" i="1" s="1"/>
  <c r="Q592" i="1"/>
  <c r="R592" i="1" s="1"/>
  <c r="Q593" i="1"/>
  <c r="Q594" i="1"/>
  <c r="R594" i="1" s="1"/>
  <c r="Q595" i="1"/>
  <c r="R595" i="1" s="1"/>
  <c r="Q596" i="1"/>
  <c r="Q597" i="1"/>
  <c r="R597" i="1" s="1"/>
  <c r="Q598" i="1"/>
  <c r="R598" i="1" s="1"/>
  <c r="Q599" i="1"/>
  <c r="Q600" i="1"/>
  <c r="Q601" i="1"/>
  <c r="Q602" i="1"/>
  <c r="R602" i="1" s="1"/>
  <c r="Q603" i="1"/>
  <c r="R603" i="1" s="1"/>
  <c r="Q604" i="1"/>
  <c r="Q605" i="1"/>
  <c r="Q606" i="1"/>
  <c r="R606" i="1" s="1"/>
  <c r="Q607" i="1"/>
  <c r="R607" i="1" s="1"/>
  <c r="Q608" i="1"/>
  <c r="R608" i="1" s="1"/>
  <c r="Q609" i="1"/>
  <c r="Q610" i="1"/>
  <c r="R610" i="1" s="1"/>
  <c r="Q611" i="1"/>
  <c r="R611" i="1" s="1"/>
  <c r="Q612" i="1"/>
  <c r="Q613" i="1"/>
  <c r="R613" i="1" s="1"/>
  <c r="Q614" i="1"/>
  <c r="R614" i="1" s="1"/>
  <c r="Q615" i="1"/>
  <c r="R615" i="1" s="1"/>
  <c r="Q616" i="1"/>
  <c r="Q617" i="1"/>
  <c r="R617" i="1" s="1"/>
  <c r="Q618" i="1"/>
  <c r="R618" i="1" s="1"/>
  <c r="Q619" i="1"/>
  <c r="R619" i="1" s="1"/>
  <c r="Q620" i="1"/>
  <c r="Q621" i="1"/>
  <c r="Q622" i="1"/>
  <c r="R622" i="1" s="1"/>
  <c r="Q623" i="1"/>
  <c r="R623" i="1" s="1"/>
  <c r="Q624" i="1"/>
  <c r="R624" i="1" s="1"/>
  <c r="Q625" i="1"/>
  <c r="R625" i="1" s="1"/>
  <c r="Q626" i="1"/>
  <c r="R626" i="1" s="1"/>
  <c r="T626" i="1" s="1"/>
  <c r="Q627" i="1"/>
  <c r="R627" i="1" s="1"/>
  <c r="T627" i="1" s="1"/>
  <c r="Q628" i="1"/>
  <c r="Q629" i="1"/>
  <c r="Q630" i="1"/>
  <c r="R630" i="1" s="1"/>
  <c r="Q631" i="1"/>
  <c r="R631" i="1" s="1"/>
  <c r="Q632" i="1"/>
  <c r="R632" i="1" s="1"/>
  <c r="Q633" i="1"/>
  <c r="R633" i="1" s="1"/>
  <c r="Q634" i="1"/>
  <c r="R634" i="1" s="1"/>
  <c r="Q635" i="1"/>
  <c r="R635" i="1" s="1"/>
  <c r="Q636" i="1"/>
  <c r="Q637" i="1"/>
  <c r="Q638" i="1"/>
  <c r="R638" i="1" s="1"/>
  <c r="Q639" i="1"/>
  <c r="R639" i="1" s="1"/>
  <c r="Q640" i="1"/>
  <c r="R640" i="1" s="1"/>
  <c r="Q641" i="1"/>
  <c r="Q642" i="1"/>
  <c r="R642" i="1" s="1"/>
  <c r="Q643" i="1"/>
  <c r="R643" i="1" s="1"/>
  <c r="Q644" i="1"/>
  <c r="R644" i="1" s="1"/>
  <c r="Q645" i="1"/>
  <c r="Q646" i="1"/>
  <c r="R646" i="1" s="1"/>
  <c r="Q647" i="1"/>
  <c r="R647" i="1" s="1"/>
  <c r="Q648" i="1"/>
  <c r="R648" i="1" s="1"/>
  <c r="Q649" i="1"/>
  <c r="Q650" i="1"/>
  <c r="R650" i="1" s="1"/>
  <c r="Q651" i="1"/>
  <c r="R651" i="1" s="1"/>
  <c r="Q652" i="1"/>
  <c r="R652" i="1" s="1"/>
  <c r="Q653" i="1"/>
  <c r="Q654" i="1"/>
  <c r="R654" i="1" s="1"/>
  <c r="Q655" i="1"/>
  <c r="R655" i="1" s="1"/>
  <c r="Q656" i="1"/>
  <c r="R656" i="1" s="1"/>
  <c r="Q657" i="1"/>
  <c r="R657" i="1" s="1"/>
  <c r="Q658" i="1"/>
  <c r="R658" i="1" s="1"/>
  <c r="Q659" i="1"/>
  <c r="R659" i="1" s="1"/>
  <c r="Q660" i="1"/>
  <c r="Q661" i="1"/>
  <c r="R661" i="1" s="1"/>
  <c r="Q662" i="1"/>
  <c r="R662" i="1" s="1"/>
  <c r="Q663" i="1"/>
  <c r="R663" i="1" s="1"/>
  <c r="Q664" i="1"/>
  <c r="R664" i="1" s="1"/>
  <c r="Q665" i="1"/>
  <c r="Q666" i="1"/>
  <c r="R666" i="1" s="1"/>
  <c r="Q667" i="1"/>
  <c r="R667" i="1" s="1"/>
  <c r="Q668" i="1"/>
  <c r="Q669" i="1"/>
  <c r="R669" i="1" s="1"/>
  <c r="Q670" i="1"/>
  <c r="Q671" i="1"/>
  <c r="R671" i="1" s="1"/>
  <c r="Q672" i="1"/>
  <c r="R672" i="1" s="1"/>
  <c r="Q673" i="1"/>
  <c r="Q674" i="1"/>
  <c r="R674" i="1" s="1"/>
  <c r="Q675" i="1"/>
  <c r="R675" i="1" s="1"/>
  <c r="Q676" i="1"/>
  <c r="Q677" i="1"/>
  <c r="R677" i="1" s="1"/>
  <c r="Q678" i="1"/>
  <c r="R678" i="1" s="1"/>
  <c r="Q679" i="1"/>
  <c r="R679" i="1" s="1"/>
  <c r="Q680" i="1"/>
  <c r="R680" i="1" s="1"/>
  <c r="Q681" i="1"/>
  <c r="Q682" i="1"/>
  <c r="R682" i="1" s="1"/>
  <c r="Q683" i="1"/>
  <c r="R683" i="1" s="1"/>
  <c r="Q684" i="1"/>
  <c r="Q685" i="1"/>
  <c r="Q686" i="1"/>
  <c r="Q687" i="1"/>
  <c r="R687" i="1" s="1"/>
  <c r="Q688" i="1"/>
  <c r="R688" i="1" s="1"/>
  <c r="Q689" i="1"/>
  <c r="Q690" i="1"/>
  <c r="R690" i="1" s="1"/>
  <c r="Q691" i="1"/>
  <c r="R691" i="1" s="1"/>
  <c r="Q692" i="1"/>
  <c r="Q693" i="1"/>
  <c r="Q694" i="1"/>
  <c r="R694" i="1" s="1"/>
  <c r="Q695" i="1"/>
  <c r="R695" i="1" s="1"/>
  <c r="Q696" i="1"/>
  <c r="R696" i="1" s="1"/>
  <c r="Q697" i="1"/>
  <c r="Q698" i="1"/>
  <c r="R698" i="1" s="1"/>
  <c r="Q699" i="1"/>
  <c r="R699" i="1" s="1"/>
  <c r="Q700" i="1"/>
  <c r="Q701" i="1"/>
  <c r="Q702" i="1"/>
  <c r="Q703" i="1"/>
  <c r="R703" i="1" s="1"/>
  <c r="Q704" i="1"/>
  <c r="R704" i="1" s="1"/>
  <c r="Q705" i="1"/>
  <c r="Q706" i="1"/>
  <c r="R706" i="1" s="1"/>
  <c r="Q707" i="1"/>
  <c r="R707" i="1" s="1"/>
  <c r="Q708" i="1"/>
  <c r="Q709" i="1"/>
  <c r="R709" i="1" s="1"/>
  <c r="Q710" i="1"/>
  <c r="R710" i="1" s="1"/>
  <c r="Q711" i="1"/>
  <c r="Q712" i="1"/>
  <c r="Q713" i="1"/>
  <c r="Q714" i="1"/>
  <c r="R714" i="1" s="1"/>
  <c r="Q715" i="1"/>
  <c r="R715" i="1" s="1"/>
  <c r="Q716" i="1"/>
  <c r="Q717" i="1"/>
  <c r="R717" i="1" s="1"/>
  <c r="Q718" i="1"/>
  <c r="Q719" i="1"/>
  <c r="R719" i="1" s="1"/>
  <c r="Q720" i="1"/>
  <c r="R720" i="1" s="1"/>
  <c r="Q721" i="1"/>
  <c r="Q722" i="1"/>
  <c r="R722" i="1" s="1"/>
  <c r="Q723" i="1"/>
  <c r="R723" i="1" s="1"/>
  <c r="Q724" i="1"/>
  <c r="Q725" i="1"/>
  <c r="R725" i="1" s="1"/>
  <c r="Q726" i="1"/>
  <c r="R726" i="1" s="1"/>
  <c r="Q727" i="1"/>
  <c r="R727" i="1" s="1"/>
  <c r="Q728" i="1"/>
  <c r="Q729" i="1"/>
  <c r="Q730" i="1"/>
  <c r="R730" i="1" s="1"/>
  <c r="Q731" i="1"/>
  <c r="R731" i="1" s="1"/>
  <c r="Q732" i="1"/>
  <c r="Q733" i="1"/>
  <c r="R733" i="1" s="1"/>
  <c r="Q734" i="1"/>
  <c r="Q735" i="1"/>
  <c r="R735" i="1" s="1"/>
  <c r="Q736" i="1"/>
  <c r="R736" i="1" s="1"/>
  <c r="Q737" i="1"/>
  <c r="Q738" i="1"/>
  <c r="R738" i="1" s="1"/>
  <c r="Q739" i="1"/>
  <c r="R739" i="1" s="1"/>
  <c r="Q740" i="1"/>
  <c r="R740" i="1" s="1"/>
  <c r="Q741" i="1"/>
  <c r="R741" i="1" s="1"/>
  <c r="Q742" i="1"/>
  <c r="R742" i="1" s="1"/>
  <c r="Q743" i="1"/>
  <c r="Q744" i="1"/>
  <c r="R744" i="1" s="1"/>
  <c r="Q745" i="1"/>
  <c r="Q746" i="1"/>
  <c r="R746" i="1" s="1"/>
  <c r="Q747" i="1"/>
  <c r="R747" i="1" s="1"/>
  <c r="Q748" i="1"/>
  <c r="R748" i="1" s="1"/>
  <c r="Q749" i="1"/>
  <c r="R749" i="1" s="1"/>
  <c r="Q750" i="1"/>
  <c r="Q751" i="1"/>
  <c r="R751" i="1" s="1"/>
  <c r="Q752" i="1"/>
  <c r="R752" i="1" s="1"/>
  <c r="Q753" i="1"/>
  <c r="Q754" i="1"/>
  <c r="R754" i="1" s="1"/>
  <c r="Q755" i="1"/>
  <c r="R755" i="1" s="1"/>
  <c r="Q756" i="1"/>
  <c r="R756" i="1" s="1"/>
  <c r="Q757" i="1"/>
  <c r="R757" i="1" s="1"/>
  <c r="Q758" i="1"/>
  <c r="R758" i="1" s="1"/>
  <c r="Q759" i="1"/>
  <c r="R759" i="1" s="1"/>
  <c r="Q760" i="1"/>
  <c r="R760" i="1" s="1"/>
  <c r="Q761" i="1"/>
  <c r="Q762" i="1"/>
  <c r="R762" i="1" s="1"/>
  <c r="Q763" i="1"/>
  <c r="R763" i="1" s="1"/>
  <c r="Q764" i="1"/>
  <c r="R764" i="1" s="1"/>
  <c r="Q765" i="1"/>
  <c r="R765" i="1" s="1"/>
  <c r="Q766" i="1"/>
  <c r="R766" i="1" s="1"/>
  <c r="T766" i="1" s="1"/>
  <c r="Q767" i="1"/>
  <c r="R767" i="1" s="1"/>
  <c r="T767" i="1" s="1"/>
  <c r="Q768" i="1"/>
  <c r="R768" i="1" s="1"/>
  <c r="T768" i="1" s="1"/>
  <c r="Q769" i="1"/>
  <c r="Q770" i="1"/>
  <c r="R770" i="1" s="1"/>
  <c r="T770" i="1" s="1"/>
  <c r="Q771" i="1"/>
  <c r="R771" i="1" s="1"/>
  <c r="T771" i="1" s="1"/>
  <c r="Q772" i="1"/>
  <c r="R772" i="1" s="1"/>
  <c r="T772" i="1" s="1"/>
  <c r="Q773" i="1"/>
  <c r="Q774" i="1"/>
  <c r="R774" i="1" s="1"/>
  <c r="T774" i="1" s="1"/>
  <c r="Q775" i="1"/>
  <c r="R775" i="1" s="1"/>
  <c r="Q776" i="1"/>
  <c r="R776" i="1" s="1"/>
  <c r="Q777" i="1"/>
  <c r="Q778" i="1"/>
  <c r="R778" i="1" s="1"/>
  <c r="Q779" i="1"/>
  <c r="R779" i="1" s="1"/>
  <c r="Q780" i="1"/>
  <c r="Q781" i="1"/>
  <c r="R781" i="1" s="1"/>
  <c r="Q782" i="1"/>
  <c r="R782" i="1" s="1"/>
  <c r="Q783" i="1"/>
  <c r="R783" i="1" s="1"/>
  <c r="Q784" i="1"/>
  <c r="R784" i="1" s="1"/>
  <c r="Q785" i="1"/>
  <c r="R785" i="1" s="1"/>
  <c r="Q786" i="1"/>
  <c r="R786" i="1" s="1"/>
  <c r="Q787" i="1"/>
  <c r="R787" i="1" s="1"/>
  <c r="Q788" i="1"/>
  <c r="R788" i="1" s="1"/>
  <c r="Q789" i="1"/>
  <c r="R789" i="1" s="1"/>
  <c r="Q790" i="1"/>
  <c r="R790" i="1" s="1"/>
  <c r="Q2" i="1"/>
  <c r="R2" i="1" s="1"/>
  <c r="T2" i="1" s="1"/>
  <c r="P3" i="1"/>
  <c r="P4" i="1"/>
  <c r="P5" i="1"/>
  <c r="P6" i="1"/>
  <c r="P7" i="1"/>
  <c r="P8" i="1"/>
  <c r="P9" i="1"/>
  <c r="P10" i="1"/>
  <c r="P11" i="1"/>
  <c r="P12" i="1"/>
  <c r="P15" i="1"/>
  <c r="P16" i="1"/>
  <c r="P17" i="1"/>
  <c r="P18" i="1"/>
  <c r="P19" i="1"/>
  <c r="P20" i="1"/>
  <c r="P21" i="1"/>
  <c r="P28" i="1"/>
  <c r="P29" i="1"/>
  <c r="P30" i="1"/>
  <c r="P31" i="1"/>
  <c r="P33" i="1"/>
  <c r="P34" i="1"/>
  <c r="P35" i="1"/>
  <c r="P36" i="1"/>
  <c r="P37" i="1"/>
  <c r="P38" i="1"/>
  <c r="P39" i="1"/>
  <c r="P40" i="1"/>
  <c r="P41" i="1"/>
  <c r="P42" i="1"/>
  <c r="P43" i="1"/>
  <c r="P44" i="1"/>
  <c r="P45" i="1"/>
  <c r="P46" i="1"/>
  <c r="P47" i="1"/>
  <c r="P51" i="1"/>
  <c r="P52" i="1"/>
  <c r="P53" i="1"/>
  <c r="P54" i="1"/>
  <c r="P55" i="1"/>
  <c r="P56" i="1"/>
  <c r="P57" i="1"/>
  <c r="P58" i="1"/>
  <c r="P59" i="1"/>
  <c r="P60" i="1"/>
  <c r="P61" i="1"/>
  <c r="P63" i="1"/>
  <c r="P64" i="1"/>
  <c r="S64" i="1" s="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S95" i="1" s="1"/>
  <c r="P96" i="1"/>
  <c r="P97" i="1"/>
  <c r="P98" i="1"/>
  <c r="P99" i="1"/>
  <c r="P100" i="1"/>
  <c r="P101" i="1"/>
  <c r="P102" i="1"/>
  <c r="P103" i="1"/>
  <c r="P104" i="1"/>
  <c r="P105" i="1"/>
  <c r="P106" i="1"/>
  <c r="P107" i="1"/>
  <c r="P108" i="1"/>
  <c r="P109" i="1"/>
  <c r="P110" i="1"/>
  <c r="P111" i="1"/>
  <c r="P112" i="1"/>
  <c r="P113" i="1"/>
  <c r="P114" i="1"/>
  <c r="P115" i="1"/>
  <c r="P116" i="1"/>
  <c r="P117" i="1"/>
  <c r="P118" i="1"/>
  <c r="S118" i="1" s="1"/>
  <c r="P119" i="1"/>
  <c r="P120" i="1"/>
  <c r="S120" i="1" s="1"/>
  <c r="P121" i="1"/>
  <c r="P122" i="1"/>
  <c r="P123" i="1"/>
  <c r="P124" i="1"/>
  <c r="P125" i="1"/>
  <c r="P126" i="1"/>
  <c r="S126" i="1" s="1"/>
  <c r="P127" i="1"/>
  <c r="S127" i="1" s="1"/>
  <c r="P128" i="1"/>
  <c r="P129" i="1"/>
  <c r="P130" i="1"/>
  <c r="P131" i="1"/>
  <c r="P132" i="1"/>
  <c r="P133" i="1"/>
  <c r="P134" i="1"/>
  <c r="P135" i="1"/>
  <c r="P136" i="1"/>
  <c r="P137" i="1"/>
  <c r="P138" i="1"/>
  <c r="P139" i="1"/>
  <c r="P140" i="1"/>
  <c r="S140" i="1" s="1"/>
  <c r="P141" i="1"/>
  <c r="P142" i="1"/>
  <c r="P143" i="1"/>
  <c r="P144" i="1"/>
  <c r="P145" i="1"/>
  <c r="P146" i="1"/>
  <c r="P147" i="1"/>
  <c r="P148" i="1"/>
  <c r="P149" i="1"/>
  <c r="P150" i="1"/>
  <c r="P151" i="1"/>
  <c r="P152" i="1"/>
  <c r="P153" i="1"/>
  <c r="P154" i="1"/>
  <c r="P155" i="1"/>
  <c r="P156" i="1"/>
  <c r="P159" i="1"/>
  <c r="P160" i="1"/>
  <c r="P161" i="1"/>
  <c r="P162" i="1"/>
  <c r="P163" i="1"/>
  <c r="P164" i="1"/>
  <c r="P165" i="1"/>
  <c r="P166" i="1"/>
  <c r="P167" i="1"/>
  <c r="P168" i="1"/>
  <c r="P169" i="1"/>
  <c r="P170" i="1"/>
  <c r="P171" i="1"/>
  <c r="P172" i="1"/>
  <c r="P173" i="1"/>
  <c r="P174" i="1"/>
  <c r="P175" i="1"/>
  <c r="P176" i="1"/>
  <c r="P177" i="1"/>
  <c r="P178" i="1"/>
  <c r="P179"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5" i="1"/>
  <c r="P286" i="1"/>
  <c r="P287" i="1"/>
  <c r="P288" i="1"/>
  <c r="P289" i="1"/>
  <c r="P290" i="1"/>
  <c r="P291" i="1"/>
  <c r="P292" i="1"/>
  <c r="P293" i="1"/>
  <c r="P294" i="1"/>
  <c r="P295" i="1"/>
  <c r="P296" i="1"/>
  <c r="P297" i="1"/>
  <c r="P298" i="1"/>
  <c r="P301" i="1"/>
  <c r="P302" i="1"/>
  <c r="P303" i="1"/>
  <c r="P304" i="1"/>
  <c r="P305" i="1"/>
  <c r="P306" i="1"/>
  <c r="P307" i="1"/>
  <c r="P308" i="1"/>
  <c r="P309" i="1"/>
  <c r="P311" i="1"/>
  <c r="P312" i="1"/>
  <c r="P313" i="1"/>
  <c r="P314" i="1"/>
  <c r="P315" i="1"/>
  <c r="P316" i="1"/>
  <c r="P317" i="1"/>
  <c r="P318" i="1"/>
  <c r="P319" i="1"/>
  <c r="P320" i="1"/>
  <c r="P321" i="1"/>
  <c r="P322" i="1"/>
  <c r="P323" i="1"/>
  <c r="P324" i="1"/>
  <c r="P325" i="1"/>
  <c r="P326"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22" i="1"/>
  <c r="P423" i="1"/>
  <c r="P424" i="1"/>
  <c r="P425" i="1"/>
  <c r="P426" i="1"/>
  <c r="P427" i="1"/>
  <c r="P428" i="1"/>
  <c r="P429" i="1"/>
  <c r="S429" i="1" s="1"/>
  <c r="P430" i="1"/>
  <c r="S430" i="1" s="1"/>
  <c r="P431" i="1"/>
  <c r="P432"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74" i="1"/>
  <c r="P475" i="1"/>
  <c r="P476" i="1"/>
  <c r="P477" i="1"/>
  <c r="S477" i="1" s="1"/>
  <c r="P478" i="1"/>
  <c r="S478" i="1" s="1"/>
  <c r="P479" i="1"/>
  <c r="P480" i="1"/>
  <c r="P481" i="1"/>
  <c r="P482" i="1"/>
  <c r="P483" i="1"/>
  <c r="P484" i="1"/>
  <c r="P485" i="1"/>
  <c r="P486" i="1"/>
  <c r="P487" i="1"/>
  <c r="P488" i="1"/>
  <c r="P489" i="1"/>
  <c r="P490" i="1"/>
  <c r="P491" i="1"/>
  <c r="P492" i="1"/>
  <c r="P493" i="1"/>
  <c r="S493" i="1" s="1"/>
  <c r="P494" i="1"/>
  <c r="S494" i="1" s="1"/>
  <c r="P495" i="1"/>
  <c r="P496" i="1"/>
  <c r="P497" i="1"/>
  <c r="P498" i="1"/>
  <c r="P499" i="1"/>
  <c r="P500" i="1"/>
  <c r="P501" i="1"/>
  <c r="P502" i="1"/>
  <c r="P503" i="1"/>
  <c r="P504" i="1"/>
  <c r="P505" i="1"/>
  <c r="P506" i="1"/>
  <c r="P507" i="1"/>
  <c r="P508" i="1"/>
  <c r="P509" i="1"/>
  <c r="S509" i="1" s="1"/>
  <c r="P510" i="1"/>
  <c r="S510" i="1" s="1"/>
  <c r="P511" i="1"/>
  <c r="P512" i="1"/>
  <c r="P513" i="1"/>
  <c r="P514" i="1"/>
  <c r="P515" i="1"/>
  <c r="P516" i="1"/>
  <c r="P517" i="1"/>
  <c r="P518" i="1"/>
  <c r="P519" i="1"/>
  <c r="P520" i="1"/>
  <c r="P521" i="1"/>
  <c r="P522" i="1"/>
  <c r="P523" i="1"/>
  <c r="P524" i="1"/>
  <c r="P525" i="1"/>
  <c r="S525" i="1" s="1"/>
  <c r="P526"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4" i="1"/>
  <c r="P565" i="1"/>
  <c r="P566" i="1"/>
  <c r="P567" i="1"/>
  <c r="P568"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40" i="1"/>
  <c r="P641" i="1"/>
  <c r="P642" i="1"/>
  <c r="P643" i="1"/>
  <c r="P644" i="1"/>
  <c r="P645" i="1"/>
  <c r="P646" i="1"/>
  <c r="P647" i="1"/>
  <c r="P648" i="1"/>
  <c r="P649" i="1"/>
  <c r="P650" i="1"/>
  <c r="P651" i="1"/>
  <c r="P652" i="1"/>
  <c r="P653" i="1"/>
  <c r="P654" i="1"/>
  <c r="P655"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9" i="1"/>
  <c r="P770" i="1"/>
  <c r="P771" i="1"/>
  <c r="P772" i="1"/>
  <c r="P773" i="1"/>
  <c r="P778" i="1"/>
  <c r="P779" i="1"/>
  <c r="P780" i="1"/>
  <c r="H92" i="13" l="1"/>
  <c r="H88" i="13"/>
  <c r="H87" i="13"/>
  <c r="H94" i="13"/>
  <c r="H95" i="13"/>
  <c r="H86" i="13"/>
  <c r="S644" i="1"/>
  <c r="T644" i="1" s="1"/>
  <c r="H91" i="13"/>
  <c r="H90" i="13"/>
  <c r="H93" i="13"/>
  <c r="S424" i="1"/>
  <c r="H89" i="13"/>
  <c r="K89" i="13"/>
  <c r="S583" i="1"/>
  <c r="T583" i="1" s="1"/>
  <c r="S638" i="1"/>
  <c r="T638" i="1" s="1"/>
  <c r="S622" i="1"/>
  <c r="T622" i="1" s="1"/>
  <c r="S606" i="1"/>
  <c r="T606" i="1" s="1"/>
  <c r="S574" i="1"/>
  <c r="T574" i="1" s="1"/>
  <c r="H5" i="13"/>
  <c r="H4" i="13"/>
  <c r="S28" i="1"/>
  <c r="S557" i="1"/>
  <c r="T557" i="1" s="1"/>
  <c r="S461" i="1"/>
  <c r="S445" i="1"/>
  <c r="S365" i="1"/>
  <c r="T365" i="1" s="1"/>
  <c r="S413" i="1"/>
  <c r="T413" i="1" s="1"/>
  <c r="S397" i="1"/>
  <c r="T397" i="1" s="1"/>
  <c r="S381" i="1"/>
  <c r="T381" i="1" s="1"/>
  <c r="H3" i="13"/>
  <c r="S727" i="1"/>
  <c r="T727" i="1" s="1"/>
  <c r="S646" i="1"/>
  <c r="T646" i="1" s="1"/>
  <c r="S382" i="1"/>
  <c r="T382" i="1" s="1"/>
  <c r="S337" i="1"/>
  <c r="T337" i="1" s="1"/>
  <c r="S98" i="1"/>
  <c r="S407" i="1"/>
  <c r="T407" i="1" s="1"/>
  <c r="S391" i="1"/>
  <c r="T391" i="1" s="1"/>
  <c r="S323" i="1"/>
  <c r="T323" i="1" s="1"/>
  <c r="R98" i="1"/>
  <c r="T98" i="1" s="1"/>
  <c r="S675" i="1"/>
  <c r="T675" i="1" s="1"/>
  <c r="S647" i="1"/>
  <c r="T647" i="1" s="1"/>
  <c r="S287" i="1"/>
  <c r="S552" i="1"/>
  <c r="S272" i="1"/>
  <c r="S779" i="1"/>
  <c r="T779" i="1" s="1"/>
  <c r="S535" i="1"/>
  <c r="T535" i="1" s="1"/>
  <c r="S579" i="1"/>
  <c r="T579" i="1" s="1"/>
  <c r="S695" i="1"/>
  <c r="T695" i="1" s="1"/>
  <c r="S679" i="1"/>
  <c r="T679" i="1" s="1"/>
  <c r="S663" i="1"/>
  <c r="T663" i="1" s="1"/>
  <c r="S643" i="1"/>
  <c r="T643" i="1" s="1"/>
  <c r="S455" i="1"/>
  <c r="S319" i="1"/>
  <c r="T319" i="1" s="1"/>
  <c r="S258" i="1"/>
  <c r="S519" i="1"/>
  <c r="S31" i="1"/>
  <c r="T31" i="1" s="1"/>
  <c r="S112" i="1"/>
  <c r="S742" i="1"/>
  <c r="T742" i="1" s="1"/>
  <c r="S294" i="1"/>
  <c r="S286" i="1"/>
  <c r="S558" i="1"/>
  <c r="T558" i="1" s="1"/>
  <c r="S446" i="1"/>
  <c r="S318" i="1"/>
  <c r="T318" i="1" s="1"/>
  <c r="S456" i="1"/>
  <c r="S230" i="1"/>
  <c r="S222" i="1"/>
  <c r="S696" i="1"/>
  <c r="T696" i="1" s="1"/>
  <c r="S664" i="1"/>
  <c r="T664" i="1" s="1"/>
  <c r="S542" i="1"/>
  <c r="T542" i="1" s="1"/>
  <c r="S678" i="1"/>
  <c r="T678" i="1" s="1"/>
  <c r="S710" i="1"/>
  <c r="T710" i="1" s="1"/>
  <c r="S366" i="1"/>
  <c r="T366" i="1" s="1"/>
  <c r="S342" i="1"/>
  <c r="T342" i="1" s="1"/>
  <c r="S278" i="1"/>
  <c r="S169" i="1"/>
  <c r="T169" i="1" s="1"/>
  <c r="S9" i="1"/>
  <c r="R272" i="1"/>
  <c r="T272" i="1" s="1"/>
  <c r="S264" i="1"/>
  <c r="R112" i="1"/>
  <c r="T112" i="1" s="1"/>
  <c r="S360" i="1"/>
  <c r="T360" i="1" s="1"/>
  <c r="S408" i="1"/>
  <c r="T408" i="1" s="1"/>
  <c r="R552" i="1"/>
  <c r="S769" i="1"/>
  <c r="R769" i="1"/>
  <c r="T769" i="1" s="1"/>
  <c r="S761" i="1"/>
  <c r="R761" i="1"/>
  <c r="S753" i="1"/>
  <c r="R753" i="1"/>
  <c r="S745" i="1"/>
  <c r="S737" i="1"/>
  <c r="R737" i="1"/>
  <c r="S729" i="1"/>
  <c r="R729" i="1"/>
  <c r="S721" i="1"/>
  <c r="S713" i="1"/>
  <c r="R713" i="1"/>
  <c r="S705" i="1"/>
  <c r="R705" i="1"/>
  <c r="S697" i="1"/>
  <c r="S689" i="1"/>
  <c r="S681" i="1"/>
  <c r="S673" i="1"/>
  <c r="R673" i="1"/>
  <c r="S665" i="1"/>
  <c r="R665" i="1"/>
  <c r="S649" i="1"/>
  <c r="R649" i="1"/>
  <c r="S641" i="1"/>
  <c r="R641" i="1"/>
  <c r="S633" i="1"/>
  <c r="T633" i="1" s="1"/>
  <c r="S625" i="1"/>
  <c r="T625" i="1" s="1"/>
  <c r="S617" i="1"/>
  <c r="T617" i="1" s="1"/>
  <c r="S609" i="1"/>
  <c r="R609" i="1"/>
  <c r="S601" i="1"/>
  <c r="R601" i="1"/>
  <c r="S593" i="1"/>
  <c r="R593" i="1"/>
  <c r="S585" i="1"/>
  <c r="R585" i="1"/>
  <c r="S577" i="1"/>
  <c r="R577" i="1"/>
  <c r="S561" i="1"/>
  <c r="T561" i="1" s="1"/>
  <c r="S553" i="1"/>
  <c r="T553" i="1" s="1"/>
  <c r="S545" i="1"/>
  <c r="R545" i="1"/>
  <c r="S537" i="1"/>
  <c r="R537" i="1"/>
  <c r="S529" i="1"/>
  <c r="R529" i="1"/>
  <c r="S465" i="1"/>
  <c r="S457" i="1"/>
  <c r="S449" i="1"/>
  <c r="R449" i="1"/>
  <c r="T449" i="1" s="1"/>
  <c r="S441" i="1"/>
  <c r="R441" i="1"/>
  <c r="T441" i="1" s="1"/>
  <c r="S417" i="1"/>
  <c r="R417" i="1"/>
  <c r="S409" i="1"/>
  <c r="S401" i="1"/>
  <c r="R401" i="1"/>
  <c r="S393" i="1"/>
  <c r="R393" i="1"/>
  <c r="S385" i="1"/>
  <c r="R385" i="1"/>
  <c r="S377" i="1"/>
  <c r="R377" i="1"/>
  <c r="S321" i="1"/>
  <c r="R321" i="1"/>
  <c r="S313" i="1"/>
  <c r="S305" i="1"/>
  <c r="S297" i="1"/>
  <c r="R297" i="1"/>
  <c r="T297" i="1" s="1"/>
  <c r="S289" i="1"/>
  <c r="R289" i="1"/>
  <c r="T289" i="1" s="1"/>
  <c r="S273" i="1"/>
  <c r="R273" i="1"/>
  <c r="T273" i="1" s="1"/>
  <c r="S177" i="1"/>
  <c r="R177" i="1"/>
  <c r="S161" i="1"/>
  <c r="R161" i="1"/>
  <c r="S584" i="1"/>
  <c r="T584" i="1" s="1"/>
  <c r="R777" i="1"/>
  <c r="R697" i="1"/>
  <c r="S728" i="1"/>
  <c r="R728" i="1"/>
  <c r="S712" i="1"/>
  <c r="R712" i="1"/>
  <c r="S616" i="1"/>
  <c r="R616" i="1"/>
  <c r="S600" i="1"/>
  <c r="R600" i="1"/>
  <c r="R536" i="1"/>
  <c r="S536" i="1"/>
  <c r="S520" i="1"/>
  <c r="R520" i="1"/>
  <c r="T520" i="1" s="1"/>
  <c r="S488" i="1"/>
  <c r="R488" i="1"/>
  <c r="T488" i="1" s="1"/>
  <c r="S392" i="1"/>
  <c r="R392" i="1"/>
  <c r="R721" i="1"/>
  <c r="R689" i="1"/>
  <c r="R457" i="1"/>
  <c r="T457" i="1" s="1"/>
  <c r="S312" i="1"/>
  <c r="T312" i="1" s="1"/>
  <c r="S185" i="1"/>
  <c r="S176" i="1"/>
  <c r="T176" i="1" s="1"/>
  <c r="R750" i="1"/>
  <c r="S750" i="1"/>
  <c r="S734" i="1"/>
  <c r="R734" i="1"/>
  <c r="S414" i="1"/>
  <c r="T414" i="1" s="1"/>
  <c r="R745" i="1"/>
  <c r="R681" i="1"/>
  <c r="R409" i="1"/>
  <c r="S208" i="1"/>
  <c r="S200" i="1"/>
  <c r="S184" i="1"/>
  <c r="S773" i="1"/>
  <c r="R773" i="1"/>
  <c r="T773" i="1" s="1"/>
  <c r="S701" i="1"/>
  <c r="R701" i="1"/>
  <c r="S693" i="1"/>
  <c r="R693" i="1"/>
  <c r="S685" i="1"/>
  <c r="R685" i="1"/>
  <c r="S677" i="1"/>
  <c r="T677" i="1" s="1"/>
  <c r="S669" i="1"/>
  <c r="T669" i="1" s="1"/>
  <c r="S661" i="1"/>
  <c r="T661" i="1" s="1"/>
  <c r="S653" i="1"/>
  <c r="R653" i="1"/>
  <c r="S645" i="1"/>
  <c r="R645" i="1"/>
  <c r="S637" i="1"/>
  <c r="R637" i="1"/>
  <c r="S629" i="1"/>
  <c r="R629" i="1"/>
  <c r="S621" i="1"/>
  <c r="R621" i="1"/>
  <c r="S613" i="1"/>
  <c r="T613" i="1" s="1"/>
  <c r="S605" i="1"/>
  <c r="S597" i="1"/>
  <c r="T597" i="1" s="1"/>
  <c r="S589" i="1"/>
  <c r="R589" i="1"/>
  <c r="S581" i="1"/>
  <c r="R581" i="1"/>
  <c r="S573" i="1"/>
  <c r="R573" i="1"/>
  <c r="S565" i="1"/>
  <c r="R565" i="1"/>
  <c r="T565" i="1" s="1"/>
  <c r="S541" i="1"/>
  <c r="T541" i="1" s="1"/>
  <c r="S453" i="1"/>
  <c r="R437" i="1"/>
  <c r="T437" i="1" s="1"/>
  <c r="S405" i="1"/>
  <c r="R405" i="1"/>
  <c r="S389" i="1"/>
  <c r="R389" i="1"/>
  <c r="S373" i="1"/>
  <c r="T373" i="1" s="1"/>
  <c r="R605" i="1"/>
  <c r="R313" i="1"/>
  <c r="R9" i="1"/>
  <c r="T9" i="1" s="1"/>
  <c r="S759" i="1"/>
  <c r="T759" i="1" s="1"/>
  <c r="S743" i="1"/>
  <c r="S711" i="1"/>
  <c r="S599" i="1"/>
  <c r="R599" i="1"/>
  <c r="S63" i="1"/>
  <c r="S718" i="1"/>
  <c r="S702" i="1"/>
  <c r="S686" i="1"/>
  <c r="S670" i="1"/>
  <c r="S654" i="1"/>
  <c r="T654" i="1" s="1"/>
  <c r="S462" i="1"/>
  <c r="R462" i="1"/>
  <c r="T462" i="1" s="1"/>
  <c r="S398" i="1"/>
  <c r="R398" i="1"/>
  <c r="S15" i="1"/>
  <c r="T15" i="1" s="1"/>
  <c r="R718" i="1"/>
  <c r="S780" i="1"/>
  <c r="S772" i="1"/>
  <c r="S732" i="1"/>
  <c r="S724" i="1"/>
  <c r="S716" i="1"/>
  <c r="R716" i="1"/>
  <c r="S708" i="1"/>
  <c r="R708" i="1"/>
  <c r="S700" i="1"/>
  <c r="R700" i="1"/>
  <c r="S692" i="1"/>
  <c r="R692" i="1"/>
  <c r="S684" i="1"/>
  <c r="R684" i="1"/>
  <c r="S676" i="1"/>
  <c r="R676" i="1"/>
  <c r="S668" i="1"/>
  <c r="R668" i="1"/>
  <c r="R660" i="1"/>
  <c r="S636" i="1"/>
  <c r="R636" i="1"/>
  <c r="S628" i="1"/>
  <c r="R628" i="1"/>
  <c r="S620" i="1"/>
  <c r="R620" i="1"/>
  <c r="S612" i="1"/>
  <c r="R612" i="1"/>
  <c r="S604" i="1"/>
  <c r="R604" i="1"/>
  <c r="S596" i="1"/>
  <c r="R596" i="1"/>
  <c r="S588" i="1"/>
  <c r="R588" i="1"/>
  <c r="S580" i="1"/>
  <c r="R580" i="1"/>
  <c r="S572" i="1"/>
  <c r="R572" i="1"/>
  <c r="S564" i="1"/>
  <c r="R564" i="1"/>
  <c r="T564" i="1" s="1"/>
  <c r="S556" i="1"/>
  <c r="R556" i="1"/>
  <c r="S548" i="1"/>
  <c r="R548" i="1"/>
  <c r="S540" i="1"/>
  <c r="R540" i="1"/>
  <c r="S532" i="1"/>
  <c r="R532" i="1"/>
  <c r="S516" i="1"/>
  <c r="R516" i="1"/>
  <c r="T516" i="1" s="1"/>
  <c r="S500" i="1"/>
  <c r="R500" i="1"/>
  <c r="T500" i="1" s="1"/>
  <c r="S460" i="1"/>
  <c r="R460" i="1"/>
  <c r="T460" i="1" s="1"/>
  <c r="S452" i="1"/>
  <c r="R452" i="1"/>
  <c r="T452" i="1" s="1"/>
  <c r="S444" i="1"/>
  <c r="R444" i="1"/>
  <c r="T444" i="1" s="1"/>
  <c r="R436" i="1"/>
  <c r="T436" i="1" s="1"/>
  <c r="S364" i="1"/>
  <c r="R364" i="1"/>
  <c r="S356" i="1"/>
  <c r="R356" i="1"/>
  <c r="S348" i="1"/>
  <c r="R348" i="1"/>
  <c r="S340" i="1"/>
  <c r="R340" i="1"/>
  <c r="S332" i="1"/>
  <c r="R332" i="1"/>
  <c r="S324" i="1"/>
  <c r="R324" i="1"/>
  <c r="S316" i="1"/>
  <c r="R316" i="1"/>
  <c r="S308" i="1"/>
  <c r="R308" i="1"/>
  <c r="T308" i="1" s="1"/>
  <c r="S276" i="1"/>
  <c r="R276" i="1"/>
  <c r="T276" i="1" s="1"/>
  <c r="S268" i="1"/>
  <c r="R268" i="1"/>
  <c r="T268" i="1" s="1"/>
  <c r="S260" i="1"/>
  <c r="R260" i="1"/>
  <c r="T260" i="1" s="1"/>
  <c r="S252" i="1"/>
  <c r="R252" i="1"/>
  <c r="T252" i="1" s="1"/>
  <c r="S244" i="1"/>
  <c r="R244" i="1"/>
  <c r="T244" i="1" s="1"/>
  <c r="S172" i="1"/>
  <c r="R172" i="1"/>
  <c r="S164" i="1"/>
  <c r="R164" i="1"/>
  <c r="S156" i="1"/>
  <c r="R156" i="1"/>
  <c r="T140" i="1"/>
  <c r="T28" i="1"/>
  <c r="S20" i="1"/>
  <c r="R20" i="1"/>
  <c r="R780" i="1"/>
  <c r="R702" i="1"/>
  <c r="S515" i="1"/>
  <c r="R515" i="1"/>
  <c r="T515" i="1" s="1"/>
  <c r="S499" i="1"/>
  <c r="R499" i="1"/>
  <c r="T499" i="1" s="1"/>
  <c r="S347" i="1"/>
  <c r="R347" i="1"/>
  <c r="R743" i="1"/>
  <c r="R724" i="1"/>
  <c r="S57" i="1"/>
  <c r="S322" i="1"/>
  <c r="R322" i="1"/>
  <c r="S154" i="1"/>
  <c r="T154" i="1" s="1"/>
  <c r="S82" i="1"/>
  <c r="R82" i="1"/>
  <c r="T82" i="1" s="1"/>
  <c r="S214" i="1"/>
  <c r="R732" i="1"/>
  <c r="R711" i="1"/>
  <c r="R686" i="1"/>
  <c r="R670" i="1"/>
  <c r="S691" i="1"/>
  <c r="T691" i="1" s="1"/>
  <c r="S627" i="1"/>
  <c r="S371" i="1"/>
  <c r="T371" i="1" s="1"/>
  <c r="S171" i="1"/>
  <c r="T171" i="1" s="1"/>
  <c r="S521" i="1"/>
  <c r="S513" i="1"/>
  <c r="S505" i="1"/>
  <c r="S241" i="1"/>
  <c r="S760" i="1"/>
  <c r="T760" i="1" s="1"/>
  <c r="S744" i="1"/>
  <c r="T744" i="1" s="1"/>
  <c r="S680" i="1"/>
  <c r="T680" i="1" s="1"/>
  <c r="S590" i="1"/>
  <c r="T590" i="1" s="1"/>
  <c r="S526" i="1"/>
  <c r="S765" i="1"/>
  <c r="T765" i="1" s="1"/>
  <c r="S757" i="1"/>
  <c r="T757" i="1" s="1"/>
  <c r="S749" i="1"/>
  <c r="T749" i="1" s="1"/>
  <c r="S741" i="1"/>
  <c r="T741" i="1" s="1"/>
  <c r="S733" i="1"/>
  <c r="T733" i="1" s="1"/>
  <c r="S725" i="1"/>
  <c r="T725" i="1" s="1"/>
  <c r="S717" i="1"/>
  <c r="T717" i="1" s="1"/>
  <c r="S709" i="1"/>
  <c r="T709" i="1" s="1"/>
  <c r="S764" i="1"/>
  <c r="T764" i="1" s="1"/>
  <c r="S404" i="1"/>
  <c r="T404" i="1" s="1"/>
  <c r="S372" i="1"/>
  <c r="T372" i="1" s="1"/>
  <c r="S212" i="1"/>
  <c r="S497" i="1"/>
  <c r="S489" i="1"/>
  <c r="S481" i="1"/>
  <c r="S425" i="1"/>
  <c r="S361" i="1"/>
  <c r="T361" i="1" s="1"/>
  <c r="S353" i="1"/>
  <c r="T353" i="1" s="1"/>
  <c r="S345" i="1"/>
  <c r="T345" i="1" s="1"/>
  <c r="S329" i="1"/>
  <c r="T329" i="1" s="1"/>
  <c r="S145" i="1"/>
  <c r="T145" i="1" s="1"/>
  <c r="S121" i="1"/>
  <c r="S105" i="1"/>
  <c r="S89" i="1"/>
  <c r="S73" i="1"/>
  <c r="S65" i="1"/>
  <c r="S41" i="1"/>
  <c r="S752" i="1"/>
  <c r="T752" i="1" s="1"/>
  <c r="S736" i="1"/>
  <c r="T736" i="1" s="1"/>
  <c r="S720" i="1"/>
  <c r="T720" i="1" s="1"/>
  <c r="S688" i="1"/>
  <c r="T688" i="1" s="1"/>
  <c r="S672" i="1"/>
  <c r="T672" i="1" s="1"/>
  <c r="S648" i="1"/>
  <c r="T648" i="1" s="1"/>
  <c r="S640" i="1"/>
  <c r="T640" i="1" s="1"/>
  <c r="S632" i="1"/>
  <c r="T632" i="1" s="1"/>
  <c r="S624" i="1"/>
  <c r="T624" i="1" s="1"/>
  <c r="S608" i="1"/>
  <c r="T608" i="1" s="1"/>
  <c r="S592" i="1"/>
  <c r="T592" i="1" s="1"/>
  <c r="S576" i="1"/>
  <c r="T576" i="1" s="1"/>
  <c r="S568" i="1"/>
  <c r="S560" i="1"/>
  <c r="T560" i="1" s="1"/>
  <c r="S544" i="1"/>
  <c r="T544" i="1" s="1"/>
  <c r="S528" i="1"/>
  <c r="T528" i="1" s="1"/>
  <c r="S512" i="1"/>
  <c r="S504" i="1"/>
  <c r="S496" i="1"/>
  <c r="S480" i="1"/>
  <c r="S440" i="1"/>
  <c r="S376" i="1"/>
  <c r="T376" i="1" s="1"/>
  <c r="S336" i="1"/>
  <c r="T336" i="1" s="1"/>
  <c r="S304" i="1"/>
  <c r="S168" i="1"/>
  <c r="T168" i="1" s="1"/>
  <c r="S104" i="1"/>
  <c r="S80" i="1"/>
  <c r="S72" i="1"/>
  <c r="S40" i="1"/>
  <c r="S281" i="1"/>
  <c r="S265" i="1"/>
  <c r="S257" i="1"/>
  <c r="S249" i="1"/>
  <c r="S233" i="1"/>
  <c r="S225" i="1"/>
  <c r="S217" i="1"/>
  <c r="S209" i="1"/>
  <c r="S201" i="1"/>
  <c r="S193" i="1"/>
  <c r="S153" i="1"/>
  <c r="T153" i="1" s="1"/>
  <c r="S137" i="1"/>
  <c r="T137" i="1" s="1"/>
  <c r="S129" i="1"/>
  <c r="S113" i="1"/>
  <c r="S97" i="1"/>
  <c r="S81" i="1"/>
  <c r="S751" i="1"/>
  <c r="T751" i="1" s="1"/>
  <c r="S735" i="1"/>
  <c r="T735" i="1" s="1"/>
  <c r="S719" i="1"/>
  <c r="T719" i="1" s="1"/>
  <c r="S687" i="1"/>
  <c r="T687" i="1" s="1"/>
  <c r="S671" i="1"/>
  <c r="T671" i="1" s="1"/>
  <c r="S655" i="1"/>
  <c r="T655" i="1" s="1"/>
  <c r="S631" i="1"/>
  <c r="T631" i="1" s="1"/>
  <c r="S623" i="1"/>
  <c r="T623" i="1" s="1"/>
  <c r="S615" i="1"/>
  <c r="T615" i="1" s="1"/>
  <c r="S607" i="1"/>
  <c r="T607" i="1" s="1"/>
  <c r="S591" i="1"/>
  <c r="T591" i="1" s="1"/>
  <c r="S575" i="1"/>
  <c r="T575" i="1" s="1"/>
  <c r="S567" i="1"/>
  <c r="S559" i="1"/>
  <c r="T559" i="1" s="1"/>
  <c r="S551" i="1"/>
  <c r="T551" i="1" s="1"/>
  <c r="S543" i="1"/>
  <c r="T543" i="1" s="1"/>
  <c r="S503" i="1"/>
  <c r="S487" i="1"/>
  <c r="S439" i="1"/>
  <c r="S423" i="1"/>
  <c r="S375" i="1"/>
  <c r="T375" i="1" s="1"/>
  <c r="S359" i="1"/>
  <c r="T359" i="1" s="1"/>
  <c r="S311" i="1"/>
  <c r="T311" i="1" s="1"/>
  <c r="S199" i="1"/>
  <c r="S191" i="1"/>
  <c r="S135" i="1"/>
  <c r="T135" i="1" s="1"/>
  <c r="S111" i="1"/>
  <c r="S103" i="1"/>
  <c r="S47" i="1"/>
  <c r="S549" i="1"/>
  <c r="T549" i="1" s="1"/>
  <c r="S533" i="1"/>
  <c r="T533" i="1" s="1"/>
  <c r="S517" i="1"/>
  <c r="S501" i="1"/>
  <c r="S485" i="1"/>
  <c r="S756" i="1"/>
  <c r="T756" i="1" s="1"/>
  <c r="S508" i="1"/>
  <c r="S484" i="1"/>
  <c r="S292" i="1"/>
  <c r="S236" i="1"/>
  <c r="S228" i="1"/>
  <c r="S220" i="1"/>
  <c r="S204" i="1"/>
  <c r="S196" i="1"/>
  <c r="S188" i="1"/>
  <c r="S148" i="1"/>
  <c r="T148" i="1" s="1"/>
  <c r="S132" i="1"/>
  <c r="S124" i="1"/>
  <c r="S116" i="1"/>
  <c r="S108" i="1"/>
  <c r="S100" i="1"/>
  <c r="S92" i="1"/>
  <c r="S84" i="1"/>
  <c r="S76" i="1"/>
  <c r="S68" i="1"/>
  <c r="S60" i="1"/>
  <c r="S52" i="1"/>
  <c r="S44" i="1"/>
  <c r="S36" i="1"/>
  <c r="T36" i="1" s="1"/>
  <c r="S12" i="1"/>
  <c r="S4" i="1"/>
  <c r="S748" i="1"/>
  <c r="T748" i="1" s="1"/>
  <c r="S652" i="1"/>
  <c r="T652" i="1" s="1"/>
  <c r="S428" i="1"/>
  <c r="S412" i="1"/>
  <c r="T412" i="1" s="1"/>
  <c r="S396" i="1"/>
  <c r="T396" i="1" s="1"/>
  <c r="S388" i="1"/>
  <c r="T388" i="1" s="1"/>
  <c r="S380" i="1"/>
  <c r="T380" i="1" s="1"/>
  <c r="S771" i="1"/>
  <c r="S763" i="1"/>
  <c r="T763" i="1" s="1"/>
  <c r="S755" i="1"/>
  <c r="T755" i="1" s="1"/>
  <c r="S747" i="1"/>
  <c r="T747" i="1" s="1"/>
  <c r="S731" i="1"/>
  <c r="T731" i="1" s="1"/>
  <c r="S723" i="1"/>
  <c r="T723" i="1" s="1"/>
  <c r="S715" i="1"/>
  <c r="T715" i="1" s="1"/>
  <c r="S707" i="1"/>
  <c r="T707" i="1" s="1"/>
  <c r="S699" i="1"/>
  <c r="T699" i="1" s="1"/>
  <c r="S683" i="1"/>
  <c r="T683" i="1" s="1"/>
  <c r="S667" i="1"/>
  <c r="T667" i="1" s="1"/>
  <c r="S651" i="1"/>
  <c r="T651" i="1" s="1"/>
  <c r="S635" i="1"/>
  <c r="T635" i="1" s="1"/>
  <c r="S619" i="1"/>
  <c r="T619" i="1" s="1"/>
  <c r="S611" i="1"/>
  <c r="T611" i="1" s="1"/>
  <c r="S603" i="1"/>
  <c r="T603" i="1" s="1"/>
  <c r="S595" i="1"/>
  <c r="T595" i="1" s="1"/>
  <c r="S587" i="1"/>
  <c r="T587" i="1" s="1"/>
  <c r="S555" i="1"/>
  <c r="T555" i="1" s="1"/>
  <c r="S547" i="1"/>
  <c r="T547" i="1" s="1"/>
  <c r="S539" i="1"/>
  <c r="T539" i="1" s="1"/>
  <c r="S531" i="1"/>
  <c r="T531" i="1" s="1"/>
  <c r="S523" i="1"/>
  <c r="S507" i="1"/>
  <c r="S491" i="1"/>
  <c r="S483" i="1"/>
  <c r="S475" i="1"/>
  <c r="S467" i="1"/>
  <c r="S459" i="1"/>
  <c r="S451" i="1"/>
  <c r="S443" i="1"/>
  <c r="S427" i="1"/>
  <c r="S411" i="1"/>
  <c r="T411" i="1" s="1"/>
  <c r="S403" i="1"/>
  <c r="T403" i="1" s="1"/>
  <c r="S395" i="1"/>
  <c r="T395" i="1" s="1"/>
  <c r="S387" i="1"/>
  <c r="T387" i="1" s="1"/>
  <c r="S379" i="1"/>
  <c r="T379" i="1" s="1"/>
  <c r="S363" i="1"/>
  <c r="T363" i="1" s="1"/>
  <c r="S355" i="1"/>
  <c r="T355" i="1" s="1"/>
  <c r="S339" i="1"/>
  <c r="T339" i="1" s="1"/>
  <c r="S331" i="1"/>
  <c r="T331" i="1" s="1"/>
  <c r="S315" i="1"/>
  <c r="T315" i="1" s="1"/>
  <c r="S307" i="1"/>
  <c r="S291" i="1"/>
  <c r="S275" i="1"/>
  <c r="S267" i="1"/>
  <c r="S259" i="1"/>
  <c r="S251" i="1"/>
  <c r="S235" i="1"/>
  <c r="S227" i="1"/>
  <c r="S219" i="1"/>
  <c r="S211" i="1"/>
  <c r="S203" i="1"/>
  <c r="S195" i="1"/>
  <c r="S187" i="1"/>
  <c r="S179" i="1"/>
  <c r="T179" i="1" s="1"/>
  <c r="S163" i="1"/>
  <c r="T163" i="1" s="1"/>
  <c r="S155" i="1"/>
  <c r="T155" i="1" s="1"/>
  <c r="S147" i="1"/>
  <c r="T147" i="1" s="1"/>
  <c r="S139" i="1"/>
  <c r="T139" i="1" s="1"/>
  <c r="S131" i="1"/>
  <c r="S123" i="1"/>
  <c r="S115" i="1"/>
  <c r="S107" i="1"/>
  <c r="S99" i="1"/>
  <c r="S91" i="1"/>
  <c r="S83" i="1"/>
  <c r="S75" i="1"/>
  <c r="S67" i="1"/>
  <c r="S59" i="1"/>
  <c r="S51" i="1"/>
  <c r="S43" i="1"/>
  <c r="S35" i="1"/>
  <c r="T35" i="1" s="1"/>
  <c r="S19" i="1"/>
  <c r="T19" i="1" s="1"/>
  <c r="S11" i="1"/>
  <c r="S3" i="1"/>
  <c r="S524" i="1"/>
  <c r="S492" i="1"/>
  <c r="S476" i="1"/>
  <c r="S778" i="1"/>
  <c r="T778" i="1" s="1"/>
  <c r="S770" i="1"/>
  <c r="S762" i="1"/>
  <c r="T762" i="1" s="1"/>
  <c r="S754" i="1"/>
  <c r="T754" i="1" s="1"/>
  <c r="S746" i="1"/>
  <c r="T746" i="1" s="1"/>
  <c r="S730" i="1"/>
  <c r="T730" i="1" s="1"/>
  <c r="S722" i="1"/>
  <c r="T722" i="1" s="1"/>
  <c r="S714" i="1"/>
  <c r="T714" i="1" s="1"/>
  <c r="S706" i="1"/>
  <c r="T706" i="1" s="1"/>
  <c r="S698" i="1"/>
  <c r="T698" i="1" s="1"/>
  <c r="S690" i="1"/>
  <c r="T690" i="1" s="1"/>
  <c r="S682" i="1"/>
  <c r="T682" i="1" s="1"/>
  <c r="S674" i="1"/>
  <c r="T674" i="1" s="1"/>
  <c r="S666" i="1"/>
  <c r="T666" i="1" s="1"/>
  <c r="S650" i="1"/>
  <c r="T650" i="1" s="1"/>
  <c r="S642" i="1"/>
  <c r="T642" i="1" s="1"/>
  <c r="S634" i="1"/>
  <c r="T634" i="1" s="1"/>
  <c r="S626" i="1"/>
  <c r="S618" i="1"/>
  <c r="T618" i="1" s="1"/>
  <c r="S610" i="1"/>
  <c r="T610" i="1" s="1"/>
  <c r="S602" i="1"/>
  <c r="T602" i="1" s="1"/>
  <c r="S594" i="1"/>
  <c r="T594" i="1" s="1"/>
  <c r="S586" i="1"/>
  <c r="T586" i="1" s="1"/>
  <c r="S578" i="1"/>
  <c r="T578" i="1" s="1"/>
  <c r="S562" i="1"/>
  <c r="T562" i="1" s="1"/>
  <c r="S554" i="1"/>
  <c r="T554" i="1" s="1"/>
  <c r="S546" i="1"/>
  <c r="T546" i="1" s="1"/>
  <c r="S538" i="1"/>
  <c r="T538" i="1" s="1"/>
  <c r="S530" i="1"/>
  <c r="T530" i="1" s="1"/>
  <c r="S522" i="1"/>
  <c r="S514" i="1"/>
  <c r="S506" i="1"/>
  <c r="S498" i="1"/>
  <c r="S490" i="1"/>
  <c r="S482" i="1"/>
  <c r="S474" i="1"/>
  <c r="S466" i="1"/>
  <c r="S458" i="1"/>
  <c r="S450" i="1"/>
  <c r="S442" i="1"/>
  <c r="S426" i="1"/>
  <c r="S418" i="1"/>
  <c r="T418" i="1" s="1"/>
  <c r="S410" i="1"/>
  <c r="T410" i="1" s="1"/>
  <c r="S402" i="1"/>
  <c r="T402" i="1" s="1"/>
  <c r="S394" i="1"/>
  <c r="T394" i="1" s="1"/>
  <c r="S386" i="1"/>
  <c r="T386" i="1" s="1"/>
  <c r="S378" i="1"/>
  <c r="T378" i="1" s="1"/>
  <c r="S362" i="1"/>
  <c r="T362" i="1" s="1"/>
  <c r="S354" i="1"/>
  <c r="T354" i="1" s="1"/>
  <c r="S346" i="1"/>
  <c r="T346" i="1" s="1"/>
  <c r="S338" i="1"/>
  <c r="T338" i="1" s="1"/>
  <c r="S330" i="1"/>
  <c r="T330" i="1" s="1"/>
  <c r="S314" i="1"/>
  <c r="T314" i="1" s="1"/>
  <c r="S306" i="1"/>
  <c r="S298" i="1"/>
  <c r="S290" i="1"/>
  <c r="S274" i="1"/>
  <c r="S266" i="1"/>
  <c r="S250" i="1"/>
  <c r="S234" i="1"/>
  <c r="S226" i="1"/>
  <c r="S218" i="1"/>
  <c r="S210" i="1"/>
  <c r="S202" i="1"/>
  <c r="S194" i="1"/>
  <c r="S186" i="1"/>
  <c r="S178" i="1"/>
  <c r="T178" i="1" s="1"/>
  <c r="S170" i="1"/>
  <c r="T170" i="1" s="1"/>
  <c r="S162" i="1"/>
  <c r="T162" i="1" s="1"/>
  <c r="S146" i="1"/>
  <c r="T146" i="1" s="1"/>
  <c r="S138" i="1"/>
  <c r="T138" i="1" s="1"/>
  <c r="S130" i="1"/>
  <c r="S122" i="1"/>
  <c r="S114" i="1"/>
  <c r="S106" i="1"/>
  <c r="S90" i="1"/>
  <c r="S74" i="1"/>
  <c r="S66" i="1"/>
  <c r="S58" i="1"/>
  <c r="S42" i="1"/>
  <c r="S34" i="1"/>
  <c r="T34" i="1" s="1"/>
  <c r="S18" i="1"/>
  <c r="T18" i="1" s="1"/>
  <c r="S10" i="1"/>
  <c r="S464" i="1"/>
  <c r="S448" i="1"/>
  <c r="S432" i="1"/>
  <c r="S416" i="1"/>
  <c r="T416" i="1" s="1"/>
  <c r="S400" i="1"/>
  <c r="T400" i="1" s="1"/>
  <c r="S384" i="1"/>
  <c r="T384" i="1" s="1"/>
  <c r="S368" i="1"/>
  <c r="T368" i="1" s="1"/>
  <c r="S352" i="1"/>
  <c r="T352" i="1" s="1"/>
  <c r="S344" i="1"/>
  <c r="T344" i="1" s="1"/>
  <c r="S320" i="1"/>
  <c r="T320" i="1" s="1"/>
  <c r="S296" i="1"/>
  <c r="S288" i="1"/>
  <c r="S280" i="1"/>
  <c r="S256" i="1"/>
  <c r="S248" i="1"/>
  <c r="S240" i="1"/>
  <c r="S232" i="1"/>
  <c r="S224" i="1"/>
  <c r="S216" i="1"/>
  <c r="S192" i="1"/>
  <c r="S160" i="1"/>
  <c r="T160" i="1" s="1"/>
  <c r="S152" i="1"/>
  <c r="T152" i="1" s="1"/>
  <c r="S144" i="1"/>
  <c r="T144" i="1" s="1"/>
  <c r="S136" i="1"/>
  <c r="T136" i="1" s="1"/>
  <c r="S128" i="1"/>
  <c r="S96" i="1"/>
  <c r="S88" i="1"/>
  <c r="S56" i="1"/>
  <c r="S16" i="1"/>
  <c r="T16" i="1" s="1"/>
  <c r="S8" i="1"/>
  <c r="S511" i="1"/>
  <c r="S495" i="1"/>
  <c r="S479" i="1"/>
  <c r="S463" i="1"/>
  <c r="S447" i="1"/>
  <c r="S431" i="1"/>
  <c r="S415" i="1"/>
  <c r="T415" i="1" s="1"/>
  <c r="S399" i="1"/>
  <c r="T399" i="1" s="1"/>
  <c r="S383" i="1"/>
  <c r="T383" i="1" s="1"/>
  <c r="S367" i="1"/>
  <c r="T367" i="1" s="1"/>
  <c r="S351" i="1"/>
  <c r="T351" i="1" s="1"/>
  <c r="S343" i="1"/>
  <c r="T343" i="1" s="1"/>
  <c r="S335" i="1"/>
  <c r="T335" i="1" s="1"/>
  <c r="S303" i="1"/>
  <c r="S295" i="1"/>
  <c r="S279" i="1"/>
  <c r="S271" i="1"/>
  <c r="S263" i="1"/>
  <c r="S255" i="1"/>
  <c r="S247" i="1"/>
  <c r="S239" i="1"/>
  <c r="S231" i="1"/>
  <c r="S223" i="1"/>
  <c r="S215" i="1"/>
  <c r="S207" i="1"/>
  <c r="S183" i="1"/>
  <c r="S175" i="1"/>
  <c r="T175" i="1" s="1"/>
  <c r="S167" i="1"/>
  <c r="T167" i="1" s="1"/>
  <c r="S159" i="1"/>
  <c r="T159" i="1" s="1"/>
  <c r="S151" i="1"/>
  <c r="T151" i="1" s="1"/>
  <c r="S143" i="1"/>
  <c r="T143" i="1" s="1"/>
  <c r="S119" i="1"/>
  <c r="S87" i="1"/>
  <c r="S79" i="1"/>
  <c r="S71" i="1"/>
  <c r="S55" i="1"/>
  <c r="S39" i="1"/>
  <c r="T39" i="1" s="1"/>
  <c r="S7" i="1"/>
  <c r="S758" i="1"/>
  <c r="T758" i="1" s="1"/>
  <c r="S726" i="1"/>
  <c r="T726" i="1" s="1"/>
  <c r="S694" i="1"/>
  <c r="T694" i="1" s="1"/>
  <c r="S662" i="1"/>
  <c r="T662" i="1" s="1"/>
  <c r="S630" i="1"/>
  <c r="T630" i="1" s="1"/>
  <c r="S614" i="1"/>
  <c r="T614" i="1" s="1"/>
  <c r="S598" i="1"/>
  <c r="T598" i="1" s="1"/>
  <c r="S582" i="1"/>
  <c r="T582" i="1" s="1"/>
  <c r="S566" i="1"/>
  <c r="S550" i="1"/>
  <c r="T550" i="1" s="1"/>
  <c r="S534" i="1"/>
  <c r="T534" i="1" s="1"/>
  <c r="S518" i="1"/>
  <c r="S502" i="1"/>
  <c r="S486" i="1"/>
  <c r="S454" i="1"/>
  <c r="S422" i="1"/>
  <c r="S406" i="1"/>
  <c r="T406" i="1" s="1"/>
  <c r="S390" i="1"/>
  <c r="T390" i="1" s="1"/>
  <c r="S374" i="1"/>
  <c r="T374" i="1" s="1"/>
  <c r="S358" i="1"/>
  <c r="T358" i="1" s="1"/>
  <c r="S350" i="1"/>
  <c r="T350" i="1" s="1"/>
  <c r="S302" i="1"/>
  <c r="S254" i="1"/>
  <c r="S246" i="1"/>
  <c r="S190" i="1"/>
  <c r="S182" i="1"/>
  <c r="S166" i="1"/>
  <c r="T166" i="1" s="1"/>
  <c r="S150" i="1"/>
  <c r="T150" i="1" s="1"/>
  <c r="S102" i="1"/>
  <c r="S94" i="1"/>
  <c r="S33" i="1"/>
  <c r="T33" i="1" s="1"/>
  <c r="S17" i="1"/>
  <c r="T17" i="1" s="1"/>
  <c r="S334" i="1"/>
  <c r="T334" i="1" s="1"/>
  <c r="S326" i="1"/>
  <c r="T326" i="1" s="1"/>
  <c r="S270" i="1"/>
  <c r="S262" i="1"/>
  <c r="S238" i="1"/>
  <c r="S206" i="1"/>
  <c r="S198" i="1"/>
  <c r="S174" i="1"/>
  <c r="T174" i="1" s="1"/>
  <c r="S142" i="1"/>
  <c r="T142" i="1" s="1"/>
  <c r="S134" i="1"/>
  <c r="T134" i="1" s="1"/>
  <c r="S110" i="1"/>
  <c r="S86" i="1"/>
  <c r="S78" i="1"/>
  <c r="S70" i="1"/>
  <c r="S54" i="1"/>
  <c r="S46" i="1"/>
  <c r="S38" i="1"/>
  <c r="T38" i="1" s="1"/>
  <c r="S30" i="1"/>
  <c r="T30" i="1" s="1"/>
  <c r="S6" i="1"/>
  <c r="S357" i="1"/>
  <c r="T357" i="1" s="1"/>
  <c r="S349" i="1"/>
  <c r="T349" i="1" s="1"/>
  <c r="S341" i="1"/>
  <c r="T341" i="1" s="1"/>
  <c r="S333" i="1"/>
  <c r="T333" i="1" s="1"/>
  <c r="S325" i="1"/>
  <c r="T325" i="1" s="1"/>
  <c r="S317" i="1"/>
  <c r="T317" i="1" s="1"/>
  <c r="S309" i="1"/>
  <c r="S301" i="1"/>
  <c r="S293" i="1"/>
  <c r="S285" i="1"/>
  <c r="S277" i="1"/>
  <c r="S269" i="1"/>
  <c r="S261" i="1"/>
  <c r="S253" i="1"/>
  <c r="S245" i="1"/>
  <c r="S237" i="1"/>
  <c r="S229" i="1"/>
  <c r="S221" i="1"/>
  <c r="S213" i="1"/>
  <c r="S205" i="1"/>
  <c r="S197" i="1"/>
  <c r="S189" i="1"/>
  <c r="S181" i="1"/>
  <c r="S173" i="1"/>
  <c r="T173" i="1" s="1"/>
  <c r="S165" i="1"/>
  <c r="T165" i="1" s="1"/>
  <c r="S149" i="1"/>
  <c r="T149" i="1" s="1"/>
  <c r="S141" i="1"/>
  <c r="T141" i="1" s="1"/>
  <c r="S133" i="1"/>
  <c r="S125" i="1"/>
  <c r="S117" i="1"/>
  <c r="S109" i="1"/>
  <c r="S101" i="1"/>
  <c r="S93" i="1"/>
  <c r="S85" i="1"/>
  <c r="S77" i="1"/>
  <c r="S69" i="1"/>
  <c r="S61" i="1"/>
  <c r="S53" i="1"/>
  <c r="S45" i="1"/>
  <c r="S37" i="1"/>
  <c r="T37" i="1" s="1"/>
  <c r="S29" i="1"/>
  <c r="T29" i="1" s="1"/>
  <c r="S21" i="1"/>
  <c r="T21" i="1" s="1"/>
  <c r="S5" i="1"/>
  <c r="AK28" i="10"/>
  <c r="T552" i="1" l="1"/>
  <c r="T681" i="1"/>
  <c r="T628" i="1"/>
  <c r="T601" i="1"/>
  <c r="T724" i="1"/>
  <c r="T732" i="1"/>
  <c r="T313" i="1"/>
  <c r="T605" i="1"/>
  <c r="T668" i="1"/>
  <c r="T700" i="1"/>
  <c r="T347" i="1"/>
  <c r="T685" i="1"/>
  <c r="T689" i="1"/>
  <c r="T545" i="1"/>
  <c r="T593" i="1"/>
  <c r="T697" i="1"/>
  <c r="T573" i="1"/>
  <c r="T693" i="1"/>
  <c r="T392" i="1"/>
  <c r="T728" i="1"/>
  <c r="T548" i="1"/>
  <c r="T580" i="1"/>
  <c r="T612" i="1"/>
  <c r="T322" i="1"/>
  <c r="T389" i="1"/>
  <c r="T629" i="1"/>
  <c r="T637" i="1"/>
  <c r="T718" i="1"/>
  <c r="T377" i="1"/>
  <c r="T532" i="1"/>
  <c r="T596" i="1"/>
  <c r="T745" i="1"/>
  <c r="T729" i="1"/>
  <c r="T721" i="1"/>
  <c r="T164" i="1"/>
  <c r="T316" i="1"/>
  <c r="T348" i="1"/>
  <c r="T405" i="1"/>
  <c r="T649" i="1"/>
  <c r="T20" i="1"/>
  <c r="T684" i="1"/>
  <c r="T716" i="1"/>
  <c r="T161" i="1"/>
  <c r="T609" i="1"/>
  <c r="T743" i="1"/>
  <c r="T692" i="1"/>
  <c r="T734" i="1"/>
  <c r="T713" i="1"/>
  <c r="T753" i="1"/>
  <c r="T332" i="1"/>
  <c r="T364" i="1"/>
  <c r="T581" i="1"/>
  <c r="T701" i="1"/>
  <c r="T393" i="1"/>
  <c r="T673" i="1"/>
  <c r="T172" i="1"/>
  <c r="T324" i="1"/>
  <c r="T356" i="1"/>
  <c r="T540" i="1"/>
  <c r="T572" i="1"/>
  <c r="T604" i="1"/>
  <c r="T636" i="1"/>
  <c r="T676" i="1"/>
  <c r="T708" i="1"/>
  <c r="T398" i="1"/>
  <c r="T589" i="1"/>
  <c r="T600" i="1"/>
  <c r="T401" i="1"/>
  <c r="T641" i="1"/>
  <c r="T761" i="1"/>
  <c r="T670" i="1"/>
  <c r="T686" i="1"/>
  <c r="T599" i="1"/>
  <c r="T645" i="1"/>
  <c r="T750" i="1"/>
  <c r="T536" i="1"/>
  <c r="T616" i="1"/>
  <c r="T177" i="1"/>
  <c r="T417" i="1"/>
  <c r="T529" i="1"/>
  <c r="T577" i="1"/>
  <c r="T737" i="1"/>
  <c r="T711" i="1"/>
  <c r="T702" i="1"/>
  <c r="T156" i="1"/>
  <c r="T340" i="1"/>
  <c r="T556" i="1"/>
  <c r="T588" i="1"/>
  <c r="T620" i="1"/>
  <c r="T409" i="1"/>
  <c r="T385" i="1"/>
  <c r="T705" i="1"/>
  <c r="T780" i="1"/>
  <c r="T621" i="1"/>
  <c r="T653" i="1"/>
  <c r="T712" i="1"/>
  <c r="T321" i="1"/>
  <c r="T537" i="1"/>
  <c r="T585" i="1"/>
  <c r="T665" i="1"/>
  <c r="BR82" i="10"/>
  <c r="BO82" i="10"/>
  <c r="BL82" i="10"/>
  <c r="BI82" i="10"/>
  <c r="BF82" i="10"/>
  <c r="BC82" i="10"/>
  <c r="AZ82" i="10"/>
  <c r="BR81" i="10"/>
  <c r="BO81" i="10"/>
  <c r="BL81" i="10"/>
  <c r="BI81" i="10"/>
  <c r="BF81" i="10"/>
  <c r="BC81" i="10"/>
  <c r="AZ81" i="10"/>
  <c r="BR80" i="10"/>
  <c r="BO80" i="10"/>
  <c r="BL80" i="10"/>
  <c r="BI80" i="10"/>
  <c r="BF80" i="10"/>
  <c r="BC80" i="10"/>
  <c r="AZ80" i="10"/>
  <c r="BR79" i="10"/>
  <c r="BO79" i="10"/>
  <c r="BL79" i="10"/>
  <c r="BI79" i="10"/>
  <c r="BF79" i="10"/>
  <c r="BC79" i="10"/>
  <c r="AZ79" i="10"/>
  <c r="BR78" i="10"/>
  <c r="BO78" i="10"/>
  <c r="BL78" i="10"/>
  <c r="BI78" i="10"/>
  <c r="BF78" i="10"/>
  <c r="BC78" i="10"/>
  <c r="AZ78" i="10"/>
  <c r="BR77" i="10"/>
  <c r="BO77" i="10"/>
  <c r="BL77" i="10"/>
  <c r="BI77" i="10"/>
  <c r="BF77" i="10"/>
  <c r="BC77" i="10"/>
  <c r="AZ77" i="10"/>
  <c r="BR76" i="10"/>
  <c r="BO76" i="10"/>
  <c r="BL76" i="10"/>
  <c r="BI76" i="10"/>
  <c r="BF76" i="10"/>
  <c r="BC76" i="10"/>
  <c r="AZ76" i="10"/>
  <c r="BR75" i="10"/>
  <c r="BO75" i="10"/>
  <c r="BL75" i="10"/>
  <c r="BI75" i="10"/>
  <c r="BF75" i="10"/>
  <c r="BC75" i="10"/>
  <c r="AZ75" i="10"/>
  <c r="BR74" i="10"/>
  <c r="BO74" i="10"/>
  <c r="BL74" i="10"/>
  <c r="BI74" i="10"/>
  <c r="BF74" i="10"/>
  <c r="BC74" i="10"/>
  <c r="AZ74" i="10"/>
  <c r="BR73" i="10"/>
  <c r="BO73" i="10"/>
  <c r="BL73" i="10"/>
  <c r="BI73" i="10"/>
  <c r="BF73" i="10"/>
  <c r="BC73" i="10"/>
  <c r="AZ73" i="10"/>
  <c r="BR72" i="10"/>
  <c r="BO72" i="10"/>
  <c r="BL72" i="10"/>
  <c r="BI72" i="10"/>
  <c r="BF72" i="10"/>
  <c r="BC72" i="10"/>
  <c r="AZ72" i="10"/>
  <c r="BR71" i="10"/>
  <c r="BO71" i="10"/>
  <c r="BL71" i="10"/>
  <c r="BI71" i="10"/>
  <c r="BF71" i="10"/>
  <c r="BC71" i="10"/>
  <c r="AZ71" i="10"/>
  <c r="BR70" i="10"/>
  <c r="BO70" i="10"/>
  <c r="BL70" i="10"/>
  <c r="BI70" i="10"/>
  <c r="BF70" i="10"/>
  <c r="BC70" i="10"/>
  <c r="AZ70" i="10"/>
  <c r="BR69" i="10"/>
  <c r="BO69" i="10"/>
  <c r="BL69" i="10"/>
  <c r="BI69" i="10"/>
  <c r="BF69" i="10"/>
  <c r="BC69" i="10"/>
  <c r="AZ69" i="10"/>
  <c r="BR68" i="10"/>
  <c r="BO68" i="10"/>
  <c r="BL68" i="10"/>
  <c r="BI68" i="10"/>
  <c r="BF68" i="10"/>
  <c r="BC68" i="10"/>
  <c r="AZ68" i="10"/>
  <c r="BR67" i="10"/>
  <c r="BO67" i="10"/>
  <c r="BL67" i="10"/>
  <c r="BI67" i="10"/>
  <c r="BF67" i="10"/>
  <c r="BC67" i="10"/>
  <c r="AZ67" i="10"/>
  <c r="BR66" i="10"/>
  <c r="BO66" i="10"/>
  <c r="BL66" i="10"/>
  <c r="BI66" i="10"/>
  <c r="BF66" i="10"/>
  <c r="BC66" i="10"/>
  <c r="AZ66" i="10"/>
  <c r="BR65" i="10"/>
  <c r="BO65" i="10"/>
  <c r="BL65" i="10"/>
  <c r="BI65" i="10"/>
  <c r="BF65" i="10"/>
  <c r="BC65" i="10"/>
  <c r="AZ65" i="10"/>
  <c r="BR64" i="10"/>
  <c r="BO64" i="10"/>
  <c r="BL64" i="10"/>
  <c r="BI64" i="10"/>
  <c r="BF64" i="10"/>
  <c r="BC64" i="10"/>
  <c r="AZ64" i="10"/>
  <c r="BR63" i="10"/>
  <c r="BO63" i="10"/>
  <c r="BL63" i="10"/>
  <c r="BI63" i="10"/>
  <c r="BF63" i="10"/>
  <c r="BC63" i="10"/>
  <c r="AZ63" i="10"/>
  <c r="BR62" i="10"/>
  <c r="BO62" i="10"/>
  <c r="BL62" i="10"/>
  <c r="BI62" i="10"/>
  <c r="BF62" i="10"/>
  <c r="BC62" i="10"/>
  <c r="AZ62" i="10"/>
  <c r="BR61" i="10"/>
  <c r="BO61" i="10"/>
  <c r="BL61" i="10"/>
  <c r="BI61" i="10"/>
  <c r="BF61" i="10"/>
  <c r="BC61" i="10"/>
  <c r="AZ61" i="10"/>
  <c r="BR60" i="10"/>
  <c r="BO60" i="10"/>
  <c r="BL60" i="10"/>
  <c r="BI60" i="10"/>
  <c r="BF60" i="10"/>
  <c r="BC60" i="10"/>
  <c r="AZ60" i="10"/>
  <c r="BR59" i="10"/>
  <c r="BO59" i="10"/>
  <c r="BL59" i="10"/>
  <c r="BI59" i="10"/>
  <c r="BF59" i="10"/>
  <c r="BC59" i="10"/>
  <c r="AZ59" i="10"/>
  <c r="BR58" i="10"/>
  <c r="BO58" i="10"/>
  <c r="BL58" i="10"/>
  <c r="BI58" i="10"/>
  <c r="BF58" i="10"/>
  <c r="BC58" i="10"/>
  <c r="AZ58" i="10"/>
  <c r="BR57" i="10"/>
  <c r="BO57" i="10"/>
  <c r="BL57" i="10"/>
  <c r="BI57" i="10"/>
  <c r="BF57" i="10"/>
  <c r="BC57" i="10"/>
  <c r="AZ57" i="10"/>
  <c r="BR56" i="10"/>
  <c r="BO56" i="10"/>
  <c r="BL56" i="10"/>
  <c r="BI56" i="10"/>
  <c r="BF56" i="10"/>
  <c r="BC56" i="10"/>
  <c r="AZ56" i="10"/>
  <c r="BR55" i="10"/>
  <c r="BO55" i="10"/>
  <c r="BL55" i="10"/>
  <c r="BI55" i="10"/>
  <c r="BF55" i="10"/>
  <c r="BC55" i="10"/>
  <c r="AZ55" i="10"/>
  <c r="BR54" i="10"/>
  <c r="BO54" i="10"/>
  <c r="BL54" i="10"/>
  <c r="BI54" i="10"/>
  <c r="BF54" i="10"/>
  <c r="BC54" i="10"/>
  <c r="AZ54" i="10"/>
  <c r="BR53" i="10"/>
  <c r="BO53" i="10"/>
  <c r="BL53" i="10"/>
  <c r="BI53" i="10"/>
  <c r="BF53" i="10"/>
  <c r="BC53" i="10"/>
  <c r="AZ53" i="10"/>
  <c r="BR52" i="10"/>
  <c r="BO52" i="10"/>
  <c r="BL52" i="10"/>
  <c r="BI52" i="10"/>
  <c r="BF52" i="10"/>
  <c r="BC52" i="10"/>
  <c r="AZ52" i="10"/>
  <c r="BR51" i="10"/>
  <c r="BO51" i="10"/>
  <c r="BL51" i="10"/>
  <c r="BI51" i="10"/>
  <c r="BF51" i="10"/>
  <c r="BC51" i="10"/>
  <c r="AZ51" i="10"/>
  <c r="BR50" i="10"/>
  <c r="BO50" i="10"/>
  <c r="BL50" i="10"/>
  <c r="BI50" i="10"/>
  <c r="BF50" i="10"/>
  <c r="BC50" i="10"/>
  <c r="AZ50" i="10"/>
  <c r="BR49" i="10"/>
  <c r="BO49" i="10"/>
  <c r="BL49" i="10"/>
  <c r="BI49" i="10"/>
  <c r="BF49" i="10"/>
  <c r="BC49" i="10"/>
  <c r="AZ49" i="10"/>
  <c r="BR48" i="10"/>
  <c r="BO48" i="10"/>
  <c r="BL48" i="10"/>
  <c r="BI48" i="10"/>
  <c r="BF48" i="10"/>
  <c r="BC48" i="10"/>
  <c r="AZ48" i="10"/>
  <c r="BR47" i="10"/>
  <c r="BO47" i="10"/>
  <c r="BL47" i="10"/>
  <c r="BI47" i="10"/>
  <c r="BF47" i="10"/>
  <c r="BC47" i="10"/>
  <c r="AZ47" i="10"/>
  <c r="BR46" i="10"/>
  <c r="BO46" i="10"/>
  <c r="BL46" i="10"/>
  <c r="BI46" i="10"/>
  <c r="BF46" i="10"/>
  <c r="BC46" i="10"/>
  <c r="AZ46" i="10"/>
  <c r="BR45" i="10"/>
  <c r="BO45" i="10"/>
  <c r="BL45" i="10"/>
  <c r="BI45" i="10"/>
  <c r="BF45" i="10"/>
  <c r="BC45" i="10"/>
  <c r="AZ45" i="10"/>
  <c r="BR44" i="10"/>
  <c r="BO44" i="10"/>
  <c r="BL44" i="10"/>
  <c r="BI44" i="10"/>
  <c r="BF44" i="10"/>
  <c r="BC44" i="10"/>
  <c r="AZ44" i="10"/>
  <c r="BR43" i="10"/>
  <c r="BO43" i="10"/>
  <c r="BL43" i="10"/>
  <c r="BI43" i="10"/>
  <c r="BF43" i="10"/>
  <c r="BC43" i="10"/>
  <c r="AZ43" i="10"/>
  <c r="BR42" i="10"/>
  <c r="BO42" i="10"/>
  <c r="BL42" i="10"/>
  <c r="BI42" i="10"/>
  <c r="BF42" i="10"/>
  <c r="BC42" i="10"/>
  <c r="AZ42" i="10"/>
  <c r="BR41" i="10"/>
  <c r="BO41" i="10"/>
  <c r="BL41" i="10"/>
  <c r="BI41" i="10"/>
  <c r="BF41" i="10"/>
  <c r="BC41" i="10"/>
  <c r="AZ41" i="10"/>
  <c r="BR40" i="10"/>
  <c r="BO40" i="10"/>
  <c r="BL40" i="10"/>
  <c r="BI40" i="10"/>
  <c r="BF40" i="10"/>
  <c r="BC40" i="10"/>
  <c r="AZ40" i="10"/>
  <c r="BR39" i="10"/>
  <c r="BO39" i="10"/>
  <c r="BL39" i="10"/>
  <c r="BI39" i="10"/>
  <c r="BF39" i="10"/>
  <c r="BC39" i="10"/>
  <c r="AZ39" i="10"/>
  <c r="BR38" i="10"/>
  <c r="BO38" i="10"/>
  <c r="BL38" i="10"/>
  <c r="BI38" i="10"/>
  <c r="BF38" i="10"/>
  <c r="BC38" i="10"/>
  <c r="AZ38" i="10"/>
  <c r="BR37" i="10"/>
  <c r="BO37" i="10"/>
  <c r="BL37" i="10"/>
  <c r="BI37" i="10"/>
  <c r="BF37" i="10"/>
  <c r="BC37" i="10"/>
  <c r="AZ37" i="10"/>
  <c r="BR36" i="10"/>
  <c r="BO36" i="10"/>
  <c r="BL36" i="10"/>
  <c r="BI36" i="10"/>
  <c r="BF36" i="10"/>
  <c r="BC36" i="10"/>
  <c r="AZ36" i="10"/>
  <c r="BR35" i="10"/>
  <c r="BO35" i="10"/>
  <c r="BL35" i="10"/>
  <c r="BI35" i="10"/>
  <c r="BF35" i="10"/>
  <c r="BC35" i="10"/>
  <c r="AZ35" i="10"/>
  <c r="BR34" i="10"/>
  <c r="BO34" i="10"/>
  <c r="BL34" i="10"/>
  <c r="BI34" i="10"/>
  <c r="BF34" i="10"/>
  <c r="BC34" i="10"/>
  <c r="AZ34" i="10"/>
  <c r="BR33" i="10"/>
  <c r="BO33" i="10"/>
  <c r="BL33" i="10"/>
  <c r="BI33" i="10"/>
  <c r="BF33" i="10"/>
  <c r="BC33" i="10"/>
  <c r="AZ33" i="10"/>
  <c r="BR32" i="10"/>
  <c r="BO32" i="10"/>
  <c r="BL32" i="10"/>
  <c r="BI32" i="10"/>
  <c r="BF32" i="10"/>
  <c r="BC32" i="10"/>
  <c r="AZ32" i="10"/>
  <c r="BR31" i="10"/>
  <c r="BO31" i="10"/>
  <c r="BL31" i="10"/>
  <c r="BI31" i="10"/>
  <c r="BF31" i="10"/>
  <c r="BC31" i="10"/>
  <c r="AZ31" i="10"/>
  <c r="BR30" i="10"/>
  <c r="BO30" i="10"/>
  <c r="BL30" i="10"/>
  <c r="BI30" i="10"/>
  <c r="BF30" i="10"/>
  <c r="BC30" i="10"/>
  <c r="AZ30" i="10"/>
  <c r="BR29" i="10"/>
  <c r="BO29" i="10"/>
  <c r="BL29" i="10"/>
  <c r="BI29" i="10"/>
  <c r="BF29" i="10"/>
  <c r="BC29" i="10"/>
  <c r="AZ29" i="10"/>
  <c r="BR28" i="10"/>
  <c r="BO28" i="10"/>
  <c r="BL28" i="10"/>
  <c r="BI28" i="10"/>
  <c r="BF28" i="10"/>
  <c r="BC28" i="10"/>
  <c r="AZ28" i="10"/>
  <c r="BR27" i="10"/>
  <c r="BO27" i="10"/>
  <c r="BL27" i="10"/>
  <c r="BI27" i="10"/>
  <c r="BF27" i="10"/>
  <c r="BC27" i="10"/>
  <c r="AZ27" i="10"/>
  <c r="BR26" i="10"/>
  <c r="BO26" i="10"/>
  <c r="BL26" i="10"/>
  <c r="BI26" i="10"/>
  <c r="BF26" i="10"/>
  <c r="BC26" i="10"/>
  <c r="AZ26" i="10"/>
  <c r="BR25" i="10"/>
  <c r="BO25" i="10"/>
  <c r="BL25" i="10"/>
  <c r="BI25" i="10"/>
  <c r="BF25" i="10"/>
  <c r="BC25" i="10"/>
  <c r="AZ25" i="10"/>
  <c r="BR24" i="10"/>
  <c r="BO24" i="10"/>
  <c r="BL24" i="10"/>
  <c r="BI24" i="10"/>
  <c r="BF24" i="10"/>
  <c r="BC24" i="10"/>
  <c r="AZ24" i="10"/>
  <c r="BR23" i="10"/>
  <c r="BO23" i="10"/>
  <c r="BL23" i="10"/>
  <c r="BI23" i="10"/>
  <c r="BF23" i="10"/>
  <c r="BC23" i="10"/>
  <c r="AZ23" i="10"/>
  <c r="BR22" i="10"/>
  <c r="BO22" i="10"/>
  <c r="BL22" i="10"/>
  <c r="BI22" i="10"/>
  <c r="BF22" i="10"/>
  <c r="BC22" i="10"/>
  <c r="AZ22" i="10"/>
  <c r="BR21" i="10"/>
  <c r="BO21" i="10"/>
  <c r="BL21" i="10"/>
  <c r="BI21" i="10"/>
  <c r="BF21" i="10"/>
  <c r="BC21" i="10"/>
  <c r="AZ21" i="10"/>
  <c r="BR20" i="10"/>
  <c r="BO20" i="10"/>
  <c r="BL20" i="10"/>
  <c r="BI20" i="10"/>
  <c r="BF20" i="10"/>
  <c r="BC20" i="10"/>
  <c r="AZ20" i="10"/>
  <c r="BR19" i="10"/>
  <c r="BO19" i="10"/>
  <c r="BL19" i="10"/>
  <c r="BI19" i="10"/>
  <c r="BF19" i="10"/>
  <c r="BC19" i="10"/>
  <c r="AZ19" i="10"/>
  <c r="BR18" i="10"/>
  <c r="BO18" i="10"/>
  <c r="BL18" i="10"/>
  <c r="BI18" i="10"/>
  <c r="BF18" i="10"/>
  <c r="BC18" i="10"/>
  <c r="AZ18" i="10"/>
  <c r="BR17" i="10"/>
  <c r="BO17" i="10"/>
  <c r="BL17" i="10"/>
  <c r="BI17" i="10"/>
  <c r="BF17" i="10"/>
  <c r="BC17" i="10"/>
  <c r="AZ17" i="10"/>
  <c r="BR16" i="10"/>
  <c r="BO16" i="10"/>
  <c r="BL16" i="10"/>
  <c r="BI16" i="10"/>
  <c r="BF16" i="10"/>
  <c r="BC16" i="10"/>
  <c r="AZ16" i="10"/>
  <c r="BR15" i="10"/>
  <c r="BO15" i="10"/>
  <c r="BL15" i="10"/>
  <c r="BI15" i="10"/>
  <c r="BF15" i="10"/>
  <c r="BC15" i="10"/>
  <c r="AZ15" i="10"/>
  <c r="BR14" i="10"/>
  <c r="BO14" i="10"/>
  <c r="BL14" i="10"/>
  <c r="BI14" i="10"/>
  <c r="BF14" i="10"/>
  <c r="BC14" i="10"/>
  <c r="AZ14" i="10"/>
  <c r="BR13" i="10"/>
  <c r="BO13" i="10"/>
  <c r="BL13" i="10"/>
  <c r="BI13" i="10"/>
  <c r="BF13" i="10"/>
  <c r="BC13" i="10"/>
  <c r="AZ13" i="10"/>
  <c r="BR12" i="10"/>
  <c r="BO12" i="10"/>
  <c r="BL12" i="10"/>
  <c r="BI12" i="10"/>
  <c r="BF12" i="10"/>
  <c r="BC12" i="10"/>
  <c r="AZ12" i="10"/>
  <c r="BR11" i="10"/>
  <c r="BO11" i="10"/>
  <c r="BL11" i="10"/>
  <c r="BI11" i="10"/>
  <c r="BF11" i="10"/>
  <c r="BC11" i="10"/>
  <c r="AZ11" i="10"/>
  <c r="BR10" i="10"/>
  <c r="BO10" i="10"/>
  <c r="BL10" i="10"/>
  <c r="BI10" i="10"/>
  <c r="BF10" i="10"/>
  <c r="BC10" i="10"/>
  <c r="AZ10" i="10"/>
  <c r="BR9" i="10"/>
  <c r="BO9" i="10"/>
  <c r="BL9" i="10"/>
  <c r="BI9" i="10"/>
  <c r="BF9" i="10"/>
  <c r="BC9" i="10"/>
  <c r="AZ9" i="10"/>
  <c r="BR8" i="10"/>
  <c r="BO8" i="10"/>
  <c r="BL8" i="10"/>
  <c r="BI8" i="10"/>
  <c r="BF8" i="10"/>
  <c r="BC8" i="10"/>
  <c r="AZ8" i="10"/>
  <c r="BR7" i="10"/>
  <c r="BO7" i="10"/>
  <c r="BL7" i="10"/>
  <c r="BI7" i="10"/>
  <c r="BF7" i="10"/>
  <c r="BC7" i="10"/>
  <c r="AZ7" i="10"/>
  <c r="BR6" i="10"/>
  <c r="BO6" i="10"/>
  <c r="BL6" i="10"/>
  <c r="BI6" i="10"/>
  <c r="BF6" i="10"/>
  <c r="BC6" i="10"/>
  <c r="AZ6" i="10"/>
  <c r="BR5" i="10"/>
  <c r="BO5" i="10"/>
  <c r="BL5" i="10"/>
  <c r="BI5" i="10"/>
  <c r="BF5" i="10"/>
  <c r="BC5" i="10"/>
  <c r="AZ5" i="10"/>
  <c r="BR4" i="10"/>
  <c r="BO4" i="10"/>
  <c r="BL4" i="10"/>
  <c r="BI4" i="10"/>
  <c r="BF4" i="10"/>
  <c r="BC4" i="10"/>
  <c r="AZ4" i="10"/>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4" i="4"/>
  <c r="AW4" i="10" l="1"/>
  <c r="AW5" i="10"/>
  <c r="AW6" i="10"/>
  <c r="AW7" i="10"/>
  <c r="AW8" i="10"/>
  <c r="AW9" i="10"/>
  <c r="AW10" i="10"/>
  <c r="AW11" i="10"/>
  <c r="AW12" i="10"/>
  <c r="AW13" i="10"/>
  <c r="AW14" i="10"/>
  <c r="AW15" i="10"/>
  <c r="AW16" i="10"/>
  <c r="AW17" i="10"/>
  <c r="AW18" i="10"/>
  <c r="AW19" i="10"/>
  <c r="AW20" i="10"/>
  <c r="AW21" i="10"/>
  <c r="AW22" i="10"/>
  <c r="AW23" i="10"/>
  <c r="AW24" i="10"/>
  <c r="AW25" i="10"/>
  <c r="AW26" i="10"/>
  <c r="AW27" i="10"/>
  <c r="AW28" i="10"/>
  <c r="AW29" i="10"/>
  <c r="AW30" i="10"/>
  <c r="AW31" i="10"/>
  <c r="AW32" i="10"/>
  <c r="AW33" i="10"/>
  <c r="AW34" i="10"/>
  <c r="AW35" i="10"/>
  <c r="AW36" i="10"/>
  <c r="AW37" i="10"/>
  <c r="AW38" i="10"/>
  <c r="AW39" i="10"/>
  <c r="AW40" i="10"/>
  <c r="AW41" i="10"/>
  <c r="AW42" i="10"/>
  <c r="AW43" i="10"/>
  <c r="AW44" i="10"/>
  <c r="AW45" i="10"/>
  <c r="AW46" i="10"/>
  <c r="AW47" i="10"/>
  <c r="AW48" i="10"/>
  <c r="AW49" i="10"/>
  <c r="AW50" i="10"/>
  <c r="AW51" i="10"/>
  <c r="AW52" i="10"/>
  <c r="AW53" i="10"/>
  <c r="AW54" i="10"/>
  <c r="AW55" i="10"/>
  <c r="AW56" i="10"/>
  <c r="AW57" i="10"/>
  <c r="AW58" i="10"/>
  <c r="AW59" i="10"/>
  <c r="AW60" i="10"/>
  <c r="AW61" i="10"/>
  <c r="AW62" i="10"/>
  <c r="AW63" i="10"/>
  <c r="AW64" i="10"/>
  <c r="AW65" i="10"/>
  <c r="AW66" i="10"/>
  <c r="AW67" i="10"/>
  <c r="AW68" i="10"/>
  <c r="AW69" i="10"/>
  <c r="AW70" i="10"/>
  <c r="AW71" i="10"/>
  <c r="AW72" i="10"/>
  <c r="AW73" i="10"/>
  <c r="AW74" i="10"/>
  <c r="AW75" i="10"/>
  <c r="AW76" i="10"/>
  <c r="AW77" i="10"/>
  <c r="AW78" i="10"/>
  <c r="AW79" i="10"/>
  <c r="AW80" i="10"/>
  <c r="AW81" i="10"/>
  <c r="AW82" i="10"/>
  <c r="AW85" i="10"/>
  <c r="AT5" i="10"/>
  <c r="AT6" i="10"/>
  <c r="AT7" i="10"/>
  <c r="AT8" i="10"/>
  <c r="AT9" i="10"/>
  <c r="AT10" i="10"/>
  <c r="AT11" i="10"/>
  <c r="AT12" i="10"/>
  <c r="AT13" i="10"/>
  <c r="AT14" i="10"/>
  <c r="AT15" i="10"/>
  <c r="AT16" i="10"/>
  <c r="AT17" i="10"/>
  <c r="AT18" i="10"/>
  <c r="AT19" i="10"/>
  <c r="AT20" i="10"/>
  <c r="AT21" i="10"/>
  <c r="AT22" i="10"/>
  <c r="AT23" i="10"/>
  <c r="AT24" i="10"/>
  <c r="AT25" i="10"/>
  <c r="AT26" i="10"/>
  <c r="AT27" i="10"/>
  <c r="AT28" i="10"/>
  <c r="AT29" i="10"/>
  <c r="AT30" i="10"/>
  <c r="AT31" i="10"/>
  <c r="AT32" i="10"/>
  <c r="AT33" i="10"/>
  <c r="AT34" i="10"/>
  <c r="AT35" i="10"/>
  <c r="AT36" i="10"/>
  <c r="AT37" i="10"/>
  <c r="AT38" i="10"/>
  <c r="AT39" i="10"/>
  <c r="AT40" i="10"/>
  <c r="AT41" i="10"/>
  <c r="AT42" i="10"/>
  <c r="AT43" i="10"/>
  <c r="AT44" i="10"/>
  <c r="AT45" i="10"/>
  <c r="AT46" i="10"/>
  <c r="AT47" i="10"/>
  <c r="AT48" i="10"/>
  <c r="AT49" i="10"/>
  <c r="AT50" i="10"/>
  <c r="AT51" i="10"/>
  <c r="AT52" i="10"/>
  <c r="AT53" i="10"/>
  <c r="AT54" i="10"/>
  <c r="AT55" i="10"/>
  <c r="AT56" i="10"/>
  <c r="AT57" i="10"/>
  <c r="AT58" i="10"/>
  <c r="AT59" i="10"/>
  <c r="AT60" i="10"/>
  <c r="AT61" i="10"/>
  <c r="AT62" i="10"/>
  <c r="AT63" i="10"/>
  <c r="AT64" i="10"/>
  <c r="AT65" i="10"/>
  <c r="AT66" i="10"/>
  <c r="AT67" i="10"/>
  <c r="AT68" i="10"/>
  <c r="AT69" i="10"/>
  <c r="AT70" i="10"/>
  <c r="AT71" i="10"/>
  <c r="AT72" i="10"/>
  <c r="AT73" i="10"/>
  <c r="AT74" i="10"/>
  <c r="AT75" i="10"/>
  <c r="AT76" i="10"/>
  <c r="AT77" i="10"/>
  <c r="AT78" i="10"/>
  <c r="AT79" i="10"/>
  <c r="AT80" i="10"/>
  <c r="AT81" i="10"/>
  <c r="AT82" i="10"/>
  <c r="AQ5" i="10"/>
  <c r="AQ6" i="10"/>
  <c r="AQ7" i="10"/>
  <c r="AQ8" i="10"/>
  <c r="AQ9" i="10"/>
  <c r="AQ10" i="10"/>
  <c r="AQ11" i="10"/>
  <c r="AQ12" i="10"/>
  <c r="AQ13" i="10"/>
  <c r="AQ14" i="10"/>
  <c r="AQ15" i="10"/>
  <c r="AQ16" i="10"/>
  <c r="AQ17" i="10"/>
  <c r="AQ18" i="10"/>
  <c r="AQ19" i="10"/>
  <c r="AQ20" i="10"/>
  <c r="AQ21" i="10"/>
  <c r="AQ22" i="10"/>
  <c r="AQ23" i="10"/>
  <c r="AQ24" i="10"/>
  <c r="AQ25" i="10"/>
  <c r="AQ26" i="10"/>
  <c r="AQ27" i="10"/>
  <c r="AQ28" i="10"/>
  <c r="AQ29" i="10"/>
  <c r="AQ30" i="10"/>
  <c r="AQ31" i="10"/>
  <c r="AQ32" i="10"/>
  <c r="AQ33" i="10"/>
  <c r="AQ34" i="10"/>
  <c r="AQ35" i="10"/>
  <c r="AQ36" i="10"/>
  <c r="AQ37" i="10"/>
  <c r="AQ38" i="10"/>
  <c r="AQ39" i="10"/>
  <c r="AQ40" i="10"/>
  <c r="AQ41" i="10"/>
  <c r="AQ42" i="10"/>
  <c r="AQ43" i="10"/>
  <c r="AQ44" i="10"/>
  <c r="AQ45" i="10"/>
  <c r="AQ46" i="10"/>
  <c r="AQ47" i="10"/>
  <c r="AQ48" i="10"/>
  <c r="AQ49" i="10"/>
  <c r="AQ50" i="10"/>
  <c r="AQ51" i="10"/>
  <c r="AQ52" i="10"/>
  <c r="AQ53" i="10"/>
  <c r="AQ54" i="10"/>
  <c r="AQ55" i="10"/>
  <c r="AQ56" i="10"/>
  <c r="AQ57" i="10"/>
  <c r="AQ58" i="10"/>
  <c r="AQ59" i="10"/>
  <c r="AQ60" i="10"/>
  <c r="AQ61" i="10"/>
  <c r="AQ62" i="10"/>
  <c r="AQ63" i="10"/>
  <c r="AQ64" i="10"/>
  <c r="AQ65" i="10"/>
  <c r="AQ66" i="10"/>
  <c r="AQ67" i="10"/>
  <c r="AQ68" i="10"/>
  <c r="AQ69" i="10"/>
  <c r="AQ70" i="10"/>
  <c r="AQ71" i="10"/>
  <c r="AQ72" i="10"/>
  <c r="AQ73" i="10"/>
  <c r="AQ74" i="10"/>
  <c r="AQ75" i="10"/>
  <c r="AQ76" i="10"/>
  <c r="AQ77" i="10"/>
  <c r="AQ78" i="10"/>
  <c r="AQ79" i="10"/>
  <c r="AQ80" i="10"/>
  <c r="AQ81" i="10"/>
  <c r="AQ82" i="10"/>
  <c r="AQ85"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T4" i="10"/>
  <c r="AQ4" i="10"/>
  <c r="AN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4" i="10"/>
  <c r="Z5" i="10"/>
  <c r="Z6" i="10"/>
  <c r="Z7" i="10"/>
  <c r="Z8" i="10"/>
  <c r="Z9" i="10"/>
  <c r="Z10" i="10"/>
  <c r="Z11" i="10"/>
  <c r="Z12" i="10"/>
  <c r="Z13" i="10"/>
  <c r="Z14" i="10"/>
  <c r="Z15" i="10"/>
  <c r="Z16" i="10"/>
  <c r="Z17" i="10"/>
  <c r="Z18" i="10"/>
  <c r="Z19" i="10"/>
  <c r="Z20" i="10"/>
  <c r="Z21" i="10"/>
  <c r="Z22" i="10"/>
  <c r="Z23" i="10"/>
  <c r="Z24" i="10"/>
  <c r="Z25" i="10"/>
  <c r="Z26" i="10"/>
  <c r="Z27" i="10"/>
  <c r="Z28" i="10"/>
  <c r="Z29" i="10"/>
  <c r="Z30" i="10"/>
  <c r="Z31" i="10"/>
  <c r="Z32" i="10"/>
  <c r="Z33" i="10"/>
  <c r="Z34" i="10"/>
  <c r="Z35" i="10"/>
  <c r="Z36" i="10"/>
  <c r="Z37" i="10"/>
  <c r="Z38" i="10"/>
  <c r="Z39" i="10"/>
  <c r="Z40" i="10"/>
  <c r="Z41" i="10"/>
  <c r="Z42" i="10"/>
  <c r="Z43" i="10"/>
  <c r="Z44" i="10"/>
  <c r="Z45" i="10"/>
  <c r="Z46" i="10"/>
  <c r="Z47" i="10"/>
  <c r="Z48" i="10"/>
  <c r="Z49" i="10"/>
  <c r="Z50" i="10"/>
  <c r="Z51" i="10"/>
  <c r="Z52" i="10"/>
  <c r="Z53" i="10"/>
  <c r="Z54" i="10"/>
  <c r="Z55" i="10"/>
  <c r="Z56" i="10"/>
  <c r="Z57" i="10"/>
  <c r="Z58" i="10"/>
  <c r="Z59" i="10"/>
  <c r="Z60" i="10"/>
  <c r="Z61" i="10"/>
  <c r="Z62" i="10"/>
  <c r="Z63" i="10"/>
  <c r="Z64" i="10"/>
  <c r="Z65" i="10"/>
  <c r="Z66" i="10"/>
  <c r="Z67" i="10"/>
  <c r="Z68" i="10"/>
  <c r="Z69" i="10"/>
  <c r="Z70" i="10"/>
  <c r="Z71" i="10"/>
  <c r="Z72" i="10"/>
  <c r="Z73" i="10"/>
  <c r="Z74" i="10"/>
  <c r="Z75" i="10"/>
  <c r="Z76" i="10"/>
  <c r="Z77" i="10"/>
  <c r="Z78" i="10"/>
  <c r="Z79" i="10"/>
  <c r="Z80" i="10"/>
  <c r="Z81" i="10"/>
  <c r="Z82" i="10"/>
  <c r="Z4" i="10"/>
  <c r="W5" i="10"/>
  <c r="W6" i="10"/>
  <c r="W7" i="10"/>
  <c r="W8" i="10"/>
  <c r="W9" i="10"/>
  <c r="W10" i="10"/>
  <c r="W11" i="10"/>
  <c r="W12" i="10"/>
  <c r="W13" i="10"/>
  <c r="W14" i="10"/>
  <c r="W15" i="10"/>
  <c r="W16" i="10"/>
  <c r="W17" i="10"/>
  <c r="W18" i="10"/>
  <c r="W19" i="10"/>
  <c r="W20" i="10"/>
  <c r="W21" i="10"/>
  <c r="W22" i="10"/>
  <c r="W23" i="10"/>
  <c r="W24" i="10"/>
  <c r="W25" i="10"/>
  <c r="W26" i="10"/>
  <c r="W27" i="10"/>
  <c r="W28" i="10"/>
  <c r="W29" i="10"/>
  <c r="W30" i="10"/>
  <c r="W31" i="10"/>
  <c r="W32" i="10"/>
  <c r="W33" i="10"/>
  <c r="W34" i="10"/>
  <c r="W35" i="10"/>
  <c r="W36" i="10"/>
  <c r="W37" i="10"/>
  <c r="W38" i="10"/>
  <c r="W39" i="10"/>
  <c r="W40" i="10"/>
  <c r="W41" i="10"/>
  <c r="W42" i="10"/>
  <c r="W43" i="10"/>
  <c r="W44" i="10"/>
  <c r="W45" i="10"/>
  <c r="W46" i="10"/>
  <c r="W47" i="10"/>
  <c r="W48" i="10"/>
  <c r="W49" i="10"/>
  <c r="W50" i="10"/>
  <c r="W51" i="10"/>
  <c r="W52" i="10"/>
  <c r="W53" i="10"/>
  <c r="W54" i="10"/>
  <c r="W55" i="10"/>
  <c r="W56" i="10"/>
  <c r="W57" i="10"/>
  <c r="W58" i="10"/>
  <c r="W59" i="10"/>
  <c r="W60" i="10"/>
  <c r="W61" i="10"/>
  <c r="W62" i="10"/>
  <c r="W63" i="10"/>
  <c r="W64" i="10"/>
  <c r="W65" i="10"/>
  <c r="W66" i="10"/>
  <c r="W67" i="10"/>
  <c r="W68" i="10"/>
  <c r="W69" i="10"/>
  <c r="W70" i="10"/>
  <c r="W71" i="10"/>
  <c r="W72" i="10"/>
  <c r="W73" i="10"/>
  <c r="W74" i="10"/>
  <c r="W75" i="10"/>
  <c r="W76" i="10"/>
  <c r="W77" i="10"/>
  <c r="W78" i="10"/>
  <c r="W79" i="10"/>
  <c r="W80" i="10"/>
  <c r="W81" i="10"/>
  <c r="W82" i="10"/>
  <c r="W4" i="10"/>
  <c r="T5" i="10"/>
  <c r="T6" i="10"/>
  <c r="T7" i="10"/>
  <c r="T8" i="10"/>
  <c r="T9" i="10"/>
  <c r="T10" i="10"/>
  <c r="T11" i="10"/>
  <c r="T12" i="10"/>
  <c r="T13" i="10"/>
  <c r="T14" i="10"/>
  <c r="T15" i="10"/>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T46" i="10"/>
  <c r="T47" i="10"/>
  <c r="T48" i="10"/>
  <c r="T49" i="10"/>
  <c r="T50" i="10"/>
  <c r="T51" i="10"/>
  <c r="T52" i="10"/>
  <c r="T53" i="10"/>
  <c r="T54" i="10"/>
  <c r="T55" i="10"/>
  <c r="T56" i="10"/>
  <c r="T57" i="10"/>
  <c r="T58" i="10"/>
  <c r="T59" i="10"/>
  <c r="T60" i="10"/>
  <c r="T61" i="10"/>
  <c r="T62" i="10"/>
  <c r="T63" i="10"/>
  <c r="T64" i="10"/>
  <c r="T65" i="10"/>
  <c r="T66" i="10"/>
  <c r="T67" i="10"/>
  <c r="T68" i="10"/>
  <c r="T69" i="10"/>
  <c r="T70" i="10"/>
  <c r="T71" i="10"/>
  <c r="T72" i="10"/>
  <c r="T73" i="10"/>
  <c r="T74" i="10"/>
  <c r="T75" i="10"/>
  <c r="T76" i="10"/>
  <c r="T77" i="10"/>
  <c r="T78" i="10"/>
  <c r="T79" i="10"/>
  <c r="T80" i="10"/>
  <c r="T81" i="10"/>
  <c r="T82" i="10"/>
  <c r="T4" i="10"/>
  <c r="Q5" i="10"/>
  <c r="Q6" i="10"/>
  <c r="Q7" i="10"/>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57" i="10"/>
  <c r="Q58" i="10"/>
  <c r="Q59" i="10"/>
  <c r="Q60" i="10"/>
  <c r="Q61" i="10"/>
  <c r="Q62" i="10"/>
  <c r="Q63" i="10"/>
  <c r="Q64" i="10"/>
  <c r="Q65" i="10"/>
  <c r="Q66" i="10"/>
  <c r="Q67" i="10"/>
  <c r="Q68" i="10"/>
  <c r="Q69" i="10"/>
  <c r="Q70" i="10"/>
  <c r="Q71" i="10"/>
  <c r="Q72" i="10"/>
  <c r="Q73" i="10"/>
  <c r="Q74" i="10"/>
  <c r="Q75" i="10"/>
  <c r="Q76" i="10"/>
  <c r="Q77" i="10"/>
  <c r="Q78" i="10"/>
  <c r="Q79" i="10"/>
  <c r="Q80" i="10"/>
  <c r="Q81" i="10"/>
  <c r="Q82" i="10"/>
  <c r="Q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5"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4" i="10"/>
  <c r="H4" i="10"/>
  <c r="K4" i="10"/>
  <c r="N4" i="10"/>
  <c r="BU92" i="10"/>
  <c r="BT92" i="10"/>
  <c r="BQ92" i="10"/>
  <c r="BN92" i="10"/>
  <c r="BK92" i="10"/>
  <c r="BH92" i="10"/>
  <c r="BE92" i="10"/>
  <c r="BB92" i="10"/>
  <c r="AY92" i="10"/>
  <c r="AV92" i="10"/>
  <c r="AS92" i="10"/>
  <c r="AP92" i="10"/>
  <c r="AM92" i="10"/>
  <c r="AL92" i="10"/>
  <c r="AK92" i="10"/>
  <c r="AH92" i="10"/>
  <c r="AE92" i="10"/>
  <c r="AB92" i="10"/>
  <c r="Y92" i="10"/>
  <c r="V92" i="10"/>
  <c r="S92" i="10"/>
  <c r="P92" i="10"/>
  <c r="M92" i="10"/>
  <c r="J92" i="10"/>
  <c r="G92" i="10"/>
  <c r="D92" i="10"/>
  <c r="AT92" i="10"/>
  <c r="BU91" i="10"/>
  <c r="BT91" i="10"/>
  <c r="BQ91" i="10"/>
  <c r="BN91" i="10"/>
  <c r="BK91" i="10"/>
  <c r="BH91" i="10"/>
  <c r="BE91" i="10"/>
  <c r="BB91" i="10"/>
  <c r="AY91" i="10"/>
  <c r="AV91" i="10"/>
  <c r="AS91" i="10"/>
  <c r="AP91" i="10"/>
  <c r="AM91" i="10"/>
  <c r="AL91" i="10"/>
  <c r="AK91" i="10"/>
  <c r="AH91" i="10"/>
  <c r="AE91" i="10"/>
  <c r="AB91" i="10"/>
  <c r="Y91" i="10"/>
  <c r="V91" i="10"/>
  <c r="S91" i="10"/>
  <c r="P91" i="10"/>
  <c r="M91" i="10"/>
  <c r="J91" i="10"/>
  <c r="G91" i="10"/>
  <c r="D91" i="10"/>
  <c r="BU90" i="10"/>
  <c r="BT90" i="10"/>
  <c r="BQ90" i="10"/>
  <c r="BN90" i="10"/>
  <c r="BK90" i="10"/>
  <c r="BH90" i="10"/>
  <c r="BE90" i="10"/>
  <c r="BB90" i="10"/>
  <c r="AY90" i="10"/>
  <c r="AV90" i="10"/>
  <c r="AS90" i="10"/>
  <c r="AP90" i="10"/>
  <c r="AM90" i="10"/>
  <c r="AL90" i="10"/>
  <c r="AK90" i="10"/>
  <c r="AH90" i="10"/>
  <c r="AE90" i="10"/>
  <c r="AB90" i="10"/>
  <c r="Y90" i="10"/>
  <c r="V90" i="10"/>
  <c r="S90" i="10"/>
  <c r="P90" i="10"/>
  <c r="M90" i="10"/>
  <c r="J90" i="10"/>
  <c r="G90" i="10"/>
  <c r="D90" i="10"/>
  <c r="BU89" i="10"/>
  <c r="BT89" i="10"/>
  <c r="BQ89" i="10"/>
  <c r="BN89" i="10"/>
  <c r="BK89" i="10"/>
  <c r="BH89" i="10"/>
  <c r="BE89" i="10"/>
  <c r="BB89" i="10"/>
  <c r="AY89" i="10"/>
  <c r="AV89" i="10"/>
  <c r="AS89" i="10"/>
  <c r="AP89" i="10"/>
  <c r="AM89" i="10"/>
  <c r="AL89" i="10"/>
  <c r="AK89" i="10"/>
  <c r="AH89" i="10"/>
  <c r="AE89" i="10"/>
  <c r="AB89" i="10"/>
  <c r="Y89" i="10"/>
  <c r="V89" i="10"/>
  <c r="S89" i="10"/>
  <c r="P89" i="10"/>
  <c r="M89" i="10"/>
  <c r="J89" i="10"/>
  <c r="G89" i="10"/>
  <c r="D89" i="10"/>
  <c r="AN89" i="10"/>
  <c r="BU88" i="10"/>
  <c r="BT88" i="10"/>
  <c r="BQ88" i="10"/>
  <c r="BN88" i="10"/>
  <c r="BK88" i="10"/>
  <c r="BH88" i="10"/>
  <c r="BE88" i="10"/>
  <c r="BB88" i="10"/>
  <c r="AY88" i="10"/>
  <c r="AV88" i="10"/>
  <c r="AS88" i="10"/>
  <c r="AP88" i="10"/>
  <c r="AM88" i="10"/>
  <c r="AL88" i="10"/>
  <c r="AK88" i="10"/>
  <c r="AH88" i="10"/>
  <c r="AE88" i="10"/>
  <c r="AB88" i="10"/>
  <c r="Y88" i="10"/>
  <c r="V88" i="10"/>
  <c r="S88" i="10"/>
  <c r="P88" i="10"/>
  <c r="M88" i="10"/>
  <c r="J88" i="10"/>
  <c r="G88" i="10"/>
  <c r="D88" i="10"/>
  <c r="AT88" i="10"/>
  <c r="BU87" i="10"/>
  <c r="BT87" i="10"/>
  <c r="BQ87" i="10"/>
  <c r="BN87" i="10"/>
  <c r="BK87" i="10"/>
  <c r="BH87" i="10"/>
  <c r="BE87" i="10"/>
  <c r="BB87" i="10"/>
  <c r="AY87" i="10"/>
  <c r="AV87" i="10"/>
  <c r="AS87" i="10"/>
  <c r="AP87" i="10"/>
  <c r="AM87" i="10"/>
  <c r="AL87" i="10"/>
  <c r="AK87" i="10"/>
  <c r="AH87" i="10"/>
  <c r="AE87" i="10"/>
  <c r="AB87" i="10"/>
  <c r="Y87" i="10"/>
  <c r="V87" i="10"/>
  <c r="S87" i="10"/>
  <c r="P87" i="10"/>
  <c r="M87" i="10"/>
  <c r="J87" i="10"/>
  <c r="G87" i="10"/>
  <c r="D87" i="10"/>
  <c r="AN87" i="10"/>
  <c r="BU86" i="10"/>
  <c r="BT86" i="10"/>
  <c r="BQ86" i="10"/>
  <c r="BN86" i="10"/>
  <c r="BK86" i="10"/>
  <c r="BH86" i="10"/>
  <c r="BE86" i="10"/>
  <c r="BB86" i="10"/>
  <c r="AY86" i="10"/>
  <c r="AV86" i="10"/>
  <c r="AS86" i="10"/>
  <c r="AP86" i="10"/>
  <c r="AM86" i="10"/>
  <c r="AL86" i="10"/>
  <c r="AK86" i="10"/>
  <c r="AH86" i="10"/>
  <c r="AE86" i="10"/>
  <c r="AB86" i="10"/>
  <c r="Y86" i="10"/>
  <c r="V86" i="10"/>
  <c r="S86" i="10"/>
  <c r="P86" i="10"/>
  <c r="M86" i="10"/>
  <c r="J86" i="10"/>
  <c r="G86" i="10"/>
  <c r="D86" i="10"/>
  <c r="AN86" i="10"/>
  <c r="BU85" i="10"/>
  <c r="BT85" i="10"/>
  <c r="BQ85" i="10"/>
  <c r="BN85" i="10"/>
  <c r="BK85" i="10"/>
  <c r="BH85" i="10"/>
  <c r="BE85" i="10"/>
  <c r="BB85" i="10"/>
  <c r="AY85" i="10"/>
  <c r="AV85" i="10"/>
  <c r="AS85" i="10"/>
  <c r="AP85" i="10"/>
  <c r="AM85" i="10"/>
  <c r="AL85" i="10"/>
  <c r="AK85" i="10"/>
  <c r="AH85" i="10"/>
  <c r="AE85" i="10"/>
  <c r="AB85" i="10"/>
  <c r="Y85" i="10"/>
  <c r="V85" i="10"/>
  <c r="S85" i="10"/>
  <c r="P85" i="10"/>
  <c r="M85" i="10"/>
  <c r="J85" i="10"/>
  <c r="G85" i="10"/>
  <c r="D85" i="10"/>
  <c r="AI85" i="10"/>
  <c r="BU84" i="10"/>
  <c r="BT84" i="10"/>
  <c r="BQ84" i="10"/>
  <c r="BN84" i="10"/>
  <c r="BK84" i="10"/>
  <c r="BH84" i="10"/>
  <c r="BE84" i="10"/>
  <c r="BB84" i="10"/>
  <c r="AY84" i="10"/>
  <c r="AV84" i="10"/>
  <c r="AS84" i="10"/>
  <c r="AP84" i="10"/>
  <c r="AM84" i="10"/>
  <c r="AL84" i="10"/>
  <c r="AK84" i="10"/>
  <c r="AH84" i="10"/>
  <c r="AE84" i="10"/>
  <c r="AB84" i="10"/>
  <c r="Y84" i="10"/>
  <c r="V84" i="10"/>
  <c r="S84" i="10"/>
  <c r="P84" i="10"/>
  <c r="M84" i="10"/>
  <c r="J84" i="10"/>
  <c r="G84" i="10"/>
  <c r="D84" i="10"/>
  <c r="AT84" i="10"/>
  <c r="BU83" i="10"/>
  <c r="BT83" i="10"/>
  <c r="BQ83" i="10"/>
  <c r="BN83" i="10"/>
  <c r="BK83" i="10"/>
  <c r="BH83" i="10"/>
  <c r="BE83" i="10"/>
  <c r="BB83" i="10"/>
  <c r="AY83" i="10"/>
  <c r="AV83" i="10"/>
  <c r="AS83" i="10"/>
  <c r="AP83" i="10"/>
  <c r="AM83" i="10"/>
  <c r="AL83" i="10"/>
  <c r="AK83" i="10"/>
  <c r="AH83" i="10"/>
  <c r="AE83" i="10"/>
  <c r="AB83" i="10"/>
  <c r="Y83" i="10"/>
  <c r="V83" i="10"/>
  <c r="S83" i="10"/>
  <c r="P83" i="10"/>
  <c r="M83" i="10"/>
  <c r="J83" i="10"/>
  <c r="G83" i="10"/>
  <c r="D83" i="10"/>
  <c r="B83" i="10"/>
  <c r="C83" i="10" s="1"/>
  <c r="BU82" i="10"/>
  <c r="BT82" i="10"/>
  <c r="BQ82" i="10"/>
  <c r="BS82" i="10" s="1"/>
  <c r="BN82" i="10"/>
  <c r="BP82" i="10" s="1"/>
  <c r="BK82" i="10"/>
  <c r="BM82" i="10" s="1"/>
  <c r="BH82" i="10"/>
  <c r="BJ82" i="10" s="1"/>
  <c r="BE82" i="10"/>
  <c r="BG82" i="10" s="1"/>
  <c r="BB82" i="10"/>
  <c r="BD82" i="10" s="1"/>
  <c r="AY82" i="10"/>
  <c r="BA82" i="10" s="1"/>
  <c r="AV82" i="10"/>
  <c r="AS82" i="10"/>
  <c r="AP82" i="10"/>
  <c r="AM82" i="10"/>
  <c r="AL82" i="10"/>
  <c r="AK82" i="10"/>
  <c r="AH82" i="10"/>
  <c r="AE82" i="10"/>
  <c r="AB82" i="10"/>
  <c r="Y82" i="10"/>
  <c r="V82" i="10"/>
  <c r="S82" i="10"/>
  <c r="P82" i="10"/>
  <c r="M82" i="10"/>
  <c r="J82" i="10"/>
  <c r="G82" i="10"/>
  <c r="D82" i="10"/>
  <c r="BU81" i="10"/>
  <c r="BT81" i="10"/>
  <c r="BQ81" i="10"/>
  <c r="BS81" i="10" s="1"/>
  <c r="BN81" i="10"/>
  <c r="BP81" i="10" s="1"/>
  <c r="BK81" i="10"/>
  <c r="BM81" i="10" s="1"/>
  <c r="BH81" i="10"/>
  <c r="BJ81" i="10" s="1"/>
  <c r="BE81" i="10"/>
  <c r="BG81" i="10" s="1"/>
  <c r="BB81" i="10"/>
  <c r="BD81" i="10" s="1"/>
  <c r="AY81" i="10"/>
  <c r="BA81" i="10" s="1"/>
  <c r="AV81" i="10"/>
  <c r="AS81" i="10"/>
  <c r="AP81" i="10"/>
  <c r="AM81" i="10"/>
  <c r="AL81" i="10"/>
  <c r="AK81" i="10"/>
  <c r="AH81" i="10"/>
  <c r="AE81" i="10"/>
  <c r="AB81" i="10"/>
  <c r="Y81" i="10"/>
  <c r="V81" i="10"/>
  <c r="S81" i="10"/>
  <c r="P81" i="10"/>
  <c r="M81" i="10"/>
  <c r="J81" i="10"/>
  <c r="G81" i="10"/>
  <c r="D81" i="10"/>
  <c r="BU80" i="10"/>
  <c r="BT80" i="10"/>
  <c r="BQ80" i="10"/>
  <c r="BS80" i="10" s="1"/>
  <c r="BN80" i="10"/>
  <c r="BP80" i="10" s="1"/>
  <c r="BK80" i="10"/>
  <c r="BM80" i="10" s="1"/>
  <c r="BH80" i="10"/>
  <c r="BJ80" i="10" s="1"/>
  <c r="BE80" i="10"/>
  <c r="BG80" i="10" s="1"/>
  <c r="BB80" i="10"/>
  <c r="BD80" i="10" s="1"/>
  <c r="AY80" i="10"/>
  <c r="BA80" i="10" s="1"/>
  <c r="AV80" i="10"/>
  <c r="AS80" i="10"/>
  <c r="AP80" i="10"/>
  <c r="AM80" i="10"/>
  <c r="AL80" i="10"/>
  <c r="AK80" i="10"/>
  <c r="AH80" i="10"/>
  <c r="AE80" i="10"/>
  <c r="AB80" i="10"/>
  <c r="Y80" i="10"/>
  <c r="V80" i="10"/>
  <c r="S80" i="10"/>
  <c r="P80" i="10"/>
  <c r="M80" i="10"/>
  <c r="J80" i="10"/>
  <c r="G80" i="10"/>
  <c r="D80" i="10"/>
  <c r="BU79" i="10"/>
  <c r="BT79" i="10"/>
  <c r="BQ79" i="10"/>
  <c r="BS79" i="10" s="1"/>
  <c r="BN79" i="10"/>
  <c r="BP79" i="10" s="1"/>
  <c r="BK79" i="10"/>
  <c r="BM79" i="10" s="1"/>
  <c r="BH79" i="10"/>
  <c r="BJ79" i="10" s="1"/>
  <c r="BE79" i="10"/>
  <c r="BG79" i="10" s="1"/>
  <c r="BB79" i="10"/>
  <c r="BD79" i="10" s="1"/>
  <c r="AY79" i="10"/>
  <c r="BA79" i="10" s="1"/>
  <c r="AV79" i="10"/>
  <c r="AS79" i="10"/>
  <c r="AP79" i="10"/>
  <c r="AM79" i="10"/>
  <c r="AL79" i="10"/>
  <c r="AK79" i="10"/>
  <c r="AH79" i="10"/>
  <c r="AE79" i="10"/>
  <c r="AB79" i="10"/>
  <c r="Y79" i="10"/>
  <c r="V79" i="10"/>
  <c r="S79" i="10"/>
  <c r="P79" i="10"/>
  <c r="M79" i="10"/>
  <c r="J79" i="10"/>
  <c r="G79" i="10"/>
  <c r="D79" i="10"/>
  <c r="BU78" i="10"/>
  <c r="BT78" i="10"/>
  <c r="BQ78" i="10"/>
  <c r="BS78" i="10" s="1"/>
  <c r="BN78" i="10"/>
  <c r="BP78" i="10" s="1"/>
  <c r="BK78" i="10"/>
  <c r="BM78" i="10" s="1"/>
  <c r="BH78" i="10"/>
  <c r="BJ78" i="10" s="1"/>
  <c r="BE78" i="10"/>
  <c r="BG78" i="10" s="1"/>
  <c r="BB78" i="10"/>
  <c r="BD78" i="10" s="1"/>
  <c r="AY78" i="10"/>
  <c r="BA78" i="10" s="1"/>
  <c r="AV78" i="10"/>
  <c r="AS78" i="10"/>
  <c r="AP78" i="10"/>
  <c r="AM78" i="10"/>
  <c r="AL78" i="10"/>
  <c r="AK78" i="10"/>
  <c r="AH78" i="10"/>
  <c r="AE78" i="10"/>
  <c r="AB78" i="10"/>
  <c r="Y78" i="10"/>
  <c r="V78" i="10"/>
  <c r="S78" i="10"/>
  <c r="P78" i="10"/>
  <c r="M78" i="10"/>
  <c r="J78" i="10"/>
  <c r="G78" i="10"/>
  <c r="D78" i="10"/>
  <c r="BU77" i="10"/>
  <c r="BT77" i="10"/>
  <c r="BQ77" i="10"/>
  <c r="BS77" i="10" s="1"/>
  <c r="BN77" i="10"/>
  <c r="BP77" i="10" s="1"/>
  <c r="BK77" i="10"/>
  <c r="BM77" i="10" s="1"/>
  <c r="BH77" i="10"/>
  <c r="BJ77" i="10" s="1"/>
  <c r="BE77" i="10"/>
  <c r="BG77" i="10" s="1"/>
  <c r="BB77" i="10"/>
  <c r="BD77" i="10" s="1"/>
  <c r="AY77" i="10"/>
  <c r="BA77" i="10" s="1"/>
  <c r="AV77" i="10"/>
  <c r="AS77" i="10"/>
  <c r="AP77" i="10"/>
  <c r="AM77" i="10"/>
  <c r="AL77" i="10"/>
  <c r="AK77" i="10"/>
  <c r="AH77" i="10"/>
  <c r="AE77" i="10"/>
  <c r="AB77" i="10"/>
  <c r="Y77" i="10"/>
  <c r="V77" i="10"/>
  <c r="S77" i="10"/>
  <c r="P77" i="10"/>
  <c r="M77" i="10"/>
  <c r="J77" i="10"/>
  <c r="G77" i="10"/>
  <c r="D77" i="10"/>
  <c r="BU76" i="10"/>
  <c r="BT76" i="10"/>
  <c r="BQ76" i="10"/>
  <c r="BS76" i="10" s="1"/>
  <c r="BN76" i="10"/>
  <c r="BP76" i="10" s="1"/>
  <c r="BK76" i="10"/>
  <c r="BM76" i="10" s="1"/>
  <c r="BH76" i="10"/>
  <c r="BJ76" i="10" s="1"/>
  <c r="BE76" i="10"/>
  <c r="BG76" i="10" s="1"/>
  <c r="BB76" i="10"/>
  <c r="BD76" i="10" s="1"/>
  <c r="AY76" i="10"/>
  <c r="BA76" i="10" s="1"/>
  <c r="AV76" i="10"/>
  <c r="AS76" i="10"/>
  <c r="AP76" i="10"/>
  <c r="AM76" i="10"/>
  <c r="AL76" i="10"/>
  <c r="AK76" i="10"/>
  <c r="AH76" i="10"/>
  <c r="AE76" i="10"/>
  <c r="AB76" i="10"/>
  <c r="Y76" i="10"/>
  <c r="V76" i="10"/>
  <c r="S76" i="10"/>
  <c r="P76" i="10"/>
  <c r="M76" i="10"/>
  <c r="J76" i="10"/>
  <c r="G76" i="10"/>
  <c r="D76" i="10"/>
  <c r="BU75" i="10"/>
  <c r="BT75" i="10"/>
  <c r="BQ75" i="10"/>
  <c r="BS75" i="10" s="1"/>
  <c r="BN75" i="10"/>
  <c r="BP75" i="10" s="1"/>
  <c r="BK75" i="10"/>
  <c r="BM75" i="10" s="1"/>
  <c r="BH75" i="10"/>
  <c r="BJ75" i="10" s="1"/>
  <c r="BE75" i="10"/>
  <c r="BG75" i="10" s="1"/>
  <c r="BB75" i="10"/>
  <c r="BD75" i="10" s="1"/>
  <c r="AY75" i="10"/>
  <c r="BA75" i="10" s="1"/>
  <c r="AV75" i="10"/>
  <c r="AS75" i="10"/>
  <c r="AP75" i="10"/>
  <c r="AM75" i="10"/>
  <c r="AL75" i="10"/>
  <c r="AK75" i="10"/>
  <c r="AH75" i="10"/>
  <c r="AE75" i="10"/>
  <c r="AB75" i="10"/>
  <c r="Y75" i="10"/>
  <c r="V75" i="10"/>
  <c r="S75" i="10"/>
  <c r="P75" i="10"/>
  <c r="M75" i="10"/>
  <c r="J75" i="10"/>
  <c r="G75" i="10"/>
  <c r="D75" i="10"/>
  <c r="BU74" i="10"/>
  <c r="BT74" i="10"/>
  <c r="BQ74" i="10"/>
  <c r="BS74" i="10" s="1"/>
  <c r="BN74" i="10"/>
  <c r="BP74" i="10" s="1"/>
  <c r="BK74" i="10"/>
  <c r="BM74" i="10" s="1"/>
  <c r="BH74" i="10"/>
  <c r="BJ74" i="10" s="1"/>
  <c r="BE74" i="10"/>
  <c r="BG74" i="10" s="1"/>
  <c r="BB74" i="10"/>
  <c r="BD74" i="10" s="1"/>
  <c r="AY74" i="10"/>
  <c r="BA74" i="10" s="1"/>
  <c r="AV74" i="10"/>
  <c r="AS74" i="10"/>
  <c r="AP74" i="10"/>
  <c r="AM74" i="10"/>
  <c r="AL74" i="10"/>
  <c r="AK74" i="10"/>
  <c r="AH74" i="10"/>
  <c r="AE74" i="10"/>
  <c r="AB74" i="10"/>
  <c r="Y74" i="10"/>
  <c r="V74" i="10"/>
  <c r="S74" i="10"/>
  <c r="P74" i="10"/>
  <c r="M74" i="10"/>
  <c r="J74" i="10"/>
  <c r="G74" i="10"/>
  <c r="D74" i="10"/>
  <c r="BU73" i="10"/>
  <c r="BT73" i="10"/>
  <c r="BQ73" i="10"/>
  <c r="BS73" i="10" s="1"/>
  <c r="BN73" i="10"/>
  <c r="BP73" i="10" s="1"/>
  <c r="BK73" i="10"/>
  <c r="BM73" i="10" s="1"/>
  <c r="BH73" i="10"/>
  <c r="BJ73" i="10" s="1"/>
  <c r="BE73" i="10"/>
  <c r="BG73" i="10" s="1"/>
  <c r="BB73" i="10"/>
  <c r="BD73" i="10" s="1"/>
  <c r="AY73" i="10"/>
  <c r="BA73" i="10" s="1"/>
  <c r="AV73" i="10"/>
  <c r="AS73" i="10"/>
  <c r="AP73" i="10"/>
  <c r="AM73" i="10"/>
  <c r="AL73" i="10"/>
  <c r="AK73" i="10"/>
  <c r="AH73" i="10"/>
  <c r="AE73" i="10"/>
  <c r="AB73" i="10"/>
  <c r="Y73" i="10"/>
  <c r="V73" i="10"/>
  <c r="S73" i="10"/>
  <c r="P73" i="10"/>
  <c r="M73" i="10"/>
  <c r="J73" i="10"/>
  <c r="G73" i="10"/>
  <c r="D73" i="10"/>
  <c r="BU72" i="10"/>
  <c r="BT72" i="10"/>
  <c r="BQ72" i="10"/>
  <c r="BS72" i="10" s="1"/>
  <c r="BN72" i="10"/>
  <c r="BP72" i="10" s="1"/>
  <c r="BK72" i="10"/>
  <c r="BM72" i="10" s="1"/>
  <c r="BH72" i="10"/>
  <c r="BJ72" i="10" s="1"/>
  <c r="BE72" i="10"/>
  <c r="BG72" i="10" s="1"/>
  <c r="BB72" i="10"/>
  <c r="BD72" i="10" s="1"/>
  <c r="AY72" i="10"/>
  <c r="BA72" i="10" s="1"/>
  <c r="AV72" i="10"/>
  <c r="AS72" i="10"/>
  <c r="AP72" i="10"/>
  <c r="AM72" i="10"/>
  <c r="AL72" i="10"/>
  <c r="AK72" i="10"/>
  <c r="AH72" i="10"/>
  <c r="AE72" i="10"/>
  <c r="AB72" i="10"/>
  <c r="Y72" i="10"/>
  <c r="V72" i="10"/>
  <c r="S72" i="10"/>
  <c r="P72" i="10"/>
  <c r="M72" i="10"/>
  <c r="J72" i="10"/>
  <c r="G72" i="10"/>
  <c r="D72" i="10"/>
  <c r="BU71" i="10"/>
  <c r="BT71" i="10"/>
  <c r="BQ71" i="10"/>
  <c r="BS71" i="10" s="1"/>
  <c r="BN71" i="10"/>
  <c r="BP71" i="10" s="1"/>
  <c r="BK71" i="10"/>
  <c r="BM71" i="10" s="1"/>
  <c r="BH71" i="10"/>
  <c r="BJ71" i="10" s="1"/>
  <c r="BE71" i="10"/>
  <c r="BG71" i="10" s="1"/>
  <c r="BB71" i="10"/>
  <c r="BD71" i="10" s="1"/>
  <c r="AY71" i="10"/>
  <c r="BA71" i="10" s="1"/>
  <c r="AV71" i="10"/>
  <c r="AS71" i="10"/>
  <c r="AP71" i="10"/>
  <c r="AM71" i="10"/>
  <c r="AL71" i="10"/>
  <c r="AK71" i="10"/>
  <c r="AH71" i="10"/>
  <c r="AE71" i="10"/>
  <c r="AB71" i="10"/>
  <c r="Y71" i="10"/>
  <c r="V71" i="10"/>
  <c r="S71" i="10"/>
  <c r="P71" i="10"/>
  <c r="M71" i="10"/>
  <c r="J71" i="10"/>
  <c r="G71" i="10"/>
  <c r="D71" i="10"/>
  <c r="BU70" i="10"/>
  <c r="BT70" i="10"/>
  <c r="BQ70" i="10"/>
  <c r="BS70" i="10" s="1"/>
  <c r="BN70" i="10"/>
  <c r="BP70" i="10" s="1"/>
  <c r="BK70" i="10"/>
  <c r="BM70" i="10" s="1"/>
  <c r="BH70" i="10"/>
  <c r="BJ70" i="10" s="1"/>
  <c r="BE70" i="10"/>
  <c r="BG70" i="10" s="1"/>
  <c r="BB70" i="10"/>
  <c r="BD70" i="10" s="1"/>
  <c r="AY70" i="10"/>
  <c r="BA70" i="10" s="1"/>
  <c r="AV70" i="10"/>
  <c r="AS70" i="10"/>
  <c r="AP70" i="10"/>
  <c r="AM70" i="10"/>
  <c r="AL70" i="10"/>
  <c r="AK70" i="10"/>
  <c r="AH70" i="10"/>
  <c r="AE70" i="10"/>
  <c r="AB70" i="10"/>
  <c r="Y70" i="10"/>
  <c r="V70" i="10"/>
  <c r="S70" i="10"/>
  <c r="P70" i="10"/>
  <c r="M70" i="10"/>
  <c r="J70" i="10"/>
  <c r="G70" i="10"/>
  <c r="D70" i="10"/>
  <c r="BU69" i="10"/>
  <c r="BT69" i="10"/>
  <c r="BQ69" i="10"/>
  <c r="BS69" i="10" s="1"/>
  <c r="BN69" i="10"/>
  <c r="BP69" i="10" s="1"/>
  <c r="BK69" i="10"/>
  <c r="BM69" i="10" s="1"/>
  <c r="BH69" i="10"/>
  <c r="BJ69" i="10" s="1"/>
  <c r="BE69" i="10"/>
  <c r="BG69" i="10" s="1"/>
  <c r="BB69" i="10"/>
  <c r="BD69" i="10" s="1"/>
  <c r="AY69" i="10"/>
  <c r="BA69" i="10" s="1"/>
  <c r="AV69" i="10"/>
  <c r="AS69" i="10"/>
  <c r="AP69" i="10"/>
  <c r="AM69" i="10"/>
  <c r="AL69" i="10"/>
  <c r="AK69" i="10"/>
  <c r="AH69" i="10"/>
  <c r="AE69" i="10"/>
  <c r="AB69" i="10"/>
  <c r="Y69" i="10"/>
  <c r="V69" i="10"/>
  <c r="S69" i="10"/>
  <c r="P69" i="10"/>
  <c r="M69" i="10"/>
  <c r="J69" i="10"/>
  <c r="G69" i="10"/>
  <c r="D69" i="10"/>
  <c r="BU68" i="10"/>
  <c r="BT68" i="10"/>
  <c r="BQ68" i="10"/>
  <c r="BS68" i="10" s="1"/>
  <c r="BN68" i="10"/>
  <c r="BP68" i="10" s="1"/>
  <c r="BK68" i="10"/>
  <c r="BM68" i="10" s="1"/>
  <c r="BH68" i="10"/>
  <c r="BJ68" i="10" s="1"/>
  <c r="BE68" i="10"/>
  <c r="BG68" i="10" s="1"/>
  <c r="BB68" i="10"/>
  <c r="BD68" i="10" s="1"/>
  <c r="AY68" i="10"/>
  <c r="BA68" i="10" s="1"/>
  <c r="AV68" i="10"/>
  <c r="AS68" i="10"/>
  <c r="AP68" i="10"/>
  <c r="AM68" i="10"/>
  <c r="AL68" i="10"/>
  <c r="AK68" i="10"/>
  <c r="AH68" i="10"/>
  <c r="AE68" i="10"/>
  <c r="AB68" i="10"/>
  <c r="Y68" i="10"/>
  <c r="V68" i="10"/>
  <c r="S68" i="10"/>
  <c r="P68" i="10"/>
  <c r="M68" i="10"/>
  <c r="J68" i="10"/>
  <c r="G68" i="10"/>
  <c r="D68" i="10"/>
  <c r="BU67" i="10"/>
  <c r="BT67" i="10"/>
  <c r="BQ67" i="10"/>
  <c r="BS67" i="10" s="1"/>
  <c r="BN67" i="10"/>
  <c r="BP67" i="10" s="1"/>
  <c r="BK67" i="10"/>
  <c r="BM67" i="10" s="1"/>
  <c r="BH67" i="10"/>
  <c r="BJ67" i="10" s="1"/>
  <c r="BE67" i="10"/>
  <c r="BG67" i="10" s="1"/>
  <c r="BB67" i="10"/>
  <c r="BD67" i="10" s="1"/>
  <c r="AY67" i="10"/>
  <c r="BA67" i="10" s="1"/>
  <c r="AV67" i="10"/>
  <c r="AS67" i="10"/>
  <c r="AP67" i="10"/>
  <c r="AM67" i="10"/>
  <c r="AL67" i="10"/>
  <c r="AK67" i="10"/>
  <c r="AH67" i="10"/>
  <c r="AE67" i="10"/>
  <c r="AB67" i="10"/>
  <c r="Y67" i="10"/>
  <c r="V67" i="10"/>
  <c r="S67" i="10"/>
  <c r="P67" i="10"/>
  <c r="M67" i="10"/>
  <c r="J67" i="10"/>
  <c r="G67" i="10"/>
  <c r="D67" i="10"/>
  <c r="BU66" i="10"/>
  <c r="BT66" i="10"/>
  <c r="BQ66" i="10"/>
  <c r="BS66" i="10" s="1"/>
  <c r="BN66" i="10"/>
  <c r="BP66" i="10" s="1"/>
  <c r="BK66" i="10"/>
  <c r="BM66" i="10" s="1"/>
  <c r="BH66" i="10"/>
  <c r="BJ66" i="10" s="1"/>
  <c r="BE66" i="10"/>
  <c r="BG66" i="10" s="1"/>
  <c r="BB66" i="10"/>
  <c r="BD66" i="10" s="1"/>
  <c r="AY66" i="10"/>
  <c r="BA66" i="10" s="1"/>
  <c r="AV66" i="10"/>
  <c r="AS66" i="10"/>
  <c r="AP66" i="10"/>
  <c r="AM66" i="10"/>
  <c r="AL66" i="10"/>
  <c r="AK66" i="10"/>
  <c r="AH66" i="10"/>
  <c r="AE66" i="10"/>
  <c r="AB66" i="10"/>
  <c r="Y66" i="10"/>
  <c r="V66" i="10"/>
  <c r="S66" i="10"/>
  <c r="P66" i="10"/>
  <c r="M66" i="10"/>
  <c r="J66" i="10"/>
  <c r="G66" i="10"/>
  <c r="D66" i="10"/>
  <c r="BU65" i="10"/>
  <c r="BT65" i="10"/>
  <c r="BQ65" i="10"/>
  <c r="BS65" i="10" s="1"/>
  <c r="BN65" i="10"/>
  <c r="BP65" i="10" s="1"/>
  <c r="BK65" i="10"/>
  <c r="BM65" i="10" s="1"/>
  <c r="BH65" i="10"/>
  <c r="BJ65" i="10" s="1"/>
  <c r="BE65" i="10"/>
  <c r="BG65" i="10" s="1"/>
  <c r="BB65" i="10"/>
  <c r="BD65" i="10" s="1"/>
  <c r="AY65" i="10"/>
  <c r="BA65" i="10" s="1"/>
  <c r="AV65" i="10"/>
  <c r="AS65" i="10"/>
  <c r="AP65" i="10"/>
  <c r="AM65" i="10"/>
  <c r="AL65" i="10"/>
  <c r="AK65" i="10"/>
  <c r="AH65" i="10"/>
  <c r="AE65" i="10"/>
  <c r="AB65" i="10"/>
  <c r="Y65" i="10"/>
  <c r="V65" i="10"/>
  <c r="S65" i="10"/>
  <c r="P65" i="10"/>
  <c r="M65" i="10"/>
  <c r="J65" i="10"/>
  <c r="G65" i="10"/>
  <c r="D65" i="10"/>
  <c r="BU64" i="10"/>
  <c r="BT64" i="10"/>
  <c r="BQ64" i="10"/>
  <c r="BS64" i="10" s="1"/>
  <c r="BN64" i="10"/>
  <c r="BP64" i="10" s="1"/>
  <c r="BK64" i="10"/>
  <c r="BM64" i="10" s="1"/>
  <c r="BH64" i="10"/>
  <c r="BJ64" i="10" s="1"/>
  <c r="BE64" i="10"/>
  <c r="BG64" i="10" s="1"/>
  <c r="BB64" i="10"/>
  <c r="BD64" i="10" s="1"/>
  <c r="AY64" i="10"/>
  <c r="BA64" i="10" s="1"/>
  <c r="AV64" i="10"/>
  <c r="AS64" i="10"/>
  <c r="AP64" i="10"/>
  <c r="AM64" i="10"/>
  <c r="AL64" i="10"/>
  <c r="AK64" i="10"/>
  <c r="AH64" i="10"/>
  <c r="AE64" i="10"/>
  <c r="AB64" i="10"/>
  <c r="Y64" i="10"/>
  <c r="V64" i="10"/>
  <c r="X64" i="10" s="1"/>
  <c r="S64" i="10"/>
  <c r="P64" i="10"/>
  <c r="M64" i="10"/>
  <c r="J64" i="10"/>
  <c r="G64" i="10"/>
  <c r="D64" i="10"/>
  <c r="BU63" i="10"/>
  <c r="BT63" i="10"/>
  <c r="BQ63" i="10"/>
  <c r="BS63" i="10" s="1"/>
  <c r="BN63" i="10"/>
  <c r="BP63" i="10" s="1"/>
  <c r="BK63" i="10"/>
  <c r="BM63" i="10" s="1"/>
  <c r="BH63" i="10"/>
  <c r="BJ63" i="10" s="1"/>
  <c r="BE63" i="10"/>
  <c r="BG63" i="10" s="1"/>
  <c r="BB63" i="10"/>
  <c r="BD63" i="10" s="1"/>
  <c r="AY63" i="10"/>
  <c r="BA63" i="10" s="1"/>
  <c r="AV63" i="10"/>
  <c r="AS63" i="10"/>
  <c r="AP63" i="10"/>
  <c r="AM63" i="10"/>
  <c r="AL63" i="10"/>
  <c r="AK63" i="10"/>
  <c r="AH63" i="10"/>
  <c r="AE63" i="10"/>
  <c r="AB63" i="10"/>
  <c r="Y63" i="10"/>
  <c r="V63" i="10"/>
  <c r="S63" i="10"/>
  <c r="P63" i="10"/>
  <c r="M63" i="10"/>
  <c r="J63" i="10"/>
  <c r="G63" i="10"/>
  <c r="D63" i="10"/>
  <c r="BU62" i="10"/>
  <c r="BT62" i="10"/>
  <c r="BQ62" i="10"/>
  <c r="BS62" i="10" s="1"/>
  <c r="BN62" i="10"/>
  <c r="BP62" i="10" s="1"/>
  <c r="BK62" i="10"/>
  <c r="BM62" i="10" s="1"/>
  <c r="BH62" i="10"/>
  <c r="BJ62" i="10" s="1"/>
  <c r="BE62" i="10"/>
  <c r="BG62" i="10" s="1"/>
  <c r="BB62" i="10"/>
  <c r="BD62" i="10" s="1"/>
  <c r="AY62" i="10"/>
  <c r="BA62" i="10" s="1"/>
  <c r="AV62" i="10"/>
  <c r="AS62" i="10"/>
  <c r="AP62" i="10"/>
  <c r="AM62" i="10"/>
  <c r="AL62" i="10"/>
  <c r="AK62" i="10"/>
  <c r="AH62" i="10"/>
  <c r="AE62" i="10"/>
  <c r="AB62" i="10"/>
  <c r="Y62" i="10"/>
  <c r="V62" i="10"/>
  <c r="S62" i="10"/>
  <c r="P62" i="10"/>
  <c r="M62" i="10"/>
  <c r="J62" i="10"/>
  <c r="G62" i="10"/>
  <c r="D62" i="10"/>
  <c r="BU61" i="10"/>
  <c r="BT61" i="10"/>
  <c r="BQ61" i="10"/>
  <c r="BS61" i="10" s="1"/>
  <c r="BN61" i="10"/>
  <c r="BP61" i="10" s="1"/>
  <c r="BK61" i="10"/>
  <c r="BM61" i="10" s="1"/>
  <c r="BH61" i="10"/>
  <c r="BJ61" i="10" s="1"/>
  <c r="BE61" i="10"/>
  <c r="BG61" i="10" s="1"/>
  <c r="BB61" i="10"/>
  <c r="BD61" i="10" s="1"/>
  <c r="AY61" i="10"/>
  <c r="BA61" i="10" s="1"/>
  <c r="AV61" i="10"/>
  <c r="AS61" i="10"/>
  <c r="AP61" i="10"/>
  <c r="AM61" i="10"/>
  <c r="AL61" i="10"/>
  <c r="AK61" i="10"/>
  <c r="AH61" i="10"/>
  <c r="AE61" i="10"/>
  <c r="AB61" i="10"/>
  <c r="Y61" i="10"/>
  <c r="V61" i="10"/>
  <c r="S61" i="10"/>
  <c r="P61" i="10"/>
  <c r="M61" i="10"/>
  <c r="J61" i="10"/>
  <c r="G61" i="10"/>
  <c r="D61" i="10"/>
  <c r="BU60" i="10"/>
  <c r="BT60" i="10"/>
  <c r="BQ60" i="10"/>
  <c r="BS60" i="10" s="1"/>
  <c r="BN60" i="10"/>
  <c r="BP60" i="10" s="1"/>
  <c r="BK60" i="10"/>
  <c r="BM60" i="10" s="1"/>
  <c r="BH60" i="10"/>
  <c r="BJ60" i="10" s="1"/>
  <c r="BE60" i="10"/>
  <c r="BG60" i="10" s="1"/>
  <c r="BB60" i="10"/>
  <c r="BD60" i="10" s="1"/>
  <c r="AY60" i="10"/>
  <c r="BA60" i="10" s="1"/>
  <c r="AV60" i="10"/>
  <c r="AS60" i="10"/>
  <c r="AP60" i="10"/>
  <c r="AM60" i="10"/>
  <c r="AL60" i="10"/>
  <c r="AK60" i="10"/>
  <c r="AH60" i="10"/>
  <c r="AE60" i="10"/>
  <c r="AB60" i="10"/>
  <c r="Y60" i="10"/>
  <c r="V60" i="10"/>
  <c r="S60" i="10"/>
  <c r="P60" i="10"/>
  <c r="M60" i="10"/>
  <c r="J60" i="10"/>
  <c r="G60" i="10"/>
  <c r="D60" i="10"/>
  <c r="BU59" i="10"/>
  <c r="BT59" i="10"/>
  <c r="BQ59" i="10"/>
  <c r="BS59" i="10" s="1"/>
  <c r="BN59" i="10"/>
  <c r="BP59" i="10" s="1"/>
  <c r="BK59" i="10"/>
  <c r="BM59" i="10" s="1"/>
  <c r="BH59" i="10"/>
  <c r="BJ59" i="10" s="1"/>
  <c r="BE59" i="10"/>
  <c r="BG59" i="10" s="1"/>
  <c r="BB59" i="10"/>
  <c r="BD59" i="10" s="1"/>
  <c r="AY59" i="10"/>
  <c r="BA59" i="10" s="1"/>
  <c r="AV59" i="10"/>
  <c r="AS59" i="10"/>
  <c r="AP59" i="10"/>
  <c r="AM59" i="10"/>
  <c r="AL59" i="10"/>
  <c r="AK59" i="10"/>
  <c r="AH59" i="10"/>
  <c r="AE59" i="10"/>
  <c r="AB59" i="10"/>
  <c r="Y59" i="10"/>
  <c r="V59" i="10"/>
  <c r="S59" i="10"/>
  <c r="P59" i="10"/>
  <c r="M59" i="10"/>
  <c r="J59" i="10"/>
  <c r="G59" i="10"/>
  <c r="D59" i="10"/>
  <c r="BU58" i="10"/>
  <c r="BT58" i="10"/>
  <c r="BQ58" i="10"/>
  <c r="BS58" i="10" s="1"/>
  <c r="BN58" i="10"/>
  <c r="BP58" i="10" s="1"/>
  <c r="BK58" i="10"/>
  <c r="BM58" i="10" s="1"/>
  <c r="BH58" i="10"/>
  <c r="BJ58" i="10" s="1"/>
  <c r="BE58" i="10"/>
  <c r="BG58" i="10" s="1"/>
  <c r="BB58" i="10"/>
  <c r="BD58" i="10" s="1"/>
  <c r="AY58" i="10"/>
  <c r="BA58" i="10" s="1"/>
  <c r="AV58" i="10"/>
  <c r="AS58" i="10"/>
  <c r="AP58" i="10"/>
  <c r="AM58" i="10"/>
  <c r="AL58" i="10"/>
  <c r="AK58" i="10"/>
  <c r="AH58" i="10"/>
  <c r="AE58" i="10"/>
  <c r="AB58" i="10"/>
  <c r="Y58" i="10"/>
  <c r="V58" i="10"/>
  <c r="S58" i="10"/>
  <c r="P58" i="10"/>
  <c r="M58" i="10"/>
  <c r="J58" i="10"/>
  <c r="G58" i="10"/>
  <c r="D58" i="10"/>
  <c r="BU57" i="10"/>
  <c r="BT57" i="10"/>
  <c r="BQ57" i="10"/>
  <c r="BS57" i="10" s="1"/>
  <c r="BN57" i="10"/>
  <c r="BP57" i="10" s="1"/>
  <c r="BK57" i="10"/>
  <c r="BM57" i="10" s="1"/>
  <c r="BH57" i="10"/>
  <c r="BJ57" i="10" s="1"/>
  <c r="BE57" i="10"/>
  <c r="BG57" i="10" s="1"/>
  <c r="BB57" i="10"/>
  <c r="BD57" i="10" s="1"/>
  <c r="AY57" i="10"/>
  <c r="BA57" i="10" s="1"/>
  <c r="AV57" i="10"/>
  <c r="AS57" i="10"/>
  <c r="AP57" i="10"/>
  <c r="AM57" i="10"/>
  <c r="AL57" i="10"/>
  <c r="AK57" i="10"/>
  <c r="AH57" i="10"/>
  <c r="AE57" i="10"/>
  <c r="AB57" i="10"/>
  <c r="Y57" i="10"/>
  <c r="V57" i="10"/>
  <c r="S57" i="10"/>
  <c r="P57" i="10"/>
  <c r="M57" i="10"/>
  <c r="J57" i="10"/>
  <c r="G57" i="10"/>
  <c r="D57" i="10"/>
  <c r="BU56" i="10"/>
  <c r="BT56" i="10"/>
  <c r="BQ56" i="10"/>
  <c r="BS56" i="10" s="1"/>
  <c r="BN56" i="10"/>
  <c r="BP56" i="10" s="1"/>
  <c r="BK56" i="10"/>
  <c r="BM56" i="10" s="1"/>
  <c r="BH56" i="10"/>
  <c r="BJ56" i="10" s="1"/>
  <c r="BE56" i="10"/>
  <c r="BG56" i="10" s="1"/>
  <c r="BB56" i="10"/>
  <c r="BD56" i="10" s="1"/>
  <c r="AY56" i="10"/>
  <c r="BA56" i="10" s="1"/>
  <c r="AV56" i="10"/>
  <c r="AS56" i="10"/>
  <c r="AP56" i="10"/>
  <c r="AM56" i="10"/>
  <c r="AL56" i="10"/>
  <c r="AK56" i="10"/>
  <c r="AH56" i="10"/>
  <c r="AE56" i="10"/>
  <c r="AB56" i="10"/>
  <c r="Y56" i="10"/>
  <c r="V56" i="10"/>
  <c r="X56" i="10" s="1"/>
  <c r="S56" i="10"/>
  <c r="P56" i="10"/>
  <c r="M56" i="10"/>
  <c r="J56" i="10"/>
  <c r="G56" i="10"/>
  <c r="D56" i="10"/>
  <c r="BU55" i="10"/>
  <c r="BT55" i="10"/>
  <c r="BQ55" i="10"/>
  <c r="BS55" i="10" s="1"/>
  <c r="BN55" i="10"/>
  <c r="BP55" i="10" s="1"/>
  <c r="BK55" i="10"/>
  <c r="BM55" i="10" s="1"/>
  <c r="BH55" i="10"/>
  <c r="BJ55" i="10" s="1"/>
  <c r="BE55" i="10"/>
  <c r="BG55" i="10" s="1"/>
  <c r="BB55" i="10"/>
  <c r="BD55" i="10" s="1"/>
  <c r="AY55" i="10"/>
  <c r="BA55" i="10" s="1"/>
  <c r="AV55" i="10"/>
  <c r="AS55" i="10"/>
  <c r="AP55" i="10"/>
  <c r="AM55" i="10"/>
  <c r="AL55" i="10"/>
  <c r="AK55" i="10"/>
  <c r="AH55" i="10"/>
  <c r="AE55" i="10"/>
  <c r="AB55" i="10"/>
  <c r="Y55" i="10"/>
  <c r="V55" i="10"/>
  <c r="S55" i="10"/>
  <c r="P55" i="10"/>
  <c r="M55" i="10"/>
  <c r="J55" i="10"/>
  <c r="G55" i="10"/>
  <c r="D55" i="10"/>
  <c r="BU54" i="10"/>
  <c r="BT54" i="10"/>
  <c r="BQ54" i="10"/>
  <c r="BS54" i="10" s="1"/>
  <c r="BN54" i="10"/>
  <c r="BP54" i="10" s="1"/>
  <c r="BK54" i="10"/>
  <c r="BM54" i="10" s="1"/>
  <c r="BH54" i="10"/>
  <c r="BJ54" i="10" s="1"/>
  <c r="BE54" i="10"/>
  <c r="BG54" i="10" s="1"/>
  <c r="BB54" i="10"/>
  <c r="BD54" i="10" s="1"/>
  <c r="AY54" i="10"/>
  <c r="BA54" i="10" s="1"/>
  <c r="AV54" i="10"/>
  <c r="AS54" i="10"/>
  <c r="AP54" i="10"/>
  <c r="AM54" i="10"/>
  <c r="AL54" i="10"/>
  <c r="AK54" i="10"/>
  <c r="AH54" i="10"/>
  <c r="AJ54" i="10" s="1"/>
  <c r="AE54" i="10"/>
  <c r="AB54" i="10"/>
  <c r="Y54" i="10"/>
  <c r="V54" i="10"/>
  <c r="S54" i="10"/>
  <c r="P54" i="10"/>
  <c r="M54" i="10"/>
  <c r="J54" i="10"/>
  <c r="G54" i="10"/>
  <c r="D54" i="10"/>
  <c r="BU53" i="10"/>
  <c r="BT53" i="10"/>
  <c r="BQ53" i="10"/>
  <c r="BS53" i="10" s="1"/>
  <c r="BN53" i="10"/>
  <c r="BP53" i="10" s="1"/>
  <c r="BK53" i="10"/>
  <c r="BM53" i="10" s="1"/>
  <c r="BH53" i="10"/>
  <c r="BJ53" i="10" s="1"/>
  <c r="BE53" i="10"/>
  <c r="BG53" i="10" s="1"/>
  <c r="BB53" i="10"/>
  <c r="BD53" i="10" s="1"/>
  <c r="AY53" i="10"/>
  <c r="BA53" i="10" s="1"/>
  <c r="AV53" i="10"/>
  <c r="AS53" i="10"/>
  <c r="AP53" i="10"/>
  <c r="AM53" i="10"/>
  <c r="AL53" i="10"/>
  <c r="AK53" i="10"/>
  <c r="AH53" i="10"/>
  <c r="AE53" i="10"/>
  <c r="AB53" i="10"/>
  <c r="Y53" i="10"/>
  <c r="V53" i="10"/>
  <c r="S53" i="10"/>
  <c r="P53" i="10"/>
  <c r="M53" i="10"/>
  <c r="J53" i="10"/>
  <c r="G53" i="10"/>
  <c r="D53" i="10"/>
  <c r="BU52" i="10"/>
  <c r="BT52" i="10"/>
  <c r="BQ52" i="10"/>
  <c r="BS52" i="10" s="1"/>
  <c r="BN52" i="10"/>
  <c r="BP52" i="10" s="1"/>
  <c r="BK52" i="10"/>
  <c r="BM52" i="10" s="1"/>
  <c r="BH52" i="10"/>
  <c r="BJ52" i="10" s="1"/>
  <c r="BE52" i="10"/>
  <c r="BG52" i="10" s="1"/>
  <c r="BB52" i="10"/>
  <c r="BD52" i="10" s="1"/>
  <c r="AY52" i="10"/>
  <c r="BA52" i="10" s="1"/>
  <c r="AV52" i="10"/>
  <c r="AS52" i="10"/>
  <c r="AP52" i="10"/>
  <c r="AM52" i="10"/>
  <c r="AL52" i="10"/>
  <c r="AK52" i="10"/>
  <c r="AH52" i="10"/>
  <c r="AE52" i="10"/>
  <c r="AB52" i="10"/>
  <c r="Y52" i="10"/>
  <c r="V52" i="10"/>
  <c r="S52" i="10"/>
  <c r="P52" i="10"/>
  <c r="M52" i="10"/>
  <c r="J52" i="10"/>
  <c r="G52" i="10"/>
  <c r="D52" i="10"/>
  <c r="BU51" i="10"/>
  <c r="BT51" i="10"/>
  <c r="BQ51" i="10"/>
  <c r="BS51" i="10" s="1"/>
  <c r="BN51" i="10"/>
  <c r="BP51" i="10" s="1"/>
  <c r="BK51" i="10"/>
  <c r="BM51" i="10" s="1"/>
  <c r="BH51" i="10"/>
  <c r="BJ51" i="10" s="1"/>
  <c r="BE51" i="10"/>
  <c r="BG51" i="10" s="1"/>
  <c r="BB51" i="10"/>
  <c r="BD51" i="10" s="1"/>
  <c r="AY51" i="10"/>
  <c r="BA51" i="10" s="1"/>
  <c r="AV51" i="10"/>
  <c r="AS51" i="10"/>
  <c r="AP51" i="10"/>
  <c r="AM51" i="10"/>
  <c r="AL51" i="10"/>
  <c r="AK51" i="10"/>
  <c r="AH51" i="10"/>
  <c r="AE51" i="10"/>
  <c r="AB51" i="10"/>
  <c r="Y51" i="10"/>
  <c r="V51" i="10"/>
  <c r="S51" i="10"/>
  <c r="P51" i="10"/>
  <c r="M51" i="10"/>
  <c r="J51" i="10"/>
  <c r="G51" i="10"/>
  <c r="D51" i="10"/>
  <c r="BU50" i="10"/>
  <c r="BT50" i="10"/>
  <c r="BQ50" i="10"/>
  <c r="BS50" i="10" s="1"/>
  <c r="BN50" i="10"/>
  <c r="BP50" i="10" s="1"/>
  <c r="BK50" i="10"/>
  <c r="BM50" i="10" s="1"/>
  <c r="BH50" i="10"/>
  <c r="BJ50" i="10" s="1"/>
  <c r="BE50" i="10"/>
  <c r="BG50" i="10" s="1"/>
  <c r="BB50" i="10"/>
  <c r="BD50" i="10" s="1"/>
  <c r="AY50" i="10"/>
  <c r="BA50" i="10" s="1"/>
  <c r="AV50" i="10"/>
  <c r="AS50" i="10"/>
  <c r="AP50" i="10"/>
  <c r="AM50" i="10"/>
  <c r="AL50" i="10"/>
  <c r="AK50" i="10"/>
  <c r="AH50" i="10"/>
  <c r="AE50" i="10"/>
  <c r="AB50" i="10"/>
  <c r="Y50" i="10"/>
  <c r="V50" i="10"/>
  <c r="S50" i="10"/>
  <c r="P50" i="10"/>
  <c r="M50" i="10"/>
  <c r="J50" i="10"/>
  <c r="G50" i="10"/>
  <c r="D50" i="10"/>
  <c r="BU49" i="10"/>
  <c r="BT49" i="10"/>
  <c r="BQ49" i="10"/>
  <c r="BS49" i="10" s="1"/>
  <c r="BN49" i="10"/>
  <c r="BP49" i="10" s="1"/>
  <c r="BK49" i="10"/>
  <c r="BM49" i="10" s="1"/>
  <c r="BH49" i="10"/>
  <c r="BJ49" i="10" s="1"/>
  <c r="BE49" i="10"/>
  <c r="BG49" i="10" s="1"/>
  <c r="BB49" i="10"/>
  <c r="BD49" i="10" s="1"/>
  <c r="AY49" i="10"/>
  <c r="BA49" i="10" s="1"/>
  <c r="AV49" i="10"/>
  <c r="AS49" i="10"/>
  <c r="AP49" i="10"/>
  <c r="AM49" i="10"/>
  <c r="AL49" i="10"/>
  <c r="AK49" i="10"/>
  <c r="AH49" i="10"/>
  <c r="AE49" i="10"/>
  <c r="AB49" i="10"/>
  <c r="Y49" i="10"/>
  <c r="V49" i="10"/>
  <c r="S49" i="10"/>
  <c r="P49" i="10"/>
  <c r="M49" i="10"/>
  <c r="J49" i="10"/>
  <c r="G49" i="10"/>
  <c r="D49" i="10"/>
  <c r="BU48" i="10"/>
  <c r="BT48" i="10"/>
  <c r="BQ48" i="10"/>
  <c r="BS48" i="10" s="1"/>
  <c r="BN48" i="10"/>
  <c r="BP48" i="10" s="1"/>
  <c r="BK48" i="10"/>
  <c r="BM48" i="10" s="1"/>
  <c r="BH48" i="10"/>
  <c r="BJ48" i="10" s="1"/>
  <c r="BE48" i="10"/>
  <c r="BG48" i="10" s="1"/>
  <c r="BB48" i="10"/>
  <c r="BD48" i="10" s="1"/>
  <c r="AY48" i="10"/>
  <c r="BA48" i="10" s="1"/>
  <c r="AV48" i="10"/>
  <c r="AS48" i="10"/>
  <c r="AP48" i="10"/>
  <c r="AM48" i="10"/>
  <c r="AL48" i="10"/>
  <c r="AK48" i="10"/>
  <c r="AH48" i="10"/>
  <c r="AE48" i="10"/>
  <c r="AB48" i="10"/>
  <c r="Y48" i="10"/>
  <c r="V48" i="10"/>
  <c r="X48" i="10" s="1"/>
  <c r="S48" i="10"/>
  <c r="P48" i="10"/>
  <c r="M48" i="10"/>
  <c r="J48" i="10"/>
  <c r="G48" i="10"/>
  <c r="D48" i="10"/>
  <c r="BU47" i="10"/>
  <c r="BT47" i="10"/>
  <c r="BQ47" i="10"/>
  <c r="BS47" i="10" s="1"/>
  <c r="BN47" i="10"/>
  <c r="BP47" i="10" s="1"/>
  <c r="BK47" i="10"/>
  <c r="BM47" i="10" s="1"/>
  <c r="BH47" i="10"/>
  <c r="BJ47" i="10" s="1"/>
  <c r="BE47" i="10"/>
  <c r="BG47" i="10" s="1"/>
  <c r="BB47" i="10"/>
  <c r="BD47" i="10" s="1"/>
  <c r="AY47" i="10"/>
  <c r="BA47" i="10" s="1"/>
  <c r="AV47" i="10"/>
  <c r="AS47" i="10"/>
  <c r="AP47" i="10"/>
  <c r="AM47" i="10"/>
  <c r="AL47" i="10"/>
  <c r="AK47" i="10"/>
  <c r="AH47" i="10"/>
  <c r="AE47" i="10"/>
  <c r="AB47" i="10"/>
  <c r="Y47" i="10"/>
  <c r="V47" i="10"/>
  <c r="S47" i="10"/>
  <c r="P47" i="10"/>
  <c r="M47" i="10"/>
  <c r="J47" i="10"/>
  <c r="G47" i="10"/>
  <c r="D47" i="10"/>
  <c r="BU46" i="10"/>
  <c r="BT46" i="10"/>
  <c r="BQ46" i="10"/>
  <c r="BS46" i="10" s="1"/>
  <c r="BN46" i="10"/>
  <c r="BP46" i="10" s="1"/>
  <c r="BK46" i="10"/>
  <c r="BM46" i="10" s="1"/>
  <c r="BH46" i="10"/>
  <c r="BJ46" i="10" s="1"/>
  <c r="BE46" i="10"/>
  <c r="BG46" i="10" s="1"/>
  <c r="BB46" i="10"/>
  <c r="BD46" i="10" s="1"/>
  <c r="AY46" i="10"/>
  <c r="BA46" i="10" s="1"/>
  <c r="AV46" i="10"/>
  <c r="AS46" i="10"/>
  <c r="AP46" i="10"/>
  <c r="AM46" i="10"/>
  <c r="AL46" i="10"/>
  <c r="AK46" i="10"/>
  <c r="AH46" i="10"/>
  <c r="AE46" i="10"/>
  <c r="AB46" i="10"/>
  <c r="Y46" i="10"/>
  <c r="V46" i="10"/>
  <c r="S46" i="10"/>
  <c r="P46" i="10"/>
  <c r="M46" i="10"/>
  <c r="J46" i="10"/>
  <c r="G46" i="10"/>
  <c r="D46" i="10"/>
  <c r="BU45" i="10"/>
  <c r="BT45" i="10"/>
  <c r="BQ45" i="10"/>
  <c r="BS45" i="10" s="1"/>
  <c r="BN45" i="10"/>
  <c r="BP45" i="10" s="1"/>
  <c r="BK45" i="10"/>
  <c r="BM45" i="10" s="1"/>
  <c r="BH45" i="10"/>
  <c r="BJ45" i="10" s="1"/>
  <c r="BE45" i="10"/>
  <c r="BG45" i="10" s="1"/>
  <c r="BB45" i="10"/>
  <c r="BD45" i="10" s="1"/>
  <c r="AY45" i="10"/>
  <c r="BA45" i="10" s="1"/>
  <c r="AV45" i="10"/>
  <c r="AS45" i="10"/>
  <c r="AP45" i="10"/>
  <c r="AM45" i="10"/>
  <c r="AL45" i="10"/>
  <c r="AK45" i="10"/>
  <c r="AH45" i="10"/>
  <c r="AE45" i="10"/>
  <c r="AB45" i="10"/>
  <c r="Y45" i="10"/>
  <c r="V45" i="10"/>
  <c r="S45" i="10"/>
  <c r="P45" i="10"/>
  <c r="M45" i="10"/>
  <c r="J45" i="10"/>
  <c r="G45" i="10"/>
  <c r="D45" i="10"/>
  <c r="BU44" i="10"/>
  <c r="BT44" i="10"/>
  <c r="BQ44" i="10"/>
  <c r="BS44" i="10" s="1"/>
  <c r="BN44" i="10"/>
  <c r="BP44" i="10" s="1"/>
  <c r="BK44" i="10"/>
  <c r="BM44" i="10" s="1"/>
  <c r="BH44" i="10"/>
  <c r="BJ44" i="10" s="1"/>
  <c r="BE44" i="10"/>
  <c r="BG44" i="10" s="1"/>
  <c r="BB44" i="10"/>
  <c r="BD44" i="10" s="1"/>
  <c r="AY44" i="10"/>
  <c r="BA44" i="10" s="1"/>
  <c r="AV44" i="10"/>
  <c r="AS44" i="10"/>
  <c r="AP44" i="10"/>
  <c r="AM44" i="10"/>
  <c r="AL44" i="10"/>
  <c r="AK44" i="10"/>
  <c r="AH44" i="10"/>
  <c r="AE44" i="10"/>
  <c r="AB44" i="10"/>
  <c r="Y44" i="10"/>
  <c r="V44" i="10"/>
  <c r="S44" i="10"/>
  <c r="P44" i="10"/>
  <c r="M44" i="10"/>
  <c r="J44" i="10"/>
  <c r="G44" i="10"/>
  <c r="D44" i="10"/>
  <c r="BU43" i="10"/>
  <c r="BT43" i="10"/>
  <c r="BQ43" i="10"/>
  <c r="BS43" i="10" s="1"/>
  <c r="BN43" i="10"/>
  <c r="BP43" i="10" s="1"/>
  <c r="BK43" i="10"/>
  <c r="BM43" i="10" s="1"/>
  <c r="BH43" i="10"/>
  <c r="BJ43" i="10" s="1"/>
  <c r="BE43" i="10"/>
  <c r="BG43" i="10" s="1"/>
  <c r="BB43" i="10"/>
  <c r="BD43" i="10" s="1"/>
  <c r="AY43" i="10"/>
  <c r="BA43" i="10" s="1"/>
  <c r="AV43" i="10"/>
  <c r="AS43" i="10"/>
  <c r="AP43" i="10"/>
  <c r="AM43" i="10"/>
  <c r="AL43" i="10"/>
  <c r="AK43" i="10"/>
  <c r="AH43" i="10"/>
  <c r="AE43" i="10"/>
  <c r="AB43" i="10"/>
  <c r="Y43" i="10"/>
  <c r="V43" i="10"/>
  <c r="S43" i="10"/>
  <c r="P43" i="10"/>
  <c r="M43" i="10"/>
  <c r="J43" i="10"/>
  <c r="G43" i="10"/>
  <c r="D43" i="10"/>
  <c r="BU42" i="10"/>
  <c r="BT42" i="10"/>
  <c r="BQ42" i="10"/>
  <c r="BS42" i="10" s="1"/>
  <c r="BN42" i="10"/>
  <c r="BP42" i="10" s="1"/>
  <c r="BK42" i="10"/>
  <c r="BM42" i="10" s="1"/>
  <c r="BH42" i="10"/>
  <c r="BJ42" i="10" s="1"/>
  <c r="BE42" i="10"/>
  <c r="BG42" i="10" s="1"/>
  <c r="BB42" i="10"/>
  <c r="BD42" i="10" s="1"/>
  <c r="AY42" i="10"/>
  <c r="BA42" i="10" s="1"/>
  <c r="AV42" i="10"/>
  <c r="AS42" i="10"/>
  <c r="AP42" i="10"/>
  <c r="AM42" i="10"/>
  <c r="AL42" i="10"/>
  <c r="AK42" i="10"/>
  <c r="AH42" i="10"/>
  <c r="AE42" i="10"/>
  <c r="AB42" i="10"/>
  <c r="Y42" i="10"/>
  <c r="V42" i="10"/>
  <c r="S42" i="10"/>
  <c r="P42" i="10"/>
  <c r="M42" i="10"/>
  <c r="J42" i="10"/>
  <c r="G42" i="10"/>
  <c r="D42" i="10"/>
  <c r="BU41" i="10"/>
  <c r="BT41" i="10"/>
  <c r="BQ41" i="10"/>
  <c r="BS41" i="10" s="1"/>
  <c r="BN41" i="10"/>
  <c r="BP41" i="10" s="1"/>
  <c r="BK41" i="10"/>
  <c r="BM41" i="10" s="1"/>
  <c r="BH41" i="10"/>
  <c r="BJ41" i="10" s="1"/>
  <c r="BE41" i="10"/>
  <c r="BG41" i="10" s="1"/>
  <c r="BB41" i="10"/>
  <c r="BD41" i="10" s="1"/>
  <c r="AY41" i="10"/>
  <c r="BA41" i="10" s="1"/>
  <c r="AV41" i="10"/>
  <c r="AS41" i="10"/>
  <c r="AP41" i="10"/>
  <c r="AM41" i="10"/>
  <c r="AL41" i="10"/>
  <c r="AK41" i="10"/>
  <c r="AH41" i="10"/>
  <c r="AE41" i="10"/>
  <c r="AB41" i="10"/>
  <c r="Y41" i="10"/>
  <c r="V41" i="10"/>
  <c r="S41" i="10"/>
  <c r="P41" i="10"/>
  <c r="M41" i="10"/>
  <c r="J41" i="10"/>
  <c r="G41" i="10"/>
  <c r="D41" i="10"/>
  <c r="BU40" i="10"/>
  <c r="BT40" i="10"/>
  <c r="BQ40" i="10"/>
  <c r="BS40" i="10" s="1"/>
  <c r="BN40" i="10"/>
  <c r="BP40" i="10" s="1"/>
  <c r="BK40" i="10"/>
  <c r="BM40" i="10" s="1"/>
  <c r="BH40" i="10"/>
  <c r="BJ40" i="10" s="1"/>
  <c r="BE40" i="10"/>
  <c r="BG40" i="10" s="1"/>
  <c r="BB40" i="10"/>
  <c r="BD40" i="10" s="1"/>
  <c r="AY40" i="10"/>
  <c r="BA40" i="10" s="1"/>
  <c r="AV40" i="10"/>
  <c r="AS40" i="10"/>
  <c r="AP40" i="10"/>
  <c r="AM40" i="10"/>
  <c r="AL40" i="10"/>
  <c r="AK40" i="10"/>
  <c r="AH40" i="10"/>
  <c r="AE40" i="10"/>
  <c r="AB40" i="10"/>
  <c r="Y40" i="10"/>
  <c r="V40" i="10"/>
  <c r="X40" i="10" s="1"/>
  <c r="S40" i="10"/>
  <c r="P40" i="10"/>
  <c r="M40" i="10"/>
  <c r="J40" i="10"/>
  <c r="G40" i="10"/>
  <c r="D40" i="10"/>
  <c r="BU39" i="10"/>
  <c r="BT39" i="10"/>
  <c r="BQ39" i="10"/>
  <c r="BS39" i="10" s="1"/>
  <c r="BN39" i="10"/>
  <c r="BP39" i="10" s="1"/>
  <c r="BK39" i="10"/>
  <c r="BM39" i="10" s="1"/>
  <c r="BH39" i="10"/>
  <c r="BJ39" i="10" s="1"/>
  <c r="BE39" i="10"/>
  <c r="BG39" i="10" s="1"/>
  <c r="BB39" i="10"/>
  <c r="BD39" i="10" s="1"/>
  <c r="AY39" i="10"/>
  <c r="BA39" i="10" s="1"/>
  <c r="AV39" i="10"/>
  <c r="AS39" i="10"/>
  <c r="AP39" i="10"/>
  <c r="AM39" i="10"/>
  <c r="AL39" i="10"/>
  <c r="AK39" i="10"/>
  <c r="AH39" i="10"/>
  <c r="AE39" i="10"/>
  <c r="AB39" i="10"/>
  <c r="Y39" i="10"/>
  <c r="V39" i="10"/>
  <c r="S39" i="10"/>
  <c r="P39" i="10"/>
  <c r="M39" i="10"/>
  <c r="J39" i="10"/>
  <c r="G39" i="10"/>
  <c r="D39" i="10"/>
  <c r="BU38" i="10"/>
  <c r="BT38" i="10"/>
  <c r="BQ38" i="10"/>
  <c r="BS38" i="10" s="1"/>
  <c r="BN38" i="10"/>
  <c r="BP38" i="10" s="1"/>
  <c r="BK38" i="10"/>
  <c r="BM38" i="10" s="1"/>
  <c r="BH38" i="10"/>
  <c r="BJ38" i="10" s="1"/>
  <c r="BE38" i="10"/>
  <c r="BG38" i="10" s="1"/>
  <c r="BB38" i="10"/>
  <c r="BD38" i="10" s="1"/>
  <c r="AY38" i="10"/>
  <c r="BA38" i="10" s="1"/>
  <c r="AV38" i="10"/>
  <c r="AS38" i="10"/>
  <c r="AP38" i="10"/>
  <c r="AM38" i="10"/>
  <c r="AL38" i="10"/>
  <c r="AK38" i="10"/>
  <c r="AH38" i="10"/>
  <c r="AE38" i="10"/>
  <c r="AB38" i="10"/>
  <c r="Y38" i="10"/>
  <c r="V38" i="10"/>
  <c r="S38" i="10"/>
  <c r="P38" i="10"/>
  <c r="M38" i="10"/>
  <c r="J38" i="10"/>
  <c r="G38" i="10"/>
  <c r="D38" i="10"/>
  <c r="BU37" i="10"/>
  <c r="BT37" i="10"/>
  <c r="BQ37" i="10"/>
  <c r="BS37" i="10" s="1"/>
  <c r="BN37" i="10"/>
  <c r="BP37" i="10" s="1"/>
  <c r="BK37" i="10"/>
  <c r="BM37" i="10" s="1"/>
  <c r="BH37" i="10"/>
  <c r="BJ37" i="10" s="1"/>
  <c r="BE37" i="10"/>
  <c r="BG37" i="10" s="1"/>
  <c r="BB37" i="10"/>
  <c r="BD37" i="10" s="1"/>
  <c r="AY37" i="10"/>
  <c r="BA37" i="10" s="1"/>
  <c r="AV37" i="10"/>
  <c r="AS37" i="10"/>
  <c r="AP37" i="10"/>
  <c r="AM37" i="10"/>
  <c r="AL37" i="10"/>
  <c r="AK37" i="10"/>
  <c r="AH37" i="10"/>
  <c r="AE37" i="10"/>
  <c r="AB37" i="10"/>
  <c r="Y37" i="10"/>
  <c r="V37" i="10"/>
  <c r="S37" i="10"/>
  <c r="P37" i="10"/>
  <c r="M37" i="10"/>
  <c r="J37" i="10"/>
  <c r="G37" i="10"/>
  <c r="D37" i="10"/>
  <c r="BU36" i="10"/>
  <c r="BT36" i="10"/>
  <c r="BQ36" i="10"/>
  <c r="BS36" i="10" s="1"/>
  <c r="BN36" i="10"/>
  <c r="BP36" i="10" s="1"/>
  <c r="BK36" i="10"/>
  <c r="BM36" i="10" s="1"/>
  <c r="BH36" i="10"/>
  <c r="BJ36" i="10" s="1"/>
  <c r="BE36" i="10"/>
  <c r="BG36" i="10" s="1"/>
  <c r="BB36" i="10"/>
  <c r="BD36" i="10" s="1"/>
  <c r="AY36" i="10"/>
  <c r="BA36" i="10" s="1"/>
  <c r="AV36" i="10"/>
  <c r="AS36" i="10"/>
  <c r="AP36" i="10"/>
  <c r="AM36" i="10"/>
  <c r="AL36" i="10"/>
  <c r="AK36" i="10"/>
  <c r="AH36" i="10"/>
  <c r="AE36" i="10"/>
  <c r="AB36" i="10"/>
  <c r="Y36" i="10"/>
  <c r="V36" i="10"/>
  <c r="S36" i="10"/>
  <c r="P36" i="10"/>
  <c r="M36" i="10"/>
  <c r="J36" i="10"/>
  <c r="G36" i="10"/>
  <c r="D36" i="10"/>
  <c r="BU35" i="10"/>
  <c r="BT35" i="10"/>
  <c r="BQ35" i="10"/>
  <c r="BS35" i="10" s="1"/>
  <c r="BN35" i="10"/>
  <c r="BP35" i="10" s="1"/>
  <c r="BK35" i="10"/>
  <c r="BM35" i="10" s="1"/>
  <c r="BH35" i="10"/>
  <c r="BJ35" i="10" s="1"/>
  <c r="BE35" i="10"/>
  <c r="BG35" i="10" s="1"/>
  <c r="BB35" i="10"/>
  <c r="BD35" i="10" s="1"/>
  <c r="AY35" i="10"/>
  <c r="BA35" i="10" s="1"/>
  <c r="AV35" i="10"/>
  <c r="AS35" i="10"/>
  <c r="AP35" i="10"/>
  <c r="AM35" i="10"/>
  <c r="AL35" i="10"/>
  <c r="AK35" i="10"/>
  <c r="AH35" i="10"/>
  <c r="AE35" i="10"/>
  <c r="AB35" i="10"/>
  <c r="Y35" i="10"/>
  <c r="V35" i="10"/>
  <c r="S35" i="10"/>
  <c r="P35" i="10"/>
  <c r="M35" i="10"/>
  <c r="J35" i="10"/>
  <c r="G35" i="10"/>
  <c r="D35" i="10"/>
  <c r="BU34" i="10"/>
  <c r="BT34" i="10"/>
  <c r="BQ34" i="10"/>
  <c r="BS34" i="10" s="1"/>
  <c r="BN34" i="10"/>
  <c r="BP34" i="10" s="1"/>
  <c r="BK34" i="10"/>
  <c r="BM34" i="10" s="1"/>
  <c r="BH34" i="10"/>
  <c r="BJ34" i="10" s="1"/>
  <c r="BE34" i="10"/>
  <c r="BG34" i="10" s="1"/>
  <c r="BB34" i="10"/>
  <c r="BD34" i="10" s="1"/>
  <c r="AY34" i="10"/>
  <c r="BA34" i="10" s="1"/>
  <c r="AV34" i="10"/>
  <c r="AS34" i="10"/>
  <c r="AP34" i="10"/>
  <c r="AM34" i="10"/>
  <c r="AL34" i="10"/>
  <c r="AK34" i="10"/>
  <c r="AH34" i="10"/>
  <c r="AE34" i="10"/>
  <c r="AB34" i="10"/>
  <c r="AD34" i="10" s="1"/>
  <c r="Y34" i="10"/>
  <c r="V34" i="10"/>
  <c r="S34" i="10"/>
  <c r="P34" i="10"/>
  <c r="M34" i="10"/>
  <c r="J34" i="10"/>
  <c r="G34" i="10"/>
  <c r="D34" i="10"/>
  <c r="BU33" i="10"/>
  <c r="BT33" i="10"/>
  <c r="BQ33" i="10"/>
  <c r="BS33" i="10" s="1"/>
  <c r="BN33" i="10"/>
  <c r="BP33" i="10" s="1"/>
  <c r="BK33" i="10"/>
  <c r="BM33" i="10" s="1"/>
  <c r="BH33" i="10"/>
  <c r="BJ33" i="10" s="1"/>
  <c r="BE33" i="10"/>
  <c r="BG33" i="10" s="1"/>
  <c r="BB33" i="10"/>
  <c r="BD33" i="10" s="1"/>
  <c r="AY33" i="10"/>
  <c r="BA33" i="10" s="1"/>
  <c r="AV33" i="10"/>
  <c r="AS33" i="10"/>
  <c r="AP33" i="10"/>
  <c r="AM33" i="10"/>
  <c r="AL33" i="10"/>
  <c r="AK33" i="10"/>
  <c r="AH33" i="10"/>
  <c r="AE33" i="10"/>
  <c r="AB33" i="10"/>
  <c r="Y33" i="10"/>
  <c r="V33" i="10"/>
  <c r="S33" i="10"/>
  <c r="P33" i="10"/>
  <c r="M33" i="10"/>
  <c r="J33" i="10"/>
  <c r="G33" i="10"/>
  <c r="D33" i="10"/>
  <c r="BU32" i="10"/>
  <c r="BT32" i="10"/>
  <c r="BQ32" i="10"/>
  <c r="BS32" i="10" s="1"/>
  <c r="BN32" i="10"/>
  <c r="BP32" i="10" s="1"/>
  <c r="BK32" i="10"/>
  <c r="BM32" i="10" s="1"/>
  <c r="BH32" i="10"/>
  <c r="BJ32" i="10" s="1"/>
  <c r="BE32" i="10"/>
  <c r="BG32" i="10" s="1"/>
  <c r="BB32" i="10"/>
  <c r="BD32" i="10" s="1"/>
  <c r="AY32" i="10"/>
  <c r="BA32" i="10" s="1"/>
  <c r="AV32" i="10"/>
  <c r="AS32" i="10"/>
  <c r="AP32" i="10"/>
  <c r="AM32" i="10"/>
  <c r="AL32" i="10"/>
  <c r="AK32" i="10"/>
  <c r="AH32" i="10"/>
  <c r="AE32" i="10"/>
  <c r="AB32" i="10"/>
  <c r="Y32" i="10"/>
  <c r="V32" i="10"/>
  <c r="X32" i="10" s="1"/>
  <c r="S32" i="10"/>
  <c r="P32" i="10"/>
  <c r="M32" i="10"/>
  <c r="J32" i="10"/>
  <c r="G32" i="10"/>
  <c r="D32" i="10"/>
  <c r="BU31" i="10"/>
  <c r="BT31" i="10"/>
  <c r="BQ31" i="10"/>
  <c r="BS31" i="10" s="1"/>
  <c r="BN31" i="10"/>
  <c r="BP31" i="10" s="1"/>
  <c r="BK31" i="10"/>
  <c r="BM31" i="10" s="1"/>
  <c r="BH31" i="10"/>
  <c r="BJ31" i="10" s="1"/>
  <c r="BE31" i="10"/>
  <c r="BG31" i="10" s="1"/>
  <c r="BB31" i="10"/>
  <c r="BD31" i="10" s="1"/>
  <c r="AY31" i="10"/>
  <c r="BA31" i="10" s="1"/>
  <c r="AV31" i="10"/>
  <c r="AS31" i="10"/>
  <c r="AP31" i="10"/>
  <c r="AM31" i="10"/>
  <c r="AL31" i="10"/>
  <c r="AK31" i="10"/>
  <c r="AH31" i="10"/>
  <c r="AE31" i="10"/>
  <c r="AB31" i="10"/>
  <c r="Y31" i="10"/>
  <c r="V31" i="10"/>
  <c r="S31" i="10"/>
  <c r="P31" i="10"/>
  <c r="M31" i="10"/>
  <c r="J31" i="10"/>
  <c r="G31" i="10"/>
  <c r="D31" i="10"/>
  <c r="BU30" i="10"/>
  <c r="BT30" i="10"/>
  <c r="BQ30" i="10"/>
  <c r="BS30" i="10" s="1"/>
  <c r="BN30" i="10"/>
  <c r="BP30" i="10" s="1"/>
  <c r="BK30" i="10"/>
  <c r="BM30" i="10" s="1"/>
  <c r="BH30" i="10"/>
  <c r="BJ30" i="10" s="1"/>
  <c r="BE30" i="10"/>
  <c r="BG30" i="10" s="1"/>
  <c r="BB30" i="10"/>
  <c r="BD30" i="10" s="1"/>
  <c r="AY30" i="10"/>
  <c r="BA30" i="10" s="1"/>
  <c r="AV30" i="10"/>
  <c r="AS30" i="10"/>
  <c r="AP30" i="10"/>
  <c r="AM30" i="10"/>
  <c r="AL30" i="10"/>
  <c r="AK30" i="10"/>
  <c r="AH30" i="10"/>
  <c r="AE30" i="10"/>
  <c r="AB30" i="10"/>
  <c r="Y30" i="10"/>
  <c r="V30" i="10"/>
  <c r="S30" i="10"/>
  <c r="P30" i="10"/>
  <c r="M30" i="10"/>
  <c r="J30" i="10"/>
  <c r="G30" i="10"/>
  <c r="D30" i="10"/>
  <c r="BU29" i="10"/>
  <c r="BT29" i="10"/>
  <c r="BQ29" i="10"/>
  <c r="BS29" i="10" s="1"/>
  <c r="BN29" i="10"/>
  <c r="BP29" i="10" s="1"/>
  <c r="BK29" i="10"/>
  <c r="BM29" i="10" s="1"/>
  <c r="BH29" i="10"/>
  <c r="BJ29" i="10" s="1"/>
  <c r="BE29" i="10"/>
  <c r="BG29" i="10" s="1"/>
  <c r="BB29" i="10"/>
  <c r="BD29" i="10" s="1"/>
  <c r="AY29" i="10"/>
  <c r="BA29" i="10" s="1"/>
  <c r="AV29" i="10"/>
  <c r="AS29" i="10"/>
  <c r="AP29" i="10"/>
  <c r="AM29" i="10"/>
  <c r="AL29" i="10"/>
  <c r="AK29" i="10"/>
  <c r="AH29" i="10"/>
  <c r="AE29" i="10"/>
  <c r="AB29" i="10"/>
  <c r="Y29" i="10"/>
  <c r="V29" i="10"/>
  <c r="S29" i="10"/>
  <c r="P29" i="10"/>
  <c r="M29" i="10"/>
  <c r="J29" i="10"/>
  <c r="G29" i="10"/>
  <c r="D29" i="10"/>
  <c r="BU28" i="10"/>
  <c r="BT28" i="10"/>
  <c r="BQ28" i="10"/>
  <c r="BS28" i="10" s="1"/>
  <c r="BN28" i="10"/>
  <c r="BP28" i="10" s="1"/>
  <c r="BK28" i="10"/>
  <c r="BM28" i="10" s="1"/>
  <c r="BH28" i="10"/>
  <c r="BJ28" i="10" s="1"/>
  <c r="BE28" i="10"/>
  <c r="BG28" i="10" s="1"/>
  <c r="BB28" i="10"/>
  <c r="BD28" i="10" s="1"/>
  <c r="AY28" i="10"/>
  <c r="BA28" i="10" s="1"/>
  <c r="AV28" i="10"/>
  <c r="AS28" i="10"/>
  <c r="AP28" i="10"/>
  <c r="AM28" i="10"/>
  <c r="AL28" i="10"/>
  <c r="AH28" i="10"/>
  <c r="AE28" i="10"/>
  <c r="AB28" i="10"/>
  <c r="Y28" i="10"/>
  <c r="V28" i="10"/>
  <c r="S28" i="10"/>
  <c r="P28" i="10"/>
  <c r="M28" i="10"/>
  <c r="J28" i="10"/>
  <c r="G28" i="10"/>
  <c r="D28" i="10"/>
  <c r="BU27" i="10"/>
  <c r="BT27" i="10"/>
  <c r="BQ27" i="10"/>
  <c r="BS27" i="10" s="1"/>
  <c r="BN27" i="10"/>
  <c r="BP27" i="10" s="1"/>
  <c r="BK27" i="10"/>
  <c r="BM27" i="10" s="1"/>
  <c r="BH27" i="10"/>
  <c r="BJ27" i="10" s="1"/>
  <c r="BE27" i="10"/>
  <c r="BG27" i="10" s="1"/>
  <c r="BB27" i="10"/>
  <c r="BD27" i="10" s="1"/>
  <c r="AY27" i="10"/>
  <c r="BA27" i="10" s="1"/>
  <c r="AV27" i="10"/>
  <c r="AS27" i="10"/>
  <c r="AP27" i="10"/>
  <c r="AM27" i="10"/>
  <c r="AL27" i="10"/>
  <c r="AK27" i="10"/>
  <c r="AH27" i="10"/>
  <c r="AE27" i="10"/>
  <c r="AB27" i="10"/>
  <c r="Y27" i="10"/>
  <c r="V27" i="10"/>
  <c r="S27" i="10"/>
  <c r="P27" i="10"/>
  <c r="M27" i="10"/>
  <c r="J27" i="10"/>
  <c r="G27" i="10"/>
  <c r="D27" i="10"/>
  <c r="BU26" i="10"/>
  <c r="BT26" i="10"/>
  <c r="BQ26" i="10"/>
  <c r="BS26" i="10" s="1"/>
  <c r="BN26" i="10"/>
  <c r="BP26" i="10" s="1"/>
  <c r="BK26" i="10"/>
  <c r="BM26" i="10" s="1"/>
  <c r="BH26" i="10"/>
  <c r="BJ26" i="10" s="1"/>
  <c r="BE26" i="10"/>
  <c r="BG26" i="10" s="1"/>
  <c r="BB26" i="10"/>
  <c r="BD26" i="10" s="1"/>
  <c r="AY26" i="10"/>
  <c r="BA26" i="10" s="1"/>
  <c r="AV26" i="10"/>
  <c r="AS26" i="10"/>
  <c r="AP26" i="10"/>
  <c r="AM26" i="10"/>
  <c r="AL26" i="10"/>
  <c r="AK26" i="10"/>
  <c r="AH26" i="10"/>
  <c r="AE26" i="10"/>
  <c r="AB26" i="10"/>
  <c r="Y26" i="10"/>
  <c r="V26" i="10"/>
  <c r="S26" i="10"/>
  <c r="P26" i="10"/>
  <c r="M26" i="10"/>
  <c r="J26" i="10"/>
  <c r="G26" i="10"/>
  <c r="D26" i="10"/>
  <c r="BU25" i="10"/>
  <c r="BT25" i="10"/>
  <c r="BQ25" i="10"/>
  <c r="BS25" i="10" s="1"/>
  <c r="BN25" i="10"/>
  <c r="BP25" i="10" s="1"/>
  <c r="BK25" i="10"/>
  <c r="BM25" i="10" s="1"/>
  <c r="BH25" i="10"/>
  <c r="BJ25" i="10" s="1"/>
  <c r="BE25" i="10"/>
  <c r="BG25" i="10" s="1"/>
  <c r="BB25" i="10"/>
  <c r="BD25" i="10" s="1"/>
  <c r="AY25" i="10"/>
  <c r="BA25" i="10" s="1"/>
  <c r="AV25" i="10"/>
  <c r="AS25" i="10"/>
  <c r="AP25" i="10"/>
  <c r="AM25" i="10"/>
  <c r="AL25" i="10"/>
  <c r="AK25" i="10"/>
  <c r="AH25" i="10"/>
  <c r="AE25" i="10"/>
  <c r="AB25" i="10"/>
  <c r="Y25" i="10"/>
  <c r="V25" i="10"/>
  <c r="S25" i="10"/>
  <c r="P25" i="10"/>
  <c r="M25" i="10"/>
  <c r="J25" i="10"/>
  <c r="G25" i="10"/>
  <c r="D25" i="10"/>
  <c r="BU24" i="10"/>
  <c r="BT24" i="10"/>
  <c r="BQ24" i="10"/>
  <c r="BS24" i="10" s="1"/>
  <c r="BN24" i="10"/>
  <c r="BP24" i="10" s="1"/>
  <c r="BK24" i="10"/>
  <c r="BM24" i="10" s="1"/>
  <c r="BH24" i="10"/>
  <c r="BJ24" i="10" s="1"/>
  <c r="BE24" i="10"/>
  <c r="BG24" i="10" s="1"/>
  <c r="BB24" i="10"/>
  <c r="BD24" i="10" s="1"/>
  <c r="AY24" i="10"/>
  <c r="BA24" i="10" s="1"/>
  <c r="AV24" i="10"/>
  <c r="AS24" i="10"/>
  <c r="AP24" i="10"/>
  <c r="AM24" i="10"/>
  <c r="AL24" i="10"/>
  <c r="AK24" i="10"/>
  <c r="AH24" i="10"/>
  <c r="AE24" i="10"/>
  <c r="AB24" i="10"/>
  <c r="Y24" i="10"/>
  <c r="V24" i="10"/>
  <c r="X24" i="10" s="1"/>
  <c r="S24" i="10"/>
  <c r="P24" i="10"/>
  <c r="M24" i="10"/>
  <c r="J24" i="10"/>
  <c r="G24" i="10"/>
  <c r="D24" i="10"/>
  <c r="BU23" i="10"/>
  <c r="BT23" i="10"/>
  <c r="BQ23" i="10"/>
  <c r="BS23" i="10" s="1"/>
  <c r="BN23" i="10"/>
  <c r="BP23" i="10" s="1"/>
  <c r="BK23" i="10"/>
  <c r="BM23" i="10" s="1"/>
  <c r="BH23" i="10"/>
  <c r="BJ23" i="10" s="1"/>
  <c r="BE23" i="10"/>
  <c r="BG23" i="10" s="1"/>
  <c r="BB23" i="10"/>
  <c r="BD23" i="10" s="1"/>
  <c r="AY23" i="10"/>
  <c r="BA23" i="10" s="1"/>
  <c r="AV23" i="10"/>
  <c r="AS23" i="10"/>
  <c r="AP23" i="10"/>
  <c r="AM23" i="10"/>
  <c r="AL23" i="10"/>
  <c r="AK23" i="10"/>
  <c r="AH23" i="10"/>
  <c r="AE23" i="10"/>
  <c r="AB23" i="10"/>
  <c r="AD23" i="10" s="1"/>
  <c r="Y23" i="10"/>
  <c r="V23" i="10"/>
  <c r="S23" i="10"/>
  <c r="P23" i="10"/>
  <c r="M23" i="10"/>
  <c r="J23" i="10"/>
  <c r="G23" i="10"/>
  <c r="D23" i="10"/>
  <c r="BU22" i="10"/>
  <c r="BT22" i="10"/>
  <c r="BQ22" i="10"/>
  <c r="BS22" i="10" s="1"/>
  <c r="BN22" i="10"/>
  <c r="BP22" i="10" s="1"/>
  <c r="BK22" i="10"/>
  <c r="BM22" i="10" s="1"/>
  <c r="BH22" i="10"/>
  <c r="BJ22" i="10" s="1"/>
  <c r="BE22" i="10"/>
  <c r="BG22" i="10" s="1"/>
  <c r="BB22" i="10"/>
  <c r="BD22" i="10" s="1"/>
  <c r="AY22" i="10"/>
  <c r="BA22" i="10" s="1"/>
  <c r="AV22" i="10"/>
  <c r="AS22" i="10"/>
  <c r="AP22" i="10"/>
  <c r="AM22" i="10"/>
  <c r="AL22" i="10"/>
  <c r="AK22" i="10"/>
  <c r="AH22" i="10"/>
  <c r="AE22" i="10"/>
  <c r="AB22" i="10"/>
  <c r="Y22" i="10"/>
  <c r="V22" i="10"/>
  <c r="S22" i="10"/>
  <c r="P22" i="10"/>
  <c r="M22" i="10"/>
  <c r="O22" i="10" s="1"/>
  <c r="J22" i="10"/>
  <c r="G22" i="10"/>
  <c r="D22" i="10"/>
  <c r="BU21" i="10"/>
  <c r="BT21" i="10"/>
  <c r="BQ21" i="10"/>
  <c r="BS21" i="10" s="1"/>
  <c r="BN21" i="10"/>
  <c r="BP21" i="10" s="1"/>
  <c r="BK21" i="10"/>
  <c r="BM21" i="10" s="1"/>
  <c r="BH21" i="10"/>
  <c r="BJ21" i="10" s="1"/>
  <c r="BE21" i="10"/>
  <c r="BG21" i="10" s="1"/>
  <c r="BB21" i="10"/>
  <c r="BD21" i="10" s="1"/>
  <c r="AY21" i="10"/>
  <c r="BA21" i="10" s="1"/>
  <c r="AV21" i="10"/>
  <c r="AS21" i="10"/>
  <c r="AP21" i="10"/>
  <c r="AM21" i="10"/>
  <c r="AL21" i="10"/>
  <c r="AK21" i="10"/>
  <c r="AH21" i="10"/>
  <c r="AE21" i="10"/>
  <c r="AB21" i="10"/>
  <c r="Y21" i="10"/>
  <c r="V21" i="10"/>
  <c r="S21" i="10"/>
  <c r="P21" i="10"/>
  <c r="M21" i="10"/>
  <c r="O21" i="10" s="1"/>
  <c r="J21" i="10"/>
  <c r="G21" i="10"/>
  <c r="D21" i="10"/>
  <c r="BU20" i="10"/>
  <c r="BT20" i="10"/>
  <c r="BQ20" i="10"/>
  <c r="BS20" i="10" s="1"/>
  <c r="BN20" i="10"/>
  <c r="BP20" i="10" s="1"/>
  <c r="BK20" i="10"/>
  <c r="BM20" i="10" s="1"/>
  <c r="BH20" i="10"/>
  <c r="BJ20" i="10" s="1"/>
  <c r="BE20" i="10"/>
  <c r="BG20" i="10" s="1"/>
  <c r="BB20" i="10"/>
  <c r="BD20" i="10" s="1"/>
  <c r="AY20" i="10"/>
  <c r="BA20" i="10" s="1"/>
  <c r="AV20" i="10"/>
  <c r="AS20" i="10"/>
  <c r="AP20" i="10"/>
  <c r="AM20" i="10"/>
  <c r="AL20" i="10"/>
  <c r="AK20" i="10"/>
  <c r="AH20" i="10"/>
  <c r="AJ20" i="10" s="1"/>
  <c r="AE20" i="10"/>
  <c r="AB20" i="10"/>
  <c r="Y20" i="10"/>
  <c r="V20" i="10"/>
  <c r="S20" i="10"/>
  <c r="P20" i="10"/>
  <c r="M20" i="10"/>
  <c r="J20" i="10"/>
  <c r="G20" i="10"/>
  <c r="D20" i="10"/>
  <c r="BU19" i="10"/>
  <c r="BT19" i="10"/>
  <c r="BQ19" i="10"/>
  <c r="BS19" i="10" s="1"/>
  <c r="BN19" i="10"/>
  <c r="BP19" i="10" s="1"/>
  <c r="BK19" i="10"/>
  <c r="BM19" i="10" s="1"/>
  <c r="BH19" i="10"/>
  <c r="BJ19" i="10" s="1"/>
  <c r="BE19" i="10"/>
  <c r="BG19" i="10" s="1"/>
  <c r="BB19" i="10"/>
  <c r="BD19" i="10" s="1"/>
  <c r="AY19" i="10"/>
  <c r="BA19" i="10" s="1"/>
  <c r="AV19" i="10"/>
  <c r="AS19" i="10"/>
  <c r="AP19" i="10"/>
  <c r="AM19" i="10"/>
  <c r="AL19" i="10"/>
  <c r="AK19" i="10"/>
  <c r="AH19" i="10"/>
  <c r="AJ19" i="10" s="1"/>
  <c r="AE19" i="10"/>
  <c r="AB19" i="10"/>
  <c r="Y19" i="10"/>
  <c r="V19" i="10"/>
  <c r="S19" i="10"/>
  <c r="P19" i="10"/>
  <c r="M19" i="10"/>
  <c r="J19" i="10"/>
  <c r="G19" i="10"/>
  <c r="D19" i="10"/>
  <c r="BU18" i="10"/>
  <c r="BT18" i="10"/>
  <c r="BQ18" i="10"/>
  <c r="BS18" i="10" s="1"/>
  <c r="BN18" i="10"/>
  <c r="BP18" i="10" s="1"/>
  <c r="BK18" i="10"/>
  <c r="BM18" i="10" s="1"/>
  <c r="BH18" i="10"/>
  <c r="BJ18" i="10" s="1"/>
  <c r="BE18" i="10"/>
  <c r="BG18" i="10" s="1"/>
  <c r="BB18" i="10"/>
  <c r="BD18" i="10" s="1"/>
  <c r="AY18" i="10"/>
  <c r="BA18" i="10" s="1"/>
  <c r="AV18" i="10"/>
  <c r="AS18" i="10"/>
  <c r="AP18" i="10"/>
  <c r="AM18" i="10"/>
  <c r="AL18" i="10"/>
  <c r="AK18" i="10"/>
  <c r="AH18" i="10"/>
  <c r="AJ18" i="10" s="1"/>
  <c r="AE18" i="10"/>
  <c r="AB18" i="10"/>
  <c r="Y18" i="10"/>
  <c r="V18" i="10"/>
  <c r="S18" i="10"/>
  <c r="P18" i="10"/>
  <c r="M18" i="10"/>
  <c r="J18" i="10"/>
  <c r="G18" i="10"/>
  <c r="D18" i="10"/>
  <c r="BU17" i="10"/>
  <c r="BT17" i="10"/>
  <c r="BQ17" i="10"/>
  <c r="BS17" i="10" s="1"/>
  <c r="BN17" i="10"/>
  <c r="BP17" i="10" s="1"/>
  <c r="BK17" i="10"/>
  <c r="BM17" i="10" s="1"/>
  <c r="BH17" i="10"/>
  <c r="BJ17" i="10" s="1"/>
  <c r="BE17" i="10"/>
  <c r="BG17" i="10" s="1"/>
  <c r="BB17" i="10"/>
  <c r="BD17" i="10" s="1"/>
  <c r="AY17" i="10"/>
  <c r="BA17" i="10" s="1"/>
  <c r="AV17" i="10"/>
  <c r="AS17" i="10"/>
  <c r="AP17" i="10"/>
  <c r="AM17" i="10"/>
  <c r="AL17" i="10"/>
  <c r="AK17" i="10"/>
  <c r="AH17" i="10"/>
  <c r="AE17" i="10"/>
  <c r="AB17" i="10"/>
  <c r="Y17" i="10"/>
  <c r="V17" i="10"/>
  <c r="S17" i="10"/>
  <c r="P17" i="10"/>
  <c r="M17" i="10"/>
  <c r="J17" i="10"/>
  <c r="G17" i="10"/>
  <c r="D17" i="10"/>
  <c r="BU16" i="10"/>
  <c r="BT16" i="10"/>
  <c r="BQ16" i="10"/>
  <c r="BS16" i="10" s="1"/>
  <c r="BN16" i="10"/>
  <c r="BP16" i="10" s="1"/>
  <c r="BK16" i="10"/>
  <c r="BM16" i="10" s="1"/>
  <c r="BH16" i="10"/>
  <c r="BJ16" i="10" s="1"/>
  <c r="BE16" i="10"/>
  <c r="BG16" i="10" s="1"/>
  <c r="BB16" i="10"/>
  <c r="BD16" i="10" s="1"/>
  <c r="AY16" i="10"/>
  <c r="BA16" i="10" s="1"/>
  <c r="AV16" i="10"/>
  <c r="AS16" i="10"/>
  <c r="AP16" i="10"/>
  <c r="AM16" i="10"/>
  <c r="AL16" i="10"/>
  <c r="AK16" i="10"/>
  <c r="AH16" i="10"/>
  <c r="AE16" i="10"/>
  <c r="AB16" i="10"/>
  <c r="Y16" i="10"/>
  <c r="V16" i="10"/>
  <c r="X16" i="10" s="1"/>
  <c r="S16" i="10"/>
  <c r="P16" i="10"/>
  <c r="M16" i="10"/>
  <c r="J16" i="10"/>
  <c r="G16" i="10"/>
  <c r="D16" i="10"/>
  <c r="BU15" i="10"/>
  <c r="BT15" i="10"/>
  <c r="BQ15" i="10"/>
  <c r="BS15" i="10" s="1"/>
  <c r="BN15" i="10"/>
  <c r="BP15" i="10" s="1"/>
  <c r="BK15" i="10"/>
  <c r="BM15" i="10" s="1"/>
  <c r="BH15" i="10"/>
  <c r="BJ15" i="10" s="1"/>
  <c r="BE15" i="10"/>
  <c r="BG15" i="10" s="1"/>
  <c r="BB15" i="10"/>
  <c r="BD15" i="10" s="1"/>
  <c r="AY15" i="10"/>
  <c r="BA15" i="10" s="1"/>
  <c r="AV15" i="10"/>
  <c r="AS15" i="10"/>
  <c r="AP15" i="10"/>
  <c r="AM15" i="10"/>
  <c r="AL15" i="10"/>
  <c r="AK15" i="10"/>
  <c r="AH15" i="10"/>
  <c r="AE15" i="10"/>
  <c r="AB15" i="10"/>
  <c r="AD15" i="10" s="1"/>
  <c r="Y15" i="10"/>
  <c r="V15" i="10"/>
  <c r="S15" i="10"/>
  <c r="P15" i="10"/>
  <c r="M15" i="10"/>
  <c r="J15" i="10"/>
  <c r="G15" i="10"/>
  <c r="I15" i="10" s="1"/>
  <c r="D15" i="10"/>
  <c r="BU14" i="10"/>
  <c r="BT14" i="10"/>
  <c r="BQ14" i="10"/>
  <c r="BS14" i="10" s="1"/>
  <c r="BN14" i="10"/>
  <c r="BP14" i="10" s="1"/>
  <c r="BK14" i="10"/>
  <c r="BM14" i="10" s="1"/>
  <c r="BH14" i="10"/>
  <c r="BJ14" i="10" s="1"/>
  <c r="BE14" i="10"/>
  <c r="BG14" i="10" s="1"/>
  <c r="BB14" i="10"/>
  <c r="BD14" i="10" s="1"/>
  <c r="AY14" i="10"/>
  <c r="BA14" i="10" s="1"/>
  <c r="AV14" i="10"/>
  <c r="AS14" i="10"/>
  <c r="AP14" i="10"/>
  <c r="AM14" i="10"/>
  <c r="AL14" i="10"/>
  <c r="AK14" i="10"/>
  <c r="AH14" i="10"/>
  <c r="AE14" i="10"/>
  <c r="AB14" i="10"/>
  <c r="Y14" i="10"/>
  <c r="V14" i="10"/>
  <c r="S14" i="10"/>
  <c r="P14" i="10"/>
  <c r="M14" i="10"/>
  <c r="O14" i="10" s="1"/>
  <c r="J14" i="10"/>
  <c r="G14" i="10"/>
  <c r="D14" i="10"/>
  <c r="BU13" i="10"/>
  <c r="BT13" i="10"/>
  <c r="BQ13" i="10"/>
  <c r="BS13" i="10" s="1"/>
  <c r="BN13" i="10"/>
  <c r="BP13" i="10" s="1"/>
  <c r="BK13" i="10"/>
  <c r="BM13" i="10" s="1"/>
  <c r="BH13" i="10"/>
  <c r="BJ13" i="10" s="1"/>
  <c r="BE13" i="10"/>
  <c r="BG13" i="10" s="1"/>
  <c r="BB13" i="10"/>
  <c r="BD13" i="10" s="1"/>
  <c r="AY13" i="10"/>
  <c r="BA13" i="10" s="1"/>
  <c r="AV13" i="10"/>
  <c r="AS13" i="10"/>
  <c r="AP13" i="10"/>
  <c r="AM13" i="10"/>
  <c r="AL13" i="10"/>
  <c r="AK13" i="10"/>
  <c r="AH13" i="10"/>
  <c r="AE13" i="10"/>
  <c r="AB13" i="10"/>
  <c r="Y13" i="10"/>
  <c r="V13" i="10"/>
  <c r="S13" i="10"/>
  <c r="P13" i="10"/>
  <c r="M13" i="10"/>
  <c r="O13" i="10" s="1"/>
  <c r="J13" i="10"/>
  <c r="G13" i="10"/>
  <c r="D13" i="10"/>
  <c r="BU12" i="10"/>
  <c r="BT12" i="10"/>
  <c r="BQ12" i="10"/>
  <c r="BS12" i="10" s="1"/>
  <c r="BN12" i="10"/>
  <c r="BP12" i="10" s="1"/>
  <c r="BK12" i="10"/>
  <c r="BM12" i="10" s="1"/>
  <c r="BH12" i="10"/>
  <c r="BJ12" i="10" s="1"/>
  <c r="BE12" i="10"/>
  <c r="BG12" i="10" s="1"/>
  <c r="BB12" i="10"/>
  <c r="BD12" i="10" s="1"/>
  <c r="AY12" i="10"/>
  <c r="BA12" i="10" s="1"/>
  <c r="AV12" i="10"/>
  <c r="AS12" i="10"/>
  <c r="AP12" i="10"/>
  <c r="AM12" i="10"/>
  <c r="AL12" i="10"/>
  <c r="AK12" i="10"/>
  <c r="AH12" i="10"/>
  <c r="AJ12" i="10" s="1"/>
  <c r="AE12" i="10"/>
  <c r="AB12" i="10"/>
  <c r="Y12" i="10"/>
  <c r="V12" i="10"/>
  <c r="X12" i="10" s="1"/>
  <c r="S12" i="10"/>
  <c r="P12" i="10"/>
  <c r="M12" i="10"/>
  <c r="J12" i="10"/>
  <c r="G12" i="10"/>
  <c r="D12" i="10"/>
  <c r="BU11" i="10"/>
  <c r="BT11" i="10"/>
  <c r="BQ11" i="10"/>
  <c r="BS11" i="10" s="1"/>
  <c r="BN11" i="10"/>
  <c r="BP11" i="10" s="1"/>
  <c r="BK11" i="10"/>
  <c r="BM11" i="10" s="1"/>
  <c r="BH11" i="10"/>
  <c r="BJ11" i="10" s="1"/>
  <c r="BE11" i="10"/>
  <c r="BG11" i="10" s="1"/>
  <c r="BB11" i="10"/>
  <c r="BD11" i="10" s="1"/>
  <c r="AY11" i="10"/>
  <c r="BA11" i="10" s="1"/>
  <c r="AV11" i="10"/>
  <c r="AS11" i="10"/>
  <c r="AP11" i="10"/>
  <c r="AM11" i="10"/>
  <c r="AL11" i="10"/>
  <c r="AK11" i="10"/>
  <c r="AH11" i="10"/>
  <c r="AJ11" i="10" s="1"/>
  <c r="AE11" i="10"/>
  <c r="AB11" i="10"/>
  <c r="Y11" i="10"/>
  <c r="V11" i="10"/>
  <c r="S11" i="10"/>
  <c r="P11" i="10"/>
  <c r="M11" i="10"/>
  <c r="J11" i="10"/>
  <c r="G11" i="10"/>
  <c r="D11" i="10"/>
  <c r="BU10" i="10"/>
  <c r="BT10" i="10"/>
  <c r="BQ10" i="10"/>
  <c r="BS10" i="10" s="1"/>
  <c r="BN10" i="10"/>
  <c r="BP10" i="10" s="1"/>
  <c r="BK10" i="10"/>
  <c r="BM10" i="10" s="1"/>
  <c r="BH10" i="10"/>
  <c r="BJ10" i="10" s="1"/>
  <c r="BE10" i="10"/>
  <c r="BG10" i="10" s="1"/>
  <c r="BB10" i="10"/>
  <c r="BD10" i="10" s="1"/>
  <c r="AY10" i="10"/>
  <c r="BA10" i="10" s="1"/>
  <c r="AV10" i="10"/>
  <c r="AS10" i="10"/>
  <c r="AP10" i="10"/>
  <c r="AM10" i="10"/>
  <c r="AL10" i="10"/>
  <c r="AK10" i="10"/>
  <c r="AH10" i="10"/>
  <c r="AJ10" i="10" s="1"/>
  <c r="AE10" i="10"/>
  <c r="AB10" i="10"/>
  <c r="Y10" i="10"/>
  <c r="V10" i="10"/>
  <c r="S10" i="10"/>
  <c r="P10" i="10"/>
  <c r="M10" i="10"/>
  <c r="J10" i="10"/>
  <c r="G10" i="10"/>
  <c r="D10" i="10"/>
  <c r="BU9" i="10"/>
  <c r="BT9" i="10"/>
  <c r="BQ9" i="10"/>
  <c r="BS9" i="10" s="1"/>
  <c r="BN9" i="10"/>
  <c r="BP9" i="10" s="1"/>
  <c r="BK9" i="10"/>
  <c r="BM9" i="10" s="1"/>
  <c r="BH9" i="10"/>
  <c r="BJ9" i="10" s="1"/>
  <c r="BE9" i="10"/>
  <c r="BG9" i="10" s="1"/>
  <c r="BB9" i="10"/>
  <c r="BD9" i="10" s="1"/>
  <c r="AY9" i="10"/>
  <c r="BA9" i="10" s="1"/>
  <c r="AV9" i="10"/>
  <c r="AS9" i="10"/>
  <c r="AP9" i="10"/>
  <c r="AM9" i="10"/>
  <c r="AL9" i="10"/>
  <c r="AK9" i="10"/>
  <c r="AH9" i="10"/>
  <c r="AE9" i="10"/>
  <c r="AB9" i="10"/>
  <c r="Y9" i="10"/>
  <c r="V9" i="10"/>
  <c r="S9" i="10"/>
  <c r="P9" i="10"/>
  <c r="M9" i="10"/>
  <c r="J9" i="10"/>
  <c r="G9" i="10"/>
  <c r="D9" i="10"/>
  <c r="BU8" i="10"/>
  <c r="BT8" i="10"/>
  <c r="BQ8" i="10"/>
  <c r="BS8" i="10" s="1"/>
  <c r="BN8" i="10"/>
  <c r="BP8" i="10" s="1"/>
  <c r="BK8" i="10"/>
  <c r="BM8" i="10" s="1"/>
  <c r="BH8" i="10"/>
  <c r="BJ8" i="10" s="1"/>
  <c r="BE8" i="10"/>
  <c r="BG8" i="10" s="1"/>
  <c r="BB8" i="10"/>
  <c r="BD8" i="10" s="1"/>
  <c r="AY8" i="10"/>
  <c r="BA8" i="10" s="1"/>
  <c r="AV8" i="10"/>
  <c r="AS8" i="10"/>
  <c r="AP8" i="10"/>
  <c r="AM8" i="10"/>
  <c r="AL8" i="10"/>
  <c r="AK8" i="10"/>
  <c r="AH8" i="10"/>
  <c r="AE8" i="10"/>
  <c r="AB8" i="10"/>
  <c r="Y8" i="10"/>
  <c r="V8" i="10"/>
  <c r="X8" i="10" s="1"/>
  <c r="S8" i="10"/>
  <c r="P8" i="10"/>
  <c r="M8" i="10"/>
  <c r="J8" i="10"/>
  <c r="G8" i="10"/>
  <c r="D8" i="10"/>
  <c r="BU7" i="10"/>
  <c r="BT7" i="10"/>
  <c r="BQ7" i="10"/>
  <c r="BS7" i="10" s="1"/>
  <c r="BN7" i="10"/>
  <c r="BP7" i="10" s="1"/>
  <c r="BK7" i="10"/>
  <c r="BM7" i="10" s="1"/>
  <c r="BH7" i="10"/>
  <c r="BJ7" i="10" s="1"/>
  <c r="BE7" i="10"/>
  <c r="BG7" i="10" s="1"/>
  <c r="BB7" i="10"/>
  <c r="BD7" i="10" s="1"/>
  <c r="AY7" i="10"/>
  <c r="BA7" i="10" s="1"/>
  <c r="AV7" i="10"/>
  <c r="AS7" i="10"/>
  <c r="AP7" i="10"/>
  <c r="AM7" i="10"/>
  <c r="AL7" i="10"/>
  <c r="AK7" i="10"/>
  <c r="AH7" i="10"/>
  <c r="AE7" i="10"/>
  <c r="AB7" i="10"/>
  <c r="AD7" i="10" s="1"/>
  <c r="Y7" i="10"/>
  <c r="V7" i="10"/>
  <c r="S7" i="10"/>
  <c r="P7" i="10"/>
  <c r="M7" i="10"/>
  <c r="J7" i="10"/>
  <c r="G7" i="10"/>
  <c r="I7" i="10" s="1"/>
  <c r="D7" i="10"/>
  <c r="BU6" i="10"/>
  <c r="BT6" i="10"/>
  <c r="BQ6" i="10"/>
  <c r="BS6" i="10" s="1"/>
  <c r="BN6" i="10"/>
  <c r="BP6" i="10" s="1"/>
  <c r="BK6" i="10"/>
  <c r="BM6" i="10" s="1"/>
  <c r="BH6" i="10"/>
  <c r="BJ6" i="10" s="1"/>
  <c r="BE6" i="10"/>
  <c r="BG6" i="10" s="1"/>
  <c r="BB6" i="10"/>
  <c r="BD6" i="10" s="1"/>
  <c r="AY6" i="10"/>
  <c r="BA6" i="10" s="1"/>
  <c r="AV6" i="10"/>
  <c r="AS6" i="10"/>
  <c r="AP6" i="10"/>
  <c r="AM6" i="10"/>
  <c r="AL6" i="10"/>
  <c r="AK6" i="10"/>
  <c r="AH6" i="10"/>
  <c r="AE6" i="10"/>
  <c r="AB6" i="10"/>
  <c r="Y6" i="10"/>
  <c r="V6" i="10"/>
  <c r="S6" i="10"/>
  <c r="P6" i="10"/>
  <c r="M6" i="10"/>
  <c r="O6" i="10" s="1"/>
  <c r="J6" i="10"/>
  <c r="G6" i="10"/>
  <c r="D6" i="10"/>
  <c r="BU5" i="10"/>
  <c r="BT5" i="10"/>
  <c r="BQ5" i="10"/>
  <c r="BS5" i="10" s="1"/>
  <c r="BN5" i="10"/>
  <c r="BP5" i="10" s="1"/>
  <c r="BK5" i="10"/>
  <c r="BM5" i="10" s="1"/>
  <c r="BH5" i="10"/>
  <c r="BJ5" i="10" s="1"/>
  <c r="BE5" i="10"/>
  <c r="BG5" i="10" s="1"/>
  <c r="BB5" i="10"/>
  <c r="BD5" i="10" s="1"/>
  <c r="AY5" i="10"/>
  <c r="BA5" i="10" s="1"/>
  <c r="AV5" i="10"/>
  <c r="AS5" i="10"/>
  <c r="AP5" i="10"/>
  <c r="AM5" i="10"/>
  <c r="AL5" i="10"/>
  <c r="AK5" i="10"/>
  <c r="AH5" i="10"/>
  <c r="AE5" i="10"/>
  <c r="AB5" i="10"/>
  <c r="Y5" i="10"/>
  <c r="V5" i="10"/>
  <c r="S5" i="10"/>
  <c r="P5" i="10"/>
  <c r="M5" i="10"/>
  <c r="O5" i="10" s="1"/>
  <c r="J5" i="10"/>
  <c r="G5" i="10"/>
  <c r="D5" i="10"/>
  <c r="BU4" i="10"/>
  <c r="BT4" i="10"/>
  <c r="BQ4" i="10"/>
  <c r="BS4" i="10" s="1"/>
  <c r="BN4" i="10"/>
  <c r="BP4" i="10" s="1"/>
  <c r="BK4" i="10"/>
  <c r="BM4" i="10" s="1"/>
  <c r="BH4" i="10"/>
  <c r="BJ4" i="10" s="1"/>
  <c r="BE4" i="10"/>
  <c r="BG4" i="10" s="1"/>
  <c r="BB4" i="10"/>
  <c r="BD4" i="10" s="1"/>
  <c r="AY4" i="10"/>
  <c r="BA4" i="10" s="1"/>
  <c r="AV4" i="10"/>
  <c r="AS4" i="10"/>
  <c r="AP4" i="10"/>
  <c r="AM4" i="10"/>
  <c r="AL4" i="10"/>
  <c r="AK4" i="10"/>
  <c r="AH4" i="10"/>
  <c r="AE4" i="10"/>
  <c r="AG4" i="10" s="1"/>
  <c r="AB4" i="10"/>
  <c r="Y4" i="10"/>
  <c r="V4" i="10"/>
  <c r="S4" i="10"/>
  <c r="P4" i="10"/>
  <c r="M4" i="10"/>
  <c r="J4" i="10"/>
  <c r="G4" i="10"/>
  <c r="D4" i="10"/>
  <c r="O30" i="10" l="1"/>
  <c r="I31" i="10"/>
  <c r="I39" i="10"/>
  <c r="I47" i="10"/>
  <c r="I55" i="10"/>
  <c r="AG35" i="10"/>
  <c r="AG43" i="10"/>
  <c r="AG51" i="10"/>
  <c r="AG59" i="10"/>
  <c r="X4" i="10"/>
  <c r="AJ38" i="10"/>
  <c r="AA8" i="10"/>
  <c r="AA16" i="10"/>
  <c r="AA24" i="10"/>
  <c r="AJ62" i="10"/>
  <c r="AG10" i="10"/>
  <c r="AG18" i="10"/>
  <c r="AG26" i="10"/>
  <c r="AG75" i="10"/>
  <c r="AG67" i="10"/>
  <c r="AD12" i="10"/>
  <c r="AD20" i="10"/>
  <c r="AD28" i="10"/>
  <c r="U8" i="10"/>
  <c r="AJ27" i="10"/>
  <c r="AJ46" i="10"/>
  <c r="X5" i="10"/>
  <c r="X13" i="10"/>
  <c r="X21" i="10"/>
  <c r="AJ22" i="10"/>
  <c r="AJ14" i="10"/>
  <c r="O10" i="10"/>
  <c r="O18" i="10"/>
  <c r="F11" i="10"/>
  <c r="L31" i="10"/>
  <c r="L39" i="10"/>
  <c r="L47" i="10"/>
  <c r="L55" i="10"/>
  <c r="L63" i="10"/>
  <c r="F19" i="10"/>
  <c r="L11" i="10"/>
  <c r="O29" i="10"/>
  <c r="O37" i="10"/>
  <c r="O45" i="10"/>
  <c r="O53" i="10"/>
  <c r="O61" i="10"/>
  <c r="L71" i="10"/>
  <c r="L79" i="10"/>
  <c r="F12" i="10"/>
  <c r="F20" i="10"/>
  <c r="F28" i="10"/>
  <c r="O69" i="10"/>
  <c r="O77" i="10"/>
  <c r="AG8" i="10"/>
  <c r="AG16" i="10"/>
  <c r="AG24" i="10"/>
  <c r="R38" i="10"/>
  <c r="R11" i="10"/>
  <c r="R19" i="10"/>
  <c r="U31" i="10"/>
  <c r="U39" i="10"/>
  <c r="U47" i="10"/>
  <c r="U55" i="10"/>
  <c r="U63" i="10"/>
  <c r="U71" i="10"/>
  <c r="U79" i="10"/>
  <c r="AJ36" i="10"/>
  <c r="AJ44" i="10"/>
  <c r="AJ52" i="10"/>
  <c r="AJ28" i="10"/>
  <c r="F8" i="10"/>
  <c r="F16" i="10"/>
  <c r="I33" i="10"/>
  <c r="I41" i="10"/>
  <c r="I49" i="10"/>
  <c r="I57" i="10"/>
  <c r="I65" i="10"/>
  <c r="I73" i="10"/>
  <c r="I81" i="10"/>
  <c r="L34" i="10"/>
  <c r="L42" i="10"/>
  <c r="L50" i="10"/>
  <c r="L58" i="10"/>
  <c r="L10" i="10"/>
  <c r="L18" i="10"/>
  <c r="L26" i="10"/>
  <c r="F35" i="10"/>
  <c r="F43" i="10"/>
  <c r="F51" i="10"/>
  <c r="F59" i="10"/>
  <c r="F67" i="10"/>
  <c r="P781" i="1"/>
  <c r="S781" i="1" s="1"/>
  <c r="T781" i="1" s="1"/>
  <c r="AW90" i="10"/>
  <c r="AX90" i="10" s="1"/>
  <c r="P2" i="1"/>
  <c r="S2" i="1" s="1"/>
  <c r="P438" i="1"/>
  <c r="S438" i="1" s="1"/>
  <c r="Q85" i="10"/>
  <c r="R85" i="10" s="1"/>
  <c r="W85" i="10"/>
  <c r="X85" i="10" s="1"/>
  <c r="AC85" i="10"/>
  <c r="AD85" i="10" s="1"/>
  <c r="P282" i="1"/>
  <c r="S282" i="1" s="1"/>
  <c r="P420" i="1"/>
  <c r="S420" i="1" s="1"/>
  <c r="P433" i="1"/>
  <c r="S433" i="1" s="1"/>
  <c r="P777" i="1"/>
  <c r="S777" i="1" s="1"/>
  <c r="T777" i="1" s="1"/>
  <c r="BO85" i="10"/>
  <c r="BP85" i="10" s="1"/>
  <c r="BL85" i="10"/>
  <c r="BM85" i="10" s="1"/>
  <c r="BI85" i="10"/>
  <c r="BJ85" i="10" s="1"/>
  <c r="BF85" i="10"/>
  <c r="BG85" i="10" s="1"/>
  <c r="BC85" i="10"/>
  <c r="BD85" i="10" s="1"/>
  <c r="AZ85" i="10"/>
  <c r="BA85" i="10" s="1"/>
  <c r="BR85" i="10"/>
  <c r="BS85" i="10" s="1"/>
  <c r="P436" i="1"/>
  <c r="S436" i="1" s="1"/>
  <c r="K85" i="10"/>
  <c r="L85" i="10" s="1"/>
  <c r="AN85" i="10"/>
  <c r="AO85" i="10" s="1"/>
  <c r="AT90" i="10"/>
  <c r="AU90" i="10" s="1"/>
  <c r="AT85" i="10"/>
  <c r="AU85" i="10" s="1"/>
  <c r="AT83" i="10"/>
  <c r="P782" i="1"/>
  <c r="S782" i="1" s="1"/>
  <c r="T782" i="1" s="1"/>
  <c r="P786" i="1"/>
  <c r="S786" i="1" s="1"/>
  <c r="T786" i="1" s="1"/>
  <c r="E85" i="10"/>
  <c r="F85" i="10" s="1"/>
  <c r="P660" i="1"/>
  <c r="S660" i="1" s="1"/>
  <c r="T660" i="1" s="1"/>
  <c r="N85" i="10"/>
  <c r="O85" i="10" s="1"/>
  <c r="T85" i="10"/>
  <c r="U85" i="10" s="1"/>
  <c r="Z85" i="10"/>
  <c r="AA85" i="10" s="1"/>
  <c r="AF85" i="10"/>
  <c r="P437" i="1"/>
  <c r="S437" i="1" s="1"/>
  <c r="AQ87" i="10"/>
  <c r="AR87" i="10" s="1"/>
  <c r="AW88" i="10"/>
  <c r="AX88" i="10" s="1"/>
  <c r="AJ5" i="10"/>
  <c r="F27" i="10"/>
  <c r="I23" i="10"/>
  <c r="F36" i="10"/>
  <c r="R30" i="10"/>
  <c r="AJ30" i="10"/>
  <c r="R46" i="10"/>
  <c r="AJ13" i="10"/>
  <c r="R54" i="10"/>
  <c r="AI91" i="10"/>
  <c r="AJ91" i="10" s="1"/>
  <c r="P27" i="1"/>
  <c r="S27" i="1" s="1"/>
  <c r="T27" i="1" s="1"/>
  <c r="P14" i="1"/>
  <c r="S14" i="1" s="1"/>
  <c r="T14" i="1" s="1"/>
  <c r="P32" i="1"/>
  <c r="S32" i="1" s="1"/>
  <c r="T32" i="1" s="1"/>
  <c r="P768" i="1"/>
  <c r="S768" i="1" s="1"/>
  <c r="P570" i="1"/>
  <c r="S570" i="1" s="1"/>
  <c r="T570" i="1" s="1"/>
  <c r="BR91" i="10"/>
  <c r="BS91" i="10" s="1"/>
  <c r="BO91" i="10"/>
  <c r="BP91" i="10" s="1"/>
  <c r="BF91" i="10"/>
  <c r="BG91" i="10" s="1"/>
  <c r="BC91" i="10"/>
  <c r="BD91" i="10" s="1"/>
  <c r="AZ91" i="10"/>
  <c r="BA91" i="10" s="1"/>
  <c r="BL91" i="10"/>
  <c r="BM91" i="10" s="1"/>
  <c r="BI91" i="10"/>
  <c r="BJ91" i="10" s="1"/>
  <c r="AW91" i="10"/>
  <c r="AX91" i="10" s="1"/>
  <c r="AW83" i="10"/>
  <c r="AX83" i="10" s="1"/>
  <c r="AF86" i="10"/>
  <c r="AG86" i="10" s="1"/>
  <c r="P22" i="1"/>
  <c r="S22" i="1" s="1"/>
  <c r="BF86" i="10"/>
  <c r="BG86" i="10" s="1"/>
  <c r="BR86" i="10"/>
  <c r="BS86" i="10" s="1"/>
  <c r="BO86" i="10"/>
  <c r="BP86" i="10" s="1"/>
  <c r="BC86" i="10"/>
  <c r="BD86" i="10" s="1"/>
  <c r="AZ86" i="10"/>
  <c r="BA86" i="10" s="1"/>
  <c r="BL86" i="10"/>
  <c r="BM86" i="10" s="1"/>
  <c r="BI86" i="10"/>
  <c r="BJ86" i="10" s="1"/>
  <c r="P283" i="1"/>
  <c r="S283" i="1" s="1"/>
  <c r="P299" i="1"/>
  <c r="S299" i="1" s="1"/>
  <c r="P180" i="1"/>
  <c r="S180" i="1" s="1"/>
  <c r="P657" i="1"/>
  <c r="S657" i="1" s="1"/>
  <c r="T657" i="1" s="1"/>
  <c r="P157" i="1"/>
  <c r="S157" i="1" s="1"/>
  <c r="T157" i="1" s="1"/>
  <c r="P49" i="1"/>
  <c r="S49" i="1" s="1"/>
  <c r="AN88" i="10"/>
  <c r="AO88" i="10" s="1"/>
  <c r="AQ86" i="10"/>
  <c r="AR86" i="10" s="1"/>
  <c r="P435" i="1"/>
  <c r="S435" i="1" s="1"/>
  <c r="P300" i="1"/>
  <c r="S300" i="1" s="1"/>
  <c r="P421" i="1"/>
  <c r="S421" i="1" s="1"/>
  <c r="P62" i="1"/>
  <c r="S62" i="1" s="1"/>
  <c r="P370" i="1"/>
  <c r="S370" i="1" s="1"/>
  <c r="T370" i="1" s="1"/>
  <c r="BO89" i="10"/>
  <c r="BP89" i="10" s="1"/>
  <c r="BF89" i="10"/>
  <c r="BG89" i="10" s="1"/>
  <c r="BL89" i="10"/>
  <c r="BM89" i="10" s="1"/>
  <c r="BI89" i="10"/>
  <c r="BJ89" i="10" s="1"/>
  <c r="AZ89" i="10"/>
  <c r="BR89" i="10"/>
  <c r="BS89" i="10" s="1"/>
  <c r="BC89" i="10"/>
  <c r="BD89" i="10" s="1"/>
  <c r="AT91" i="10"/>
  <c r="AU91" i="10" s="1"/>
  <c r="AW89" i="10"/>
  <c r="AX89" i="10" s="1"/>
  <c r="E83" i="10"/>
  <c r="F83" i="10" s="1"/>
  <c r="P563" i="1"/>
  <c r="S563" i="1" s="1"/>
  <c r="P787" i="1"/>
  <c r="S787" i="1" s="1"/>
  <c r="T787" i="1" s="1"/>
  <c r="P788" i="1"/>
  <c r="S788" i="1" s="1"/>
  <c r="T788" i="1" s="1"/>
  <c r="P783" i="1"/>
  <c r="S783" i="1" s="1"/>
  <c r="T783" i="1" s="1"/>
  <c r="P775" i="1"/>
  <c r="S775" i="1" s="1"/>
  <c r="T775" i="1" s="1"/>
  <c r="P785" i="1"/>
  <c r="S785" i="1" s="1"/>
  <c r="T785" i="1" s="1"/>
  <c r="P789" i="1"/>
  <c r="S789" i="1" s="1"/>
  <c r="T789" i="1" s="1"/>
  <c r="P774" i="1"/>
  <c r="S774" i="1" s="1"/>
  <c r="P790" i="1"/>
  <c r="S790" i="1" s="1"/>
  <c r="T790" i="1" s="1"/>
  <c r="P776" i="1"/>
  <c r="S776" i="1" s="1"/>
  <c r="T776" i="1" s="1"/>
  <c r="P784" i="1"/>
  <c r="S784" i="1" s="1"/>
  <c r="T784" i="1" s="1"/>
  <c r="BL83" i="10"/>
  <c r="BM83" i="10" s="1"/>
  <c r="BR83" i="10"/>
  <c r="BS83" i="10" s="1"/>
  <c r="BO83" i="10"/>
  <c r="BP83" i="10" s="1"/>
  <c r="BF83" i="10"/>
  <c r="BG83" i="10" s="1"/>
  <c r="BC83" i="10"/>
  <c r="BD83" i="10" s="1"/>
  <c r="AZ83" i="10"/>
  <c r="BA83" i="10" s="1"/>
  <c r="BI83" i="10"/>
  <c r="BJ83" i="10" s="1"/>
  <c r="E84" i="10"/>
  <c r="F84" i="10" s="1"/>
  <c r="P419" i="1"/>
  <c r="S419" i="1" s="1"/>
  <c r="P468" i="1"/>
  <c r="S468" i="1" s="1"/>
  <c r="P639" i="1"/>
  <c r="S639" i="1" s="1"/>
  <c r="T639" i="1" s="1"/>
  <c r="P13" i="1"/>
  <c r="S13" i="1" s="1"/>
  <c r="T13" i="1" s="1"/>
  <c r="P470" i="1"/>
  <c r="S470" i="1" s="1"/>
  <c r="P738" i="1"/>
  <c r="S738" i="1" s="1"/>
  <c r="T738" i="1" s="1"/>
  <c r="P48" i="1"/>
  <c r="S48" i="1" s="1"/>
  <c r="P656" i="1"/>
  <c r="S656" i="1" s="1"/>
  <c r="T656" i="1" s="1"/>
  <c r="P369" i="1"/>
  <c r="S369" i="1" s="1"/>
  <c r="T369" i="1" s="1"/>
  <c r="P569" i="1"/>
  <c r="S569" i="1" s="1"/>
  <c r="T569" i="1" s="1"/>
  <c r="AZ84" i="10"/>
  <c r="BA84" i="10" s="1"/>
  <c r="BR84" i="10"/>
  <c r="BS84" i="10" s="1"/>
  <c r="BO84" i="10"/>
  <c r="BP84" i="10" s="1"/>
  <c r="BL84" i="10"/>
  <c r="BM84" i="10" s="1"/>
  <c r="BF84" i="10"/>
  <c r="BG84" i="10" s="1"/>
  <c r="BC84" i="10"/>
  <c r="BD84" i="10" s="1"/>
  <c r="BI84" i="10"/>
  <c r="BJ84" i="10" s="1"/>
  <c r="E92" i="10"/>
  <c r="F92" i="10" s="1"/>
  <c r="P571" i="1"/>
  <c r="S571" i="1" s="1"/>
  <c r="T571" i="1" s="1"/>
  <c r="P659" i="1"/>
  <c r="S659" i="1" s="1"/>
  <c r="T659" i="1" s="1"/>
  <c r="P704" i="1"/>
  <c r="S704" i="1" s="1"/>
  <c r="T704" i="1" s="1"/>
  <c r="AZ92" i="10"/>
  <c r="BA92" i="10" s="1"/>
  <c r="BR92" i="10"/>
  <c r="BS92" i="10" s="1"/>
  <c r="BO92" i="10"/>
  <c r="BP92" i="10" s="1"/>
  <c r="BF92" i="10"/>
  <c r="BG92" i="10" s="1"/>
  <c r="BC92" i="10"/>
  <c r="BD92" i="10" s="1"/>
  <c r="BL92" i="10"/>
  <c r="BM92" i="10" s="1"/>
  <c r="BI92" i="10"/>
  <c r="BJ92" i="10" s="1"/>
  <c r="AQ92" i="10"/>
  <c r="AR92" i="10" s="1"/>
  <c r="AQ84" i="10"/>
  <c r="AR84" i="10" s="1"/>
  <c r="K87" i="10"/>
  <c r="L87" i="10" s="1"/>
  <c r="P243" i="1"/>
  <c r="S243" i="1" s="1"/>
  <c r="P739" i="1"/>
  <c r="S739" i="1" s="1"/>
  <c r="T739" i="1" s="1"/>
  <c r="P284" i="1"/>
  <c r="S284" i="1" s="1"/>
  <c r="P327" i="1"/>
  <c r="S327" i="1" s="1"/>
  <c r="T327" i="1" s="1"/>
  <c r="P158" i="1"/>
  <c r="S158" i="1" s="1"/>
  <c r="T158" i="1" s="1"/>
  <c r="P310" i="1"/>
  <c r="S310" i="1" s="1"/>
  <c r="T310" i="1" s="1"/>
  <c r="P766" i="1"/>
  <c r="S766" i="1" s="1"/>
  <c r="P471" i="1"/>
  <c r="S471" i="1" s="1"/>
  <c r="P25" i="1"/>
  <c r="S25" i="1" s="1"/>
  <c r="T25" i="1" s="1"/>
  <c r="BI87" i="10"/>
  <c r="BJ87" i="10" s="1"/>
  <c r="BC87" i="10"/>
  <c r="BD87" i="10" s="1"/>
  <c r="BF87" i="10"/>
  <c r="BG87" i="10" s="1"/>
  <c r="BO87" i="10"/>
  <c r="BP87" i="10" s="1"/>
  <c r="BL87" i="10"/>
  <c r="BM87" i="10" s="1"/>
  <c r="AZ87" i="10"/>
  <c r="BA87" i="10" s="1"/>
  <c r="BR87" i="10"/>
  <c r="BS87" i="10" s="1"/>
  <c r="BA89" i="10"/>
  <c r="P242" i="1"/>
  <c r="S242" i="1" s="1"/>
  <c r="AQ91" i="10"/>
  <c r="AR91" i="10" s="1"/>
  <c r="AQ83" i="10"/>
  <c r="AR83" i="10" s="1"/>
  <c r="AT89" i="10"/>
  <c r="AU89" i="10" s="1"/>
  <c r="AW87" i="10"/>
  <c r="AX87" i="10" s="1"/>
  <c r="H90" i="10"/>
  <c r="I90" i="10" s="1"/>
  <c r="P658" i="1"/>
  <c r="S658" i="1" s="1"/>
  <c r="T658" i="1" s="1"/>
  <c r="P50" i="1"/>
  <c r="S50" i="1" s="1"/>
  <c r="P473" i="1"/>
  <c r="S473" i="1" s="1"/>
  <c r="BR90" i="10"/>
  <c r="BS90" i="10" s="1"/>
  <c r="BO90" i="10"/>
  <c r="BP90" i="10" s="1"/>
  <c r="BL90" i="10"/>
  <c r="BM90" i="10" s="1"/>
  <c r="BI90" i="10"/>
  <c r="BJ90" i="10" s="1"/>
  <c r="BF90" i="10"/>
  <c r="BG90" i="10" s="1"/>
  <c r="AZ90" i="10"/>
  <c r="BA90" i="10" s="1"/>
  <c r="BC90" i="10"/>
  <c r="BD90" i="10" s="1"/>
  <c r="AN92" i="10"/>
  <c r="AO92" i="10" s="1"/>
  <c r="AN84" i="10"/>
  <c r="AO84" i="10" s="1"/>
  <c r="AQ90" i="10"/>
  <c r="AR90" i="10" s="1"/>
  <c r="AW86" i="10"/>
  <c r="AX86" i="10" s="1"/>
  <c r="AN91" i="10"/>
  <c r="AO91" i="10" s="1"/>
  <c r="AN83" i="10"/>
  <c r="AO83" i="10" s="1"/>
  <c r="AQ89" i="10"/>
  <c r="AR89" i="10" s="1"/>
  <c r="AT87" i="10"/>
  <c r="AU87" i="10" s="1"/>
  <c r="K88" i="10"/>
  <c r="L88" i="10" s="1"/>
  <c r="P740" i="1"/>
  <c r="S740" i="1" s="1"/>
  <c r="T740" i="1" s="1"/>
  <c r="P469" i="1"/>
  <c r="S469" i="1" s="1"/>
  <c r="P767" i="1"/>
  <c r="S767" i="1" s="1"/>
  <c r="P527" i="1"/>
  <c r="S527" i="1" s="1"/>
  <c r="T527" i="1" s="1"/>
  <c r="P703" i="1"/>
  <c r="S703" i="1" s="1"/>
  <c r="T703" i="1" s="1"/>
  <c r="P434" i="1"/>
  <c r="S434" i="1" s="1"/>
  <c r="P23" i="1"/>
  <c r="P24" i="1"/>
  <c r="S24" i="1" s="1"/>
  <c r="T24" i="1" s="1"/>
  <c r="P328" i="1"/>
  <c r="S328" i="1" s="1"/>
  <c r="T328" i="1" s="1"/>
  <c r="P472" i="1"/>
  <c r="S472" i="1" s="1"/>
  <c r="P26" i="1"/>
  <c r="S26" i="1" s="1"/>
  <c r="T26" i="1" s="1"/>
  <c r="BL88" i="10"/>
  <c r="BM88" i="10" s="1"/>
  <c r="BI88" i="10"/>
  <c r="BJ88" i="10" s="1"/>
  <c r="BF88" i="10"/>
  <c r="BG88" i="10" s="1"/>
  <c r="BC88" i="10"/>
  <c r="BD88" i="10" s="1"/>
  <c r="AZ88" i="10"/>
  <c r="BA88" i="10" s="1"/>
  <c r="BR88" i="10"/>
  <c r="BS88" i="10" s="1"/>
  <c r="BO88" i="10"/>
  <c r="BP88" i="10" s="1"/>
  <c r="AN90" i="10"/>
  <c r="AO90" i="10" s="1"/>
  <c r="AQ88" i="10"/>
  <c r="AR88" i="10" s="1"/>
  <c r="AT86" i="10"/>
  <c r="AU86" i="10" s="1"/>
  <c r="AW92" i="10"/>
  <c r="AX92" i="10" s="1"/>
  <c r="AW84" i="10"/>
  <c r="AX84" i="10" s="1"/>
  <c r="AO4" i="10"/>
  <c r="AO77" i="10"/>
  <c r="AO69" i="10"/>
  <c r="AO61" i="10"/>
  <c r="AO53" i="10"/>
  <c r="AO45" i="10"/>
  <c r="AO37" i="10"/>
  <c r="AO29" i="10"/>
  <c r="AO21" i="10"/>
  <c r="AO13" i="10"/>
  <c r="AO5" i="10"/>
  <c r="AR75" i="10"/>
  <c r="AR67" i="10"/>
  <c r="AR59" i="10"/>
  <c r="AR51" i="10"/>
  <c r="AR43" i="10"/>
  <c r="AR35" i="10"/>
  <c r="AR27" i="10"/>
  <c r="AR19" i="10"/>
  <c r="AR11" i="10"/>
  <c r="AU81" i="10"/>
  <c r="AU73" i="10"/>
  <c r="AU65" i="10"/>
  <c r="AU57" i="10"/>
  <c r="AU49" i="10"/>
  <c r="AU41" i="10"/>
  <c r="AU33" i="10"/>
  <c r="AU25" i="10"/>
  <c r="AU17" i="10"/>
  <c r="AU9" i="10"/>
  <c r="AX79" i="10"/>
  <c r="AX71" i="10"/>
  <c r="AX63" i="10"/>
  <c r="AX55" i="10"/>
  <c r="AX47" i="10"/>
  <c r="AX39" i="10"/>
  <c r="AX31" i="10"/>
  <c r="AX23" i="10"/>
  <c r="AR4" i="10"/>
  <c r="AO76" i="10"/>
  <c r="AO68" i="10"/>
  <c r="AO60" i="10"/>
  <c r="AO52" i="10"/>
  <c r="AO44" i="10"/>
  <c r="AO36" i="10"/>
  <c r="AO28" i="10"/>
  <c r="AO20" i="10"/>
  <c r="AO12" i="10"/>
  <c r="AR82" i="10"/>
  <c r="AR74" i="10"/>
  <c r="AR66" i="10"/>
  <c r="AR58" i="10"/>
  <c r="AR50" i="10"/>
  <c r="AR42" i="10"/>
  <c r="AR34" i="10"/>
  <c r="AR26" i="10"/>
  <c r="AR18" i="10"/>
  <c r="AR10" i="10"/>
  <c r="AU88" i="10"/>
  <c r="AU80" i="10"/>
  <c r="AU72" i="10"/>
  <c r="AU64" i="10"/>
  <c r="AU56" i="10"/>
  <c r="AU48" i="10"/>
  <c r="AU40" i="10"/>
  <c r="AU32" i="10"/>
  <c r="AU24" i="10"/>
  <c r="AU16" i="10"/>
  <c r="AU8" i="10"/>
  <c r="AX78" i="10"/>
  <c r="AX70" i="10"/>
  <c r="AX62" i="10"/>
  <c r="AX54" i="10"/>
  <c r="AX46" i="10"/>
  <c r="AX38" i="10"/>
  <c r="AX30" i="10"/>
  <c r="AX22" i="10"/>
  <c r="AX14" i="10"/>
  <c r="AX4" i="10"/>
  <c r="AU4" i="10"/>
  <c r="AO75" i="10"/>
  <c r="AO67" i="10"/>
  <c r="AO59" i="10"/>
  <c r="AO51" i="10"/>
  <c r="AO43" i="10"/>
  <c r="AO35" i="10"/>
  <c r="AO27" i="10"/>
  <c r="AO19" i="10"/>
  <c r="AO11" i="10"/>
  <c r="AR81" i="10"/>
  <c r="AR73" i="10"/>
  <c r="AR65" i="10"/>
  <c r="AR57" i="10"/>
  <c r="AR49" i="10"/>
  <c r="AR41" i="10"/>
  <c r="AR33" i="10"/>
  <c r="AR25" i="10"/>
  <c r="AR17" i="10"/>
  <c r="AR9" i="10"/>
  <c r="AU79" i="10"/>
  <c r="AU71" i="10"/>
  <c r="AU63" i="10"/>
  <c r="AU55" i="10"/>
  <c r="AU47" i="10"/>
  <c r="AU39" i="10"/>
  <c r="AU31" i="10"/>
  <c r="AU23" i="10"/>
  <c r="AU15" i="10"/>
  <c r="AU7" i="10"/>
  <c r="AX85" i="10"/>
  <c r="AX77" i="10"/>
  <c r="AX69" i="10"/>
  <c r="AX61" i="10"/>
  <c r="AX53" i="10"/>
  <c r="AX45" i="10"/>
  <c r="AX37" i="10"/>
  <c r="AX29" i="10"/>
  <c r="AX21" i="10"/>
  <c r="AX13" i="10"/>
  <c r="AX5" i="10"/>
  <c r="AO82" i="10"/>
  <c r="AO74" i="10"/>
  <c r="AO66" i="10"/>
  <c r="AO58" i="10"/>
  <c r="AO50" i="10"/>
  <c r="AO42" i="10"/>
  <c r="AO34" i="10"/>
  <c r="AO26" i="10"/>
  <c r="AO18" i="10"/>
  <c r="AO10" i="10"/>
  <c r="AR80" i="10"/>
  <c r="AR72" i="10"/>
  <c r="AR64" i="10"/>
  <c r="AR56" i="10"/>
  <c r="AR48" i="10"/>
  <c r="AR40" i="10"/>
  <c r="AR32" i="10"/>
  <c r="AR24" i="10"/>
  <c r="AR16" i="10"/>
  <c r="AR8" i="10"/>
  <c r="AU78" i="10"/>
  <c r="AU70" i="10"/>
  <c r="AU62" i="10"/>
  <c r="AU54" i="10"/>
  <c r="AU46" i="10"/>
  <c r="AU38" i="10"/>
  <c r="AU30" i="10"/>
  <c r="AU22" i="10"/>
  <c r="AU14" i="10"/>
  <c r="AU6" i="10"/>
  <c r="AX76" i="10"/>
  <c r="AX68" i="10"/>
  <c r="AX60" i="10"/>
  <c r="AX52" i="10"/>
  <c r="AX44" i="10"/>
  <c r="AX36" i="10"/>
  <c r="AX28" i="10"/>
  <c r="AX20" i="10"/>
  <c r="AO89" i="10"/>
  <c r="AO81" i="10"/>
  <c r="AO73" i="10"/>
  <c r="AO65" i="10"/>
  <c r="AO57" i="10"/>
  <c r="AO49" i="10"/>
  <c r="AO41" i="10"/>
  <c r="AO33" i="10"/>
  <c r="AO25" i="10"/>
  <c r="AO17" i="10"/>
  <c r="AO9" i="10"/>
  <c r="AR79" i="10"/>
  <c r="AR71" i="10"/>
  <c r="AR63" i="10"/>
  <c r="AR55" i="10"/>
  <c r="AR47" i="10"/>
  <c r="AR39" i="10"/>
  <c r="AR31" i="10"/>
  <c r="AR23" i="10"/>
  <c r="AR15" i="10"/>
  <c r="AR7" i="10"/>
  <c r="AU77" i="10"/>
  <c r="AU69" i="10"/>
  <c r="AU61" i="10"/>
  <c r="AU53" i="10"/>
  <c r="AU45" i="10"/>
  <c r="AU37" i="10"/>
  <c r="AU29" i="10"/>
  <c r="AU21" i="10"/>
  <c r="AU13" i="10"/>
  <c r="AU5" i="10"/>
  <c r="AX75" i="10"/>
  <c r="AX67" i="10"/>
  <c r="AX59" i="10"/>
  <c r="AX51" i="10"/>
  <c r="AX43" i="10"/>
  <c r="AX35" i="10"/>
  <c r="AX27" i="10"/>
  <c r="AX19" i="10"/>
  <c r="AX11" i="10"/>
  <c r="AO80" i="10"/>
  <c r="AO72" i="10"/>
  <c r="AO64" i="10"/>
  <c r="AO56" i="10"/>
  <c r="AO48" i="10"/>
  <c r="AO40" i="10"/>
  <c r="AO32" i="10"/>
  <c r="AO24" i="10"/>
  <c r="AO16" i="10"/>
  <c r="AO8" i="10"/>
  <c r="AR78" i="10"/>
  <c r="AR70" i="10"/>
  <c r="AR62" i="10"/>
  <c r="AR54" i="10"/>
  <c r="AR46" i="10"/>
  <c r="AR38" i="10"/>
  <c r="AR30" i="10"/>
  <c r="AR22" i="10"/>
  <c r="AR14" i="10"/>
  <c r="AR6" i="10"/>
  <c r="AU92" i="10"/>
  <c r="AU84" i="10"/>
  <c r="AU76" i="10"/>
  <c r="AU68" i="10"/>
  <c r="AU60" i="10"/>
  <c r="AU52" i="10"/>
  <c r="AU44" i="10"/>
  <c r="AU36" i="10"/>
  <c r="AU28" i="10"/>
  <c r="AU20" i="10"/>
  <c r="AU12" i="10"/>
  <c r="AX82" i="10"/>
  <c r="AX74" i="10"/>
  <c r="AX66" i="10"/>
  <c r="AX58" i="10"/>
  <c r="AX50" i="10"/>
  <c r="AX42" i="10"/>
  <c r="AX34" i="10"/>
  <c r="AX26" i="10"/>
  <c r="AX18" i="10"/>
  <c r="AO87" i="10"/>
  <c r="AO79" i="10"/>
  <c r="AO71" i="10"/>
  <c r="AO63" i="10"/>
  <c r="AO55" i="10"/>
  <c r="AO47" i="10"/>
  <c r="AO39" i="10"/>
  <c r="AO31" i="10"/>
  <c r="AO23" i="10"/>
  <c r="AO15" i="10"/>
  <c r="AO7" i="10"/>
  <c r="AR85" i="10"/>
  <c r="AR77" i="10"/>
  <c r="AR69" i="10"/>
  <c r="AR61" i="10"/>
  <c r="AR53" i="10"/>
  <c r="AR45" i="10"/>
  <c r="AR37" i="10"/>
  <c r="AR29" i="10"/>
  <c r="AR21" i="10"/>
  <c r="AR13" i="10"/>
  <c r="AR5" i="10"/>
  <c r="AU83" i="10"/>
  <c r="AU75" i="10"/>
  <c r="AU67" i="10"/>
  <c r="AU59" i="10"/>
  <c r="AU51" i="10"/>
  <c r="AU43" i="10"/>
  <c r="AU35" i="10"/>
  <c r="AU27" i="10"/>
  <c r="AU19" i="10"/>
  <c r="AU11" i="10"/>
  <c r="AX81" i="10"/>
  <c r="AX73" i="10"/>
  <c r="AX65" i="10"/>
  <c r="AX57" i="10"/>
  <c r="AX49" i="10"/>
  <c r="AX41" i="10"/>
  <c r="AX33" i="10"/>
  <c r="AX25" i="10"/>
  <c r="AX17" i="10"/>
  <c r="AO86" i="10"/>
  <c r="AO78" i="10"/>
  <c r="AO70" i="10"/>
  <c r="AO62" i="10"/>
  <c r="AO54" i="10"/>
  <c r="AO46" i="10"/>
  <c r="AO38" i="10"/>
  <c r="AO30" i="10"/>
  <c r="AO22" i="10"/>
  <c r="AO14" i="10"/>
  <c r="AO6" i="10"/>
  <c r="AR76" i="10"/>
  <c r="AR68" i="10"/>
  <c r="AR60" i="10"/>
  <c r="AR52" i="10"/>
  <c r="AR44" i="10"/>
  <c r="AR36" i="10"/>
  <c r="AR28" i="10"/>
  <c r="AR20" i="10"/>
  <c r="AR12" i="10"/>
  <c r="AU82" i="10"/>
  <c r="AU74" i="10"/>
  <c r="AU66" i="10"/>
  <c r="AU58" i="10"/>
  <c r="AU50" i="10"/>
  <c r="AU42" i="10"/>
  <c r="AU34" i="10"/>
  <c r="AU26" i="10"/>
  <c r="AU18" i="10"/>
  <c r="AU10" i="10"/>
  <c r="AX80" i="10"/>
  <c r="AX72" i="10"/>
  <c r="AX64" i="10"/>
  <c r="AX56" i="10"/>
  <c r="AX48" i="10"/>
  <c r="AX40" i="10"/>
  <c r="AX32" i="10"/>
  <c r="AX24" i="10"/>
  <c r="AX16" i="10"/>
  <c r="AX12" i="10"/>
  <c r="AX10" i="10"/>
  <c r="AX9" i="10"/>
  <c r="AX8" i="10"/>
  <c r="AX15" i="10"/>
  <c r="AX7" i="10"/>
  <c r="AX6" i="10"/>
  <c r="I9" i="10"/>
  <c r="L6" i="10"/>
  <c r="L14" i="10"/>
  <c r="L22" i="10"/>
  <c r="I11" i="10"/>
  <c r="I19" i="10"/>
  <c r="I27" i="10"/>
  <c r="AD10" i="10"/>
  <c r="AD18" i="10"/>
  <c r="AD26" i="10"/>
  <c r="AG30" i="10"/>
  <c r="AG38" i="10"/>
  <c r="AG46" i="10"/>
  <c r="AG54" i="10"/>
  <c r="AG62" i="10"/>
  <c r="AG70" i="10"/>
  <c r="AG78" i="10"/>
  <c r="AG6" i="10"/>
  <c r="AG14" i="10"/>
  <c r="AG22" i="10"/>
  <c r="AJ34" i="10"/>
  <c r="AJ42" i="10"/>
  <c r="AJ50" i="10"/>
  <c r="AJ58" i="10"/>
  <c r="AJ66" i="10"/>
  <c r="AJ74" i="10"/>
  <c r="X42" i="10"/>
  <c r="AJ26" i="10"/>
  <c r="X29" i="10"/>
  <c r="AD5" i="10"/>
  <c r="AG9" i="10"/>
  <c r="R29" i="10"/>
  <c r="R53" i="10"/>
  <c r="R61" i="10"/>
  <c r="R37" i="10"/>
  <c r="R45" i="10"/>
  <c r="R5" i="10"/>
  <c r="R13" i="10"/>
  <c r="R21" i="10"/>
  <c r="X30" i="10"/>
  <c r="X38" i="10"/>
  <c r="X46" i="10"/>
  <c r="X54" i="10"/>
  <c r="X62" i="10"/>
  <c r="X70" i="10"/>
  <c r="X78" i="10"/>
  <c r="X6" i="10"/>
  <c r="X14" i="10"/>
  <c r="X22" i="10"/>
  <c r="AA34" i="10"/>
  <c r="AA42" i="10"/>
  <c r="AA50" i="10"/>
  <c r="AA58" i="10"/>
  <c r="AA66" i="10"/>
  <c r="AA10" i="10"/>
  <c r="AA18" i="10"/>
  <c r="AA26" i="10"/>
  <c r="AD6" i="10"/>
  <c r="AD14" i="10"/>
  <c r="AG34" i="10"/>
  <c r="AG42" i="10"/>
  <c r="AJ6" i="10"/>
  <c r="F4" i="10"/>
  <c r="L7" i="10"/>
  <c r="L23" i="10"/>
  <c r="L15" i="10"/>
  <c r="X10" i="10"/>
  <c r="X18" i="10"/>
  <c r="O9" i="10"/>
  <c r="O17" i="10"/>
  <c r="L30" i="10"/>
  <c r="L38" i="10"/>
  <c r="L46" i="10"/>
  <c r="L54" i="10"/>
  <c r="L62" i="10"/>
  <c r="L70" i="10"/>
  <c r="L78" i="10"/>
  <c r="I35" i="10"/>
  <c r="I43" i="10"/>
  <c r="I51" i="10"/>
  <c r="I59" i="10"/>
  <c r="I67" i="10"/>
  <c r="I17" i="10"/>
  <c r="I25" i="10"/>
  <c r="AA7" i="10"/>
  <c r="AA15" i="10"/>
  <c r="AA23" i="10"/>
  <c r="AD35" i="10"/>
  <c r="AD43" i="10"/>
  <c r="AD11" i="10"/>
  <c r="AD19" i="10"/>
  <c r="AD27" i="10"/>
  <c r="AJ85" i="10"/>
  <c r="AG7" i="10"/>
  <c r="AJ35" i="10"/>
  <c r="AJ43" i="10"/>
  <c r="AJ51" i="10"/>
  <c r="AJ59" i="10"/>
  <c r="AJ67" i="10"/>
  <c r="AJ75" i="10"/>
  <c r="R6" i="10"/>
  <c r="R14" i="10"/>
  <c r="R22" i="10"/>
  <c r="R35" i="10"/>
  <c r="R43" i="10"/>
  <c r="R51" i="10"/>
  <c r="R59" i="10"/>
  <c r="R67" i="10"/>
  <c r="R75" i="10"/>
  <c r="U7" i="10"/>
  <c r="U15" i="10"/>
  <c r="U23" i="10"/>
  <c r="AA31" i="10"/>
  <c r="AA39" i="10"/>
  <c r="AA47" i="10"/>
  <c r="AA55" i="10"/>
  <c r="AA63" i="10"/>
  <c r="AA71" i="10"/>
  <c r="R27" i="10"/>
  <c r="AD51" i="10"/>
  <c r="AD59" i="10"/>
  <c r="AD67" i="10"/>
  <c r="AD75" i="10"/>
  <c r="AJ7" i="10"/>
  <c r="AG11" i="10"/>
  <c r="AG19" i="10"/>
  <c r="AG27" i="10"/>
  <c r="R31" i="10"/>
  <c r="R7" i="10"/>
  <c r="R15" i="10"/>
  <c r="R23" i="10"/>
  <c r="R62" i="10"/>
  <c r="R70" i="10"/>
  <c r="R78" i="10"/>
  <c r="AA5" i="10"/>
  <c r="AD25" i="10"/>
  <c r="AD9" i="10"/>
  <c r="AD17" i="10"/>
  <c r="AD33" i="10"/>
  <c r="AD41" i="10"/>
  <c r="AD49" i="10"/>
  <c r="AG13" i="10"/>
  <c r="AG5" i="10"/>
  <c r="AG21" i="10"/>
  <c r="AG29" i="10"/>
  <c r="AG37" i="10"/>
  <c r="AG45" i="10"/>
  <c r="AG53" i="10"/>
  <c r="AG61" i="10"/>
  <c r="AJ9" i="10"/>
  <c r="AJ17" i="10"/>
  <c r="AJ25" i="10"/>
  <c r="AJ33" i="10"/>
  <c r="AA4" i="10"/>
  <c r="X17" i="10"/>
  <c r="R26" i="10"/>
  <c r="X33" i="10"/>
  <c r="X41" i="10"/>
  <c r="R42" i="10"/>
  <c r="X49" i="10"/>
  <c r="R50" i="10"/>
  <c r="X57" i="10"/>
  <c r="X9" i="10"/>
  <c r="R10" i="10"/>
  <c r="R18" i="10"/>
  <c r="X25" i="10"/>
  <c r="R34" i="10"/>
  <c r="X26" i="10"/>
  <c r="X34" i="10"/>
  <c r="X50" i="10"/>
  <c r="X58" i="10"/>
  <c r="X66" i="10"/>
  <c r="X74" i="10"/>
  <c r="AA6" i="10"/>
  <c r="U4" i="10"/>
  <c r="R9" i="10"/>
  <c r="U5" i="10"/>
  <c r="U13" i="10"/>
  <c r="U21" i="10"/>
  <c r="U29" i="10"/>
  <c r="U37" i="10"/>
  <c r="U45" i="10"/>
  <c r="U53" i="10"/>
  <c r="U61" i="10"/>
  <c r="U6" i="10"/>
  <c r="U10" i="10"/>
  <c r="U14" i="10"/>
  <c r="U18" i="10"/>
  <c r="U22" i="10"/>
  <c r="U26" i="10"/>
  <c r="U30" i="10"/>
  <c r="U34" i="10"/>
  <c r="U38" i="10"/>
  <c r="U46" i="10"/>
  <c r="U54" i="10"/>
  <c r="U62" i="10"/>
  <c r="U70" i="10"/>
  <c r="X11" i="10"/>
  <c r="X19" i="10"/>
  <c r="X27" i="10"/>
  <c r="X35" i="10"/>
  <c r="X43" i="10"/>
  <c r="X51" i="10"/>
  <c r="X59" i="10"/>
  <c r="X67" i="10"/>
  <c r="U78" i="10"/>
  <c r="O38" i="10"/>
  <c r="O46" i="10"/>
  <c r="O54" i="10"/>
  <c r="O62" i="10"/>
  <c r="O70" i="10"/>
  <c r="O78" i="10"/>
  <c r="L19" i="10"/>
  <c r="I8" i="10"/>
  <c r="I16" i="10"/>
  <c r="F5" i="10"/>
  <c r="F13" i="10"/>
  <c r="F21" i="10"/>
  <c r="F29" i="10"/>
  <c r="I4" i="10"/>
  <c r="L4" i="10"/>
  <c r="L8" i="10"/>
  <c r="L12" i="10"/>
  <c r="L16" i="10"/>
  <c r="L20" i="10"/>
  <c r="L24" i="10"/>
  <c r="L28" i="10"/>
  <c r="L36" i="10"/>
  <c r="L44" i="10"/>
  <c r="I85" i="10"/>
  <c r="AA79" i="10"/>
  <c r="L32" i="10"/>
  <c r="R39" i="10"/>
  <c r="L40" i="10"/>
  <c r="O11" i="10"/>
  <c r="O19" i="10"/>
  <c r="O27" i="10"/>
  <c r="U42" i="10"/>
  <c r="U50" i="10"/>
  <c r="U11" i="10"/>
  <c r="AD22" i="10"/>
  <c r="AD30" i="10"/>
  <c r="AD38" i="10"/>
  <c r="AD46" i="10"/>
  <c r="AD54" i="10"/>
  <c r="AD62" i="10"/>
  <c r="X75" i="10"/>
  <c r="U19" i="10"/>
  <c r="AG50" i="10"/>
  <c r="AG58" i="10"/>
  <c r="AG66" i="10"/>
  <c r="AD31" i="10"/>
  <c r="AD39" i="10"/>
  <c r="AD47" i="10"/>
  <c r="AD55" i="10"/>
  <c r="AD63" i="10"/>
  <c r="AJ70" i="10"/>
  <c r="AD71" i="10"/>
  <c r="AD79" i="10"/>
  <c r="AG85" i="10"/>
  <c r="AA28" i="10"/>
  <c r="AA36" i="10"/>
  <c r="AA44" i="10"/>
  <c r="AA52" i="10"/>
  <c r="AA60" i="10"/>
  <c r="AA12" i="10"/>
  <c r="AA68" i="10"/>
  <c r="AA76" i="10"/>
  <c r="AD4" i="10"/>
  <c r="AD8" i="10"/>
  <c r="AJ15" i="10"/>
  <c r="AD16" i="10"/>
  <c r="AJ23" i="10"/>
  <c r="F24" i="10"/>
  <c r="AD24" i="10"/>
  <c r="AJ31" i="10"/>
  <c r="F32" i="10"/>
  <c r="AD32" i="10"/>
  <c r="X37" i="10"/>
  <c r="AJ39" i="10"/>
  <c r="F40" i="10"/>
  <c r="AD40" i="10"/>
  <c r="X45" i="10"/>
  <c r="AJ47" i="10"/>
  <c r="F48" i="10"/>
  <c r="AD48" i="10"/>
  <c r="X53" i="10"/>
  <c r="AJ55" i="10"/>
  <c r="F56" i="10"/>
  <c r="AD56" i="10"/>
  <c r="R58" i="10"/>
  <c r="X61" i="10"/>
  <c r="AJ63" i="10"/>
  <c r="F64" i="10"/>
  <c r="AD64" i="10"/>
  <c r="R66" i="10"/>
  <c r="X69" i="10"/>
  <c r="AJ71" i="10"/>
  <c r="F72" i="10"/>
  <c r="R74" i="10"/>
  <c r="X77" i="10"/>
  <c r="AJ79" i="10"/>
  <c r="R82" i="10"/>
  <c r="R47" i="10"/>
  <c r="L48" i="10"/>
  <c r="R55" i="10"/>
  <c r="L56" i="10"/>
  <c r="R63" i="10"/>
  <c r="L64" i="10"/>
  <c r="R71" i="10"/>
  <c r="R79" i="10"/>
  <c r="X82" i="10"/>
  <c r="AA20" i="10"/>
  <c r="AJ8" i="10"/>
  <c r="O4" i="10"/>
  <c r="O12" i="10"/>
  <c r="O20" i="10"/>
  <c r="U27" i="10"/>
  <c r="O28" i="10"/>
  <c r="U35" i="10"/>
  <c r="O36" i="10"/>
  <c r="U43" i="10"/>
  <c r="O44" i="10"/>
  <c r="U51" i="10"/>
  <c r="O52" i="10"/>
  <c r="U59" i="10"/>
  <c r="O60" i="10"/>
  <c r="AJ4" i="10"/>
  <c r="R4" i="10"/>
  <c r="R16" i="10"/>
  <c r="L17" i="10"/>
  <c r="R24" i="10"/>
  <c r="L25" i="10"/>
  <c r="R32" i="10"/>
  <c r="L33" i="10"/>
  <c r="R40" i="10"/>
  <c r="L41" i="10"/>
  <c r="R48" i="10"/>
  <c r="L49" i="10"/>
  <c r="R56" i="10"/>
  <c r="L57" i="10"/>
  <c r="R64" i="10"/>
  <c r="R72" i="10"/>
  <c r="R8" i="10"/>
  <c r="L9" i="10"/>
  <c r="I6" i="10"/>
  <c r="AA11" i="10"/>
  <c r="U12" i="10"/>
  <c r="I14" i="10"/>
  <c r="AA19" i="10"/>
  <c r="U20" i="10"/>
  <c r="I22" i="10"/>
  <c r="O25" i="10"/>
  <c r="AA27" i="10"/>
  <c r="U28" i="10"/>
  <c r="I30" i="10"/>
  <c r="O33" i="10"/>
  <c r="AA35" i="10"/>
  <c r="U36" i="10"/>
  <c r="I38" i="10"/>
  <c r="O41" i="10"/>
  <c r="AA43" i="10"/>
  <c r="U44" i="10"/>
  <c r="I46" i="10"/>
  <c r="O49" i="10"/>
  <c r="AA51" i="10"/>
  <c r="U52" i="10"/>
  <c r="I54" i="10"/>
  <c r="O57" i="10"/>
  <c r="AA59" i="10"/>
  <c r="U60" i="10"/>
  <c r="I62" i="10"/>
  <c r="O65" i="10"/>
  <c r="AA67" i="10"/>
  <c r="U68" i="10"/>
  <c r="O73" i="10"/>
  <c r="AA75" i="10"/>
  <c r="U76" i="10"/>
  <c r="AG69" i="10"/>
  <c r="AG77" i="10"/>
  <c r="AJ41" i="10"/>
  <c r="AJ49" i="10"/>
  <c r="AJ57" i="10"/>
  <c r="AJ65" i="10"/>
  <c r="AJ73" i="10"/>
  <c r="R80" i="10"/>
  <c r="AA32" i="10"/>
  <c r="U69" i="10"/>
  <c r="U77" i="10"/>
  <c r="AD36" i="10"/>
  <c r="AD44" i="10"/>
  <c r="AD52" i="10"/>
  <c r="AD60" i="10"/>
  <c r="X65" i="10"/>
  <c r="AD68" i="10"/>
  <c r="AD76" i="10"/>
  <c r="AG32" i="10"/>
  <c r="AG40" i="10"/>
  <c r="AG48" i="10"/>
  <c r="AA74" i="10"/>
  <c r="AA82" i="10"/>
  <c r="AD70" i="10"/>
  <c r="AG74" i="10"/>
  <c r="AG82" i="10"/>
  <c r="AJ78" i="10"/>
  <c r="AA40" i="10"/>
  <c r="AA48" i="10"/>
  <c r="AA56" i="10"/>
  <c r="AA64" i="10"/>
  <c r="AA72" i="10"/>
  <c r="AA80" i="10"/>
  <c r="U66" i="10"/>
  <c r="U82" i="10"/>
  <c r="AD72" i="10"/>
  <c r="X73" i="10"/>
  <c r="AD80" i="10"/>
  <c r="X81" i="10"/>
  <c r="AA9" i="10"/>
  <c r="AA17" i="10"/>
  <c r="AA25" i="10"/>
  <c r="AA33" i="10"/>
  <c r="O35" i="10"/>
  <c r="AA41" i="10"/>
  <c r="O43" i="10"/>
  <c r="AA49" i="10"/>
  <c r="O51" i="10"/>
  <c r="AA57" i="10"/>
  <c r="O59" i="10"/>
  <c r="AA65" i="10"/>
  <c r="AA73" i="10"/>
  <c r="AA81" i="10"/>
  <c r="AG17" i="10"/>
  <c r="AG25" i="10"/>
  <c r="AG33" i="10"/>
  <c r="AG41" i="10"/>
  <c r="AG49" i="10"/>
  <c r="AG57" i="10"/>
  <c r="AG65" i="10"/>
  <c r="U67" i="10"/>
  <c r="AG73" i="10"/>
  <c r="U75" i="10"/>
  <c r="AG81" i="10"/>
  <c r="AJ21" i="10"/>
  <c r="AJ29" i="10"/>
  <c r="AJ37" i="10"/>
  <c r="X20" i="10"/>
  <c r="X28" i="10"/>
  <c r="X36" i="10"/>
  <c r="X44" i="10"/>
  <c r="X52" i="10"/>
  <c r="X60" i="10"/>
  <c r="X68" i="10"/>
  <c r="X76" i="10"/>
  <c r="AJ82" i="10"/>
  <c r="L52" i="10"/>
  <c r="AD57" i="10"/>
  <c r="L60" i="10"/>
  <c r="AJ60" i="10"/>
  <c r="AD65" i="10"/>
  <c r="L68" i="10"/>
  <c r="AJ68" i="10"/>
  <c r="AD73" i="10"/>
  <c r="L76" i="10"/>
  <c r="AJ76" i="10"/>
  <c r="AD81" i="10"/>
  <c r="Q90" i="10"/>
  <c r="R90" i="10" s="1"/>
  <c r="AI90" i="10"/>
  <c r="AJ90" i="10" s="1"/>
  <c r="F6" i="10"/>
  <c r="X7" i="10"/>
  <c r="R12" i="10"/>
  <c r="F14" i="10"/>
  <c r="X15" i="10"/>
  <c r="R20" i="10"/>
  <c r="F22" i="10"/>
  <c r="R28" i="10"/>
  <c r="F30" i="10"/>
  <c r="R36" i="10"/>
  <c r="F38" i="10"/>
  <c r="AD42" i="10"/>
  <c r="R44" i="10"/>
  <c r="AJ45" i="10"/>
  <c r="AD50" i="10"/>
  <c r="R52" i="10"/>
  <c r="AJ53" i="10"/>
  <c r="AD58" i="10"/>
  <c r="R60" i="10"/>
  <c r="AJ61" i="10"/>
  <c r="AD66" i="10"/>
  <c r="R68" i="10"/>
  <c r="AJ69" i="10"/>
  <c r="AD74" i="10"/>
  <c r="R76" i="10"/>
  <c r="AJ77" i="10"/>
  <c r="AD78" i="10"/>
  <c r="AJ81" i="10"/>
  <c r="AD82" i="10"/>
  <c r="Z86" i="10"/>
  <c r="AA86" i="10" s="1"/>
  <c r="AF92" i="10"/>
  <c r="AG92" i="10" s="1"/>
  <c r="R69" i="10"/>
  <c r="X72" i="10"/>
  <c r="R77" i="10"/>
  <c r="X80" i="10"/>
  <c r="W87" i="10"/>
  <c r="X87" i="10" s="1"/>
  <c r="U9" i="10"/>
  <c r="AG15" i="10"/>
  <c r="U17" i="10"/>
  <c r="AG23" i="10"/>
  <c r="U25" i="10"/>
  <c r="AG31" i="10"/>
  <c r="U33" i="10"/>
  <c r="AG39" i="10"/>
  <c r="U41" i="10"/>
  <c r="AG47" i="10"/>
  <c r="U49" i="10"/>
  <c r="AG55" i="10"/>
  <c r="U57" i="10"/>
  <c r="AG63" i="10"/>
  <c r="U65" i="10"/>
  <c r="AG71" i="10"/>
  <c r="U73" i="10"/>
  <c r="AG79" i="10"/>
  <c r="U81" i="10"/>
  <c r="AF84" i="10"/>
  <c r="AG84" i="10" s="1"/>
  <c r="T88" i="10"/>
  <c r="U88" i="10" s="1"/>
  <c r="O7" i="10"/>
  <c r="AA13" i="10"/>
  <c r="O15" i="10"/>
  <c r="AA21" i="10"/>
  <c r="O23" i="10"/>
  <c r="AA29" i="10"/>
  <c r="O31" i="10"/>
  <c r="AA37" i="10"/>
  <c r="O39" i="10"/>
  <c r="AA45" i="10"/>
  <c r="O47" i="10"/>
  <c r="AA53" i="10"/>
  <c r="O55" i="10"/>
  <c r="AG56" i="10"/>
  <c r="U58" i="10"/>
  <c r="AA61" i="10"/>
  <c r="O63" i="10"/>
  <c r="AG64" i="10"/>
  <c r="AA69" i="10"/>
  <c r="O71" i="10"/>
  <c r="AG72" i="10"/>
  <c r="U74" i="10"/>
  <c r="AA77" i="10"/>
  <c r="O79" i="10"/>
  <c r="AG80" i="10"/>
  <c r="I12" i="10"/>
  <c r="H89" i="10"/>
  <c r="I89" i="10" s="1"/>
  <c r="AI89" i="10"/>
  <c r="AJ89" i="10" s="1"/>
  <c r="T89" i="10"/>
  <c r="U89" i="10" s="1"/>
  <c r="W89" i="10"/>
  <c r="X89" i="10" s="1"/>
  <c r="Z89" i="10"/>
  <c r="AA89" i="10" s="1"/>
  <c r="AC89" i="10"/>
  <c r="AD89" i="10" s="1"/>
  <c r="AF89" i="10"/>
  <c r="AG89" i="10" s="1"/>
  <c r="F9" i="10"/>
  <c r="Q89" i="10"/>
  <c r="R89" i="10" s="1"/>
  <c r="AG12" i="10"/>
  <c r="I20" i="10"/>
  <c r="AG20" i="10"/>
  <c r="I28" i="10"/>
  <c r="AG28" i="10"/>
  <c r="I36" i="10"/>
  <c r="AG36" i="10"/>
  <c r="AG44" i="10"/>
  <c r="AG52" i="10"/>
  <c r="I60" i="10"/>
  <c r="AG60" i="10"/>
  <c r="AG68" i="10"/>
  <c r="I76" i="10"/>
  <c r="AG76" i="10"/>
  <c r="Q88" i="10"/>
  <c r="R88" i="10" s="1"/>
  <c r="T87" i="10"/>
  <c r="U87" i="10" s="1"/>
  <c r="W86" i="10"/>
  <c r="X86" i="10" s="1"/>
  <c r="AC92" i="10"/>
  <c r="AD92" i="10" s="1"/>
  <c r="AC84" i="10"/>
  <c r="AD84" i="10" s="1"/>
  <c r="AF91" i="10"/>
  <c r="AG91" i="10" s="1"/>
  <c r="AF83" i="10"/>
  <c r="AG83" i="10" s="1"/>
  <c r="AI88" i="10"/>
  <c r="AJ88" i="10" s="1"/>
  <c r="AD13" i="10"/>
  <c r="AJ16" i="10"/>
  <c r="F17" i="10"/>
  <c r="AD21" i="10"/>
  <c r="AJ24" i="10"/>
  <c r="F25" i="10"/>
  <c r="AD29" i="10"/>
  <c r="AJ32" i="10"/>
  <c r="F33" i="10"/>
  <c r="AD37" i="10"/>
  <c r="AJ40" i="10"/>
  <c r="F41" i="10"/>
  <c r="AD45" i="10"/>
  <c r="AJ48" i="10"/>
  <c r="F49" i="10"/>
  <c r="AD53" i="10"/>
  <c r="AJ56" i="10"/>
  <c r="F57" i="10"/>
  <c r="AD61" i="10"/>
  <c r="AJ64" i="10"/>
  <c r="F65" i="10"/>
  <c r="AD69" i="10"/>
  <c r="L72" i="10"/>
  <c r="AJ72" i="10"/>
  <c r="F73" i="10"/>
  <c r="AD77" i="10"/>
  <c r="L80" i="10"/>
  <c r="AJ80" i="10"/>
  <c r="F81" i="10"/>
  <c r="Q87" i="10"/>
  <c r="R87" i="10" s="1"/>
  <c r="T86" i="10"/>
  <c r="U86" i="10" s="1"/>
  <c r="Z92" i="10"/>
  <c r="AA92" i="10" s="1"/>
  <c r="Z84" i="10"/>
  <c r="AA84" i="10" s="1"/>
  <c r="AC91" i="10"/>
  <c r="AD91" i="10" s="1"/>
  <c r="AC83" i="10"/>
  <c r="AD83" i="10" s="1"/>
  <c r="AF90" i="10"/>
  <c r="AG90" i="10" s="1"/>
  <c r="AI87" i="10"/>
  <c r="AJ87" i="10" s="1"/>
  <c r="AA14" i="10"/>
  <c r="AA22" i="10"/>
  <c r="AA30" i="10"/>
  <c r="AA38" i="10"/>
  <c r="AA46" i="10"/>
  <c r="AA54" i="10"/>
  <c r="AA62" i="10"/>
  <c r="AA70" i="10"/>
  <c r="AA78" i="10"/>
  <c r="Q86" i="10"/>
  <c r="R86" i="10" s="1"/>
  <c r="W92" i="10"/>
  <c r="X92" i="10" s="1"/>
  <c r="W84" i="10"/>
  <c r="X84" i="10" s="1"/>
  <c r="Z91" i="10"/>
  <c r="AA91" i="10" s="1"/>
  <c r="Z83" i="10"/>
  <c r="AA83" i="10" s="1"/>
  <c r="AC90" i="10"/>
  <c r="AD90" i="10" s="1"/>
  <c r="X23" i="10"/>
  <c r="X31" i="10"/>
  <c r="X39" i="10"/>
  <c r="X47" i="10"/>
  <c r="X55" i="10"/>
  <c r="X63" i="10"/>
  <c r="X71" i="10"/>
  <c r="X79" i="10"/>
  <c r="T92" i="10"/>
  <c r="U92" i="10" s="1"/>
  <c r="T84" i="10"/>
  <c r="U84" i="10" s="1"/>
  <c r="W91" i="10"/>
  <c r="X91" i="10" s="1"/>
  <c r="W83" i="10"/>
  <c r="X83" i="10" s="1"/>
  <c r="Z90" i="10"/>
  <c r="AA90" i="10" s="1"/>
  <c r="AF88" i="10"/>
  <c r="AG88" i="10" s="1"/>
  <c r="AI84" i="10"/>
  <c r="AJ84" i="10" s="1"/>
  <c r="U16" i="10"/>
  <c r="U24" i="10"/>
  <c r="U32" i="10"/>
  <c r="U40" i="10"/>
  <c r="U48" i="10"/>
  <c r="U56" i="10"/>
  <c r="U64" i="10"/>
  <c r="U72" i="10"/>
  <c r="U80" i="10"/>
  <c r="Q92" i="10"/>
  <c r="R92" i="10" s="1"/>
  <c r="Q84" i="10"/>
  <c r="R84" i="10" s="1"/>
  <c r="T91" i="10"/>
  <c r="U91" i="10" s="1"/>
  <c r="T83" i="10"/>
  <c r="U83" i="10" s="1"/>
  <c r="W90" i="10"/>
  <c r="X90" i="10" s="1"/>
  <c r="AC88" i="10"/>
  <c r="AD88" i="10" s="1"/>
  <c r="AF87" i="10"/>
  <c r="AG87" i="10" s="1"/>
  <c r="AI83" i="10"/>
  <c r="AJ83" i="10" s="1"/>
  <c r="R17" i="10"/>
  <c r="R25" i="10"/>
  <c r="R33" i="10"/>
  <c r="R41" i="10"/>
  <c r="R49" i="10"/>
  <c r="R57" i="10"/>
  <c r="R65" i="10"/>
  <c r="R73" i="10"/>
  <c r="R81" i="10"/>
  <c r="Q91" i="10"/>
  <c r="R91" i="10" s="1"/>
  <c r="Q83" i="10"/>
  <c r="R83" i="10" s="1"/>
  <c r="T90" i="10"/>
  <c r="U90" i="10" s="1"/>
  <c r="Z88" i="10"/>
  <c r="AA88" i="10" s="1"/>
  <c r="AC87" i="10"/>
  <c r="AD87" i="10" s="1"/>
  <c r="AI92" i="10"/>
  <c r="AJ92" i="10" s="1"/>
  <c r="O26" i="10"/>
  <c r="O34" i="10"/>
  <c r="O42" i="10"/>
  <c r="O50" i="10"/>
  <c r="O58" i="10"/>
  <c r="O66" i="10"/>
  <c r="O74" i="10"/>
  <c r="O82" i="10"/>
  <c r="N86" i="10"/>
  <c r="O86" i="10" s="1"/>
  <c r="AI86" i="10"/>
  <c r="AJ86" i="10" s="1"/>
  <c r="W88" i="10"/>
  <c r="X88" i="10" s="1"/>
  <c r="Z87" i="10"/>
  <c r="AA87" i="10" s="1"/>
  <c r="AC86" i="10"/>
  <c r="AD86" i="10" s="1"/>
  <c r="O8" i="10"/>
  <c r="O16" i="10"/>
  <c r="L66" i="10"/>
  <c r="L74" i="10"/>
  <c r="L82" i="10"/>
  <c r="I63" i="10"/>
  <c r="I71" i="10"/>
  <c r="I79" i="10"/>
  <c r="I10" i="10"/>
  <c r="I18" i="10"/>
  <c r="F44" i="10"/>
  <c r="F52" i="10"/>
  <c r="I75" i="10"/>
  <c r="F80" i="10"/>
  <c r="O81" i="10"/>
  <c r="O24" i="10"/>
  <c r="O32" i="10"/>
  <c r="O40" i="10"/>
  <c r="O48" i="10"/>
  <c r="O56" i="10"/>
  <c r="O64" i="10"/>
  <c r="O68" i="10"/>
  <c r="O72" i="10"/>
  <c r="O76" i="10"/>
  <c r="O80" i="10"/>
  <c r="L5" i="10"/>
  <c r="L13" i="10"/>
  <c r="L21" i="10"/>
  <c r="L29" i="10"/>
  <c r="L37" i="10"/>
  <c r="L45" i="10"/>
  <c r="L53" i="10"/>
  <c r="L61" i="10"/>
  <c r="L65" i="10"/>
  <c r="L69" i="10"/>
  <c r="L77" i="10"/>
  <c r="I26" i="10"/>
  <c r="I34" i="10"/>
  <c r="I42" i="10"/>
  <c r="I50" i="10"/>
  <c r="O67" i="10"/>
  <c r="O75" i="10"/>
  <c r="L73" i="10"/>
  <c r="L81" i="10"/>
  <c r="I70" i="10"/>
  <c r="I78" i="10"/>
  <c r="L27" i="10"/>
  <c r="L35" i="10"/>
  <c r="L43" i="10"/>
  <c r="L51" i="10"/>
  <c r="L59" i="10"/>
  <c r="L67" i="10"/>
  <c r="L75" i="10"/>
  <c r="I68" i="10"/>
  <c r="I52" i="10"/>
  <c r="I44" i="10"/>
  <c r="I24" i="10"/>
  <c r="I32" i="10"/>
  <c r="I40" i="10"/>
  <c r="I48" i="10"/>
  <c r="I56" i="10"/>
  <c r="I64" i="10"/>
  <c r="I72" i="10"/>
  <c r="I80" i="10"/>
  <c r="F37" i="10"/>
  <c r="F45" i="10"/>
  <c r="F53" i="10"/>
  <c r="F61" i="10"/>
  <c r="F69" i="10"/>
  <c r="F77" i="10"/>
  <c r="I13" i="10"/>
  <c r="I45" i="10"/>
  <c r="I53" i="10"/>
  <c r="I69" i="10"/>
  <c r="I77" i="10"/>
  <c r="I21" i="10"/>
  <c r="I29" i="10"/>
  <c r="I37" i="10"/>
  <c r="I61" i="10"/>
  <c r="F10" i="10"/>
  <c r="F18" i="10"/>
  <c r="F26" i="10"/>
  <c r="F34" i="10"/>
  <c r="F42" i="10"/>
  <c r="F46" i="10"/>
  <c r="F50" i="10"/>
  <c r="F54" i="10"/>
  <c r="F58" i="10"/>
  <c r="F62" i="10"/>
  <c r="F66" i="10"/>
  <c r="F70" i="10"/>
  <c r="F74" i="10"/>
  <c r="F78" i="10"/>
  <c r="F82" i="10"/>
  <c r="I5" i="10"/>
  <c r="I58" i="10"/>
  <c r="I66" i="10"/>
  <c r="I74" i="10"/>
  <c r="I82" i="10"/>
  <c r="F7" i="10"/>
  <c r="F15" i="10"/>
  <c r="F23" i="10"/>
  <c r="F31" i="10"/>
  <c r="F39" i="10"/>
  <c r="F47" i="10"/>
  <c r="F55" i="10"/>
  <c r="F63" i="10"/>
  <c r="F71" i="10"/>
  <c r="F75" i="10"/>
  <c r="F79" i="10"/>
  <c r="E87" i="10"/>
  <c r="F87" i="10" s="1"/>
  <c r="F76" i="10"/>
  <c r="F68" i="10"/>
  <c r="F60" i="10"/>
  <c r="H88" i="10"/>
  <c r="I88" i="10" s="1"/>
  <c r="N84" i="10"/>
  <c r="O84" i="10" s="1"/>
  <c r="K92" i="10"/>
  <c r="L92" i="10" s="1"/>
  <c r="N83" i="10"/>
  <c r="O83" i="10" s="1"/>
  <c r="K86" i="10"/>
  <c r="L86" i="10" s="1"/>
  <c r="H87" i="10"/>
  <c r="I87" i="10" s="1"/>
  <c r="E89" i="10"/>
  <c r="F89" i="10" s="1"/>
  <c r="N92" i="10"/>
  <c r="O92" i="10" s="1"/>
  <c r="E91" i="10"/>
  <c r="F91" i="10" s="1"/>
  <c r="H91" i="10"/>
  <c r="I91" i="10" s="1"/>
  <c r="K91" i="10"/>
  <c r="L91" i="10" s="1"/>
  <c r="N91" i="10"/>
  <c r="O91" i="10" s="1"/>
  <c r="E90" i="10"/>
  <c r="F90" i="10" s="1"/>
  <c r="E88" i="10"/>
  <c r="F88" i="10" s="1"/>
  <c r="H86" i="10"/>
  <c r="I86" i="10" s="1"/>
  <c r="K84" i="10"/>
  <c r="L84" i="10" s="1"/>
  <c r="N90" i="10"/>
  <c r="O90" i="10" s="1"/>
  <c r="K83" i="10"/>
  <c r="L83" i="10" s="1"/>
  <c r="N89" i="10"/>
  <c r="O89" i="10" s="1"/>
  <c r="E86" i="10"/>
  <c r="F86" i="10" s="1"/>
  <c r="H92" i="10"/>
  <c r="I92" i="10" s="1"/>
  <c r="H84" i="10"/>
  <c r="I84" i="10" s="1"/>
  <c r="K90" i="10"/>
  <c r="L90" i="10" s="1"/>
  <c r="N88" i="10"/>
  <c r="O88" i="10" s="1"/>
  <c r="H83" i="10"/>
  <c r="I83" i="10" s="1"/>
  <c r="K89" i="10"/>
  <c r="L89" i="10" s="1"/>
  <c r="N87" i="10"/>
  <c r="O87" i="10" s="1"/>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T4" i="4"/>
  <c r="S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AA5" i="4"/>
  <c r="AB5" i="4"/>
  <c r="AC5" i="4"/>
  <c r="AD5" i="4"/>
  <c r="AE5" i="4"/>
  <c r="AF5" i="4"/>
  <c r="AG5" i="4"/>
  <c r="AH5" i="4"/>
  <c r="AI5" i="4"/>
  <c r="AA6" i="4"/>
  <c r="AB6" i="4"/>
  <c r="AC6" i="4"/>
  <c r="AD6" i="4"/>
  <c r="AE6" i="4"/>
  <c r="AF6" i="4"/>
  <c r="AG6" i="4"/>
  <c r="AH6" i="4"/>
  <c r="AI6" i="4"/>
  <c r="AA7" i="4"/>
  <c r="AB7" i="4"/>
  <c r="AC7" i="4"/>
  <c r="AD7" i="4"/>
  <c r="AE7" i="4"/>
  <c r="AF7" i="4"/>
  <c r="AG7" i="4"/>
  <c r="AH7" i="4"/>
  <c r="AI7" i="4"/>
  <c r="AA8" i="4"/>
  <c r="AB8" i="4"/>
  <c r="AC8" i="4"/>
  <c r="AD8" i="4"/>
  <c r="AE8" i="4"/>
  <c r="AF8" i="4"/>
  <c r="AG8" i="4"/>
  <c r="AH8" i="4"/>
  <c r="AI8" i="4"/>
  <c r="AA9" i="4"/>
  <c r="AB9" i="4"/>
  <c r="AC9" i="4"/>
  <c r="AD9" i="4"/>
  <c r="AE9" i="4"/>
  <c r="AF9" i="4"/>
  <c r="AG9" i="4"/>
  <c r="AH9" i="4"/>
  <c r="AI9" i="4"/>
  <c r="AA10" i="4"/>
  <c r="AB10" i="4"/>
  <c r="AC10" i="4"/>
  <c r="AD10" i="4"/>
  <c r="AE10" i="4"/>
  <c r="AF10" i="4"/>
  <c r="AG10" i="4"/>
  <c r="AH10" i="4"/>
  <c r="AI10" i="4"/>
  <c r="AA11" i="4"/>
  <c r="AB11" i="4"/>
  <c r="AC11" i="4"/>
  <c r="AD11" i="4"/>
  <c r="AE11" i="4"/>
  <c r="AF11" i="4"/>
  <c r="AG11" i="4"/>
  <c r="AH11" i="4"/>
  <c r="AI11" i="4"/>
  <c r="AA12" i="4"/>
  <c r="AB12" i="4"/>
  <c r="AC12" i="4"/>
  <c r="AD12" i="4"/>
  <c r="AE12" i="4"/>
  <c r="AF12" i="4"/>
  <c r="AG12" i="4"/>
  <c r="AH12" i="4"/>
  <c r="AI12" i="4"/>
  <c r="AA13" i="4"/>
  <c r="AB13" i="4"/>
  <c r="AC13" i="4"/>
  <c r="AD13" i="4"/>
  <c r="AE13" i="4"/>
  <c r="AF13" i="4"/>
  <c r="AG13" i="4"/>
  <c r="AH13" i="4"/>
  <c r="AI13" i="4"/>
  <c r="AA14" i="4"/>
  <c r="AB14" i="4"/>
  <c r="AC14" i="4"/>
  <c r="AD14" i="4"/>
  <c r="AE14" i="4"/>
  <c r="AF14" i="4"/>
  <c r="AG14" i="4"/>
  <c r="AH14" i="4"/>
  <c r="AI14" i="4"/>
  <c r="AA15" i="4"/>
  <c r="AB15" i="4"/>
  <c r="AC15" i="4"/>
  <c r="AD15" i="4"/>
  <c r="AE15" i="4"/>
  <c r="AF15" i="4"/>
  <c r="AG15" i="4"/>
  <c r="AH15" i="4"/>
  <c r="AI15" i="4"/>
  <c r="AA16" i="4"/>
  <c r="AB16" i="4"/>
  <c r="AC16" i="4"/>
  <c r="AD16" i="4"/>
  <c r="AE16" i="4"/>
  <c r="AF16" i="4"/>
  <c r="AG16" i="4"/>
  <c r="AH16" i="4"/>
  <c r="AI16" i="4"/>
  <c r="AA17" i="4"/>
  <c r="AB17" i="4"/>
  <c r="AC17" i="4"/>
  <c r="AD17" i="4"/>
  <c r="AE17" i="4"/>
  <c r="AF17" i="4"/>
  <c r="AG17" i="4"/>
  <c r="AH17" i="4"/>
  <c r="AI17" i="4"/>
  <c r="AA18" i="4"/>
  <c r="AB18" i="4"/>
  <c r="AC18" i="4"/>
  <c r="AD18" i="4"/>
  <c r="AE18" i="4"/>
  <c r="AF18" i="4"/>
  <c r="AG18" i="4"/>
  <c r="AH18" i="4"/>
  <c r="AI18" i="4"/>
  <c r="AA19" i="4"/>
  <c r="AB19" i="4"/>
  <c r="AC19" i="4"/>
  <c r="AD19" i="4"/>
  <c r="AE19" i="4"/>
  <c r="AF19" i="4"/>
  <c r="AG19" i="4"/>
  <c r="AH19" i="4"/>
  <c r="AI19" i="4"/>
  <c r="AA20" i="4"/>
  <c r="AB20" i="4"/>
  <c r="AC20" i="4"/>
  <c r="AD20" i="4"/>
  <c r="AE20" i="4"/>
  <c r="AF20" i="4"/>
  <c r="AG20" i="4"/>
  <c r="AH20" i="4"/>
  <c r="AI20" i="4"/>
  <c r="AA21" i="4"/>
  <c r="AB21" i="4"/>
  <c r="AC21" i="4"/>
  <c r="AD21" i="4"/>
  <c r="AE21" i="4"/>
  <c r="AF21" i="4"/>
  <c r="AG21" i="4"/>
  <c r="AH21" i="4"/>
  <c r="AI21" i="4"/>
  <c r="AA22" i="4"/>
  <c r="AB22" i="4"/>
  <c r="AC22" i="4"/>
  <c r="AD22" i="4"/>
  <c r="AE22" i="4"/>
  <c r="AF22" i="4"/>
  <c r="AG22" i="4"/>
  <c r="AH22" i="4"/>
  <c r="AI22" i="4"/>
  <c r="AA23" i="4"/>
  <c r="AB23" i="4"/>
  <c r="AC23" i="4"/>
  <c r="AD23" i="4"/>
  <c r="AE23" i="4"/>
  <c r="AF23" i="4"/>
  <c r="AG23" i="4"/>
  <c r="AH23" i="4"/>
  <c r="AI23" i="4"/>
  <c r="AA24" i="4"/>
  <c r="AB24" i="4"/>
  <c r="AC24" i="4"/>
  <c r="AD24" i="4"/>
  <c r="AE24" i="4"/>
  <c r="AF24" i="4"/>
  <c r="AG24" i="4"/>
  <c r="AH24" i="4"/>
  <c r="AI24" i="4"/>
  <c r="AA25" i="4"/>
  <c r="AB25" i="4"/>
  <c r="AC25" i="4"/>
  <c r="AD25" i="4"/>
  <c r="AE25" i="4"/>
  <c r="AF25" i="4"/>
  <c r="AG25" i="4"/>
  <c r="AH25" i="4"/>
  <c r="AI25" i="4"/>
  <c r="AA26" i="4"/>
  <c r="AB26" i="4"/>
  <c r="AC26" i="4"/>
  <c r="AD26" i="4"/>
  <c r="AE26" i="4"/>
  <c r="AF26" i="4"/>
  <c r="AG26" i="4"/>
  <c r="AH26" i="4"/>
  <c r="AI26" i="4"/>
  <c r="AA27" i="4"/>
  <c r="AB27" i="4"/>
  <c r="AC27" i="4"/>
  <c r="AD27" i="4"/>
  <c r="AE27" i="4"/>
  <c r="AF27" i="4"/>
  <c r="AG27" i="4"/>
  <c r="AH27" i="4"/>
  <c r="AI27" i="4"/>
  <c r="AA28" i="4"/>
  <c r="AB28" i="4"/>
  <c r="AC28" i="4"/>
  <c r="AD28" i="4"/>
  <c r="AE28" i="4"/>
  <c r="AF28" i="4"/>
  <c r="AG28" i="4"/>
  <c r="AH28" i="4"/>
  <c r="AI28" i="4"/>
  <c r="AA29" i="4"/>
  <c r="AB29" i="4"/>
  <c r="AC29" i="4"/>
  <c r="AD29" i="4"/>
  <c r="AE29" i="4"/>
  <c r="AF29" i="4"/>
  <c r="AG29" i="4"/>
  <c r="AH29" i="4"/>
  <c r="AI29" i="4"/>
  <c r="AA30" i="4"/>
  <c r="AB30" i="4"/>
  <c r="AC30" i="4"/>
  <c r="AD30" i="4"/>
  <c r="AE30" i="4"/>
  <c r="AF30" i="4"/>
  <c r="AG30" i="4"/>
  <c r="AH30" i="4"/>
  <c r="AI30" i="4"/>
  <c r="AA31" i="4"/>
  <c r="AB31" i="4"/>
  <c r="AC31" i="4"/>
  <c r="AD31" i="4"/>
  <c r="AE31" i="4"/>
  <c r="AF31" i="4"/>
  <c r="AG31" i="4"/>
  <c r="AH31" i="4"/>
  <c r="AI31" i="4"/>
  <c r="AA32" i="4"/>
  <c r="AB32" i="4"/>
  <c r="AC32" i="4"/>
  <c r="AD32" i="4"/>
  <c r="AE32" i="4"/>
  <c r="AF32" i="4"/>
  <c r="AG32" i="4"/>
  <c r="AH32" i="4"/>
  <c r="AI32" i="4"/>
  <c r="AA33" i="4"/>
  <c r="AB33" i="4"/>
  <c r="AC33" i="4"/>
  <c r="AD33" i="4"/>
  <c r="AE33" i="4"/>
  <c r="AF33" i="4"/>
  <c r="AG33" i="4"/>
  <c r="AH33" i="4"/>
  <c r="AI33" i="4"/>
  <c r="AA34" i="4"/>
  <c r="AB34" i="4"/>
  <c r="AC34" i="4"/>
  <c r="AD34" i="4"/>
  <c r="AE34" i="4"/>
  <c r="AF34" i="4"/>
  <c r="AG34" i="4"/>
  <c r="AH34" i="4"/>
  <c r="AI34" i="4"/>
  <c r="AA35" i="4"/>
  <c r="AB35" i="4"/>
  <c r="AC35" i="4"/>
  <c r="AD35" i="4"/>
  <c r="AE35" i="4"/>
  <c r="AF35" i="4"/>
  <c r="AG35" i="4"/>
  <c r="AH35" i="4"/>
  <c r="AI35" i="4"/>
  <c r="AA36" i="4"/>
  <c r="AB36" i="4"/>
  <c r="AC36" i="4"/>
  <c r="AD36" i="4"/>
  <c r="AE36" i="4"/>
  <c r="AF36" i="4"/>
  <c r="AG36" i="4"/>
  <c r="AH36" i="4"/>
  <c r="AI36" i="4"/>
  <c r="AA37" i="4"/>
  <c r="AB37" i="4"/>
  <c r="AC37" i="4"/>
  <c r="AD37" i="4"/>
  <c r="AE37" i="4"/>
  <c r="AF37" i="4"/>
  <c r="AG37" i="4"/>
  <c r="AH37" i="4"/>
  <c r="AI37" i="4"/>
  <c r="AA38" i="4"/>
  <c r="AB38" i="4"/>
  <c r="AC38" i="4"/>
  <c r="AD38" i="4"/>
  <c r="AE38" i="4"/>
  <c r="AF38" i="4"/>
  <c r="AG38" i="4"/>
  <c r="AH38" i="4"/>
  <c r="AI38" i="4"/>
  <c r="AA39" i="4"/>
  <c r="AB39" i="4"/>
  <c r="AC39" i="4"/>
  <c r="AD39" i="4"/>
  <c r="AE39" i="4"/>
  <c r="AF39" i="4"/>
  <c r="AG39" i="4"/>
  <c r="AH39" i="4"/>
  <c r="AI39" i="4"/>
  <c r="AA40" i="4"/>
  <c r="AB40" i="4"/>
  <c r="AC40" i="4"/>
  <c r="AD40" i="4"/>
  <c r="AE40" i="4"/>
  <c r="AF40" i="4"/>
  <c r="AG40" i="4"/>
  <c r="AH40" i="4"/>
  <c r="AI40" i="4"/>
  <c r="AA41" i="4"/>
  <c r="AB41" i="4"/>
  <c r="AC41" i="4"/>
  <c r="AD41" i="4"/>
  <c r="AE41" i="4"/>
  <c r="AF41" i="4"/>
  <c r="AG41" i="4"/>
  <c r="AH41" i="4"/>
  <c r="AI41" i="4"/>
  <c r="AA42" i="4"/>
  <c r="AB42" i="4"/>
  <c r="AC42" i="4"/>
  <c r="AD42" i="4"/>
  <c r="AE42" i="4"/>
  <c r="AF42" i="4"/>
  <c r="AG42" i="4"/>
  <c r="AH42" i="4"/>
  <c r="AI42" i="4"/>
  <c r="AA43" i="4"/>
  <c r="AB43" i="4"/>
  <c r="AC43" i="4"/>
  <c r="AD43" i="4"/>
  <c r="AE43" i="4"/>
  <c r="AF43" i="4"/>
  <c r="AG43" i="4"/>
  <c r="AH43" i="4"/>
  <c r="AI43" i="4"/>
  <c r="AA44" i="4"/>
  <c r="AB44" i="4"/>
  <c r="AC44" i="4"/>
  <c r="AD44" i="4"/>
  <c r="AE44" i="4"/>
  <c r="AF44" i="4"/>
  <c r="AG44" i="4"/>
  <c r="AH44" i="4"/>
  <c r="AI44" i="4"/>
  <c r="AA45" i="4"/>
  <c r="AB45" i="4"/>
  <c r="AC45" i="4"/>
  <c r="AD45" i="4"/>
  <c r="AE45" i="4"/>
  <c r="AF45" i="4"/>
  <c r="AG45" i="4"/>
  <c r="AH45" i="4"/>
  <c r="AI45" i="4"/>
  <c r="AA46" i="4"/>
  <c r="AB46" i="4"/>
  <c r="AC46" i="4"/>
  <c r="AD46" i="4"/>
  <c r="AE46" i="4"/>
  <c r="AF46" i="4"/>
  <c r="AG46" i="4"/>
  <c r="AH46" i="4"/>
  <c r="AI46" i="4"/>
  <c r="AA47" i="4"/>
  <c r="AB47" i="4"/>
  <c r="AC47" i="4"/>
  <c r="AD47" i="4"/>
  <c r="AE47" i="4"/>
  <c r="AF47" i="4"/>
  <c r="AG47" i="4"/>
  <c r="AH47" i="4"/>
  <c r="AI47" i="4"/>
  <c r="AA48" i="4"/>
  <c r="AB48" i="4"/>
  <c r="AC48" i="4"/>
  <c r="AD48" i="4"/>
  <c r="AE48" i="4"/>
  <c r="AF48" i="4"/>
  <c r="AG48" i="4"/>
  <c r="AH48" i="4"/>
  <c r="AI48" i="4"/>
  <c r="AA49" i="4"/>
  <c r="AB49" i="4"/>
  <c r="AC49" i="4"/>
  <c r="AD49" i="4"/>
  <c r="AE49" i="4"/>
  <c r="AF49" i="4"/>
  <c r="AG49" i="4"/>
  <c r="AH49" i="4"/>
  <c r="AI49" i="4"/>
  <c r="AA50" i="4"/>
  <c r="AB50" i="4"/>
  <c r="AC50" i="4"/>
  <c r="AD50" i="4"/>
  <c r="AE50" i="4"/>
  <c r="AF50" i="4"/>
  <c r="AG50" i="4"/>
  <c r="AH50" i="4"/>
  <c r="AI50" i="4"/>
  <c r="AA51" i="4"/>
  <c r="AB51" i="4"/>
  <c r="AC51" i="4"/>
  <c r="AD51" i="4"/>
  <c r="AE51" i="4"/>
  <c r="AF51" i="4"/>
  <c r="AG51" i="4"/>
  <c r="AH51" i="4"/>
  <c r="AI51" i="4"/>
  <c r="AA52" i="4"/>
  <c r="AB52" i="4"/>
  <c r="AC52" i="4"/>
  <c r="AD52" i="4"/>
  <c r="AE52" i="4"/>
  <c r="AF52" i="4"/>
  <c r="AG52" i="4"/>
  <c r="AH52" i="4"/>
  <c r="AI52" i="4"/>
  <c r="AA53" i="4"/>
  <c r="AB53" i="4"/>
  <c r="AC53" i="4"/>
  <c r="AD53" i="4"/>
  <c r="AE53" i="4"/>
  <c r="AF53" i="4"/>
  <c r="AG53" i="4"/>
  <c r="AH53" i="4"/>
  <c r="AI53" i="4"/>
  <c r="AA54" i="4"/>
  <c r="AB54" i="4"/>
  <c r="AC54" i="4"/>
  <c r="AD54" i="4"/>
  <c r="AE54" i="4"/>
  <c r="AF54" i="4"/>
  <c r="AG54" i="4"/>
  <c r="AH54" i="4"/>
  <c r="AI54" i="4"/>
  <c r="AA55" i="4"/>
  <c r="AB55" i="4"/>
  <c r="AC55" i="4"/>
  <c r="AD55" i="4"/>
  <c r="AE55" i="4"/>
  <c r="AF55" i="4"/>
  <c r="AG55" i="4"/>
  <c r="AH55" i="4"/>
  <c r="AI55" i="4"/>
  <c r="AA56" i="4"/>
  <c r="AB56" i="4"/>
  <c r="AC56" i="4"/>
  <c r="AD56" i="4"/>
  <c r="AE56" i="4"/>
  <c r="AF56" i="4"/>
  <c r="AG56" i="4"/>
  <c r="AH56" i="4"/>
  <c r="AI56" i="4"/>
  <c r="AA57" i="4"/>
  <c r="AB57" i="4"/>
  <c r="AC57" i="4"/>
  <c r="AD57" i="4"/>
  <c r="AE57" i="4"/>
  <c r="AF57" i="4"/>
  <c r="AG57" i="4"/>
  <c r="AH57" i="4"/>
  <c r="AI57" i="4"/>
  <c r="AA58" i="4"/>
  <c r="AB58" i="4"/>
  <c r="AC58" i="4"/>
  <c r="AD58" i="4"/>
  <c r="AE58" i="4"/>
  <c r="AF58" i="4"/>
  <c r="AG58" i="4"/>
  <c r="AH58" i="4"/>
  <c r="AI58" i="4"/>
  <c r="AA59" i="4"/>
  <c r="AB59" i="4"/>
  <c r="AC59" i="4"/>
  <c r="AD59" i="4"/>
  <c r="AE59" i="4"/>
  <c r="AF59" i="4"/>
  <c r="AG59" i="4"/>
  <c r="AH59" i="4"/>
  <c r="AI59" i="4"/>
  <c r="AA60" i="4"/>
  <c r="AB60" i="4"/>
  <c r="AC60" i="4"/>
  <c r="AD60" i="4"/>
  <c r="AE60" i="4"/>
  <c r="AF60" i="4"/>
  <c r="AG60" i="4"/>
  <c r="AH60" i="4"/>
  <c r="AI60" i="4"/>
  <c r="AA61" i="4"/>
  <c r="AB61" i="4"/>
  <c r="AC61" i="4"/>
  <c r="AD61" i="4"/>
  <c r="AE61" i="4"/>
  <c r="AF61" i="4"/>
  <c r="AG61" i="4"/>
  <c r="AH61" i="4"/>
  <c r="AI61" i="4"/>
  <c r="AA62" i="4"/>
  <c r="AB62" i="4"/>
  <c r="AC62" i="4"/>
  <c r="AD62" i="4"/>
  <c r="AE62" i="4"/>
  <c r="AF62" i="4"/>
  <c r="AG62" i="4"/>
  <c r="AH62" i="4"/>
  <c r="AI62" i="4"/>
  <c r="AA63" i="4"/>
  <c r="AB63" i="4"/>
  <c r="AC63" i="4"/>
  <c r="AD63" i="4"/>
  <c r="AE63" i="4"/>
  <c r="AF63" i="4"/>
  <c r="AG63" i="4"/>
  <c r="AH63" i="4"/>
  <c r="AI63" i="4"/>
  <c r="AA64" i="4"/>
  <c r="AB64" i="4"/>
  <c r="AC64" i="4"/>
  <c r="AD64" i="4"/>
  <c r="AE64" i="4"/>
  <c r="AF64" i="4"/>
  <c r="AG64" i="4"/>
  <c r="AH64" i="4"/>
  <c r="AI64" i="4"/>
  <c r="AA65" i="4"/>
  <c r="AB65" i="4"/>
  <c r="AC65" i="4"/>
  <c r="AD65" i="4"/>
  <c r="AE65" i="4"/>
  <c r="AF65" i="4"/>
  <c r="AG65" i="4"/>
  <c r="AH65" i="4"/>
  <c r="AI65" i="4"/>
  <c r="AA66" i="4"/>
  <c r="AB66" i="4"/>
  <c r="AC66" i="4"/>
  <c r="AD66" i="4"/>
  <c r="AE66" i="4"/>
  <c r="AF66" i="4"/>
  <c r="AG66" i="4"/>
  <c r="AH66" i="4"/>
  <c r="AI66" i="4"/>
  <c r="AA67" i="4"/>
  <c r="AB67" i="4"/>
  <c r="AC67" i="4"/>
  <c r="AD67" i="4"/>
  <c r="AE67" i="4"/>
  <c r="AF67" i="4"/>
  <c r="AG67" i="4"/>
  <c r="AH67" i="4"/>
  <c r="AI67" i="4"/>
  <c r="AA68" i="4"/>
  <c r="AB68" i="4"/>
  <c r="AC68" i="4"/>
  <c r="AD68" i="4"/>
  <c r="AE68" i="4"/>
  <c r="AF68" i="4"/>
  <c r="AG68" i="4"/>
  <c r="AH68" i="4"/>
  <c r="AI68" i="4"/>
  <c r="AA69" i="4"/>
  <c r="AB69" i="4"/>
  <c r="AC69" i="4"/>
  <c r="AD69" i="4"/>
  <c r="AE69" i="4"/>
  <c r="AF69" i="4"/>
  <c r="AG69" i="4"/>
  <c r="AH69" i="4"/>
  <c r="AI69" i="4"/>
  <c r="AA70" i="4"/>
  <c r="AB70" i="4"/>
  <c r="AC70" i="4"/>
  <c r="AD70" i="4"/>
  <c r="AE70" i="4"/>
  <c r="AF70" i="4"/>
  <c r="AG70" i="4"/>
  <c r="AH70" i="4"/>
  <c r="AI70" i="4"/>
  <c r="AA71" i="4"/>
  <c r="AB71" i="4"/>
  <c r="AC71" i="4"/>
  <c r="AD71" i="4"/>
  <c r="AE71" i="4"/>
  <c r="AF71" i="4"/>
  <c r="AG71" i="4"/>
  <c r="AH71" i="4"/>
  <c r="AI71" i="4"/>
  <c r="AA72" i="4"/>
  <c r="AB72" i="4"/>
  <c r="AC72" i="4"/>
  <c r="AD72" i="4"/>
  <c r="AE72" i="4"/>
  <c r="AF72" i="4"/>
  <c r="AG72" i="4"/>
  <c r="AH72" i="4"/>
  <c r="AI72" i="4"/>
  <c r="AA73" i="4"/>
  <c r="AB73" i="4"/>
  <c r="AC73" i="4"/>
  <c r="AD73" i="4"/>
  <c r="AE73" i="4"/>
  <c r="AF73" i="4"/>
  <c r="AG73" i="4"/>
  <c r="AH73" i="4"/>
  <c r="AI73" i="4"/>
  <c r="AA74" i="4"/>
  <c r="AB74" i="4"/>
  <c r="AC74" i="4"/>
  <c r="AD74" i="4"/>
  <c r="AE74" i="4"/>
  <c r="AF74" i="4"/>
  <c r="AG74" i="4"/>
  <c r="AH74" i="4"/>
  <c r="AI74" i="4"/>
  <c r="AA75" i="4"/>
  <c r="AB75" i="4"/>
  <c r="AC75" i="4"/>
  <c r="AD75" i="4"/>
  <c r="AE75" i="4"/>
  <c r="AF75" i="4"/>
  <c r="AG75" i="4"/>
  <c r="AH75" i="4"/>
  <c r="AI75" i="4"/>
  <c r="AA76" i="4"/>
  <c r="AB76" i="4"/>
  <c r="AC76" i="4"/>
  <c r="AD76" i="4"/>
  <c r="AE76" i="4"/>
  <c r="AF76" i="4"/>
  <c r="AG76" i="4"/>
  <c r="AH76" i="4"/>
  <c r="AI76" i="4"/>
  <c r="AA77" i="4"/>
  <c r="AB77" i="4"/>
  <c r="AC77" i="4"/>
  <c r="AD77" i="4"/>
  <c r="AE77" i="4"/>
  <c r="AF77" i="4"/>
  <c r="AG77" i="4"/>
  <c r="AH77" i="4"/>
  <c r="AI77" i="4"/>
  <c r="AA78" i="4"/>
  <c r="AB78" i="4"/>
  <c r="AC78" i="4"/>
  <c r="AD78" i="4"/>
  <c r="AE78" i="4"/>
  <c r="AF78" i="4"/>
  <c r="AG78" i="4"/>
  <c r="AH78" i="4"/>
  <c r="AI78" i="4"/>
  <c r="AA79" i="4"/>
  <c r="AB79" i="4"/>
  <c r="AC79" i="4"/>
  <c r="AD79" i="4"/>
  <c r="AE79" i="4"/>
  <c r="AF79" i="4"/>
  <c r="AG79" i="4"/>
  <c r="AH79" i="4"/>
  <c r="AI79" i="4"/>
  <c r="AA80" i="4"/>
  <c r="AB80" i="4"/>
  <c r="AC80" i="4"/>
  <c r="AD80" i="4"/>
  <c r="AE80" i="4"/>
  <c r="AF80" i="4"/>
  <c r="AG80" i="4"/>
  <c r="AH80" i="4"/>
  <c r="AI80" i="4"/>
  <c r="AA81" i="4"/>
  <c r="AB81" i="4"/>
  <c r="AC81" i="4"/>
  <c r="AD81" i="4"/>
  <c r="AE81" i="4"/>
  <c r="AF81" i="4"/>
  <c r="AG81" i="4"/>
  <c r="AH81" i="4"/>
  <c r="AI81" i="4"/>
  <c r="AA82" i="4"/>
  <c r="AB82" i="4"/>
  <c r="AC82" i="4"/>
  <c r="AD82" i="4"/>
  <c r="AE82" i="4"/>
  <c r="AF82" i="4"/>
  <c r="AG82" i="4"/>
  <c r="AH82" i="4"/>
  <c r="AI82" i="4"/>
  <c r="AA83" i="4"/>
  <c r="AB83" i="4"/>
  <c r="AC83" i="4"/>
  <c r="AD83" i="4"/>
  <c r="AE83" i="4"/>
  <c r="AF83" i="4"/>
  <c r="AG83" i="4"/>
  <c r="AH83" i="4"/>
  <c r="AI83" i="4"/>
  <c r="AA99" i="4"/>
  <c r="AB99" i="4"/>
  <c r="AC99" i="4"/>
  <c r="AD99" i="4"/>
  <c r="AE99" i="4"/>
  <c r="AF99" i="4"/>
  <c r="AG99" i="4"/>
  <c r="AH99" i="4"/>
  <c r="AI99" i="4"/>
  <c r="AA100" i="4"/>
  <c r="AB100" i="4"/>
  <c r="AC100" i="4"/>
  <c r="AD100" i="4"/>
  <c r="AE100" i="4"/>
  <c r="AF100" i="4"/>
  <c r="AG100" i="4"/>
  <c r="AH100" i="4"/>
  <c r="AI100" i="4"/>
  <c r="AA101" i="4"/>
  <c r="AB101" i="4"/>
  <c r="AC101" i="4"/>
  <c r="AD101" i="4"/>
  <c r="AE101" i="4"/>
  <c r="AF101" i="4"/>
  <c r="AG101" i="4"/>
  <c r="AH101" i="4"/>
  <c r="AI101" i="4"/>
  <c r="AA102" i="4"/>
  <c r="AB102" i="4"/>
  <c r="AC102" i="4"/>
  <c r="AD102" i="4"/>
  <c r="AE102" i="4"/>
  <c r="AF102" i="4"/>
  <c r="AG102" i="4"/>
  <c r="AH102" i="4"/>
  <c r="AI102" i="4"/>
  <c r="AA103" i="4"/>
  <c r="AB103" i="4"/>
  <c r="AC103" i="4"/>
  <c r="AD103" i="4"/>
  <c r="AE103" i="4"/>
  <c r="AF103" i="4"/>
  <c r="AG103" i="4"/>
  <c r="AH103" i="4"/>
  <c r="AI103" i="4"/>
  <c r="AA104" i="4"/>
  <c r="AB104" i="4"/>
  <c r="AC104" i="4"/>
  <c r="AD104" i="4"/>
  <c r="AE104" i="4"/>
  <c r="AF104" i="4"/>
  <c r="AG104" i="4"/>
  <c r="AH104" i="4"/>
  <c r="AI104" i="4"/>
  <c r="AA105" i="4"/>
  <c r="AB105" i="4"/>
  <c r="AC105" i="4"/>
  <c r="AD105" i="4"/>
  <c r="AE105" i="4"/>
  <c r="AF105" i="4"/>
  <c r="AG105" i="4"/>
  <c r="AH105" i="4"/>
  <c r="AI105" i="4"/>
  <c r="AA106" i="4"/>
  <c r="AB106" i="4"/>
  <c r="AC106" i="4"/>
  <c r="AD106" i="4"/>
  <c r="AE106" i="4"/>
  <c r="AF106" i="4"/>
  <c r="AG106" i="4"/>
  <c r="AH106" i="4"/>
  <c r="AI106" i="4"/>
  <c r="AA107" i="4"/>
  <c r="AB107" i="4"/>
  <c r="AC107" i="4"/>
  <c r="AD107" i="4"/>
  <c r="AE107" i="4"/>
  <c r="AF107" i="4"/>
  <c r="AG107" i="4"/>
  <c r="AH107" i="4"/>
  <c r="AI107" i="4"/>
  <c r="AA108" i="4"/>
  <c r="AB108" i="4"/>
  <c r="AC108" i="4"/>
  <c r="AD108" i="4"/>
  <c r="AE108" i="4"/>
  <c r="AF108" i="4"/>
  <c r="AG108" i="4"/>
  <c r="AH108" i="4"/>
  <c r="AI108" i="4"/>
  <c r="AA109" i="4"/>
  <c r="AB109" i="4"/>
  <c r="AC109" i="4"/>
  <c r="AD109" i="4"/>
  <c r="AE109" i="4"/>
  <c r="AF109" i="4"/>
  <c r="AG109" i="4"/>
  <c r="AH109" i="4"/>
  <c r="AI109" i="4"/>
  <c r="AA110" i="4"/>
  <c r="AB110" i="4"/>
  <c r="AC110" i="4"/>
  <c r="AD110" i="4"/>
  <c r="AE110" i="4"/>
  <c r="AF110" i="4"/>
  <c r="AG110" i="4"/>
  <c r="AH110" i="4"/>
  <c r="AI110" i="4"/>
  <c r="AA111" i="4"/>
  <c r="AB111" i="4"/>
  <c r="AC111" i="4"/>
  <c r="AD111" i="4"/>
  <c r="AE111" i="4"/>
  <c r="AF111" i="4"/>
  <c r="AG111" i="4"/>
  <c r="AH111" i="4"/>
  <c r="AI111" i="4"/>
  <c r="AA112" i="4"/>
  <c r="AB112" i="4"/>
  <c r="AC112" i="4"/>
  <c r="AD112" i="4"/>
  <c r="AE112" i="4"/>
  <c r="AF112" i="4"/>
  <c r="AG112" i="4"/>
  <c r="AH112" i="4"/>
  <c r="AI112" i="4"/>
  <c r="AA113" i="4"/>
  <c r="AB113" i="4"/>
  <c r="AC113" i="4"/>
  <c r="AD113" i="4"/>
  <c r="AE113" i="4"/>
  <c r="AF113" i="4"/>
  <c r="AG113" i="4"/>
  <c r="AH113" i="4"/>
  <c r="AI113" i="4"/>
  <c r="AI4" i="4"/>
  <c r="AH4" i="4"/>
  <c r="AG4" i="4"/>
  <c r="AF4" i="4"/>
  <c r="AE4" i="4"/>
  <c r="AD4" i="4"/>
  <c r="AC4" i="4"/>
  <c r="AB4" i="4"/>
  <c r="AA4" i="4"/>
  <c r="Z4" i="4"/>
  <c r="H5" i="4"/>
  <c r="I5" i="4"/>
  <c r="J5" i="4"/>
  <c r="K5" i="4"/>
  <c r="L5" i="4"/>
  <c r="M5" i="4"/>
  <c r="N5" i="4"/>
  <c r="O5" i="4"/>
  <c r="P5" i="4"/>
  <c r="H6" i="4"/>
  <c r="I6" i="4"/>
  <c r="J6" i="4"/>
  <c r="K6" i="4"/>
  <c r="L6" i="4"/>
  <c r="M6" i="4"/>
  <c r="N6" i="4"/>
  <c r="O6" i="4"/>
  <c r="P6" i="4"/>
  <c r="H7" i="4"/>
  <c r="I7" i="4"/>
  <c r="J7" i="4"/>
  <c r="K7" i="4"/>
  <c r="L7" i="4"/>
  <c r="M7" i="4"/>
  <c r="N7" i="4"/>
  <c r="O7" i="4"/>
  <c r="P7" i="4"/>
  <c r="H8" i="4"/>
  <c r="I8" i="4"/>
  <c r="J8" i="4"/>
  <c r="K8" i="4"/>
  <c r="L8" i="4"/>
  <c r="M8" i="4"/>
  <c r="N8" i="4"/>
  <c r="O8" i="4"/>
  <c r="P8" i="4"/>
  <c r="H9" i="4"/>
  <c r="I9" i="4"/>
  <c r="J9" i="4"/>
  <c r="K9" i="4"/>
  <c r="L9" i="4"/>
  <c r="M9" i="4"/>
  <c r="N9" i="4"/>
  <c r="O9" i="4"/>
  <c r="P9" i="4"/>
  <c r="H10" i="4"/>
  <c r="I10" i="4"/>
  <c r="J10" i="4"/>
  <c r="K10" i="4"/>
  <c r="L10" i="4"/>
  <c r="M10" i="4"/>
  <c r="N10" i="4"/>
  <c r="O10" i="4"/>
  <c r="P10" i="4"/>
  <c r="H11" i="4"/>
  <c r="I11" i="4"/>
  <c r="J11" i="4"/>
  <c r="K11" i="4"/>
  <c r="L11" i="4"/>
  <c r="M11" i="4"/>
  <c r="N11" i="4"/>
  <c r="O11" i="4"/>
  <c r="P11" i="4"/>
  <c r="H12" i="4"/>
  <c r="I12" i="4"/>
  <c r="J12" i="4"/>
  <c r="K12" i="4"/>
  <c r="L12" i="4"/>
  <c r="M12" i="4"/>
  <c r="N12" i="4"/>
  <c r="O12" i="4"/>
  <c r="P12" i="4"/>
  <c r="H13" i="4"/>
  <c r="I13" i="4"/>
  <c r="J13" i="4"/>
  <c r="K13" i="4"/>
  <c r="L13" i="4"/>
  <c r="M13" i="4"/>
  <c r="N13" i="4"/>
  <c r="O13" i="4"/>
  <c r="P13" i="4"/>
  <c r="H14" i="4"/>
  <c r="I14" i="4"/>
  <c r="J14" i="4"/>
  <c r="K14" i="4"/>
  <c r="L14" i="4"/>
  <c r="M14" i="4"/>
  <c r="N14" i="4"/>
  <c r="O14" i="4"/>
  <c r="P14" i="4"/>
  <c r="H15" i="4"/>
  <c r="I15" i="4"/>
  <c r="J15" i="4"/>
  <c r="K15" i="4"/>
  <c r="L15" i="4"/>
  <c r="M15" i="4"/>
  <c r="N15" i="4"/>
  <c r="O15" i="4"/>
  <c r="P15" i="4"/>
  <c r="H16" i="4"/>
  <c r="I16" i="4"/>
  <c r="J16" i="4"/>
  <c r="K16" i="4"/>
  <c r="L16" i="4"/>
  <c r="M16" i="4"/>
  <c r="N16" i="4"/>
  <c r="O16" i="4"/>
  <c r="P16" i="4"/>
  <c r="H17" i="4"/>
  <c r="I17" i="4"/>
  <c r="J17" i="4"/>
  <c r="K17" i="4"/>
  <c r="L17" i="4"/>
  <c r="M17" i="4"/>
  <c r="N17" i="4"/>
  <c r="O17" i="4"/>
  <c r="P17" i="4"/>
  <c r="H18" i="4"/>
  <c r="I18" i="4"/>
  <c r="J18" i="4"/>
  <c r="K18" i="4"/>
  <c r="L18" i="4"/>
  <c r="M18" i="4"/>
  <c r="N18" i="4"/>
  <c r="O18" i="4"/>
  <c r="P18" i="4"/>
  <c r="H19" i="4"/>
  <c r="I19" i="4"/>
  <c r="J19" i="4"/>
  <c r="K19" i="4"/>
  <c r="L19" i="4"/>
  <c r="M19" i="4"/>
  <c r="N19" i="4"/>
  <c r="O19" i="4"/>
  <c r="P19" i="4"/>
  <c r="H20" i="4"/>
  <c r="I20" i="4"/>
  <c r="J20" i="4"/>
  <c r="K20" i="4"/>
  <c r="L20" i="4"/>
  <c r="M20" i="4"/>
  <c r="N20" i="4"/>
  <c r="O20" i="4"/>
  <c r="P20" i="4"/>
  <c r="H21" i="4"/>
  <c r="I21" i="4"/>
  <c r="J21" i="4"/>
  <c r="K21" i="4"/>
  <c r="L21" i="4"/>
  <c r="M21" i="4"/>
  <c r="N21" i="4"/>
  <c r="O21" i="4"/>
  <c r="P21" i="4"/>
  <c r="H22" i="4"/>
  <c r="I22" i="4"/>
  <c r="J22" i="4"/>
  <c r="K22" i="4"/>
  <c r="L22" i="4"/>
  <c r="M22" i="4"/>
  <c r="N22" i="4"/>
  <c r="O22" i="4"/>
  <c r="P22" i="4"/>
  <c r="H23" i="4"/>
  <c r="I23" i="4"/>
  <c r="J23" i="4"/>
  <c r="K23" i="4"/>
  <c r="L23" i="4"/>
  <c r="M23" i="4"/>
  <c r="N23" i="4"/>
  <c r="O23" i="4"/>
  <c r="P23" i="4"/>
  <c r="H24" i="4"/>
  <c r="I24" i="4"/>
  <c r="J24" i="4"/>
  <c r="K24" i="4"/>
  <c r="L24" i="4"/>
  <c r="M24" i="4"/>
  <c r="N24" i="4"/>
  <c r="O24" i="4"/>
  <c r="P24" i="4"/>
  <c r="H25" i="4"/>
  <c r="I25" i="4"/>
  <c r="J25" i="4"/>
  <c r="K25" i="4"/>
  <c r="L25" i="4"/>
  <c r="M25" i="4"/>
  <c r="N25" i="4"/>
  <c r="O25" i="4"/>
  <c r="P25" i="4"/>
  <c r="H26" i="4"/>
  <c r="I26" i="4"/>
  <c r="J26" i="4"/>
  <c r="K26" i="4"/>
  <c r="L26" i="4"/>
  <c r="M26" i="4"/>
  <c r="N26" i="4"/>
  <c r="O26" i="4"/>
  <c r="P26" i="4"/>
  <c r="H27" i="4"/>
  <c r="I27" i="4"/>
  <c r="J27" i="4"/>
  <c r="K27" i="4"/>
  <c r="L27" i="4"/>
  <c r="M27" i="4"/>
  <c r="N27" i="4"/>
  <c r="O27" i="4"/>
  <c r="P27" i="4"/>
  <c r="H28" i="4"/>
  <c r="I28" i="4"/>
  <c r="J28" i="4"/>
  <c r="K28" i="4"/>
  <c r="L28" i="4"/>
  <c r="M28" i="4"/>
  <c r="N28" i="4"/>
  <c r="O28" i="4"/>
  <c r="P28" i="4"/>
  <c r="H29" i="4"/>
  <c r="I29" i="4"/>
  <c r="J29" i="4"/>
  <c r="K29" i="4"/>
  <c r="L29" i="4"/>
  <c r="M29" i="4"/>
  <c r="N29" i="4"/>
  <c r="O29" i="4"/>
  <c r="P29" i="4"/>
  <c r="H30" i="4"/>
  <c r="I30" i="4"/>
  <c r="J30" i="4"/>
  <c r="K30" i="4"/>
  <c r="L30" i="4"/>
  <c r="M30" i="4"/>
  <c r="N30" i="4"/>
  <c r="O30" i="4"/>
  <c r="P30" i="4"/>
  <c r="H31" i="4"/>
  <c r="I31" i="4"/>
  <c r="J31" i="4"/>
  <c r="K31" i="4"/>
  <c r="L31" i="4"/>
  <c r="M31" i="4"/>
  <c r="N31" i="4"/>
  <c r="O31" i="4"/>
  <c r="P31" i="4"/>
  <c r="H32" i="4"/>
  <c r="I32" i="4"/>
  <c r="J32" i="4"/>
  <c r="K32" i="4"/>
  <c r="L32" i="4"/>
  <c r="M32" i="4"/>
  <c r="N32" i="4"/>
  <c r="O32" i="4"/>
  <c r="P32" i="4"/>
  <c r="H33" i="4"/>
  <c r="I33" i="4"/>
  <c r="J33" i="4"/>
  <c r="K33" i="4"/>
  <c r="L33" i="4"/>
  <c r="M33" i="4"/>
  <c r="N33" i="4"/>
  <c r="O33" i="4"/>
  <c r="P33" i="4"/>
  <c r="H34" i="4"/>
  <c r="I34" i="4"/>
  <c r="J34" i="4"/>
  <c r="K34" i="4"/>
  <c r="L34" i="4"/>
  <c r="M34" i="4"/>
  <c r="N34" i="4"/>
  <c r="O34" i="4"/>
  <c r="P34" i="4"/>
  <c r="H35" i="4"/>
  <c r="I35" i="4"/>
  <c r="J35" i="4"/>
  <c r="K35" i="4"/>
  <c r="L35" i="4"/>
  <c r="M35" i="4"/>
  <c r="N35" i="4"/>
  <c r="O35" i="4"/>
  <c r="P35" i="4"/>
  <c r="H36" i="4"/>
  <c r="I36" i="4"/>
  <c r="J36" i="4"/>
  <c r="K36" i="4"/>
  <c r="L36" i="4"/>
  <c r="M36" i="4"/>
  <c r="N36" i="4"/>
  <c r="O36" i="4"/>
  <c r="P36" i="4"/>
  <c r="H37" i="4"/>
  <c r="I37" i="4"/>
  <c r="J37" i="4"/>
  <c r="K37" i="4"/>
  <c r="L37" i="4"/>
  <c r="M37" i="4"/>
  <c r="N37" i="4"/>
  <c r="O37" i="4"/>
  <c r="P37" i="4"/>
  <c r="H38" i="4"/>
  <c r="I38" i="4"/>
  <c r="J38" i="4"/>
  <c r="K38" i="4"/>
  <c r="L38" i="4"/>
  <c r="M38" i="4"/>
  <c r="N38" i="4"/>
  <c r="O38" i="4"/>
  <c r="P38" i="4"/>
  <c r="H39" i="4"/>
  <c r="I39" i="4"/>
  <c r="J39" i="4"/>
  <c r="K39" i="4"/>
  <c r="L39" i="4"/>
  <c r="M39" i="4"/>
  <c r="N39" i="4"/>
  <c r="O39" i="4"/>
  <c r="P39" i="4"/>
  <c r="H40" i="4"/>
  <c r="I40" i="4"/>
  <c r="J40" i="4"/>
  <c r="K40" i="4"/>
  <c r="L40" i="4"/>
  <c r="M40" i="4"/>
  <c r="N40" i="4"/>
  <c r="O40" i="4"/>
  <c r="P40" i="4"/>
  <c r="H41" i="4"/>
  <c r="I41" i="4"/>
  <c r="J41" i="4"/>
  <c r="K41" i="4"/>
  <c r="L41" i="4"/>
  <c r="M41" i="4"/>
  <c r="N41" i="4"/>
  <c r="O41" i="4"/>
  <c r="P41" i="4"/>
  <c r="H42" i="4"/>
  <c r="I42" i="4"/>
  <c r="J42" i="4"/>
  <c r="K42" i="4"/>
  <c r="L42" i="4"/>
  <c r="M42" i="4"/>
  <c r="N42" i="4"/>
  <c r="O42" i="4"/>
  <c r="P42" i="4"/>
  <c r="H43" i="4"/>
  <c r="I43" i="4"/>
  <c r="J43" i="4"/>
  <c r="K43" i="4"/>
  <c r="L43" i="4"/>
  <c r="M43" i="4"/>
  <c r="N43" i="4"/>
  <c r="O43" i="4"/>
  <c r="P43" i="4"/>
  <c r="H44" i="4"/>
  <c r="I44" i="4"/>
  <c r="J44" i="4"/>
  <c r="K44" i="4"/>
  <c r="L44" i="4"/>
  <c r="M44" i="4"/>
  <c r="N44" i="4"/>
  <c r="O44" i="4"/>
  <c r="P44" i="4"/>
  <c r="H45" i="4"/>
  <c r="I45" i="4"/>
  <c r="J45" i="4"/>
  <c r="K45" i="4"/>
  <c r="L45" i="4"/>
  <c r="M45" i="4"/>
  <c r="N45" i="4"/>
  <c r="O45" i="4"/>
  <c r="P45" i="4"/>
  <c r="H46" i="4"/>
  <c r="I46" i="4"/>
  <c r="J46" i="4"/>
  <c r="K46" i="4"/>
  <c r="L46" i="4"/>
  <c r="M46" i="4"/>
  <c r="N46" i="4"/>
  <c r="O46" i="4"/>
  <c r="P46" i="4"/>
  <c r="H47" i="4"/>
  <c r="I47" i="4"/>
  <c r="J47" i="4"/>
  <c r="K47" i="4"/>
  <c r="L47" i="4"/>
  <c r="M47" i="4"/>
  <c r="N47" i="4"/>
  <c r="O47" i="4"/>
  <c r="P47" i="4"/>
  <c r="H48" i="4"/>
  <c r="I48" i="4"/>
  <c r="J48" i="4"/>
  <c r="K48" i="4"/>
  <c r="L48" i="4"/>
  <c r="M48" i="4"/>
  <c r="N48" i="4"/>
  <c r="O48" i="4"/>
  <c r="P48" i="4"/>
  <c r="H49" i="4"/>
  <c r="I49" i="4"/>
  <c r="J49" i="4"/>
  <c r="K49" i="4"/>
  <c r="L49" i="4"/>
  <c r="M49" i="4"/>
  <c r="N49" i="4"/>
  <c r="O49" i="4"/>
  <c r="P49" i="4"/>
  <c r="H50" i="4"/>
  <c r="I50" i="4"/>
  <c r="J50" i="4"/>
  <c r="K50" i="4"/>
  <c r="L50" i="4"/>
  <c r="M50" i="4"/>
  <c r="N50" i="4"/>
  <c r="O50" i="4"/>
  <c r="P50" i="4"/>
  <c r="H51" i="4"/>
  <c r="I51" i="4"/>
  <c r="J51" i="4"/>
  <c r="K51" i="4"/>
  <c r="L51" i="4"/>
  <c r="M51" i="4"/>
  <c r="N51" i="4"/>
  <c r="O51" i="4"/>
  <c r="P51" i="4"/>
  <c r="H52" i="4"/>
  <c r="I52" i="4"/>
  <c r="J52" i="4"/>
  <c r="K52" i="4"/>
  <c r="L52" i="4"/>
  <c r="M52" i="4"/>
  <c r="N52" i="4"/>
  <c r="O52" i="4"/>
  <c r="P52" i="4"/>
  <c r="H53" i="4"/>
  <c r="I53" i="4"/>
  <c r="J53" i="4"/>
  <c r="K53" i="4"/>
  <c r="L53" i="4"/>
  <c r="M53" i="4"/>
  <c r="N53" i="4"/>
  <c r="O53" i="4"/>
  <c r="P53" i="4"/>
  <c r="H54" i="4"/>
  <c r="I54" i="4"/>
  <c r="J54" i="4"/>
  <c r="K54" i="4"/>
  <c r="L54" i="4"/>
  <c r="M54" i="4"/>
  <c r="N54" i="4"/>
  <c r="O54" i="4"/>
  <c r="P54" i="4"/>
  <c r="H55" i="4"/>
  <c r="I55" i="4"/>
  <c r="J55" i="4"/>
  <c r="K55" i="4"/>
  <c r="L55" i="4"/>
  <c r="M55" i="4"/>
  <c r="N55" i="4"/>
  <c r="O55" i="4"/>
  <c r="P55" i="4"/>
  <c r="H56" i="4"/>
  <c r="I56" i="4"/>
  <c r="J56" i="4"/>
  <c r="K56" i="4"/>
  <c r="L56" i="4"/>
  <c r="M56" i="4"/>
  <c r="N56" i="4"/>
  <c r="O56" i="4"/>
  <c r="P56" i="4"/>
  <c r="H57" i="4"/>
  <c r="I57" i="4"/>
  <c r="J57" i="4"/>
  <c r="K57" i="4"/>
  <c r="L57" i="4"/>
  <c r="M57" i="4"/>
  <c r="N57" i="4"/>
  <c r="O57" i="4"/>
  <c r="P57" i="4"/>
  <c r="H58" i="4"/>
  <c r="I58" i="4"/>
  <c r="J58" i="4"/>
  <c r="K58" i="4"/>
  <c r="L58" i="4"/>
  <c r="M58" i="4"/>
  <c r="N58" i="4"/>
  <c r="O58" i="4"/>
  <c r="P58" i="4"/>
  <c r="H59" i="4"/>
  <c r="I59" i="4"/>
  <c r="J59" i="4"/>
  <c r="K59" i="4"/>
  <c r="L59" i="4"/>
  <c r="M59" i="4"/>
  <c r="N59" i="4"/>
  <c r="O59" i="4"/>
  <c r="P59" i="4"/>
  <c r="H60" i="4"/>
  <c r="I60" i="4"/>
  <c r="J60" i="4"/>
  <c r="K60" i="4"/>
  <c r="L60" i="4"/>
  <c r="M60" i="4"/>
  <c r="N60" i="4"/>
  <c r="O60" i="4"/>
  <c r="P60" i="4"/>
  <c r="H61" i="4"/>
  <c r="I61" i="4"/>
  <c r="J61" i="4"/>
  <c r="K61" i="4"/>
  <c r="L61" i="4"/>
  <c r="M61" i="4"/>
  <c r="N61" i="4"/>
  <c r="O61" i="4"/>
  <c r="P61" i="4"/>
  <c r="H62" i="4"/>
  <c r="I62" i="4"/>
  <c r="J62" i="4"/>
  <c r="K62" i="4"/>
  <c r="L62" i="4"/>
  <c r="M62" i="4"/>
  <c r="N62" i="4"/>
  <c r="O62" i="4"/>
  <c r="P62" i="4"/>
  <c r="H63" i="4"/>
  <c r="I63" i="4"/>
  <c r="J63" i="4"/>
  <c r="K63" i="4"/>
  <c r="L63" i="4"/>
  <c r="M63" i="4"/>
  <c r="N63" i="4"/>
  <c r="O63" i="4"/>
  <c r="P63" i="4"/>
  <c r="H64" i="4"/>
  <c r="I64" i="4"/>
  <c r="J64" i="4"/>
  <c r="K64" i="4"/>
  <c r="L64" i="4"/>
  <c r="M64" i="4"/>
  <c r="N64" i="4"/>
  <c r="O64" i="4"/>
  <c r="P64" i="4"/>
  <c r="H65" i="4"/>
  <c r="I65" i="4"/>
  <c r="J65" i="4"/>
  <c r="K65" i="4"/>
  <c r="L65" i="4"/>
  <c r="M65" i="4"/>
  <c r="N65" i="4"/>
  <c r="O65" i="4"/>
  <c r="P65" i="4"/>
  <c r="H66" i="4"/>
  <c r="I66" i="4"/>
  <c r="J66" i="4"/>
  <c r="K66" i="4"/>
  <c r="L66" i="4"/>
  <c r="M66" i="4"/>
  <c r="N66" i="4"/>
  <c r="O66" i="4"/>
  <c r="P66" i="4"/>
  <c r="H67" i="4"/>
  <c r="I67" i="4"/>
  <c r="J67" i="4"/>
  <c r="K67" i="4"/>
  <c r="L67" i="4"/>
  <c r="M67" i="4"/>
  <c r="N67" i="4"/>
  <c r="O67" i="4"/>
  <c r="P67" i="4"/>
  <c r="H68" i="4"/>
  <c r="I68" i="4"/>
  <c r="J68" i="4"/>
  <c r="K68" i="4"/>
  <c r="L68" i="4"/>
  <c r="M68" i="4"/>
  <c r="N68" i="4"/>
  <c r="O68" i="4"/>
  <c r="P68" i="4"/>
  <c r="H69" i="4"/>
  <c r="I69" i="4"/>
  <c r="J69" i="4"/>
  <c r="K69" i="4"/>
  <c r="L69" i="4"/>
  <c r="M69" i="4"/>
  <c r="N69" i="4"/>
  <c r="O69" i="4"/>
  <c r="P69" i="4"/>
  <c r="H70" i="4"/>
  <c r="I70" i="4"/>
  <c r="J70" i="4"/>
  <c r="K70" i="4"/>
  <c r="L70" i="4"/>
  <c r="M70" i="4"/>
  <c r="N70" i="4"/>
  <c r="O70" i="4"/>
  <c r="P70" i="4"/>
  <c r="H71" i="4"/>
  <c r="I71" i="4"/>
  <c r="J71" i="4"/>
  <c r="K71" i="4"/>
  <c r="L71" i="4"/>
  <c r="M71" i="4"/>
  <c r="N71" i="4"/>
  <c r="O71" i="4"/>
  <c r="P71" i="4"/>
  <c r="H72" i="4"/>
  <c r="I72" i="4"/>
  <c r="J72" i="4"/>
  <c r="K72" i="4"/>
  <c r="L72" i="4"/>
  <c r="M72" i="4"/>
  <c r="N72" i="4"/>
  <c r="O72" i="4"/>
  <c r="P72" i="4"/>
  <c r="H73" i="4"/>
  <c r="I73" i="4"/>
  <c r="J73" i="4"/>
  <c r="K73" i="4"/>
  <c r="L73" i="4"/>
  <c r="M73" i="4"/>
  <c r="N73" i="4"/>
  <c r="O73" i="4"/>
  <c r="P73" i="4"/>
  <c r="H74" i="4"/>
  <c r="I74" i="4"/>
  <c r="J74" i="4"/>
  <c r="K74" i="4"/>
  <c r="L74" i="4"/>
  <c r="M74" i="4"/>
  <c r="N74" i="4"/>
  <c r="O74" i="4"/>
  <c r="P74" i="4"/>
  <c r="H75" i="4"/>
  <c r="I75" i="4"/>
  <c r="J75" i="4"/>
  <c r="K75" i="4"/>
  <c r="L75" i="4"/>
  <c r="M75" i="4"/>
  <c r="N75" i="4"/>
  <c r="O75" i="4"/>
  <c r="P75" i="4"/>
  <c r="H76" i="4"/>
  <c r="I76" i="4"/>
  <c r="J76" i="4"/>
  <c r="K76" i="4"/>
  <c r="L76" i="4"/>
  <c r="M76" i="4"/>
  <c r="N76" i="4"/>
  <c r="O76" i="4"/>
  <c r="P76" i="4"/>
  <c r="H77" i="4"/>
  <c r="I77" i="4"/>
  <c r="J77" i="4"/>
  <c r="K77" i="4"/>
  <c r="L77" i="4"/>
  <c r="M77" i="4"/>
  <c r="N77" i="4"/>
  <c r="O77" i="4"/>
  <c r="P77" i="4"/>
  <c r="H78" i="4"/>
  <c r="I78" i="4"/>
  <c r="J78" i="4"/>
  <c r="K78" i="4"/>
  <c r="L78" i="4"/>
  <c r="M78" i="4"/>
  <c r="N78" i="4"/>
  <c r="O78" i="4"/>
  <c r="P78" i="4"/>
  <c r="H79" i="4"/>
  <c r="I79" i="4"/>
  <c r="J79" i="4"/>
  <c r="K79" i="4"/>
  <c r="L79" i="4"/>
  <c r="M79" i="4"/>
  <c r="N79" i="4"/>
  <c r="O79" i="4"/>
  <c r="P79" i="4"/>
  <c r="H80" i="4"/>
  <c r="I80" i="4"/>
  <c r="J80" i="4"/>
  <c r="K80" i="4"/>
  <c r="L80" i="4"/>
  <c r="M80" i="4"/>
  <c r="N80" i="4"/>
  <c r="O80" i="4"/>
  <c r="P80" i="4"/>
  <c r="H81" i="4"/>
  <c r="I81" i="4"/>
  <c r="J81" i="4"/>
  <c r="K81" i="4"/>
  <c r="L81" i="4"/>
  <c r="M81" i="4"/>
  <c r="N81" i="4"/>
  <c r="O81" i="4"/>
  <c r="P81" i="4"/>
  <c r="H82" i="4"/>
  <c r="I82" i="4"/>
  <c r="J82" i="4"/>
  <c r="K82" i="4"/>
  <c r="L82" i="4"/>
  <c r="M82" i="4"/>
  <c r="N82" i="4"/>
  <c r="O82" i="4"/>
  <c r="P82" i="4"/>
  <c r="H83" i="4"/>
  <c r="I83" i="4"/>
  <c r="J83" i="4"/>
  <c r="K83" i="4"/>
  <c r="L83" i="4"/>
  <c r="M83" i="4"/>
  <c r="N83" i="4"/>
  <c r="O83" i="4"/>
  <c r="P83" i="4"/>
  <c r="H99" i="4"/>
  <c r="I99" i="4"/>
  <c r="J99" i="4"/>
  <c r="K99" i="4"/>
  <c r="L99" i="4"/>
  <c r="M99" i="4"/>
  <c r="N99" i="4"/>
  <c r="O99" i="4"/>
  <c r="P99" i="4"/>
  <c r="H100" i="4"/>
  <c r="I100" i="4"/>
  <c r="J100" i="4"/>
  <c r="K100" i="4"/>
  <c r="L100" i="4"/>
  <c r="M100" i="4"/>
  <c r="N100" i="4"/>
  <c r="O100" i="4"/>
  <c r="P100" i="4"/>
  <c r="H101" i="4"/>
  <c r="I101" i="4"/>
  <c r="J101" i="4"/>
  <c r="K101" i="4"/>
  <c r="L101" i="4"/>
  <c r="M101" i="4"/>
  <c r="N101" i="4"/>
  <c r="O101" i="4"/>
  <c r="P101" i="4"/>
  <c r="H102" i="4"/>
  <c r="I102" i="4"/>
  <c r="J102" i="4"/>
  <c r="K102" i="4"/>
  <c r="L102" i="4"/>
  <c r="M102" i="4"/>
  <c r="N102" i="4"/>
  <c r="O102" i="4"/>
  <c r="P102" i="4"/>
  <c r="H103" i="4"/>
  <c r="I103" i="4"/>
  <c r="J103" i="4"/>
  <c r="K103" i="4"/>
  <c r="L103" i="4"/>
  <c r="M103" i="4"/>
  <c r="N103" i="4"/>
  <c r="O103" i="4"/>
  <c r="P103" i="4"/>
  <c r="H104" i="4"/>
  <c r="I104" i="4"/>
  <c r="J104" i="4"/>
  <c r="K104" i="4"/>
  <c r="L104" i="4"/>
  <c r="M104" i="4"/>
  <c r="N104" i="4"/>
  <c r="O104" i="4"/>
  <c r="P104" i="4"/>
  <c r="H105" i="4"/>
  <c r="I105" i="4"/>
  <c r="J105" i="4"/>
  <c r="K105" i="4"/>
  <c r="L105" i="4"/>
  <c r="M105" i="4"/>
  <c r="N105" i="4"/>
  <c r="O105" i="4"/>
  <c r="P105" i="4"/>
  <c r="H106" i="4"/>
  <c r="I106" i="4"/>
  <c r="J106" i="4"/>
  <c r="K106" i="4"/>
  <c r="L106" i="4"/>
  <c r="M106" i="4"/>
  <c r="N106" i="4"/>
  <c r="O106" i="4"/>
  <c r="P106" i="4"/>
  <c r="H107" i="4"/>
  <c r="I107" i="4"/>
  <c r="J107" i="4"/>
  <c r="K107" i="4"/>
  <c r="L107" i="4"/>
  <c r="M107" i="4"/>
  <c r="N107" i="4"/>
  <c r="O107" i="4"/>
  <c r="P107" i="4"/>
  <c r="H108" i="4"/>
  <c r="I108" i="4"/>
  <c r="J108" i="4"/>
  <c r="K108" i="4"/>
  <c r="L108" i="4"/>
  <c r="M108" i="4"/>
  <c r="N108" i="4"/>
  <c r="O108" i="4"/>
  <c r="P108" i="4"/>
  <c r="H109" i="4"/>
  <c r="I109" i="4"/>
  <c r="J109" i="4"/>
  <c r="K109" i="4"/>
  <c r="L109" i="4"/>
  <c r="M109" i="4"/>
  <c r="N109" i="4"/>
  <c r="O109" i="4"/>
  <c r="P109" i="4"/>
  <c r="H110" i="4"/>
  <c r="I110" i="4"/>
  <c r="J110" i="4"/>
  <c r="K110" i="4"/>
  <c r="L110" i="4"/>
  <c r="M110" i="4"/>
  <c r="N110" i="4"/>
  <c r="O110" i="4"/>
  <c r="P110" i="4"/>
  <c r="H111" i="4"/>
  <c r="I111" i="4"/>
  <c r="J111" i="4"/>
  <c r="K111" i="4"/>
  <c r="L111" i="4"/>
  <c r="M111" i="4"/>
  <c r="N111" i="4"/>
  <c r="O111" i="4"/>
  <c r="P111" i="4"/>
  <c r="H112" i="4"/>
  <c r="I112" i="4"/>
  <c r="J112" i="4"/>
  <c r="K112" i="4"/>
  <c r="L112" i="4"/>
  <c r="M112" i="4"/>
  <c r="N112" i="4"/>
  <c r="O112" i="4"/>
  <c r="P112" i="4"/>
  <c r="H113" i="4"/>
  <c r="I113" i="4"/>
  <c r="J113" i="4"/>
  <c r="K113" i="4"/>
  <c r="L113" i="4"/>
  <c r="M113" i="4"/>
  <c r="N113" i="4"/>
  <c r="O113" i="4"/>
  <c r="P113" i="4"/>
  <c r="P4" i="4"/>
  <c r="O4" i="4"/>
  <c r="N4" i="4"/>
  <c r="M4" i="4"/>
  <c r="L4" i="4"/>
  <c r="K4" i="4"/>
  <c r="J4" i="4"/>
  <c r="I4" i="4"/>
  <c r="H4" i="4"/>
  <c r="G4" i="4"/>
  <c r="R2" i="10" l="1"/>
  <c r="AU2" i="10"/>
  <c r="BA2" i="10"/>
  <c r="S23" i="1"/>
  <c r="T23" i="1" s="1"/>
  <c r="BP2" i="10"/>
  <c r="BJ2" i="10"/>
  <c r="BS2" i="10"/>
  <c r="BM2" i="10"/>
  <c r="BG2" i="10"/>
  <c r="BD2" i="10"/>
  <c r="AR2" i="10"/>
  <c r="AX2" i="10"/>
  <c r="AO2" i="10"/>
  <c r="AG2" i="10"/>
  <c r="X2" i="10"/>
  <c r="AA2" i="10"/>
  <c r="AJ2" i="10"/>
  <c r="AD2" i="10"/>
  <c r="U2" i="10"/>
  <c r="F2" i="10"/>
  <c r="L2" i="10"/>
  <c r="I2" i="10"/>
  <c r="O2" i="10"/>
  <c r="AK5" i="4"/>
  <c r="AO5" i="4" s="1"/>
  <c r="AK28" i="4"/>
  <c r="AO28" i="4" s="1"/>
  <c r="AK20" i="4"/>
  <c r="AO20" i="4" s="1"/>
  <c r="AK12" i="4"/>
  <c r="AO12" i="4" s="1"/>
  <c r="AK4" i="4"/>
  <c r="AK83" i="4"/>
  <c r="AK67" i="4"/>
  <c r="AO67" i="4" s="1"/>
  <c r="AK51" i="4"/>
  <c r="AO51" i="4" s="1"/>
  <c r="AK43" i="4"/>
  <c r="AO43" i="4" s="1"/>
  <c r="AK110" i="4"/>
  <c r="AK102" i="4"/>
  <c r="AK79" i="4"/>
  <c r="AO79" i="4" s="1"/>
  <c r="AK75" i="4"/>
  <c r="AO75" i="4" s="1"/>
  <c r="AK73" i="4"/>
  <c r="AO73" i="4" s="1"/>
  <c r="AK71" i="4"/>
  <c r="AO71" i="4" s="1"/>
  <c r="AK68" i="4"/>
  <c r="AO68" i="4" s="1"/>
  <c r="AK66" i="4"/>
  <c r="AO66" i="4" s="1"/>
  <c r="AK63" i="4"/>
  <c r="AO63" i="4" s="1"/>
  <c r="AK59" i="4"/>
  <c r="AO59" i="4" s="1"/>
  <c r="AK57" i="4"/>
  <c r="AO57" i="4" s="1"/>
  <c r="AK55" i="4"/>
  <c r="AO55" i="4" s="1"/>
  <c r="AK52" i="4"/>
  <c r="AO52" i="4" s="1"/>
  <c r="AK50" i="4"/>
  <c r="AO50" i="4" s="1"/>
  <c r="AK47" i="4"/>
  <c r="AO47" i="4" s="1"/>
  <c r="AK45" i="4"/>
  <c r="AO45" i="4" s="1"/>
  <c r="AK39" i="4"/>
  <c r="AO39" i="4" s="1"/>
  <c r="AK37" i="4"/>
  <c r="AO37" i="4" s="1"/>
  <c r="AK31" i="4"/>
  <c r="AO31" i="4" s="1"/>
  <c r="AK29" i="4"/>
  <c r="AO29" i="4" s="1"/>
  <c r="AK23" i="4"/>
  <c r="AO23" i="4" s="1"/>
  <c r="AK21" i="4"/>
  <c r="AO21" i="4" s="1"/>
  <c r="AK15" i="4"/>
  <c r="AO15" i="4" s="1"/>
  <c r="AK11" i="4"/>
  <c r="AO11" i="4" s="1"/>
  <c r="AK9" i="4"/>
  <c r="AO9" i="4" s="1"/>
  <c r="AK7" i="4"/>
  <c r="AO7" i="4" s="1"/>
  <c r="AK6" i="4"/>
  <c r="AO6" i="4" s="1"/>
  <c r="AK109" i="4"/>
  <c r="AK101" i="4"/>
  <c r="AK78" i="4"/>
  <c r="AO78" i="4" s="1"/>
  <c r="AK70" i="4"/>
  <c r="AO70" i="4" s="1"/>
  <c r="AK62" i="4"/>
  <c r="AO62" i="4" s="1"/>
  <c r="AK54" i="4"/>
  <c r="AO54" i="4" s="1"/>
  <c r="AK46" i="4"/>
  <c r="AO46" i="4" s="1"/>
  <c r="AK38" i="4"/>
  <c r="AO38" i="4" s="1"/>
  <c r="AK30" i="4"/>
  <c r="AO30" i="4" s="1"/>
  <c r="AK22" i="4"/>
  <c r="AO22" i="4" s="1"/>
  <c r="AK14" i="4"/>
  <c r="AO14" i="4" s="1"/>
  <c r="AK108" i="4"/>
  <c r="AK106" i="4"/>
  <c r="AK104" i="4"/>
  <c r="AK100" i="4"/>
  <c r="AK99" i="4"/>
  <c r="AK82" i="4"/>
  <c r="AO82" i="4" s="1"/>
  <c r="AK77" i="4"/>
  <c r="AO77" i="4" s="1"/>
  <c r="AK69" i="4"/>
  <c r="AO69" i="4" s="1"/>
  <c r="AK61" i="4"/>
  <c r="AO61" i="4" s="1"/>
  <c r="AK53" i="4"/>
  <c r="AO53" i="4" s="1"/>
  <c r="AK13" i="4"/>
  <c r="AO13" i="4" s="1"/>
  <c r="AK107" i="4"/>
  <c r="AK76" i="4"/>
  <c r="AO76" i="4" s="1"/>
  <c r="AK60" i="4"/>
  <c r="AO60" i="4" s="1"/>
  <c r="AK44" i="4"/>
  <c r="AO44" i="4" s="1"/>
  <c r="AK36" i="4"/>
  <c r="AO36" i="4" s="1"/>
  <c r="AK35" i="4"/>
  <c r="AO35" i="4" s="1"/>
  <c r="AK27" i="4"/>
  <c r="AO27" i="4" s="1"/>
  <c r="AK19" i="4"/>
  <c r="AO19" i="4" s="1"/>
  <c r="AK113" i="4"/>
  <c r="AK105" i="4"/>
  <c r="AK74" i="4"/>
  <c r="AO74" i="4" s="1"/>
  <c r="AK58" i="4"/>
  <c r="AO58" i="4" s="1"/>
  <c r="AK42" i="4"/>
  <c r="AO42" i="4" s="1"/>
  <c r="AK34" i="4"/>
  <c r="AO34" i="4" s="1"/>
  <c r="AK26" i="4"/>
  <c r="AO26" i="4" s="1"/>
  <c r="AK18" i="4"/>
  <c r="AO18" i="4" s="1"/>
  <c r="AK10" i="4"/>
  <c r="AO10" i="4" s="1"/>
  <c r="AK112" i="4"/>
  <c r="AK81" i="4"/>
  <c r="AO81" i="4" s="1"/>
  <c r="AK65" i="4"/>
  <c r="AO65" i="4" s="1"/>
  <c r="AK49" i="4"/>
  <c r="AO49" i="4" s="1"/>
  <c r="AK41" i="4"/>
  <c r="AO41" i="4" s="1"/>
  <c r="AK33" i="4"/>
  <c r="AO33" i="4" s="1"/>
  <c r="AK25" i="4"/>
  <c r="AO25" i="4" s="1"/>
  <c r="AK17" i="4"/>
  <c r="AO17" i="4" s="1"/>
  <c r="AK111" i="4"/>
  <c r="AK103" i="4"/>
  <c r="AK80" i="4"/>
  <c r="AO80" i="4" s="1"/>
  <c r="AK72" i="4"/>
  <c r="AO72" i="4" s="1"/>
  <c r="AK64" i="4"/>
  <c r="AO64" i="4" s="1"/>
  <c r="AK56" i="4"/>
  <c r="AO56" i="4" s="1"/>
  <c r="AK48" i="4"/>
  <c r="AO48" i="4" s="1"/>
  <c r="AK40" i="4"/>
  <c r="AO40" i="4" s="1"/>
  <c r="AK32" i="4"/>
  <c r="AO32" i="4" s="1"/>
  <c r="AK24" i="4"/>
  <c r="AO24" i="4" s="1"/>
  <c r="AK16" i="4"/>
  <c r="AO16" i="4" s="1"/>
  <c r="AK8" i="4"/>
  <c r="AO8" i="4" s="1"/>
  <c r="R83" i="4"/>
  <c r="R78" i="4"/>
  <c r="V78" i="4" s="1"/>
  <c r="R70" i="4"/>
  <c r="V70" i="4" s="1"/>
  <c r="R59" i="4"/>
  <c r="V59" i="4" s="1"/>
  <c r="R54" i="4"/>
  <c r="V54" i="4" s="1"/>
  <c r="R51" i="4"/>
  <c r="V51" i="4" s="1"/>
  <c r="R46" i="4"/>
  <c r="V46" i="4" s="1"/>
  <c r="R43" i="4"/>
  <c r="V43" i="4" s="1"/>
  <c r="R38" i="4"/>
  <c r="V38" i="4" s="1"/>
  <c r="R35" i="4"/>
  <c r="V35" i="4" s="1"/>
  <c r="R30" i="4"/>
  <c r="V30" i="4" s="1"/>
  <c r="R27" i="4"/>
  <c r="V27" i="4" s="1"/>
  <c r="R109" i="4"/>
  <c r="R101" i="4"/>
  <c r="R75" i="4"/>
  <c r="V75" i="4" s="1"/>
  <c r="R67" i="4"/>
  <c r="V67" i="4" s="1"/>
  <c r="R62" i="4"/>
  <c r="V62" i="4" s="1"/>
  <c r="R21" i="4"/>
  <c r="V21" i="4" s="1"/>
  <c r="R13" i="4"/>
  <c r="V13" i="4" s="1"/>
  <c r="R5" i="4"/>
  <c r="V5" i="4" s="1"/>
  <c r="R105" i="4"/>
  <c r="R74" i="4"/>
  <c r="V74" i="4" s="1"/>
  <c r="R66" i="4"/>
  <c r="V66" i="4" s="1"/>
  <c r="R42" i="4"/>
  <c r="V42" i="4" s="1"/>
  <c r="R34" i="4"/>
  <c r="V34" i="4" s="1"/>
  <c r="R18" i="4"/>
  <c r="V18" i="4" s="1"/>
  <c r="R10" i="4"/>
  <c r="V10" i="4" s="1"/>
  <c r="R7" i="4"/>
  <c r="V7" i="4" s="1"/>
  <c r="R100" i="4"/>
  <c r="R113" i="4"/>
  <c r="R82" i="4"/>
  <c r="V82" i="4" s="1"/>
  <c r="R58" i="4"/>
  <c r="V58" i="4" s="1"/>
  <c r="R50" i="4"/>
  <c r="V50" i="4" s="1"/>
  <c r="R26" i="4"/>
  <c r="V26" i="4" s="1"/>
  <c r="R112" i="4"/>
  <c r="R104" i="4"/>
  <c r="R81" i="4"/>
  <c r="V81" i="4" s="1"/>
  <c r="R73" i="4"/>
  <c r="V73" i="4" s="1"/>
  <c r="R65" i="4"/>
  <c r="V65" i="4" s="1"/>
  <c r="R57" i="4"/>
  <c r="V57" i="4" s="1"/>
  <c r="R49" i="4"/>
  <c r="V49" i="4" s="1"/>
  <c r="R41" i="4"/>
  <c r="V41" i="4" s="1"/>
  <c r="R33" i="4"/>
  <c r="V33" i="4" s="1"/>
  <c r="R25" i="4"/>
  <c r="V25" i="4" s="1"/>
  <c r="R17" i="4"/>
  <c r="V17" i="4" s="1"/>
  <c r="R9" i="4"/>
  <c r="V9" i="4" s="1"/>
  <c r="R53" i="4"/>
  <c r="V53" i="4" s="1"/>
  <c r="R63" i="4"/>
  <c r="V63" i="4" s="1"/>
  <c r="R47" i="4"/>
  <c r="V47" i="4" s="1"/>
  <c r="R39" i="4"/>
  <c r="V39" i="4" s="1"/>
  <c r="R31" i="4"/>
  <c r="V31" i="4" s="1"/>
  <c r="R23" i="4"/>
  <c r="V23" i="4" s="1"/>
  <c r="R15" i="4"/>
  <c r="V15" i="4" s="1"/>
  <c r="R111" i="4"/>
  <c r="R103" i="4"/>
  <c r="R80" i="4"/>
  <c r="V80" i="4" s="1"/>
  <c r="R72" i="4"/>
  <c r="V72" i="4" s="1"/>
  <c r="R64" i="4"/>
  <c r="V64" i="4" s="1"/>
  <c r="R56" i="4"/>
  <c r="V56" i="4" s="1"/>
  <c r="R48" i="4"/>
  <c r="V48" i="4" s="1"/>
  <c r="R40" i="4"/>
  <c r="V40" i="4" s="1"/>
  <c r="R32" i="4"/>
  <c r="V32" i="4" s="1"/>
  <c r="R24" i="4"/>
  <c r="V24" i="4" s="1"/>
  <c r="R16" i="4"/>
  <c r="V16" i="4" s="1"/>
  <c r="R8" i="4"/>
  <c r="V8" i="4" s="1"/>
  <c r="R61" i="4"/>
  <c r="V61" i="4" s="1"/>
  <c r="R37" i="4"/>
  <c r="V37" i="4" s="1"/>
  <c r="R79" i="4"/>
  <c r="V79" i="4" s="1"/>
  <c r="R71" i="4"/>
  <c r="V71" i="4" s="1"/>
  <c r="R55" i="4"/>
  <c r="V55" i="4" s="1"/>
  <c r="R110" i="4"/>
  <c r="R102" i="4"/>
  <c r="R22" i="4"/>
  <c r="V22" i="4" s="1"/>
  <c r="R19" i="4"/>
  <c r="V19" i="4" s="1"/>
  <c r="R14" i="4"/>
  <c r="V14" i="4" s="1"/>
  <c r="R11" i="4"/>
  <c r="V11" i="4" s="1"/>
  <c r="R6" i="4"/>
  <c r="V6" i="4" s="1"/>
  <c r="R77" i="4"/>
  <c r="V77" i="4" s="1"/>
  <c r="R29" i="4"/>
  <c r="V29" i="4" s="1"/>
  <c r="R69" i="4"/>
  <c r="V69" i="4" s="1"/>
  <c r="R45" i="4"/>
  <c r="V45" i="4" s="1"/>
  <c r="R76" i="4"/>
  <c r="V76" i="4" s="1"/>
  <c r="R68" i="4"/>
  <c r="V68" i="4" s="1"/>
  <c r="R60" i="4"/>
  <c r="V60" i="4" s="1"/>
  <c r="R52" i="4"/>
  <c r="V52" i="4" s="1"/>
  <c r="R44" i="4"/>
  <c r="V44" i="4" s="1"/>
  <c r="R36" i="4"/>
  <c r="V36" i="4" s="1"/>
  <c r="R28" i="4"/>
  <c r="V28" i="4" s="1"/>
  <c r="R20" i="4"/>
  <c r="V20" i="4" s="1"/>
  <c r="R12" i="4"/>
  <c r="V12" i="4" s="1"/>
  <c r="R108" i="4"/>
  <c r="R107" i="4"/>
  <c r="R99" i="4"/>
  <c r="R4" i="4"/>
  <c r="R106" i="4"/>
  <c r="W5" i="4"/>
  <c r="X5" i="4"/>
  <c r="Y5" i="4"/>
  <c r="Z5" i="4"/>
  <c r="W6" i="4"/>
  <c r="X6" i="4"/>
  <c r="Y6" i="4"/>
  <c r="Z6" i="4"/>
  <c r="W7" i="4"/>
  <c r="X7" i="4"/>
  <c r="Y7" i="4"/>
  <c r="Z7" i="4"/>
  <c r="W8" i="4"/>
  <c r="X8" i="4"/>
  <c r="Y8" i="4"/>
  <c r="Z8" i="4"/>
  <c r="W9" i="4"/>
  <c r="X9" i="4"/>
  <c r="Y9" i="4"/>
  <c r="Z9" i="4"/>
  <c r="W10" i="4"/>
  <c r="X10" i="4"/>
  <c r="Y10" i="4"/>
  <c r="Z10" i="4"/>
  <c r="W11" i="4"/>
  <c r="X11" i="4"/>
  <c r="Y11" i="4"/>
  <c r="Z11" i="4"/>
  <c r="W12" i="4"/>
  <c r="X12" i="4"/>
  <c r="Y12" i="4"/>
  <c r="Z12" i="4"/>
  <c r="W13" i="4"/>
  <c r="X13" i="4"/>
  <c r="Y13" i="4"/>
  <c r="Z13" i="4"/>
  <c r="W14" i="4"/>
  <c r="X14" i="4"/>
  <c r="Y14" i="4"/>
  <c r="Z14" i="4"/>
  <c r="W15" i="4"/>
  <c r="X15" i="4"/>
  <c r="Y15" i="4"/>
  <c r="Z15" i="4"/>
  <c r="W16" i="4"/>
  <c r="X16" i="4"/>
  <c r="Y16" i="4"/>
  <c r="Z16" i="4"/>
  <c r="W17" i="4"/>
  <c r="X17" i="4"/>
  <c r="Y17" i="4"/>
  <c r="Z17" i="4"/>
  <c r="W18" i="4"/>
  <c r="X18" i="4"/>
  <c r="Y18" i="4"/>
  <c r="Z18" i="4"/>
  <c r="W19" i="4"/>
  <c r="X19" i="4"/>
  <c r="Y19" i="4"/>
  <c r="Z19" i="4"/>
  <c r="W20" i="4"/>
  <c r="X20" i="4"/>
  <c r="Y20" i="4"/>
  <c r="Z20" i="4"/>
  <c r="W21" i="4"/>
  <c r="X21" i="4"/>
  <c r="Y21" i="4"/>
  <c r="Z21" i="4"/>
  <c r="W22" i="4"/>
  <c r="X22" i="4"/>
  <c r="Y22" i="4"/>
  <c r="Z22" i="4"/>
  <c r="W23" i="4"/>
  <c r="X23" i="4"/>
  <c r="Y23" i="4"/>
  <c r="Z23" i="4"/>
  <c r="W24" i="4"/>
  <c r="X24" i="4"/>
  <c r="Y24" i="4"/>
  <c r="Z24" i="4"/>
  <c r="W25" i="4"/>
  <c r="X25" i="4"/>
  <c r="Y25" i="4"/>
  <c r="Z25" i="4"/>
  <c r="W26" i="4"/>
  <c r="X26" i="4"/>
  <c r="Y26" i="4"/>
  <c r="Z26" i="4"/>
  <c r="W27" i="4"/>
  <c r="X27" i="4"/>
  <c r="Y27" i="4"/>
  <c r="Z27" i="4"/>
  <c r="W28" i="4"/>
  <c r="X28" i="4"/>
  <c r="Y28" i="4"/>
  <c r="Z28" i="4"/>
  <c r="W29" i="4"/>
  <c r="X29" i="4"/>
  <c r="Y29" i="4"/>
  <c r="Z29" i="4"/>
  <c r="W30" i="4"/>
  <c r="X30" i="4"/>
  <c r="Y30" i="4"/>
  <c r="Z30" i="4"/>
  <c r="W31" i="4"/>
  <c r="X31" i="4"/>
  <c r="Y31" i="4"/>
  <c r="Z31" i="4"/>
  <c r="W32" i="4"/>
  <c r="X32" i="4"/>
  <c r="Y32" i="4"/>
  <c r="Z32" i="4"/>
  <c r="W33" i="4"/>
  <c r="X33" i="4"/>
  <c r="Y33" i="4"/>
  <c r="Z33" i="4"/>
  <c r="W34" i="4"/>
  <c r="X34" i="4"/>
  <c r="Y34" i="4"/>
  <c r="Z34" i="4"/>
  <c r="W35" i="4"/>
  <c r="X35" i="4"/>
  <c r="Y35" i="4"/>
  <c r="Z35" i="4"/>
  <c r="W36" i="4"/>
  <c r="X36" i="4"/>
  <c r="Y36" i="4"/>
  <c r="Z36" i="4"/>
  <c r="W37" i="4"/>
  <c r="X37" i="4"/>
  <c r="Y37" i="4"/>
  <c r="Z37" i="4"/>
  <c r="W38" i="4"/>
  <c r="X38" i="4"/>
  <c r="Y38" i="4"/>
  <c r="Z38" i="4"/>
  <c r="W39" i="4"/>
  <c r="X39" i="4"/>
  <c r="Y39" i="4"/>
  <c r="Z39" i="4"/>
  <c r="W40" i="4"/>
  <c r="X40" i="4"/>
  <c r="Y40" i="4"/>
  <c r="Z40" i="4"/>
  <c r="W41" i="4"/>
  <c r="X41" i="4"/>
  <c r="Y41" i="4"/>
  <c r="Z41" i="4"/>
  <c r="W42" i="4"/>
  <c r="X42" i="4"/>
  <c r="Y42" i="4"/>
  <c r="Z42" i="4"/>
  <c r="W43" i="4"/>
  <c r="X43" i="4"/>
  <c r="Y43" i="4"/>
  <c r="Z43" i="4"/>
  <c r="W44" i="4"/>
  <c r="X44" i="4"/>
  <c r="Y44" i="4"/>
  <c r="Z44" i="4"/>
  <c r="W45" i="4"/>
  <c r="X45" i="4"/>
  <c r="Y45" i="4"/>
  <c r="Z45" i="4"/>
  <c r="W46" i="4"/>
  <c r="X46" i="4"/>
  <c r="Y46" i="4"/>
  <c r="Z46" i="4"/>
  <c r="W47" i="4"/>
  <c r="X47" i="4"/>
  <c r="Y47" i="4"/>
  <c r="Z47" i="4"/>
  <c r="W48" i="4"/>
  <c r="X48" i="4"/>
  <c r="Y48" i="4"/>
  <c r="Z48" i="4"/>
  <c r="W49" i="4"/>
  <c r="X49" i="4"/>
  <c r="Y49" i="4"/>
  <c r="Z49" i="4"/>
  <c r="W50" i="4"/>
  <c r="X50" i="4"/>
  <c r="Y50" i="4"/>
  <c r="Z50" i="4"/>
  <c r="W51" i="4"/>
  <c r="X51" i="4"/>
  <c r="Y51" i="4"/>
  <c r="Z51" i="4"/>
  <c r="W52" i="4"/>
  <c r="X52" i="4"/>
  <c r="Y52" i="4"/>
  <c r="Z52" i="4"/>
  <c r="W53" i="4"/>
  <c r="X53" i="4"/>
  <c r="Y53" i="4"/>
  <c r="Z53" i="4"/>
  <c r="W54" i="4"/>
  <c r="X54" i="4"/>
  <c r="Y54" i="4"/>
  <c r="Z54" i="4"/>
  <c r="W55" i="4"/>
  <c r="X55" i="4"/>
  <c r="Y55" i="4"/>
  <c r="Z55" i="4"/>
  <c r="W56" i="4"/>
  <c r="X56" i="4"/>
  <c r="Y56" i="4"/>
  <c r="Z56" i="4"/>
  <c r="W57" i="4"/>
  <c r="X57" i="4"/>
  <c r="Y57" i="4"/>
  <c r="Z57" i="4"/>
  <c r="W58" i="4"/>
  <c r="X58" i="4"/>
  <c r="Y58" i="4"/>
  <c r="Z58" i="4"/>
  <c r="W59" i="4"/>
  <c r="X59" i="4"/>
  <c r="Y59" i="4"/>
  <c r="Z59" i="4"/>
  <c r="W60" i="4"/>
  <c r="X60" i="4"/>
  <c r="Y60" i="4"/>
  <c r="Z60" i="4"/>
  <c r="W61" i="4"/>
  <c r="X61" i="4"/>
  <c r="Y61" i="4"/>
  <c r="Z61" i="4"/>
  <c r="W62" i="4"/>
  <c r="X62" i="4"/>
  <c r="Y62" i="4"/>
  <c r="Z62" i="4"/>
  <c r="W63" i="4"/>
  <c r="X63" i="4"/>
  <c r="Y63" i="4"/>
  <c r="Z63" i="4"/>
  <c r="W64" i="4"/>
  <c r="X64" i="4"/>
  <c r="Y64" i="4"/>
  <c r="Z64" i="4"/>
  <c r="W65" i="4"/>
  <c r="X65" i="4"/>
  <c r="Y65" i="4"/>
  <c r="Z65" i="4"/>
  <c r="W66" i="4"/>
  <c r="X66" i="4"/>
  <c r="Y66" i="4"/>
  <c r="Z66" i="4"/>
  <c r="W67" i="4"/>
  <c r="X67" i="4"/>
  <c r="Y67" i="4"/>
  <c r="Z67" i="4"/>
  <c r="W68" i="4"/>
  <c r="X68" i="4"/>
  <c r="Y68" i="4"/>
  <c r="Z68" i="4"/>
  <c r="W69" i="4"/>
  <c r="X69" i="4"/>
  <c r="Y69" i="4"/>
  <c r="Z69" i="4"/>
  <c r="W70" i="4"/>
  <c r="X70" i="4"/>
  <c r="Y70" i="4"/>
  <c r="Z70" i="4"/>
  <c r="W71" i="4"/>
  <c r="X71" i="4"/>
  <c r="Y71" i="4"/>
  <c r="Z71" i="4"/>
  <c r="W72" i="4"/>
  <c r="X72" i="4"/>
  <c r="Y72" i="4"/>
  <c r="Z72" i="4"/>
  <c r="W73" i="4"/>
  <c r="X73" i="4"/>
  <c r="Y73" i="4"/>
  <c r="Z73" i="4"/>
  <c r="W74" i="4"/>
  <c r="X74" i="4"/>
  <c r="Y74" i="4"/>
  <c r="Z74" i="4"/>
  <c r="W75" i="4"/>
  <c r="X75" i="4"/>
  <c r="Y75" i="4"/>
  <c r="Z75" i="4"/>
  <c r="W76" i="4"/>
  <c r="X76" i="4"/>
  <c r="Y76" i="4"/>
  <c r="Z76" i="4"/>
  <c r="W77" i="4"/>
  <c r="X77" i="4"/>
  <c r="Y77" i="4"/>
  <c r="Z77" i="4"/>
  <c r="W78" i="4"/>
  <c r="X78" i="4"/>
  <c r="Y78" i="4"/>
  <c r="Z78" i="4"/>
  <c r="W79" i="4"/>
  <c r="X79" i="4"/>
  <c r="Y79" i="4"/>
  <c r="Z79" i="4"/>
  <c r="W80" i="4"/>
  <c r="X80" i="4"/>
  <c r="Y80" i="4"/>
  <c r="Z80" i="4"/>
  <c r="W81" i="4"/>
  <c r="X81" i="4"/>
  <c r="Y81" i="4"/>
  <c r="Z81" i="4"/>
  <c r="W82" i="4"/>
  <c r="X82" i="4"/>
  <c r="Y82" i="4"/>
  <c r="Z82" i="4"/>
  <c r="W83" i="4"/>
  <c r="X83" i="4"/>
  <c r="Y83" i="4"/>
  <c r="Z83" i="4"/>
  <c r="W99" i="4"/>
  <c r="X99" i="4"/>
  <c r="Y99" i="4"/>
  <c r="Z99" i="4"/>
  <c r="W100" i="4"/>
  <c r="X100" i="4"/>
  <c r="Y100" i="4"/>
  <c r="Z100" i="4"/>
  <c r="W101" i="4"/>
  <c r="X101" i="4"/>
  <c r="Y101" i="4"/>
  <c r="Z101" i="4"/>
  <c r="W102" i="4"/>
  <c r="X102" i="4"/>
  <c r="Y102" i="4"/>
  <c r="Z102" i="4"/>
  <c r="W103" i="4"/>
  <c r="X103" i="4"/>
  <c r="Y103" i="4"/>
  <c r="Z103" i="4"/>
  <c r="W104" i="4"/>
  <c r="X104" i="4"/>
  <c r="Y104" i="4"/>
  <c r="Z104" i="4"/>
  <c r="W105" i="4"/>
  <c r="X105" i="4"/>
  <c r="Y105" i="4"/>
  <c r="Z105" i="4"/>
  <c r="W106" i="4"/>
  <c r="X106" i="4"/>
  <c r="Y106" i="4"/>
  <c r="Z106" i="4"/>
  <c r="W107" i="4"/>
  <c r="X107" i="4"/>
  <c r="Y107" i="4"/>
  <c r="Z107" i="4"/>
  <c r="W108" i="4"/>
  <c r="X108" i="4"/>
  <c r="Y108" i="4"/>
  <c r="Z108" i="4"/>
  <c r="W109" i="4"/>
  <c r="X109" i="4"/>
  <c r="Y109" i="4"/>
  <c r="Z109" i="4"/>
  <c r="W110" i="4"/>
  <c r="X110" i="4"/>
  <c r="Y110" i="4"/>
  <c r="Z110" i="4"/>
  <c r="W111" i="4"/>
  <c r="X111" i="4"/>
  <c r="Y111" i="4"/>
  <c r="Z111" i="4"/>
  <c r="W112" i="4"/>
  <c r="X112" i="4"/>
  <c r="Y112" i="4"/>
  <c r="Z112" i="4"/>
  <c r="W113" i="4"/>
  <c r="X113" i="4"/>
  <c r="Y113" i="4"/>
  <c r="Z113" i="4"/>
  <c r="Y4" i="4"/>
  <c r="X4" i="4"/>
  <c r="W4" i="4"/>
  <c r="D110" i="4"/>
  <c r="E110" i="4"/>
  <c r="F110" i="4"/>
  <c r="G110" i="4"/>
  <c r="D111" i="4"/>
  <c r="E111" i="4"/>
  <c r="F111" i="4"/>
  <c r="G111" i="4"/>
  <c r="D112" i="4"/>
  <c r="E112" i="4"/>
  <c r="F112" i="4"/>
  <c r="G112" i="4"/>
  <c r="D113" i="4"/>
  <c r="E113" i="4"/>
  <c r="F113" i="4"/>
  <c r="G113" i="4"/>
  <c r="C111" i="4"/>
  <c r="C112" i="4"/>
  <c r="C113" i="4"/>
  <c r="B110" i="4"/>
  <c r="C110" i="4" s="1"/>
  <c r="B109" i="4"/>
  <c r="C109" i="4" s="1"/>
  <c r="B107" i="4"/>
  <c r="C107" i="4" s="1"/>
  <c r="B106" i="4"/>
  <c r="C106" i="4" s="1"/>
  <c r="B105" i="4"/>
  <c r="C105" i="4" s="1"/>
  <c r="B104" i="4"/>
  <c r="C104" i="4" s="1"/>
  <c r="B103" i="4"/>
  <c r="C103" i="4" s="1"/>
  <c r="B102" i="4"/>
  <c r="C102" i="4" s="1"/>
  <c r="B101" i="4"/>
  <c r="C101" i="4" s="1"/>
  <c r="B99" i="4"/>
  <c r="C99" i="4" s="1"/>
  <c r="B83" i="4"/>
  <c r="C83" i="4" s="1"/>
  <c r="H2" i="7"/>
  <c r="H4" i="7"/>
  <c r="H5" i="7"/>
  <c r="H6" i="7"/>
  <c r="H7" i="7"/>
  <c r="H8" i="7"/>
  <c r="H9" i="7"/>
  <c r="H10" i="7"/>
  <c r="H12" i="7"/>
  <c r="H13" i="7"/>
  <c r="H1" i="7"/>
  <c r="C100" i="4"/>
  <c r="C108" i="4"/>
  <c r="D107" i="4"/>
  <c r="E107" i="4"/>
  <c r="F107" i="4"/>
  <c r="G107" i="4"/>
  <c r="D108" i="4"/>
  <c r="E108" i="4"/>
  <c r="F108" i="4"/>
  <c r="G108" i="4"/>
  <c r="D109" i="4"/>
  <c r="E109" i="4"/>
  <c r="F109" i="4"/>
  <c r="G109" i="4"/>
  <c r="E5" i="4"/>
  <c r="F5" i="4"/>
  <c r="G5" i="4"/>
  <c r="E6" i="4"/>
  <c r="F6" i="4"/>
  <c r="G6" i="4"/>
  <c r="E7" i="4"/>
  <c r="F7" i="4"/>
  <c r="G7" i="4"/>
  <c r="E8" i="4"/>
  <c r="F8" i="4"/>
  <c r="G8" i="4"/>
  <c r="E9" i="4"/>
  <c r="F9" i="4"/>
  <c r="G9" i="4"/>
  <c r="E10" i="4"/>
  <c r="F10" i="4"/>
  <c r="G10" i="4"/>
  <c r="E11" i="4"/>
  <c r="F11" i="4"/>
  <c r="G11" i="4"/>
  <c r="E12" i="4"/>
  <c r="F12" i="4"/>
  <c r="G12" i="4"/>
  <c r="E13" i="4"/>
  <c r="F13" i="4"/>
  <c r="G13" i="4"/>
  <c r="E14" i="4"/>
  <c r="F14" i="4"/>
  <c r="G14" i="4"/>
  <c r="E15" i="4"/>
  <c r="F15" i="4"/>
  <c r="G15" i="4"/>
  <c r="E16" i="4"/>
  <c r="F16" i="4"/>
  <c r="G16" i="4"/>
  <c r="E17" i="4"/>
  <c r="F17" i="4"/>
  <c r="G17" i="4"/>
  <c r="E18" i="4"/>
  <c r="F18" i="4"/>
  <c r="G18" i="4"/>
  <c r="E19" i="4"/>
  <c r="F19" i="4"/>
  <c r="G19" i="4"/>
  <c r="E20" i="4"/>
  <c r="F20" i="4"/>
  <c r="G20" i="4"/>
  <c r="E21" i="4"/>
  <c r="F21" i="4"/>
  <c r="G21" i="4"/>
  <c r="E22" i="4"/>
  <c r="F22" i="4"/>
  <c r="G22" i="4"/>
  <c r="E23" i="4"/>
  <c r="F23" i="4"/>
  <c r="G23" i="4"/>
  <c r="E24" i="4"/>
  <c r="F24" i="4"/>
  <c r="G24" i="4"/>
  <c r="E25" i="4"/>
  <c r="F25" i="4"/>
  <c r="G25" i="4"/>
  <c r="E26" i="4"/>
  <c r="F26" i="4"/>
  <c r="G26" i="4"/>
  <c r="E27" i="4"/>
  <c r="F27" i="4"/>
  <c r="G27" i="4"/>
  <c r="E28" i="4"/>
  <c r="F28" i="4"/>
  <c r="G28" i="4"/>
  <c r="E29" i="4"/>
  <c r="F29" i="4"/>
  <c r="G29" i="4"/>
  <c r="E30" i="4"/>
  <c r="F30" i="4"/>
  <c r="G30" i="4"/>
  <c r="E31" i="4"/>
  <c r="F31" i="4"/>
  <c r="G31" i="4"/>
  <c r="E32" i="4"/>
  <c r="F32" i="4"/>
  <c r="G32" i="4"/>
  <c r="E33" i="4"/>
  <c r="F33" i="4"/>
  <c r="G33" i="4"/>
  <c r="E34" i="4"/>
  <c r="F34" i="4"/>
  <c r="G34" i="4"/>
  <c r="E35" i="4"/>
  <c r="F35" i="4"/>
  <c r="G35" i="4"/>
  <c r="E36" i="4"/>
  <c r="F36" i="4"/>
  <c r="G36" i="4"/>
  <c r="E37" i="4"/>
  <c r="F37" i="4"/>
  <c r="G37" i="4"/>
  <c r="E38" i="4"/>
  <c r="F38" i="4"/>
  <c r="G38" i="4"/>
  <c r="E39" i="4"/>
  <c r="F39" i="4"/>
  <c r="G39" i="4"/>
  <c r="E40" i="4"/>
  <c r="F40" i="4"/>
  <c r="G40" i="4"/>
  <c r="E41" i="4"/>
  <c r="F41" i="4"/>
  <c r="G41" i="4"/>
  <c r="E42" i="4"/>
  <c r="F42" i="4"/>
  <c r="G42" i="4"/>
  <c r="E43" i="4"/>
  <c r="F43" i="4"/>
  <c r="G43" i="4"/>
  <c r="E44" i="4"/>
  <c r="F44" i="4"/>
  <c r="G44" i="4"/>
  <c r="E45" i="4"/>
  <c r="F45" i="4"/>
  <c r="G45" i="4"/>
  <c r="E46" i="4"/>
  <c r="F46" i="4"/>
  <c r="G46" i="4"/>
  <c r="E47" i="4"/>
  <c r="F47" i="4"/>
  <c r="G47" i="4"/>
  <c r="E48" i="4"/>
  <c r="F48" i="4"/>
  <c r="G48" i="4"/>
  <c r="E49" i="4"/>
  <c r="F49" i="4"/>
  <c r="G49" i="4"/>
  <c r="E50" i="4"/>
  <c r="F50" i="4"/>
  <c r="G50" i="4"/>
  <c r="E51" i="4"/>
  <c r="F51" i="4"/>
  <c r="G51" i="4"/>
  <c r="E52" i="4"/>
  <c r="F52" i="4"/>
  <c r="G52" i="4"/>
  <c r="E53" i="4"/>
  <c r="F53" i="4"/>
  <c r="G53" i="4"/>
  <c r="E54" i="4"/>
  <c r="F54" i="4"/>
  <c r="G54" i="4"/>
  <c r="E55" i="4"/>
  <c r="F55" i="4"/>
  <c r="G55" i="4"/>
  <c r="E56" i="4"/>
  <c r="F56" i="4"/>
  <c r="G56" i="4"/>
  <c r="E57" i="4"/>
  <c r="F57" i="4"/>
  <c r="G57" i="4"/>
  <c r="E58" i="4"/>
  <c r="F58" i="4"/>
  <c r="G58" i="4"/>
  <c r="E59" i="4"/>
  <c r="F59" i="4"/>
  <c r="G59" i="4"/>
  <c r="E60" i="4"/>
  <c r="F60" i="4"/>
  <c r="G60" i="4"/>
  <c r="E61" i="4"/>
  <c r="F61" i="4"/>
  <c r="G61" i="4"/>
  <c r="E62" i="4"/>
  <c r="F62" i="4"/>
  <c r="G62" i="4"/>
  <c r="E63" i="4"/>
  <c r="F63" i="4"/>
  <c r="G63" i="4"/>
  <c r="E64" i="4"/>
  <c r="F64" i="4"/>
  <c r="G64" i="4"/>
  <c r="E65" i="4"/>
  <c r="F65" i="4"/>
  <c r="G65" i="4"/>
  <c r="E66" i="4"/>
  <c r="F66" i="4"/>
  <c r="G66" i="4"/>
  <c r="E67" i="4"/>
  <c r="F67" i="4"/>
  <c r="G67" i="4"/>
  <c r="E68" i="4"/>
  <c r="F68" i="4"/>
  <c r="G68" i="4"/>
  <c r="E69" i="4"/>
  <c r="F69" i="4"/>
  <c r="G69" i="4"/>
  <c r="E70" i="4"/>
  <c r="F70" i="4"/>
  <c r="G70" i="4"/>
  <c r="E71" i="4"/>
  <c r="F71" i="4"/>
  <c r="G71" i="4"/>
  <c r="E72" i="4"/>
  <c r="F72" i="4"/>
  <c r="G72" i="4"/>
  <c r="E73" i="4"/>
  <c r="F73" i="4"/>
  <c r="G73" i="4"/>
  <c r="E74" i="4"/>
  <c r="F74" i="4"/>
  <c r="G74" i="4"/>
  <c r="E75" i="4"/>
  <c r="F75" i="4"/>
  <c r="G75" i="4"/>
  <c r="E76" i="4"/>
  <c r="F76" i="4"/>
  <c r="G76" i="4"/>
  <c r="E77" i="4"/>
  <c r="F77" i="4"/>
  <c r="G77" i="4"/>
  <c r="E78" i="4"/>
  <c r="F78" i="4"/>
  <c r="G78" i="4"/>
  <c r="E79" i="4"/>
  <c r="F79" i="4"/>
  <c r="G79" i="4"/>
  <c r="E80" i="4"/>
  <c r="F80" i="4"/>
  <c r="G80" i="4"/>
  <c r="E81" i="4"/>
  <c r="F81" i="4"/>
  <c r="G81" i="4"/>
  <c r="E82" i="4"/>
  <c r="F82" i="4"/>
  <c r="G82" i="4"/>
  <c r="E83" i="4"/>
  <c r="F83" i="4"/>
  <c r="G83" i="4"/>
  <c r="E99" i="4"/>
  <c r="F99" i="4"/>
  <c r="G99" i="4"/>
  <c r="E100" i="4"/>
  <c r="F100" i="4"/>
  <c r="G100" i="4"/>
  <c r="E101" i="4"/>
  <c r="F101" i="4"/>
  <c r="G101" i="4"/>
  <c r="E102" i="4"/>
  <c r="F102" i="4"/>
  <c r="G102" i="4"/>
  <c r="E103" i="4"/>
  <c r="F103" i="4"/>
  <c r="G103" i="4"/>
  <c r="E104" i="4"/>
  <c r="F104" i="4"/>
  <c r="G104" i="4"/>
  <c r="E105" i="4"/>
  <c r="F105" i="4"/>
  <c r="G105" i="4"/>
  <c r="E106" i="4"/>
  <c r="F106" i="4"/>
  <c r="G106" i="4"/>
  <c r="F4" i="4"/>
  <c r="E4" i="4"/>
  <c r="D106" i="4"/>
  <c r="D105" i="4"/>
  <c r="D104" i="4"/>
  <c r="D103" i="4"/>
  <c r="D102" i="4"/>
  <c r="D101" i="4"/>
  <c r="D100" i="4"/>
  <c r="D99" i="4"/>
  <c r="D83" i="4"/>
  <c r="D82" i="4"/>
  <c r="D81" i="4"/>
  <c r="D80" i="4"/>
  <c r="D79" i="4"/>
  <c r="D78" i="4"/>
  <c r="D77" i="4"/>
  <c r="D76" i="4"/>
  <c r="D75" i="4"/>
  <c r="D74" i="4"/>
  <c r="D73" i="4"/>
  <c r="D72"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V4" i="4" l="1"/>
  <c r="R1" i="4"/>
  <c r="AK1" i="4"/>
  <c r="AO4" i="4"/>
  <c r="AM108" i="4"/>
  <c r="AO108" i="4" s="1"/>
  <c r="AL108" i="4"/>
  <c r="AM113" i="4"/>
  <c r="AO113" i="4" s="1"/>
  <c r="AL113" i="4"/>
  <c r="AM100" i="4"/>
  <c r="AO100" i="4" s="1"/>
  <c r="AL100" i="4"/>
  <c r="AM112" i="4"/>
  <c r="AO112" i="4" s="1"/>
  <c r="AL112" i="4"/>
  <c r="AM111" i="4"/>
  <c r="AO111" i="4" s="1"/>
  <c r="AL111" i="4"/>
  <c r="AM104" i="4"/>
  <c r="AO104" i="4" s="1"/>
  <c r="AL104" i="4"/>
  <c r="Q10" i="4"/>
  <c r="U10" i="4" s="1"/>
  <c r="Q42" i="4"/>
  <c r="U42" i="4" s="1"/>
  <c r="AM105" i="4"/>
  <c r="AO105" i="4" s="1"/>
  <c r="AL105" i="4"/>
  <c r="Q26" i="4"/>
  <c r="U26" i="4" s="1"/>
  <c r="AM106" i="4"/>
  <c r="AO106" i="4" s="1"/>
  <c r="AL106" i="4"/>
  <c r="Q34" i="4"/>
  <c r="U34" i="4" s="1"/>
  <c r="AM83" i="4"/>
  <c r="AM1" i="4" s="1"/>
  <c r="AL83" i="4"/>
  <c r="AL1" i="4" s="1"/>
  <c r="AM107" i="4"/>
  <c r="AO107" i="4" s="1"/>
  <c r="AL107" i="4"/>
  <c r="Q18" i="4"/>
  <c r="U18" i="4" s="1"/>
  <c r="AM99" i="4"/>
  <c r="AO99" i="4" s="1"/>
  <c r="AL99" i="4"/>
  <c r="AM109" i="4"/>
  <c r="AO109" i="4" s="1"/>
  <c r="AL109" i="4"/>
  <c r="AM101" i="4"/>
  <c r="AO101" i="4" s="1"/>
  <c r="AL101" i="4"/>
  <c r="AM110" i="4"/>
  <c r="AO110" i="4" s="1"/>
  <c r="AL110" i="4"/>
  <c r="AM102" i="4"/>
  <c r="AO102" i="4" s="1"/>
  <c r="AL102" i="4"/>
  <c r="Q8" i="4"/>
  <c r="U8" i="4" s="1"/>
  <c r="Q16" i="4"/>
  <c r="U16" i="4" s="1"/>
  <c r="Q24" i="4"/>
  <c r="U24" i="4" s="1"/>
  <c r="Q32" i="4"/>
  <c r="U32" i="4" s="1"/>
  <c r="Q40" i="4"/>
  <c r="U40" i="4" s="1"/>
  <c r="Q48" i="4"/>
  <c r="U48" i="4" s="1"/>
  <c r="Q56" i="4"/>
  <c r="U56" i="4" s="1"/>
  <c r="Q64" i="4"/>
  <c r="U64" i="4" s="1"/>
  <c r="Q72" i="4"/>
  <c r="U72" i="4" s="1"/>
  <c r="AM103" i="4"/>
  <c r="AO103" i="4" s="1"/>
  <c r="AL103" i="4"/>
  <c r="Q80" i="4"/>
  <c r="U80" i="4" s="1"/>
  <c r="AJ4" i="4"/>
  <c r="AN4" i="4" s="1"/>
  <c r="AJ112" i="4"/>
  <c r="AJ110" i="4"/>
  <c r="AJ108" i="4"/>
  <c r="AJ106" i="4"/>
  <c r="AJ104" i="4"/>
  <c r="AJ102" i="4"/>
  <c r="AJ100" i="4"/>
  <c r="AJ83" i="4"/>
  <c r="AJ81" i="4"/>
  <c r="AN81" i="4" s="1"/>
  <c r="AJ79" i="4"/>
  <c r="AN79" i="4" s="1"/>
  <c r="AJ77" i="4"/>
  <c r="AN77" i="4" s="1"/>
  <c r="AJ75" i="4"/>
  <c r="AN75" i="4" s="1"/>
  <c r="AJ73" i="4"/>
  <c r="AN73" i="4" s="1"/>
  <c r="AJ71" i="4"/>
  <c r="AN71" i="4" s="1"/>
  <c r="AJ69" i="4"/>
  <c r="AN69" i="4" s="1"/>
  <c r="AJ67" i="4"/>
  <c r="AN67" i="4" s="1"/>
  <c r="AJ65" i="4"/>
  <c r="AN65" i="4" s="1"/>
  <c r="AJ63" i="4"/>
  <c r="AN63" i="4" s="1"/>
  <c r="AJ61" i="4"/>
  <c r="AN61" i="4" s="1"/>
  <c r="AJ59" i="4"/>
  <c r="AN59" i="4" s="1"/>
  <c r="AJ57" i="4"/>
  <c r="AN57" i="4" s="1"/>
  <c r="AJ55" i="4"/>
  <c r="AN55" i="4" s="1"/>
  <c r="AJ53" i="4"/>
  <c r="AN53" i="4" s="1"/>
  <c r="AJ51" i="4"/>
  <c r="AN51" i="4" s="1"/>
  <c r="AJ49" i="4"/>
  <c r="AN49" i="4" s="1"/>
  <c r="AJ47" i="4"/>
  <c r="AN47" i="4" s="1"/>
  <c r="AJ45" i="4"/>
  <c r="AN45" i="4" s="1"/>
  <c r="AJ43" i="4"/>
  <c r="AN43" i="4" s="1"/>
  <c r="AJ41" i="4"/>
  <c r="AN41" i="4" s="1"/>
  <c r="AJ39" i="4"/>
  <c r="AN39" i="4" s="1"/>
  <c r="AJ37" i="4"/>
  <c r="AN37" i="4" s="1"/>
  <c r="AJ35" i="4"/>
  <c r="AN35" i="4" s="1"/>
  <c r="AJ33" i="4"/>
  <c r="AN33" i="4" s="1"/>
  <c r="AJ31" i="4"/>
  <c r="AN31" i="4" s="1"/>
  <c r="AJ29" i="4"/>
  <c r="AN29" i="4" s="1"/>
  <c r="AJ27" i="4"/>
  <c r="AN27" i="4" s="1"/>
  <c r="AJ25" i="4"/>
  <c r="AN25" i="4" s="1"/>
  <c r="AJ23" i="4"/>
  <c r="AN23" i="4" s="1"/>
  <c r="AJ21" i="4"/>
  <c r="AN21" i="4" s="1"/>
  <c r="AJ19" i="4"/>
  <c r="AN19" i="4" s="1"/>
  <c r="AJ17" i="4"/>
  <c r="AN17" i="4" s="1"/>
  <c r="AJ15" i="4"/>
  <c r="AN15" i="4" s="1"/>
  <c r="AJ13" i="4"/>
  <c r="AN13" i="4" s="1"/>
  <c r="AJ11" i="4"/>
  <c r="AN11" i="4" s="1"/>
  <c r="AJ9" i="4"/>
  <c r="AN9" i="4" s="1"/>
  <c r="AJ7" i="4"/>
  <c r="AN7" i="4" s="1"/>
  <c r="AJ5" i="4"/>
  <c r="AN5" i="4" s="1"/>
  <c r="AJ113" i="4"/>
  <c r="AJ111" i="4"/>
  <c r="AJ109" i="4"/>
  <c r="AJ107" i="4"/>
  <c r="AJ105" i="4"/>
  <c r="AJ103" i="4"/>
  <c r="AJ101" i="4"/>
  <c r="AJ99" i="4"/>
  <c r="AJ82" i="4"/>
  <c r="AN82" i="4" s="1"/>
  <c r="AJ80" i="4"/>
  <c r="AN80" i="4" s="1"/>
  <c r="AJ78" i="4"/>
  <c r="AN78" i="4" s="1"/>
  <c r="AJ76" i="4"/>
  <c r="AN76" i="4" s="1"/>
  <c r="AJ74" i="4"/>
  <c r="AN74" i="4" s="1"/>
  <c r="AJ72" i="4"/>
  <c r="AN72" i="4" s="1"/>
  <c r="AJ70" i="4"/>
  <c r="AN70" i="4" s="1"/>
  <c r="AJ68" i="4"/>
  <c r="AN68" i="4" s="1"/>
  <c r="AJ66" i="4"/>
  <c r="AN66" i="4" s="1"/>
  <c r="AJ64" i="4"/>
  <c r="AN64" i="4" s="1"/>
  <c r="AJ62" i="4"/>
  <c r="AN62" i="4" s="1"/>
  <c r="AJ60" i="4"/>
  <c r="AN60" i="4" s="1"/>
  <c r="AJ58" i="4"/>
  <c r="AN58" i="4" s="1"/>
  <c r="AJ56" i="4"/>
  <c r="AN56" i="4" s="1"/>
  <c r="AJ54" i="4"/>
  <c r="AN54" i="4" s="1"/>
  <c r="AJ52" i="4"/>
  <c r="AN52" i="4" s="1"/>
  <c r="AJ50" i="4"/>
  <c r="AN50" i="4" s="1"/>
  <c r="AJ48" i="4"/>
  <c r="AN48" i="4" s="1"/>
  <c r="AJ46" i="4"/>
  <c r="AN46" i="4" s="1"/>
  <c r="AJ44" i="4"/>
  <c r="AN44" i="4" s="1"/>
  <c r="AJ42" i="4"/>
  <c r="AN42" i="4" s="1"/>
  <c r="AJ40" i="4"/>
  <c r="AN40" i="4" s="1"/>
  <c r="AJ38" i="4"/>
  <c r="AN38" i="4" s="1"/>
  <c r="AJ36" i="4"/>
  <c r="AN36" i="4" s="1"/>
  <c r="AJ34" i="4"/>
  <c r="AN34" i="4" s="1"/>
  <c r="AJ32" i="4"/>
  <c r="AN32" i="4" s="1"/>
  <c r="AJ30" i="4"/>
  <c r="AN30" i="4" s="1"/>
  <c r="AJ28" i="4"/>
  <c r="AN28" i="4" s="1"/>
  <c r="AJ26" i="4"/>
  <c r="AN26" i="4" s="1"/>
  <c r="AJ24" i="4"/>
  <c r="AN24" i="4" s="1"/>
  <c r="AJ22" i="4"/>
  <c r="AN22" i="4" s="1"/>
  <c r="AJ20" i="4"/>
  <c r="AN20" i="4" s="1"/>
  <c r="AJ18" i="4"/>
  <c r="AN18" i="4" s="1"/>
  <c r="AJ16" i="4"/>
  <c r="AN16" i="4" s="1"/>
  <c r="AJ14" i="4"/>
  <c r="AN14" i="4" s="1"/>
  <c r="AJ12" i="4"/>
  <c r="AN12" i="4" s="1"/>
  <c r="AJ10" i="4"/>
  <c r="AN10" i="4" s="1"/>
  <c r="AJ8" i="4"/>
  <c r="AN8" i="4" s="1"/>
  <c r="AJ6" i="4"/>
  <c r="AN6" i="4" s="1"/>
  <c r="Q58" i="4"/>
  <c r="U58" i="4" s="1"/>
  <c r="Q82" i="4"/>
  <c r="U82" i="4" s="1"/>
  <c r="Q50" i="4"/>
  <c r="U50" i="4" s="1"/>
  <c r="Q66" i="4"/>
  <c r="U66" i="4" s="1"/>
  <c r="Q74" i="4"/>
  <c r="U74" i="4" s="1"/>
  <c r="Q105" i="4"/>
  <c r="Q4" i="4"/>
  <c r="Q12" i="4"/>
  <c r="U12" i="4" s="1"/>
  <c r="Q20" i="4"/>
  <c r="U20" i="4" s="1"/>
  <c r="Q28" i="4"/>
  <c r="U28" i="4" s="1"/>
  <c r="Q36" i="4"/>
  <c r="U36" i="4" s="1"/>
  <c r="Q44" i="4"/>
  <c r="U44" i="4" s="1"/>
  <c r="Q52" i="4"/>
  <c r="U52" i="4" s="1"/>
  <c r="Q60" i="4"/>
  <c r="U60" i="4" s="1"/>
  <c r="Q68" i="4"/>
  <c r="U68" i="4" s="1"/>
  <c r="Q6" i="4"/>
  <c r="U6" i="4" s="1"/>
  <c r="Q14" i="4"/>
  <c r="U14" i="4" s="1"/>
  <c r="Q22" i="4"/>
  <c r="U22" i="4" s="1"/>
  <c r="Q30" i="4"/>
  <c r="U30" i="4" s="1"/>
  <c r="Q38" i="4"/>
  <c r="U38" i="4" s="1"/>
  <c r="Q46" i="4"/>
  <c r="U46" i="4" s="1"/>
  <c r="Q54" i="4"/>
  <c r="U54" i="4" s="1"/>
  <c r="Q62" i="4"/>
  <c r="U62" i="4" s="1"/>
  <c r="Q70" i="4"/>
  <c r="U70" i="4" s="1"/>
  <c r="Q78" i="4"/>
  <c r="U78" i="4" s="1"/>
  <c r="Q103" i="4"/>
  <c r="Q9" i="4"/>
  <c r="U9" i="4" s="1"/>
  <c r="Q17" i="4"/>
  <c r="U17" i="4" s="1"/>
  <c r="Q25" i="4"/>
  <c r="U25" i="4" s="1"/>
  <c r="Q33" i="4"/>
  <c r="U33" i="4" s="1"/>
  <c r="S108" i="4"/>
  <c r="T108" i="4"/>
  <c r="V108" i="4" s="1"/>
  <c r="T113" i="4"/>
  <c r="V113" i="4" s="1"/>
  <c r="S113" i="4"/>
  <c r="S100" i="4"/>
  <c r="T100" i="4"/>
  <c r="V100" i="4" s="1"/>
  <c r="T112" i="4"/>
  <c r="V112" i="4" s="1"/>
  <c r="S112" i="4"/>
  <c r="T111" i="4"/>
  <c r="V111" i="4" s="1"/>
  <c r="S111" i="4"/>
  <c r="Q101" i="4"/>
  <c r="Q41" i="4"/>
  <c r="U41" i="4" s="1"/>
  <c r="Q49" i="4"/>
  <c r="U49" i="4" s="1"/>
  <c r="Q57" i="4"/>
  <c r="U57" i="4" s="1"/>
  <c r="Q65" i="4"/>
  <c r="U65" i="4" s="1"/>
  <c r="Q73" i="4"/>
  <c r="U73" i="4" s="1"/>
  <c r="Q81" i="4"/>
  <c r="U81" i="4" s="1"/>
  <c r="Q108" i="4"/>
  <c r="Q11" i="4"/>
  <c r="U11" i="4" s="1"/>
  <c r="Q19" i="4"/>
  <c r="U19" i="4" s="1"/>
  <c r="Q27" i="4"/>
  <c r="U27" i="4" s="1"/>
  <c r="Q35" i="4"/>
  <c r="U35" i="4" s="1"/>
  <c r="Q43" i="4"/>
  <c r="U43" i="4" s="1"/>
  <c r="Q51" i="4"/>
  <c r="U51" i="4" s="1"/>
  <c r="Q59" i="4"/>
  <c r="U59" i="4" s="1"/>
  <c r="Q67" i="4"/>
  <c r="U67" i="4" s="1"/>
  <c r="Q75" i="4"/>
  <c r="U75" i="4" s="1"/>
  <c r="Q83" i="4"/>
  <c r="Q76" i="4"/>
  <c r="U76" i="4" s="1"/>
  <c r="Q5" i="4"/>
  <c r="Q13" i="4"/>
  <c r="U13" i="4" s="1"/>
  <c r="Q21" i="4"/>
  <c r="U21" i="4" s="1"/>
  <c r="Q29" i="4"/>
  <c r="U29" i="4" s="1"/>
  <c r="Q37" i="4"/>
  <c r="U37" i="4" s="1"/>
  <c r="Q45" i="4"/>
  <c r="U45" i="4" s="1"/>
  <c r="Q53" i="4"/>
  <c r="U53" i="4" s="1"/>
  <c r="Q61" i="4"/>
  <c r="U61" i="4" s="1"/>
  <c r="Q69" i="4"/>
  <c r="U69" i="4" s="1"/>
  <c r="Q77" i="4"/>
  <c r="U77" i="4" s="1"/>
  <c r="Q100" i="4"/>
  <c r="S99" i="4"/>
  <c r="T99" i="4"/>
  <c r="V99" i="4" s="1"/>
  <c r="S109" i="4"/>
  <c r="T109" i="4"/>
  <c r="V109" i="4" s="1"/>
  <c r="Q113" i="4"/>
  <c r="Q111" i="4"/>
  <c r="S105" i="4"/>
  <c r="T105" i="4"/>
  <c r="V105" i="4" s="1"/>
  <c r="Q109" i="4"/>
  <c r="Q107" i="4"/>
  <c r="S101" i="4"/>
  <c r="T101" i="4"/>
  <c r="V101" i="4" s="1"/>
  <c r="S110" i="4"/>
  <c r="T110" i="4"/>
  <c r="V110" i="4" s="1"/>
  <c r="Q15" i="4"/>
  <c r="U15" i="4" s="1"/>
  <c r="Q23" i="4"/>
  <c r="U23" i="4" s="1"/>
  <c r="Q31" i="4"/>
  <c r="U31" i="4" s="1"/>
  <c r="Q39" i="4"/>
  <c r="U39" i="4" s="1"/>
  <c r="Q47" i="4"/>
  <c r="U47" i="4" s="1"/>
  <c r="Q55" i="4"/>
  <c r="U55" i="4" s="1"/>
  <c r="Q63" i="4"/>
  <c r="U63" i="4" s="1"/>
  <c r="Q71" i="4"/>
  <c r="U71" i="4" s="1"/>
  <c r="Q79" i="4"/>
  <c r="U79" i="4" s="1"/>
  <c r="Q102" i="4"/>
  <c r="S102" i="4"/>
  <c r="T102" i="4"/>
  <c r="V102" i="4" s="1"/>
  <c r="S103" i="4"/>
  <c r="T103" i="4"/>
  <c r="V103" i="4" s="1"/>
  <c r="Q7" i="4"/>
  <c r="U7" i="4" s="1"/>
  <c r="Q104" i="4"/>
  <c r="S104" i="4"/>
  <c r="T104" i="4"/>
  <c r="V104" i="4" s="1"/>
  <c r="Q112" i="4"/>
  <c r="Q110" i="4"/>
  <c r="S106" i="4"/>
  <c r="T106" i="4"/>
  <c r="V106" i="4" s="1"/>
  <c r="Q106" i="4"/>
  <c r="Q99" i="4"/>
  <c r="S83" i="4"/>
  <c r="S1" i="4" s="1"/>
  <c r="T83" i="4"/>
  <c r="T1" i="4" s="1"/>
  <c r="S107" i="4"/>
  <c r="T107" i="4"/>
  <c r="V107" i="4" s="1"/>
  <c r="U4" i="4" l="1"/>
  <c r="Q1" i="4"/>
  <c r="AN112" i="4"/>
  <c r="AN111" i="4"/>
  <c r="AN100" i="4"/>
  <c r="AJ1" i="4"/>
  <c r="AN113" i="4"/>
  <c r="AN108" i="4"/>
  <c r="AN109" i="4"/>
  <c r="U113" i="4"/>
  <c r="AN102" i="4"/>
  <c r="AN104" i="4"/>
  <c r="AN105" i="4"/>
  <c r="AN106" i="4"/>
  <c r="AN83" i="4"/>
  <c r="AN1" i="4" s="1"/>
  <c r="AN99" i="4"/>
  <c r="AN101" i="4"/>
  <c r="AN107" i="4"/>
  <c r="AO83" i="4"/>
  <c r="AO1" i="4" s="1"/>
  <c r="AN103" i="4"/>
  <c r="AN110" i="4"/>
  <c r="U112" i="4"/>
  <c r="U99" i="4"/>
  <c r="U105" i="4"/>
  <c r="U103" i="4"/>
  <c r="U102" i="4"/>
  <c r="U100" i="4"/>
  <c r="U108" i="4"/>
  <c r="U111" i="4"/>
  <c r="U104" i="4"/>
  <c r="U106" i="4"/>
  <c r="U5" i="4"/>
  <c r="U101" i="4"/>
  <c r="U83" i="4"/>
  <c r="U107" i="4"/>
  <c r="U110" i="4"/>
  <c r="U109" i="4"/>
  <c r="V83" i="4"/>
  <c r="V1" i="4" s="1"/>
  <c r="U1" i="4" l="1"/>
</calcChain>
</file>

<file path=xl/sharedStrings.xml><?xml version="1.0" encoding="utf-8"?>
<sst xmlns="http://schemas.openxmlformats.org/spreadsheetml/2006/main" count="13792" uniqueCount="1477">
  <si>
    <t>Tach chi tiet HQNV</t>
  </si>
  <si>
    <t>don_vi_nhan_dt</t>
  </si>
  <si>
    <t>giam</t>
  </si>
  <si>
    <t>hoan</t>
  </si>
  <si>
    <t>paid</t>
  </si>
  <si>
    <t>prem</t>
  </si>
  <si>
    <t>osc_goc</t>
  </si>
  <si>
    <t>osc_ay</t>
  </si>
  <si>
    <t>paidnv</t>
  </si>
  <si>
    <t>paidnv_ay</t>
  </si>
  <si>
    <t>DOANH_THU_GOC</t>
  </si>
  <si>
    <t>UPR</t>
  </si>
  <si>
    <t>PREM</t>
  </si>
  <si>
    <t>PAID</t>
  </si>
  <si>
    <t>Con ngÆ°á»i</t>
  </si>
  <si>
    <t>25,0%</t>
  </si>
  <si>
    <t>Du lá»‹ch</t>
  </si>
  <si>
    <t>10,0%</t>
  </si>
  <si>
    <t>HÃ ng hÃ³a</t>
  </si>
  <si>
    <t>80,0%</t>
  </si>
  <si>
    <t>60,0%</t>
  </si>
  <si>
    <t>HÃ ng khÃ´ng</t>
  </si>
  <si>
    <t>NA</t>
  </si>
  <si>
    <t>P&amp;I</t>
  </si>
  <si>
    <t>35,0%</t>
  </si>
  <si>
    <t>ThÃ¢n tÃ u biá»ƒn</t>
  </si>
  <si>
    <t>55,0%</t>
  </si>
  <si>
    <t>50,0%</t>
  </si>
  <si>
    <t>TrÃ¡ch nhiá»‡m</t>
  </si>
  <si>
    <t>TÃ i sáº£n</t>
  </si>
  <si>
    <t>15,0%</t>
  </si>
  <si>
    <t>70,0%</t>
  </si>
  <si>
    <t>Xe cÆ¡ giá»›i</t>
  </si>
  <si>
    <t>Y táº¿</t>
  </si>
  <si>
    <t>30,0%</t>
  </si>
  <si>
    <t>Ká»¹ thuáº­t</t>
  </si>
  <si>
    <t>20,0%</t>
  </si>
  <si>
    <t>TÃ u khÃ¡c</t>
  </si>
  <si>
    <t>NÃ´ng nghiá»‡p</t>
  </si>
  <si>
    <t>75,0%</t>
  </si>
  <si>
    <t>Đơn vị</t>
  </si>
  <si>
    <t>product_lob</t>
  </si>
  <si>
    <t>Dự phòng phí</t>
  </si>
  <si>
    <t>Chi phí định mức</t>
  </si>
  <si>
    <t>Hiệu quả quy ước</t>
  </si>
  <si>
    <t>Total</t>
  </si>
  <si>
    <t>BV Sài Gòn</t>
  </si>
  <si>
    <t>BV Hải Phòng</t>
  </si>
  <si>
    <t>BV Đình Vũ</t>
  </si>
  <si>
    <t>BV Bắc Ninh</t>
  </si>
  <si>
    <t>TSC-Ban KDBH Tàu thủy</t>
  </si>
  <si>
    <t>BV Thành phố HCM</t>
  </si>
  <si>
    <t>BV Nam Bình Dương</t>
  </si>
  <si>
    <t>BV Hà Nội</t>
  </si>
  <si>
    <t>BV Bình Dương</t>
  </si>
  <si>
    <t>TSC-Ban KDBH Hàng hóa</t>
  </si>
  <si>
    <t>TSC-Ban Khách hàng doanh nghiệp</t>
  </si>
  <si>
    <t>BV Khánh Hòa</t>
  </si>
  <si>
    <t>BV Thăng Long</t>
  </si>
  <si>
    <t>BV Đà Nẵng</t>
  </si>
  <si>
    <t>BV Đồng Tháp</t>
  </si>
  <si>
    <t>BV An Phú</t>
  </si>
  <si>
    <t>BV Bình Định</t>
  </si>
  <si>
    <t>BV Phú Mỹ</t>
  </si>
  <si>
    <t>BV Hà Thành</t>
  </si>
  <si>
    <t>BV Gia Định</t>
  </si>
  <si>
    <t>BV Tràng An</t>
  </si>
  <si>
    <t>BV Kiên Giang</t>
  </si>
  <si>
    <t>BV Long Thành</t>
  </si>
  <si>
    <t>BV Quảng Ninh</t>
  </si>
  <si>
    <t>BV Nghệ An</t>
  </si>
  <si>
    <t>BV Đông Đô</t>
  </si>
  <si>
    <t>BV Hưng Yên</t>
  </si>
  <si>
    <t>BV Quảng Bình</t>
  </si>
  <si>
    <t>BV Gia Lai</t>
  </si>
  <si>
    <t>BV Phú Thọ</t>
  </si>
  <si>
    <t>BV Bà Rịa - Vũng Tàu</t>
  </si>
  <si>
    <t>BV Long An</t>
  </si>
  <si>
    <t>BV Bình Phước</t>
  </si>
  <si>
    <t>BV Bến Thành</t>
  </si>
  <si>
    <t>BV Tiền Giang</t>
  </si>
  <si>
    <t>BV Dak Lak</t>
  </si>
  <si>
    <t>BV An Giang</t>
  </si>
  <si>
    <t>BV Cần Thơ</t>
  </si>
  <si>
    <t>BV Mỹ Đình</t>
  </si>
  <si>
    <t>BV Vĩnh Phúc</t>
  </si>
  <si>
    <t>BV Vĩnh Long</t>
  </si>
  <si>
    <t>BV Hải Dương</t>
  </si>
  <si>
    <t>BV Bình Thuận</t>
  </si>
  <si>
    <t>BV Ninh Thuận</t>
  </si>
  <si>
    <t>BV Sơn Tây</t>
  </si>
  <si>
    <t>BV Bắc Giang</t>
  </si>
  <si>
    <t>BV Đồng Nai</t>
  </si>
  <si>
    <t>BV Nam Định</t>
  </si>
  <si>
    <t>BV Ninh Bình</t>
  </si>
  <si>
    <t>BV Phú Quốc</t>
  </si>
  <si>
    <t>BV Tây Ninh</t>
  </si>
  <si>
    <t>BV Thanh Hóa</t>
  </si>
  <si>
    <t>BV Thái Nguyên</t>
  </si>
  <si>
    <t>BV Trà Vinh</t>
  </si>
  <si>
    <t>BV Bến Tre</t>
  </si>
  <si>
    <t>BV Quảng Nam</t>
  </si>
  <si>
    <t>BV Quảng Ngãi</t>
  </si>
  <si>
    <t>BV Hà Nam</t>
  </si>
  <si>
    <t>BV Hà Tĩnh</t>
  </si>
  <si>
    <t>BV Phú Yên</t>
  </si>
  <si>
    <t>BV Cà Mau</t>
  </si>
  <si>
    <t>BV Sơn La</t>
  </si>
  <si>
    <t>BV Thái Bình</t>
  </si>
  <si>
    <t>BV Thừa Thiên Huế</t>
  </si>
  <si>
    <t>BV Lào Cai</t>
  </si>
  <si>
    <t>BV Điện Biên</t>
  </si>
  <si>
    <t>BV Quảng Trị</t>
  </si>
  <si>
    <t>BV Hậu Giang</t>
  </si>
  <si>
    <t>BV Sóc Trăng</t>
  </si>
  <si>
    <t>TSC-Ban Bảo hiểm trực tuyến</t>
  </si>
  <si>
    <t>BV Tuyên Quang</t>
  </si>
  <si>
    <t>BV Lai Châu</t>
  </si>
  <si>
    <t>BV Đông Bắc</t>
  </si>
  <si>
    <t>BV Hà Giang</t>
  </si>
  <si>
    <t>BV Dak Nong</t>
  </si>
  <si>
    <t>BV Lâm Đồng</t>
  </si>
  <si>
    <t>BV Hòa Bình</t>
  </si>
  <si>
    <t>BV Bạc Liêu</t>
  </si>
  <si>
    <t>BV Cao Bằng</t>
  </si>
  <si>
    <t>BV Kon Tum</t>
  </si>
  <si>
    <t>TSC-Ban KDBH Phi hàng hải TSC</t>
  </si>
  <si>
    <t>BV Bắc Cạn</t>
  </si>
  <si>
    <t>BV Lạng Sơn</t>
  </si>
  <si>
    <t>BV Yên Bái</t>
  </si>
  <si>
    <t>TSC-Ban KD Bảo hiểm sức khỏe</t>
  </si>
  <si>
    <t>Trụ sở chính</t>
  </si>
  <si>
    <t>Doanh thu</t>
  </si>
  <si>
    <t>Bồi thường</t>
  </si>
  <si>
    <t>Chênh lệch Dự phòng bồi thường</t>
  </si>
  <si>
    <t>BH Con người</t>
  </si>
  <si>
    <t>BH Du lịch</t>
  </si>
  <si>
    <t>BH Xe cơ giới</t>
  </si>
  <si>
    <t>BH Y tế</t>
  </si>
  <si>
    <t>TSC-Ban Kinh doanh Phi hàng hải - Phòng Allianz</t>
  </si>
  <si>
    <t>Mã</t>
  </si>
  <si>
    <t>CTTV</t>
  </si>
  <si>
    <t>An Giang</t>
  </si>
  <si>
    <t>An Phú</t>
  </si>
  <si>
    <t>Bà Rịa - Vũng Tàu</t>
  </si>
  <si>
    <t>Bắc Cạn</t>
  </si>
  <si>
    <t>Bắc Giang</t>
  </si>
  <si>
    <t>Bạc Liêu</t>
  </si>
  <si>
    <t>Bắc Ninh</t>
  </si>
  <si>
    <t>Bến Thành</t>
  </si>
  <si>
    <t>Bến Tre</t>
  </si>
  <si>
    <t>Bình Định</t>
  </si>
  <si>
    <t>Bình Dương</t>
  </si>
  <si>
    <t>Bình Phước</t>
  </si>
  <si>
    <t>Bình Thuận</t>
  </si>
  <si>
    <t>Cà Mau</t>
  </si>
  <si>
    <t>Cần Thơ</t>
  </si>
  <si>
    <t>Cao Bằng</t>
  </si>
  <si>
    <t>Đà Nẵng</t>
  </si>
  <si>
    <t>Dak Lak</t>
  </si>
  <si>
    <t>Dak Nong</t>
  </si>
  <si>
    <t>Điện Biên</t>
  </si>
  <si>
    <t>Đình Vũ</t>
  </si>
  <si>
    <t>Đông Bắc</t>
  </si>
  <si>
    <t>Đông Đô</t>
  </si>
  <si>
    <t>Đồng Nai</t>
  </si>
  <si>
    <t>Đồng Tháp</t>
  </si>
  <si>
    <t>Gia Định</t>
  </si>
  <si>
    <t>Gia Lai</t>
  </si>
  <si>
    <t>Hà Giang</t>
  </si>
  <si>
    <t>Hà Nam</t>
  </si>
  <si>
    <t>Hà Nội</t>
  </si>
  <si>
    <t>Hà Thành</t>
  </si>
  <si>
    <t>Hà Tĩnh</t>
  </si>
  <si>
    <t>Hải Dương</t>
  </si>
  <si>
    <t>Hải Phòng</t>
  </si>
  <si>
    <t>Hậu Giang</t>
  </si>
  <si>
    <t>Hòa Bình</t>
  </si>
  <si>
    <t>Hưng Yên</t>
  </si>
  <si>
    <t>Khánh Hòa</t>
  </si>
  <si>
    <t>Kiên Giang</t>
  </si>
  <si>
    <t>Kon Tum</t>
  </si>
  <si>
    <t>Lai Châu</t>
  </si>
  <si>
    <t>Lâm Đồng</t>
  </si>
  <si>
    <t>Lạng Sơn</t>
  </si>
  <si>
    <t>Lào Cai</t>
  </si>
  <si>
    <t>Long An</t>
  </si>
  <si>
    <t>Long Thành</t>
  </si>
  <si>
    <t>Mỹ Đình</t>
  </si>
  <si>
    <t>Nam Bình Dương</t>
  </si>
  <si>
    <t>Nam Định</t>
  </si>
  <si>
    <t>Nghệ An</t>
  </si>
  <si>
    <t>Ninh Bình</t>
  </si>
  <si>
    <t>Ninh Thuận</t>
  </si>
  <si>
    <t>Phú Mỹ</t>
  </si>
  <si>
    <t>Phú Quốc</t>
  </si>
  <si>
    <t>Phú Thọ</t>
  </si>
  <si>
    <t>Phú Yên</t>
  </si>
  <si>
    <t>Quảng Bình</t>
  </si>
  <si>
    <t>Quảng Nam</t>
  </si>
  <si>
    <t>Quảng Ngãi</t>
  </si>
  <si>
    <t>Quảng Ninh</t>
  </si>
  <si>
    <t>Quảng Trị</t>
  </si>
  <si>
    <t>Sài Gòn</t>
  </si>
  <si>
    <t>Sóc Trăng</t>
  </si>
  <si>
    <t>Sơn La</t>
  </si>
  <si>
    <t>Sơn Tây</t>
  </si>
  <si>
    <t>Tây Ninh</t>
  </si>
  <si>
    <t>Thái Bình</t>
  </si>
  <si>
    <t>Thái Nguyên</t>
  </si>
  <si>
    <t>Thăng Long</t>
  </si>
  <si>
    <t>Thanh Hóa</t>
  </si>
  <si>
    <t>Thành phố HCM</t>
  </si>
  <si>
    <t>Thừa Thiên Huế</t>
  </si>
  <si>
    <t>Tiền Giang</t>
  </si>
  <si>
    <t>Trà Vinh</t>
  </si>
  <si>
    <t>Tràng An</t>
  </si>
  <si>
    <t>Tuyên Quang</t>
  </si>
  <si>
    <t>Vĩnh Long</t>
  </si>
  <si>
    <t>Vĩnh Phúc</t>
  </si>
  <si>
    <t>Yên Bái</t>
  </si>
  <si>
    <t>BOI_THUONG</t>
  </si>
  <si>
    <t xml:space="preserve"> </t>
  </si>
  <si>
    <t>101001</t>
  </si>
  <si>
    <t>10100301</t>
  </si>
  <si>
    <t>10100302</t>
  </si>
  <si>
    <t>101004</t>
  </si>
  <si>
    <t>101005</t>
  </si>
  <si>
    <t>101006</t>
  </si>
  <si>
    <t>101007</t>
  </si>
  <si>
    <t>101008</t>
  </si>
  <si>
    <t>101009</t>
  </si>
  <si>
    <t>101103</t>
  </si>
  <si>
    <t>101</t>
  </si>
  <si>
    <t>101003</t>
  </si>
  <si>
    <t>101302</t>
  </si>
  <si>
    <t>10110301</t>
  </si>
  <si>
    <t>10130201</t>
  </si>
  <si>
    <t>10130202</t>
  </si>
  <si>
    <t>TSC-Ban KDBH Phi hàng hải</t>
  </si>
  <si>
    <t>TSC-Ban Giải quyết quyền lợi bảo hiểm</t>
  </si>
  <si>
    <t>TSC-Ban Giải quyết quyền lợi bảo hiểm-HCM</t>
  </si>
  <si>
    <t>TSC-Ban Giải quyết quyền lợi bảo hiểm-HN</t>
  </si>
  <si>
    <t>TSC-Ban BH TSKT - Bộ phận Atradius</t>
  </si>
  <si>
    <t xml:space="preserve">Doanh thu gốc </t>
  </si>
  <si>
    <t>Doanh thu gốc của các hợp đồng có STBH không vượt mức BHBV giữ lại 100%</t>
  </si>
  <si>
    <t>Doanh thu gốc của các hợp đồng có STBH trên mức BHBV giữ lại 100%</t>
  </si>
  <si>
    <t>Doanh thu thuần kỳ này</t>
  </si>
  <si>
    <t>Doanh thu thuần cùng kỳ năm trước</t>
  </si>
  <si>
    <t>Earned</t>
  </si>
  <si>
    <t>Bồi thường gốc</t>
  </si>
  <si>
    <t>Bồi thường tích tụ và tổn thất đơn lẻ vượt 20 tỷ đồng</t>
  </si>
  <si>
    <t>Bồi thường cho các vụ tổn thất từ các hợp đồng có STBH không vượt mức BHBV giữ lại 100%</t>
  </si>
  <si>
    <t>Bồi thường gốc các vụ còn lại</t>
  </si>
  <si>
    <t>Bồi thường thuộc trách nhiệm</t>
  </si>
  <si>
    <t>DPBT gốc (cuối kỳ)</t>
  </si>
  <si>
    <t>DPBT gốc các vụ tích tụ và tổn thất vượt 20 tỷ đồng (cuối kỳ)</t>
  </si>
  <si>
    <t>DPBT gốc cho các vụ có STBH không vượt mức giữ lại (cuối kỳ)</t>
  </si>
  <si>
    <t>DPBT gốc các vụ còn lại (cuối kỳ)</t>
  </si>
  <si>
    <t>DPBT thuộc trách nhiệm (cuối kỳ)</t>
  </si>
  <si>
    <t>DPBT gốc (Đầu kỳ)</t>
  </si>
  <si>
    <t>DPBT gốc các vụ tích tụ và tổn thất vượt 20 tỷ đồng (Đầu kỳ)</t>
  </si>
  <si>
    <t>DPBT gốc cho các vụ có STBH không vượt mức giữ lại (Đầu kỳ)</t>
  </si>
  <si>
    <t>DPBT gốc các vụ còn lại  (Đầu kỳ)</t>
  </si>
  <si>
    <t>DPBT thuộc trách nhiệm (Đầu kỳ)</t>
  </si>
  <si>
    <t>Chênh lệch DPBT</t>
  </si>
  <si>
    <t>Incurred</t>
  </si>
  <si>
    <t>Loss_ratio</t>
  </si>
  <si>
    <t>BH Tài sản</t>
  </si>
  <si>
    <t>BH Trách nhiệm</t>
  </si>
  <si>
    <t>BH Hàng hóa</t>
  </si>
  <si>
    <t>BH Kỹ thuật</t>
  </si>
  <si>
    <t>Tàu khác</t>
  </si>
  <si>
    <t>Hull (Thân tàu biển)</t>
  </si>
  <si>
    <t>TSC-Ban BH Tài sản kỹ thuật</t>
  </si>
  <si>
    <t>Infinity</t>
  </si>
  <si>
    <t>TSC-Ban BH TSKT - Bộ phận Atradius</t>
  </si>
  <si>
    <t>TỔNG</t>
  </si>
  <si>
    <t>ITC</t>
  </si>
  <si>
    <t>HQ1</t>
  </si>
  <si>
    <t>HQ2</t>
  </si>
  <si>
    <t>CHECK</t>
  </si>
  <si>
    <t>TỔNG kế toán</t>
  </si>
  <si>
    <t>osc_ITC</t>
  </si>
  <si>
    <t>121</t>
  </si>
  <si>
    <t>107</t>
  </si>
  <si>
    <t>122</t>
  </si>
  <si>
    <t>123</t>
  </si>
  <si>
    <t>124</t>
  </si>
  <si>
    <t>126</t>
  </si>
  <si>
    <t>125</t>
  </si>
  <si>
    <t>195</t>
  </si>
  <si>
    <t>127</t>
  </si>
  <si>
    <t>129</t>
  </si>
  <si>
    <t>128</t>
  </si>
  <si>
    <t>130</t>
  </si>
  <si>
    <t>131</t>
  </si>
  <si>
    <t>132</t>
  </si>
  <si>
    <t>134</t>
  </si>
  <si>
    <t>133</t>
  </si>
  <si>
    <t>135</t>
  </si>
  <si>
    <t>136</t>
  </si>
  <si>
    <t>189</t>
  </si>
  <si>
    <t>155</t>
  </si>
  <si>
    <t>192</t>
  </si>
  <si>
    <t>106</t>
  </si>
  <si>
    <t>143</t>
  </si>
  <si>
    <t>137</t>
  </si>
  <si>
    <t>138</t>
  </si>
  <si>
    <t>184</t>
  </si>
  <si>
    <t>139</t>
  </si>
  <si>
    <t>140</t>
  </si>
  <si>
    <t>141</t>
  </si>
  <si>
    <t>142</t>
  </si>
  <si>
    <t>193</t>
  </si>
  <si>
    <t>144</t>
  </si>
  <si>
    <t>145</t>
  </si>
  <si>
    <t>146</t>
  </si>
  <si>
    <t>188</t>
  </si>
  <si>
    <t>148</t>
  </si>
  <si>
    <t>147</t>
  </si>
  <si>
    <t>149</t>
  </si>
  <si>
    <t>150</t>
  </si>
  <si>
    <t>151</t>
  </si>
  <si>
    <t>183</t>
  </si>
  <si>
    <t>152</t>
  </si>
  <si>
    <t>154</t>
  </si>
  <si>
    <t>153</t>
  </si>
  <si>
    <t>156</t>
  </si>
  <si>
    <t>105</t>
  </si>
  <si>
    <t>196</t>
  </si>
  <si>
    <t>182</t>
  </si>
  <si>
    <t>157</t>
  </si>
  <si>
    <t>158</t>
  </si>
  <si>
    <t>159</t>
  </si>
  <si>
    <t>160</t>
  </si>
  <si>
    <t>185</t>
  </si>
  <si>
    <t>191</t>
  </si>
  <si>
    <t>161</t>
  </si>
  <si>
    <t>162</t>
  </si>
  <si>
    <t>163</t>
  </si>
  <si>
    <t>164</t>
  </si>
  <si>
    <t>165</t>
  </si>
  <si>
    <t>166</t>
  </si>
  <si>
    <t>167</t>
  </si>
  <si>
    <t>169</t>
  </si>
  <si>
    <t>170</t>
  </si>
  <si>
    <t>168</t>
  </si>
  <si>
    <t>194</t>
  </si>
  <si>
    <t>171</t>
  </si>
  <si>
    <t>172</t>
  </si>
  <si>
    <t>173</t>
  </si>
  <si>
    <t>103</t>
  </si>
  <si>
    <t>174</t>
  </si>
  <si>
    <t>186</t>
  </si>
  <si>
    <t>175</t>
  </si>
  <si>
    <t>176</t>
  </si>
  <si>
    <t>177</t>
  </si>
  <si>
    <t>104</t>
  </si>
  <si>
    <t>178</t>
  </si>
  <si>
    <t>179</t>
  </si>
  <si>
    <t>180</t>
  </si>
  <si>
    <t>181</t>
  </si>
  <si>
    <t>101301</t>
  </si>
  <si>
    <t>10130401</t>
  </si>
  <si>
    <t>10130301</t>
  </si>
  <si>
    <t>101105</t>
  </si>
  <si>
    <t>Lệch</t>
  </si>
  <si>
    <t xml:space="preserve">TCT BHBV </t>
  </si>
  <si>
    <t>Q1.2026</t>
  </si>
  <si>
    <t>SUM CTTV HQ âm</t>
  </si>
  <si>
    <t>SUM CTTV HQ dương</t>
  </si>
  <si>
    <t>check_total</t>
  </si>
  <si>
    <t>TONG</t>
  </si>
  <si>
    <t>do nông nghiệp</t>
  </si>
  <si>
    <t>ma_cong_ty</t>
  </si>
  <si>
    <t>Công ty</t>
  </si>
  <si>
    <t>nghiep_vu</t>
  </si>
  <si>
    <t>Doanh thu thực thu</t>
  </si>
  <si>
    <t>Chi hoạt động phân bổ</t>
  </si>
  <si>
    <t>Chi hoạt động theo nghiệp vụ</t>
  </si>
  <si>
    <t>Định mức chi hoạt động</t>
  </si>
  <si>
    <t>Định mức chi ĐPHCTT</t>
  </si>
  <si>
    <t>Định mức chi Hoa Hồng</t>
  </si>
  <si>
    <t>Định mức chi Hỗ trợ đại lý</t>
  </si>
  <si>
    <t xml:space="preserve">Định mức chi Bán Hàng </t>
  </si>
  <si>
    <t xml:space="preserve">Định mức Lương </t>
  </si>
  <si>
    <t>Hàng hóa</t>
  </si>
  <si>
    <t>Thân tàu biển</t>
  </si>
  <si>
    <t>Trách nhiệm</t>
  </si>
  <si>
    <t>Hàng không</t>
  </si>
  <si>
    <t>Kỹ thuật</t>
  </si>
  <si>
    <t>Tài sản</t>
  </si>
  <si>
    <t>Xe cơ giới</t>
  </si>
  <si>
    <t>Con người</t>
  </si>
  <si>
    <t>Nông nghiệp</t>
  </si>
  <si>
    <t>Y tế</t>
  </si>
  <si>
    <t>Du lịch</t>
  </si>
  <si>
    <t>Tên đơn vị</t>
  </si>
  <si>
    <r>
      <t xml:space="preserve">Lấy  giá trị  tương ứng tại </t>
    </r>
    <r>
      <rPr>
        <b/>
        <sz val="11"/>
        <color rgb="FF000000"/>
        <rFont val="Calibri"/>
        <family val="2"/>
        <scheme val="minor"/>
      </rPr>
      <t>cột "Tên đơn vị"</t>
    </r>
    <r>
      <rPr>
        <sz val="11"/>
        <color rgb="FF000000"/>
        <rFont val="Calibri"/>
        <family val="2"/>
        <scheme val="minor"/>
      </rPr>
      <t xml:space="preserve"> ở sheet</t>
    </r>
    <r>
      <rPr>
        <sz val="11"/>
        <color rgb="FFFF0000"/>
        <rFont val="Calibri"/>
        <family val="2"/>
        <scheme val="minor"/>
      </rPr>
      <t xml:space="preserve"> Mapping Coid </t>
    </r>
    <r>
      <rPr>
        <sz val="11"/>
        <color rgb="FF000000"/>
        <rFont val="Calibri"/>
        <family val="2"/>
        <scheme val="minor"/>
      </rPr>
      <t>tương ứng vs coid</t>
    </r>
  </si>
  <si>
    <r>
      <t>Tổng giá trị cột 
"</t>
    </r>
    <r>
      <rPr>
        <sz val="11"/>
        <color rgb="FFFF0000"/>
        <rFont val="Times New Roman"/>
        <family val="1"/>
      </rPr>
      <t>Tổng doanh thu</t>
    </r>
    <r>
      <rPr>
        <sz val="11"/>
        <color rgb="FF000000"/>
        <rFont val="Times New Roman"/>
        <family val="1"/>
      </rPr>
      <t xml:space="preserve">" tại sheet </t>
    </r>
    <r>
      <rPr>
        <sz val="11"/>
        <color rgb="FFFF0000"/>
        <rFont val="Times New Roman"/>
        <family val="1"/>
      </rPr>
      <t>KH02</t>
    </r>
    <r>
      <rPr>
        <sz val="11"/>
        <color rgb="FF000000"/>
        <rFont val="Times New Roman"/>
        <family val="1"/>
      </rPr>
      <t xml:space="preserve"> </t>
    </r>
    <r>
      <rPr>
        <sz val="11"/>
        <color rgb="FF000000"/>
        <rFont val="Times New Roman"/>
        <family val="1"/>
      </rPr>
      <t xml:space="preserve"> theo từng nghiệp vụ và coid tương ứng</t>
    </r>
  </si>
  <si>
    <r>
      <t xml:space="preserve">Mapping cột "Mã nghiệp vụ" tại sheet KH02 và cột "Mã sản phẩm" tại sheet KH07 với cột "MaSP" tại sheet Mapping NV. Lấy giá trị tương ứng tại cột "Nghiệp vụ" (cột C) trong sheet Mapping NV. 
</t>
    </r>
    <r>
      <rPr>
        <sz val="11"/>
        <color rgb="FFFF0000"/>
        <rFont val="Calibri"/>
        <family val="2"/>
        <scheme val="minor"/>
      </rPr>
      <t>Kết quả : Hàng hóa, Tài sản, Kỹ thuật,….</t>
    </r>
  </si>
  <si>
    <r>
      <t>Tổng giá trị cột 
"</t>
    </r>
    <r>
      <rPr>
        <sz val="11"/>
        <color rgb="FFFF0000"/>
        <rFont val="Times New Roman"/>
        <family val="1"/>
      </rPr>
      <t>Định mức
chi phí hoạt động</t>
    </r>
    <r>
      <rPr>
        <sz val="11"/>
        <color rgb="FF000000"/>
        <rFont val="Times New Roman"/>
        <family val="1"/>
      </rPr>
      <t xml:space="preserve">" tại sheet </t>
    </r>
    <r>
      <rPr>
        <sz val="11"/>
        <color rgb="FFFF0000"/>
        <rFont val="Times New Roman"/>
        <family val="1"/>
      </rPr>
      <t>KH02</t>
    </r>
    <r>
      <rPr>
        <sz val="11"/>
        <color rgb="FF000000"/>
        <rFont val="Times New Roman"/>
        <family val="1"/>
      </rPr>
      <t xml:space="preserve"> và cột "</t>
    </r>
    <r>
      <rPr>
        <sz val="11"/>
        <color rgb="FFFF0000"/>
        <rFont val="Times New Roman"/>
        <family val="1"/>
      </rPr>
      <t>Chi phí Hoạt động bổ sung</t>
    </r>
    <r>
      <rPr>
        <sz val="11"/>
        <color rgb="FF000000"/>
        <rFont val="Times New Roman"/>
        <family val="1"/>
      </rPr>
      <t xml:space="preserve">" tại sheet </t>
    </r>
    <r>
      <rPr>
        <sz val="11"/>
        <color rgb="FFFF0000"/>
        <rFont val="Times New Roman"/>
        <family val="1"/>
      </rPr>
      <t xml:space="preserve">KH07 theo coid tương ứng. </t>
    </r>
    <r>
      <rPr>
        <sz val="11"/>
        <color theme="1"/>
        <rFont val="Times New Roman"/>
        <family val="1"/>
      </rPr>
      <t>Do 1 số khoản chi hoạt động không giao theo nghiệp vụ nên sẽ phải phân bổ chi hoạt động cho các nghiệp vụ của 1 đơn vị theo tỷ trọng doanh thu. Ví dụ minh hoạ bên dưới</t>
    </r>
  </si>
  <si>
    <r>
      <t>Tổng giá trị cột 
"</t>
    </r>
    <r>
      <rPr>
        <sz val="11"/>
        <color rgb="FFFF0000"/>
        <rFont val="Times New Roman"/>
        <family val="1"/>
      </rPr>
      <t>Định mức
chi ĐPHCTT</t>
    </r>
    <r>
      <rPr>
        <sz val="11"/>
        <color rgb="FF000000"/>
        <rFont val="Times New Roman"/>
        <family val="1"/>
      </rPr>
      <t xml:space="preserve">" tại sheet </t>
    </r>
    <r>
      <rPr>
        <sz val="11"/>
        <color rgb="FFFF0000"/>
        <rFont val="Times New Roman"/>
        <family val="1"/>
      </rPr>
      <t>KH02</t>
    </r>
    <r>
      <rPr>
        <sz val="11"/>
        <color rgb="FF000000"/>
        <rFont val="Times New Roman"/>
        <family val="1"/>
      </rPr>
      <t xml:space="preserve"> và cột "</t>
    </r>
    <r>
      <rPr>
        <sz val="11"/>
        <color rgb="FFFF0000"/>
        <rFont val="Times New Roman"/>
        <family val="1"/>
      </rPr>
      <t>Chi phí ĐPHCTT bổ sung</t>
    </r>
    <r>
      <rPr>
        <sz val="11"/>
        <color rgb="FF000000"/>
        <rFont val="Times New Roman"/>
        <family val="1"/>
      </rPr>
      <t xml:space="preserve">" tại sheet </t>
    </r>
    <r>
      <rPr>
        <sz val="11"/>
        <color rgb="FFFF0000"/>
        <rFont val="Times New Roman"/>
        <family val="1"/>
      </rPr>
      <t>KH07</t>
    </r>
    <r>
      <rPr>
        <sz val="11"/>
        <color rgb="FF000000"/>
        <rFont val="Times New Roman"/>
        <family val="1"/>
      </rPr>
      <t xml:space="preserve"> theo từng nghiệp vụ và coid tương ứng</t>
    </r>
  </si>
  <si>
    <r>
      <t xml:space="preserve">Tổng giá trị các cột 
</t>
    </r>
    <r>
      <rPr>
        <sz val="11"/>
        <color rgb="FFFF0000"/>
        <rFont val="Times New Roman"/>
        <family val="1"/>
      </rPr>
      <t>"Định mức
chi hoa hồng</t>
    </r>
    <r>
      <rPr>
        <sz val="11"/>
        <color rgb="FF000000"/>
        <rFont val="Times New Roman"/>
        <family val="1"/>
      </rPr>
      <t xml:space="preserve">" tại sheet </t>
    </r>
    <r>
      <rPr>
        <sz val="11"/>
        <color rgb="FFFF0000"/>
        <rFont val="Times New Roman"/>
        <family val="1"/>
      </rPr>
      <t xml:space="preserve">KH02 </t>
    </r>
    <r>
      <rPr>
        <sz val="11"/>
        <color rgb="FF000000"/>
        <rFont val="Times New Roman"/>
        <family val="1"/>
      </rPr>
      <t>(kênh môi giới, kênh đại lý và kênh đăng kiểm) và cột "</t>
    </r>
    <r>
      <rPr>
        <sz val="11"/>
        <color rgb="FFFF0000"/>
        <rFont val="Times New Roman"/>
        <family val="1"/>
      </rPr>
      <t>Chi hoa hồng bổ sung</t>
    </r>
    <r>
      <rPr>
        <sz val="11"/>
        <color rgb="FF000000"/>
        <rFont val="Times New Roman"/>
        <family val="1"/>
      </rPr>
      <t xml:space="preserve">" tại sheet </t>
    </r>
    <r>
      <rPr>
        <sz val="11"/>
        <color rgb="FFFF0000"/>
        <rFont val="Times New Roman"/>
        <family val="1"/>
      </rPr>
      <t>KH07</t>
    </r>
    <r>
      <rPr>
        <sz val="11"/>
        <color rgb="FF000000"/>
        <rFont val="Times New Roman"/>
        <family val="1"/>
      </rPr>
      <t xml:space="preserve"> theo từng nghiệp vụ và coid tương ứng</t>
    </r>
  </si>
  <si>
    <r>
      <t xml:space="preserve">Tổng giá trị các cột </t>
    </r>
    <r>
      <rPr>
        <sz val="11"/>
        <color rgb="FFFF0000"/>
        <rFont val="Times New Roman"/>
        <family val="1"/>
      </rPr>
      <t xml:space="preserve">
"Định mức chi HTĐL </t>
    </r>
    <r>
      <rPr>
        <sz val="11"/>
        <color rgb="FF000000"/>
        <rFont val="Times New Roman"/>
        <family val="1"/>
      </rPr>
      <t xml:space="preserve">" tại sheet </t>
    </r>
    <r>
      <rPr>
        <sz val="11"/>
        <color rgb="FFFF0000"/>
        <rFont val="Times New Roman"/>
        <family val="1"/>
      </rPr>
      <t xml:space="preserve">KH02 </t>
    </r>
    <r>
      <rPr>
        <sz val="11"/>
        <color rgb="FF000000"/>
        <rFont val="Times New Roman"/>
        <family val="1"/>
      </rPr>
      <t>(kênh đại lý và kênh đăng kiểm) và cột "</t>
    </r>
    <r>
      <rPr>
        <sz val="11"/>
        <color rgb="FFFF0000"/>
        <rFont val="Times New Roman"/>
        <family val="1"/>
      </rPr>
      <t>Chi HTĐL bổ sung</t>
    </r>
    <r>
      <rPr>
        <sz val="11"/>
        <color rgb="FF000000"/>
        <rFont val="Times New Roman"/>
        <family val="1"/>
      </rPr>
      <t xml:space="preserve">" tại sheet </t>
    </r>
    <r>
      <rPr>
        <sz val="11"/>
        <color rgb="FFFF0000"/>
        <rFont val="Times New Roman"/>
        <family val="1"/>
      </rPr>
      <t>KH07</t>
    </r>
    <r>
      <rPr>
        <sz val="11"/>
        <color rgb="FF000000"/>
        <rFont val="Times New Roman"/>
        <family val="1"/>
      </rPr>
      <t xml:space="preserve"> theo từng nghiệp vụ và coid tương ứng</t>
    </r>
  </si>
  <si>
    <r>
      <t xml:space="preserve">Tổng giá trị các cột </t>
    </r>
    <r>
      <rPr>
        <sz val="11"/>
        <color rgb="FFFF0000"/>
        <rFont val="Times New Roman"/>
        <family val="1"/>
      </rPr>
      <t xml:space="preserve">
"Định mức chi Bán hàng </t>
    </r>
    <r>
      <rPr>
        <sz val="11"/>
        <color rgb="FF000000"/>
        <rFont val="Times New Roman"/>
        <family val="1"/>
      </rPr>
      <t xml:space="preserve">" tại sheet </t>
    </r>
    <r>
      <rPr>
        <sz val="11"/>
        <color rgb="FFFF0000"/>
        <rFont val="Times New Roman"/>
        <family val="1"/>
      </rPr>
      <t xml:space="preserve">KH02 </t>
    </r>
    <r>
      <rPr>
        <sz val="11"/>
        <color rgb="FF000000"/>
        <rFont val="Times New Roman"/>
        <family val="1"/>
      </rPr>
      <t>(Kênh môi giới, kênh đại lý, kênh đăng kiểm và kênh trực tiếp) và cột "</t>
    </r>
    <r>
      <rPr>
        <sz val="11"/>
        <color rgb="FFFF0000"/>
        <rFont val="Times New Roman"/>
        <family val="1"/>
      </rPr>
      <t>Chi Bán Hàng Bổ Sung</t>
    </r>
    <r>
      <rPr>
        <sz val="11"/>
        <color rgb="FF000000"/>
        <rFont val="Times New Roman"/>
        <family val="1"/>
      </rPr>
      <t xml:space="preserve">" tại sheet </t>
    </r>
    <r>
      <rPr>
        <sz val="11"/>
        <color rgb="FFFF0000"/>
        <rFont val="Times New Roman"/>
        <family val="1"/>
      </rPr>
      <t>KH07</t>
    </r>
    <r>
      <rPr>
        <sz val="11"/>
        <color rgb="FF000000"/>
        <rFont val="Times New Roman"/>
        <family val="1"/>
      </rPr>
      <t xml:space="preserve"> theo từng nghiệp vụ và coid tương ứng</t>
    </r>
  </si>
  <si>
    <r>
      <t xml:space="preserve">Tổng giá trị các cột </t>
    </r>
    <r>
      <rPr>
        <sz val="11"/>
        <color rgb="FFFF0000"/>
        <rFont val="Times New Roman"/>
        <family val="1"/>
      </rPr>
      <t xml:space="preserve">
"Định mức lương </t>
    </r>
    <r>
      <rPr>
        <sz val="11"/>
        <color rgb="FF000000"/>
        <rFont val="Times New Roman"/>
        <family val="1"/>
      </rPr>
      <t xml:space="preserve">" tại sheet </t>
    </r>
    <r>
      <rPr>
        <sz val="11"/>
        <color rgb="FFFF0000"/>
        <rFont val="Times New Roman"/>
        <family val="1"/>
      </rPr>
      <t xml:space="preserve">KH02 </t>
    </r>
    <r>
      <rPr>
        <sz val="11"/>
        <color rgb="FF000000"/>
        <rFont val="Times New Roman"/>
        <family val="1"/>
      </rPr>
      <t>(Kênh môi giới, kênh đại lý, kênh đăng kiểm và kênh trực tiếp) và cột "</t>
    </r>
    <r>
      <rPr>
        <sz val="11"/>
        <color rgb="FFFF0000"/>
        <rFont val="Times New Roman"/>
        <family val="1"/>
      </rPr>
      <t>Chi Lương Bổ Sung</t>
    </r>
    <r>
      <rPr>
        <sz val="11"/>
        <color rgb="FF000000"/>
        <rFont val="Times New Roman"/>
        <family val="1"/>
      </rPr>
      <t xml:space="preserve">" tại sheet </t>
    </r>
    <r>
      <rPr>
        <sz val="11"/>
        <color rgb="FFFF0000"/>
        <rFont val="Times New Roman"/>
        <family val="1"/>
      </rPr>
      <t>KH07</t>
    </r>
    <r>
      <rPr>
        <sz val="11"/>
        <color rgb="FF000000"/>
        <rFont val="Times New Roman"/>
        <family val="1"/>
      </rPr>
      <t xml:space="preserve"> theo từng nghiệp vụ và coid tương ứng</t>
    </r>
  </si>
  <si>
    <t>….</t>
  </si>
  <si>
    <t>check</t>
  </si>
  <si>
    <t>sum</t>
  </si>
  <si>
    <t>Bắc Kạn</t>
  </si>
  <si>
    <t>Đắk Lắk</t>
  </si>
  <si>
    <t>Thành phố Hồ Chí Minh</t>
  </si>
  <si>
    <t xml:space="preserve">Đắk Nông </t>
  </si>
  <si>
    <t>Doanh thu thuần HQ1</t>
  </si>
  <si>
    <t>Doanh thu thuần HQ2</t>
  </si>
  <si>
    <t>Loss_ratio_HQ1</t>
  </si>
  <si>
    <t>Loss_ratio_HQ2</t>
  </si>
  <si>
    <t>loss_Ratio</t>
  </si>
  <si>
    <t>check_cp</t>
  </si>
  <si>
    <t>HQ1/DT1</t>
  </si>
  <si>
    <t>HQ2/DT2</t>
  </si>
  <si>
    <t>TSC-Ban BH Dự án (Fronting)</t>
  </si>
  <si>
    <t>TSC-Ban BH Dự án (Non-Fronting)</t>
  </si>
  <si>
    <t>Bảo hiểm dự án</t>
  </si>
  <si>
    <t>KHDN</t>
  </si>
  <si>
    <t>Dự phòng IBNR</t>
  </si>
  <si>
    <t>NaN</t>
  </si>
  <si>
    <t>THUYẾT MINH BCTC</t>
  </si>
  <si>
    <t>STT</t>
  </si>
  <si>
    <t>Mã NV</t>
  </si>
  <si>
    <t>Thu phí bảo hiểm gốc</t>
  </si>
  <si>
    <t>PHÍ GỐC_NET</t>
  </si>
  <si>
    <t>01</t>
  </si>
  <si>
    <t>Bảo hiểm hàng hóa vận chuyển</t>
  </si>
  <si>
    <t>02</t>
  </si>
  <si>
    <t>Bảo hiểm tàu thủy</t>
  </si>
  <si>
    <t>03</t>
  </si>
  <si>
    <t>Bảo hiểm dầu khí</t>
  </si>
  <si>
    <t>04</t>
  </si>
  <si>
    <t>Bảo hiểm hàng không</t>
  </si>
  <si>
    <t>05</t>
  </si>
  <si>
    <t>Bảo hiểm kỹ thuật</t>
  </si>
  <si>
    <t>06</t>
  </si>
  <si>
    <t>Bảo hiểm hỏa hoạn và các rủi ro đặc biệt</t>
  </si>
  <si>
    <t>07</t>
  </si>
  <si>
    <t>Bảo hiểm trách nhiệm chung</t>
  </si>
  <si>
    <t>09</t>
  </si>
  <si>
    <t>Bảo hiểm xe cơ giới</t>
  </si>
  <si>
    <t>11</t>
  </si>
  <si>
    <t>Bảo hiểm tai nạn con người</t>
  </si>
  <si>
    <t>13</t>
  </si>
  <si>
    <t>Bảo hiểm du lịch</t>
  </si>
  <si>
    <t>12</t>
  </si>
  <si>
    <t>Bảo hiểm y tế sức khỏe</t>
  </si>
  <si>
    <t>10</t>
  </si>
  <si>
    <t>Bảo Hiểm Nông Nghiệp</t>
  </si>
  <si>
    <t>Z</t>
  </si>
  <si>
    <t>Không phân tích</t>
  </si>
  <si>
    <t>Tổng cộng</t>
  </si>
  <si>
    <t>Kế toán</t>
  </si>
  <si>
    <t>(1)</t>
  </si>
  <si>
    <t>(2)</t>
  </si>
  <si>
    <t>(1) -(2)</t>
  </si>
  <si>
    <t>Mã PB</t>
  </si>
  <si>
    <t>Tên PB</t>
  </si>
  <si>
    <t>NV</t>
  </si>
  <si>
    <t>Sum of Số tiền</t>
  </si>
  <si>
    <t>TSC-Ban bảo hiểm DKHK</t>
  </si>
  <si>
    <t>TSC-Ban BH Dự án</t>
  </si>
  <si>
    <t>TSC-Ban GĐBT Hàng hải</t>
  </si>
  <si>
    <t>10130203</t>
  </si>
  <si>
    <t>TSC-Ban Giải quyết quyền lợi bảo hiểm- ĐN</t>
  </si>
  <si>
    <t>101303</t>
  </si>
  <si>
    <t>TSC-Ban GĐBT Xe Cơ Giới</t>
  </si>
  <si>
    <t>101304</t>
  </si>
  <si>
    <t>TSC-Ban GDBT TSKT</t>
  </si>
  <si>
    <t>101511</t>
  </si>
  <si>
    <t>TSC-Ban Hành chính</t>
  </si>
  <si>
    <t>103001</t>
  </si>
  <si>
    <t>THL-Phong Bao hiem so 1</t>
  </si>
  <si>
    <t>103002</t>
  </si>
  <si>
    <t>THL-Phong Bao hiem so 2</t>
  </si>
  <si>
    <t>103003</t>
  </si>
  <si>
    <t>THL-Phong Bao hiem so 3</t>
  </si>
  <si>
    <t>103005</t>
  </si>
  <si>
    <t>THL-Phong Bao hiem so 5</t>
  </si>
  <si>
    <t>103006</t>
  </si>
  <si>
    <t>THL-Phong Bao hiem so 6</t>
  </si>
  <si>
    <t>103007</t>
  </si>
  <si>
    <t>THL-Phong Bao hiem so 7</t>
  </si>
  <si>
    <t>103008</t>
  </si>
  <si>
    <t>THL-Phong Bao hiem so 8</t>
  </si>
  <si>
    <t>103009</t>
  </si>
  <si>
    <t>THL-Phong Bao hiem so 9</t>
  </si>
  <si>
    <t>104000</t>
  </si>
  <si>
    <t>TRA-Cong ty - Chi QL chung</t>
  </si>
  <si>
    <t>104001</t>
  </si>
  <si>
    <t>TRA-BH Phong Bao hiem so 1</t>
  </si>
  <si>
    <t>104002</t>
  </si>
  <si>
    <t>TRA-BH Phong Bao hiem so 2</t>
  </si>
  <si>
    <t>104003</t>
  </si>
  <si>
    <t>TRA-BH Phong Bao hiem so 3</t>
  </si>
  <si>
    <t>104005</t>
  </si>
  <si>
    <t>TRA-BH Phong Bao hiem so 5</t>
  </si>
  <si>
    <t>104011</t>
  </si>
  <si>
    <t>TRA-BH Phong Bao hiem Long Bien</t>
  </si>
  <si>
    <t>104012</t>
  </si>
  <si>
    <t>TRA-BH Phong Bao hiem Gia Lam</t>
  </si>
  <si>
    <t>104013</t>
  </si>
  <si>
    <t>TRA-BH Phong Bao hiem Dong Anh</t>
  </si>
  <si>
    <t>104014</t>
  </si>
  <si>
    <t>TRA-BH Phong Bao hiem Soc Son</t>
  </si>
  <si>
    <t>105000</t>
  </si>
  <si>
    <t>LTH-Cong ty - Chi QL chung</t>
  </si>
  <si>
    <t>105001</t>
  </si>
  <si>
    <t>LTH-Phong Bao Hiem So 1</t>
  </si>
  <si>
    <t>105002</t>
  </si>
  <si>
    <t>LTH-Phong Bao Hiem So 2</t>
  </si>
  <si>
    <t>105003</t>
  </si>
  <si>
    <t>LTH-Phong Bao Hiem So 3</t>
  </si>
  <si>
    <t>105004</t>
  </si>
  <si>
    <t>LTH-Phong Bao Hiem So 4</t>
  </si>
  <si>
    <t>105005</t>
  </si>
  <si>
    <t>LTH-Phong Bao hiem so 5</t>
  </si>
  <si>
    <t>106000</t>
  </si>
  <si>
    <t>DBA-Cong ty - Chi QL chung</t>
  </si>
  <si>
    <t>106001</t>
  </si>
  <si>
    <t>DBA-Phong bao hiem Cam Pha</t>
  </si>
  <si>
    <t>106003</t>
  </si>
  <si>
    <t>DBA-Phong bao hiem Van Don</t>
  </si>
  <si>
    <t>107000</t>
  </si>
  <si>
    <t>APH-Cong ty - Chi QL chung</t>
  </si>
  <si>
    <t>107001</t>
  </si>
  <si>
    <t>APH-Phong Bao hiem so 1</t>
  </si>
  <si>
    <t>107002</t>
  </si>
  <si>
    <t>APH-Phong Bao hiem so 2</t>
  </si>
  <si>
    <t>107003</t>
  </si>
  <si>
    <t>APH-Phong Bao hiem so 3</t>
  </si>
  <si>
    <t>107004</t>
  </si>
  <si>
    <t>APH-Phong Bao hiem so 4</t>
  </si>
  <si>
    <t>107005</t>
  </si>
  <si>
    <t>APH-Phong Bao hiem so 5</t>
  </si>
  <si>
    <t>107007</t>
  </si>
  <si>
    <t>APH-Phong Bao hiem so 7</t>
  </si>
  <si>
    <t>107008</t>
  </si>
  <si>
    <t>APH-Phong Bao hiem so 8</t>
  </si>
  <si>
    <t>107009</t>
  </si>
  <si>
    <t>APH-Phong Bao hiem so 9</t>
  </si>
  <si>
    <t>107010</t>
  </si>
  <si>
    <t>APH-Phong Bao hiem so 10</t>
  </si>
  <si>
    <t>107011</t>
  </si>
  <si>
    <t>APH-Phong Bao hiem Du An</t>
  </si>
  <si>
    <t>107600</t>
  </si>
  <si>
    <t>APH-Ban GD</t>
  </si>
  <si>
    <t>121000</t>
  </si>
  <si>
    <t>AGI-Cong ty - Chi QL chung</t>
  </si>
  <si>
    <t>121001</t>
  </si>
  <si>
    <t>AGI-PHONG BAO HIEM SO 1</t>
  </si>
  <si>
    <t>121002</t>
  </si>
  <si>
    <t>AGI-PHONG BAO HIEM SO 2</t>
  </si>
  <si>
    <t>121005</t>
  </si>
  <si>
    <t>AGI-PHONG BAO HIEM CHAU DOC</t>
  </si>
  <si>
    <t>121006</t>
  </si>
  <si>
    <t>AGI-PHONG BAO HIEM CHAU PHU</t>
  </si>
  <si>
    <t>121007</t>
  </si>
  <si>
    <t>AGI-PHONG BAO HIEM CHAU THANH</t>
  </si>
  <si>
    <t>121008</t>
  </si>
  <si>
    <t>AGI-PHONG BAO HIEM LONG XUYEN</t>
  </si>
  <si>
    <t>121009</t>
  </si>
  <si>
    <t>AGI-PHONG BAO HIEM CHO MOI</t>
  </si>
  <si>
    <t>121010</t>
  </si>
  <si>
    <t>AGI-PHONG BAO HIEM PHU TAN</t>
  </si>
  <si>
    <t>121011</t>
  </si>
  <si>
    <t>AGI-PHONG BAO HIEM TAN CHAU</t>
  </si>
  <si>
    <t>121012</t>
  </si>
  <si>
    <t>AGI-PHONG BAO HIEM TINH BIEN</t>
  </si>
  <si>
    <t>121013</t>
  </si>
  <si>
    <t>AGI-PHONG BAO HIEM TRI TON</t>
  </si>
  <si>
    <t>121014</t>
  </si>
  <si>
    <t>AGI-PHONG BAO HIEM THOAI SON</t>
  </si>
  <si>
    <t>122002</t>
  </si>
  <si>
    <t>VTA-PHONG BH SO 2</t>
  </si>
  <si>
    <t>122003</t>
  </si>
  <si>
    <t>VTA-PHONG BH SO 3</t>
  </si>
  <si>
    <t>122006</t>
  </si>
  <si>
    <t>VTA-PHONG BH SO 6</t>
  </si>
  <si>
    <t>122101</t>
  </si>
  <si>
    <t>VTA-PHONG HO TRO PHAT TRIEN KD</t>
  </si>
  <si>
    <t>124000</t>
  </si>
  <si>
    <t>BGI-Cong ty - Chi QL chung</t>
  </si>
  <si>
    <t>124001</t>
  </si>
  <si>
    <t>BGI-PHONG BAO HIEM SO 1</t>
  </si>
  <si>
    <t>124002</t>
  </si>
  <si>
    <t>BGI-PHONG BAO HIEM SO 2</t>
  </si>
  <si>
    <t>124003</t>
  </si>
  <si>
    <t>BGI-PHONG BAO HIEM SO 3</t>
  </si>
  <si>
    <t>124004</t>
  </si>
  <si>
    <t>BGI-PHONG BAO HIEM SO 4</t>
  </si>
  <si>
    <t>124005</t>
  </si>
  <si>
    <t>BGI-PHONG BAO HIEM LANG GIANG</t>
  </si>
  <si>
    <t>124008</t>
  </si>
  <si>
    <t>BGI-PHONG BAO HIEM LUC NAM</t>
  </si>
  <si>
    <t>124011</t>
  </si>
  <si>
    <t>BGI-PHONG BAO HIEM HIEP HOA</t>
  </si>
  <si>
    <t>124103</t>
  </si>
  <si>
    <t>BGI-PHONG GIAM DINH BOI THUONG</t>
  </si>
  <si>
    <t>124104</t>
  </si>
  <si>
    <t>BGI-PHONG HANH CHINH - TONG HOP</t>
  </si>
  <si>
    <t>125001</t>
  </si>
  <si>
    <t>BNI-PHONG BH SO 1</t>
  </si>
  <si>
    <t>125003</t>
  </si>
  <si>
    <t>BNI-PHONG BH SO 3</t>
  </si>
  <si>
    <t>125005</t>
  </si>
  <si>
    <t>BNI-PHONG BH SO 5</t>
  </si>
  <si>
    <t>125006</t>
  </si>
  <si>
    <t>BNI-PHONG BH SO 6</t>
  </si>
  <si>
    <t>125007</t>
  </si>
  <si>
    <t>BNI-PHONG BH SO 7</t>
  </si>
  <si>
    <t>125010</t>
  </si>
  <si>
    <t>BNI-PHONG BH LUONG TAI</t>
  </si>
  <si>
    <t>125012</t>
  </si>
  <si>
    <t>BNI-PHONG BH YEN PHONG</t>
  </si>
  <si>
    <t>126000</t>
  </si>
  <si>
    <t>BLI-Cong ty - Chi QL chung</t>
  </si>
  <si>
    <t>126001</t>
  </si>
  <si>
    <t>BLI-PHONG BAO HIEM SO 1</t>
  </si>
  <si>
    <t>126002</t>
  </si>
  <si>
    <t>BLI-PHONG BAO HIEM SO 2</t>
  </si>
  <si>
    <t>126003</t>
  </si>
  <si>
    <t>BLI-PHONG BAO HIEM SO 3</t>
  </si>
  <si>
    <t>126004</t>
  </si>
  <si>
    <t>BLI-PHONG BAO HIEM GIA RAI</t>
  </si>
  <si>
    <t>126006</t>
  </si>
  <si>
    <t>BLI-PHONG BAO HIEM PHUOC LONG</t>
  </si>
  <si>
    <t>127000</t>
  </si>
  <si>
    <t>BTR-Cong ty - Chi QL chung</t>
  </si>
  <si>
    <t>127001</t>
  </si>
  <si>
    <t>BTR-PHONG BH SO 1</t>
  </si>
  <si>
    <t>127002</t>
  </si>
  <si>
    <t>BTR-PHONG BH SO 2</t>
  </si>
  <si>
    <t>127004</t>
  </si>
  <si>
    <t>BTR-PHONG BH SO 4 (BA TRI)</t>
  </si>
  <si>
    <t>128001</t>
  </si>
  <si>
    <t>BDU-PHONG BAO HIEM SO 1</t>
  </si>
  <si>
    <t>128002</t>
  </si>
  <si>
    <t>BDU-PHONG BAO HIEM SO 2</t>
  </si>
  <si>
    <t>128005</t>
  </si>
  <si>
    <t>BDU-PHONG BAO HIEM SO 5</t>
  </si>
  <si>
    <t>128007</t>
  </si>
  <si>
    <t>BDU-PHONG BAO HIEM SO 7</t>
  </si>
  <si>
    <t>129000</t>
  </si>
  <si>
    <t>BDI-Cong ty - Chi QL chung</t>
  </si>
  <si>
    <t>129001</t>
  </si>
  <si>
    <t>BDI-PHONG BAO HIEM SO 1</t>
  </si>
  <si>
    <t>129002</t>
  </si>
  <si>
    <t>BDI-PHONG BAO HIEM SO 2</t>
  </si>
  <si>
    <t>129003</t>
  </si>
  <si>
    <t>BDI-PHONG BAO HIEM SO 3</t>
  </si>
  <si>
    <t>129004</t>
  </si>
  <si>
    <t>BDI-PHONG BAO HIEM SO 4</t>
  </si>
  <si>
    <t>129006</t>
  </si>
  <si>
    <t>BDI-PHONG BAO HIEM HOAI NHON</t>
  </si>
  <si>
    <t>129008</t>
  </si>
  <si>
    <t>BDI-PHONG BAO HIEM TUY PHUOC</t>
  </si>
  <si>
    <t>129009</t>
  </si>
  <si>
    <t>BDI-PHONG BAO HIEM PHU MY</t>
  </si>
  <si>
    <t>130001</t>
  </si>
  <si>
    <t>BPH-PHONG BAO HIEM SO 1</t>
  </si>
  <si>
    <t>130002</t>
  </si>
  <si>
    <t>BPH-PHONG BAO HIEM SO 2</t>
  </si>
  <si>
    <t>130004</t>
  </si>
  <si>
    <t>BPH-PHONG BAO HIEM SO 4</t>
  </si>
  <si>
    <t>130102</t>
  </si>
  <si>
    <t>BPH-PHONG KE TOAN - TONG HOP</t>
  </si>
  <si>
    <t>131000</t>
  </si>
  <si>
    <t>BTHCong ty - Chi QL chung</t>
  </si>
  <si>
    <t>131001</t>
  </si>
  <si>
    <t>BTH-PHONG BAO HIEM SO 1</t>
  </si>
  <si>
    <t>131004</t>
  </si>
  <si>
    <t>BTH-PBH HAM THUAN BAC</t>
  </si>
  <si>
    <t>131006</t>
  </si>
  <si>
    <t>BTH-PBH DUC LINH</t>
  </si>
  <si>
    <t>131007</t>
  </si>
  <si>
    <t>BTH-PBH TANH LINH</t>
  </si>
  <si>
    <t>132002</t>
  </si>
  <si>
    <t>CMA-Phòng Bảo hiểm Cà Mau 2</t>
  </si>
  <si>
    <t>132004</t>
  </si>
  <si>
    <t>CMA-Phòng Bảo hiểm Đầm Dơi</t>
  </si>
  <si>
    <t>132102</t>
  </si>
  <si>
    <t>CMA-Phòng Kế toán - Tổng hợp</t>
  </si>
  <si>
    <t>133001</t>
  </si>
  <si>
    <t>CBA-PHONG BAO HIEM SO 1</t>
  </si>
  <si>
    <t>133003</t>
  </si>
  <si>
    <t>CBA-PHONG BAO HIEM SO 3</t>
  </si>
  <si>
    <t>134001</t>
  </si>
  <si>
    <t>CTH-Phòng Bảo hiểm số 1</t>
  </si>
  <si>
    <t>134002</t>
  </si>
  <si>
    <t>CTH-Phòng Bảo hiểm số 2</t>
  </si>
  <si>
    <t>134003</t>
  </si>
  <si>
    <t>CTH-Phòng Bảo hiểm số 3</t>
  </si>
  <si>
    <t>134004</t>
  </si>
  <si>
    <t>CTH-Phòng Bảo hiểm số 4</t>
  </si>
  <si>
    <t>134005</t>
  </si>
  <si>
    <t>CTH-Phòng Bảo hiểm số 5</t>
  </si>
  <si>
    <t>134006</t>
  </si>
  <si>
    <t>CTH-Phòng Bảo hiểm số 6</t>
  </si>
  <si>
    <t>134007</t>
  </si>
  <si>
    <t>CTH-Phòng Bảo hiểm số 7</t>
  </si>
  <si>
    <t>134008</t>
  </si>
  <si>
    <t>CTH-Phòng Bảo hiểm số 8</t>
  </si>
  <si>
    <t>134009</t>
  </si>
  <si>
    <t>CTH-Phòng Bảo hiểm số 9</t>
  </si>
  <si>
    <t>134010</t>
  </si>
  <si>
    <t>CTH-Phòng Bảo hiểm số 10</t>
  </si>
  <si>
    <t>134102</t>
  </si>
  <si>
    <t>CTH-Phòng Kế toán</t>
  </si>
  <si>
    <t>134103</t>
  </si>
  <si>
    <t>CTH-Phòng Giám định Bồi thường xe cơ giới</t>
  </si>
  <si>
    <t>134600</t>
  </si>
  <si>
    <t>CTH-Ban giam doc</t>
  </si>
  <si>
    <t>135000</t>
  </si>
  <si>
    <t>DNA-Cong ty - Chi QL chung</t>
  </si>
  <si>
    <t>135001</t>
  </si>
  <si>
    <t>DNA-Phòng Bảo hiểm số 1</t>
  </si>
  <si>
    <t>135002</t>
  </si>
  <si>
    <t>DNA-Phòng Bảo hiểm số 2</t>
  </si>
  <si>
    <t>135003</t>
  </si>
  <si>
    <t>DNA-Phòng Bảo hiểm số 3</t>
  </si>
  <si>
    <t>135005</t>
  </si>
  <si>
    <t>DNA-Phòng Bảo hiểm số 5</t>
  </si>
  <si>
    <t>135006</t>
  </si>
  <si>
    <t>DNA-Phòng Bảo hiểm số 6</t>
  </si>
  <si>
    <t>135007</t>
  </si>
  <si>
    <t>DNA-Phòng Bảo hiểm số 7</t>
  </si>
  <si>
    <t>135008</t>
  </si>
  <si>
    <t>DNA-Phòng Bảo hiểm số 8</t>
  </si>
  <si>
    <t>135009</t>
  </si>
  <si>
    <t>DNA-Phòng Bảo hiểm số 12</t>
  </si>
  <si>
    <t>135010</t>
  </si>
  <si>
    <t>DNA-Phòng Bảo hiểm số 9</t>
  </si>
  <si>
    <t>135011</t>
  </si>
  <si>
    <t>DNA-Phòng Bảo hiểm số 11</t>
  </si>
  <si>
    <t>135012</t>
  </si>
  <si>
    <t>DNA-Phòng Bảo hiểm số 10</t>
  </si>
  <si>
    <t>136000</t>
  </si>
  <si>
    <t>DLA-Cong ty - Chi QL chung</t>
  </si>
  <si>
    <t>136001</t>
  </si>
  <si>
    <t>DLA-Phòng Bảo hiểm số 1</t>
  </si>
  <si>
    <t>136002</t>
  </si>
  <si>
    <t>DLA-Phòng Bảo hiểm số 2</t>
  </si>
  <si>
    <t>136003</t>
  </si>
  <si>
    <t>DLA-Phòng Bảo hiểm số 3</t>
  </si>
  <si>
    <t>136005</t>
  </si>
  <si>
    <t>DLA-Phòng Bảo hiểm số 5</t>
  </si>
  <si>
    <t>136006</t>
  </si>
  <si>
    <t>DLA-Phòng Bảo hiểm số 6</t>
  </si>
  <si>
    <t>136007</t>
  </si>
  <si>
    <t>DLA-Phòng Bảo hiểm số 7</t>
  </si>
  <si>
    <t>136008</t>
  </si>
  <si>
    <t>DLA-Phòng Bảo hiểm Buôn Hồ</t>
  </si>
  <si>
    <t>136009</t>
  </si>
  <si>
    <t>DLA-Phòng Bảo hiểm Ea Kar</t>
  </si>
  <si>
    <t>136101</t>
  </si>
  <si>
    <t>DLA-Phòng Hỗ trợ phát triển kinh doanh</t>
  </si>
  <si>
    <t>136102</t>
  </si>
  <si>
    <t>DLA-Phòng Kế toán - Tổng hợp</t>
  </si>
  <si>
    <t>137003</t>
  </si>
  <si>
    <t>DON-Phòng Bảo hiểm số 3</t>
  </si>
  <si>
    <t>137007</t>
  </si>
  <si>
    <t>DON-Phòng Bảo hiểm số 7</t>
  </si>
  <si>
    <t>137011</t>
  </si>
  <si>
    <t>DON-Phòng Bảo hiểm số 11</t>
  </si>
  <si>
    <t>138001</t>
  </si>
  <si>
    <t>DTH-Phòng Bảo hiểm số 1</t>
  </si>
  <si>
    <t>138002</t>
  </si>
  <si>
    <t>DTH-Phòng Bảo hiểm số 2</t>
  </si>
  <si>
    <t>138003</t>
  </si>
  <si>
    <t>DTH-Phòng Bảo hiểm số 3</t>
  </si>
  <si>
    <t>138004</t>
  </si>
  <si>
    <t>DTH-Phòng Bảo hiểm Cao Lãnh</t>
  </si>
  <si>
    <t>138005</t>
  </si>
  <si>
    <t>DTH-Phòng Bảo hiểm Châu Thành</t>
  </si>
  <si>
    <t>138006</t>
  </si>
  <si>
    <t>DTH-Phòng Bảo hiểm TP Hồng Ngự</t>
  </si>
  <si>
    <t>138007</t>
  </si>
  <si>
    <t>DTH-Phòng Bảo hiểm huyện Hồng Ngự</t>
  </si>
  <si>
    <t>138008</t>
  </si>
  <si>
    <t>DTH-Phòng Bảo hiểm Lai Vung</t>
  </si>
  <si>
    <t>138009</t>
  </si>
  <si>
    <t>DTH-Phòng Bảo hiểm Lấp Vò</t>
  </si>
  <si>
    <t>138010</t>
  </si>
  <si>
    <t>DTH-Phòng Bảo hiểm Sa Đéc</t>
  </si>
  <si>
    <t>138011</t>
  </si>
  <si>
    <t>DTH-Phòng Bảo hiểm Tam Nông</t>
  </si>
  <si>
    <t>138013</t>
  </si>
  <si>
    <t>DTH-Phòng Bảo hiểm Tháp Mười</t>
  </si>
  <si>
    <t>139000</t>
  </si>
  <si>
    <t>GLA-Cong ty - Chi QL chung</t>
  </si>
  <si>
    <t>139001</t>
  </si>
  <si>
    <t>GLA-Phòng Bảo hiểm số 1</t>
  </si>
  <si>
    <t>139002</t>
  </si>
  <si>
    <t>GLA-Phòng Bảo hiểm số 2</t>
  </si>
  <si>
    <t>139003</t>
  </si>
  <si>
    <t>GLA-Phòng Bảo hiểm số 3</t>
  </si>
  <si>
    <t>139004</t>
  </si>
  <si>
    <t>GLA-Phòng Bảo hiểm số 4</t>
  </si>
  <si>
    <t>139005</t>
  </si>
  <si>
    <t>GLA-Phòng Bảo hiểm số 5</t>
  </si>
  <si>
    <t>139101</t>
  </si>
  <si>
    <t>GLA-Phòng Hỗ trợ phát triển kinh doanh</t>
  </si>
  <si>
    <t>139105</t>
  </si>
  <si>
    <t>GLA-Phòng Phát triển kênh phân phối</t>
  </si>
  <si>
    <t>140000</t>
  </si>
  <si>
    <t>HGI-Cong ty - Chi QL chung</t>
  </si>
  <si>
    <t>140001</t>
  </si>
  <si>
    <t>HGI-Phòng Bảo hiểm số 1</t>
  </si>
  <si>
    <t>141000</t>
  </si>
  <si>
    <t>HNA-Cong ty - Chi QL chung</t>
  </si>
  <si>
    <t>141001</t>
  </si>
  <si>
    <t>HNA-Phòng Bảo hiểm số 1</t>
  </si>
  <si>
    <t>141005</t>
  </si>
  <si>
    <t>HNA-Phòng Bảo hiểm số 5</t>
  </si>
  <si>
    <t>141006</t>
  </si>
  <si>
    <t>HNA-Phòng Bảo hiểm số 6</t>
  </si>
  <si>
    <t>142000</t>
  </si>
  <si>
    <t>HNO-Cong ty - Chi QL chung</t>
  </si>
  <si>
    <t>142002</t>
  </si>
  <si>
    <t>HNO-Phòng Bảo hiểm số 2</t>
  </si>
  <si>
    <t>142006</t>
  </si>
  <si>
    <t>HNO-Phòng Bảo hiểm số 6</t>
  </si>
  <si>
    <t>142007</t>
  </si>
  <si>
    <t>HNO-Phòng Bảo hiểm số 7</t>
  </si>
  <si>
    <t>142008</t>
  </si>
  <si>
    <t>HNO-Phòng Bảo hiểm số 8</t>
  </si>
  <si>
    <t>142010</t>
  </si>
  <si>
    <t>HNO-Phòng Bảo hiểm số 10</t>
  </si>
  <si>
    <t>142013</t>
  </si>
  <si>
    <t>HNO-Phòng Bảo hiểm Ba Đình</t>
  </si>
  <si>
    <t>142014</t>
  </si>
  <si>
    <t>HNO-Phòng Bảo hiểm Cầu Giấy</t>
  </si>
  <si>
    <t>142016</t>
  </si>
  <si>
    <t>HNO-Phòng Bảo hiểm Hai Bà Trưng</t>
  </si>
  <si>
    <t>142017</t>
  </si>
  <si>
    <t>HNO-Phòng Bảo hiểm Thanh Xuân</t>
  </si>
  <si>
    <t>143000</t>
  </si>
  <si>
    <t>DDO-Cong ty - Chi QL chung</t>
  </si>
  <si>
    <t>143002</t>
  </si>
  <si>
    <t>DDO-Phòng Bảo hiểm số 2</t>
  </si>
  <si>
    <t>143005</t>
  </si>
  <si>
    <t>DDO-Phòng Bảo hiểm Số 5</t>
  </si>
  <si>
    <t>143006</t>
  </si>
  <si>
    <t>DDO-Phòng Bảo hiểm số 6</t>
  </si>
  <si>
    <t>143007</t>
  </si>
  <si>
    <t>DDO-Phòng Bảo hiểm Hà Đông</t>
  </si>
  <si>
    <t>143008</t>
  </si>
  <si>
    <t>DDO-Phòng Bảo hiểm Mỹ Đình</t>
  </si>
  <si>
    <t>143009</t>
  </si>
  <si>
    <t>DDO-Phòng Bảo hiểm Thanh Oai</t>
  </si>
  <si>
    <t>143010</t>
  </si>
  <si>
    <t>DDO-Phòng Bảo hiểm Thường Tín</t>
  </si>
  <si>
    <t>143011</t>
  </si>
  <si>
    <t>DDO-Phòng Bảo hiểm Chương Mỹ</t>
  </si>
  <si>
    <t>143012</t>
  </si>
  <si>
    <t>DDO-Phòng Bảo hiểm Phú Xuyên</t>
  </si>
  <si>
    <t>143015</t>
  </si>
  <si>
    <t>DDO-Phòng Bảo hiểm Mỹ Đức</t>
  </si>
  <si>
    <t>143101</t>
  </si>
  <si>
    <t>DDO-Phòng Hỗ trợ phát triển kinh doanh</t>
  </si>
  <si>
    <t>144000</t>
  </si>
  <si>
    <t>HTI- Cong ty - Chi QL chung</t>
  </si>
  <si>
    <t>144001</t>
  </si>
  <si>
    <t>HTI- Phong BH So 1</t>
  </si>
  <si>
    <t>144002</t>
  </si>
  <si>
    <t>HTI- Phong BH So 2</t>
  </si>
  <si>
    <t>144101</t>
  </si>
  <si>
    <t>HTI-Phòng Hỗ trợ phát triển kinh doanh</t>
  </si>
  <si>
    <t>145000</t>
  </si>
  <si>
    <t>HDU- Cong ty - Chi QL chung</t>
  </si>
  <si>
    <t>145001</t>
  </si>
  <si>
    <t>HDU-Phòng Bảo hiểm số 1</t>
  </si>
  <si>
    <t>145002</t>
  </si>
  <si>
    <t>HDU-Phòng Bảo hiểm số 2</t>
  </si>
  <si>
    <t>145003</t>
  </si>
  <si>
    <t>HDU-Phòng Bảo hiểm số 3</t>
  </si>
  <si>
    <t>145005</t>
  </si>
  <si>
    <t>HDU-Phòng Bảo hiểm Bình Giang</t>
  </si>
  <si>
    <t>145006</t>
  </si>
  <si>
    <t>HDU-Phòng Bảo hiểm Cẩm Giàng</t>
  </si>
  <si>
    <t>145007</t>
  </si>
  <si>
    <t>HDU-Phòng Bảo hiểm Chí Linh</t>
  </si>
  <si>
    <t>145008</t>
  </si>
  <si>
    <t>HDU-Phòng Bảo hiểm Gia Lộc</t>
  </si>
  <si>
    <t>145009</t>
  </si>
  <si>
    <t>HDU-Phòng Bảo hiểm Kim Thành</t>
  </si>
  <si>
    <t>145010</t>
  </si>
  <si>
    <t>HDU-Phòng Bảo hiểm Kinh Môn</t>
  </si>
  <si>
    <t>145011</t>
  </si>
  <si>
    <t>HDU-Phòng Bảo hiểm Nam Sách</t>
  </si>
  <si>
    <t>145012</t>
  </si>
  <si>
    <t>HDU-Phòng Bảo hiểm Ninh Giang</t>
  </si>
  <si>
    <t>145013</t>
  </si>
  <si>
    <t>HDU-Phòng Bảo hiểm Tứ Kỳ</t>
  </si>
  <si>
    <t>145014</t>
  </si>
  <si>
    <t>HDU-Phòng Bảo hiểm Thanh Hà</t>
  </si>
  <si>
    <t>145015</t>
  </si>
  <si>
    <t>HDU-Phòng Bảo hiểm Thanh Miện</t>
  </si>
  <si>
    <t>146000</t>
  </si>
  <si>
    <t>HPH-Cong ty - Chi QL chung</t>
  </si>
  <si>
    <t>146001</t>
  </si>
  <si>
    <t>HPH-Phòng Bảo hiểm số 1</t>
  </si>
  <si>
    <t>146002</t>
  </si>
  <si>
    <t>HPH-Phòng Bảo hiểm số 2</t>
  </si>
  <si>
    <t>146003</t>
  </si>
  <si>
    <t>HPH-Phòng Bảo hiểm số 3</t>
  </si>
  <si>
    <t>146004</t>
  </si>
  <si>
    <t>HPH-Phòng Bảo hiểm số 4</t>
  </si>
  <si>
    <t>146005</t>
  </si>
  <si>
    <t>HPH-Phòng Bảo hiểm số 5</t>
  </si>
  <si>
    <t>146006</t>
  </si>
  <si>
    <t>HPH-Phòng Bảo hiểm số 6</t>
  </si>
  <si>
    <t>146007</t>
  </si>
  <si>
    <t>HPH-Phòng bảo hiểm số 7</t>
  </si>
  <si>
    <t>146008</t>
  </si>
  <si>
    <t>HPH-Phòng Bảo hiểm số 8</t>
  </si>
  <si>
    <t>146009</t>
  </si>
  <si>
    <t>HPH-Phòng Bảo hiểm số 9</t>
  </si>
  <si>
    <t>146011</t>
  </si>
  <si>
    <t>HPH-Phòng Bảo hiểm Tàu thủy</t>
  </si>
  <si>
    <t>146012</t>
  </si>
  <si>
    <t>HPH-Phòng Bảo hiểm Hàng hóa</t>
  </si>
  <si>
    <t>147000</t>
  </si>
  <si>
    <t>HYE-Cong ty - Chi QL chung</t>
  </si>
  <si>
    <t>147001</t>
  </si>
  <si>
    <t>HYE-Phòng Bảo hiểm Tiên Lữ</t>
  </si>
  <si>
    <t>147002</t>
  </si>
  <si>
    <t>HYE-Phòng Bảo hiểm Kim Động</t>
  </si>
  <si>
    <t>147003</t>
  </si>
  <si>
    <t>HYE-Phòng Bảo hiểm Khoái Châu</t>
  </si>
  <si>
    <t>147007</t>
  </si>
  <si>
    <t>HYE-Phòng Bảo hiểm Yên Mỹ</t>
  </si>
  <si>
    <t>147008</t>
  </si>
  <si>
    <t>HYE-Phòng Bảo hiểm Mỹ Hào</t>
  </si>
  <si>
    <t>147009</t>
  </si>
  <si>
    <t>HYE-Phòng Bảo hiểm Văn Lâm</t>
  </si>
  <si>
    <t>147010</t>
  </si>
  <si>
    <t>HYE-Phòng Bảo hiểm Văn Giang</t>
  </si>
  <si>
    <t>148002</t>
  </si>
  <si>
    <t>HBI-Phòng Bảo hiểm số 2</t>
  </si>
  <si>
    <t>149000</t>
  </si>
  <si>
    <t>KHO-Cong ty - Chi QL chung</t>
  </si>
  <si>
    <t>149001</t>
  </si>
  <si>
    <t>KHO-Phòng Bảo hiểm số 1</t>
  </si>
  <si>
    <t>149002</t>
  </si>
  <si>
    <t>KHO-Phòng Bảo hiểm số 2</t>
  </si>
  <si>
    <t>149003</t>
  </si>
  <si>
    <t>KHO-Phòng Bảo hiểm số 3</t>
  </si>
  <si>
    <t>149006</t>
  </si>
  <si>
    <t>KHO-Phòng Bảo hiểm Diên Khánh</t>
  </si>
  <si>
    <t>149007</t>
  </si>
  <si>
    <t>KHO-Phòng Bảo hiểm Ninh Hòa</t>
  </si>
  <si>
    <t>149008</t>
  </si>
  <si>
    <t>KHO-Phòng Bảo hiểm Vạn Ninh</t>
  </si>
  <si>
    <t>149009</t>
  </si>
  <si>
    <t>KHO-Phòng Bảo hiểm Cam Ranh</t>
  </si>
  <si>
    <t>149010</t>
  </si>
  <si>
    <t>KHO-Phòng Bảo hiểm Cam Lâm</t>
  </si>
  <si>
    <t>150001</t>
  </si>
  <si>
    <t>KGI-Phòng Bảo hiểm số 1</t>
  </si>
  <si>
    <t>150002</t>
  </si>
  <si>
    <t>KGI-Phòng Bảo hiểm số 2</t>
  </si>
  <si>
    <t>150003</t>
  </si>
  <si>
    <t>KGI-Phòng Bảo hiểm số 3</t>
  </si>
  <si>
    <t>150005</t>
  </si>
  <si>
    <t>KGI-Phòng Bảo hiểm số 6</t>
  </si>
  <si>
    <t>150006</t>
  </si>
  <si>
    <t>KGI-Phòng Bảo hiểm số 7</t>
  </si>
  <si>
    <t>150007</t>
  </si>
  <si>
    <t>KGI-Phòng Bảo hiểm số 8</t>
  </si>
  <si>
    <t>150010</t>
  </si>
  <si>
    <t>KGI-Phòng Bảo hiểm số 11</t>
  </si>
  <si>
    <t>150011</t>
  </si>
  <si>
    <t>KGI-Phòng Bảo hiểm số 12</t>
  </si>
  <si>
    <t>151001</t>
  </si>
  <si>
    <t>KTU-Phong NV1</t>
  </si>
  <si>
    <t>151002</t>
  </si>
  <si>
    <t>KTU-Phong NV2</t>
  </si>
  <si>
    <t>151003</t>
  </si>
  <si>
    <t>KTU-Phong NV3</t>
  </si>
  <si>
    <t>152000</t>
  </si>
  <si>
    <t>LDO-Cong ty - Chi QL chung</t>
  </si>
  <si>
    <t>152001</t>
  </si>
  <si>
    <t>LDO-PHONG BẢO HIỂM SO 1</t>
  </si>
  <si>
    <t>152002</t>
  </si>
  <si>
    <t>LDO-PHONG BẢO HIỂM SO 2</t>
  </si>
  <si>
    <t>152003</t>
  </si>
  <si>
    <t>LDO-PHONG BẢO HIỂM SỐ 3</t>
  </si>
  <si>
    <t>152004</t>
  </si>
  <si>
    <t>LDO-PHONG BẢO HIỂM SỐ 4</t>
  </si>
  <si>
    <t>152006</t>
  </si>
  <si>
    <t>LDO-PHONG BẢO HIỂM SỐ 6</t>
  </si>
  <si>
    <t>152101</t>
  </si>
  <si>
    <t>LDO-Phòng Hỗ trợ kinh doanh</t>
  </si>
  <si>
    <t>153000</t>
  </si>
  <si>
    <t>LCA-Cong ty - Chi QL chung</t>
  </si>
  <si>
    <t>153001</t>
  </si>
  <si>
    <t>LCA-PHONG BAO HIEM SO 1</t>
  </si>
  <si>
    <t>153101</t>
  </si>
  <si>
    <t>LCA-PHONG HO TRO PHAT TRIEN KINH DOANH</t>
  </si>
  <si>
    <t>154002</t>
  </si>
  <si>
    <t>LSO-PHONG BH SO 2</t>
  </si>
  <si>
    <t>154005</t>
  </si>
  <si>
    <t>LSO-PHONG BHKV HUU LUNG</t>
  </si>
  <si>
    <t>155000</t>
  </si>
  <si>
    <t>DBI- Cong ty - Chi QL chung</t>
  </si>
  <si>
    <t>155001</t>
  </si>
  <si>
    <t>DBI-PHONG BAO HIEM SO 1</t>
  </si>
  <si>
    <t>155003</t>
  </si>
  <si>
    <t>DBI-PHONG BAO HIEM SO 3</t>
  </si>
  <si>
    <t>155101</t>
  </si>
  <si>
    <t>DBI-PHONG HO TRO PTKD</t>
  </si>
  <si>
    <t>156000</t>
  </si>
  <si>
    <t>LANCong ty - Chi QL chung</t>
  </si>
  <si>
    <t>156001</t>
  </si>
  <si>
    <t>LAN-Phòng BH số 1</t>
  </si>
  <si>
    <t>156002</t>
  </si>
  <si>
    <t>LAN-Phòng BH số 2</t>
  </si>
  <si>
    <t>156003</t>
  </si>
  <si>
    <t>LAN-Phòng BH Đức Hòa</t>
  </si>
  <si>
    <t>156008</t>
  </si>
  <si>
    <t>LAN-Phòng BH Cần Giuộc</t>
  </si>
  <si>
    <t>156009</t>
  </si>
  <si>
    <t>LAN-Phòng BH Thị Trấn Đức Hòa</t>
  </si>
  <si>
    <t>157000</t>
  </si>
  <si>
    <t>NDI-Cong ty - Chi QL chung</t>
  </si>
  <si>
    <t>157003</t>
  </si>
  <si>
    <t>NDI-Phòng bảo hiểm số 3</t>
  </si>
  <si>
    <t>157004</t>
  </si>
  <si>
    <t>NDI-Phòng bảo hiểm số 4</t>
  </si>
  <si>
    <t>157101</t>
  </si>
  <si>
    <t>NDI-PHONG HO TRO VA PHAT TRIEN KINH DOANH</t>
  </si>
  <si>
    <t>157102</t>
  </si>
  <si>
    <t>NDI-PHONG ke toan tong họp</t>
  </si>
  <si>
    <t>158000</t>
  </si>
  <si>
    <t>NAN-Cong ty - Chi QL chung</t>
  </si>
  <si>
    <t>158001</t>
  </si>
  <si>
    <t>NAN-Phòng Bảo hiểm số 1</t>
  </si>
  <si>
    <t>158002</t>
  </si>
  <si>
    <t>NAN-Phòng Bảo hiểm số 2</t>
  </si>
  <si>
    <t>158004</t>
  </si>
  <si>
    <t>NAN-Phòng Bảo hiểm số 4</t>
  </si>
  <si>
    <t>158007</t>
  </si>
  <si>
    <t>NAN-Phòng Bảo hiểm số 7</t>
  </si>
  <si>
    <t>158009</t>
  </si>
  <si>
    <t>NAN-Phòng Bảo hiểm số 9</t>
  </si>
  <si>
    <t>158011</t>
  </si>
  <si>
    <t>NAN-Phòng Bảo hiểm số 11</t>
  </si>
  <si>
    <t>158012</t>
  </si>
  <si>
    <t>NAN-Phòng Bảo hiểm số 12</t>
  </si>
  <si>
    <t>158101</t>
  </si>
  <si>
    <t>NAN-Phòng Hỗ trợ phát triển kinh doanh</t>
  </si>
  <si>
    <t>158103</t>
  </si>
  <si>
    <t>NAN-Phòng Giám định - Bồi thường</t>
  </si>
  <si>
    <t>158105</t>
  </si>
  <si>
    <t>NAN-Phong lien danh</t>
  </si>
  <si>
    <t>159000</t>
  </si>
  <si>
    <t>NBI-Cong ty - Chi QL chung</t>
  </si>
  <si>
    <t>159002</t>
  </si>
  <si>
    <t>NBI-Phòng Bảo hiểm số 2</t>
  </si>
  <si>
    <t>159006</t>
  </si>
  <si>
    <t>NBI-Phòng Bảo hiểm Kim Sơn</t>
  </si>
  <si>
    <t>160001</t>
  </si>
  <si>
    <t>NTH-PHONG BAO HIEM SO 01</t>
  </si>
  <si>
    <t>160002</t>
  </si>
  <si>
    <t>NTH-PHONG BAO HIEM SO 02</t>
  </si>
  <si>
    <t>160003</t>
  </si>
  <si>
    <t>NTH-BH BAC N.THUAN</t>
  </si>
  <si>
    <t>160005</t>
  </si>
  <si>
    <t>NTH-BH NINH PHUOC</t>
  </si>
  <si>
    <t>160101</t>
  </si>
  <si>
    <t>NTH-PHONG HO TRO PHAT TRIEN KINH DOANH</t>
  </si>
  <si>
    <t>161000</t>
  </si>
  <si>
    <t>PTH-Cong ty - Chi QL chung</t>
  </si>
  <si>
    <t>161002</t>
  </si>
  <si>
    <t>PTH-Phòng Bảo hiểm số 2</t>
  </si>
  <si>
    <t>161005</t>
  </si>
  <si>
    <t>PTH-Phòng Bảo hiểm Đoan Hùng</t>
  </si>
  <si>
    <t>161006</t>
  </si>
  <si>
    <t>PTH-Phòng Bảo hiểm Lâm Thao</t>
  </si>
  <si>
    <t>162000</t>
  </si>
  <si>
    <t>PYE-Cong ty - Chi QL chung</t>
  </si>
  <si>
    <t>162002</t>
  </si>
  <si>
    <t>PYE-PHONG BH SO 2</t>
  </si>
  <si>
    <t>162004</t>
  </si>
  <si>
    <t>PYE-PHONG BH SO 4</t>
  </si>
  <si>
    <t>162005</t>
  </si>
  <si>
    <t>PYE-PHONG BH SO 5</t>
  </si>
  <si>
    <t>163000</t>
  </si>
  <si>
    <t>QBI-Cong ty - Chi QL chung</t>
  </si>
  <si>
    <t>163001</t>
  </si>
  <si>
    <t>QBI-Phòng Bảo hiểm số 1</t>
  </si>
  <si>
    <t>163006</t>
  </si>
  <si>
    <t>QBI-Phòng Bảo hiểm Lệ Thủy</t>
  </si>
  <si>
    <t>164000</t>
  </si>
  <si>
    <t>QNA-Cong ty - Chi QL chung</t>
  </si>
  <si>
    <t>164003</t>
  </si>
  <si>
    <t>QNA-PHONG NGHIEP VU</t>
  </si>
  <si>
    <t>164005</t>
  </si>
  <si>
    <t>QNA-PHONG BAO HIEM SO 1</t>
  </si>
  <si>
    <t>164103</t>
  </si>
  <si>
    <t>QNA-PHONG GIAM DINH BOI THUONG</t>
  </si>
  <si>
    <t>165000</t>
  </si>
  <si>
    <t>165001</t>
  </si>
  <si>
    <t>QNG-PHONG BAO HIEM SO 1</t>
  </si>
  <si>
    <t>165002</t>
  </si>
  <si>
    <t>QNG-PHONG BAO HIEM SO 2</t>
  </si>
  <si>
    <t>165005</t>
  </si>
  <si>
    <t>QNG-PHONG BAO HIEM SO 5</t>
  </si>
  <si>
    <t>165006</t>
  </si>
  <si>
    <t>QNG-PHONG BAO HIEM SO 6</t>
  </si>
  <si>
    <t>165101</t>
  </si>
  <si>
    <t>QNG-PHONG HO TRO PHAT TRIEN KINH DOANH</t>
  </si>
  <si>
    <t>166000</t>
  </si>
  <si>
    <t>QNI-Cong ty - Chi QL chung</t>
  </si>
  <si>
    <t>166001</t>
  </si>
  <si>
    <t>QNI-Phòng Bảo hiểm Hạ Long 1</t>
  </si>
  <si>
    <t>166002</t>
  </si>
  <si>
    <t>QNI-Phòng Bảo hiểm Hạ Long 2</t>
  </si>
  <si>
    <t>166003</t>
  </si>
  <si>
    <t>QNI-Phòng Bảo hiểm Hạ Long 3</t>
  </si>
  <si>
    <t>166005</t>
  </si>
  <si>
    <t>QNI-Phong BH Dong trieu</t>
  </si>
  <si>
    <t>166006</t>
  </si>
  <si>
    <t>QNI-PHONG BH QUANG YEN</t>
  </si>
  <si>
    <t>166007</t>
  </si>
  <si>
    <t>QNI-Phong BH Uong Bi</t>
  </si>
  <si>
    <t>166101</t>
  </si>
  <si>
    <t>QNI-Phong HTPTKD</t>
  </si>
  <si>
    <t>166103</t>
  </si>
  <si>
    <t>QNI-Phong GD-BT</t>
  </si>
  <si>
    <t>167000</t>
  </si>
  <si>
    <t>QTR-Cong ty - Chi QL chung</t>
  </si>
  <si>
    <t>167002</t>
  </si>
  <si>
    <t>QTR-Phòng Bảo hiểm Đông Hà</t>
  </si>
  <si>
    <t>167003</t>
  </si>
  <si>
    <t>QTR-Phòng Bảo hiểm Hiền Lương</t>
  </si>
  <si>
    <t>167005</t>
  </si>
  <si>
    <t>QTR-Phòng Bảo hiểm Hiếu Giang</t>
  </si>
  <si>
    <t>167006</t>
  </si>
  <si>
    <t>QTR-Phòng Bảo hiểm Nam Đông Hà</t>
  </si>
  <si>
    <t>167007</t>
  </si>
  <si>
    <t>QTR-PHONG BAO HIEM PHIA BAC</t>
  </si>
  <si>
    <t>167008</t>
  </si>
  <si>
    <t>QTR-PHONG BAO HIEM PHIA NAM</t>
  </si>
  <si>
    <t>167009</t>
  </si>
  <si>
    <t>QTR-PHONG BAO HIEM PHIA TAY</t>
  </si>
  <si>
    <t>168000</t>
  </si>
  <si>
    <t>SLA-Cong ty - Chi QL chung</t>
  </si>
  <si>
    <t>168001</t>
  </si>
  <si>
    <t>SLA-Phòng Bảo hiểm số 1</t>
  </si>
  <si>
    <t>168004</t>
  </si>
  <si>
    <t>SLA-Phòng Bảo hiểm Mộc Châu</t>
  </si>
  <si>
    <t>169001</t>
  </si>
  <si>
    <t>SGO-SG PHONG BAO HIEM SO 1</t>
  </si>
  <si>
    <t>169002</t>
  </si>
  <si>
    <t>SGO-SG PHONG BAO HIEM SO 2</t>
  </si>
  <si>
    <t>169003</t>
  </si>
  <si>
    <t>SGO-SG PHONG BAO HIEM SO 3</t>
  </si>
  <si>
    <t>169005</t>
  </si>
  <si>
    <t>SGO-SG PHONG BAO HIEM SO 5</t>
  </si>
  <si>
    <t>169006</t>
  </si>
  <si>
    <t>SGO-SG PHONG BAO HIEM SO 6</t>
  </si>
  <si>
    <t>169008</t>
  </si>
  <si>
    <t>SGO-SG PHONG BAO HIEM SO 8</t>
  </si>
  <si>
    <t>169009</t>
  </si>
  <si>
    <t>SGO-SG PHONG BAO HIEM SO 9</t>
  </si>
  <si>
    <t>169010</t>
  </si>
  <si>
    <t>SGO-SG PHONG BAO HIEM SO 10</t>
  </si>
  <si>
    <t>169012</t>
  </si>
  <si>
    <t>SGO-SG PHONG BAO HIEM SO 12</t>
  </si>
  <si>
    <t>169014</t>
  </si>
  <si>
    <t>SGO-SG PHONG BAO HIEM SO 14</t>
  </si>
  <si>
    <t>169015</t>
  </si>
  <si>
    <t>SGO-SG PHONG BAO HIEM SO 15</t>
  </si>
  <si>
    <t>169016</t>
  </si>
  <si>
    <t>SGO-SG PHONG BAO HIEM SO 16</t>
  </si>
  <si>
    <t>169017</t>
  </si>
  <si>
    <t>SGO-SG PHONG BAO HIEM SO 17</t>
  </si>
  <si>
    <t>169018</t>
  </si>
  <si>
    <t>SGO-SG PHONG BAO HIEM SO 18</t>
  </si>
  <si>
    <t>169019</t>
  </si>
  <si>
    <t>SGO-SG PHONG BAO HIEM SO 19</t>
  </si>
  <si>
    <t>170001</t>
  </si>
  <si>
    <t>STR-PHÒNG BH SỐ 1</t>
  </si>
  <si>
    <t>170002</t>
  </si>
  <si>
    <t>STR-PHÒNG BH SỐ 2</t>
  </si>
  <si>
    <t>170003</t>
  </si>
  <si>
    <t>STR-PHÒNG BH SỐ 3</t>
  </si>
  <si>
    <t>170006</t>
  </si>
  <si>
    <t>STR-PHÒNG BH SỐ 6</t>
  </si>
  <si>
    <t>170101</t>
  </si>
  <si>
    <t>STR-PHONG HO TRO PT KINH DOANH</t>
  </si>
  <si>
    <t>171001</t>
  </si>
  <si>
    <t>TNI-PHONG BAO HIEM SO 1</t>
  </si>
  <si>
    <t>171006</t>
  </si>
  <si>
    <t>TNI-PHONG BAO HIEM TAN CHAU</t>
  </si>
  <si>
    <t>172000</t>
  </si>
  <si>
    <t>TBI-Cong ty - Chi QL chung</t>
  </si>
  <si>
    <t>172001</t>
  </si>
  <si>
    <t>TBI-PHONG BH SO 1</t>
  </si>
  <si>
    <t>172002</t>
  </si>
  <si>
    <t>TBI-PHONG BH SO 2</t>
  </si>
  <si>
    <t>172010</t>
  </si>
  <si>
    <t>TBI-PHONG BH VU THU</t>
  </si>
  <si>
    <t>173000</t>
  </si>
  <si>
    <t>TNG-Cong ty - Chi QL chung</t>
  </si>
  <si>
    <t>173001</t>
  </si>
  <si>
    <t>TNG-PHONG BH SO 1</t>
  </si>
  <si>
    <t>173003</t>
  </si>
  <si>
    <t>TNG-PHONG BH SO 3</t>
  </si>
  <si>
    <t>173006</t>
  </si>
  <si>
    <t>TNG-PHONG BH SO 6</t>
  </si>
  <si>
    <t>173101</t>
  </si>
  <si>
    <t>TNG-PHONG HTPT KINH DOANH</t>
  </si>
  <si>
    <t>174000</t>
  </si>
  <si>
    <t>THO-Cong ty - Chi QL chung</t>
  </si>
  <si>
    <t>174002</t>
  </si>
  <si>
    <t>THO-Phòng Bảo hiểm số 2</t>
  </si>
  <si>
    <t>174004</t>
  </si>
  <si>
    <t>THO-Phòng Bảo hiểm số 4</t>
  </si>
  <si>
    <t>174005</t>
  </si>
  <si>
    <t>THO-Phòng Bảo hiểm số 5</t>
  </si>
  <si>
    <t>174006</t>
  </si>
  <si>
    <t>THO-Phòng Bảo hiểm số 6</t>
  </si>
  <si>
    <t>174009</t>
  </si>
  <si>
    <t>THO-Phòng Bảo hiểm số 9</t>
  </si>
  <si>
    <t>175000</t>
  </si>
  <si>
    <t>TTHCong ty - Chi QL chung</t>
  </si>
  <si>
    <t>175001</t>
  </si>
  <si>
    <t>TTH-PHONG BH SO 1</t>
  </si>
  <si>
    <t>175002</t>
  </si>
  <si>
    <t>TTH-PHONG BH SO 2</t>
  </si>
  <si>
    <t>175003</t>
  </si>
  <si>
    <t>TTH-PHONG BH SO 3</t>
  </si>
  <si>
    <t>175005</t>
  </si>
  <si>
    <t>TTH-PHONG BH SO 5</t>
  </si>
  <si>
    <t>175006</t>
  </si>
  <si>
    <t>TTH-PHONG BH SO 6</t>
  </si>
  <si>
    <t>176000</t>
  </si>
  <si>
    <t>TGI-Cong ty - Chi QL chung</t>
  </si>
  <si>
    <t>176001</t>
  </si>
  <si>
    <t>TGI-PHONG BAO HIEM SO 1</t>
  </si>
  <si>
    <t>176004</t>
  </si>
  <si>
    <t>TGI-PHONG BAO HIEM SO 4</t>
  </si>
  <si>
    <t>176006</t>
  </si>
  <si>
    <t>TGI-PHONG BAO HIEM SO 6</t>
  </si>
  <si>
    <t>176007</t>
  </si>
  <si>
    <t>TGI-PHONG BAO HIEM SO 7</t>
  </si>
  <si>
    <t>176103</t>
  </si>
  <si>
    <t>TGI-PHONG GIAM DINH - BOI THUONG</t>
  </si>
  <si>
    <t>#N/A</t>
  </si>
  <si>
    <t>177000</t>
  </si>
  <si>
    <t>TVI-Cong ty - Chi QL chung</t>
  </si>
  <si>
    <t>177001</t>
  </si>
  <si>
    <t>TVI-P. NGHIEP VU 1</t>
  </si>
  <si>
    <t>177002</t>
  </si>
  <si>
    <t>TVI-P. NGHIEP VU 2</t>
  </si>
  <si>
    <t>177003</t>
  </si>
  <si>
    <t>TVI-P. NGHIEP VU 3</t>
  </si>
  <si>
    <t>177101</t>
  </si>
  <si>
    <t>TVI-PHONG HO TRO VA PHAT TRIEN KINH DOANH</t>
  </si>
  <si>
    <t>178001</t>
  </si>
  <si>
    <t>TQU-PHONG BAO HIEM SO 1</t>
  </si>
  <si>
    <t>178002</t>
  </si>
  <si>
    <t>TQU-PHONG BAO HIEM SO 2</t>
  </si>
  <si>
    <t>179001</t>
  </si>
  <si>
    <t>VLO-PHONG BH SO 1</t>
  </si>
  <si>
    <t>179002</t>
  </si>
  <si>
    <t>VLO-PHONG BH BINH MINH</t>
  </si>
  <si>
    <t>179003</t>
  </si>
  <si>
    <t>VLO-PHONG BH VUNG LIEM</t>
  </si>
  <si>
    <t>179006</t>
  </si>
  <si>
    <t>VLO-PHONG BH TRA ON</t>
  </si>
  <si>
    <t>179101</t>
  </si>
  <si>
    <t>VLO-PHONG HO TRO PHAT TRIEN KINH DOANH</t>
  </si>
  <si>
    <t>179102</t>
  </si>
  <si>
    <t>VLO-PHONG KE TOAN - TONG HOP</t>
  </si>
  <si>
    <t>179105</t>
  </si>
  <si>
    <t>VLO-PHONG PHAT TRIEN KENH PHAN PHOI</t>
  </si>
  <si>
    <t>180000</t>
  </si>
  <si>
    <t>VPH-Cong ty - Chi QL chung</t>
  </si>
  <si>
    <t>180001</t>
  </si>
  <si>
    <t>VPH-Phong BH so 1</t>
  </si>
  <si>
    <t>180101</t>
  </si>
  <si>
    <t>VPH-Phong HT PTKD</t>
  </si>
  <si>
    <t>181000</t>
  </si>
  <si>
    <t>YBA-Cong ty - Chi QL chung</t>
  </si>
  <si>
    <t>181003</t>
  </si>
  <si>
    <t>YBA-PHONG BAO HIEM SO 3</t>
  </si>
  <si>
    <t>181101</t>
  </si>
  <si>
    <t>YBA-PHONG HO TRO PHAT TRIEN KINH DOANH</t>
  </si>
  <si>
    <t>182000</t>
  </si>
  <si>
    <t>NBD-Cong ty - Chi QL chung</t>
  </si>
  <si>
    <t>182001</t>
  </si>
  <si>
    <t>NBD-PHONG BAO HIEM SO 1</t>
  </si>
  <si>
    <t>182002</t>
  </si>
  <si>
    <t>NBD-PHONG BAO HIEM SO 2</t>
  </si>
  <si>
    <t>182003</t>
  </si>
  <si>
    <t>NBD-PHONG BAO HIEM SO 3</t>
  </si>
  <si>
    <t>182004</t>
  </si>
  <si>
    <t>NBD-PHONG BAO HIEM SO 4</t>
  </si>
  <si>
    <t>182005</t>
  </si>
  <si>
    <t>NBD-PHONG BAO HIEM SO 5</t>
  </si>
  <si>
    <t>182006</t>
  </si>
  <si>
    <t>NBD-PHONG BAO HIEM SO 6</t>
  </si>
  <si>
    <t>182007</t>
  </si>
  <si>
    <t>NBD-PHONG BAO HIEM SO 7</t>
  </si>
  <si>
    <t>182008</t>
  </si>
  <si>
    <t>NBD-PHONG BAO HIEM SO 8</t>
  </si>
  <si>
    <t>182103</t>
  </si>
  <si>
    <t>NBD-Phong Giam dinh boi thuong</t>
  </si>
  <si>
    <t>183001</t>
  </si>
  <si>
    <t>LCH-Phòng Bảo hiểm số 1</t>
  </si>
  <si>
    <t>184002</t>
  </si>
  <si>
    <t>GDI-PHONG BAO HIEM SO 2</t>
  </si>
  <si>
    <t>184003</t>
  </si>
  <si>
    <t>GDI-PHONG BAO HIEM SO 3</t>
  </si>
  <si>
    <t>184004</t>
  </si>
  <si>
    <t>GDI-PHONG BAO HIEM SO 4</t>
  </si>
  <si>
    <t>184005</t>
  </si>
  <si>
    <t>GDI-PHONG BAO HIEM SO 5</t>
  </si>
  <si>
    <t>184006</t>
  </si>
  <si>
    <t>GDI-PHONG BAO HIEM SO 6</t>
  </si>
  <si>
    <t>184007</t>
  </si>
  <si>
    <t>GDI-PHONG BAO HIEM SO 7</t>
  </si>
  <si>
    <t>184008</t>
  </si>
  <si>
    <t>GDI-PHONG BAO HIEM SO 8</t>
  </si>
  <si>
    <t>184009</t>
  </si>
  <si>
    <t>GDI-PHONG BAO HIEM SO 9</t>
  </si>
  <si>
    <t>185000</t>
  </si>
  <si>
    <t>PMY-Cong ty - Chi QL chung</t>
  </si>
  <si>
    <t>185001</t>
  </si>
  <si>
    <t>PMY-PHONG BAO HIEM SO 1</t>
  </si>
  <si>
    <t>185002</t>
  </si>
  <si>
    <t>PMY-PHONG BAO HIEM SO 2</t>
  </si>
  <si>
    <t>185003</t>
  </si>
  <si>
    <t>PMY-PHONG BAO HIEM SO 3</t>
  </si>
  <si>
    <t>185005</t>
  </si>
  <si>
    <t>PMY-PHONG BAO HIEM SO 5</t>
  </si>
  <si>
    <t>185006</t>
  </si>
  <si>
    <t>PMY-PHONG BAO HIEM SO 6</t>
  </si>
  <si>
    <t>185007</t>
  </si>
  <si>
    <t>PMY-PHONG BAO HIEM SO 7</t>
  </si>
  <si>
    <t>185008</t>
  </si>
  <si>
    <t>PMY-PHONG BAO HIEM SO 8</t>
  </si>
  <si>
    <t>185009</t>
  </si>
  <si>
    <t>PMY-PHONG BAO HIEM SO 9</t>
  </si>
  <si>
    <t>185010</t>
  </si>
  <si>
    <t>PMY-PHONG BAO HIEM SO 10</t>
  </si>
  <si>
    <t>185019</t>
  </si>
  <si>
    <t>PMY-PHONG BAO HIEM SO 19</t>
  </si>
  <si>
    <t>185101</t>
  </si>
  <si>
    <t>PMY-PHONG HO TRO PHAT TRIEN KINH DOANH</t>
  </si>
  <si>
    <t>186000</t>
  </si>
  <si>
    <t>HCM-Cong ty - Chi QL chung</t>
  </si>
  <si>
    <t>186001</t>
  </si>
  <si>
    <t>HCM-Phong BH so 1</t>
  </si>
  <si>
    <t>186002</t>
  </si>
  <si>
    <t>HCM-Phong BH so 2</t>
  </si>
  <si>
    <t>186003</t>
  </si>
  <si>
    <t>HCM-Phong BH so 3</t>
  </si>
  <si>
    <t>186004</t>
  </si>
  <si>
    <t>HCM-Phong BH So 4</t>
  </si>
  <si>
    <t>186005</t>
  </si>
  <si>
    <t>HCM-Phong BH So 5</t>
  </si>
  <si>
    <t>186006</t>
  </si>
  <si>
    <t>HCM-Phong BH So 6</t>
  </si>
  <si>
    <t>186007</t>
  </si>
  <si>
    <t>HCM-Phong BH So 7</t>
  </si>
  <si>
    <t>186008</t>
  </si>
  <si>
    <t>HCM-Phong BH so 8</t>
  </si>
  <si>
    <t>186009</t>
  </si>
  <si>
    <t>HCM-Phong BH so 9</t>
  </si>
  <si>
    <t>186010</t>
  </si>
  <si>
    <t>HCM-Phong BH so 10</t>
  </si>
  <si>
    <t>186011</t>
  </si>
  <si>
    <t>HCM-Phong BH so 11</t>
  </si>
  <si>
    <t>186101</t>
  </si>
  <si>
    <t>HCM-Phong Ho tro PTKD</t>
  </si>
  <si>
    <t>188000</t>
  </si>
  <si>
    <t>HAG-Cong ty - Chi QL chung</t>
  </si>
  <si>
    <t>188001</t>
  </si>
  <si>
    <t>HAG-phòng BH Số 1</t>
  </si>
  <si>
    <t>188002</t>
  </si>
  <si>
    <t>HAG-phòng BH Số 2</t>
  </si>
  <si>
    <t>188003</t>
  </si>
  <si>
    <t>HAG-phòng BH Số 3</t>
  </si>
  <si>
    <t>188004</t>
  </si>
  <si>
    <t>HAG-phòng BH Số 4</t>
  </si>
  <si>
    <t>188005</t>
  </si>
  <si>
    <t>HAG-phòng BH Số 5</t>
  </si>
  <si>
    <t>188006</t>
  </si>
  <si>
    <t>HAG-phòng BH Số 6</t>
  </si>
  <si>
    <t>188101</t>
  </si>
  <si>
    <t>HAG-Phòng Hỗ trợ phát triển kinh doanh</t>
  </si>
  <si>
    <t>189001</t>
  </si>
  <si>
    <t>DKN-Phong BH So 1</t>
  </si>
  <si>
    <t>189002</t>
  </si>
  <si>
    <t>DKN-Phong KV CuJut</t>
  </si>
  <si>
    <t>191001</t>
  </si>
  <si>
    <t>PQU-Phong Bao Hiem So 1</t>
  </si>
  <si>
    <t>191101</t>
  </si>
  <si>
    <t>PQU-Phong HT&amp;PTKD</t>
  </si>
  <si>
    <t>192000</t>
  </si>
  <si>
    <t>DVU-Cong ty - Chi QL chung</t>
  </si>
  <si>
    <t>192001</t>
  </si>
  <si>
    <t>DVU-DV Phong Bao hiem so 1</t>
  </si>
  <si>
    <t>192002</t>
  </si>
  <si>
    <t>DVU-DV Phong Bao hiem so 2</t>
  </si>
  <si>
    <t>192003</t>
  </si>
  <si>
    <t>DVU-DV Phong Bao hiem so 3</t>
  </si>
  <si>
    <t>193000</t>
  </si>
  <si>
    <t>HTH-Cong ty - Chi QL chung</t>
  </si>
  <si>
    <t>193001</t>
  </si>
  <si>
    <t>HTH-PHONG BAO HIEM SO 1</t>
  </si>
  <si>
    <t>193002</t>
  </si>
  <si>
    <t>HTH-PHONG BAO HIEM SO 2</t>
  </si>
  <si>
    <t>193006</t>
  </si>
  <si>
    <t>HTH-PHONG BAO HIEM SO 6</t>
  </si>
  <si>
    <t>193007</t>
  </si>
  <si>
    <t>HTH-PHONG BAO HIEM SO 7</t>
  </si>
  <si>
    <t>193008</t>
  </si>
  <si>
    <t>HTH-PHONG BAO HIEM SO 8</t>
  </si>
  <si>
    <t>193009</t>
  </si>
  <si>
    <t>HTH-PHONG BAO HIEM SO 9</t>
  </si>
  <si>
    <t>193010</t>
  </si>
  <si>
    <t>HTH-HTH Phong Bao hiem so 10</t>
  </si>
  <si>
    <t>194001</t>
  </si>
  <si>
    <t>STA-Phong Bao hiem Son Tay 1</t>
  </si>
  <si>
    <t>194003</t>
  </si>
  <si>
    <t>STA-Phong Bao hiem Ba Vi</t>
  </si>
  <si>
    <t>194004</t>
  </si>
  <si>
    <t>STA-Phong Bao hiem Phuc Tho</t>
  </si>
  <si>
    <t>194006</t>
  </si>
  <si>
    <t>STA-Phong Bao hiem Dan Phuong</t>
  </si>
  <si>
    <t>194007</t>
  </si>
  <si>
    <t>STA-Phong Bao hiem Hoai Duc</t>
  </si>
  <si>
    <t>194008</t>
  </si>
  <si>
    <t>STA-Phong Bao hiem Quoc Oai</t>
  </si>
  <si>
    <t>195000</t>
  </si>
  <si>
    <t>BTH-Cong ty - Chi QL chung</t>
  </si>
  <si>
    <t>195001</t>
  </si>
  <si>
    <t>BTH-Phòng Bảo hiểm số 1</t>
  </si>
  <si>
    <t>195002</t>
  </si>
  <si>
    <t>BTH-Phòng Bảo hiểm số 2</t>
  </si>
  <si>
    <t>195005</t>
  </si>
  <si>
    <t>BTH-Phòng Bảo hiểm số 5</t>
  </si>
  <si>
    <t>196000</t>
  </si>
  <si>
    <t>MDI-Cong ty - Chi QL chung</t>
  </si>
  <si>
    <t>196001</t>
  </si>
  <si>
    <t>MDI- Phong Bao hiem so 1</t>
  </si>
  <si>
    <t>196002</t>
  </si>
  <si>
    <t>MDI- Phong Bao hiem so 2</t>
  </si>
  <si>
    <t>196005</t>
  </si>
  <si>
    <t>MDI- Phong Bao hiem so 5</t>
  </si>
  <si>
    <t>196007</t>
  </si>
  <si>
    <t>MDI- Phong Bao hiem so 7</t>
  </si>
  <si>
    <t>196008</t>
  </si>
  <si>
    <t>MDI- Phong Bao hiem so 8</t>
  </si>
  <si>
    <t>196009</t>
  </si>
  <si>
    <t>MDI- Phong Bao hiem so 9</t>
  </si>
  <si>
    <t>196102</t>
  </si>
  <si>
    <t>MDI- Phong Ke toan - Tong hop</t>
  </si>
  <si>
    <t>Phí giám định</t>
  </si>
  <si>
    <t>PHÍ GIÁM ĐỊNH</t>
  </si>
  <si>
    <t>IBNR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</si>
</sst>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0.00%;\-0.00%;0.00%"/>
    <numFmt numFmtId="166" formatCode="_-* #,##0.00\ _₫_-;\-* #,##0.00\ _₫_-;_-* &quot;-&quot;??\ _₫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font>
    <font>
      <b/>
      <sz val="11"/>
      <name val="Calibri"/>
      <family val="2"/>
    </font>
    <font>
      <sz val="11"/>
      <color rgb="FFFF0000"/>
      <name val="Calibri"/>
      <family val="2"/>
      <scheme val="minor"/>
    </font>
    <font>
      <sz val="8"/>
      <color rgb="FF000000"/>
      <name val="Segoe UI"/>
      <family val="2"/>
    </font>
    <font>
      <sz val="11"/>
      <name val="Calibri"/>
      <family val="2"/>
      <scheme val="minor"/>
    </font>
    <font>
      <b/>
      <sz val="11"/>
      <color rgb="FF000000"/>
      <name val="Calibri"/>
      <family val="2"/>
      <charset val="163"/>
      <scheme val="minor"/>
    </font>
    <font>
      <b/>
      <sz val="11"/>
      <color rgb="FF000000"/>
      <name val="Times New Roman"/>
      <family val="1"/>
    </font>
    <font>
      <sz val="11"/>
      <color theme="1"/>
      <name val="Calibri"/>
      <family val="2"/>
      <charset val="163"/>
      <scheme val="minor"/>
    </font>
    <font>
      <sz val="11"/>
      <color rgb="FFFF0000"/>
      <name val="Calibri"/>
      <family val="2"/>
      <charset val="163"/>
      <scheme val="minor"/>
    </font>
    <font>
      <sz val="11"/>
      <name val="Calibri"/>
      <family val="2"/>
      <charset val="163"/>
      <scheme val="minor"/>
    </font>
    <font>
      <sz val="11"/>
      <color rgb="FF000000"/>
      <name val="Calibri"/>
      <family val="2"/>
      <scheme val="minor"/>
    </font>
    <font>
      <b/>
      <sz val="11"/>
      <color rgb="FF000000"/>
      <name val="Calibri"/>
      <family val="2"/>
      <scheme val="minor"/>
    </font>
    <font>
      <sz val="11"/>
      <color rgb="FF000000"/>
      <name val="Times New Roman"/>
      <family val="1"/>
    </font>
    <font>
      <sz val="11"/>
      <color rgb="FFFF0000"/>
      <name val="Times New Roman"/>
      <family val="1"/>
    </font>
    <font>
      <sz val="11"/>
      <color rgb="FF000000"/>
      <name val="Calibri"/>
      <family val="2"/>
      <charset val="163"/>
      <scheme val="minor"/>
    </font>
    <font>
      <sz val="11"/>
      <color theme="1"/>
      <name val="Times New Roman"/>
      <family val="1"/>
    </font>
    <font>
      <i/>
      <sz val="11"/>
      <color rgb="FFFF0000"/>
      <name val="Calibri"/>
      <family val="2"/>
      <scheme val="minor"/>
    </font>
    <font>
      <i/>
      <sz val="11"/>
      <color rgb="FFFF0000"/>
      <name val="Times New Roman"/>
      <family val="1"/>
    </font>
    <font>
      <i/>
      <sz val="11"/>
      <color rgb="FFFF0000"/>
      <name val="Calibri"/>
      <family val="2"/>
      <charset val="163"/>
      <scheme val="minor"/>
    </font>
    <font>
      <b/>
      <sz val="11"/>
      <color theme="1"/>
      <name val="Calibri"/>
      <family val="2"/>
      <scheme val="minor"/>
    </font>
    <font>
      <sz val="10"/>
      <color theme="1"/>
      <name val="Arial"/>
      <family val="2"/>
    </font>
  </fonts>
  <fills count="8">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4" tint="0.79998168889431442"/>
        <bgColor indexed="64"/>
      </patternFill>
    </fill>
  </fills>
  <borders count="12">
    <border>
      <left/>
      <right/>
      <top/>
      <bottom/>
      <diagonal/>
    </border>
    <border>
      <left/>
      <right/>
      <top/>
      <bottom style="thin">
        <color auto="1"/>
      </bottom>
      <diagonal/>
    </border>
    <border>
      <left/>
      <right style="thin">
        <color auto="1"/>
      </right>
      <top/>
      <bottom/>
      <diagonal/>
    </border>
    <border>
      <left/>
      <right style="medium">
        <color rgb="FFD6DADC"/>
      </right>
      <top/>
      <bottom style="medium">
        <color rgb="FFD6DADC"/>
      </bottom>
      <diagonal/>
    </border>
    <border>
      <left/>
      <right style="medium">
        <color rgb="FFD6DADC"/>
      </right>
      <top/>
      <bottom/>
      <diagonal/>
    </border>
    <border>
      <left style="thin">
        <color indexed="64"/>
      </left>
      <right/>
      <top/>
      <bottom/>
      <diagonal/>
    </border>
    <border>
      <left style="thin">
        <color indexed="64"/>
      </left>
      <right style="thin">
        <color auto="1"/>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0" fontId="3" fillId="0" borderId="0"/>
    <xf numFmtId="9" fontId="1" fillId="0" borderId="0" applyFont="0" applyFill="0" applyBorder="0" applyAlignment="0" applyProtection="0"/>
    <xf numFmtId="0" fontId="10" fillId="0" borderId="0" applyNumberFormat="0" applyFill="0" applyAlignment="0" applyProtection="0"/>
    <xf numFmtId="166" fontId="10" fillId="0" borderId="0" applyNumberFormat="0" applyFill="0" applyAlignment="0" applyProtection="0"/>
    <xf numFmtId="43" fontId="23" fillId="0" borderId="0" applyFont="0" applyFill="0" applyBorder="0" applyAlignment="0" applyProtection="0"/>
  </cellStyleXfs>
  <cellXfs count="133">
    <xf numFmtId="0" fontId="0" fillId="0" borderId="0" xfId="0"/>
    <xf numFmtId="0" fontId="3" fillId="0" borderId="1" xfId="2" applyBorder="1"/>
    <xf numFmtId="0" fontId="3" fillId="0" borderId="0" xfId="2"/>
    <xf numFmtId="0" fontId="4" fillId="0" borderId="2" xfId="2" applyFont="1" applyBorder="1"/>
    <xf numFmtId="164" fontId="3" fillId="0" borderId="1" xfId="1" applyNumberFormat="1" applyFont="1" applyBorder="1"/>
    <xf numFmtId="164" fontId="3" fillId="0" borderId="0" xfId="1" applyNumberFormat="1" applyFont="1"/>
    <xf numFmtId="0" fontId="2" fillId="0" borderId="0" xfId="0" applyFont="1"/>
    <xf numFmtId="164" fontId="0" fillId="0" borderId="0" xfId="1" applyNumberFormat="1" applyFont="1"/>
    <xf numFmtId="0" fontId="5" fillId="0" borderId="0" xfId="0" applyFont="1"/>
    <xf numFmtId="49" fontId="0" fillId="0" borderId="0" xfId="0" applyNumberFormat="1"/>
    <xf numFmtId="49" fontId="5" fillId="0" borderId="0" xfId="0" applyNumberFormat="1" applyFont="1"/>
    <xf numFmtId="0" fontId="0" fillId="2" borderId="4" xfId="0" applyFill="1" applyBorder="1" applyAlignment="1">
      <alignment vertical="center"/>
    </xf>
    <xf numFmtId="0" fontId="6" fillId="2" borderId="3" xfId="0" applyFont="1" applyFill="1" applyBorder="1" applyAlignment="1">
      <alignment vertical="center"/>
    </xf>
    <xf numFmtId="0" fontId="7" fillId="0" borderId="0" xfId="0" applyFont="1"/>
    <xf numFmtId="0" fontId="0" fillId="0" borderId="1" xfId="0" applyBorder="1"/>
    <xf numFmtId="0" fontId="4" fillId="0" borderId="2" xfId="0" applyFont="1" applyBorder="1"/>
    <xf numFmtId="0" fontId="0" fillId="0" borderId="2" xfId="0" applyBorder="1"/>
    <xf numFmtId="165" fontId="0" fillId="0" borderId="0" xfId="0" applyNumberFormat="1"/>
    <xf numFmtId="164" fontId="4" fillId="0" borderId="2" xfId="1" applyNumberFormat="1" applyFont="1" applyBorder="1"/>
    <xf numFmtId="0" fontId="2" fillId="0" borderId="2" xfId="0" applyFont="1" applyBorder="1"/>
    <xf numFmtId="0" fontId="4" fillId="0" borderId="0" xfId="2" applyFont="1" applyBorder="1"/>
    <xf numFmtId="0" fontId="0" fillId="0" borderId="5" xfId="0" applyBorder="1"/>
    <xf numFmtId="0" fontId="4" fillId="0" borderId="6" xfId="2" applyFont="1" applyBorder="1"/>
    <xf numFmtId="164" fontId="0" fillId="0" borderId="5" xfId="1" applyNumberFormat="1" applyFont="1" applyBorder="1"/>
    <xf numFmtId="164" fontId="0" fillId="0" borderId="0" xfId="0" applyNumberFormat="1"/>
    <xf numFmtId="0" fontId="0" fillId="3" borderId="5" xfId="0" applyFill="1" applyBorder="1"/>
    <xf numFmtId="164" fontId="0" fillId="3" borderId="0" xfId="1" applyNumberFormat="1" applyFont="1" applyFill="1"/>
    <xf numFmtId="0" fontId="0" fillId="3" borderId="0" xfId="0" applyFill="1" applyBorder="1"/>
    <xf numFmtId="0" fontId="0" fillId="0" borderId="0" xfId="0" applyBorder="1"/>
    <xf numFmtId="164" fontId="0" fillId="0" borderId="0" xfId="1" applyNumberFormat="1" applyFont="1" applyBorder="1"/>
    <xf numFmtId="0" fontId="0" fillId="3" borderId="0" xfId="0" applyFill="1"/>
    <xf numFmtId="164" fontId="0" fillId="3" borderId="5" xfId="1" applyNumberFormat="1" applyFont="1" applyFill="1" applyBorder="1"/>
    <xf numFmtId="164" fontId="0" fillId="3" borderId="0" xfId="0" applyNumberFormat="1" applyFill="1"/>
    <xf numFmtId="164" fontId="0" fillId="3" borderId="0" xfId="1" applyNumberFormat="1" applyFont="1" applyFill="1" applyBorder="1"/>
    <xf numFmtId="164" fontId="0" fillId="0" borderId="1" xfId="1" applyNumberFormat="1" applyFont="1" applyBorder="1"/>
    <xf numFmtId="49" fontId="2" fillId="0" borderId="0" xfId="0" applyNumberFormat="1" applyFont="1"/>
    <xf numFmtId="49" fontId="0" fillId="3" borderId="0" xfId="0" applyNumberFormat="1" applyFill="1"/>
    <xf numFmtId="0" fontId="0" fillId="0" borderId="0" xfId="0" applyAlignment="1">
      <alignment horizontal="right"/>
    </xf>
    <xf numFmtId="164" fontId="2" fillId="0" borderId="0" xfId="1" applyNumberFormat="1" applyFont="1"/>
    <xf numFmtId="164" fontId="5" fillId="0" borderId="0" xfId="1" applyNumberFormat="1" applyFont="1"/>
    <xf numFmtId="0" fontId="10" fillId="0" borderId="0" xfId="4"/>
    <xf numFmtId="0" fontId="8" fillId="0" borderId="7" xfId="4" applyFont="1" applyBorder="1" applyAlignment="1">
      <alignment vertical="center"/>
    </xf>
    <xf numFmtId="0" fontId="9" fillId="0" borderId="7" xfId="4" applyFont="1" applyBorder="1" applyAlignment="1">
      <alignment horizontal="center" vertical="center"/>
    </xf>
    <xf numFmtId="0" fontId="10" fillId="0" borderId="7" xfId="4" applyBorder="1"/>
    <xf numFmtId="0" fontId="8" fillId="0" borderId="7" xfId="4" applyFont="1" applyBorder="1" applyAlignment="1">
      <alignment vertical="center" wrapText="1"/>
    </xf>
    <xf numFmtId="0" fontId="9" fillId="0" borderId="7" xfId="4" applyFont="1" applyBorder="1" applyAlignment="1">
      <alignment horizontal="center" vertical="center" wrapText="1"/>
    </xf>
    <xf numFmtId="0" fontId="9" fillId="0" borderId="7" xfId="4" applyFont="1" applyBorder="1" applyAlignment="1">
      <alignment vertical="center" wrapText="1"/>
    </xf>
    <xf numFmtId="0" fontId="13" fillId="0" borderId="7" xfId="4" applyFont="1" applyBorder="1" applyAlignment="1">
      <alignment vertical="center" wrapText="1"/>
    </xf>
    <xf numFmtId="0" fontId="17" fillId="0" borderId="8" xfId="4" applyFont="1" applyBorder="1" applyAlignment="1">
      <alignment horizontal="left" vertical="top" wrapText="1"/>
    </xf>
    <xf numFmtId="0" fontId="17" fillId="0" borderId="6" xfId="4" applyFont="1" applyBorder="1" applyAlignment="1">
      <alignment horizontal="left" vertical="top" wrapText="1"/>
    </xf>
    <xf numFmtId="0" fontId="1" fillId="0" borderId="7" xfId="4" applyFont="1" applyBorder="1"/>
    <xf numFmtId="0" fontId="17" fillId="0" borderId="9" xfId="4" applyFont="1" applyBorder="1" applyAlignment="1">
      <alignment horizontal="left" vertical="top" wrapText="1"/>
    </xf>
    <xf numFmtId="0" fontId="1" fillId="0" borderId="0" xfId="4" applyFont="1" applyAlignment="1">
      <alignment horizontal="right"/>
    </xf>
    <xf numFmtId="0" fontId="13" fillId="0" borderId="0" xfId="4" applyFont="1" applyAlignment="1">
      <alignment horizontal="right" vertical="top" wrapText="1"/>
    </xf>
    <xf numFmtId="3" fontId="15" fillId="0" borderId="0" xfId="4" applyNumberFormat="1" applyFont="1" applyAlignment="1">
      <alignment horizontal="right" vertical="top" wrapText="1"/>
    </xf>
    <xf numFmtId="0" fontId="10" fillId="0" borderId="0" xfId="4" applyAlignment="1">
      <alignment horizontal="right"/>
    </xf>
    <xf numFmtId="0" fontId="19" fillId="7" borderId="0" xfId="4" applyFont="1" applyFill="1" applyAlignment="1">
      <alignment horizontal="right"/>
    </xf>
    <xf numFmtId="0" fontId="19" fillId="7" borderId="0" xfId="4" applyFont="1" applyFill="1" applyAlignment="1">
      <alignment horizontal="right" vertical="top" wrapText="1"/>
    </xf>
    <xf numFmtId="3" fontId="20" fillId="7" borderId="0" xfId="4" applyNumberFormat="1" applyFont="1" applyFill="1" applyAlignment="1">
      <alignment horizontal="right" vertical="top" wrapText="1"/>
    </xf>
    <xf numFmtId="3" fontId="20" fillId="0" borderId="0" xfId="4" applyNumberFormat="1" applyFont="1" applyAlignment="1">
      <alignment horizontal="right" vertical="top" wrapText="1"/>
    </xf>
    <xf numFmtId="0" fontId="21" fillId="0" borderId="0" xfId="4" applyFont="1" applyAlignment="1">
      <alignment horizontal="right"/>
    </xf>
    <xf numFmtId="0" fontId="8" fillId="7" borderId="7" xfId="4" applyFont="1" applyFill="1" applyBorder="1" applyAlignment="1">
      <alignment vertical="center"/>
    </xf>
    <xf numFmtId="0" fontId="2" fillId="7" borderId="0" xfId="4" applyFont="1" applyFill="1" applyAlignment="1">
      <alignment horizontal="center"/>
    </xf>
    <xf numFmtId="0" fontId="9" fillId="7" borderId="7" xfId="4" applyFont="1" applyFill="1" applyBorder="1" applyAlignment="1">
      <alignment horizontal="center" vertical="center"/>
    </xf>
    <xf numFmtId="0" fontId="9" fillId="3" borderId="7" xfId="4" applyFont="1" applyFill="1" applyBorder="1" applyAlignment="1">
      <alignment horizontal="center" vertical="center"/>
    </xf>
    <xf numFmtId="0" fontId="10" fillId="7" borderId="0" xfId="4" applyFill="1"/>
    <xf numFmtId="3" fontId="10" fillId="7" borderId="0" xfId="5" applyNumberFormat="1" applyFill="1"/>
    <xf numFmtId="1" fontId="10" fillId="7" borderId="0" xfId="5" applyNumberFormat="1" applyFill="1"/>
    <xf numFmtId="3" fontId="10" fillId="7" borderId="0" xfId="4" applyNumberFormat="1" applyFill="1"/>
    <xf numFmtId="3" fontId="10" fillId="0" borderId="7" xfId="4" applyNumberFormat="1" applyBorder="1"/>
    <xf numFmtId="0" fontId="11" fillId="7" borderId="0" xfId="4" applyFont="1" applyFill="1"/>
    <xf numFmtId="3" fontId="11" fillId="0" borderId="7" xfId="4" applyNumberFormat="1" applyFont="1" applyBorder="1"/>
    <xf numFmtId="0" fontId="12" fillId="7" borderId="0" xfId="4" applyFont="1" applyFill="1"/>
    <xf numFmtId="3" fontId="11" fillId="7" borderId="0" xfId="5" applyNumberFormat="1" applyFont="1" applyFill="1"/>
    <xf numFmtId="3" fontId="11" fillId="7" borderId="0" xfId="4" applyNumberFormat="1" applyFont="1" applyFill="1"/>
    <xf numFmtId="3" fontId="12" fillId="0" borderId="7" xfId="4" applyNumberFormat="1" applyFont="1" applyBorder="1"/>
    <xf numFmtId="0" fontId="11" fillId="0" borderId="0" xfId="4" applyFont="1"/>
    <xf numFmtId="0" fontId="22" fillId="0" borderId="0" xfId="0" applyFont="1"/>
    <xf numFmtId="9" fontId="0" fillId="0" borderId="0" xfId="3" applyFont="1"/>
    <xf numFmtId="0" fontId="3" fillId="0" borderId="5" xfId="2" applyBorder="1"/>
    <xf numFmtId="0" fontId="13" fillId="0" borderId="8" xfId="4" applyFont="1" applyBorder="1" applyAlignment="1">
      <alignment vertical="center" wrapText="1"/>
    </xf>
    <xf numFmtId="0" fontId="13" fillId="0" borderId="6" xfId="4" applyFont="1" applyBorder="1" applyAlignment="1">
      <alignment vertical="center" wrapText="1"/>
    </xf>
    <xf numFmtId="0" fontId="1" fillId="0" borderId="6" xfId="4" applyFont="1" applyBorder="1"/>
    <xf numFmtId="0" fontId="1" fillId="0" borderId="9" xfId="4" applyFont="1" applyBorder="1"/>
    <xf numFmtId="49" fontId="8" fillId="7" borderId="7" xfId="4" applyNumberFormat="1" applyFont="1" applyFill="1" applyBorder="1" applyAlignment="1">
      <alignment vertical="center"/>
    </xf>
    <xf numFmtId="49" fontId="10" fillId="7" borderId="0" xfId="4" applyNumberFormat="1" applyFill="1"/>
    <xf numFmtId="49" fontId="11" fillId="7" borderId="0" xfId="4" applyNumberFormat="1" applyFont="1" applyFill="1"/>
    <xf numFmtId="49" fontId="12" fillId="7" borderId="0" xfId="4" applyNumberFormat="1" applyFont="1" applyFill="1"/>
    <xf numFmtId="3" fontId="10" fillId="0" borderId="0" xfId="4" applyNumberFormat="1"/>
    <xf numFmtId="164" fontId="3" fillId="0" borderId="0" xfId="2" applyNumberFormat="1"/>
    <xf numFmtId="1" fontId="3" fillId="0" borderId="0" xfId="2" applyNumberFormat="1"/>
    <xf numFmtId="164" fontId="0" fillId="0" borderId="0" xfId="1" applyNumberFormat="1" applyFont="1" applyFill="1" applyBorder="1"/>
    <xf numFmtId="11" fontId="0" fillId="0" borderId="0" xfId="0" applyNumberFormat="1"/>
    <xf numFmtId="0" fontId="0" fillId="0" borderId="0" xfId="0" applyAlignment="1">
      <alignment vertical="top"/>
    </xf>
    <xf numFmtId="0" fontId="0" fillId="0" borderId="0" xfId="0" applyAlignment="1">
      <alignment horizontal="center"/>
    </xf>
    <xf numFmtId="0" fontId="16" fillId="0" borderId="7" xfId="0" applyFont="1" applyBorder="1" applyAlignment="1">
      <alignment wrapText="1"/>
    </xf>
    <xf numFmtId="165" fontId="4" fillId="0" borderId="0" xfId="0" applyNumberFormat="1" applyFont="1"/>
    <xf numFmtId="0" fontId="3" fillId="0" borderId="0" xfId="2" applyBorder="1"/>
    <xf numFmtId="0" fontId="0" fillId="0" borderId="1" xfId="0" applyBorder="1" applyAlignment="1">
      <alignment vertical="top"/>
    </xf>
    <xf numFmtId="0" fontId="2" fillId="0" borderId="10" xfId="0" applyFont="1" applyBorder="1"/>
    <xf numFmtId="164" fontId="0" fillId="0" borderId="2" xfId="1" applyNumberFormat="1" applyFont="1" applyBorder="1"/>
    <xf numFmtId="164" fontId="2" fillId="0" borderId="11" xfId="1" applyNumberFormat="1" applyFont="1" applyBorder="1"/>
    <xf numFmtId="0" fontId="0" fillId="0" borderId="0" xfId="0" quotePrefix="1"/>
    <xf numFmtId="0" fontId="0" fillId="3" borderId="0" xfId="0" applyFill="1" applyAlignment="1">
      <alignment horizontal="center"/>
    </xf>
    <xf numFmtId="0" fontId="2" fillId="3" borderId="2" xfId="0" applyFont="1" applyFill="1" applyBorder="1"/>
    <xf numFmtId="164" fontId="0" fillId="3" borderId="2" xfId="1" applyNumberFormat="1" applyFont="1" applyFill="1" applyBorder="1"/>
    <xf numFmtId="1" fontId="11" fillId="7" borderId="0" xfId="5" applyNumberFormat="1" applyFont="1" applyFill="1"/>
    <xf numFmtId="3" fontId="11" fillId="0" borderId="0" xfId="4" applyNumberFormat="1" applyFont="1"/>
    <xf numFmtId="0" fontId="16" fillId="0" borderId="7" xfId="0" quotePrefix="1" applyFont="1" applyBorder="1" applyAlignment="1">
      <alignment wrapText="1"/>
    </xf>
    <xf numFmtId="164" fontId="10" fillId="0" borderId="0" xfId="4" applyNumberFormat="1"/>
    <xf numFmtId="164" fontId="0" fillId="0" borderId="0" xfId="6" applyNumberFormat="1" applyFont="1"/>
    <xf numFmtId="164" fontId="2" fillId="0" borderId="0" xfId="6" applyNumberFormat="1" applyFont="1"/>
    <xf numFmtId="164" fontId="3" fillId="3" borderId="0" xfId="1" applyNumberFormat="1" applyFont="1" applyFill="1" applyBorder="1"/>
    <xf numFmtId="164" fontId="3" fillId="3" borderId="0" xfId="1" applyNumberFormat="1" applyFont="1" applyFill="1"/>
    <xf numFmtId="0" fontId="15" fillId="0" borderId="8" xfId="4" applyFont="1" applyBorder="1" applyAlignment="1">
      <alignment horizontal="left" vertical="top" wrapText="1"/>
    </xf>
    <xf numFmtId="0" fontId="15" fillId="0" borderId="6" xfId="4" applyFont="1" applyBorder="1" applyAlignment="1">
      <alignment horizontal="left" vertical="top" wrapText="1"/>
    </xf>
    <xf numFmtId="0" fontId="15" fillId="0" borderId="9" xfId="4" applyFont="1" applyBorder="1" applyAlignment="1">
      <alignment horizontal="left" vertical="top" wrapText="1"/>
    </xf>
    <xf numFmtId="0" fontId="13" fillId="0" borderId="8" xfId="4" applyFont="1" applyBorder="1" applyAlignment="1">
      <alignment horizontal="left" vertical="top" wrapText="1"/>
    </xf>
    <xf numFmtId="0" fontId="13" fillId="0" borderId="6" xfId="4" applyFont="1" applyBorder="1" applyAlignment="1">
      <alignment horizontal="left" vertical="top" wrapText="1"/>
    </xf>
    <xf numFmtId="0" fontId="13" fillId="0" borderId="9" xfId="4" applyFont="1" applyBorder="1" applyAlignment="1">
      <alignment horizontal="left" vertical="top" wrapText="1"/>
    </xf>
    <xf numFmtId="0" fontId="17" fillId="0" borderId="8" xfId="4" applyFont="1" applyBorder="1" applyAlignment="1">
      <alignment horizontal="left" vertical="top" wrapText="1"/>
    </xf>
    <xf numFmtId="0" fontId="17" fillId="0" borderId="6" xfId="4" applyFont="1" applyBorder="1" applyAlignment="1">
      <alignment horizontal="left" vertical="top" wrapText="1"/>
    </xf>
    <xf numFmtId="0" fontId="17" fillId="0" borderId="9" xfId="4" applyFont="1" applyBorder="1" applyAlignment="1">
      <alignment horizontal="left" vertical="top" wrapText="1"/>
    </xf>
    <xf numFmtId="0" fontId="0" fillId="0" borderId="0" xfId="0" applyAlignment="1">
      <alignment vertical="top"/>
    </xf>
    <xf numFmtId="0" fontId="0" fillId="4" borderId="5" xfId="0" applyFill="1" applyBorder="1" applyAlignment="1">
      <alignment horizontal="center"/>
    </xf>
    <xf numFmtId="0" fontId="0" fillId="4" borderId="2" xfId="0" applyFill="1"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6" borderId="0" xfId="0" applyFill="1" applyAlignment="1">
      <alignment horizontal="center"/>
    </xf>
    <xf numFmtId="0" fontId="0" fillId="5" borderId="0" xfId="0" applyFill="1" applyAlignment="1">
      <alignment horizontal="center"/>
    </xf>
    <xf numFmtId="0" fontId="0" fillId="5" borderId="2" xfId="0" applyFill="1" applyBorder="1" applyAlignment="1">
      <alignment horizontal="center"/>
    </xf>
    <xf numFmtId="164" fontId="4" fillId="0" borderId="0" xfId="1" applyNumberFormat="1" applyFont="1"/>
  </cellXfs>
  <cellStyles count="7">
    <cellStyle name="Comma" xfId="1" builtinId="3"/>
    <cellStyle name="Comma 2" xfId="5"/>
    <cellStyle name="Comma 3" xfId="6"/>
    <cellStyle name="Normal" xfId="0" builtinId="0"/>
    <cellStyle name="Normal 2" xfId="2"/>
    <cellStyle name="Normal 3" xfId="4"/>
    <cellStyle name="Percent" xfId="3"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R_Project\0.%20HQQU\HQQU_sent_to_ITC\2026Q1\check_HQ_ITC\mapp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wnload\DMCP%20Ban%20KD%20TSC%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s>
    <sheetDataSet>
      <sheetData sheetId="0">
        <row r="82">
          <cell r="A82" t="str">
            <v>101</v>
          </cell>
          <cell r="B82" t="str">
            <v>Trụ sở chính</v>
          </cell>
        </row>
        <row r="83">
          <cell r="A83" t="str">
            <v>101001</v>
          </cell>
          <cell r="B83" t="str">
            <v>TSC-Ban KDBH Hàng hóa</v>
          </cell>
        </row>
        <row r="84">
          <cell r="A84" t="str">
            <v>10100301</v>
          </cell>
          <cell r="B84" t="str">
            <v>TSC-Ban KDBH Phi hàng hải TSC</v>
          </cell>
        </row>
        <row r="85">
          <cell r="A85" t="str">
            <v>10100302</v>
          </cell>
          <cell r="B85" t="str">
            <v>TSC-Ban Kinh doanh Phi hàng hải - Phòng Allianz</v>
          </cell>
        </row>
        <row r="86">
          <cell r="A86" t="str">
            <v>101004</v>
          </cell>
          <cell r="B86" t="str">
            <v>TSC-Ban bảo hiểm DKHK</v>
          </cell>
        </row>
        <row r="87">
          <cell r="A87" t="str">
            <v>101005</v>
          </cell>
          <cell r="B87" t="str">
            <v>TSC-Ban BH Dự án</v>
          </cell>
        </row>
        <row r="88">
          <cell r="A88" t="str">
            <v>101006</v>
          </cell>
          <cell r="B88" t="str">
            <v>TSC-Ban KDBH Tàu thủy</v>
          </cell>
        </row>
        <row r="89">
          <cell r="A89" t="str">
            <v>101007</v>
          </cell>
          <cell r="B89" t="str">
            <v>TSC-Ban Bảo hiểm trực tuyến</v>
          </cell>
        </row>
        <row r="90">
          <cell r="A90" t="str">
            <v>101008</v>
          </cell>
          <cell r="B90" t="str">
            <v>TSC-Ban KD Bảo hiểm sức khỏe</v>
          </cell>
        </row>
        <row r="91">
          <cell r="A91" t="str">
            <v>101009</v>
          </cell>
          <cell r="B91" t="str">
            <v>TSC-Ban Khách hàng doanh nghiệp</v>
          </cell>
        </row>
        <row r="92">
          <cell r="A92" t="str">
            <v>101103</v>
          </cell>
          <cell r="B92" t="str">
            <v>TSC-Ban BH Tài sản kỹ thuật</v>
          </cell>
        </row>
        <row r="93">
          <cell r="A93" t="str">
            <v>101104</v>
          </cell>
          <cell r="B93" t="str">
            <v>TSC-Ban Bảo hiểm Y tế</v>
          </cell>
        </row>
        <row r="94">
          <cell r="A94" t="str">
            <v>101105</v>
          </cell>
          <cell r="B94" t="str">
            <v>TSC-Ban Bảo hiểm hàng hải</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ĐMCP"/>
      <sheetName val="Phoihop"/>
      <sheetName val="Pivot"/>
      <sheetName val="Sheet1 (2)"/>
      <sheetName val="Sheet2"/>
    </sheetNames>
    <sheetDataSet>
      <sheetData sheetId="0"/>
      <sheetData sheetId="1"/>
      <sheetData sheetId="2">
        <row r="1">
          <cell r="A1" t="str">
            <v>Ban</v>
          </cell>
        </row>
        <row r="3">
          <cell r="A3" t="str">
            <v>Bảo hiểm dự án</v>
          </cell>
          <cell r="F3">
            <v>45261049.600000001</v>
          </cell>
          <cell r="P3" t="str">
            <v>Tài sản</v>
          </cell>
        </row>
        <row r="4">
          <cell r="A4" t="str">
            <v>Bảo hiểm dự án</v>
          </cell>
          <cell r="F4">
            <v>17439438.900000002</v>
          </cell>
          <cell r="P4" t="str">
            <v>Kỹ thuật</v>
          </cell>
        </row>
        <row r="5">
          <cell r="A5" t="str">
            <v>Bảo hiểm dự án</v>
          </cell>
          <cell r="F5">
            <v>43687673.640000001</v>
          </cell>
          <cell r="P5" t="str">
            <v>Tài sản</v>
          </cell>
        </row>
        <row r="6">
          <cell r="A6" t="str">
            <v>Bảo hiểm dự án</v>
          </cell>
          <cell r="F6">
            <v>133001846.38000001</v>
          </cell>
          <cell r="P6" t="str">
            <v>Tài sản</v>
          </cell>
        </row>
        <row r="7">
          <cell r="A7" t="str">
            <v>Bảo hiểm dự án</v>
          </cell>
          <cell r="F7">
            <v>63374672.660000004</v>
          </cell>
          <cell r="P7" t="str">
            <v>Kỹ thuật</v>
          </cell>
        </row>
        <row r="8">
          <cell r="A8" t="str">
            <v>Bảo hiểm dự án</v>
          </cell>
          <cell r="F8">
            <v>11546859.74</v>
          </cell>
          <cell r="P8" t="str">
            <v>Kỹ thuật</v>
          </cell>
        </row>
        <row r="9">
          <cell r="A9" t="str">
            <v>Bảo hiểm dự án</v>
          </cell>
          <cell r="F9">
            <v>12884917.5</v>
          </cell>
          <cell r="P9" t="str">
            <v>Tài sản</v>
          </cell>
        </row>
        <row r="10">
          <cell r="A10" t="str">
            <v>Bảo hiểm dự án</v>
          </cell>
          <cell r="F10">
            <v>9674641.5999999996</v>
          </cell>
          <cell r="P10" t="str">
            <v>Tài sản</v>
          </cell>
        </row>
        <row r="11">
          <cell r="A11" t="str">
            <v>Bảo hiểm dự án</v>
          </cell>
          <cell r="F11">
            <v>6671959.0600000005</v>
          </cell>
          <cell r="P11" t="str">
            <v>Tài sản</v>
          </cell>
        </row>
        <row r="12">
          <cell r="A12" t="str">
            <v>Bảo hiểm dự án</v>
          </cell>
          <cell r="F12">
            <v>43609748.520000003</v>
          </cell>
          <cell r="P12" t="str">
            <v>Tài sản</v>
          </cell>
        </row>
        <row r="13">
          <cell r="A13" t="str">
            <v>Bảo hiểm dự án</v>
          </cell>
          <cell r="F13">
            <v>16253007.16</v>
          </cell>
          <cell r="P13" t="str">
            <v>Kỹ thuật</v>
          </cell>
        </row>
        <row r="14">
          <cell r="A14" t="str">
            <v>Bảo hiểm dự án</v>
          </cell>
          <cell r="F14">
            <v>14671081.620000001</v>
          </cell>
          <cell r="P14" t="str">
            <v>Tài sản</v>
          </cell>
        </row>
        <row r="15">
          <cell r="A15" t="str">
            <v>Bảo hiểm dự án</v>
          </cell>
          <cell r="F15">
            <v>39827327.539999999</v>
          </cell>
          <cell r="P15" t="str">
            <v>Tài sản</v>
          </cell>
        </row>
        <row r="16">
          <cell r="A16" t="str">
            <v>Bảo hiểm dự án</v>
          </cell>
          <cell r="F16">
            <v>18617408.940000001</v>
          </cell>
          <cell r="P16" t="str">
            <v>Tài sản</v>
          </cell>
        </row>
        <row r="17">
          <cell r="A17" t="str">
            <v>Bảo hiểm dự án</v>
          </cell>
          <cell r="F17">
            <v>42109797.340000004</v>
          </cell>
          <cell r="P17" t="str">
            <v>Tài sản</v>
          </cell>
        </row>
        <row r="18">
          <cell r="A18" t="str">
            <v>Bảo hiểm dự án</v>
          </cell>
          <cell r="F18">
            <v>44884282.039999999</v>
          </cell>
          <cell r="P18" t="str">
            <v>Kỹ thuật</v>
          </cell>
        </row>
        <row r="19">
          <cell r="A19" t="str">
            <v>Bảo hiểm dự án</v>
          </cell>
          <cell r="F19">
            <v>77512412.900000006</v>
          </cell>
          <cell r="P19" t="str">
            <v>Tài sản</v>
          </cell>
        </row>
        <row r="20">
          <cell r="A20" t="str">
            <v>Bảo hiểm dự án</v>
          </cell>
          <cell r="F20">
            <v>26377992.940000001</v>
          </cell>
          <cell r="P20" t="str">
            <v>Tài sản</v>
          </cell>
        </row>
        <row r="21">
          <cell r="A21" t="str">
            <v>Bảo hiểm dự án</v>
          </cell>
          <cell r="F21">
            <v>14185914.08</v>
          </cell>
          <cell r="P21" t="str">
            <v>Tài sản</v>
          </cell>
        </row>
        <row r="22">
          <cell r="A22" t="str">
            <v>Bảo hiểm dự án</v>
          </cell>
          <cell r="F22">
            <v>4498855.92</v>
          </cell>
          <cell r="P22" t="str">
            <v>Tài sản</v>
          </cell>
        </row>
        <row r="23">
          <cell r="A23" t="str">
            <v>Bảo hiểm dự án</v>
          </cell>
          <cell r="F23">
            <v>72889.180000000008</v>
          </cell>
          <cell r="P23" t="str">
            <v>Tài sản</v>
          </cell>
        </row>
        <row r="24">
          <cell r="A24" t="str">
            <v>Bảo hiểm dự án</v>
          </cell>
          <cell r="F24">
            <v>38528891.700000003</v>
          </cell>
          <cell r="P24" t="str">
            <v>Tài sản</v>
          </cell>
        </row>
        <row r="25">
          <cell r="A25" t="str">
            <v>Bảo hiểm dự án</v>
          </cell>
          <cell r="F25">
            <v>18054585.120000001</v>
          </cell>
          <cell r="P25" t="str">
            <v>Tài sản</v>
          </cell>
        </row>
        <row r="26">
          <cell r="A26" t="str">
            <v>Bảo hiểm dự án</v>
          </cell>
          <cell r="F26">
            <v>11982760.92</v>
          </cell>
          <cell r="P26" t="str">
            <v>Tài sản</v>
          </cell>
        </row>
        <row r="27">
          <cell r="A27" t="str">
            <v>Bảo hiểm dự án</v>
          </cell>
          <cell r="F27">
            <v>32506014.060000002</v>
          </cell>
          <cell r="P27" t="str">
            <v>Kỹ thuật</v>
          </cell>
        </row>
        <row r="28">
          <cell r="A28" t="str">
            <v>Bảo hiểm dự án</v>
          </cell>
          <cell r="F28">
            <v>31870122.18</v>
          </cell>
          <cell r="P28" t="str">
            <v>Tài sản</v>
          </cell>
        </row>
        <row r="29">
          <cell r="A29" t="str">
            <v>Bảo hiểm dự án</v>
          </cell>
          <cell r="F29">
            <v>17428582.080000002</v>
          </cell>
          <cell r="P29" t="str">
            <v>Tài sản</v>
          </cell>
        </row>
        <row r="30">
          <cell r="A30" t="str">
            <v>Bảo hiểm dự án</v>
          </cell>
          <cell r="F30">
            <v>338258691.42000002</v>
          </cell>
          <cell r="P30" t="str">
            <v>Tài sản</v>
          </cell>
        </row>
        <row r="31">
          <cell r="A31" t="str">
            <v>Bảo hiểm dự án</v>
          </cell>
          <cell r="F31">
            <v>10185281.6</v>
          </cell>
          <cell r="P31" t="str">
            <v>Tài sản</v>
          </cell>
        </row>
        <row r="32">
          <cell r="A32" t="str">
            <v>Bảo hiểm dự án</v>
          </cell>
          <cell r="F32">
            <v>22533333.420000002</v>
          </cell>
          <cell r="P32" t="str">
            <v>Trách nhiệm</v>
          </cell>
        </row>
        <row r="33">
          <cell r="A33" t="str">
            <v>Bảo hiểm dự án</v>
          </cell>
          <cell r="F33">
            <v>90941021.340000004</v>
          </cell>
          <cell r="P33" t="str">
            <v>Tài sản</v>
          </cell>
        </row>
        <row r="34">
          <cell r="A34" t="str">
            <v>Bảo hiểm dự án</v>
          </cell>
          <cell r="F34">
            <v>679120</v>
          </cell>
          <cell r="P34" t="str">
            <v>Trách nhiệm</v>
          </cell>
        </row>
        <row r="35">
          <cell r="A35" t="str">
            <v>Bảo hiểm dự án</v>
          </cell>
          <cell r="F35">
            <v>24032190</v>
          </cell>
          <cell r="P35" t="str">
            <v>Trách nhiệm</v>
          </cell>
        </row>
        <row r="36">
          <cell r="A36" t="str">
            <v>Bảo hiểm dự án</v>
          </cell>
          <cell r="F36">
            <v>18004056.199999999</v>
          </cell>
          <cell r="P36" t="str">
            <v>Tài sản</v>
          </cell>
        </row>
        <row r="37">
          <cell r="A37" t="str">
            <v>Bảo hiểm dự án</v>
          </cell>
          <cell r="F37">
            <v>33116507.32</v>
          </cell>
          <cell r="P37" t="str">
            <v>Tài sản</v>
          </cell>
        </row>
        <row r="38">
          <cell r="A38" t="str">
            <v>Bảo hiểm dự án</v>
          </cell>
          <cell r="F38">
            <v>66233014.640000001</v>
          </cell>
          <cell r="P38" t="str">
            <v>Tài sản</v>
          </cell>
        </row>
        <row r="39">
          <cell r="A39" t="str">
            <v>Bảo hiểm dự án</v>
          </cell>
          <cell r="F39">
            <v>6859060</v>
          </cell>
          <cell r="P39" t="str">
            <v>Trách nhiệm</v>
          </cell>
        </row>
        <row r="40">
          <cell r="A40" t="str">
            <v>Bảo hiểm dự án</v>
          </cell>
          <cell r="F40">
            <v>10288590</v>
          </cell>
          <cell r="P40" t="str">
            <v>Trách nhiệm</v>
          </cell>
        </row>
        <row r="41">
          <cell r="A41" t="str">
            <v>Bảo hiểm dự án</v>
          </cell>
          <cell r="F41">
            <v>10288590</v>
          </cell>
          <cell r="P41" t="str">
            <v>Trách nhiệm</v>
          </cell>
        </row>
        <row r="42">
          <cell r="A42" t="str">
            <v>Bảo hiểm dự án</v>
          </cell>
          <cell r="F42">
            <v>87750000</v>
          </cell>
          <cell r="P42" t="str">
            <v>Kỹ thuật</v>
          </cell>
        </row>
        <row r="43">
          <cell r="A43" t="str">
            <v>Bảo hiểm dự án</v>
          </cell>
          <cell r="F43">
            <v>11999847.6</v>
          </cell>
          <cell r="P43" t="str">
            <v>Tài sản</v>
          </cell>
        </row>
        <row r="44">
          <cell r="A44" t="str">
            <v>Bảo hiểm dự án</v>
          </cell>
          <cell r="F44">
            <v>-5022268.9400000004</v>
          </cell>
          <cell r="P44" t="str">
            <v>Tài sản</v>
          </cell>
        </row>
        <row r="45">
          <cell r="A45" t="str">
            <v>Bảo hiểm dự án</v>
          </cell>
          <cell r="F45">
            <v>-37024217.620000005</v>
          </cell>
          <cell r="P45" t="str">
            <v>Tài sản</v>
          </cell>
        </row>
        <row r="46">
          <cell r="A46" t="str">
            <v>Bảo hiểm dự án</v>
          </cell>
          <cell r="F46">
            <v>7019287.6000000006</v>
          </cell>
          <cell r="P46" t="str">
            <v>Trách nhiệm</v>
          </cell>
        </row>
        <row r="47">
          <cell r="A47" t="str">
            <v>Bảo hiểm dự án</v>
          </cell>
          <cell r="F47">
            <v>18789785.82</v>
          </cell>
          <cell r="P47" t="str">
            <v>Tài sản</v>
          </cell>
        </row>
        <row r="48">
          <cell r="A48" t="str">
            <v>Bảo hiểm dự án</v>
          </cell>
          <cell r="F48">
            <v>4182082.3200000003</v>
          </cell>
          <cell r="P48" t="str">
            <v>Trách nhiệm</v>
          </cell>
        </row>
        <row r="49">
          <cell r="A49" t="str">
            <v>Bảo hiểm dự án</v>
          </cell>
          <cell r="F49">
            <v>60689758.219999999</v>
          </cell>
          <cell r="P49" t="str">
            <v>Tài sản</v>
          </cell>
        </row>
        <row r="50">
          <cell r="A50" t="str">
            <v>Bảo hiểm dự án</v>
          </cell>
          <cell r="F50">
            <v>68678099.620000005</v>
          </cell>
          <cell r="P50" t="str">
            <v>Tài sản</v>
          </cell>
        </row>
        <row r="51">
          <cell r="A51" t="str">
            <v>Bảo hiểm dự án</v>
          </cell>
          <cell r="F51">
            <v>57696793.440000005</v>
          </cell>
          <cell r="P51" t="str">
            <v>Tài sản</v>
          </cell>
        </row>
        <row r="52">
          <cell r="A52" t="str">
            <v>Bảo hiểm dự án</v>
          </cell>
          <cell r="F52">
            <v>3789546.54</v>
          </cell>
          <cell r="P52" t="str">
            <v>Trách nhiệm</v>
          </cell>
        </row>
        <row r="53">
          <cell r="A53" t="str">
            <v>Bảo hiểm dự án</v>
          </cell>
          <cell r="F53">
            <v>12048680.280000001</v>
          </cell>
          <cell r="P53" t="str">
            <v>Tài sản</v>
          </cell>
        </row>
        <row r="54">
          <cell r="A54" t="str">
            <v>Bảo hiểm dự án</v>
          </cell>
          <cell r="F54">
            <v>16206386.300000001</v>
          </cell>
          <cell r="P54" t="str">
            <v>Kỹ thuật</v>
          </cell>
        </row>
        <row r="55">
          <cell r="A55" t="str">
            <v>Bảo hiểm dự án</v>
          </cell>
          <cell r="F55">
            <v>2477482.8000000003</v>
          </cell>
          <cell r="P55" t="str">
            <v>Kỹ thuật</v>
          </cell>
        </row>
        <row r="56">
          <cell r="A56" t="str">
            <v>Bảo hiểm dự án</v>
          </cell>
          <cell r="F56">
            <v>21450950.82</v>
          </cell>
          <cell r="P56" t="str">
            <v>Kỹ thuật</v>
          </cell>
        </row>
        <row r="57">
          <cell r="A57" t="str">
            <v>Bảo hiểm dự án</v>
          </cell>
          <cell r="F57">
            <v>58308640</v>
          </cell>
          <cell r="P57" t="str">
            <v>Trách nhiệm</v>
          </cell>
        </row>
        <row r="58">
          <cell r="A58" t="str">
            <v>Bảo hiểm dự án</v>
          </cell>
          <cell r="F58">
            <v>14255514</v>
          </cell>
          <cell r="P58" t="str">
            <v>Trách nhiệm</v>
          </cell>
        </row>
        <row r="59">
          <cell r="A59" t="str">
            <v>Bảo hiểm dự án</v>
          </cell>
          <cell r="F59">
            <v>25037199.720000003</v>
          </cell>
          <cell r="P59" t="str">
            <v>Trách nhiệm</v>
          </cell>
        </row>
        <row r="60">
          <cell r="A60" t="str">
            <v>Bảo hiểm dự án</v>
          </cell>
          <cell r="F60">
            <v>87626240</v>
          </cell>
          <cell r="P60" t="str">
            <v>Trách nhiệm</v>
          </cell>
        </row>
        <row r="61">
          <cell r="A61" t="str">
            <v>Bảo hiểm dự án</v>
          </cell>
          <cell r="F61">
            <v>65719680</v>
          </cell>
          <cell r="P61" t="str">
            <v>Trách nhiệm</v>
          </cell>
        </row>
        <row r="62">
          <cell r="A62" t="str">
            <v>Bảo hiểm dự án</v>
          </cell>
          <cell r="F62">
            <v>32859840</v>
          </cell>
          <cell r="P62" t="str">
            <v>Trách nhiệm</v>
          </cell>
        </row>
        <row r="63">
          <cell r="A63" t="str">
            <v>Bảo hiểm dự án</v>
          </cell>
          <cell r="F63">
            <v>32859840</v>
          </cell>
          <cell r="P63" t="str">
            <v>Trách nhiệm</v>
          </cell>
        </row>
        <row r="64">
          <cell r="A64" t="str">
            <v>Bảo hiểm dự án</v>
          </cell>
          <cell r="F64">
            <v>195483389.40000001</v>
          </cell>
          <cell r="P64" t="str">
            <v>Tài sản</v>
          </cell>
        </row>
        <row r="65">
          <cell r="A65" t="str">
            <v>Bảo hiểm dự án</v>
          </cell>
          <cell r="F65">
            <v>121094769.38000001</v>
          </cell>
          <cell r="P65" t="str">
            <v>Tài sản</v>
          </cell>
        </row>
        <row r="66">
          <cell r="A66" t="str">
            <v>Bảo hiểm dự án</v>
          </cell>
          <cell r="F66">
            <v>145103818.59999999</v>
          </cell>
          <cell r="P66" t="str">
            <v>Tài sản</v>
          </cell>
        </row>
        <row r="67">
          <cell r="A67" t="str">
            <v>Bảo hiểm dự án</v>
          </cell>
          <cell r="F67">
            <v>118085113.38000001</v>
          </cell>
          <cell r="P67" t="str">
            <v>Tài sản</v>
          </cell>
        </row>
        <row r="68">
          <cell r="A68" t="str">
            <v>Bảo hiểm dự án</v>
          </cell>
          <cell r="F68">
            <v>8586745.1799999997</v>
          </cell>
          <cell r="P68" t="str">
            <v>Tài sản</v>
          </cell>
        </row>
        <row r="69">
          <cell r="A69" t="str">
            <v>Bảo hiểm dự án</v>
          </cell>
          <cell r="F69">
            <v>3260770.5</v>
          </cell>
          <cell r="P69" t="str">
            <v>Trách nhiệm</v>
          </cell>
        </row>
        <row r="70">
          <cell r="A70" t="str">
            <v>Bảo hiểm dự án</v>
          </cell>
          <cell r="F70">
            <v>42012453.600000001</v>
          </cell>
          <cell r="P70" t="str">
            <v>Hàng hóa</v>
          </cell>
        </row>
        <row r="71">
          <cell r="A71" t="str">
            <v>Bảo hiểm dự án</v>
          </cell>
          <cell r="F71">
            <v>14416038</v>
          </cell>
          <cell r="P71" t="str">
            <v>Hàng hóa</v>
          </cell>
        </row>
        <row r="72">
          <cell r="A72" t="str">
            <v>Bảo hiểm dự án</v>
          </cell>
          <cell r="F72">
            <v>54057011.579999998</v>
          </cell>
          <cell r="P72" t="str">
            <v>Tài sản</v>
          </cell>
        </row>
        <row r="73">
          <cell r="A73" t="str">
            <v>Bảo hiểm dự án</v>
          </cell>
          <cell r="F73">
            <v>20418597.940000001</v>
          </cell>
          <cell r="P73" t="str">
            <v>Tài sản</v>
          </cell>
        </row>
        <row r="74">
          <cell r="A74" t="str">
            <v>Bảo hiểm dự án</v>
          </cell>
          <cell r="F74">
            <v>14738813.700000001</v>
          </cell>
          <cell r="P74" t="str">
            <v>Tài sản</v>
          </cell>
        </row>
        <row r="75">
          <cell r="A75" t="str">
            <v>Bảo hiểm dự án</v>
          </cell>
          <cell r="F75">
            <v>38198169.880000003</v>
          </cell>
          <cell r="P75" t="str">
            <v>Tài sản</v>
          </cell>
        </row>
        <row r="76">
          <cell r="A76" t="str">
            <v>Bảo hiểm dự án</v>
          </cell>
          <cell r="F76">
            <v>65163021.82</v>
          </cell>
          <cell r="P76" t="str">
            <v>Tài sản</v>
          </cell>
        </row>
        <row r="77">
          <cell r="A77" t="str">
            <v>Bảo hiểm dự án</v>
          </cell>
          <cell r="F77">
            <v>18772618.539999999</v>
          </cell>
          <cell r="P77" t="str">
            <v>Tài sản</v>
          </cell>
        </row>
        <row r="78">
          <cell r="A78" t="str">
            <v>Bảo hiểm dự án</v>
          </cell>
          <cell r="F78">
            <v>308881307.28000003</v>
          </cell>
          <cell r="P78" t="str">
            <v>Tài sản</v>
          </cell>
        </row>
        <row r="79">
          <cell r="A79" t="str">
            <v>Bảo hiểm dự án</v>
          </cell>
          <cell r="F79">
            <v>2743624</v>
          </cell>
          <cell r="P79" t="str">
            <v>Trách nhiệm</v>
          </cell>
        </row>
        <row r="80">
          <cell r="A80" t="str">
            <v>Bảo hiểm dự án</v>
          </cell>
          <cell r="F80">
            <v>879674.38</v>
          </cell>
          <cell r="P80" t="str">
            <v>Kỹ thuật</v>
          </cell>
        </row>
        <row r="81">
          <cell r="A81" t="str">
            <v>Bảo hiểm dự án</v>
          </cell>
          <cell r="F81">
            <v>234629374.46000001</v>
          </cell>
          <cell r="P81" t="str">
            <v>Hàng hóa</v>
          </cell>
        </row>
        <row r="82">
          <cell r="A82" t="str">
            <v>Bảo hiểm dự án</v>
          </cell>
          <cell r="F82">
            <v>356671.12</v>
          </cell>
          <cell r="P82" t="str">
            <v>Kỹ thuật</v>
          </cell>
        </row>
        <row r="83">
          <cell r="A83" t="str">
            <v>Bảo hiểm dự án</v>
          </cell>
          <cell r="F83">
            <v>19982909.18</v>
          </cell>
          <cell r="P83" t="str">
            <v>Tài sản</v>
          </cell>
        </row>
        <row r="84">
          <cell r="A84" t="str">
            <v>Bảo hiểm dự án</v>
          </cell>
          <cell r="F84">
            <v>125459380.8</v>
          </cell>
          <cell r="P84" t="str">
            <v>Tài sản</v>
          </cell>
        </row>
        <row r="85">
          <cell r="A85" t="str">
            <v>Bảo hiểm dự án</v>
          </cell>
          <cell r="F85">
            <v>109762289</v>
          </cell>
          <cell r="P85" t="str">
            <v>Tài sản</v>
          </cell>
        </row>
        <row r="86">
          <cell r="A86" t="str">
            <v>Bảo hiểm dự án</v>
          </cell>
          <cell r="F86">
            <v>-36976968.600000001</v>
          </cell>
          <cell r="P86" t="str">
            <v>Tài sản</v>
          </cell>
        </row>
        <row r="87">
          <cell r="A87" t="str">
            <v>Bảo hiểm dự án</v>
          </cell>
          <cell r="F87">
            <v>149011724.68000001</v>
          </cell>
          <cell r="P87" t="str">
            <v>Tài sản</v>
          </cell>
        </row>
        <row r="88">
          <cell r="A88" t="str">
            <v>Bảo hiểm dự án</v>
          </cell>
          <cell r="F88">
            <v>21997602.900000002</v>
          </cell>
          <cell r="P88" t="str">
            <v>Tài sản</v>
          </cell>
        </row>
        <row r="89">
          <cell r="A89" t="str">
            <v>Bảo hiểm dự án</v>
          </cell>
          <cell r="F89">
            <v>4875000</v>
          </cell>
          <cell r="P89" t="str">
            <v>Trách nhiệm</v>
          </cell>
        </row>
        <row r="90">
          <cell r="A90" t="str">
            <v>Bảo hiểm dự án</v>
          </cell>
          <cell r="F90">
            <v>2004600</v>
          </cell>
          <cell r="P90" t="str">
            <v>Tài sản</v>
          </cell>
        </row>
        <row r="91">
          <cell r="A91" t="str">
            <v>Bảo hiểm dự án</v>
          </cell>
          <cell r="F91">
            <v>96503544.799999997</v>
          </cell>
          <cell r="P91" t="str">
            <v>Tài sản</v>
          </cell>
        </row>
        <row r="92">
          <cell r="A92" t="str">
            <v>Bảo hiểm dự án</v>
          </cell>
          <cell r="F92">
            <v>59629358.880000003</v>
          </cell>
          <cell r="P92" t="str">
            <v>Trách nhiệm</v>
          </cell>
        </row>
        <row r="93">
          <cell r="A93" t="str">
            <v>Bảo hiểm dự án</v>
          </cell>
          <cell r="F93">
            <v>13040140.1</v>
          </cell>
          <cell r="P93" t="str">
            <v>Tài sản</v>
          </cell>
        </row>
        <row r="94">
          <cell r="A94" t="str">
            <v>Bảo hiểm dự án</v>
          </cell>
          <cell r="F94">
            <v>33990904.219999999</v>
          </cell>
          <cell r="P94" t="str">
            <v>Trách nhiệm</v>
          </cell>
        </row>
        <row r="95">
          <cell r="A95" t="str">
            <v>Bảo hiểm dự án</v>
          </cell>
          <cell r="F95">
            <v>10035688.780000001</v>
          </cell>
          <cell r="P95" t="str">
            <v>Y tế sức khỏe</v>
          </cell>
        </row>
        <row r="96">
          <cell r="A96" t="str">
            <v>Bảo hiểm dự án</v>
          </cell>
          <cell r="F96">
            <v>18056010.960000001</v>
          </cell>
          <cell r="P96" t="str">
            <v>Tài sản</v>
          </cell>
        </row>
        <row r="97">
          <cell r="A97" t="str">
            <v>Bảo hiểm dự án</v>
          </cell>
          <cell r="F97">
            <v>30451419.18</v>
          </cell>
          <cell r="P97" t="str">
            <v>Tài sản</v>
          </cell>
        </row>
        <row r="98">
          <cell r="A98" t="str">
            <v>Bảo hiểm dự án</v>
          </cell>
          <cell r="F98">
            <v>19711647.02</v>
          </cell>
          <cell r="P98" t="str">
            <v>Tài sản</v>
          </cell>
        </row>
        <row r="99">
          <cell r="A99" t="str">
            <v>Bảo hiểm dự án</v>
          </cell>
          <cell r="F99">
            <v>21597435.600000001</v>
          </cell>
          <cell r="P99" t="str">
            <v>Tài sản</v>
          </cell>
        </row>
        <row r="100">
          <cell r="A100" t="str">
            <v>Bảo hiểm dự án</v>
          </cell>
          <cell r="F100">
            <v>157921350.08000001</v>
          </cell>
          <cell r="P100" t="str">
            <v>Tài sản</v>
          </cell>
        </row>
        <row r="101">
          <cell r="A101" t="str">
            <v>Bảo hiểm dự án</v>
          </cell>
          <cell r="F101">
            <v>2249003.64</v>
          </cell>
          <cell r="P101" t="str">
            <v>Tài sản</v>
          </cell>
        </row>
        <row r="102">
          <cell r="A102" t="str">
            <v>Bảo hiểm dự án</v>
          </cell>
          <cell r="F102">
            <v>21797260.420000002</v>
          </cell>
          <cell r="P102" t="str">
            <v>Tài sản</v>
          </cell>
        </row>
        <row r="103">
          <cell r="A103" t="str">
            <v>Bảo hiểm dự án</v>
          </cell>
          <cell r="F103">
            <v>23042154.98</v>
          </cell>
          <cell r="P103" t="str">
            <v>Tài sản</v>
          </cell>
        </row>
        <row r="104">
          <cell r="A104" t="str">
            <v>Bảo hiểm dự án</v>
          </cell>
          <cell r="F104">
            <v>5324693.4000000004</v>
          </cell>
          <cell r="P104" t="str">
            <v>Tài sản</v>
          </cell>
        </row>
        <row r="105">
          <cell r="A105" t="str">
            <v>Bảo hiểm dự án</v>
          </cell>
          <cell r="F105">
            <v>13218756.200000001</v>
          </cell>
          <cell r="P105" t="str">
            <v>Tài sản</v>
          </cell>
        </row>
        <row r="106">
          <cell r="A106" t="str">
            <v>Bảo hiểm dự án</v>
          </cell>
          <cell r="F106">
            <v>81332276.480000004</v>
          </cell>
          <cell r="P106" t="str">
            <v>Hàng hóa</v>
          </cell>
        </row>
        <row r="107">
          <cell r="A107" t="str">
            <v>Bảo hiểm dự án</v>
          </cell>
          <cell r="F107">
            <v>76148940.659999996</v>
          </cell>
          <cell r="P107" t="str">
            <v>Hàng hóa</v>
          </cell>
        </row>
        <row r="108">
          <cell r="A108" t="str">
            <v>Bảo hiểm dự án</v>
          </cell>
          <cell r="F108">
            <v>81464224.920000002</v>
          </cell>
          <cell r="P108" t="str">
            <v>Hàng hóa</v>
          </cell>
        </row>
        <row r="109">
          <cell r="A109" t="str">
            <v>Bảo hiểm dự án</v>
          </cell>
          <cell r="F109">
            <v>368148251.90000004</v>
          </cell>
          <cell r="P109" t="str">
            <v>Hàng hóa</v>
          </cell>
        </row>
        <row r="110">
          <cell r="A110" t="str">
            <v>KHDN</v>
          </cell>
          <cell r="F110">
            <v>35988137.030000001</v>
          </cell>
          <cell r="P110" t="str">
            <v>Kỹ thuật</v>
          </cell>
        </row>
        <row r="111">
          <cell r="A111" t="str">
            <v>KHDN</v>
          </cell>
          <cell r="F111">
            <v>294000000</v>
          </cell>
          <cell r="P111" t="str">
            <v>Tài sản</v>
          </cell>
        </row>
        <row r="112">
          <cell r="A112" t="str">
            <v>KHDN</v>
          </cell>
          <cell r="F112">
            <v>46001413.710000001</v>
          </cell>
          <cell r="P112" t="str">
            <v>Tài sản</v>
          </cell>
        </row>
        <row r="113">
          <cell r="A113" t="str">
            <v>KHDN</v>
          </cell>
          <cell r="F113">
            <v>63000000</v>
          </cell>
          <cell r="P113" t="str">
            <v>Tài sản</v>
          </cell>
        </row>
        <row r="114">
          <cell r="A114" t="str">
            <v>KHDN</v>
          </cell>
          <cell r="F114">
            <v>168000000</v>
          </cell>
          <cell r="P114" t="str">
            <v>Tài sản</v>
          </cell>
        </row>
        <row r="115">
          <cell r="A115" t="str">
            <v>KHDN</v>
          </cell>
          <cell r="F115">
            <v>63000000</v>
          </cell>
          <cell r="P115" t="str">
            <v>Tài sản</v>
          </cell>
        </row>
        <row r="116">
          <cell r="A116" t="str">
            <v>KHDN</v>
          </cell>
          <cell r="F116">
            <v>16998586.289999999</v>
          </cell>
          <cell r="P116" t="str">
            <v>Tài sản</v>
          </cell>
        </row>
        <row r="117">
          <cell r="A117" t="str">
            <v>KHDN</v>
          </cell>
          <cell r="F117">
            <v>32703462.329999998</v>
          </cell>
          <cell r="P117" t="str">
            <v>Tài sản</v>
          </cell>
        </row>
        <row r="118">
          <cell r="A118" t="str">
            <v>KHDN</v>
          </cell>
          <cell r="F118">
            <v>24713404.59</v>
          </cell>
          <cell r="P118" t="str">
            <v>Tài sản</v>
          </cell>
        </row>
        <row r="119">
          <cell r="A119" t="str">
            <v>KHDN</v>
          </cell>
          <cell r="F119">
            <v>11087539.049999999</v>
          </cell>
          <cell r="P119" t="str">
            <v>Tài sản</v>
          </cell>
        </row>
        <row r="120">
          <cell r="A120" t="str">
            <v>KHDN</v>
          </cell>
          <cell r="F120">
            <v>38286595.409999996</v>
          </cell>
          <cell r="P120" t="str">
            <v>Tài sản</v>
          </cell>
        </row>
        <row r="121">
          <cell r="A121" t="str">
            <v>KHDN</v>
          </cell>
          <cell r="F121">
            <v>63000000</v>
          </cell>
          <cell r="P121" t="str">
            <v>Tài sản</v>
          </cell>
        </row>
        <row r="122">
          <cell r="A122" t="str">
            <v>KHDN</v>
          </cell>
          <cell r="F122">
            <v>62578333.649999999</v>
          </cell>
          <cell r="P122" t="str">
            <v>Tài sản</v>
          </cell>
        </row>
        <row r="123">
          <cell r="A123" t="str">
            <v>KHDN</v>
          </cell>
          <cell r="F123">
            <v>55245169.769999996</v>
          </cell>
          <cell r="P123" t="str">
            <v>Tài sản</v>
          </cell>
        </row>
        <row r="124">
          <cell r="A124" t="str">
            <v>KHDN</v>
          </cell>
          <cell r="F124">
            <v>55245169.769999996</v>
          </cell>
          <cell r="P124" t="str">
            <v>Tài sản</v>
          </cell>
        </row>
        <row r="125">
          <cell r="A125" t="str">
            <v>KHDN</v>
          </cell>
          <cell r="F125">
            <v>7617656.3399999999</v>
          </cell>
          <cell r="P125" t="str">
            <v>Tài sản</v>
          </cell>
        </row>
        <row r="126">
          <cell r="A126" t="str">
            <v>KHDN</v>
          </cell>
          <cell r="F126">
            <v>7617656.3399999999</v>
          </cell>
          <cell r="P126" t="str">
            <v>Tài sản</v>
          </cell>
        </row>
        <row r="127">
          <cell r="A127" t="str">
            <v>KHDN</v>
          </cell>
          <cell r="F127">
            <v>1531911.2549999999</v>
          </cell>
          <cell r="P127" t="str">
            <v>Tài sản</v>
          </cell>
        </row>
        <row r="128">
          <cell r="A128" t="str">
            <v>KHDN</v>
          </cell>
          <cell r="F128">
            <v>1531911.2549999999</v>
          </cell>
          <cell r="P128" t="str">
            <v>Tài sản</v>
          </cell>
        </row>
        <row r="129">
          <cell r="A129" t="str">
            <v>KHDN</v>
          </cell>
          <cell r="F129">
            <v>39672559.289999999</v>
          </cell>
          <cell r="P129" t="str">
            <v>Tài sản</v>
          </cell>
        </row>
        <row r="130">
          <cell r="A130" t="str">
            <v>KHDN</v>
          </cell>
          <cell r="F130">
            <v>5254548.49</v>
          </cell>
          <cell r="P130" t="str">
            <v>Kỹ thuật</v>
          </cell>
        </row>
        <row r="131">
          <cell r="A131" t="str">
            <v>KHDN</v>
          </cell>
          <cell r="F131">
            <v>2026578.53</v>
          </cell>
          <cell r="P131" t="str">
            <v>Kỹ thuật</v>
          </cell>
        </row>
        <row r="132">
          <cell r="A132" t="str">
            <v>KHDN</v>
          </cell>
          <cell r="F132">
            <v>5699250</v>
          </cell>
          <cell r="P132" t="str">
            <v>Xe cơ giới</v>
          </cell>
        </row>
        <row r="133">
          <cell r="A133" t="str">
            <v>KHDN</v>
          </cell>
          <cell r="F133">
            <v>39672559.289999999</v>
          </cell>
          <cell r="P133" t="str">
            <v>Tài sản</v>
          </cell>
        </row>
        <row r="134">
          <cell r="A134" t="str">
            <v>KHDN</v>
          </cell>
          <cell r="F134">
            <v>10395048.49</v>
          </cell>
          <cell r="P134" t="str">
            <v>Kỹ thuật</v>
          </cell>
        </row>
        <row r="135">
          <cell r="A135" t="str">
            <v>KHDN</v>
          </cell>
          <cell r="F135">
            <v>2026578.53</v>
          </cell>
          <cell r="P135" t="str">
            <v>Kỹ thuật</v>
          </cell>
        </row>
        <row r="136">
          <cell r="A136" t="str">
            <v>KHDN</v>
          </cell>
          <cell r="F136">
            <v>35988137.030000001</v>
          </cell>
          <cell r="P136" t="str">
            <v>Kỹ thuật</v>
          </cell>
        </row>
        <row r="137">
          <cell r="A137" t="str">
            <v>KHDN</v>
          </cell>
          <cell r="F137">
            <v>31766080.289999999</v>
          </cell>
          <cell r="P137" t="str">
            <v>Tài sản</v>
          </cell>
        </row>
        <row r="138">
          <cell r="A138" t="str">
            <v>KHDN</v>
          </cell>
          <cell r="F138">
            <v>32199152.91</v>
          </cell>
          <cell r="P138" t="str">
            <v>Kỹ thuật</v>
          </cell>
        </row>
        <row r="139">
          <cell r="A139" t="str">
            <v>KHDN</v>
          </cell>
          <cell r="F139">
            <v>52194177.840000004</v>
          </cell>
          <cell r="P139" t="str">
            <v>Kỹ thuật</v>
          </cell>
        </row>
        <row r="140">
          <cell r="A140" t="str">
            <v>KHDN</v>
          </cell>
          <cell r="F140">
            <v>26003066.719999999</v>
          </cell>
          <cell r="P140" t="str">
            <v>Tài sản</v>
          </cell>
        </row>
        <row r="141">
          <cell r="A141" t="str">
            <v>KHDN</v>
          </cell>
          <cell r="F141">
            <v>64323375.520000003</v>
          </cell>
          <cell r="P141" t="str">
            <v>Tài sản</v>
          </cell>
        </row>
        <row r="142">
          <cell r="A142" t="str">
            <v>KHDN</v>
          </cell>
          <cell r="F142">
            <v>46531803.520000003</v>
          </cell>
          <cell r="P142" t="str">
            <v>Tài sản</v>
          </cell>
        </row>
        <row r="143">
          <cell r="A143" t="str">
            <v>KHDN</v>
          </cell>
          <cell r="F143">
            <v>12600000</v>
          </cell>
          <cell r="P143" t="str">
            <v>Tài sản</v>
          </cell>
        </row>
        <row r="144">
          <cell r="A144" t="str">
            <v>KHDN</v>
          </cell>
          <cell r="F144">
            <v>9467420.129999999</v>
          </cell>
          <cell r="P144" t="str">
            <v>Tài sản</v>
          </cell>
        </row>
        <row r="145">
          <cell r="A145" t="str">
            <v>KHDN</v>
          </cell>
          <cell r="F145">
            <v>453119808.75</v>
          </cell>
          <cell r="P145" t="str">
            <v>Tài sản</v>
          </cell>
        </row>
        <row r="146">
          <cell r="A146" t="str">
            <v>KHDN</v>
          </cell>
          <cell r="F146">
            <v>267843759.95999998</v>
          </cell>
          <cell r="P146" t="str">
            <v>Tài sản</v>
          </cell>
        </row>
        <row r="147">
          <cell r="A147" t="str">
            <v>KHDN</v>
          </cell>
          <cell r="F147">
            <v>350125013.27999997</v>
          </cell>
          <cell r="P147" t="str">
            <v>Tài sản</v>
          </cell>
        </row>
        <row r="148">
          <cell r="A148" t="str">
            <v>KHDN</v>
          </cell>
          <cell r="F148">
            <v>205989590.94</v>
          </cell>
          <cell r="P148" t="str">
            <v>Tài sản</v>
          </cell>
        </row>
        <row r="149">
          <cell r="A149" t="str">
            <v>KHDN</v>
          </cell>
          <cell r="F149">
            <v>206576542.41</v>
          </cell>
          <cell r="P149" t="str">
            <v>Tài sản</v>
          </cell>
        </row>
        <row r="150">
          <cell r="A150" t="str">
            <v>KHDN</v>
          </cell>
          <cell r="F150">
            <v>8880191.25</v>
          </cell>
          <cell r="P150" t="str">
            <v>Trách nhiệm</v>
          </cell>
        </row>
        <row r="151">
          <cell r="A151" t="str">
            <v>KHDN</v>
          </cell>
          <cell r="F151">
            <v>5156240.04</v>
          </cell>
          <cell r="P151" t="str">
            <v>Trách nhiệm</v>
          </cell>
        </row>
        <row r="152">
          <cell r="A152" t="str">
            <v>KHDN</v>
          </cell>
          <cell r="F152">
            <v>6874986.7199999997</v>
          </cell>
          <cell r="P152" t="str">
            <v>Trách nhiệm</v>
          </cell>
        </row>
        <row r="153">
          <cell r="A153" t="str">
            <v>KHDN</v>
          </cell>
          <cell r="F153">
            <v>4010409.06</v>
          </cell>
          <cell r="P153" t="str">
            <v>Trách nhiệm</v>
          </cell>
        </row>
        <row r="154">
          <cell r="A154" t="str">
            <v>KHDN</v>
          </cell>
          <cell r="F154">
            <v>3723951.21</v>
          </cell>
          <cell r="P154" t="str">
            <v>Trách nhiệm</v>
          </cell>
        </row>
        <row r="155">
          <cell r="A155" t="str">
            <v>KHDN</v>
          </cell>
          <cell r="F155">
            <v>58310561.200000003</v>
          </cell>
          <cell r="P155" t="str">
            <v>Tài sản</v>
          </cell>
        </row>
        <row r="156">
          <cell r="A156" t="str">
            <v>KHDN</v>
          </cell>
          <cell r="F156">
            <v>58310561.200000003</v>
          </cell>
          <cell r="P156" t="str">
            <v>Tài sản</v>
          </cell>
        </row>
        <row r="157">
          <cell r="A157" t="str">
            <v>KHDN</v>
          </cell>
          <cell r="F157">
            <v>96724614.200000003</v>
          </cell>
          <cell r="P157" t="str">
            <v>Tài sản</v>
          </cell>
        </row>
        <row r="158">
          <cell r="A158" t="str">
            <v>KHDN</v>
          </cell>
          <cell r="F158">
            <v>110381286.86</v>
          </cell>
          <cell r="P158" t="str">
            <v>Hàng hóa</v>
          </cell>
        </row>
        <row r="159">
          <cell r="A159" t="str">
            <v>KHDN</v>
          </cell>
          <cell r="F159">
            <v>110381286.86</v>
          </cell>
          <cell r="P159" t="str">
            <v>Hàng hóa</v>
          </cell>
        </row>
        <row r="160">
          <cell r="A160" t="str">
            <v>KHDN</v>
          </cell>
          <cell r="F160">
            <v>94444263.159999996</v>
          </cell>
          <cell r="P160" t="str">
            <v>Tài sản</v>
          </cell>
        </row>
        <row r="161">
          <cell r="A161" t="str">
            <v>KHDN</v>
          </cell>
          <cell r="F161">
            <v>28330854.93</v>
          </cell>
          <cell r="P161" t="str">
            <v>Tài sản</v>
          </cell>
        </row>
        <row r="162">
          <cell r="A162" t="str">
            <v>KHDN</v>
          </cell>
          <cell r="F162">
            <v>62353908.329999998</v>
          </cell>
          <cell r="P162" t="str">
            <v>Kỹ thuật</v>
          </cell>
        </row>
        <row r="163">
          <cell r="A163" t="str">
            <v>KHDN</v>
          </cell>
          <cell r="F163">
            <v>623700</v>
          </cell>
          <cell r="P163" t="str">
            <v>Trách nhiệm</v>
          </cell>
        </row>
        <row r="164">
          <cell r="A164" t="str">
            <v>KHDN</v>
          </cell>
          <cell r="F164">
            <v>16945634.579999998</v>
          </cell>
          <cell r="P164" t="str">
            <v>Tài sản</v>
          </cell>
        </row>
        <row r="165">
          <cell r="A165" t="str">
            <v>KHDN</v>
          </cell>
          <cell r="F165">
            <v>32545000</v>
          </cell>
          <cell r="P165" t="str">
            <v>Kỹ thuật</v>
          </cell>
        </row>
        <row r="166">
          <cell r="A166" t="str">
            <v>KHDN</v>
          </cell>
          <cell r="F166">
            <v>21696631.170000002</v>
          </cell>
          <cell r="P166" t="str">
            <v>Kỹ thuật</v>
          </cell>
        </row>
        <row r="167">
          <cell r="A167" t="str">
            <v>KHDN</v>
          </cell>
          <cell r="F167">
            <v>74100000</v>
          </cell>
          <cell r="P167" t="str">
            <v>Tài sản</v>
          </cell>
        </row>
        <row r="168">
          <cell r="A168" t="str">
            <v>KHDN</v>
          </cell>
          <cell r="F168">
            <v>74100000</v>
          </cell>
          <cell r="P168" t="str">
            <v>Tài sản</v>
          </cell>
        </row>
        <row r="169">
          <cell r="A169" t="str">
            <v>KHDN</v>
          </cell>
          <cell r="F169">
            <v>109221584.436</v>
          </cell>
          <cell r="P169" t="str">
            <v>Tài sản</v>
          </cell>
        </row>
        <row r="170">
          <cell r="A170" t="str">
            <v>KHDN</v>
          </cell>
          <cell r="F170">
            <v>228000000</v>
          </cell>
          <cell r="P170" t="str">
            <v>Tài sản</v>
          </cell>
        </row>
        <row r="171">
          <cell r="A171" t="str">
            <v>KHDN</v>
          </cell>
          <cell r="F171">
            <v>228000000</v>
          </cell>
          <cell r="P171" t="str">
            <v>Tài sản</v>
          </cell>
        </row>
        <row r="172">
          <cell r="A172" t="str">
            <v>KHDN</v>
          </cell>
          <cell r="F172">
            <v>228000000</v>
          </cell>
          <cell r="P172" t="str">
            <v>Tài sản</v>
          </cell>
        </row>
        <row r="173">
          <cell r="A173" t="str">
            <v>KHDN</v>
          </cell>
          <cell r="F173">
            <v>35977263.660000004</v>
          </cell>
          <cell r="P173" t="str">
            <v>Kỹ thuật</v>
          </cell>
        </row>
        <row r="174">
          <cell r="A174" t="str">
            <v>KHDN</v>
          </cell>
          <cell r="F174">
            <v>88298409.465000004</v>
          </cell>
          <cell r="P174" t="str">
            <v>Tài sản</v>
          </cell>
        </row>
        <row r="175">
          <cell r="A175" t="str">
            <v>KHDN</v>
          </cell>
          <cell r="F175">
            <v>220746023.66249999</v>
          </cell>
          <cell r="P175" t="str">
            <v>Tài sản</v>
          </cell>
        </row>
        <row r="176">
          <cell r="A176" t="str">
            <v>KHDN</v>
          </cell>
          <cell r="F176">
            <v>161164859.31</v>
          </cell>
          <cell r="P176" t="str">
            <v>Tài sản</v>
          </cell>
        </row>
        <row r="177">
          <cell r="A177" t="str">
            <v>KHDN</v>
          </cell>
          <cell r="F177">
            <v>4959503.6399999997</v>
          </cell>
          <cell r="P177" t="str">
            <v>Tài sản</v>
          </cell>
        </row>
        <row r="178">
          <cell r="A178" t="str">
            <v>KHDN</v>
          </cell>
          <cell r="F178">
            <v>63000000</v>
          </cell>
          <cell r="P178" t="str">
            <v>Tài sản</v>
          </cell>
        </row>
        <row r="179">
          <cell r="A179" t="str">
            <v>KHDN</v>
          </cell>
          <cell r="F179">
            <v>325500000</v>
          </cell>
          <cell r="P179" t="str">
            <v>Tài sản</v>
          </cell>
        </row>
        <row r="180">
          <cell r="A180" t="str">
            <v>KHDN</v>
          </cell>
          <cell r="F180">
            <v>168000000</v>
          </cell>
          <cell r="P180" t="str">
            <v>Tài sản</v>
          </cell>
        </row>
        <row r="181">
          <cell r="A181" t="str">
            <v>KHDN</v>
          </cell>
          <cell r="F181">
            <v>63000000</v>
          </cell>
          <cell r="P181" t="str">
            <v>Tài sản</v>
          </cell>
        </row>
        <row r="182">
          <cell r="A182" t="str">
            <v>KHDN</v>
          </cell>
          <cell r="F182">
            <v>94500000</v>
          </cell>
          <cell r="P182" t="str">
            <v>Tài sản</v>
          </cell>
        </row>
        <row r="183">
          <cell r="A183" t="str">
            <v>KHDN</v>
          </cell>
          <cell r="F183">
            <v>63000000</v>
          </cell>
          <cell r="P183" t="str">
            <v>Tài sản</v>
          </cell>
        </row>
        <row r="184">
          <cell r="A184" t="str">
            <v>KHDN</v>
          </cell>
          <cell r="F184">
            <v>106369335.23999999</v>
          </cell>
          <cell r="P184" t="str">
            <v>Tài sản</v>
          </cell>
        </row>
        <row r="185">
          <cell r="A185" t="str">
            <v>KHDN</v>
          </cell>
          <cell r="F185">
            <v>24713404.59</v>
          </cell>
          <cell r="P185" t="str">
            <v>Tài sản</v>
          </cell>
        </row>
        <row r="186">
          <cell r="A186" t="str">
            <v>KHDN</v>
          </cell>
          <cell r="F186">
            <v>11087539.049999999</v>
          </cell>
          <cell r="P186" t="str">
            <v>Tài sản</v>
          </cell>
        </row>
        <row r="187">
          <cell r="A187" t="str">
            <v>KHDN</v>
          </cell>
          <cell r="F187">
            <v>31500000</v>
          </cell>
          <cell r="P187" t="str">
            <v>Tài sản</v>
          </cell>
        </row>
        <row r="188">
          <cell r="A188" t="str">
            <v>KHDN</v>
          </cell>
          <cell r="F188">
            <v>6786595.4100000001</v>
          </cell>
          <cell r="P188" t="str">
            <v>Tài sản</v>
          </cell>
        </row>
        <row r="189">
          <cell r="A189" t="str">
            <v>KHDN</v>
          </cell>
          <cell r="F189">
            <v>33932687.879999995</v>
          </cell>
          <cell r="P189" t="str">
            <v>Tài sản</v>
          </cell>
        </row>
        <row r="190">
          <cell r="A190" t="str">
            <v>KHDN</v>
          </cell>
          <cell r="F190">
            <v>33932687.879999995</v>
          </cell>
          <cell r="P190" t="str">
            <v>Tài sản</v>
          </cell>
        </row>
      </sheetData>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2:I730"/>
  <sheetViews>
    <sheetView topLeftCell="A34" workbookViewId="0">
      <selection activeCell="I22" sqref="I22"/>
    </sheetView>
  </sheetViews>
  <sheetFormatPr defaultRowHeight="15" x14ac:dyDescent="0.25"/>
  <cols>
    <col min="2" max="2" width="14" customWidth="1"/>
    <col min="3" max="3" width="45.5703125" bestFit="1" customWidth="1"/>
    <col min="4" max="4" width="25.5703125" customWidth="1"/>
    <col min="5" max="5" width="18" style="110" bestFit="1" customWidth="1"/>
    <col min="6" max="6" width="18.7109375" bestFit="1" customWidth="1"/>
    <col min="8" max="8" width="14.28515625" bestFit="1" customWidth="1"/>
    <col min="9" max="9" width="27" bestFit="1" customWidth="1"/>
  </cols>
  <sheetData>
    <row r="2" spans="1:9" x14ac:dyDescent="0.25">
      <c r="E2" s="110">
        <f>SUBTOTAL(9,E4:E730)</f>
        <v>41464650990</v>
      </c>
    </row>
    <row r="3" spans="1:9" x14ac:dyDescent="0.25">
      <c r="A3" s="6" t="s">
        <v>40</v>
      </c>
      <c r="B3" s="6" t="s">
        <v>465</v>
      </c>
      <c r="C3" s="6" t="s">
        <v>466</v>
      </c>
      <c r="D3" s="6" t="s">
        <v>467</v>
      </c>
      <c r="E3" s="111" t="s">
        <v>468</v>
      </c>
    </row>
    <row r="4" spans="1:9" x14ac:dyDescent="0.25">
      <c r="A4" t="str">
        <f>LEFT(B4,3)</f>
        <v>101</v>
      </c>
      <c r="B4" t="s">
        <v>223</v>
      </c>
      <c r="C4" t="s">
        <v>55</v>
      </c>
      <c r="D4" t="s">
        <v>387</v>
      </c>
      <c r="E4" s="110">
        <v>489136499</v>
      </c>
      <c r="F4" t="str">
        <f>VLOOKUP(D4,Sheet1!$A$18:$B$28,2,FALSE)</f>
        <v>BH Hàng hóa</v>
      </c>
      <c r="G4" t="str">
        <f>IF(A4="101",B4,A4)</f>
        <v>101001</v>
      </c>
      <c r="H4" s="24">
        <f>E4</f>
        <v>489136499</v>
      </c>
      <c r="I4" t="str">
        <f>VLOOKUP(G4,'CHECK_DT-BT'!$A$3:$C$92,3,FALSE)</f>
        <v>TSC-Ban KDBH Hàng hóa</v>
      </c>
    </row>
    <row r="5" spans="1:9" x14ac:dyDescent="0.25">
      <c r="A5" t="str">
        <f t="shared" ref="A5:A68" si="0">LEFT(B5,3)</f>
        <v>101</v>
      </c>
      <c r="B5" t="s">
        <v>223</v>
      </c>
      <c r="C5" t="s">
        <v>55</v>
      </c>
      <c r="D5" t="s">
        <v>392</v>
      </c>
      <c r="E5" s="110">
        <v>56620806</v>
      </c>
      <c r="F5" t="str">
        <f>VLOOKUP(D5,Sheet1!$A$18:$B$28,2,FALSE)</f>
        <v>BH Tài sản</v>
      </c>
      <c r="G5" t="str">
        <f t="shared" ref="G5:G68" si="1">IF(A5="101",B5,A5)</f>
        <v>101001</v>
      </c>
      <c r="H5" s="24">
        <f t="shared" ref="H5:H68" si="2">E5</f>
        <v>56620806</v>
      </c>
      <c r="I5" t="str">
        <f>VLOOKUP(G5,'CHECK_DT-BT'!$A$3:$C$92,3,FALSE)</f>
        <v>TSC-Ban KDBH Hàng hóa</v>
      </c>
    </row>
    <row r="6" spans="1:9" x14ac:dyDescent="0.25">
      <c r="A6" t="str">
        <f t="shared" si="0"/>
        <v>101</v>
      </c>
      <c r="B6" t="s">
        <v>223</v>
      </c>
      <c r="C6" t="s">
        <v>55</v>
      </c>
      <c r="D6" t="s">
        <v>393</v>
      </c>
      <c r="E6" s="110">
        <v>1500000</v>
      </c>
      <c r="F6" t="str">
        <f>VLOOKUP(D6,Sheet1!$A$18:$B$28,2,FALSE)</f>
        <v>BH Xe cơ giới</v>
      </c>
      <c r="G6" t="str">
        <f t="shared" si="1"/>
        <v>101001</v>
      </c>
      <c r="H6" s="24">
        <f t="shared" si="2"/>
        <v>1500000</v>
      </c>
      <c r="I6" t="str">
        <f>VLOOKUP(G6,'CHECK_DT-BT'!$A$3:$C$92,3,FALSE)</f>
        <v>TSC-Ban KDBH Hàng hóa</v>
      </c>
    </row>
    <row r="7" spans="1:9" x14ac:dyDescent="0.25">
      <c r="A7" t="str">
        <f t="shared" si="0"/>
        <v>101</v>
      </c>
      <c r="B7" t="s">
        <v>226</v>
      </c>
      <c r="C7" t="s">
        <v>469</v>
      </c>
      <c r="D7" t="s">
        <v>390</v>
      </c>
      <c r="E7" s="110">
        <v>3398923902</v>
      </c>
      <c r="F7" t="e">
        <f>VLOOKUP(D7,Sheet1!$A$18:$B$28,2,FALSE)</f>
        <v>#N/A</v>
      </c>
      <c r="G7" t="str">
        <f t="shared" si="1"/>
        <v>101004</v>
      </c>
      <c r="H7" s="24">
        <f t="shared" si="2"/>
        <v>3398923902</v>
      </c>
      <c r="I7" t="e">
        <f>VLOOKUP(G7,'CHECK_DT-BT'!$A$3:$C$92,3,FALSE)</f>
        <v>#N/A</v>
      </c>
    </row>
    <row r="8" spans="1:9" x14ac:dyDescent="0.25">
      <c r="A8" t="str">
        <f t="shared" si="0"/>
        <v>101</v>
      </c>
      <c r="B8" t="s">
        <v>227</v>
      </c>
      <c r="C8" t="s">
        <v>470</v>
      </c>
      <c r="D8" t="s">
        <v>387</v>
      </c>
      <c r="E8" s="110">
        <v>1000036650</v>
      </c>
      <c r="F8" t="str">
        <f>VLOOKUP(D8,Sheet1!$A$18:$B$28,2,FALSE)</f>
        <v>BH Hàng hóa</v>
      </c>
      <c r="G8" t="str">
        <f t="shared" si="1"/>
        <v>101005</v>
      </c>
      <c r="H8" s="24">
        <f t="shared" si="2"/>
        <v>1000036650</v>
      </c>
      <c r="I8" t="str">
        <f>VLOOKUP(G8,'CHECK_DT-BT'!$A$3:$C$92,3,FALSE)</f>
        <v>TSC-Ban BH Dự án (Fronting)</v>
      </c>
    </row>
    <row r="9" spans="1:9" x14ac:dyDescent="0.25">
      <c r="A9" t="str">
        <f t="shared" si="0"/>
        <v>101</v>
      </c>
      <c r="B9" t="s">
        <v>227</v>
      </c>
      <c r="C9" t="s">
        <v>470</v>
      </c>
      <c r="D9" t="s">
        <v>391</v>
      </c>
      <c r="E9" s="110">
        <v>76638527</v>
      </c>
      <c r="F9" t="str">
        <f>VLOOKUP(D9,Sheet1!$A$18:$B$28,2,FALSE)</f>
        <v>BH Kỹ thuật</v>
      </c>
      <c r="G9" t="str">
        <f t="shared" si="1"/>
        <v>101005</v>
      </c>
      <c r="H9" s="24">
        <f t="shared" si="2"/>
        <v>76638527</v>
      </c>
      <c r="I9" t="str">
        <f>VLOOKUP(G9,'CHECK_DT-BT'!$A$3:$C$92,3,FALSE)</f>
        <v>TSC-Ban BH Dự án (Fronting)</v>
      </c>
    </row>
    <row r="10" spans="1:9" x14ac:dyDescent="0.25">
      <c r="A10" t="str">
        <f t="shared" si="0"/>
        <v>101</v>
      </c>
      <c r="B10" t="s">
        <v>227</v>
      </c>
      <c r="C10" t="s">
        <v>470</v>
      </c>
      <c r="D10" t="s">
        <v>392</v>
      </c>
      <c r="E10" s="110">
        <v>1733620520</v>
      </c>
      <c r="F10" t="str">
        <f>VLOOKUP(D10,Sheet1!$A$18:$B$28,2,FALSE)</f>
        <v>BH Tài sản</v>
      </c>
      <c r="G10" t="str">
        <f t="shared" si="1"/>
        <v>101005</v>
      </c>
      <c r="H10" s="24">
        <f t="shared" si="2"/>
        <v>1733620520</v>
      </c>
      <c r="I10" t="str">
        <f>VLOOKUP(G10,'CHECK_DT-BT'!$A$3:$C$92,3,FALSE)</f>
        <v>TSC-Ban BH Dự án (Fronting)</v>
      </c>
    </row>
    <row r="11" spans="1:9" x14ac:dyDescent="0.25">
      <c r="A11" t="str">
        <f t="shared" si="0"/>
        <v>101</v>
      </c>
      <c r="B11" t="s">
        <v>228</v>
      </c>
      <c r="C11" t="s">
        <v>50</v>
      </c>
      <c r="D11" t="s">
        <v>273</v>
      </c>
      <c r="E11" s="110">
        <v>207111738</v>
      </c>
      <c r="F11" t="str">
        <f>VLOOKUP(D11,Sheet1!$A$18:$B$28,2,FALSE)</f>
        <v>Hull (Thân tàu biển)</v>
      </c>
      <c r="G11" t="str">
        <f t="shared" si="1"/>
        <v>101006</v>
      </c>
      <c r="H11" s="24">
        <f t="shared" si="2"/>
        <v>207111738</v>
      </c>
      <c r="I11" t="str">
        <f>VLOOKUP(G11,'CHECK_DT-BT'!$A$3:$C$92,3,FALSE)</f>
        <v>TSC-Ban KDBH Tàu thủy</v>
      </c>
    </row>
    <row r="12" spans="1:9" x14ac:dyDescent="0.25">
      <c r="A12" t="str">
        <f t="shared" si="0"/>
        <v>101</v>
      </c>
      <c r="B12" t="s">
        <v>228</v>
      </c>
      <c r="C12" t="s">
        <v>50</v>
      </c>
      <c r="D12" t="s">
        <v>391</v>
      </c>
      <c r="E12" s="110">
        <v>2060709798</v>
      </c>
      <c r="F12" t="str">
        <f>VLOOKUP(D12,Sheet1!$A$18:$B$28,2,FALSE)</f>
        <v>BH Kỹ thuật</v>
      </c>
      <c r="G12" t="str">
        <f t="shared" si="1"/>
        <v>101006</v>
      </c>
      <c r="H12" s="24">
        <f t="shared" si="2"/>
        <v>2060709798</v>
      </c>
      <c r="I12" t="str">
        <f>VLOOKUP(G12,'CHECK_DT-BT'!$A$3:$C$92,3,FALSE)</f>
        <v>TSC-Ban KDBH Tàu thủy</v>
      </c>
    </row>
    <row r="13" spans="1:9" x14ac:dyDescent="0.25">
      <c r="A13" t="str">
        <f t="shared" si="0"/>
        <v>101</v>
      </c>
      <c r="B13" t="s">
        <v>228</v>
      </c>
      <c r="C13" t="s">
        <v>50</v>
      </c>
      <c r="D13" t="s">
        <v>272</v>
      </c>
      <c r="E13" s="110">
        <v>31307000</v>
      </c>
      <c r="F13" t="str">
        <f>VLOOKUP(D13,Sheet1!$A$18:$B$28,2,FALSE)</f>
        <v>Tàu khác</v>
      </c>
      <c r="G13" t="str">
        <f t="shared" si="1"/>
        <v>101006</v>
      </c>
      <c r="H13" s="24">
        <f t="shared" si="2"/>
        <v>31307000</v>
      </c>
      <c r="I13" t="str">
        <f>VLOOKUP(G13,'CHECK_DT-BT'!$A$3:$C$92,3,FALSE)</f>
        <v>TSC-Ban KDBH Tàu thủy</v>
      </c>
    </row>
    <row r="14" spans="1:9" x14ac:dyDescent="0.25">
      <c r="A14" t="str">
        <f t="shared" si="0"/>
        <v>101</v>
      </c>
      <c r="B14" t="s">
        <v>229</v>
      </c>
      <c r="C14" t="s">
        <v>115</v>
      </c>
      <c r="D14" t="s">
        <v>392</v>
      </c>
      <c r="E14" s="110">
        <v>13210000</v>
      </c>
      <c r="F14" t="str">
        <f>VLOOKUP(D14,Sheet1!$A$18:$B$28,2,FALSE)</f>
        <v>BH Tài sản</v>
      </c>
      <c r="G14" t="str">
        <f t="shared" si="1"/>
        <v>101007</v>
      </c>
      <c r="H14" s="24">
        <f t="shared" si="2"/>
        <v>13210000</v>
      </c>
      <c r="I14" t="str">
        <f>VLOOKUP(G14,'CHECK_DT-BT'!$A$3:$C$92,3,FALSE)</f>
        <v>TSC-Ban Bảo hiểm trực tuyến</v>
      </c>
    </row>
    <row r="15" spans="1:9" x14ac:dyDescent="0.25">
      <c r="A15" t="str">
        <f t="shared" si="0"/>
        <v>101</v>
      </c>
      <c r="B15" t="s">
        <v>229</v>
      </c>
      <c r="C15" t="s">
        <v>115</v>
      </c>
      <c r="D15" t="s">
        <v>393</v>
      </c>
      <c r="E15" s="110">
        <v>9200000</v>
      </c>
      <c r="F15" t="str">
        <f>VLOOKUP(D15,Sheet1!$A$18:$B$28,2,FALSE)</f>
        <v>BH Xe cơ giới</v>
      </c>
      <c r="G15" t="str">
        <f t="shared" si="1"/>
        <v>101007</v>
      </c>
      <c r="H15" s="24">
        <f t="shared" si="2"/>
        <v>9200000</v>
      </c>
      <c r="I15" t="str">
        <f>VLOOKUP(G15,'CHECK_DT-BT'!$A$3:$C$92,3,FALSE)</f>
        <v>TSC-Ban Bảo hiểm trực tuyến</v>
      </c>
    </row>
    <row r="16" spans="1:9" x14ac:dyDescent="0.25">
      <c r="A16" t="str">
        <f t="shared" si="0"/>
        <v>101</v>
      </c>
      <c r="B16" t="s">
        <v>363</v>
      </c>
      <c r="C16" t="s">
        <v>471</v>
      </c>
      <c r="D16" t="s">
        <v>387</v>
      </c>
      <c r="E16" s="110">
        <v>210824921</v>
      </c>
      <c r="F16" t="str">
        <f>VLOOKUP(D16,Sheet1!$A$18:$B$28,2,FALSE)</f>
        <v>BH Hàng hóa</v>
      </c>
      <c r="G16" t="str">
        <f t="shared" si="1"/>
        <v>101301</v>
      </c>
      <c r="H16" s="24">
        <f t="shared" si="2"/>
        <v>210824921</v>
      </c>
      <c r="I16" t="e">
        <f>VLOOKUP(G16,'CHECK_DT-BT'!$A$3:$C$92,3,FALSE)</f>
        <v>#N/A</v>
      </c>
    </row>
    <row r="17" spans="1:9" x14ac:dyDescent="0.25">
      <c r="A17" t="str">
        <f t="shared" si="0"/>
        <v>101</v>
      </c>
      <c r="B17" t="s">
        <v>472</v>
      </c>
      <c r="C17" t="s">
        <v>473</v>
      </c>
      <c r="D17" t="s">
        <v>394</v>
      </c>
      <c r="E17" s="110">
        <v>474000</v>
      </c>
      <c r="F17" t="str">
        <f>VLOOKUP(D17,Sheet1!$A$18:$B$28,2,FALSE)</f>
        <v>BH Con người</v>
      </c>
      <c r="G17" t="str">
        <f t="shared" si="1"/>
        <v>10130203</v>
      </c>
      <c r="H17" s="24">
        <f t="shared" si="2"/>
        <v>474000</v>
      </c>
      <c r="I17" t="e">
        <f>VLOOKUP(G17,'CHECK_DT-BT'!$A$3:$C$92,3,FALSE)</f>
        <v>#N/A</v>
      </c>
    </row>
    <row r="18" spans="1:9" x14ac:dyDescent="0.25">
      <c r="A18" t="str">
        <f t="shared" si="0"/>
        <v>101</v>
      </c>
      <c r="B18" t="s">
        <v>474</v>
      </c>
      <c r="C18" t="s">
        <v>475</v>
      </c>
      <c r="D18" t="s">
        <v>393</v>
      </c>
      <c r="E18" s="110">
        <v>468885646</v>
      </c>
      <c r="F18" t="str">
        <f>VLOOKUP(D18,Sheet1!$A$18:$B$28,2,FALSE)</f>
        <v>BH Xe cơ giới</v>
      </c>
      <c r="G18" t="str">
        <f t="shared" si="1"/>
        <v>101303</v>
      </c>
      <c r="H18" s="24">
        <f t="shared" si="2"/>
        <v>468885646</v>
      </c>
      <c r="I18" t="e">
        <f>VLOOKUP(G18,'CHECK_DT-BT'!$A$3:$C$92,3,FALSE)</f>
        <v>#N/A</v>
      </c>
    </row>
    <row r="19" spans="1:9" x14ac:dyDescent="0.25">
      <c r="A19" t="str">
        <f t="shared" si="0"/>
        <v>101</v>
      </c>
      <c r="B19" t="s">
        <v>476</v>
      </c>
      <c r="C19" t="s">
        <v>477</v>
      </c>
      <c r="D19" t="s">
        <v>392</v>
      </c>
      <c r="E19" s="110">
        <v>24419055</v>
      </c>
      <c r="F19" t="str">
        <f>VLOOKUP(D19,Sheet1!$A$18:$B$28,2,FALSE)</f>
        <v>BH Tài sản</v>
      </c>
      <c r="G19" t="str">
        <f t="shared" si="1"/>
        <v>101304</v>
      </c>
      <c r="H19" s="24">
        <f t="shared" si="2"/>
        <v>24419055</v>
      </c>
      <c r="I19" t="e">
        <f>VLOOKUP(G19,'CHECK_DT-BT'!$A$3:$C$92,3,FALSE)</f>
        <v>#N/A</v>
      </c>
    </row>
    <row r="20" spans="1:9" x14ac:dyDescent="0.25">
      <c r="A20" t="str">
        <f t="shared" si="0"/>
        <v>101</v>
      </c>
      <c r="B20" t="s">
        <v>478</v>
      </c>
      <c r="C20" t="s">
        <v>479</v>
      </c>
      <c r="D20" t="s">
        <v>393</v>
      </c>
      <c r="E20" s="110">
        <v>-27380778</v>
      </c>
      <c r="F20" t="str">
        <f>VLOOKUP(D20,Sheet1!$A$18:$B$28,2,FALSE)</f>
        <v>BH Xe cơ giới</v>
      </c>
      <c r="G20" t="str">
        <f t="shared" si="1"/>
        <v>101511</v>
      </c>
      <c r="H20" s="24">
        <f t="shared" si="2"/>
        <v>-27380778</v>
      </c>
      <c r="I20" t="e">
        <f>VLOOKUP(G20,'CHECK_DT-BT'!$A$3:$C$92,3,FALSE)</f>
        <v>#N/A</v>
      </c>
    </row>
    <row r="21" spans="1:9" x14ac:dyDescent="0.25">
      <c r="A21" t="str">
        <f t="shared" si="0"/>
        <v>103</v>
      </c>
      <c r="B21" t="s">
        <v>480</v>
      </c>
      <c r="C21" t="s">
        <v>481</v>
      </c>
      <c r="D21" t="s">
        <v>391</v>
      </c>
      <c r="E21" s="110">
        <v>3750000</v>
      </c>
      <c r="F21" t="str">
        <f>VLOOKUP(D21,Sheet1!$A$18:$B$28,2,FALSE)</f>
        <v>BH Kỹ thuật</v>
      </c>
      <c r="G21" t="str">
        <f t="shared" si="1"/>
        <v>103</v>
      </c>
      <c r="H21" s="24">
        <f t="shared" si="2"/>
        <v>3750000</v>
      </c>
      <c r="I21" t="str">
        <f>VLOOKUP(G21,'CHECK_DT-BT'!$A$3:$C$92,3,FALSE)</f>
        <v>BV Thăng Long</v>
      </c>
    </row>
    <row r="22" spans="1:9" x14ac:dyDescent="0.25">
      <c r="A22" t="str">
        <f t="shared" si="0"/>
        <v>103</v>
      </c>
      <c r="B22" t="s">
        <v>480</v>
      </c>
      <c r="C22" t="s">
        <v>481</v>
      </c>
      <c r="D22" t="s">
        <v>393</v>
      </c>
      <c r="E22" s="110">
        <v>6800000</v>
      </c>
      <c r="F22" t="str">
        <f>VLOOKUP(D22,Sheet1!$A$18:$B$28,2,FALSE)</f>
        <v>BH Xe cơ giới</v>
      </c>
      <c r="G22" t="str">
        <f t="shared" si="1"/>
        <v>103</v>
      </c>
      <c r="H22" s="24">
        <f t="shared" si="2"/>
        <v>6800000</v>
      </c>
      <c r="I22" t="str">
        <f>VLOOKUP(G22,'CHECK_DT-BT'!$A$3:$C$92,3,FALSE)</f>
        <v>BV Thăng Long</v>
      </c>
    </row>
    <row r="23" spans="1:9" x14ac:dyDescent="0.25">
      <c r="A23" t="str">
        <f t="shared" si="0"/>
        <v>103</v>
      </c>
      <c r="B23" t="s">
        <v>482</v>
      </c>
      <c r="C23" t="s">
        <v>483</v>
      </c>
      <c r="D23" t="s">
        <v>393</v>
      </c>
      <c r="E23" s="110">
        <v>7600000</v>
      </c>
      <c r="F23" t="str">
        <f>VLOOKUP(D23,Sheet1!$A$18:$B$28,2,FALSE)</f>
        <v>BH Xe cơ giới</v>
      </c>
      <c r="G23" t="str">
        <f t="shared" si="1"/>
        <v>103</v>
      </c>
      <c r="H23" s="24">
        <f t="shared" si="2"/>
        <v>7600000</v>
      </c>
      <c r="I23" t="str">
        <f>VLOOKUP(G23,'CHECK_DT-BT'!$A$3:$C$92,3,FALSE)</f>
        <v>BV Thăng Long</v>
      </c>
    </row>
    <row r="24" spans="1:9" x14ac:dyDescent="0.25">
      <c r="A24" t="str">
        <f t="shared" si="0"/>
        <v>103</v>
      </c>
      <c r="B24" t="s">
        <v>484</v>
      </c>
      <c r="C24" t="s">
        <v>485</v>
      </c>
      <c r="D24" t="s">
        <v>393</v>
      </c>
      <c r="E24" s="110">
        <v>3100000</v>
      </c>
      <c r="F24" t="str">
        <f>VLOOKUP(D24,Sheet1!$A$18:$B$28,2,FALSE)</f>
        <v>BH Xe cơ giới</v>
      </c>
      <c r="G24" t="str">
        <f t="shared" si="1"/>
        <v>103</v>
      </c>
      <c r="H24" s="24">
        <f t="shared" si="2"/>
        <v>3100000</v>
      </c>
      <c r="I24" t="str">
        <f>VLOOKUP(G24,'CHECK_DT-BT'!$A$3:$C$92,3,FALSE)</f>
        <v>BV Thăng Long</v>
      </c>
    </row>
    <row r="25" spans="1:9" x14ac:dyDescent="0.25">
      <c r="A25" t="str">
        <f t="shared" si="0"/>
        <v>103</v>
      </c>
      <c r="B25" t="s">
        <v>486</v>
      </c>
      <c r="C25" t="s">
        <v>487</v>
      </c>
      <c r="D25" t="s">
        <v>393</v>
      </c>
      <c r="E25" s="110">
        <v>3200000</v>
      </c>
      <c r="F25" t="str">
        <f>VLOOKUP(D25,Sheet1!$A$18:$B$28,2,FALSE)</f>
        <v>BH Xe cơ giới</v>
      </c>
      <c r="G25" t="str">
        <f t="shared" si="1"/>
        <v>103</v>
      </c>
      <c r="H25" s="24">
        <f t="shared" si="2"/>
        <v>3200000</v>
      </c>
      <c r="I25" t="str">
        <f>VLOOKUP(G25,'CHECK_DT-BT'!$A$3:$C$92,3,FALSE)</f>
        <v>BV Thăng Long</v>
      </c>
    </row>
    <row r="26" spans="1:9" x14ac:dyDescent="0.25">
      <c r="A26" t="str">
        <f t="shared" si="0"/>
        <v>103</v>
      </c>
      <c r="B26" t="s">
        <v>488</v>
      </c>
      <c r="C26" t="s">
        <v>489</v>
      </c>
      <c r="D26" t="s">
        <v>393</v>
      </c>
      <c r="E26" s="110">
        <v>14500000</v>
      </c>
      <c r="F26" t="str">
        <f>VLOOKUP(D26,Sheet1!$A$18:$B$28,2,FALSE)</f>
        <v>BH Xe cơ giới</v>
      </c>
      <c r="G26" t="str">
        <f t="shared" si="1"/>
        <v>103</v>
      </c>
      <c r="H26" s="24">
        <f t="shared" si="2"/>
        <v>14500000</v>
      </c>
      <c r="I26" t="str">
        <f>VLOOKUP(G26,'CHECK_DT-BT'!$A$3:$C$92,3,FALSE)</f>
        <v>BV Thăng Long</v>
      </c>
    </row>
    <row r="27" spans="1:9" x14ac:dyDescent="0.25">
      <c r="A27" t="str">
        <f t="shared" si="0"/>
        <v>103</v>
      </c>
      <c r="B27" t="s">
        <v>490</v>
      </c>
      <c r="C27" t="s">
        <v>491</v>
      </c>
      <c r="D27" t="s">
        <v>387</v>
      </c>
      <c r="E27" s="110">
        <v>31531450</v>
      </c>
      <c r="F27" t="str">
        <f>VLOOKUP(D27,Sheet1!$A$18:$B$28,2,FALSE)</f>
        <v>BH Hàng hóa</v>
      </c>
      <c r="G27" t="str">
        <f t="shared" si="1"/>
        <v>103</v>
      </c>
      <c r="H27" s="24">
        <f t="shared" si="2"/>
        <v>31531450</v>
      </c>
      <c r="I27" t="str">
        <f>VLOOKUP(G27,'CHECK_DT-BT'!$A$3:$C$92,3,FALSE)</f>
        <v>BV Thăng Long</v>
      </c>
    </row>
    <row r="28" spans="1:9" x14ac:dyDescent="0.25">
      <c r="A28" t="str">
        <f t="shared" si="0"/>
        <v>103</v>
      </c>
      <c r="B28" t="s">
        <v>492</v>
      </c>
      <c r="C28" t="s">
        <v>493</v>
      </c>
      <c r="D28" t="s">
        <v>392</v>
      </c>
      <c r="E28" s="110">
        <v>69267922</v>
      </c>
      <c r="F28" t="str">
        <f>VLOOKUP(D28,Sheet1!$A$18:$B$28,2,FALSE)</f>
        <v>BH Tài sản</v>
      </c>
      <c r="G28" t="str">
        <f t="shared" si="1"/>
        <v>103</v>
      </c>
      <c r="H28" s="24">
        <f t="shared" si="2"/>
        <v>69267922</v>
      </c>
      <c r="I28" t="str">
        <f>VLOOKUP(G28,'CHECK_DT-BT'!$A$3:$C$92,3,FALSE)</f>
        <v>BV Thăng Long</v>
      </c>
    </row>
    <row r="29" spans="1:9" x14ac:dyDescent="0.25">
      <c r="A29" t="str">
        <f t="shared" si="0"/>
        <v>103</v>
      </c>
      <c r="B29" t="s">
        <v>492</v>
      </c>
      <c r="C29" t="s">
        <v>493</v>
      </c>
      <c r="D29" t="s">
        <v>393</v>
      </c>
      <c r="E29" s="110">
        <v>11000000</v>
      </c>
      <c r="F29" t="str">
        <f>VLOOKUP(D29,Sheet1!$A$18:$B$28,2,FALSE)</f>
        <v>BH Xe cơ giới</v>
      </c>
      <c r="G29" t="str">
        <f t="shared" si="1"/>
        <v>103</v>
      </c>
      <c r="H29" s="24">
        <f t="shared" si="2"/>
        <v>11000000</v>
      </c>
      <c r="I29" t="str">
        <f>VLOOKUP(G29,'CHECK_DT-BT'!$A$3:$C$92,3,FALSE)</f>
        <v>BV Thăng Long</v>
      </c>
    </row>
    <row r="30" spans="1:9" x14ac:dyDescent="0.25">
      <c r="A30" t="str">
        <f t="shared" si="0"/>
        <v>103</v>
      </c>
      <c r="B30" t="s">
        <v>494</v>
      </c>
      <c r="C30" t="s">
        <v>495</v>
      </c>
      <c r="D30" t="s">
        <v>393</v>
      </c>
      <c r="E30" s="110">
        <v>1200000</v>
      </c>
      <c r="F30" t="str">
        <f>VLOOKUP(D30,Sheet1!$A$18:$B$28,2,FALSE)</f>
        <v>BH Xe cơ giới</v>
      </c>
      <c r="G30" t="str">
        <f t="shared" si="1"/>
        <v>103</v>
      </c>
      <c r="H30" s="24">
        <f t="shared" si="2"/>
        <v>1200000</v>
      </c>
      <c r="I30" t="str">
        <f>VLOOKUP(G30,'CHECK_DT-BT'!$A$3:$C$92,3,FALSE)</f>
        <v>BV Thăng Long</v>
      </c>
    </row>
    <row r="31" spans="1:9" x14ac:dyDescent="0.25">
      <c r="A31" t="str">
        <f t="shared" si="0"/>
        <v>104</v>
      </c>
      <c r="B31" t="s">
        <v>496</v>
      </c>
      <c r="C31" t="s">
        <v>497</v>
      </c>
      <c r="D31" t="s">
        <v>393</v>
      </c>
      <c r="E31" s="110">
        <v>1000000</v>
      </c>
      <c r="F31" t="str">
        <f>VLOOKUP(D31,Sheet1!$A$18:$B$28,2,FALSE)</f>
        <v>BH Xe cơ giới</v>
      </c>
      <c r="G31" t="str">
        <f t="shared" si="1"/>
        <v>104</v>
      </c>
      <c r="H31" s="24">
        <f t="shared" si="2"/>
        <v>1000000</v>
      </c>
      <c r="I31" t="str">
        <f>VLOOKUP(G31,'CHECK_DT-BT'!$A$3:$C$92,3,FALSE)</f>
        <v>BV Tràng An</v>
      </c>
    </row>
    <row r="32" spans="1:9" x14ac:dyDescent="0.25">
      <c r="A32" t="str">
        <f t="shared" si="0"/>
        <v>104</v>
      </c>
      <c r="B32" t="s">
        <v>498</v>
      </c>
      <c r="C32" t="s">
        <v>499</v>
      </c>
      <c r="D32" t="s">
        <v>392</v>
      </c>
      <c r="E32" s="110">
        <v>69240207</v>
      </c>
      <c r="F32" t="str">
        <f>VLOOKUP(D32,Sheet1!$A$18:$B$28,2,FALSE)</f>
        <v>BH Tài sản</v>
      </c>
      <c r="G32" t="str">
        <f t="shared" si="1"/>
        <v>104</v>
      </c>
      <c r="H32" s="24">
        <f t="shared" si="2"/>
        <v>69240207</v>
      </c>
      <c r="I32" t="str">
        <f>VLOOKUP(G32,'CHECK_DT-BT'!$A$3:$C$92,3,FALSE)</f>
        <v>BV Tràng An</v>
      </c>
    </row>
    <row r="33" spans="1:9" x14ac:dyDescent="0.25">
      <c r="A33" t="str">
        <f t="shared" si="0"/>
        <v>104</v>
      </c>
      <c r="B33" t="s">
        <v>498</v>
      </c>
      <c r="C33" t="s">
        <v>499</v>
      </c>
      <c r="D33" t="s">
        <v>393</v>
      </c>
      <c r="E33" s="110">
        <v>12400000</v>
      </c>
      <c r="F33" t="str">
        <f>VLOOKUP(D33,Sheet1!$A$18:$B$28,2,FALSE)</f>
        <v>BH Xe cơ giới</v>
      </c>
      <c r="G33" t="str">
        <f t="shared" si="1"/>
        <v>104</v>
      </c>
      <c r="H33" s="24">
        <f t="shared" si="2"/>
        <v>12400000</v>
      </c>
      <c r="I33" t="str">
        <f>VLOOKUP(G33,'CHECK_DT-BT'!$A$3:$C$92,3,FALSE)</f>
        <v>BV Tràng An</v>
      </c>
    </row>
    <row r="34" spans="1:9" x14ac:dyDescent="0.25">
      <c r="A34" t="str">
        <f t="shared" si="0"/>
        <v>104</v>
      </c>
      <c r="B34" t="s">
        <v>500</v>
      </c>
      <c r="C34" t="s">
        <v>501</v>
      </c>
      <c r="D34" t="s">
        <v>387</v>
      </c>
      <c r="E34" s="110">
        <v>41646571</v>
      </c>
      <c r="F34" t="str">
        <f>VLOOKUP(D34,Sheet1!$A$18:$B$28,2,FALSE)</f>
        <v>BH Hàng hóa</v>
      </c>
      <c r="G34" t="str">
        <f t="shared" si="1"/>
        <v>104</v>
      </c>
      <c r="H34" s="24">
        <f t="shared" si="2"/>
        <v>41646571</v>
      </c>
      <c r="I34" t="str">
        <f>VLOOKUP(G34,'CHECK_DT-BT'!$A$3:$C$92,3,FALSE)</f>
        <v>BV Tràng An</v>
      </c>
    </row>
    <row r="35" spans="1:9" x14ac:dyDescent="0.25">
      <c r="A35" t="str">
        <f t="shared" si="0"/>
        <v>104</v>
      </c>
      <c r="B35" t="s">
        <v>500</v>
      </c>
      <c r="C35" t="s">
        <v>501</v>
      </c>
      <c r="D35" t="s">
        <v>393</v>
      </c>
      <c r="E35" s="110">
        <v>7500000</v>
      </c>
      <c r="F35" t="str">
        <f>VLOOKUP(D35,Sheet1!$A$18:$B$28,2,FALSE)</f>
        <v>BH Xe cơ giới</v>
      </c>
      <c r="G35" t="str">
        <f t="shared" si="1"/>
        <v>104</v>
      </c>
      <c r="H35" s="24">
        <f t="shared" si="2"/>
        <v>7500000</v>
      </c>
      <c r="I35" t="str">
        <f>VLOOKUP(G35,'CHECK_DT-BT'!$A$3:$C$92,3,FALSE)</f>
        <v>BV Tràng An</v>
      </c>
    </row>
    <row r="36" spans="1:9" x14ac:dyDescent="0.25">
      <c r="A36" t="str">
        <f t="shared" si="0"/>
        <v>104</v>
      </c>
      <c r="B36" t="s">
        <v>502</v>
      </c>
      <c r="C36" t="s">
        <v>503</v>
      </c>
      <c r="D36" t="s">
        <v>273</v>
      </c>
      <c r="E36" s="110">
        <v>38675000</v>
      </c>
      <c r="F36" t="str">
        <f>VLOOKUP(D36,Sheet1!$A$18:$B$28,2,FALSE)</f>
        <v>Hull (Thân tàu biển)</v>
      </c>
      <c r="G36" t="str">
        <f t="shared" si="1"/>
        <v>104</v>
      </c>
      <c r="H36" s="24">
        <f t="shared" si="2"/>
        <v>38675000</v>
      </c>
      <c r="I36" t="str">
        <f>VLOOKUP(G36,'CHECK_DT-BT'!$A$3:$C$92,3,FALSE)</f>
        <v>BV Tràng An</v>
      </c>
    </row>
    <row r="37" spans="1:9" x14ac:dyDescent="0.25">
      <c r="A37" t="str">
        <f t="shared" si="0"/>
        <v>104</v>
      </c>
      <c r="B37" t="s">
        <v>504</v>
      </c>
      <c r="C37" t="s">
        <v>505</v>
      </c>
      <c r="D37" t="s">
        <v>391</v>
      </c>
      <c r="E37" s="110">
        <v>23940000</v>
      </c>
      <c r="F37" t="str">
        <f>VLOOKUP(D37,Sheet1!$A$18:$B$28,2,FALSE)</f>
        <v>BH Kỹ thuật</v>
      </c>
      <c r="G37" t="str">
        <f t="shared" si="1"/>
        <v>104</v>
      </c>
      <c r="H37" s="24">
        <f t="shared" si="2"/>
        <v>23940000</v>
      </c>
      <c r="I37" t="str">
        <f>VLOOKUP(G37,'CHECK_DT-BT'!$A$3:$C$92,3,FALSE)</f>
        <v>BV Tràng An</v>
      </c>
    </row>
    <row r="38" spans="1:9" x14ac:dyDescent="0.25">
      <c r="A38" t="str">
        <f t="shared" si="0"/>
        <v>104</v>
      </c>
      <c r="B38" t="s">
        <v>504</v>
      </c>
      <c r="C38" t="s">
        <v>505</v>
      </c>
      <c r="D38" t="s">
        <v>392</v>
      </c>
      <c r="E38" s="110">
        <v>76066635</v>
      </c>
      <c r="F38" t="str">
        <f>VLOOKUP(D38,Sheet1!$A$18:$B$28,2,FALSE)</f>
        <v>BH Tài sản</v>
      </c>
      <c r="G38" t="str">
        <f t="shared" si="1"/>
        <v>104</v>
      </c>
      <c r="H38" s="24">
        <f t="shared" si="2"/>
        <v>76066635</v>
      </c>
      <c r="I38" t="str">
        <f>VLOOKUP(G38,'CHECK_DT-BT'!$A$3:$C$92,3,FALSE)</f>
        <v>BV Tràng An</v>
      </c>
    </row>
    <row r="39" spans="1:9" x14ac:dyDescent="0.25">
      <c r="A39" t="str">
        <f t="shared" si="0"/>
        <v>104</v>
      </c>
      <c r="B39" t="s">
        <v>504</v>
      </c>
      <c r="C39" t="s">
        <v>505</v>
      </c>
      <c r="D39" t="s">
        <v>393</v>
      </c>
      <c r="E39" s="110">
        <v>1700000</v>
      </c>
      <c r="F39" t="str">
        <f>VLOOKUP(D39,Sheet1!$A$18:$B$28,2,FALSE)</f>
        <v>BH Xe cơ giới</v>
      </c>
      <c r="G39" t="str">
        <f t="shared" si="1"/>
        <v>104</v>
      </c>
      <c r="H39" s="24">
        <f t="shared" si="2"/>
        <v>1700000</v>
      </c>
      <c r="I39" t="str">
        <f>VLOOKUP(G39,'CHECK_DT-BT'!$A$3:$C$92,3,FALSE)</f>
        <v>BV Tràng An</v>
      </c>
    </row>
    <row r="40" spans="1:9" x14ac:dyDescent="0.25">
      <c r="A40" t="str">
        <f t="shared" si="0"/>
        <v>104</v>
      </c>
      <c r="B40" t="s">
        <v>506</v>
      </c>
      <c r="C40" t="s">
        <v>507</v>
      </c>
      <c r="D40" t="s">
        <v>392</v>
      </c>
      <c r="E40" s="110">
        <v>7864016</v>
      </c>
      <c r="F40" t="str">
        <f>VLOOKUP(D40,Sheet1!$A$18:$B$28,2,FALSE)</f>
        <v>BH Tài sản</v>
      </c>
      <c r="G40" t="str">
        <f t="shared" si="1"/>
        <v>104</v>
      </c>
      <c r="H40" s="24">
        <f t="shared" si="2"/>
        <v>7864016</v>
      </c>
      <c r="I40" t="str">
        <f>VLOOKUP(G40,'CHECK_DT-BT'!$A$3:$C$92,3,FALSE)</f>
        <v>BV Tràng An</v>
      </c>
    </row>
    <row r="41" spans="1:9" x14ac:dyDescent="0.25">
      <c r="A41" t="str">
        <f t="shared" si="0"/>
        <v>104</v>
      </c>
      <c r="B41" t="s">
        <v>506</v>
      </c>
      <c r="C41" t="s">
        <v>507</v>
      </c>
      <c r="D41" t="s">
        <v>393</v>
      </c>
      <c r="E41" s="110">
        <v>1500000</v>
      </c>
      <c r="F41" t="str">
        <f>VLOOKUP(D41,Sheet1!$A$18:$B$28,2,FALSE)</f>
        <v>BH Xe cơ giới</v>
      </c>
      <c r="G41" t="str">
        <f t="shared" si="1"/>
        <v>104</v>
      </c>
      <c r="H41" s="24">
        <f t="shared" si="2"/>
        <v>1500000</v>
      </c>
      <c r="I41" t="str">
        <f>VLOOKUP(G41,'CHECK_DT-BT'!$A$3:$C$92,3,FALSE)</f>
        <v>BV Tràng An</v>
      </c>
    </row>
    <row r="42" spans="1:9" x14ac:dyDescent="0.25">
      <c r="A42" t="str">
        <f t="shared" si="0"/>
        <v>104</v>
      </c>
      <c r="B42" t="s">
        <v>508</v>
      </c>
      <c r="C42" t="s">
        <v>509</v>
      </c>
      <c r="D42" t="s">
        <v>393</v>
      </c>
      <c r="E42" s="110">
        <v>1000000</v>
      </c>
      <c r="F42" t="str">
        <f>VLOOKUP(D42,Sheet1!$A$18:$B$28,2,FALSE)</f>
        <v>BH Xe cơ giới</v>
      </c>
      <c r="G42" t="str">
        <f t="shared" si="1"/>
        <v>104</v>
      </c>
      <c r="H42" s="24">
        <f t="shared" si="2"/>
        <v>1000000</v>
      </c>
      <c r="I42" t="str">
        <f>VLOOKUP(G42,'CHECK_DT-BT'!$A$3:$C$92,3,FALSE)</f>
        <v>BV Tràng An</v>
      </c>
    </row>
    <row r="43" spans="1:9" x14ac:dyDescent="0.25">
      <c r="A43" t="str">
        <f t="shared" si="0"/>
        <v>104</v>
      </c>
      <c r="B43" t="s">
        <v>510</v>
      </c>
      <c r="C43" t="s">
        <v>511</v>
      </c>
      <c r="D43" t="s">
        <v>393</v>
      </c>
      <c r="E43" s="110">
        <v>2200000</v>
      </c>
      <c r="F43" t="str">
        <f>VLOOKUP(D43,Sheet1!$A$18:$B$28,2,FALSE)</f>
        <v>BH Xe cơ giới</v>
      </c>
      <c r="G43" t="str">
        <f t="shared" si="1"/>
        <v>104</v>
      </c>
      <c r="H43" s="24">
        <f t="shared" si="2"/>
        <v>2200000</v>
      </c>
      <c r="I43" t="str">
        <f>VLOOKUP(G43,'CHECK_DT-BT'!$A$3:$C$92,3,FALSE)</f>
        <v>BV Tràng An</v>
      </c>
    </row>
    <row r="44" spans="1:9" x14ac:dyDescent="0.25">
      <c r="A44" t="str">
        <f t="shared" si="0"/>
        <v>104</v>
      </c>
      <c r="B44" t="s">
        <v>512</v>
      </c>
      <c r="C44" t="s">
        <v>513</v>
      </c>
      <c r="D44" t="s">
        <v>393</v>
      </c>
      <c r="E44" s="110">
        <v>8900000</v>
      </c>
      <c r="F44" t="str">
        <f>VLOOKUP(D44,Sheet1!$A$18:$B$28,2,FALSE)</f>
        <v>BH Xe cơ giới</v>
      </c>
      <c r="G44" t="str">
        <f t="shared" si="1"/>
        <v>104</v>
      </c>
      <c r="H44" s="24">
        <f t="shared" si="2"/>
        <v>8900000</v>
      </c>
      <c r="I44" t="str">
        <f>VLOOKUP(G44,'CHECK_DT-BT'!$A$3:$C$92,3,FALSE)</f>
        <v>BV Tràng An</v>
      </c>
    </row>
    <row r="45" spans="1:9" x14ac:dyDescent="0.25">
      <c r="A45" t="str">
        <f t="shared" si="0"/>
        <v>105</v>
      </c>
      <c r="B45" t="s">
        <v>329</v>
      </c>
      <c r="C45" t="s">
        <v>68</v>
      </c>
      <c r="D45" t="s">
        <v>393</v>
      </c>
      <c r="E45" s="110">
        <v>1500000</v>
      </c>
      <c r="F45" t="str">
        <f>VLOOKUP(D45,Sheet1!$A$18:$B$28,2,FALSE)</f>
        <v>BH Xe cơ giới</v>
      </c>
      <c r="G45" t="str">
        <f t="shared" si="1"/>
        <v>105</v>
      </c>
      <c r="H45" s="24">
        <f t="shared" si="2"/>
        <v>1500000</v>
      </c>
      <c r="I45" t="str">
        <f>VLOOKUP(G45,'CHECK_DT-BT'!$A$3:$C$92,3,FALSE)</f>
        <v>BV Long Thành</v>
      </c>
    </row>
    <row r="46" spans="1:9" x14ac:dyDescent="0.25">
      <c r="A46" t="str">
        <f t="shared" si="0"/>
        <v>105</v>
      </c>
      <c r="B46" t="s">
        <v>514</v>
      </c>
      <c r="C46" t="s">
        <v>515</v>
      </c>
      <c r="D46" t="s">
        <v>387</v>
      </c>
      <c r="E46" s="110">
        <v>47096200</v>
      </c>
      <c r="F46" t="str">
        <f>VLOOKUP(D46,Sheet1!$A$18:$B$28,2,FALSE)</f>
        <v>BH Hàng hóa</v>
      </c>
      <c r="G46" t="str">
        <f t="shared" si="1"/>
        <v>105</v>
      </c>
      <c r="H46" s="24">
        <f t="shared" si="2"/>
        <v>47096200</v>
      </c>
      <c r="I46" t="str">
        <f>VLOOKUP(G46,'CHECK_DT-BT'!$A$3:$C$92,3,FALSE)</f>
        <v>BV Long Thành</v>
      </c>
    </row>
    <row r="47" spans="1:9" x14ac:dyDescent="0.25">
      <c r="A47" t="str">
        <f t="shared" si="0"/>
        <v>105</v>
      </c>
      <c r="B47" t="s">
        <v>516</v>
      </c>
      <c r="C47" t="s">
        <v>517</v>
      </c>
      <c r="D47" t="s">
        <v>393</v>
      </c>
      <c r="E47" s="110">
        <v>700000</v>
      </c>
      <c r="F47" t="str">
        <f>VLOOKUP(D47,Sheet1!$A$18:$B$28,2,FALSE)</f>
        <v>BH Xe cơ giới</v>
      </c>
      <c r="G47" t="str">
        <f t="shared" si="1"/>
        <v>105</v>
      </c>
      <c r="H47" s="24">
        <f t="shared" si="2"/>
        <v>700000</v>
      </c>
      <c r="I47" t="str">
        <f>VLOOKUP(G47,'CHECK_DT-BT'!$A$3:$C$92,3,FALSE)</f>
        <v>BV Long Thành</v>
      </c>
    </row>
    <row r="48" spans="1:9" x14ac:dyDescent="0.25">
      <c r="A48" t="str">
        <f t="shared" si="0"/>
        <v>105</v>
      </c>
      <c r="B48" t="s">
        <v>518</v>
      </c>
      <c r="C48" t="s">
        <v>519</v>
      </c>
      <c r="D48" t="s">
        <v>393</v>
      </c>
      <c r="E48" s="110">
        <v>2500000</v>
      </c>
      <c r="F48" t="str">
        <f>VLOOKUP(D48,Sheet1!$A$18:$B$28,2,FALSE)</f>
        <v>BH Xe cơ giới</v>
      </c>
      <c r="G48" t="str">
        <f t="shared" si="1"/>
        <v>105</v>
      </c>
      <c r="H48" s="24">
        <f t="shared" si="2"/>
        <v>2500000</v>
      </c>
      <c r="I48" t="str">
        <f>VLOOKUP(G48,'CHECK_DT-BT'!$A$3:$C$92,3,FALSE)</f>
        <v>BV Long Thành</v>
      </c>
    </row>
    <row r="49" spans="1:9" x14ac:dyDescent="0.25">
      <c r="A49" t="str">
        <f t="shared" si="0"/>
        <v>105</v>
      </c>
      <c r="B49" t="s">
        <v>520</v>
      </c>
      <c r="C49" t="s">
        <v>521</v>
      </c>
      <c r="D49" t="s">
        <v>393</v>
      </c>
      <c r="E49" s="110">
        <v>900000</v>
      </c>
      <c r="F49" t="str">
        <f>VLOOKUP(D49,Sheet1!$A$18:$B$28,2,FALSE)</f>
        <v>BH Xe cơ giới</v>
      </c>
      <c r="G49" t="str">
        <f t="shared" si="1"/>
        <v>105</v>
      </c>
      <c r="H49" s="24">
        <f t="shared" si="2"/>
        <v>900000</v>
      </c>
      <c r="I49" t="str">
        <f>VLOOKUP(G49,'CHECK_DT-BT'!$A$3:$C$92,3,FALSE)</f>
        <v>BV Long Thành</v>
      </c>
    </row>
    <row r="50" spans="1:9" x14ac:dyDescent="0.25">
      <c r="A50" t="str">
        <f t="shared" si="0"/>
        <v>105</v>
      </c>
      <c r="B50" t="s">
        <v>522</v>
      </c>
      <c r="C50" t="s">
        <v>523</v>
      </c>
      <c r="D50" t="s">
        <v>393</v>
      </c>
      <c r="E50" s="110">
        <v>500000</v>
      </c>
      <c r="F50" t="str">
        <f>VLOOKUP(D50,Sheet1!$A$18:$B$28,2,FALSE)</f>
        <v>BH Xe cơ giới</v>
      </c>
      <c r="G50" t="str">
        <f t="shared" si="1"/>
        <v>105</v>
      </c>
      <c r="H50" s="24">
        <f t="shared" si="2"/>
        <v>500000</v>
      </c>
      <c r="I50" t="str">
        <f>VLOOKUP(G50,'CHECK_DT-BT'!$A$3:$C$92,3,FALSE)</f>
        <v>BV Long Thành</v>
      </c>
    </row>
    <row r="51" spans="1:9" x14ac:dyDescent="0.25">
      <c r="A51" t="str">
        <f t="shared" si="0"/>
        <v>105</v>
      </c>
      <c r="B51" t="s">
        <v>524</v>
      </c>
      <c r="C51" t="s">
        <v>525</v>
      </c>
      <c r="D51" t="s">
        <v>394</v>
      </c>
      <c r="E51" s="110">
        <v>6282000</v>
      </c>
      <c r="F51" t="str">
        <f>VLOOKUP(D51,Sheet1!$A$18:$B$28,2,FALSE)</f>
        <v>BH Con người</v>
      </c>
      <c r="G51" t="str">
        <f t="shared" si="1"/>
        <v>105</v>
      </c>
      <c r="H51" s="24">
        <f t="shared" si="2"/>
        <v>6282000</v>
      </c>
      <c r="I51" t="str">
        <f>VLOOKUP(G51,'CHECK_DT-BT'!$A$3:$C$92,3,FALSE)</f>
        <v>BV Long Thành</v>
      </c>
    </row>
    <row r="52" spans="1:9" x14ac:dyDescent="0.25">
      <c r="A52" t="str">
        <f t="shared" si="0"/>
        <v>105</v>
      </c>
      <c r="B52" t="s">
        <v>524</v>
      </c>
      <c r="C52" t="s">
        <v>525</v>
      </c>
      <c r="D52" t="s">
        <v>393</v>
      </c>
      <c r="E52" s="110">
        <v>8100000</v>
      </c>
      <c r="F52" t="str">
        <f>VLOOKUP(D52,Sheet1!$A$18:$B$28,2,FALSE)</f>
        <v>BH Xe cơ giới</v>
      </c>
      <c r="G52" t="str">
        <f t="shared" si="1"/>
        <v>105</v>
      </c>
      <c r="H52" s="24">
        <f t="shared" si="2"/>
        <v>8100000</v>
      </c>
      <c r="I52" t="str">
        <f>VLOOKUP(G52,'CHECK_DT-BT'!$A$3:$C$92,3,FALSE)</f>
        <v>BV Long Thành</v>
      </c>
    </row>
    <row r="53" spans="1:9" x14ac:dyDescent="0.25">
      <c r="A53" t="str">
        <f t="shared" si="0"/>
        <v>106</v>
      </c>
      <c r="B53" t="s">
        <v>305</v>
      </c>
      <c r="C53" t="s">
        <v>118</v>
      </c>
      <c r="D53" t="s">
        <v>393</v>
      </c>
      <c r="E53" s="110">
        <v>2500000</v>
      </c>
      <c r="F53" t="str">
        <f>VLOOKUP(D53,Sheet1!$A$18:$B$28,2,FALSE)</f>
        <v>BH Xe cơ giới</v>
      </c>
      <c r="G53" t="str">
        <f t="shared" si="1"/>
        <v>106</v>
      </c>
      <c r="H53" s="24">
        <f t="shared" si="2"/>
        <v>2500000</v>
      </c>
      <c r="I53" t="str">
        <f>VLOOKUP(G53,'CHECK_DT-BT'!$A$3:$C$92,3,FALSE)</f>
        <v>BV Đông Bắc</v>
      </c>
    </row>
    <row r="54" spans="1:9" x14ac:dyDescent="0.25">
      <c r="A54" t="str">
        <f t="shared" si="0"/>
        <v>106</v>
      </c>
      <c r="B54" t="s">
        <v>526</v>
      </c>
      <c r="C54" t="s">
        <v>527</v>
      </c>
      <c r="D54" t="s">
        <v>391</v>
      </c>
      <c r="E54" s="110">
        <v>36562500</v>
      </c>
      <c r="F54" t="str">
        <f>VLOOKUP(D54,Sheet1!$A$18:$B$28,2,FALSE)</f>
        <v>BH Kỹ thuật</v>
      </c>
      <c r="G54" t="str">
        <f t="shared" si="1"/>
        <v>106</v>
      </c>
      <c r="H54" s="24">
        <f t="shared" si="2"/>
        <v>36562500</v>
      </c>
      <c r="I54" t="str">
        <f>VLOOKUP(G54,'CHECK_DT-BT'!$A$3:$C$92,3,FALSE)</f>
        <v>BV Đông Bắc</v>
      </c>
    </row>
    <row r="55" spans="1:9" x14ac:dyDescent="0.25">
      <c r="A55" t="str">
        <f t="shared" si="0"/>
        <v>106</v>
      </c>
      <c r="B55" t="s">
        <v>526</v>
      </c>
      <c r="C55" t="s">
        <v>527</v>
      </c>
      <c r="D55" t="s">
        <v>392</v>
      </c>
      <c r="E55" s="110">
        <v>1117977951</v>
      </c>
      <c r="F55" t="str">
        <f>VLOOKUP(D55,Sheet1!$A$18:$B$28,2,FALSE)</f>
        <v>BH Tài sản</v>
      </c>
      <c r="G55" t="str">
        <f t="shared" si="1"/>
        <v>106</v>
      </c>
      <c r="H55" s="24">
        <f t="shared" si="2"/>
        <v>1117977951</v>
      </c>
      <c r="I55" t="str">
        <f>VLOOKUP(G55,'CHECK_DT-BT'!$A$3:$C$92,3,FALSE)</f>
        <v>BV Đông Bắc</v>
      </c>
    </row>
    <row r="56" spans="1:9" x14ac:dyDescent="0.25">
      <c r="A56" t="str">
        <f t="shared" si="0"/>
        <v>106</v>
      </c>
      <c r="B56" t="s">
        <v>526</v>
      </c>
      <c r="C56" t="s">
        <v>527</v>
      </c>
      <c r="D56" t="s">
        <v>393</v>
      </c>
      <c r="E56" s="110">
        <v>21000000</v>
      </c>
      <c r="F56" t="str">
        <f>VLOOKUP(D56,Sheet1!$A$18:$B$28,2,FALSE)</f>
        <v>BH Xe cơ giới</v>
      </c>
      <c r="G56" t="str">
        <f t="shared" si="1"/>
        <v>106</v>
      </c>
      <c r="H56" s="24">
        <f t="shared" si="2"/>
        <v>21000000</v>
      </c>
      <c r="I56" t="str">
        <f>VLOOKUP(G56,'CHECK_DT-BT'!$A$3:$C$92,3,FALSE)</f>
        <v>BV Đông Bắc</v>
      </c>
    </row>
    <row r="57" spans="1:9" x14ac:dyDescent="0.25">
      <c r="A57" t="str">
        <f t="shared" si="0"/>
        <v>106</v>
      </c>
      <c r="B57" t="s">
        <v>528</v>
      </c>
      <c r="C57" t="s">
        <v>529</v>
      </c>
      <c r="D57" t="s">
        <v>391</v>
      </c>
      <c r="E57" s="110">
        <v>-36562500</v>
      </c>
      <c r="F57" t="str">
        <f>VLOOKUP(D57,Sheet1!$A$18:$B$28,2,FALSE)</f>
        <v>BH Kỹ thuật</v>
      </c>
      <c r="G57" t="str">
        <f t="shared" si="1"/>
        <v>106</v>
      </c>
      <c r="H57" s="24">
        <f t="shared" si="2"/>
        <v>-36562500</v>
      </c>
      <c r="I57" t="str">
        <f>VLOOKUP(G57,'CHECK_DT-BT'!$A$3:$C$92,3,FALSE)</f>
        <v>BV Đông Bắc</v>
      </c>
    </row>
    <row r="58" spans="1:9" x14ac:dyDescent="0.25">
      <c r="A58" t="str">
        <f t="shared" si="0"/>
        <v>106</v>
      </c>
      <c r="B58" t="s">
        <v>528</v>
      </c>
      <c r="C58" t="s">
        <v>529</v>
      </c>
      <c r="D58" t="s">
        <v>392</v>
      </c>
      <c r="E58" s="110">
        <v>71900287</v>
      </c>
      <c r="F58" t="str">
        <f>VLOOKUP(D58,Sheet1!$A$18:$B$28,2,FALSE)</f>
        <v>BH Tài sản</v>
      </c>
      <c r="G58" t="str">
        <f t="shared" si="1"/>
        <v>106</v>
      </c>
      <c r="H58" s="24">
        <f t="shared" si="2"/>
        <v>71900287</v>
      </c>
      <c r="I58" t="str">
        <f>VLOOKUP(G58,'CHECK_DT-BT'!$A$3:$C$92,3,FALSE)</f>
        <v>BV Đông Bắc</v>
      </c>
    </row>
    <row r="59" spans="1:9" x14ac:dyDescent="0.25">
      <c r="A59" t="str">
        <f t="shared" si="0"/>
        <v>106</v>
      </c>
      <c r="B59" t="s">
        <v>530</v>
      </c>
      <c r="C59" t="s">
        <v>531</v>
      </c>
      <c r="D59" t="s">
        <v>393</v>
      </c>
      <c r="E59" s="110">
        <v>2000000</v>
      </c>
      <c r="F59" t="str">
        <f>VLOOKUP(D59,Sheet1!$A$18:$B$28,2,FALSE)</f>
        <v>BH Xe cơ giới</v>
      </c>
      <c r="G59" t="str">
        <f t="shared" si="1"/>
        <v>106</v>
      </c>
      <c r="H59" s="24">
        <f t="shared" si="2"/>
        <v>2000000</v>
      </c>
      <c r="I59" t="str">
        <f>VLOOKUP(G59,'CHECK_DT-BT'!$A$3:$C$92,3,FALSE)</f>
        <v>BV Đông Bắc</v>
      </c>
    </row>
    <row r="60" spans="1:9" x14ac:dyDescent="0.25">
      <c r="A60" t="str">
        <f t="shared" si="0"/>
        <v>107</v>
      </c>
      <c r="B60" t="s">
        <v>532</v>
      </c>
      <c r="C60" t="s">
        <v>533</v>
      </c>
      <c r="D60" t="s">
        <v>393</v>
      </c>
      <c r="E60" s="110">
        <v>4700000</v>
      </c>
      <c r="F60" t="str">
        <f>VLOOKUP(D60,Sheet1!$A$18:$B$28,2,FALSE)</f>
        <v>BH Xe cơ giới</v>
      </c>
      <c r="G60" t="str">
        <f t="shared" si="1"/>
        <v>107</v>
      </c>
      <c r="H60" s="24">
        <f t="shared" si="2"/>
        <v>4700000</v>
      </c>
      <c r="I60" t="str">
        <f>VLOOKUP(G60,'CHECK_DT-BT'!$A$3:$C$92,3,FALSE)</f>
        <v>BV An Phú</v>
      </c>
    </row>
    <row r="61" spans="1:9" x14ac:dyDescent="0.25">
      <c r="A61" t="str">
        <f t="shared" si="0"/>
        <v>107</v>
      </c>
      <c r="B61" t="s">
        <v>534</v>
      </c>
      <c r="C61" t="s">
        <v>535</v>
      </c>
      <c r="D61" t="s">
        <v>393</v>
      </c>
      <c r="E61" s="110">
        <v>5200000</v>
      </c>
      <c r="F61" t="str">
        <f>VLOOKUP(D61,Sheet1!$A$18:$B$28,2,FALSE)</f>
        <v>BH Xe cơ giới</v>
      </c>
      <c r="G61" t="str">
        <f t="shared" si="1"/>
        <v>107</v>
      </c>
      <c r="H61" s="24">
        <f t="shared" si="2"/>
        <v>5200000</v>
      </c>
      <c r="I61" t="str">
        <f>VLOOKUP(G61,'CHECK_DT-BT'!$A$3:$C$92,3,FALSE)</f>
        <v>BV An Phú</v>
      </c>
    </row>
    <row r="62" spans="1:9" x14ac:dyDescent="0.25">
      <c r="A62" t="str">
        <f t="shared" si="0"/>
        <v>107</v>
      </c>
      <c r="B62" t="s">
        <v>536</v>
      </c>
      <c r="C62" t="s">
        <v>537</v>
      </c>
      <c r="D62" t="s">
        <v>393</v>
      </c>
      <c r="E62" s="110">
        <v>4600000</v>
      </c>
      <c r="F62" t="str">
        <f>VLOOKUP(D62,Sheet1!$A$18:$B$28,2,FALSE)</f>
        <v>BH Xe cơ giới</v>
      </c>
      <c r="G62" t="str">
        <f t="shared" si="1"/>
        <v>107</v>
      </c>
      <c r="H62" s="24">
        <f t="shared" si="2"/>
        <v>4600000</v>
      </c>
      <c r="I62" t="str">
        <f>VLOOKUP(G62,'CHECK_DT-BT'!$A$3:$C$92,3,FALSE)</f>
        <v>BV An Phú</v>
      </c>
    </row>
    <row r="63" spans="1:9" x14ac:dyDescent="0.25">
      <c r="A63" t="str">
        <f t="shared" si="0"/>
        <v>107</v>
      </c>
      <c r="B63" t="s">
        <v>538</v>
      </c>
      <c r="C63" t="s">
        <v>539</v>
      </c>
      <c r="D63" t="s">
        <v>393</v>
      </c>
      <c r="E63" s="110">
        <v>11500000</v>
      </c>
      <c r="F63" t="str">
        <f>VLOOKUP(D63,Sheet1!$A$18:$B$28,2,FALSE)</f>
        <v>BH Xe cơ giới</v>
      </c>
      <c r="G63" t="str">
        <f t="shared" si="1"/>
        <v>107</v>
      </c>
      <c r="H63" s="24">
        <f t="shared" si="2"/>
        <v>11500000</v>
      </c>
      <c r="I63" t="str">
        <f>VLOOKUP(G63,'CHECK_DT-BT'!$A$3:$C$92,3,FALSE)</f>
        <v>BV An Phú</v>
      </c>
    </row>
    <row r="64" spans="1:9" x14ac:dyDescent="0.25">
      <c r="A64" t="str">
        <f t="shared" si="0"/>
        <v>107</v>
      </c>
      <c r="B64" t="s">
        <v>540</v>
      </c>
      <c r="C64" t="s">
        <v>541</v>
      </c>
      <c r="D64" t="s">
        <v>387</v>
      </c>
      <c r="E64" s="110">
        <v>40000000</v>
      </c>
      <c r="F64" t="str">
        <f>VLOOKUP(D64,Sheet1!$A$18:$B$28,2,FALSE)</f>
        <v>BH Hàng hóa</v>
      </c>
      <c r="G64" t="str">
        <f t="shared" si="1"/>
        <v>107</v>
      </c>
      <c r="H64" s="24">
        <f t="shared" si="2"/>
        <v>40000000</v>
      </c>
      <c r="I64" t="str">
        <f>VLOOKUP(G64,'CHECK_DT-BT'!$A$3:$C$92,3,FALSE)</f>
        <v>BV An Phú</v>
      </c>
    </row>
    <row r="65" spans="1:9" x14ac:dyDescent="0.25">
      <c r="A65" t="str">
        <f t="shared" si="0"/>
        <v>107</v>
      </c>
      <c r="B65" t="s">
        <v>540</v>
      </c>
      <c r="C65" t="s">
        <v>541</v>
      </c>
      <c r="D65" t="s">
        <v>393</v>
      </c>
      <c r="E65" s="110">
        <v>6400000</v>
      </c>
      <c r="F65" t="str">
        <f>VLOOKUP(D65,Sheet1!$A$18:$B$28,2,FALSE)</f>
        <v>BH Xe cơ giới</v>
      </c>
      <c r="G65" t="str">
        <f t="shared" si="1"/>
        <v>107</v>
      </c>
      <c r="H65" s="24">
        <f t="shared" si="2"/>
        <v>6400000</v>
      </c>
      <c r="I65" t="str">
        <f>VLOOKUP(G65,'CHECK_DT-BT'!$A$3:$C$92,3,FALSE)</f>
        <v>BV An Phú</v>
      </c>
    </row>
    <row r="66" spans="1:9" x14ac:dyDescent="0.25">
      <c r="A66" t="str">
        <f t="shared" si="0"/>
        <v>107</v>
      </c>
      <c r="B66" t="s">
        <v>542</v>
      </c>
      <c r="C66" t="s">
        <v>543</v>
      </c>
      <c r="D66" t="s">
        <v>387</v>
      </c>
      <c r="E66" s="110">
        <v>131249702</v>
      </c>
      <c r="F66" t="str">
        <f>VLOOKUP(D66,Sheet1!$A$18:$B$28,2,FALSE)</f>
        <v>BH Hàng hóa</v>
      </c>
      <c r="G66" t="str">
        <f t="shared" si="1"/>
        <v>107</v>
      </c>
      <c r="H66" s="24">
        <f t="shared" si="2"/>
        <v>131249702</v>
      </c>
      <c r="I66" t="str">
        <f>VLOOKUP(G66,'CHECK_DT-BT'!$A$3:$C$92,3,FALSE)</f>
        <v>BV An Phú</v>
      </c>
    </row>
    <row r="67" spans="1:9" x14ac:dyDescent="0.25">
      <c r="A67" t="str">
        <f t="shared" si="0"/>
        <v>107</v>
      </c>
      <c r="B67" t="s">
        <v>542</v>
      </c>
      <c r="C67" t="s">
        <v>543</v>
      </c>
      <c r="D67" t="s">
        <v>393</v>
      </c>
      <c r="E67" s="110">
        <v>17400000</v>
      </c>
      <c r="F67" t="str">
        <f>VLOOKUP(D67,Sheet1!$A$18:$B$28,2,FALSE)</f>
        <v>BH Xe cơ giới</v>
      </c>
      <c r="G67" t="str">
        <f t="shared" si="1"/>
        <v>107</v>
      </c>
      <c r="H67" s="24">
        <f t="shared" si="2"/>
        <v>17400000</v>
      </c>
      <c r="I67" t="str">
        <f>VLOOKUP(G67,'CHECK_DT-BT'!$A$3:$C$92,3,FALSE)</f>
        <v>BV An Phú</v>
      </c>
    </row>
    <row r="68" spans="1:9" x14ac:dyDescent="0.25">
      <c r="A68" t="str">
        <f t="shared" si="0"/>
        <v>107</v>
      </c>
      <c r="B68" t="s">
        <v>544</v>
      </c>
      <c r="C68" t="s">
        <v>545</v>
      </c>
      <c r="D68" t="s">
        <v>389</v>
      </c>
      <c r="E68" s="110">
        <v>20226400</v>
      </c>
      <c r="F68" t="str">
        <f>VLOOKUP(D68,Sheet1!$A$18:$B$28,2,FALSE)</f>
        <v>BH Trách nhiệm</v>
      </c>
      <c r="G68" t="str">
        <f t="shared" si="1"/>
        <v>107</v>
      </c>
      <c r="H68" s="24">
        <f t="shared" si="2"/>
        <v>20226400</v>
      </c>
      <c r="I68" t="str">
        <f>VLOOKUP(G68,'CHECK_DT-BT'!$A$3:$C$92,3,FALSE)</f>
        <v>BV An Phú</v>
      </c>
    </row>
    <row r="69" spans="1:9" x14ac:dyDescent="0.25">
      <c r="A69" t="str">
        <f t="shared" ref="A69:A132" si="3">LEFT(B69,3)</f>
        <v>107</v>
      </c>
      <c r="B69" t="s">
        <v>544</v>
      </c>
      <c r="C69" t="s">
        <v>545</v>
      </c>
      <c r="D69" t="s">
        <v>393</v>
      </c>
      <c r="E69" s="110">
        <v>7500000</v>
      </c>
      <c r="F69" t="str">
        <f>VLOOKUP(D69,Sheet1!$A$18:$B$28,2,FALSE)</f>
        <v>BH Xe cơ giới</v>
      </c>
      <c r="G69" t="str">
        <f t="shared" ref="G69:G132" si="4">IF(A69="101",B69,A69)</f>
        <v>107</v>
      </c>
      <c r="H69" s="24">
        <f t="shared" ref="H69:H132" si="5">E69</f>
        <v>7500000</v>
      </c>
      <c r="I69" t="str">
        <f>VLOOKUP(G69,'CHECK_DT-BT'!$A$3:$C$92,3,FALSE)</f>
        <v>BV An Phú</v>
      </c>
    </row>
    <row r="70" spans="1:9" x14ac:dyDescent="0.25">
      <c r="A70" t="str">
        <f t="shared" si="3"/>
        <v>107</v>
      </c>
      <c r="B70" t="s">
        <v>546</v>
      </c>
      <c r="C70" t="s">
        <v>547</v>
      </c>
      <c r="D70" t="s">
        <v>387</v>
      </c>
      <c r="E70" s="110">
        <v>117790762</v>
      </c>
      <c r="F70" t="str">
        <f>VLOOKUP(D70,Sheet1!$A$18:$B$28,2,FALSE)</f>
        <v>BH Hàng hóa</v>
      </c>
      <c r="G70" t="str">
        <f t="shared" si="4"/>
        <v>107</v>
      </c>
      <c r="H70" s="24">
        <f t="shared" si="5"/>
        <v>117790762</v>
      </c>
      <c r="I70" t="str">
        <f>VLOOKUP(G70,'CHECK_DT-BT'!$A$3:$C$92,3,FALSE)</f>
        <v>BV An Phú</v>
      </c>
    </row>
    <row r="71" spans="1:9" x14ac:dyDescent="0.25">
      <c r="A71" t="str">
        <f t="shared" si="3"/>
        <v>107</v>
      </c>
      <c r="B71" t="s">
        <v>546</v>
      </c>
      <c r="C71" t="s">
        <v>547</v>
      </c>
      <c r="D71" t="s">
        <v>393</v>
      </c>
      <c r="E71" s="110">
        <v>4500000</v>
      </c>
      <c r="F71" t="str">
        <f>VLOOKUP(D71,Sheet1!$A$18:$B$28,2,FALSE)</f>
        <v>BH Xe cơ giới</v>
      </c>
      <c r="G71" t="str">
        <f t="shared" si="4"/>
        <v>107</v>
      </c>
      <c r="H71" s="24">
        <f t="shared" si="5"/>
        <v>4500000</v>
      </c>
      <c r="I71" t="str">
        <f>VLOOKUP(G71,'CHECK_DT-BT'!$A$3:$C$92,3,FALSE)</f>
        <v>BV An Phú</v>
      </c>
    </row>
    <row r="72" spans="1:9" x14ac:dyDescent="0.25">
      <c r="A72" t="str">
        <f t="shared" si="3"/>
        <v>107</v>
      </c>
      <c r="B72" t="s">
        <v>548</v>
      </c>
      <c r="C72" t="s">
        <v>549</v>
      </c>
      <c r="D72" t="s">
        <v>387</v>
      </c>
      <c r="E72" s="110">
        <v>16043000</v>
      </c>
      <c r="F72" t="str">
        <f>VLOOKUP(D72,Sheet1!$A$18:$B$28,2,FALSE)</f>
        <v>BH Hàng hóa</v>
      </c>
      <c r="G72" t="str">
        <f t="shared" si="4"/>
        <v>107</v>
      </c>
      <c r="H72" s="24">
        <f t="shared" si="5"/>
        <v>16043000</v>
      </c>
      <c r="I72" t="str">
        <f>VLOOKUP(G72,'CHECK_DT-BT'!$A$3:$C$92,3,FALSE)</f>
        <v>BV An Phú</v>
      </c>
    </row>
    <row r="73" spans="1:9" x14ac:dyDescent="0.25">
      <c r="A73" t="str">
        <f t="shared" si="3"/>
        <v>107</v>
      </c>
      <c r="B73" t="s">
        <v>548</v>
      </c>
      <c r="C73" t="s">
        <v>549</v>
      </c>
      <c r="D73" t="s">
        <v>393</v>
      </c>
      <c r="E73" s="110">
        <v>16100000</v>
      </c>
      <c r="F73" t="str">
        <f>VLOOKUP(D73,Sheet1!$A$18:$B$28,2,FALSE)</f>
        <v>BH Xe cơ giới</v>
      </c>
      <c r="G73" t="str">
        <f t="shared" si="4"/>
        <v>107</v>
      </c>
      <c r="H73" s="24">
        <f t="shared" si="5"/>
        <v>16100000</v>
      </c>
      <c r="I73" t="str">
        <f>VLOOKUP(G73,'CHECK_DT-BT'!$A$3:$C$92,3,FALSE)</f>
        <v>BV An Phú</v>
      </c>
    </row>
    <row r="74" spans="1:9" x14ac:dyDescent="0.25">
      <c r="A74" t="str">
        <f t="shared" si="3"/>
        <v>107</v>
      </c>
      <c r="B74" t="s">
        <v>550</v>
      </c>
      <c r="C74" t="s">
        <v>551</v>
      </c>
      <c r="D74" t="s">
        <v>393</v>
      </c>
      <c r="E74" s="110">
        <v>1400000</v>
      </c>
      <c r="F74" t="str">
        <f>VLOOKUP(D74,Sheet1!$A$18:$B$28,2,FALSE)</f>
        <v>BH Xe cơ giới</v>
      </c>
      <c r="G74" t="str">
        <f t="shared" si="4"/>
        <v>107</v>
      </c>
      <c r="H74" s="24">
        <f t="shared" si="5"/>
        <v>1400000</v>
      </c>
      <c r="I74" t="str">
        <f>VLOOKUP(G74,'CHECK_DT-BT'!$A$3:$C$92,3,FALSE)</f>
        <v>BV An Phú</v>
      </c>
    </row>
    <row r="75" spans="1:9" x14ac:dyDescent="0.25">
      <c r="A75" t="str">
        <f t="shared" si="3"/>
        <v>107</v>
      </c>
      <c r="B75" t="s">
        <v>552</v>
      </c>
      <c r="C75" t="s">
        <v>553</v>
      </c>
      <c r="D75" t="s">
        <v>393</v>
      </c>
      <c r="E75" s="110">
        <v>1500000</v>
      </c>
      <c r="F75" t="str">
        <f>VLOOKUP(D75,Sheet1!$A$18:$B$28,2,FALSE)</f>
        <v>BH Xe cơ giới</v>
      </c>
      <c r="G75" t="str">
        <f t="shared" si="4"/>
        <v>107</v>
      </c>
      <c r="H75" s="24">
        <f t="shared" si="5"/>
        <v>1500000</v>
      </c>
      <c r="I75" t="str">
        <f>VLOOKUP(G75,'CHECK_DT-BT'!$A$3:$C$92,3,FALSE)</f>
        <v>BV An Phú</v>
      </c>
    </row>
    <row r="76" spans="1:9" x14ac:dyDescent="0.25">
      <c r="A76" t="str">
        <f t="shared" si="3"/>
        <v>107</v>
      </c>
      <c r="B76" t="s">
        <v>554</v>
      </c>
      <c r="C76" t="s">
        <v>555</v>
      </c>
      <c r="D76" t="s">
        <v>393</v>
      </c>
      <c r="E76" s="110">
        <v>5800000</v>
      </c>
      <c r="F76" t="str">
        <f>VLOOKUP(D76,Sheet1!$A$18:$B$28,2,FALSE)</f>
        <v>BH Xe cơ giới</v>
      </c>
      <c r="G76" t="str">
        <f t="shared" si="4"/>
        <v>107</v>
      </c>
      <c r="H76" s="24">
        <f t="shared" si="5"/>
        <v>5800000</v>
      </c>
      <c r="I76" t="str">
        <f>VLOOKUP(G76,'CHECK_DT-BT'!$A$3:$C$92,3,FALSE)</f>
        <v>BV An Phú</v>
      </c>
    </row>
    <row r="77" spans="1:9" x14ac:dyDescent="0.25">
      <c r="A77" t="str">
        <f t="shared" si="3"/>
        <v>121</v>
      </c>
      <c r="B77" t="s">
        <v>284</v>
      </c>
      <c r="C77" t="s">
        <v>82</v>
      </c>
      <c r="D77" t="s">
        <v>393</v>
      </c>
      <c r="E77" s="110">
        <v>1500000</v>
      </c>
      <c r="F77" t="str">
        <f>VLOOKUP(D77,Sheet1!$A$18:$B$28,2,FALSE)</f>
        <v>BH Xe cơ giới</v>
      </c>
      <c r="G77" t="str">
        <f t="shared" si="4"/>
        <v>121</v>
      </c>
      <c r="H77" s="24">
        <f t="shared" si="5"/>
        <v>1500000</v>
      </c>
      <c r="I77" t="str">
        <f>VLOOKUP(G77,'CHECK_DT-BT'!$A$3:$C$92,3,FALSE)</f>
        <v>BV An Giang</v>
      </c>
    </row>
    <row r="78" spans="1:9" x14ac:dyDescent="0.25">
      <c r="A78" t="str">
        <f t="shared" si="3"/>
        <v>121</v>
      </c>
      <c r="B78" t="s">
        <v>556</v>
      </c>
      <c r="C78" t="s">
        <v>557</v>
      </c>
      <c r="D78" t="s">
        <v>393</v>
      </c>
      <c r="E78" s="110">
        <v>7400000</v>
      </c>
      <c r="F78" t="str">
        <f>VLOOKUP(D78,Sheet1!$A$18:$B$28,2,FALSE)</f>
        <v>BH Xe cơ giới</v>
      </c>
      <c r="G78" t="str">
        <f t="shared" si="4"/>
        <v>121</v>
      </c>
      <c r="H78" s="24">
        <f t="shared" si="5"/>
        <v>7400000</v>
      </c>
      <c r="I78" t="str">
        <f>VLOOKUP(G78,'CHECK_DT-BT'!$A$3:$C$92,3,FALSE)</f>
        <v>BV An Giang</v>
      </c>
    </row>
    <row r="79" spans="1:9" x14ac:dyDescent="0.25">
      <c r="A79" t="str">
        <f t="shared" si="3"/>
        <v>121</v>
      </c>
      <c r="B79" t="s">
        <v>558</v>
      </c>
      <c r="C79" t="s">
        <v>559</v>
      </c>
      <c r="D79" t="s">
        <v>394</v>
      </c>
      <c r="E79" s="110">
        <v>450000</v>
      </c>
      <c r="F79" t="str">
        <f>VLOOKUP(D79,Sheet1!$A$18:$B$28,2,FALSE)</f>
        <v>BH Con người</v>
      </c>
      <c r="G79" t="str">
        <f t="shared" si="4"/>
        <v>121</v>
      </c>
      <c r="H79" s="24">
        <f t="shared" si="5"/>
        <v>450000</v>
      </c>
      <c r="I79" t="str">
        <f>VLOOKUP(G79,'CHECK_DT-BT'!$A$3:$C$92,3,FALSE)</f>
        <v>BV An Giang</v>
      </c>
    </row>
    <row r="80" spans="1:9" x14ac:dyDescent="0.25">
      <c r="A80" t="str">
        <f t="shared" si="3"/>
        <v>121</v>
      </c>
      <c r="B80" t="s">
        <v>558</v>
      </c>
      <c r="C80" t="s">
        <v>559</v>
      </c>
      <c r="D80" t="s">
        <v>392</v>
      </c>
      <c r="E80" s="110">
        <v>77856840</v>
      </c>
      <c r="F80" t="str">
        <f>VLOOKUP(D80,Sheet1!$A$18:$B$28,2,FALSE)</f>
        <v>BH Tài sản</v>
      </c>
      <c r="G80" t="str">
        <f t="shared" si="4"/>
        <v>121</v>
      </c>
      <c r="H80" s="24">
        <f t="shared" si="5"/>
        <v>77856840</v>
      </c>
      <c r="I80" t="str">
        <f>VLOOKUP(G80,'CHECK_DT-BT'!$A$3:$C$92,3,FALSE)</f>
        <v>BV An Giang</v>
      </c>
    </row>
    <row r="81" spans="1:9" x14ac:dyDescent="0.25">
      <c r="A81" t="str">
        <f t="shared" si="3"/>
        <v>121</v>
      </c>
      <c r="B81" t="s">
        <v>558</v>
      </c>
      <c r="C81" t="s">
        <v>559</v>
      </c>
      <c r="D81" t="s">
        <v>393</v>
      </c>
      <c r="E81" s="110">
        <v>2500000</v>
      </c>
      <c r="F81" t="str">
        <f>VLOOKUP(D81,Sheet1!$A$18:$B$28,2,FALSE)</f>
        <v>BH Xe cơ giới</v>
      </c>
      <c r="G81" t="str">
        <f t="shared" si="4"/>
        <v>121</v>
      </c>
      <c r="H81" s="24">
        <f t="shared" si="5"/>
        <v>2500000</v>
      </c>
      <c r="I81" t="str">
        <f>VLOOKUP(G81,'CHECK_DT-BT'!$A$3:$C$92,3,FALSE)</f>
        <v>BV An Giang</v>
      </c>
    </row>
    <row r="82" spans="1:9" x14ac:dyDescent="0.25">
      <c r="A82" t="str">
        <f t="shared" si="3"/>
        <v>121</v>
      </c>
      <c r="B82" t="s">
        <v>560</v>
      </c>
      <c r="C82" t="s">
        <v>561</v>
      </c>
      <c r="D82" t="s">
        <v>272</v>
      </c>
      <c r="E82" s="110">
        <v>39006000</v>
      </c>
      <c r="F82" t="str">
        <f>VLOOKUP(D82,Sheet1!$A$18:$B$28,2,FALSE)</f>
        <v>Tàu khác</v>
      </c>
      <c r="G82" t="str">
        <f t="shared" si="4"/>
        <v>121</v>
      </c>
      <c r="H82" s="24">
        <f t="shared" si="5"/>
        <v>39006000</v>
      </c>
      <c r="I82" t="str">
        <f>VLOOKUP(G82,'CHECK_DT-BT'!$A$3:$C$92,3,FALSE)</f>
        <v>BV An Giang</v>
      </c>
    </row>
    <row r="83" spans="1:9" x14ac:dyDescent="0.25">
      <c r="A83" t="str">
        <f t="shared" si="3"/>
        <v>121</v>
      </c>
      <c r="B83" t="s">
        <v>560</v>
      </c>
      <c r="C83" t="s">
        <v>561</v>
      </c>
      <c r="D83" t="s">
        <v>393</v>
      </c>
      <c r="E83" s="110">
        <v>20900000</v>
      </c>
      <c r="F83" t="str">
        <f>VLOOKUP(D83,Sheet1!$A$18:$B$28,2,FALSE)</f>
        <v>BH Xe cơ giới</v>
      </c>
      <c r="G83" t="str">
        <f t="shared" si="4"/>
        <v>121</v>
      </c>
      <c r="H83" s="24">
        <f t="shared" si="5"/>
        <v>20900000</v>
      </c>
      <c r="I83" t="str">
        <f>VLOOKUP(G83,'CHECK_DT-BT'!$A$3:$C$92,3,FALSE)</f>
        <v>BV An Giang</v>
      </c>
    </row>
    <row r="84" spans="1:9" x14ac:dyDescent="0.25">
      <c r="A84" t="str">
        <f t="shared" si="3"/>
        <v>121</v>
      </c>
      <c r="B84" t="s">
        <v>562</v>
      </c>
      <c r="C84" t="s">
        <v>563</v>
      </c>
      <c r="D84" t="s">
        <v>393</v>
      </c>
      <c r="E84" s="110">
        <v>2700000</v>
      </c>
      <c r="F84" t="str">
        <f>VLOOKUP(D84,Sheet1!$A$18:$B$28,2,FALSE)</f>
        <v>BH Xe cơ giới</v>
      </c>
      <c r="G84" t="str">
        <f t="shared" si="4"/>
        <v>121</v>
      </c>
      <c r="H84" s="24">
        <f t="shared" si="5"/>
        <v>2700000</v>
      </c>
      <c r="I84" t="str">
        <f>VLOOKUP(G84,'CHECK_DT-BT'!$A$3:$C$92,3,FALSE)</f>
        <v>BV An Giang</v>
      </c>
    </row>
    <row r="85" spans="1:9" x14ac:dyDescent="0.25">
      <c r="A85" t="str">
        <f t="shared" si="3"/>
        <v>121</v>
      </c>
      <c r="B85" t="s">
        <v>564</v>
      </c>
      <c r="C85" t="s">
        <v>565</v>
      </c>
      <c r="D85" t="s">
        <v>393</v>
      </c>
      <c r="E85" s="110">
        <v>5000000</v>
      </c>
      <c r="F85" t="str">
        <f>VLOOKUP(D85,Sheet1!$A$18:$B$28,2,FALSE)</f>
        <v>BH Xe cơ giới</v>
      </c>
      <c r="G85" t="str">
        <f t="shared" si="4"/>
        <v>121</v>
      </c>
      <c r="H85" s="24">
        <f t="shared" si="5"/>
        <v>5000000</v>
      </c>
      <c r="I85" t="str">
        <f>VLOOKUP(G85,'CHECK_DT-BT'!$A$3:$C$92,3,FALSE)</f>
        <v>BV An Giang</v>
      </c>
    </row>
    <row r="86" spans="1:9" x14ac:dyDescent="0.25">
      <c r="A86" t="str">
        <f t="shared" si="3"/>
        <v>121</v>
      </c>
      <c r="B86" t="s">
        <v>566</v>
      </c>
      <c r="C86" t="s">
        <v>567</v>
      </c>
      <c r="D86" t="s">
        <v>393</v>
      </c>
      <c r="E86" s="110">
        <v>6900000</v>
      </c>
      <c r="F86" t="str">
        <f>VLOOKUP(D86,Sheet1!$A$18:$B$28,2,FALSE)</f>
        <v>BH Xe cơ giới</v>
      </c>
      <c r="G86" t="str">
        <f t="shared" si="4"/>
        <v>121</v>
      </c>
      <c r="H86" s="24">
        <f t="shared" si="5"/>
        <v>6900000</v>
      </c>
      <c r="I86" t="str">
        <f>VLOOKUP(G86,'CHECK_DT-BT'!$A$3:$C$92,3,FALSE)</f>
        <v>BV An Giang</v>
      </c>
    </row>
    <row r="87" spans="1:9" x14ac:dyDescent="0.25">
      <c r="A87" t="str">
        <f t="shared" si="3"/>
        <v>121</v>
      </c>
      <c r="B87" t="s">
        <v>568</v>
      </c>
      <c r="C87" t="s">
        <v>569</v>
      </c>
      <c r="D87" t="s">
        <v>393</v>
      </c>
      <c r="E87" s="110">
        <v>7000000</v>
      </c>
      <c r="F87" t="str">
        <f>VLOOKUP(D87,Sheet1!$A$18:$B$28,2,FALSE)</f>
        <v>BH Xe cơ giới</v>
      </c>
      <c r="G87" t="str">
        <f t="shared" si="4"/>
        <v>121</v>
      </c>
      <c r="H87" s="24">
        <f t="shared" si="5"/>
        <v>7000000</v>
      </c>
      <c r="I87" t="str">
        <f>VLOOKUP(G87,'CHECK_DT-BT'!$A$3:$C$92,3,FALSE)</f>
        <v>BV An Giang</v>
      </c>
    </row>
    <row r="88" spans="1:9" x14ac:dyDescent="0.25">
      <c r="A88" t="str">
        <f t="shared" si="3"/>
        <v>121</v>
      </c>
      <c r="B88" t="s">
        <v>570</v>
      </c>
      <c r="C88" t="s">
        <v>571</v>
      </c>
      <c r="D88" t="s">
        <v>394</v>
      </c>
      <c r="E88" s="110">
        <v>200000</v>
      </c>
      <c r="F88" t="str">
        <f>VLOOKUP(D88,Sheet1!$A$18:$B$28,2,FALSE)</f>
        <v>BH Con người</v>
      </c>
      <c r="G88" t="str">
        <f t="shared" si="4"/>
        <v>121</v>
      </c>
      <c r="H88" s="24">
        <f t="shared" si="5"/>
        <v>200000</v>
      </c>
      <c r="I88" t="str">
        <f>VLOOKUP(G88,'CHECK_DT-BT'!$A$3:$C$92,3,FALSE)</f>
        <v>BV An Giang</v>
      </c>
    </row>
    <row r="89" spans="1:9" x14ac:dyDescent="0.25">
      <c r="A89" t="str">
        <f t="shared" si="3"/>
        <v>121</v>
      </c>
      <c r="B89" t="s">
        <v>570</v>
      </c>
      <c r="C89" t="s">
        <v>571</v>
      </c>
      <c r="D89" t="s">
        <v>393</v>
      </c>
      <c r="E89" s="110">
        <v>1000000</v>
      </c>
      <c r="F89" t="str">
        <f>VLOOKUP(D89,Sheet1!$A$18:$B$28,2,FALSE)</f>
        <v>BH Xe cơ giới</v>
      </c>
      <c r="G89" t="str">
        <f t="shared" si="4"/>
        <v>121</v>
      </c>
      <c r="H89" s="24">
        <f t="shared" si="5"/>
        <v>1000000</v>
      </c>
      <c r="I89" t="str">
        <f>VLOOKUP(G89,'CHECK_DT-BT'!$A$3:$C$92,3,FALSE)</f>
        <v>BV An Giang</v>
      </c>
    </row>
    <row r="90" spans="1:9" x14ac:dyDescent="0.25">
      <c r="A90" t="str">
        <f t="shared" si="3"/>
        <v>121</v>
      </c>
      <c r="B90" t="s">
        <v>572</v>
      </c>
      <c r="C90" t="s">
        <v>573</v>
      </c>
      <c r="D90" t="s">
        <v>393</v>
      </c>
      <c r="E90" s="110">
        <v>500000</v>
      </c>
      <c r="F90" t="str">
        <f>VLOOKUP(D90,Sheet1!$A$18:$B$28,2,FALSE)</f>
        <v>BH Xe cơ giới</v>
      </c>
      <c r="G90" t="str">
        <f t="shared" si="4"/>
        <v>121</v>
      </c>
      <c r="H90" s="24">
        <f t="shared" si="5"/>
        <v>500000</v>
      </c>
      <c r="I90" t="str">
        <f>VLOOKUP(G90,'CHECK_DT-BT'!$A$3:$C$92,3,FALSE)</f>
        <v>BV An Giang</v>
      </c>
    </row>
    <row r="91" spans="1:9" x14ac:dyDescent="0.25">
      <c r="A91" t="str">
        <f t="shared" si="3"/>
        <v>121</v>
      </c>
      <c r="B91" t="s">
        <v>574</v>
      </c>
      <c r="C91" t="s">
        <v>575</v>
      </c>
      <c r="D91" t="s">
        <v>393</v>
      </c>
      <c r="E91" s="110">
        <v>1500000</v>
      </c>
      <c r="F91" t="str">
        <f>VLOOKUP(D91,Sheet1!$A$18:$B$28,2,FALSE)</f>
        <v>BH Xe cơ giới</v>
      </c>
      <c r="G91" t="str">
        <f t="shared" si="4"/>
        <v>121</v>
      </c>
      <c r="H91" s="24">
        <f t="shared" si="5"/>
        <v>1500000</v>
      </c>
      <c r="I91" t="str">
        <f>VLOOKUP(G91,'CHECK_DT-BT'!$A$3:$C$92,3,FALSE)</f>
        <v>BV An Giang</v>
      </c>
    </row>
    <row r="92" spans="1:9" x14ac:dyDescent="0.25">
      <c r="A92" t="str">
        <f t="shared" si="3"/>
        <v>121</v>
      </c>
      <c r="B92" t="s">
        <v>576</v>
      </c>
      <c r="C92" t="s">
        <v>577</v>
      </c>
      <c r="D92" t="s">
        <v>393</v>
      </c>
      <c r="E92" s="110">
        <v>2700000</v>
      </c>
      <c r="F92" t="str">
        <f>VLOOKUP(D92,Sheet1!$A$18:$B$28,2,FALSE)</f>
        <v>BH Xe cơ giới</v>
      </c>
      <c r="G92" t="str">
        <f t="shared" si="4"/>
        <v>121</v>
      </c>
      <c r="H92" s="24">
        <f t="shared" si="5"/>
        <v>2700000</v>
      </c>
      <c r="I92" t="str">
        <f>VLOOKUP(G92,'CHECK_DT-BT'!$A$3:$C$92,3,FALSE)</f>
        <v>BV An Giang</v>
      </c>
    </row>
    <row r="93" spans="1:9" x14ac:dyDescent="0.25">
      <c r="A93" t="str">
        <f t="shared" si="3"/>
        <v>121</v>
      </c>
      <c r="B93" t="s">
        <v>578</v>
      </c>
      <c r="C93" t="s">
        <v>579</v>
      </c>
      <c r="D93" t="s">
        <v>394</v>
      </c>
      <c r="E93" s="110">
        <v>150000</v>
      </c>
      <c r="F93" t="str">
        <f>VLOOKUP(D93,Sheet1!$A$18:$B$28,2,FALSE)</f>
        <v>BH Con người</v>
      </c>
      <c r="G93" t="str">
        <f t="shared" si="4"/>
        <v>121</v>
      </c>
      <c r="H93" s="24">
        <f t="shared" si="5"/>
        <v>150000</v>
      </c>
      <c r="I93" t="str">
        <f>VLOOKUP(G93,'CHECK_DT-BT'!$A$3:$C$92,3,FALSE)</f>
        <v>BV An Giang</v>
      </c>
    </row>
    <row r="94" spans="1:9" x14ac:dyDescent="0.25">
      <c r="A94" t="str">
        <f t="shared" si="3"/>
        <v>121</v>
      </c>
      <c r="B94" t="s">
        <v>578</v>
      </c>
      <c r="C94" t="s">
        <v>579</v>
      </c>
      <c r="D94" t="s">
        <v>393</v>
      </c>
      <c r="E94" s="110">
        <v>500000</v>
      </c>
      <c r="F94" t="str">
        <f>VLOOKUP(D94,Sheet1!$A$18:$B$28,2,FALSE)</f>
        <v>BH Xe cơ giới</v>
      </c>
      <c r="G94" t="str">
        <f t="shared" si="4"/>
        <v>121</v>
      </c>
      <c r="H94" s="24">
        <f t="shared" si="5"/>
        <v>500000</v>
      </c>
      <c r="I94" t="str">
        <f>VLOOKUP(G94,'CHECK_DT-BT'!$A$3:$C$92,3,FALSE)</f>
        <v>BV An Giang</v>
      </c>
    </row>
    <row r="95" spans="1:9" x14ac:dyDescent="0.25">
      <c r="A95" t="str">
        <f t="shared" si="3"/>
        <v>121</v>
      </c>
      <c r="B95" t="s">
        <v>580</v>
      </c>
      <c r="C95" t="s">
        <v>581</v>
      </c>
      <c r="D95" t="s">
        <v>394</v>
      </c>
      <c r="E95" s="110">
        <v>600000</v>
      </c>
      <c r="F95" t="str">
        <f>VLOOKUP(D95,Sheet1!$A$18:$B$28,2,FALSE)</f>
        <v>BH Con người</v>
      </c>
      <c r="G95" t="str">
        <f t="shared" si="4"/>
        <v>121</v>
      </c>
      <c r="H95" s="24">
        <f t="shared" si="5"/>
        <v>600000</v>
      </c>
      <c r="I95" t="str">
        <f>VLOOKUP(G95,'CHECK_DT-BT'!$A$3:$C$92,3,FALSE)</f>
        <v>BV An Giang</v>
      </c>
    </row>
    <row r="96" spans="1:9" x14ac:dyDescent="0.25">
      <c r="A96" t="str">
        <f t="shared" si="3"/>
        <v>122</v>
      </c>
      <c r="B96" t="s">
        <v>582</v>
      </c>
      <c r="C96" t="s">
        <v>583</v>
      </c>
      <c r="D96" t="s">
        <v>393</v>
      </c>
      <c r="E96" s="110">
        <v>1200000</v>
      </c>
      <c r="F96" t="str">
        <f>VLOOKUP(D96,Sheet1!$A$18:$B$28,2,FALSE)</f>
        <v>BH Xe cơ giới</v>
      </c>
      <c r="G96" t="str">
        <f t="shared" si="4"/>
        <v>122</v>
      </c>
      <c r="H96" s="24">
        <f t="shared" si="5"/>
        <v>1200000</v>
      </c>
      <c r="I96" t="str">
        <f>VLOOKUP(G96,'CHECK_DT-BT'!$A$3:$C$92,3,FALSE)</f>
        <v>BV Bà Rịa - Vũng Tàu</v>
      </c>
    </row>
    <row r="97" spans="1:9" x14ac:dyDescent="0.25">
      <c r="A97" t="str">
        <f t="shared" si="3"/>
        <v>122</v>
      </c>
      <c r="B97" t="s">
        <v>584</v>
      </c>
      <c r="C97" t="s">
        <v>585</v>
      </c>
      <c r="D97" t="s">
        <v>387</v>
      </c>
      <c r="E97" s="110">
        <v>345645682</v>
      </c>
      <c r="F97" t="str">
        <f>VLOOKUP(D97,Sheet1!$A$18:$B$28,2,FALSE)</f>
        <v>BH Hàng hóa</v>
      </c>
      <c r="G97" t="str">
        <f t="shared" si="4"/>
        <v>122</v>
      </c>
      <c r="H97" s="24">
        <f t="shared" si="5"/>
        <v>345645682</v>
      </c>
      <c r="I97" t="str">
        <f>VLOOKUP(G97,'CHECK_DT-BT'!$A$3:$C$92,3,FALSE)</f>
        <v>BV Bà Rịa - Vũng Tàu</v>
      </c>
    </row>
    <row r="98" spans="1:9" x14ac:dyDescent="0.25">
      <c r="A98" t="str">
        <f t="shared" si="3"/>
        <v>122</v>
      </c>
      <c r="B98" t="s">
        <v>586</v>
      </c>
      <c r="C98" t="s">
        <v>587</v>
      </c>
      <c r="D98" t="s">
        <v>393</v>
      </c>
      <c r="E98" s="110">
        <v>1000000</v>
      </c>
      <c r="F98" t="str">
        <f>VLOOKUP(D98,Sheet1!$A$18:$B$28,2,FALSE)</f>
        <v>BH Xe cơ giới</v>
      </c>
      <c r="G98" t="str">
        <f t="shared" si="4"/>
        <v>122</v>
      </c>
      <c r="H98" s="24">
        <f t="shared" si="5"/>
        <v>1000000</v>
      </c>
      <c r="I98" t="str">
        <f>VLOOKUP(G98,'CHECK_DT-BT'!$A$3:$C$92,3,FALSE)</f>
        <v>BV Bà Rịa - Vũng Tàu</v>
      </c>
    </row>
    <row r="99" spans="1:9" x14ac:dyDescent="0.25">
      <c r="A99" t="str">
        <f t="shared" si="3"/>
        <v>122</v>
      </c>
      <c r="B99" t="s">
        <v>588</v>
      </c>
      <c r="C99" t="s">
        <v>589</v>
      </c>
      <c r="D99" t="s">
        <v>393</v>
      </c>
      <c r="E99" s="110">
        <v>-8450000</v>
      </c>
      <c r="F99" t="str">
        <f>VLOOKUP(D99,Sheet1!$A$18:$B$28,2,FALSE)</f>
        <v>BH Xe cơ giới</v>
      </c>
      <c r="G99" t="str">
        <f t="shared" si="4"/>
        <v>122</v>
      </c>
      <c r="H99" s="24">
        <f t="shared" si="5"/>
        <v>-8450000</v>
      </c>
      <c r="I99" t="str">
        <f>VLOOKUP(G99,'CHECK_DT-BT'!$A$3:$C$92,3,FALSE)</f>
        <v>BV Bà Rịa - Vũng Tàu</v>
      </c>
    </row>
    <row r="100" spans="1:9" x14ac:dyDescent="0.25">
      <c r="A100" t="str">
        <f t="shared" si="3"/>
        <v>124</v>
      </c>
      <c r="B100" t="s">
        <v>590</v>
      </c>
      <c r="C100" t="s">
        <v>591</v>
      </c>
      <c r="D100" t="s">
        <v>391</v>
      </c>
      <c r="E100" s="110">
        <v>0</v>
      </c>
      <c r="F100" t="str">
        <f>VLOOKUP(D100,Sheet1!$A$18:$B$28,2,FALSE)</f>
        <v>BH Kỹ thuật</v>
      </c>
      <c r="G100" t="str">
        <f t="shared" si="4"/>
        <v>124</v>
      </c>
      <c r="H100" s="24">
        <f t="shared" si="5"/>
        <v>0</v>
      </c>
      <c r="I100" t="str">
        <f>VLOOKUP(G100,'CHECK_DT-BT'!$A$3:$C$92,3,FALSE)</f>
        <v>BV Bắc Giang</v>
      </c>
    </row>
    <row r="101" spans="1:9" x14ac:dyDescent="0.25">
      <c r="A101" t="str">
        <f t="shared" si="3"/>
        <v>124</v>
      </c>
      <c r="B101" t="s">
        <v>590</v>
      </c>
      <c r="C101" t="s">
        <v>591</v>
      </c>
      <c r="D101" t="s">
        <v>393</v>
      </c>
      <c r="E101" s="110">
        <v>500000</v>
      </c>
      <c r="F101" t="str">
        <f>VLOOKUP(D101,Sheet1!$A$18:$B$28,2,FALSE)</f>
        <v>BH Xe cơ giới</v>
      </c>
      <c r="G101" t="str">
        <f t="shared" si="4"/>
        <v>124</v>
      </c>
      <c r="H101" s="24">
        <f t="shared" si="5"/>
        <v>500000</v>
      </c>
      <c r="I101" t="str">
        <f>VLOOKUP(G101,'CHECK_DT-BT'!$A$3:$C$92,3,FALSE)</f>
        <v>BV Bắc Giang</v>
      </c>
    </row>
    <row r="102" spans="1:9" x14ac:dyDescent="0.25">
      <c r="A102" t="str">
        <f t="shared" si="3"/>
        <v>124</v>
      </c>
      <c r="B102" t="s">
        <v>592</v>
      </c>
      <c r="C102" t="s">
        <v>593</v>
      </c>
      <c r="D102" t="s">
        <v>393</v>
      </c>
      <c r="E102" s="110">
        <v>6300000</v>
      </c>
      <c r="F102" t="str">
        <f>VLOOKUP(D102,Sheet1!$A$18:$B$28,2,FALSE)</f>
        <v>BH Xe cơ giới</v>
      </c>
      <c r="G102" t="str">
        <f t="shared" si="4"/>
        <v>124</v>
      </c>
      <c r="H102" s="24">
        <f t="shared" si="5"/>
        <v>6300000</v>
      </c>
      <c r="I102" t="str">
        <f>VLOOKUP(G102,'CHECK_DT-BT'!$A$3:$C$92,3,FALSE)</f>
        <v>BV Bắc Giang</v>
      </c>
    </row>
    <row r="103" spans="1:9" x14ac:dyDescent="0.25">
      <c r="A103" t="str">
        <f t="shared" si="3"/>
        <v>124</v>
      </c>
      <c r="B103" t="s">
        <v>594</v>
      </c>
      <c r="C103" t="s">
        <v>595</v>
      </c>
      <c r="D103" t="s">
        <v>391</v>
      </c>
      <c r="E103" s="110">
        <v>21431000</v>
      </c>
      <c r="F103" t="str">
        <f>VLOOKUP(D103,Sheet1!$A$18:$B$28,2,FALSE)</f>
        <v>BH Kỹ thuật</v>
      </c>
      <c r="G103" t="str">
        <f t="shared" si="4"/>
        <v>124</v>
      </c>
      <c r="H103" s="24">
        <f t="shared" si="5"/>
        <v>21431000</v>
      </c>
      <c r="I103" t="str">
        <f>VLOOKUP(G103,'CHECK_DT-BT'!$A$3:$C$92,3,FALSE)</f>
        <v>BV Bắc Giang</v>
      </c>
    </row>
    <row r="104" spans="1:9" x14ac:dyDescent="0.25">
      <c r="A104" t="str">
        <f t="shared" si="3"/>
        <v>124</v>
      </c>
      <c r="B104" t="s">
        <v>594</v>
      </c>
      <c r="C104" t="s">
        <v>595</v>
      </c>
      <c r="D104" t="s">
        <v>393</v>
      </c>
      <c r="E104" s="110">
        <v>1900000</v>
      </c>
      <c r="F104" t="str">
        <f>VLOOKUP(D104,Sheet1!$A$18:$B$28,2,FALSE)</f>
        <v>BH Xe cơ giới</v>
      </c>
      <c r="G104" t="str">
        <f t="shared" si="4"/>
        <v>124</v>
      </c>
      <c r="H104" s="24">
        <f t="shared" si="5"/>
        <v>1900000</v>
      </c>
      <c r="I104" t="str">
        <f>VLOOKUP(G104,'CHECK_DT-BT'!$A$3:$C$92,3,FALSE)</f>
        <v>BV Bắc Giang</v>
      </c>
    </row>
    <row r="105" spans="1:9" x14ac:dyDescent="0.25">
      <c r="A105" t="str">
        <f t="shared" si="3"/>
        <v>124</v>
      </c>
      <c r="B105" t="s">
        <v>596</v>
      </c>
      <c r="C105" t="s">
        <v>597</v>
      </c>
      <c r="D105" t="s">
        <v>393</v>
      </c>
      <c r="E105" s="110">
        <v>1500000</v>
      </c>
      <c r="F105" t="str">
        <f>VLOOKUP(D105,Sheet1!$A$18:$B$28,2,FALSE)</f>
        <v>BH Xe cơ giới</v>
      </c>
      <c r="G105" t="str">
        <f t="shared" si="4"/>
        <v>124</v>
      </c>
      <c r="H105" s="24">
        <f t="shared" si="5"/>
        <v>1500000</v>
      </c>
      <c r="I105" t="str">
        <f>VLOOKUP(G105,'CHECK_DT-BT'!$A$3:$C$92,3,FALSE)</f>
        <v>BV Bắc Giang</v>
      </c>
    </row>
    <row r="106" spans="1:9" x14ac:dyDescent="0.25">
      <c r="A106" t="str">
        <f t="shared" si="3"/>
        <v>124</v>
      </c>
      <c r="B106" t="s">
        <v>598</v>
      </c>
      <c r="C106" t="s">
        <v>599</v>
      </c>
      <c r="D106" t="s">
        <v>393</v>
      </c>
      <c r="E106" s="110">
        <v>1500000</v>
      </c>
      <c r="F106" t="str">
        <f>VLOOKUP(D106,Sheet1!$A$18:$B$28,2,FALSE)</f>
        <v>BH Xe cơ giới</v>
      </c>
      <c r="G106" t="str">
        <f t="shared" si="4"/>
        <v>124</v>
      </c>
      <c r="H106" s="24">
        <f t="shared" si="5"/>
        <v>1500000</v>
      </c>
      <c r="I106" t="str">
        <f>VLOOKUP(G106,'CHECK_DT-BT'!$A$3:$C$92,3,FALSE)</f>
        <v>BV Bắc Giang</v>
      </c>
    </row>
    <row r="107" spans="1:9" x14ac:dyDescent="0.25">
      <c r="A107" t="str">
        <f t="shared" si="3"/>
        <v>124</v>
      </c>
      <c r="B107" t="s">
        <v>600</v>
      </c>
      <c r="C107" t="s">
        <v>601</v>
      </c>
      <c r="D107" t="s">
        <v>393</v>
      </c>
      <c r="E107" s="110">
        <v>2500000</v>
      </c>
      <c r="F107" t="str">
        <f>VLOOKUP(D107,Sheet1!$A$18:$B$28,2,FALSE)</f>
        <v>BH Xe cơ giới</v>
      </c>
      <c r="G107" t="str">
        <f t="shared" si="4"/>
        <v>124</v>
      </c>
      <c r="H107" s="24">
        <f t="shared" si="5"/>
        <v>2500000</v>
      </c>
      <c r="I107" t="str">
        <f>VLOOKUP(G107,'CHECK_DT-BT'!$A$3:$C$92,3,FALSE)</f>
        <v>BV Bắc Giang</v>
      </c>
    </row>
    <row r="108" spans="1:9" x14ac:dyDescent="0.25">
      <c r="A108" t="str">
        <f t="shared" si="3"/>
        <v>124</v>
      </c>
      <c r="B108" t="s">
        <v>602</v>
      </c>
      <c r="C108" t="s">
        <v>603</v>
      </c>
      <c r="D108" t="s">
        <v>393</v>
      </c>
      <c r="E108" s="110">
        <v>500000</v>
      </c>
      <c r="F108" t="str">
        <f>VLOOKUP(D108,Sheet1!$A$18:$B$28,2,FALSE)</f>
        <v>BH Xe cơ giới</v>
      </c>
      <c r="G108" t="str">
        <f t="shared" si="4"/>
        <v>124</v>
      </c>
      <c r="H108" s="24">
        <f t="shared" si="5"/>
        <v>500000</v>
      </c>
      <c r="I108" t="str">
        <f>VLOOKUP(G108,'CHECK_DT-BT'!$A$3:$C$92,3,FALSE)</f>
        <v>BV Bắc Giang</v>
      </c>
    </row>
    <row r="109" spans="1:9" x14ac:dyDescent="0.25">
      <c r="A109" t="str">
        <f t="shared" si="3"/>
        <v>124</v>
      </c>
      <c r="B109" t="s">
        <v>604</v>
      </c>
      <c r="C109" t="s">
        <v>605</v>
      </c>
      <c r="D109" t="s">
        <v>393</v>
      </c>
      <c r="E109" s="110">
        <v>1000000</v>
      </c>
      <c r="F109" t="str">
        <f>VLOOKUP(D109,Sheet1!$A$18:$B$28,2,FALSE)</f>
        <v>BH Xe cơ giới</v>
      </c>
      <c r="G109" t="str">
        <f t="shared" si="4"/>
        <v>124</v>
      </c>
      <c r="H109" s="24">
        <f t="shared" si="5"/>
        <v>1000000</v>
      </c>
      <c r="I109" t="str">
        <f>VLOOKUP(G109,'CHECK_DT-BT'!$A$3:$C$92,3,FALSE)</f>
        <v>BV Bắc Giang</v>
      </c>
    </row>
    <row r="110" spans="1:9" x14ac:dyDescent="0.25">
      <c r="A110" t="str">
        <f t="shared" si="3"/>
        <v>124</v>
      </c>
      <c r="B110" t="s">
        <v>606</v>
      </c>
      <c r="C110" t="s">
        <v>607</v>
      </c>
      <c r="D110" t="s">
        <v>393</v>
      </c>
      <c r="E110" s="110">
        <v>-23600000</v>
      </c>
      <c r="F110" t="str">
        <f>VLOOKUP(D110,Sheet1!$A$18:$B$28,2,FALSE)</f>
        <v>BH Xe cơ giới</v>
      </c>
      <c r="G110" t="str">
        <f t="shared" si="4"/>
        <v>124</v>
      </c>
      <c r="H110" s="24">
        <f t="shared" si="5"/>
        <v>-23600000</v>
      </c>
      <c r="I110" t="str">
        <f>VLOOKUP(G110,'CHECK_DT-BT'!$A$3:$C$92,3,FALSE)</f>
        <v>BV Bắc Giang</v>
      </c>
    </row>
    <row r="111" spans="1:9" x14ac:dyDescent="0.25">
      <c r="A111" t="str">
        <f t="shared" si="3"/>
        <v>124</v>
      </c>
      <c r="B111" t="s">
        <v>608</v>
      </c>
      <c r="C111" t="s">
        <v>609</v>
      </c>
      <c r="D111" t="s">
        <v>393</v>
      </c>
      <c r="E111" s="110">
        <v>1750000</v>
      </c>
      <c r="F111" t="str">
        <f>VLOOKUP(D111,Sheet1!$A$18:$B$28,2,FALSE)</f>
        <v>BH Xe cơ giới</v>
      </c>
      <c r="G111" t="str">
        <f t="shared" si="4"/>
        <v>124</v>
      </c>
      <c r="H111" s="24">
        <f t="shared" si="5"/>
        <v>1750000</v>
      </c>
      <c r="I111" t="str">
        <f>VLOOKUP(G111,'CHECK_DT-BT'!$A$3:$C$92,3,FALSE)</f>
        <v>BV Bắc Giang</v>
      </c>
    </row>
    <row r="112" spans="1:9" x14ac:dyDescent="0.25">
      <c r="A112" t="str">
        <f t="shared" si="3"/>
        <v>125</v>
      </c>
      <c r="B112" t="s">
        <v>290</v>
      </c>
      <c r="C112" t="s">
        <v>49</v>
      </c>
      <c r="D112" t="s">
        <v>393</v>
      </c>
      <c r="E112" s="110">
        <v>1000000</v>
      </c>
      <c r="F112" t="str">
        <f>VLOOKUP(D112,Sheet1!$A$18:$B$28,2,FALSE)</f>
        <v>BH Xe cơ giới</v>
      </c>
      <c r="G112" t="str">
        <f t="shared" si="4"/>
        <v>125</v>
      </c>
      <c r="H112" s="24">
        <f t="shared" si="5"/>
        <v>1000000</v>
      </c>
      <c r="I112" t="str">
        <f>VLOOKUP(G112,'CHECK_DT-BT'!$A$3:$C$92,3,FALSE)</f>
        <v>BV Bắc Ninh</v>
      </c>
    </row>
    <row r="113" spans="1:9" x14ac:dyDescent="0.25">
      <c r="A113" t="str">
        <f t="shared" si="3"/>
        <v>125</v>
      </c>
      <c r="B113" t="s">
        <v>610</v>
      </c>
      <c r="C113" t="s">
        <v>611</v>
      </c>
      <c r="D113" t="s">
        <v>393</v>
      </c>
      <c r="E113" s="110">
        <v>7000000</v>
      </c>
      <c r="F113" t="str">
        <f>VLOOKUP(D113,Sheet1!$A$18:$B$28,2,FALSE)</f>
        <v>BH Xe cơ giới</v>
      </c>
      <c r="G113" t="str">
        <f t="shared" si="4"/>
        <v>125</v>
      </c>
      <c r="H113" s="24">
        <f t="shared" si="5"/>
        <v>7000000</v>
      </c>
      <c r="I113" t="str">
        <f>VLOOKUP(G113,'CHECK_DT-BT'!$A$3:$C$92,3,FALSE)</f>
        <v>BV Bắc Ninh</v>
      </c>
    </row>
    <row r="114" spans="1:9" x14ac:dyDescent="0.25">
      <c r="A114" t="str">
        <f t="shared" si="3"/>
        <v>125</v>
      </c>
      <c r="B114" t="s">
        <v>612</v>
      </c>
      <c r="C114" t="s">
        <v>613</v>
      </c>
      <c r="D114" t="s">
        <v>393</v>
      </c>
      <c r="E114" s="110">
        <v>4300000</v>
      </c>
      <c r="F114" t="str">
        <f>VLOOKUP(D114,Sheet1!$A$18:$B$28,2,FALSE)</f>
        <v>BH Xe cơ giới</v>
      </c>
      <c r="G114" t="str">
        <f t="shared" si="4"/>
        <v>125</v>
      </c>
      <c r="H114" s="24">
        <f t="shared" si="5"/>
        <v>4300000</v>
      </c>
      <c r="I114" t="str">
        <f>VLOOKUP(G114,'CHECK_DT-BT'!$A$3:$C$92,3,FALSE)</f>
        <v>BV Bắc Ninh</v>
      </c>
    </row>
    <row r="115" spans="1:9" x14ac:dyDescent="0.25">
      <c r="A115" t="str">
        <f t="shared" si="3"/>
        <v>125</v>
      </c>
      <c r="B115" t="s">
        <v>614</v>
      </c>
      <c r="C115" t="s">
        <v>615</v>
      </c>
      <c r="D115" t="s">
        <v>387</v>
      </c>
      <c r="E115" s="110">
        <v>19470000</v>
      </c>
      <c r="F115" t="str">
        <f>VLOOKUP(D115,Sheet1!$A$18:$B$28,2,FALSE)</f>
        <v>BH Hàng hóa</v>
      </c>
      <c r="G115" t="str">
        <f t="shared" si="4"/>
        <v>125</v>
      </c>
      <c r="H115" s="24">
        <f t="shared" si="5"/>
        <v>19470000</v>
      </c>
      <c r="I115" t="str">
        <f>VLOOKUP(G115,'CHECK_DT-BT'!$A$3:$C$92,3,FALSE)</f>
        <v>BV Bắc Ninh</v>
      </c>
    </row>
    <row r="116" spans="1:9" x14ac:dyDescent="0.25">
      <c r="A116" t="str">
        <f t="shared" si="3"/>
        <v>125</v>
      </c>
      <c r="B116" t="s">
        <v>614</v>
      </c>
      <c r="C116" t="s">
        <v>615</v>
      </c>
      <c r="D116" t="s">
        <v>392</v>
      </c>
      <c r="E116" s="110">
        <v>114759400</v>
      </c>
      <c r="F116" t="str">
        <f>VLOOKUP(D116,Sheet1!$A$18:$B$28,2,FALSE)</f>
        <v>BH Tài sản</v>
      </c>
      <c r="G116" t="str">
        <f t="shared" si="4"/>
        <v>125</v>
      </c>
      <c r="H116" s="24">
        <f t="shared" si="5"/>
        <v>114759400</v>
      </c>
      <c r="I116" t="str">
        <f>VLOOKUP(G116,'CHECK_DT-BT'!$A$3:$C$92,3,FALSE)</f>
        <v>BV Bắc Ninh</v>
      </c>
    </row>
    <row r="117" spans="1:9" x14ac:dyDescent="0.25">
      <c r="A117" t="str">
        <f t="shared" si="3"/>
        <v>125</v>
      </c>
      <c r="B117" t="s">
        <v>616</v>
      </c>
      <c r="C117" t="s">
        <v>617</v>
      </c>
      <c r="D117" t="s">
        <v>392</v>
      </c>
      <c r="E117" s="110">
        <v>8995000</v>
      </c>
      <c r="F117" t="str">
        <f>VLOOKUP(D117,Sheet1!$A$18:$B$28,2,FALSE)</f>
        <v>BH Tài sản</v>
      </c>
      <c r="G117" t="str">
        <f t="shared" si="4"/>
        <v>125</v>
      </c>
      <c r="H117" s="24">
        <f t="shared" si="5"/>
        <v>8995000</v>
      </c>
      <c r="I117" t="str">
        <f>VLOOKUP(G117,'CHECK_DT-BT'!$A$3:$C$92,3,FALSE)</f>
        <v>BV Bắc Ninh</v>
      </c>
    </row>
    <row r="118" spans="1:9" x14ac:dyDescent="0.25">
      <c r="A118" t="str">
        <f t="shared" si="3"/>
        <v>125</v>
      </c>
      <c r="B118" t="s">
        <v>616</v>
      </c>
      <c r="C118" t="s">
        <v>617</v>
      </c>
      <c r="D118" t="s">
        <v>393</v>
      </c>
      <c r="E118" s="110">
        <v>800000</v>
      </c>
      <c r="F118" t="str">
        <f>VLOOKUP(D118,Sheet1!$A$18:$B$28,2,FALSE)</f>
        <v>BH Xe cơ giới</v>
      </c>
      <c r="G118" t="str">
        <f t="shared" si="4"/>
        <v>125</v>
      </c>
      <c r="H118" s="24">
        <f t="shared" si="5"/>
        <v>800000</v>
      </c>
      <c r="I118" t="str">
        <f>VLOOKUP(G118,'CHECK_DT-BT'!$A$3:$C$92,3,FALSE)</f>
        <v>BV Bắc Ninh</v>
      </c>
    </row>
    <row r="119" spans="1:9" x14ac:dyDescent="0.25">
      <c r="A119" t="str">
        <f t="shared" si="3"/>
        <v>125</v>
      </c>
      <c r="B119" t="s">
        <v>618</v>
      </c>
      <c r="C119" t="s">
        <v>619</v>
      </c>
      <c r="D119" t="s">
        <v>387</v>
      </c>
      <c r="E119" s="110">
        <v>132753259</v>
      </c>
      <c r="F119" t="str">
        <f>VLOOKUP(D119,Sheet1!$A$18:$B$28,2,FALSE)</f>
        <v>BH Hàng hóa</v>
      </c>
      <c r="G119" t="str">
        <f t="shared" si="4"/>
        <v>125</v>
      </c>
      <c r="H119" s="24">
        <f t="shared" si="5"/>
        <v>132753259</v>
      </c>
      <c r="I119" t="str">
        <f>VLOOKUP(G119,'CHECK_DT-BT'!$A$3:$C$92,3,FALSE)</f>
        <v>BV Bắc Ninh</v>
      </c>
    </row>
    <row r="120" spans="1:9" x14ac:dyDescent="0.25">
      <c r="A120" t="str">
        <f t="shared" si="3"/>
        <v>125</v>
      </c>
      <c r="B120" t="s">
        <v>618</v>
      </c>
      <c r="C120" t="s">
        <v>619</v>
      </c>
      <c r="D120" t="s">
        <v>395</v>
      </c>
      <c r="E120" s="110">
        <v>9587500</v>
      </c>
      <c r="F120" t="e">
        <f>VLOOKUP(D120,Sheet1!$A$18:$B$28,2,FALSE)</f>
        <v>#N/A</v>
      </c>
      <c r="G120" t="str">
        <f t="shared" si="4"/>
        <v>125</v>
      </c>
      <c r="H120" s="24">
        <f t="shared" si="5"/>
        <v>9587500</v>
      </c>
      <c r="I120" t="str">
        <f>VLOOKUP(G120,'CHECK_DT-BT'!$A$3:$C$92,3,FALSE)</f>
        <v>BV Bắc Ninh</v>
      </c>
    </row>
    <row r="121" spans="1:9" x14ac:dyDescent="0.25">
      <c r="A121" t="str">
        <f t="shared" si="3"/>
        <v>125</v>
      </c>
      <c r="B121" t="s">
        <v>620</v>
      </c>
      <c r="C121" t="s">
        <v>621</v>
      </c>
      <c r="D121" t="s">
        <v>273</v>
      </c>
      <c r="E121" s="110">
        <v>13720000</v>
      </c>
      <c r="F121" t="str">
        <f>VLOOKUP(D121,Sheet1!$A$18:$B$28,2,FALSE)</f>
        <v>Hull (Thân tàu biển)</v>
      </c>
      <c r="G121" t="str">
        <f t="shared" si="4"/>
        <v>125</v>
      </c>
      <c r="H121" s="24">
        <f t="shared" si="5"/>
        <v>13720000</v>
      </c>
      <c r="I121" t="str">
        <f>VLOOKUP(G121,'CHECK_DT-BT'!$A$3:$C$92,3,FALSE)</f>
        <v>BV Bắc Ninh</v>
      </c>
    </row>
    <row r="122" spans="1:9" x14ac:dyDescent="0.25">
      <c r="A122" t="str">
        <f t="shared" si="3"/>
        <v>125</v>
      </c>
      <c r="B122" t="s">
        <v>620</v>
      </c>
      <c r="C122" t="s">
        <v>621</v>
      </c>
      <c r="D122" t="s">
        <v>393</v>
      </c>
      <c r="E122" s="110">
        <v>1000000</v>
      </c>
      <c r="F122" t="str">
        <f>VLOOKUP(D122,Sheet1!$A$18:$B$28,2,FALSE)</f>
        <v>BH Xe cơ giới</v>
      </c>
      <c r="G122" t="str">
        <f t="shared" si="4"/>
        <v>125</v>
      </c>
      <c r="H122" s="24">
        <f t="shared" si="5"/>
        <v>1000000</v>
      </c>
      <c r="I122" t="str">
        <f>VLOOKUP(G122,'CHECK_DT-BT'!$A$3:$C$92,3,FALSE)</f>
        <v>BV Bắc Ninh</v>
      </c>
    </row>
    <row r="123" spans="1:9" x14ac:dyDescent="0.25">
      <c r="A123" t="str">
        <f t="shared" si="3"/>
        <v>125</v>
      </c>
      <c r="B123" t="s">
        <v>622</v>
      </c>
      <c r="C123" t="s">
        <v>623</v>
      </c>
      <c r="D123" t="s">
        <v>393</v>
      </c>
      <c r="E123" s="110">
        <v>1500000</v>
      </c>
      <c r="F123" t="str">
        <f>VLOOKUP(D123,Sheet1!$A$18:$B$28,2,FALSE)</f>
        <v>BH Xe cơ giới</v>
      </c>
      <c r="G123" t="str">
        <f t="shared" si="4"/>
        <v>125</v>
      </c>
      <c r="H123" s="24">
        <f t="shared" si="5"/>
        <v>1500000</v>
      </c>
      <c r="I123" t="str">
        <f>VLOOKUP(G123,'CHECK_DT-BT'!$A$3:$C$92,3,FALSE)</f>
        <v>BV Bắc Ninh</v>
      </c>
    </row>
    <row r="124" spans="1:9" x14ac:dyDescent="0.25">
      <c r="A124" t="str">
        <f t="shared" si="3"/>
        <v>126</v>
      </c>
      <c r="B124" t="s">
        <v>289</v>
      </c>
      <c r="C124" t="s">
        <v>123</v>
      </c>
      <c r="D124" t="s">
        <v>393</v>
      </c>
      <c r="E124" s="110">
        <v>4800000</v>
      </c>
      <c r="F124" t="str">
        <f>VLOOKUP(D124,Sheet1!$A$18:$B$28,2,FALSE)</f>
        <v>BH Xe cơ giới</v>
      </c>
      <c r="G124" t="str">
        <f t="shared" si="4"/>
        <v>126</v>
      </c>
      <c r="H124" s="24">
        <f t="shared" si="5"/>
        <v>4800000</v>
      </c>
      <c r="I124" t="str">
        <f>VLOOKUP(G124,'CHECK_DT-BT'!$A$3:$C$92,3,FALSE)</f>
        <v>BV Bạc Liêu</v>
      </c>
    </row>
    <row r="125" spans="1:9" x14ac:dyDescent="0.25">
      <c r="A125" t="str">
        <f t="shared" si="3"/>
        <v>126</v>
      </c>
      <c r="B125" t="s">
        <v>624</v>
      </c>
      <c r="C125" t="s">
        <v>625</v>
      </c>
      <c r="D125" t="s">
        <v>392</v>
      </c>
      <c r="E125" s="110">
        <v>118100600</v>
      </c>
      <c r="F125" t="str">
        <f>VLOOKUP(D125,Sheet1!$A$18:$B$28,2,FALSE)</f>
        <v>BH Tài sản</v>
      </c>
      <c r="G125" t="str">
        <f t="shared" si="4"/>
        <v>126</v>
      </c>
      <c r="H125" s="24">
        <f t="shared" si="5"/>
        <v>118100600</v>
      </c>
      <c r="I125" t="str">
        <f>VLOOKUP(G125,'CHECK_DT-BT'!$A$3:$C$92,3,FALSE)</f>
        <v>BV Bạc Liêu</v>
      </c>
    </row>
    <row r="126" spans="1:9" x14ac:dyDescent="0.25">
      <c r="A126" t="str">
        <f t="shared" si="3"/>
        <v>126</v>
      </c>
      <c r="B126" t="s">
        <v>626</v>
      </c>
      <c r="C126" t="s">
        <v>627</v>
      </c>
      <c r="D126" t="s">
        <v>393</v>
      </c>
      <c r="E126" s="110">
        <v>8800000</v>
      </c>
      <c r="F126" t="str">
        <f>VLOOKUP(D126,Sheet1!$A$18:$B$28,2,FALSE)</f>
        <v>BH Xe cơ giới</v>
      </c>
      <c r="G126" t="str">
        <f t="shared" si="4"/>
        <v>126</v>
      </c>
      <c r="H126" s="24">
        <f t="shared" si="5"/>
        <v>8800000</v>
      </c>
      <c r="I126" t="str">
        <f>VLOOKUP(G126,'CHECK_DT-BT'!$A$3:$C$92,3,FALSE)</f>
        <v>BV Bạc Liêu</v>
      </c>
    </row>
    <row r="127" spans="1:9" x14ac:dyDescent="0.25">
      <c r="A127" t="str">
        <f t="shared" si="3"/>
        <v>126</v>
      </c>
      <c r="B127" t="s">
        <v>628</v>
      </c>
      <c r="C127" t="s">
        <v>629</v>
      </c>
      <c r="D127" t="s">
        <v>393</v>
      </c>
      <c r="E127" s="110">
        <v>3500000</v>
      </c>
      <c r="F127" t="str">
        <f>VLOOKUP(D127,Sheet1!$A$18:$B$28,2,FALSE)</f>
        <v>BH Xe cơ giới</v>
      </c>
      <c r="G127" t="str">
        <f t="shared" si="4"/>
        <v>126</v>
      </c>
      <c r="H127" s="24">
        <f t="shared" si="5"/>
        <v>3500000</v>
      </c>
      <c r="I127" t="str">
        <f>VLOOKUP(G127,'CHECK_DT-BT'!$A$3:$C$92,3,FALSE)</f>
        <v>BV Bạc Liêu</v>
      </c>
    </row>
    <row r="128" spans="1:9" x14ac:dyDescent="0.25">
      <c r="A128" t="str">
        <f t="shared" si="3"/>
        <v>126</v>
      </c>
      <c r="B128" t="s">
        <v>630</v>
      </c>
      <c r="C128" t="s">
        <v>631</v>
      </c>
      <c r="D128" t="s">
        <v>393</v>
      </c>
      <c r="E128" s="110">
        <v>4500000</v>
      </c>
      <c r="F128" t="str">
        <f>VLOOKUP(D128,Sheet1!$A$18:$B$28,2,FALSE)</f>
        <v>BH Xe cơ giới</v>
      </c>
      <c r="G128" t="str">
        <f t="shared" si="4"/>
        <v>126</v>
      </c>
      <c r="H128" s="24">
        <f t="shared" si="5"/>
        <v>4500000</v>
      </c>
      <c r="I128" t="str">
        <f>VLOOKUP(G128,'CHECK_DT-BT'!$A$3:$C$92,3,FALSE)</f>
        <v>BV Bạc Liêu</v>
      </c>
    </row>
    <row r="129" spans="1:9" x14ac:dyDescent="0.25">
      <c r="A129" t="str">
        <f t="shared" si="3"/>
        <v>126</v>
      </c>
      <c r="B129" t="s">
        <v>632</v>
      </c>
      <c r="C129" t="s">
        <v>633</v>
      </c>
      <c r="D129" t="s">
        <v>393</v>
      </c>
      <c r="E129" s="110">
        <v>1850000</v>
      </c>
      <c r="F129" t="str">
        <f>VLOOKUP(D129,Sheet1!$A$18:$B$28,2,FALSE)</f>
        <v>BH Xe cơ giới</v>
      </c>
      <c r="G129" t="str">
        <f t="shared" si="4"/>
        <v>126</v>
      </c>
      <c r="H129" s="24">
        <f t="shared" si="5"/>
        <v>1850000</v>
      </c>
      <c r="I129" t="str">
        <f>VLOOKUP(G129,'CHECK_DT-BT'!$A$3:$C$92,3,FALSE)</f>
        <v>BV Bạc Liêu</v>
      </c>
    </row>
    <row r="130" spans="1:9" x14ac:dyDescent="0.25">
      <c r="A130" t="str">
        <f t="shared" si="3"/>
        <v>126</v>
      </c>
      <c r="B130" t="s">
        <v>634</v>
      </c>
      <c r="C130" t="s">
        <v>635</v>
      </c>
      <c r="D130" t="s">
        <v>393</v>
      </c>
      <c r="E130" s="110">
        <v>1300000</v>
      </c>
      <c r="F130" t="str">
        <f>VLOOKUP(D130,Sheet1!$A$18:$B$28,2,FALSE)</f>
        <v>BH Xe cơ giới</v>
      </c>
      <c r="G130" t="str">
        <f t="shared" si="4"/>
        <v>126</v>
      </c>
      <c r="H130" s="24">
        <f t="shared" si="5"/>
        <v>1300000</v>
      </c>
      <c r="I130" t="str">
        <f>VLOOKUP(G130,'CHECK_DT-BT'!$A$3:$C$92,3,FALSE)</f>
        <v>BV Bạc Liêu</v>
      </c>
    </row>
    <row r="131" spans="1:9" x14ac:dyDescent="0.25">
      <c r="A131" t="str">
        <f t="shared" si="3"/>
        <v>127</v>
      </c>
      <c r="B131" t="s">
        <v>636</v>
      </c>
      <c r="C131" t="s">
        <v>637</v>
      </c>
      <c r="D131" t="s">
        <v>394</v>
      </c>
      <c r="E131" s="110">
        <v>250000</v>
      </c>
      <c r="F131" t="str">
        <f>VLOOKUP(D131,Sheet1!$A$18:$B$28,2,FALSE)</f>
        <v>BH Con người</v>
      </c>
      <c r="G131" t="str">
        <f t="shared" si="4"/>
        <v>127</v>
      </c>
      <c r="H131" s="24">
        <f t="shared" si="5"/>
        <v>250000</v>
      </c>
      <c r="I131" t="str">
        <f>VLOOKUP(G131,'CHECK_DT-BT'!$A$3:$C$92,3,FALSE)</f>
        <v>BV Bến Tre</v>
      </c>
    </row>
    <row r="132" spans="1:9" x14ac:dyDescent="0.25">
      <c r="A132" t="str">
        <f t="shared" si="3"/>
        <v>127</v>
      </c>
      <c r="B132" t="s">
        <v>638</v>
      </c>
      <c r="C132" t="s">
        <v>639</v>
      </c>
      <c r="D132" t="s">
        <v>394</v>
      </c>
      <c r="E132" s="110">
        <v>250000</v>
      </c>
      <c r="F132" t="str">
        <f>VLOOKUP(D132,Sheet1!$A$18:$B$28,2,FALSE)</f>
        <v>BH Con người</v>
      </c>
      <c r="G132" t="str">
        <f t="shared" si="4"/>
        <v>127</v>
      </c>
      <c r="H132" s="24">
        <f t="shared" si="5"/>
        <v>250000</v>
      </c>
      <c r="I132" t="str">
        <f>VLOOKUP(G132,'CHECK_DT-BT'!$A$3:$C$92,3,FALSE)</f>
        <v>BV Bến Tre</v>
      </c>
    </row>
    <row r="133" spans="1:9" x14ac:dyDescent="0.25">
      <c r="A133" t="str">
        <f t="shared" ref="A133:A196" si="6">LEFT(B133,3)</f>
        <v>127</v>
      </c>
      <c r="B133" t="s">
        <v>638</v>
      </c>
      <c r="C133" t="s">
        <v>639</v>
      </c>
      <c r="D133" t="s">
        <v>393</v>
      </c>
      <c r="E133" s="110">
        <v>2000000</v>
      </c>
      <c r="F133" t="str">
        <f>VLOOKUP(D133,Sheet1!$A$18:$B$28,2,FALSE)</f>
        <v>BH Xe cơ giới</v>
      </c>
      <c r="G133" t="str">
        <f t="shared" ref="G133:G196" si="7">IF(A133="101",B133,A133)</f>
        <v>127</v>
      </c>
      <c r="H133" s="24">
        <f t="shared" ref="H133:H196" si="8">E133</f>
        <v>2000000</v>
      </c>
      <c r="I133" t="str">
        <f>VLOOKUP(G133,'CHECK_DT-BT'!$A$3:$C$92,3,FALSE)</f>
        <v>BV Bến Tre</v>
      </c>
    </row>
    <row r="134" spans="1:9" x14ac:dyDescent="0.25">
      <c r="A134" t="str">
        <f t="shared" si="6"/>
        <v>127</v>
      </c>
      <c r="B134" t="s">
        <v>640</v>
      </c>
      <c r="C134" t="s">
        <v>641</v>
      </c>
      <c r="D134" t="s">
        <v>394</v>
      </c>
      <c r="E134" s="110">
        <v>250000</v>
      </c>
      <c r="F134" t="str">
        <f>VLOOKUP(D134,Sheet1!$A$18:$B$28,2,FALSE)</f>
        <v>BH Con người</v>
      </c>
      <c r="G134" t="str">
        <f t="shared" si="7"/>
        <v>127</v>
      </c>
      <c r="H134" s="24">
        <f t="shared" si="8"/>
        <v>250000</v>
      </c>
      <c r="I134" t="str">
        <f>VLOOKUP(G134,'CHECK_DT-BT'!$A$3:$C$92,3,FALSE)</f>
        <v>BV Bến Tre</v>
      </c>
    </row>
    <row r="135" spans="1:9" x14ac:dyDescent="0.25">
      <c r="A135" t="str">
        <f t="shared" si="6"/>
        <v>127</v>
      </c>
      <c r="B135" t="s">
        <v>640</v>
      </c>
      <c r="C135" t="s">
        <v>641</v>
      </c>
      <c r="D135" t="s">
        <v>393</v>
      </c>
      <c r="E135" s="110">
        <v>500000</v>
      </c>
      <c r="F135" t="str">
        <f>VLOOKUP(D135,Sheet1!$A$18:$B$28,2,FALSE)</f>
        <v>BH Xe cơ giới</v>
      </c>
      <c r="G135" t="str">
        <f t="shared" si="7"/>
        <v>127</v>
      </c>
      <c r="H135" s="24">
        <f t="shared" si="8"/>
        <v>500000</v>
      </c>
      <c r="I135" t="str">
        <f>VLOOKUP(G135,'CHECK_DT-BT'!$A$3:$C$92,3,FALSE)</f>
        <v>BV Bến Tre</v>
      </c>
    </row>
    <row r="136" spans="1:9" x14ac:dyDescent="0.25">
      <c r="A136" t="str">
        <f t="shared" si="6"/>
        <v>127</v>
      </c>
      <c r="B136" t="s">
        <v>642</v>
      </c>
      <c r="C136" t="s">
        <v>643</v>
      </c>
      <c r="D136" t="s">
        <v>394</v>
      </c>
      <c r="E136" s="110">
        <v>500000</v>
      </c>
      <c r="F136" t="str">
        <f>VLOOKUP(D136,Sheet1!$A$18:$B$28,2,FALSE)</f>
        <v>BH Con người</v>
      </c>
      <c r="G136" t="str">
        <f t="shared" si="7"/>
        <v>127</v>
      </c>
      <c r="H136" s="24">
        <f t="shared" si="8"/>
        <v>500000</v>
      </c>
      <c r="I136" t="str">
        <f>VLOOKUP(G136,'CHECK_DT-BT'!$A$3:$C$92,3,FALSE)</f>
        <v>BV Bến Tre</v>
      </c>
    </row>
    <row r="137" spans="1:9" x14ac:dyDescent="0.25">
      <c r="A137" t="str">
        <f t="shared" si="6"/>
        <v>128</v>
      </c>
      <c r="B137" t="s">
        <v>644</v>
      </c>
      <c r="C137" t="s">
        <v>645</v>
      </c>
      <c r="D137" t="s">
        <v>387</v>
      </c>
      <c r="E137" s="110">
        <v>334337262</v>
      </c>
      <c r="F137" t="str">
        <f>VLOOKUP(D137,Sheet1!$A$18:$B$28,2,FALSE)</f>
        <v>BH Hàng hóa</v>
      </c>
      <c r="G137" t="str">
        <f t="shared" si="7"/>
        <v>128</v>
      </c>
      <c r="H137" s="24">
        <f t="shared" si="8"/>
        <v>334337262</v>
      </c>
      <c r="I137" t="str">
        <f>VLOOKUP(G137,'CHECK_DT-BT'!$A$3:$C$92,3,FALSE)</f>
        <v>BV Bình Dương</v>
      </c>
    </row>
    <row r="138" spans="1:9" x14ac:dyDescent="0.25">
      <c r="A138" t="str">
        <f t="shared" si="6"/>
        <v>128</v>
      </c>
      <c r="B138" t="s">
        <v>644</v>
      </c>
      <c r="C138" t="s">
        <v>645</v>
      </c>
      <c r="D138" t="s">
        <v>393</v>
      </c>
      <c r="E138" s="110">
        <v>1500000</v>
      </c>
      <c r="F138" t="str">
        <f>VLOOKUP(D138,Sheet1!$A$18:$B$28,2,FALSE)</f>
        <v>BH Xe cơ giới</v>
      </c>
      <c r="G138" t="str">
        <f t="shared" si="7"/>
        <v>128</v>
      </c>
      <c r="H138" s="24">
        <f t="shared" si="8"/>
        <v>1500000</v>
      </c>
      <c r="I138" t="str">
        <f>VLOOKUP(G138,'CHECK_DT-BT'!$A$3:$C$92,3,FALSE)</f>
        <v>BV Bình Dương</v>
      </c>
    </row>
    <row r="139" spans="1:9" x14ac:dyDescent="0.25">
      <c r="A139" t="str">
        <f t="shared" si="6"/>
        <v>128</v>
      </c>
      <c r="B139" t="s">
        <v>646</v>
      </c>
      <c r="C139" t="s">
        <v>647</v>
      </c>
      <c r="D139" t="s">
        <v>393</v>
      </c>
      <c r="E139" s="110">
        <v>6300000</v>
      </c>
      <c r="F139" t="str">
        <f>VLOOKUP(D139,Sheet1!$A$18:$B$28,2,FALSE)</f>
        <v>BH Xe cơ giới</v>
      </c>
      <c r="G139" t="str">
        <f t="shared" si="7"/>
        <v>128</v>
      </c>
      <c r="H139" s="24">
        <f t="shared" si="8"/>
        <v>6300000</v>
      </c>
      <c r="I139" t="str">
        <f>VLOOKUP(G139,'CHECK_DT-BT'!$A$3:$C$92,3,FALSE)</f>
        <v>BV Bình Dương</v>
      </c>
    </row>
    <row r="140" spans="1:9" x14ac:dyDescent="0.25">
      <c r="A140" t="str">
        <f t="shared" si="6"/>
        <v>128</v>
      </c>
      <c r="B140" t="s">
        <v>648</v>
      </c>
      <c r="C140" t="s">
        <v>649</v>
      </c>
      <c r="D140" t="s">
        <v>393</v>
      </c>
      <c r="E140" s="110">
        <v>700000</v>
      </c>
      <c r="F140" t="str">
        <f>VLOOKUP(D140,Sheet1!$A$18:$B$28,2,FALSE)</f>
        <v>BH Xe cơ giới</v>
      </c>
      <c r="G140" t="str">
        <f t="shared" si="7"/>
        <v>128</v>
      </c>
      <c r="H140" s="24">
        <f t="shared" si="8"/>
        <v>700000</v>
      </c>
      <c r="I140" t="str">
        <f>VLOOKUP(G140,'CHECK_DT-BT'!$A$3:$C$92,3,FALSE)</f>
        <v>BV Bình Dương</v>
      </c>
    </row>
    <row r="141" spans="1:9" x14ac:dyDescent="0.25">
      <c r="A141" t="str">
        <f t="shared" si="6"/>
        <v>128</v>
      </c>
      <c r="B141" t="s">
        <v>650</v>
      </c>
      <c r="C141" t="s">
        <v>651</v>
      </c>
      <c r="D141" t="s">
        <v>393</v>
      </c>
      <c r="E141" s="110">
        <v>2700000</v>
      </c>
      <c r="F141" t="str">
        <f>VLOOKUP(D141,Sheet1!$A$18:$B$28,2,FALSE)</f>
        <v>BH Xe cơ giới</v>
      </c>
      <c r="G141" t="str">
        <f t="shared" si="7"/>
        <v>128</v>
      </c>
      <c r="H141" s="24">
        <f t="shared" si="8"/>
        <v>2700000</v>
      </c>
      <c r="I141" t="str">
        <f>VLOOKUP(G141,'CHECK_DT-BT'!$A$3:$C$92,3,FALSE)</f>
        <v>BV Bình Dương</v>
      </c>
    </row>
    <row r="142" spans="1:9" x14ac:dyDescent="0.25">
      <c r="A142" t="str">
        <f t="shared" si="6"/>
        <v>129</v>
      </c>
      <c r="B142" t="s">
        <v>652</v>
      </c>
      <c r="C142" t="s">
        <v>653</v>
      </c>
      <c r="D142" t="s">
        <v>391</v>
      </c>
      <c r="E142" s="110">
        <v>0</v>
      </c>
      <c r="F142" t="str">
        <f>VLOOKUP(D142,Sheet1!$A$18:$B$28,2,FALSE)</f>
        <v>BH Kỹ thuật</v>
      </c>
      <c r="G142" t="str">
        <f t="shared" si="7"/>
        <v>129</v>
      </c>
      <c r="H142" s="24">
        <f t="shared" si="8"/>
        <v>0</v>
      </c>
      <c r="I142" t="str">
        <f>VLOOKUP(G142,'CHECK_DT-BT'!$A$3:$C$92,3,FALSE)</f>
        <v>BV Bình Định</v>
      </c>
    </row>
    <row r="143" spans="1:9" x14ac:dyDescent="0.25">
      <c r="A143" t="str">
        <f t="shared" si="6"/>
        <v>129</v>
      </c>
      <c r="B143" t="s">
        <v>652</v>
      </c>
      <c r="C143" t="s">
        <v>653</v>
      </c>
      <c r="D143" t="s">
        <v>393</v>
      </c>
      <c r="E143" s="110">
        <v>3139211</v>
      </c>
      <c r="F143" t="str">
        <f>VLOOKUP(D143,Sheet1!$A$18:$B$28,2,FALSE)</f>
        <v>BH Xe cơ giới</v>
      </c>
      <c r="G143" t="str">
        <f t="shared" si="7"/>
        <v>129</v>
      </c>
      <c r="H143" s="24">
        <f t="shared" si="8"/>
        <v>3139211</v>
      </c>
      <c r="I143" t="str">
        <f>VLOOKUP(G143,'CHECK_DT-BT'!$A$3:$C$92,3,FALSE)</f>
        <v>BV Bình Định</v>
      </c>
    </row>
    <row r="144" spans="1:9" x14ac:dyDescent="0.25">
      <c r="A144" t="str">
        <f t="shared" si="6"/>
        <v>129</v>
      </c>
      <c r="B144" t="s">
        <v>654</v>
      </c>
      <c r="C144" t="s">
        <v>655</v>
      </c>
      <c r="D144" t="s">
        <v>392</v>
      </c>
      <c r="E144" s="110">
        <v>53372500</v>
      </c>
      <c r="F144" t="str">
        <f>VLOOKUP(D144,Sheet1!$A$18:$B$28,2,FALSE)</f>
        <v>BH Tài sản</v>
      </c>
      <c r="G144" t="str">
        <f t="shared" si="7"/>
        <v>129</v>
      </c>
      <c r="H144" s="24">
        <f t="shared" si="8"/>
        <v>53372500</v>
      </c>
      <c r="I144" t="str">
        <f>VLOOKUP(G144,'CHECK_DT-BT'!$A$3:$C$92,3,FALSE)</f>
        <v>BV Bình Định</v>
      </c>
    </row>
    <row r="145" spans="1:9" x14ac:dyDescent="0.25">
      <c r="A145" t="str">
        <f t="shared" si="6"/>
        <v>129</v>
      </c>
      <c r="B145" t="s">
        <v>654</v>
      </c>
      <c r="C145" t="s">
        <v>655</v>
      </c>
      <c r="D145" t="s">
        <v>393</v>
      </c>
      <c r="E145" s="110">
        <v>4500000</v>
      </c>
      <c r="F145" t="str">
        <f>VLOOKUP(D145,Sheet1!$A$18:$B$28,2,FALSE)</f>
        <v>BH Xe cơ giới</v>
      </c>
      <c r="G145" t="str">
        <f t="shared" si="7"/>
        <v>129</v>
      </c>
      <c r="H145" s="24">
        <f t="shared" si="8"/>
        <v>4500000</v>
      </c>
      <c r="I145" t="str">
        <f>VLOOKUP(G145,'CHECK_DT-BT'!$A$3:$C$92,3,FALSE)</f>
        <v>BV Bình Định</v>
      </c>
    </row>
    <row r="146" spans="1:9" x14ac:dyDescent="0.25">
      <c r="A146" t="str">
        <f t="shared" si="6"/>
        <v>129</v>
      </c>
      <c r="B146" t="s">
        <v>656</v>
      </c>
      <c r="C146" t="s">
        <v>657</v>
      </c>
      <c r="D146" t="s">
        <v>394</v>
      </c>
      <c r="E146" s="110">
        <v>160000</v>
      </c>
      <c r="F146" t="str">
        <f>VLOOKUP(D146,Sheet1!$A$18:$B$28,2,FALSE)</f>
        <v>BH Con người</v>
      </c>
      <c r="G146" t="str">
        <f t="shared" si="7"/>
        <v>129</v>
      </c>
      <c r="H146" s="24">
        <f t="shared" si="8"/>
        <v>160000</v>
      </c>
      <c r="I146" t="str">
        <f>VLOOKUP(G146,'CHECK_DT-BT'!$A$3:$C$92,3,FALSE)</f>
        <v>BV Bình Định</v>
      </c>
    </row>
    <row r="147" spans="1:9" x14ac:dyDescent="0.25">
      <c r="A147" t="str">
        <f t="shared" si="6"/>
        <v>129</v>
      </c>
      <c r="B147" t="s">
        <v>656</v>
      </c>
      <c r="C147" t="s">
        <v>657</v>
      </c>
      <c r="D147" t="s">
        <v>392</v>
      </c>
      <c r="E147" s="110">
        <v>108375000</v>
      </c>
      <c r="F147" t="str">
        <f>VLOOKUP(D147,Sheet1!$A$18:$B$28,2,FALSE)</f>
        <v>BH Tài sản</v>
      </c>
      <c r="G147" t="str">
        <f t="shared" si="7"/>
        <v>129</v>
      </c>
      <c r="H147" s="24">
        <f t="shared" si="8"/>
        <v>108375000</v>
      </c>
      <c r="I147" t="str">
        <f>VLOOKUP(G147,'CHECK_DT-BT'!$A$3:$C$92,3,FALSE)</f>
        <v>BV Bình Định</v>
      </c>
    </row>
    <row r="148" spans="1:9" x14ac:dyDescent="0.25">
      <c r="A148" t="str">
        <f t="shared" si="6"/>
        <v>129</v>
      </c>
      <c r="B148" t="s">
        <v>656</v>
      </c>
      <c r="C148" t="s">
        <v>657</v>
      </c>
      <c r="D148" t="s">
        <v>393</v>
      </c>
      <c r="E148" s="110">
        <v>3800000</v>
      </c>
      <c r="F148" t="str">
        <f>VLOOKUP(D148,Sheet1!$A$18:$B$28,2,FALSE)</f>
        <v>BH Xe cơ giới</v>
      </c>
      <c r="G148" t="str">
        <f t="shared" si="7"/>
        <v>129</v>
      </c>
      <c r="H148" s="24">
        <f t="shared" si="8"/>
        <v>3800000</v>
      </c>
      <c r="I148" t="str">
        <f>VLOOKUP(G148,'CHECK_DT-BT'!$A$3:$C$92,3,FALSE)</f>
        <v>BV Bình Định</v>
      </c>
    </row>
    <row r="149" spans="1:9" x14ac:dyDescent="0.25">
      <c r="A149" t="str">
        <f t="shared" si="6"/>
        <v>129</v>
      </c>
      <c r="B149" t="s">
        <v>658</v>
      </c>
      <c r="C149" t="s">
        <v>659</v>
      </c>
      <c r="D149" t="s">
        <v>392</v>
      </c>
      <c r="E149" s="110">
        <v>113802488</v>
      </c>
      <c r="F149" t="str">
        <f>VLOOKUP(D149,Sheet1!$A$18:$B$28,2,FALSE)</f>
        <v>BH Tài sản</v>
      </c>
      <c r="G149" t="str">
        <f t="shared" si="7"/>
        <v>129</v>
      </c>
      <c r="H149" s="24">
        <f t="shared" si="8"/>
        <v>113802488</v>
      </c>
      <c r="I149" t="str">
        <f>VLOOKUP(G149,'CHECK_DT-BT'!$A$3:$C$92,3,FALSE)</f>
        <v>BV Bình Định</v>
      </c>
    </row>
    <row r="150" spans="1:9" x14ac:dyDescent="0.25">
      <c r="A150" t="str">
        <f t="shared" si="6"/>
        <v>129</v>
      </c>
      <c r="B150" t="s">
        <v>660</v>
      </c>
      <c r="C150" t="s">
        <v>661</v>
      </c>
      <c r="D150" t="s">
        <v>392</v>
      </c>
      <c r="E150" s="110">
        <v>346254377</v>
      </c>
      <c r="F150" t="str">
        <f>VLOOKUP(D150,Sheet1!$A$18:$B$28,2,FALSE)</f>
        <v>BH Tài sản</v>
      </c>
      <c r="G150" t="str">
        <f t="shared" si="7"/>
        <v>129</v>
      </c>
      <c r="H150" s="24">
        <f t="shared" si="8"/>
        <v>346254377</v>
      </c>
      <c r="I150" t="str">
        <f>VLOOKUP(G150,'CHECK_DT-BT'!$A$3:$C$92,3,FALSE)</f>
        <v>BV Bình Định</v>
      </c>
    </row>
    <row r="151" spans="1:9" x14ac:dyDescent="0.25">
      <c r="A151" t="str">
        <f t="shared" si="6"/>
        <v>129</v>
      </c>
      <c r="B151" t="s">
        <v>660</v>
      </c>
      <c r="C151" t="s">
        <v>661</v>
      </c>
      <c r="D151" t="s">
        <v>393</v>
      </c>
      <c r="E151" s="110">
        <v>4400000</v>
      </c>
      <c r="F151" t="str">
        <f>VLOOKUP(D151,Sheet1!$A$18:$B$28,2,FALSE)</f>
        <v>BH Xe cơ giới</v>
      </c>
      <c r="G151" t="str">
        <f t="shared" si="7"/>
        <v>129</v>
      </c>
      <c r="H151" s="24">
        <f t="shared" si="8"/>
        <v>4400000</v>
      </c>
      <c r="I151" t="str">
        <f>VLOOKUP(G151,'CHECK_DT-BT'!$A$3:$C$92,3,FALSE)</f>
        <v>BV Bình Định</v>
      </c>
    </row>
    <row r="152" spans="1:9" x14ac:dyDescent="0.25">
      <c r="A152" t="str">
        <f t="shared" si="6"/>
        <v>129</v>
      </c>
      <c r="B152" t="s">
        <v>662</v>
      </c>
      <c r="C152" t="s">
        <v>663</v>
      </c>
      <c r="D152" t="s">
        <v>272</v>
      </c>
      <c r="E152" s="110">
        <v>92460000</v>
      </c>
      <c r="F152" t="str">
        <f>VLOOKUP(D152,Sheet1!$A$18:$B$28,2,FALSE)</f>
        <v>Tàu khác</v>
      </c>
      <c r="G152" t="str">
        <f t="shared" si="7"/>
        <v>129</v>
      </c>
      <c r="H152" s="24">
        <f t="shared" si="8"/>
        <v>92460000</v>
      </c>
      <c r="I152" t="str">
        <f>VLOOKUP(G152,'CHECK_DT-BT'!$A$3:$C$92,3,FALSE)</f>
        <v>BV Bình Định</v>
      </c>
    </row>
    <row r="153" spans="1:9" x14ac:dyDescent="0.25">
      <c r="A153" t="str">
        <f t="shared" si="6"/>
        <v>129</v>
      </c>
      <c r="B153" t="s">
        <v>662</v>
      </c>
      <c r="C153" t="s">
        <v>663</v>
      </c>
      <c r="D153" t="s">
        <v>393</v>
      </c>
      <c r="E153" s="110">
        <v>2953472</v>
      </c>
      <c r="F153" t="str">
        <f>VLOOKUP(D153,Sheet1!$A$18:$B$28,2,FALSE)</f>
        <v>BH Xe cơ giới</v>
      </c>
      <c r="G153" t="str">
        <f t="shared" si="7"/>
        <v>129</v>
      </c>
      <c r="H153" s="24">
        <f t="shared" si="8"/>
        <v>2953472</v>
      </c>
      <c r="I153" t="str">
        <f>VLOOKUP(G153,'CHECK_DT-BT'!$A$3:$C$92,3,FALSE)</f>
        <v>BV Bình Định</v>
      </c>
    </row>
    <row r="154" spans="1:9" x14ac:dyDescent="0.25">
      <c r="A154" t="str">
        <f t="shared" si="6"/>
        <v>129</v>
      </c>
      <c r="B154" t="s">
        <v>664</v>
      </c>
      <c r="C154" t="s">
        <v>665</v>
      </c>
      <c r="D154" t="s">
        <v>393</v>
      </c>
      <c r="E154" s="110">
        <v>2000000</v>
      </c>
      <c r="F154" t="str">
        <f>VLOOKUP(D154,Sheet1!$A$18:$B$28,2,FALSE)</f>
        <v>BH Xe cơ giới</v>
      </c>
      <c r="G154" t="str">
        <f t="shared" si="7"/>
        <v>129</v>
      </c>
      <c r="H154" s="24">
        <f t="shared" si="8"/>
        <v>2000000</v>
      </c>
      <c r="I154" t="str">
        <f>VLOOKUP(G154,'CHECK_DT-BT'!$A$3:$C$92,3,FALSE)</f>
        <v>BV Bình Định</v>
      </c>
    </row>
    <row r="155" spans="1:9" x14ac:dyDescent="0.25">
      <c r="A155" t="str">
        <f t="shared" si="6"/>
        <v>129</v>
      </c>
      <c r="B155" t="s">
        <v>666</v>
      </c>
      <c r="C155" t="s">
        <v>667</v>
      </c>
      <c r="D155" t="s">
        <v>393</v>
      </c>
      <c r="E155" s="110">
        <v>2864700</v>
      </c>
      <c r="F155" t="str">
        <f>VLOOKUP(D155,Sheet1!$A$18:$B$28,2,FALSE)</f>
        <v>BH Xe cơ giới</v>
      </c>
      <c r="G155" t="str">
        <f t="shared" si="7"/>
        <v>129</v>
      </c>
      <c r="H155" s="24">
        <f t="shared" si="8"/>
        <v>2864700</v>
      </c>
      <c r="I155" t="str">
        <f>VLOOKUP(G155,'CHECK_DT-BT'!$A$3:$C$92,3,FALSE)</f>
        <v>BV Bình Định</v>
      </c>
    </row>
    <row r="156" spans="1:9" x14ac:dyDescent="0.25">
      <c r="A156" t="str">
        <f t="shared" si="6"/>
        <v>130</v>
      </c>
      <c r="B156" t="s">
        <v>668</v>
      </c>
      <c r="C156" t="s">
        <v>669</v>
      </c>
      <c r="D156" t="s">
        <v>393</v>
      </c>
      <c r="E156" s="110">
        <v>1000000</v>
      </c>
      <c r="F156" t="str">
        <f>VLOOKUP(D156,Sheet1!$A$18:$B$28,2,FALSE)</f>
        <v>BH Xe cơ giới</v>
      </c>
      <c r="G156" t="str">
        <f t="shared" si="7"/>
        <v>130</v>
      </c>
      <c r="H156" s="24">
        <f t="shared" si="8"/>
        <v>1000000</v>
      </c>
      <c r="I156" t="str">
        <f>VLOOKUP(G156,'CHECK_DT-BT'!$A$3:$C$92,3,FALSE)</f>
        <v>BV Bình Phước</v>
      </c>
    </row>
    <row r="157" spans="1:9" x14ac:dyDescent="0.25">
      <c r="A157" t="str">
        <f t="shared" si="6"/>
        <v>130</v>
      </c>
      <c r="B157" t="s">
        <v>670</v>
      </c>
      <c r="C157" t="s">
        <v>671</v>
      </c>
      <c r="D157" t="s">
        <v>393</v>
      </c>
      <c r="E157" s="110">
        <v>1600000</v>
      </c>
      <c r="F157" t="str">
        <f>VLOOKUP(D157,Sheet1!$A$18:$B$28,2,FALSE)</f>
        <v>BH Xe cơ giới</v>
      </c>
      <c r="G157" t="str">
        <f t="shared" si="7"/>
        <v>130</v>
      </c>
      <c r="H157" s="24">
        <f t="shared" si="8"/>
        <v>1600000</v>
      </c>
      <c r="I157" t="str">
        <f>VLOOKUP(G157,'CHECK_DT-BT'!$A$3:$C$92,3,FALSE)</f>
        <v>BV Bình Phước</v>
      </c>
    </row>
    <row r="158" spans="1:9" x14ac:dyDescent="0.25">
      <c r="A158" t="str">
        <f t="shared" si="6"/>
        <v>130</v>
      </c>
      <c r="B158" t="s">
        <v>672</v>
      </c>
      <c r="C158" t="s">
        <v>673</v>
      </c>
      <c r="D158" t="s">
        <v>392</v>
      </c>
      <c r="E158" s="110">
        <v>1414597784</v>
      </c>
      <c r="F158" t="str">
        <f>VLOOKUP(D158,Sheet1!$A$18:$B$28,2,FALSE)</f>
        <v>BH Tài sản</v>
      </c>
      <c r="G158" t="str">
        <f t="shared" si="7"/>
        <v>130</v>
      </c>
      <c r="H158" s="24">
        <f t="shared" si="8"/>
        <v>1414597784</v>
      </c>
      <c r="I158" t="str">
        <f>VLOOKUP(G158,'CHECK_DT-BT'!$A$3:$C$92,3,FALSE)</f>
        <v>BV Bình Phước</v>
      </c>
    </row>
    <row r="159" spans="1:9" x14ac:dyDescent="0.25">
      <c r="A159" t="str">
        <f t="shared" si="6"/>
        <v>130</v>
      </c>
      <c r="B159" t="s">
        <v>672</v>
      </c>
      <c r="C159" t="s">
        <v>673</v>
      </c>
      <c r="D159" t="s">
        <v>393</v>
      </c>
      <c r="E159" s="110">
        <v>900000</v>
      </c>
      <c r="F159" t="str">
        <f>VLOOKUP(D159,Sheet1!$A$18:$B$28,2,FALSE)</f>
        <v>BH Xe cơ giới</v>
      </c>
      <c r="G159" t="str">
        <f t="shared" si="7"/>
        <v>130</v>
      </c>
      <c r="H159" s="24">
        <f t="shared" si="8"/>
        <v>900000</v>
      </c>
      <c r="I159" t="str">
        <f>VLOOKUP(G159,'CHECK_DT-BT'!$A$3:$C$92,3,FALSE)</f>
        <v>BV Bình Phước</v>
      </c>
    </row>
    <row r="160" spans="1:9" x14ac:dyDescent="0.25">
      <c r="A160" t="str">
        <f t="shared" si="6"/>
        <v>130</v>
      </c>
      <c r="B160" t="s">
        <v>674</v>
      </c>
      <c r="C160" t="s">
        <v>675</v>
      </c>
      <c r="D160" t="s">
        <v>393</v>
      </c>
      <c r="E160" s="110">
        <v>10388196</v>
      </c>
      <c r="F160" t="str">
        <f>VLOOKUP(D160,Sheet1!$A$18:$B$28,2,FALSE)</f>
        <v>BH Xe cơ giới</v>
      </c>
      <c r="G160" t="str">
        <f t="shared" si="7"/>
        <v>130</v>
      </c>
      <c r="H160" s="24">
        <f t="shared" si="8"/>
        <v>10388196</v>
      </c>
      <c r="I160" t="str">
        <f>VLOOKUP(G160,'CHECK_DT-BT'!$A$3:$C$92,3,FALSE)</f>
        <v>BV Bình Phước</v>
      </c>
    </row>
    <row r="161" spans="1:9" x14ac:dyDescent="0.25">
      <c r="A161" t="str">
        <f t="shared" si="6"/>
        <v>131</v>
      </c>
      <c r="B161" t="s">
        <v>296</v>
      </c>
      <c r="C161" t="s">
        <v>88</v>
      </c>
      <c r="D161" t="s">
        <v>393</v>
      </c>
      <c r="E161" s="110">
        <v>1500000</v>
      </c>
      <c r="F161" t="str">
        <f>VLOOKUP(D161,Sheet1!$A$18:$B$28,2,FALSE)</f>
        <v>BH Xe cơ giới</v>
      </c>
      <c r="G161" t="str">
        <f t="shared" si="7"/>
        <v>131</v>
      </c>
      <c r="H161" s="24">
        <f t="shared" si="8"/>
        <v>1500000</v>
      </c>
      <c r="I161" t="str">
        <f>VLOOKUP(G161,'CHECK_DT-BT'!$A$3:$C$92,3,FALSE)</f>
        <v>BV Bình Thuận</v>
      </c>
    </row>
    <row r="162" spans="1:9" x14ac:dyDescent="0.25">
      <c r="A162" t="str">
        <f t="shared" si="6"/>
        <v>131</v>
      </c>
      <c r="B162" t="s">
        <v>676</v>
      </c>
      <c r="C162" t="s">
        <v>677</v>
      </c>
      <c r="D162" t="s">
        <v>393</v>
      </c>
      <c r="E162" s="110">
        <v>300000</v>
      </c>
      <c r="F162" t="str">
        <f>VLOOKUP(D162,Sheet1!$A$18:$B$28,2,FALSE)</f>
        <v>BH Xe cơ giới</v>
      </c>
      <c r="G162" t="str">
        <f t="shared" si="7"/>
        <v>131</v>
      </c>
      <c r="H162" s="24">
        <f t="shared" si="8"/>
        <v>300000</v>
      </c>
      <c r="I162" t="str">
        <f>VLOOKUP(G162,'CHECK_DT-BT'!$A$3:$C$92,3,FALSE)</f>
        <v>BV Bình Thuận</v>
      </c>
    </row>
    <row r="163" spans="1:9" x14ac:dyDescent="0.25">
      <c r="A163" t="str">
        <f t="shared" si="6"/>
        <v>131</v>
      </c>
      <c r="B163" t="s">
        <v>678</v>
      </c>
      <c r="C163" t="s">
        <v>679</v>
      </c>
      <c r="D163" t="s">
        <v>393</v>
      </c>
      <c r="E163" s="110">
        <v>5300000</v>
      </c>
      <c r="F163" t="str">
        <f>VLOOKUP(D163,Sheet1!$A$18:$B$28,2,FALSE)</f>
        <v>BH Xe cơ giới</v>
      </c>
      <c r="G163" t="str">
        <f t="shared" si="7"/>
        <v>131</v>
      </c>
      <c r="H163" s="24">
        <f t="shared" si="8"/>
        <v>5300000</v>
      </c>
      <c r="I163" t="str">
        <f>VLOOKUP(G163,'CHECK_DT-BT'!$A$3:$C$92,3,FALSE)</f>
        <v>BV Bình Thuận</v>
      </c>
    </row>
    <row r="164" spans="1:9" x14ac:dyDescent="0.25">
      <c r="A164" t="str">
        <f t="shared" si="6"/>
        <v>131</v>
      </c>
      <c r="B164" t="s">
        <v>680</v>
      </c>
      <c r="C164" t="s">
        <v>681</v>
      </c>
      <c r="D164" t="s">
        <v>393</v>
      </c>
      <c r="E164" s="110">
        <v>1500000</v>
      </c>
      <c r="F164" t="str">
        <f>VLOOKUP(D164,Sheet1!$A$18:$B$28,2,FALSE)</f>
        <v>BH Xe cơ giới</v>
      </c>
      <c r="G164" t="str">
        <f t="shared" si="7"/>
        <v>131</v>
      </c>
      <c r="H164" s="24">
        <f t="shared" si="8"/>
        <v>1500000</v>
      </c>
      <c r="I164" t="str">
        <f>VLOOKUP(G164,'CHECK_DT-BT'!$A$3:$C$92,3,FALSE)</f>
        <v>BV Bình Thuận</v>
      </c>
    </row>
    <row r="165" spans="1:9" x14ac:dyDescent="0.25">
      <c r="A165" t="str">
        <f t="shared" si="6"/>
        <v>131</v>
      </c>
      <c r="B165" t="s">
        <v>682</v>
      </c>
      <c r="C165" t="s">
        <v>683</v>
      </c>
      <c r="D165" t="s">
        <v>394</v>
      </c>
      <c r="E165" s="110">
        <v>251000</v>
      </c>
      <c r="F165" t="str">
        <f>VLOOKUP(D165,Sheet1!$A$18:$B$28,2,FALSE)</f>
        <v>BH Con người</v>
      </c>
      <c r="G165" t="str">
        <f t="shared" si="7"/>
        <v>131</v>
      </c>
      <c r="H165" s="24">
        <f t="shared" si="8"/>
        <v>251000</v>
      </c>
      <c r="I165" t="str">
        <f>VLOOKUP(G165,'CHECK_DT-BT'!$A$3:$C$92,3,FALSE)</f>
        <v>BV Bình Thuận</v>
      </c>
    </row>
    <row r="166" spans="1:9" x14ac:dyDescent="0.25">
      <c r="A166" t="str">
        <f t="shared" si="6"/>
        <v>131</v>
      </c>
      <c r="B166" t="s">
        <v>682</v>
      </c>
      <c r="C166" t="s">
        <v>683</v>
      </c>
      <c r="D166" t="s">
        <v>393</v>
      </c>
      <c r="E166" s="110">
        <v>2000000</v>
      </c>
      <c r="F166" t="str">
        <f>VLOOKUP(D166,Sheet1!$A$18:$B$28,2,FALSE)</f>
        <v>BH Xe cơ giới</v>
      </c>
      <c r="G166" t="str">
        <f t="shared" si="7"/>
        <v>131</v>
      </c>
      <c r="H166" s="24">
        <f t="shared" si="8"/>
        <v>2000000</v>
      </c>
      <c r="I166" t="str">
        <f>VLOOKUP(G166,'CHECK_DT-BT'!$A$3:$C$92,3,FALSE)</f>
        <v>BV Bình Thuận</v>
      </c>
    </row>
    <row r="167" spans="1:9" x14ac:dyDescent="0.25">
      <c r="A167" t="str">
        <f t="shared" si="6"/>
        <v>131</v>
      </c>
      <c r="B167" t="s">
        <v>684</v>
      </c>
      <c r="C167" t="s">
        <v>685</v>
      </c>
      <c r="D167" t="s">
        <v>394</v>
      </c>
      <c r="E167" s="110">
        <v>2527500</v>
      </c>
      <c r="F167" t="str">
        <f>VLOOKUP(D167,Sheet1!$A$18:$B$28,2,FALSE)</f>
        <v>BH Con người</v>
      </c>
      <c r="G167" t="str">
        <f t="shared" si="7"/>
        <v>131</v>
      </c>
      <c r="H167" s="24">
        <f t="shared" si="8"/>
        <v>2527500</v>
      </c>
      <c r="I167" t="str">
        <f>VLOOKUP(G167,'CHECK_DT-BT'!$A$3:$C$92,3,FALSE)</f>
        <v>BV Bình Thuận</v>
      </c>
    </row>
    <row r="168" spans="1:9" x14ac:dyDescent="0.25">
      <c r="A168" t="str">
        <f t="shared" si="6"/>
        <v>131</v>
      </c>
      <c r="B168" t="s">
        <v>684</v>
      </c>
      <c r="C168" t="s">
        <v>685</v>
      </c>
      <c r="D168" t="s">
        <v>393</v>
      </c>
      <c r="E168" s="110">
        <v>1200000</v>
      </c>
      <c r="F168" t="str">
        <f>VLOOKUP(D168,Sheet1!$A$18:$B$28,2,FALSE)</f>
        <v>BH Xe cơ giới</v>
      </c>
      <c r="G168" t="str">
        <f t="shared" si="7"/>
        <v>131</v>
      </c>
      <c r="H168" s="24">
        <f t="shared" si="8"/>
        <v>1200000</v>
      </c>
      <c r="I168" t="str">
        <f>VLOOKUP(G168,'CHECK_DT-BT'!$A$3:$C$92,3,FALSE)</f>
        <v>BV Bình Thuận</v>
      </c>
    </row>
    <row r="169" spans="1:9" x14ac:dyDescent="0.25">
      <c r="A169" t="str">
        <f t="shared" si="6"/>
        <v>132</v>
      </c>
      <c r="B169" t="s">
        <v>686</v>
      </c>
      <c r="C169" t="s">
        <v>687</v>
      </c>
      <c r="D169" t="s">
        <v>393</v>
      </c>
      <c r="E169" s="110">
        <v>1600000</v>
      </c>
      <c r="F169" t="str">
        <f>VLOOKUP(D169,Sheet1!$A$18:$B$28,2,FALSE)</f>
        <v>BH Xe cơ giới</v>
      </c>
      <c r="G169" t="str">
        <f t="shared" si="7"/>
        <v>132</v>
      </c>
      <c r="H169" s="24">
        <f t="shared" si="8"/>
        <v>1600000</v>
      </c>
      <c r="I169" t="str">
        <f>VLOOKUP(G169,'CHECK_DT-BT'!$A$3:$C$92,3,FALSE)</f>
        <v>BV Cà Mau</v>
      </c>
    </row>
    <row r="170" spans="1:9" x14ac:dyDescent="0.25">
      <c r="A170" t="str">
        <f t="shared" si="6"/>
        <v>132</v>
      </c>
      <c r="B170" t="s">
        <v>688</v>
      </c>
      <c r="C170" t="s">
        <v>689</v>
      </c>
      <c r="D170" t="s">
        <v>393</v>
      </c>
      <c r="E170" s="110">
        <v>1500000</v>
      </c>
      <c r="F170" t="str">
        <f>VLOOKUP(D170,Sheet1!$A$18:$B$28,2,FALSE)</f>
        <v>BH Xe cơ giới</v>
      </c>
      <c r="G170" t="str">
        <f t="shared" si="7"/>
        <v>132</v>
      </c>
      <c r="H170" s="24">
        <f t="shared" si="8"/>
        <v>1500000</v>
      </c>
      <c r="I170" t="str">
        <f>VLOOKUP(G170,'CHECK_DT-BT'!$A$3:$C$92,3,FALSE)</f>
        <v>BV Cà Mau</v>
      </c>
    </row>
    <row r="171" spans="1:9" x14ac:dyDescent="0.25">
      <c r="A171" t="str">
        <f t="shared" si="6"/>
        <v>132</v>
      </c>
      <c r="B171" t="s">
        <v>690</v>
      </c>
      <c r="C171" t="s">
        <v>691</v>
      </c>
      <c r="D171" t="s">
        <v>387</v>
      </c>
      <c r="E171" s="110">
        <v>49192859</v>
      </c>
      <c r="F171" t="str">
        <f>VLOOKUP(D171,Sheet1!$A$18:$B$28,2,FALSE)</f>
        <v>BH Hàng hóa</v>
      </c>
      <c r="G171" t="str">
        <f t="shared" si="7"/>
        <v>132</v>
      </c>
      <c r="H171" s="24">
        <f t="shared" si="8"/>
        <v>49192859</v>
      </c>
      <c r="I171" t="str">
        <f>VLOOKUP(G171,'CHECK_DT-BT'!$A$3:$C$92,3,FALSE)</f>
        <v>BV Cà Mau</v>
      </c>
    </row>
    <row r="172" spans="1:9" x14ac:dyDescent="0.25">
      <c r="A172" t="str">
        <f t="shared" si="6"/>
        <v>132</v>
      </c>
      <c r="B172" t="s">
        <v>690</v>
      </c>
      <c r="C172" t="s">
        <v>691</v>
      </c>
      <c r="D172" t="s">
        <v>272</v>
      </c>
      <c r="E172" s="110">
        <v>1000000</v>
      </c>
      <c r="F172" t="str">
        <f>VLOOKUP(D172,Sheet1!$A$18:$B$28,2,FALSE)</f>
        <v>Tàu khác</v>
      </c>
      <c r="G172" t="str">
        <f t="shared" si="7"/>
        <v>132</v>
      </c>
      <c r="H172" s="24">
        <f t="shared" si="8"/>
        <v>1000000</v>
      </c>
      <c r="I172" t="str">
        <f>VLOOKUP(G172,'CHECK_DT-BT'!$A$3:$C$92,3,FALSE)</f>
        <v>BV Cà Mau</v>
      </c>
    </row>
    <row r="173" spans="1:9" x14ac:dyDescent="0.25">
      <c r="A173" t="str">
        <f t="shared" si="6"/>
        <v>132</v>
      </c>
      <c r="B173" t="s">
        <v>690</v>
      </c>
      <c r="C173" t="s">
        <v>691</v>
      </c>
      <c r="D173" t="s">
        <v>393</v>
      </c>
      <c r="E173" s="110">
        <v>8300000</v>
      </c>
      <c r="F173" t="str">
        <f>VLOOKUP(D173,Sheet1!$A$18:$B$28,2,FALSE)</f>
        <v>BH Xe cơ giới</v>
      </c>
      <c r="G173" t="str">
        <f t="shared" si="7"/>
        <v>132</v>
      </c>
      <c r="H173" s="24">
        <f t="shared" si="8"/>
        <v>8300000</v>
      </c>
      <c r="I173" t="str">
        <f>VLOOKUP(G173,'CHECK_DT-BT'!$A$3:$C$92,3,FALSE)</f>
        <v>BV Cà Mau</v>
      </c>
    </row>
    <row r="174" spans="1:9" x14ac:dyDescent="0.25">
      <c r="A174" t="str">
        <f t="shared" si="6"/>
        <v>133</v>
      </c>
      <c r="B174" t="s">
        <v>692</v>
      </c>
      <c r="C174" t="s">
        <v>693</v>
      </c>
      <c r="D174" t="s">
        <v>393</v>
      </c>
      <c r="E174" s="110">
        <v>3000000</v>
      </c>
      <c r="F174" t="str">
        <f>VLOOKUP(D174,Sheet1!$A$18:$B$28,2,FALSE)</f>
        <v>BH Xe cơ giới</v>
      </c>
      <c r="G174" t="str">
        <f t="shared" si="7"/>
        <v>133</v>
      </c>
      <c r="H174" s="24">
        <f t="shared" si="8"/>
        <v>3000000</v>
      </c>
      <c r="I174" t="str">
        <f>VLOOKUP(G174,'CHECK_DT-BT'!$A$3:$C$92,3,FALSE)</f>
        <v>BV Cao Bằng</v>
      </c>
    </row>
    <row r="175" spans="1:9" x14ac:dyDescent="0.25">
      <c r="A175" t="str">
        <f t="shared" si="6"/>
        <v>133</v>
      </c>
      <c r="B175" t="s">
        <v>694</v>
      </c>
      <c r="C175" t="s">
        <v>695</v>
      </c>
      <c r="D175" t="s">
        <v>393</v>
      </c>
      <c r="E175" s="110">
        <v>1000000</v>
      </c>
      <c r="F175" t="str">
        <f>VLOOKUP(D175,Sheet1!$A$18:$B$28,2,FALSE)</f>
        <v>BH Xe cơ giới</v>
      </c>
      <c r="G175" t="str">
        <f t="shared" si="7"/>
        <v>133</v>
      </c>
      <c r="H175" s="24">
        <f t="shared" si="8"/>
        <v>1000000</v>
      </c>
      <c r="I175" t="str">
        <f>VLOOKUP(G175,'CHECK_DT-BT'!$A$3:$C$92,3,FALSE)</f>
        <v>BV Cao Bằng</v>
      </c>
    </row>
    <row r="176" spans="1:9" x14ac:dyDescent="0.25">
      <c r="A176" t="str">
        <f t="shared" si="6"/>
        <v>134</v>
      </c>
      <c r="B176" t="s">
        <v>696</v>
      </c>
      <c r="C176" t="s">
        <v>697</v>
      </c>
      <c r="D176" t="s">
        <v>393</v>
      </c>
      <c r="E176" s="110">
        <v>3700000</v>
      </c>
      <c r="F176" t="str">
        <f>VLOOKUP(D176,Sheet1!$A$18:$B$28,2,FALSE)</f>
        <v>BH Xe cơ giới</v>
      </c>
      <c r="G176" t="str">
        <f t="shared" si="7"/>
        <v>134</v>
      </c>
      <c r="H176" s="24">
        <f t="shared" si="8"/>
        <v>3700000</v>
      </c>
      <c r="I176" t="str">
        <f>VLOOKUP(G176,'CHECK_DT-BT'!$A$3:$C$92,3,FALSE)</f>
        <v>BV Cần Thơ</v>
      </c>
    </row>
    <row r="177" spans="1:9" x14ac:dyDescent="0.25">
      <c r="A177" t="str">
        <f t="shared" si="6"/>
        <v>134</v>
      </c>
      <c r="B177" t="s">
        <v>698</v>
      </c>
      <c r="C177" t="s">
        <v>699</v>
      </c>
      <c r="D177" t="s">
        <v>272</v>
      </c>
      <c r="E177" s="110">
        <v>14520000</v>
      </c>
      <c r="F177" t="str">
        <f>VLOOKUP(D177,Sheet1!$A$18:$B$28,2,FALSE)</f>
        <v>Tàu khác</v>
      </c>
      <c r="G177" t="str">
        <f t="shared" si="7"/>
        <v>134</v>
      </c>
      <c r="H177" s="24">
        <f t="shared" si="8"/>
        <v>14520000</v>
      </c>
      <c r="I177" t="str">
        <f>VLOOKUP(G177,'CHECK_DT-BT'!$A$3:$C$92,3,FALSE)</f>
        <v>BV Cần Thơ</v>
      </c>
    </row>
    <row r="178" spans="1:9" x14ac:dyDescent="0.25">
      <c r="A178" t="str">
        <f t="shared" si="6"/>
        <v>134</v>
      </c>
      <c r="B178" t="s">
        <v>698</v>
      </c>
      <c r="C178" t="s">
        <v>699</v>
      </c>
      <c r="D178" t="s">
        <v>393</v>
      </c>
      <c r="E178" s="110">
        <v>4200000</v>
      </c>
      <c r="F178" t="str">
        <f>VLOOKUP(D178,Sheet1!$A$18:$B$28,2,FALSE)</f>
        <v>BH Xe cơ giới</v>
      </c>
      <c r="G178" t="str">
        <f t="shared" si="7"/>
        <v>134</v>
      </c>
      <c r="H178" s="24">
        <f t="shared" si="8"/>
        <v>4200000</v>
      </c>
      <c r="I178" t="str">
        <f>VLOOKUP(G178,'CHECK_DT-BT'!$A$3:$C$92,3,FALSE)</f>
        <v>BV Cần Thơ</v>
      </c>
    </row>
    <row r="179" spans="1:9" x14ac:dyDescent="0.25">
      <c r="A179" t="str">
        <f t="shared" si="6"/>
        <v>134</v>
      </c>
      <c r="B179" t="s">
        <v>700</v>
      </c>
      <c r="C179" t="s">
        <v>701</v>
      </c>
      <c r="D179" t="s">
        <v>393</v>
      </c>
      <c r="E179" s="110">
        <v>800000</v>
      </c>
      <c r="F179" t="str">
        <f>VLOOKUP(D179,Sheet1!$A$18:$B$28,2,FALSE)</f>
        <v>BH Xe cơ giới</v>
      </c>
      <c r="G179" t="str">
        <f t="shared" si="7"/>
        <v>134</v>
      </c>
      <c r="H179" s="24">
        <f t="shared" si="8"/>
        <v>800000</v>
      </c>
      <c r="I179" t="str">
        <f>VLOOKUP(G179,'CHECK_DT-BT'!$A$3:$C$92,3,FALSE)</f>
        <v>BV Cần Thơ</v>
      </c>
    </row>
    <row r="180" spans="1:9" x14ac:dyDescent="0.25">
      <c r="A180" t="str">
        <f t="shared" si="6"/>
        <v>134</v>
      </c>
      <c r="B180" t="s">
        <v>702</v>
      </c>
      <c r="C180" t="s">
        <v>703</v>
      </c>
      <c r="D180" t="s">
        <v>272</v>
      </c>
      <c r="E180" s="110">
        <v>1000000</v>
      </c>
      <c r="F180" t="str">
        <f>VLOOKUP(D180,Sheet1!$A$18:$B$28,2,FALSE)</f>
        <v>Tàu khác</v>
      </c>
      <c r="G180" t="str">
        <f t="shared" si="7"/>
        <v>134</v>
      </c>
      <c r="H180" s="24">
        <f t="shared" si="8"/>
        <v>1000000</v>
      </c>
      <c r="I180" t="str">
        <f>VLOOKUP(G180,'CHECK_DT-BT'!$A$3:$C$92,3,FALSE)</f>
        <v>BV Cần Thơ</v>
      </c>
    </row>
    <row r="181" spans="1:9" x14ac:dyDescent="0.25">
      <c r="A181" t="str">
        <f t="shared" si="6"/>
        <v>134</v>
      </c>
      <c r="B181" t="s">
        <v>702</v>
      </c>
      <c r="C181" t="s">
        <v>703</v>
      </c>
      <c r="D181" t="s">
        <v>393</v>
      </c>
      <c r="E181" s="110">
        <v>7500000</v>
      </c>
      <c r="F181" t="str">
        <f>VLOOKUP(D181,Sheet1!$A$18:$B$28,2,FALSE)</f>
        <v>BH Xe cơ giới</v>
      </c>
      <c r="G181" t="str">
        <f t="shared" si="7"/>
        <v>134</v>
      </c>
      <c r="H181" s="24">
        <f t="shared" si="8"/>
        <v>7500000</v>
      </c>
      <c r="I181" t="str">
        <f>VLOOKUP(G181,'CHECK_DT-BT'!$A$3:$C$92,3,FALSE)</f>
        <v>BV Cần Thơ</v>
      </c>
    </row>
    <row r="182" spans="1:9" x14ac:dyDescent="0.25">
      <c r="A182" t="str">
        <f t="shared" si="6"/>
        <v>134</v>
      </c>
      <c r="B182" t="s">
        <v>704</v>
      </c>
      <c r="C182" t="s">
        <v>705</v>
      </c>
      <c r="D182" t="s">
        <v>393</v>
      </c>
      <c r="E182" s="110">
        <v>12200000</v>
      </c>
      <c r="F182" t="str">
        <f>VLOOKUP(D182,Sheet1!$A$18:$B$28,2,FALSE)</f>
        <v>BH Xe cơ giới</v>
      </c>
      <c r="G182" t="str">
        <f t="shared" si="7"/>
        <v>134</v>
      </c>
      <c r="H182" s="24">
        <f t="shared" si="8"/>
        <v>12200000</v>
      </c>
      <c r="I182" t="str">
        <f>VLOOKUP(G182,'CHECK_DT-BT'!$A$3:$C$92,3,FALSE)</f>
        <v>BV Cần Thơ</v>
      </c>
    </row>
    <row r="183" spans="1:9" x14ac:dyDescent="0.25">
      <c r="A183" t="str">
        <f t="shared" si="6"/>
        <v>134</v>
      </c>
      <c r="B183" t="s">
        <v>706</v>
      </c>
      <c r="C183" t="s">
        <v>707</v>
      </c>
      <c r="D183" t="s">
        <v>393</v>
      </c>
      <c r="E183" s="110">
        <v>28000000</v>
      </c>
      <c r="F183" t="str">
        <f>VLOOKUP(D183,Sheet1!$A$18:$B$28,2,FALSE)</f>
        <v>BH Xe cơ giới</v>
      </c>
      <c r="G183" t="str">
        <f t="shared" si="7"/>
        <v>134</v>
      </c>
      <c r="H183" s="24">
        <f t="shared" si="8"/>
        <v>28000000</v>
      </c>
      <c r="I183" t="str">
        <f>VLOOKUP(G183,'CHECK_DT-BT'!$A$3:$C$92,3,FALSE)</f>
        <v>BV Cần Thơ</v>
      </c>
    </row>
    <row r="184" spans="1:9" x14ac:dyDescent="0.25">
      <c r="A184" t="str">
        <f t="shared" si="6"/>
        <v>134</v>
      </c>
      <c r="B184" t="s">
        <v>708</v>
      </c>
      <c r="C184" t="s">
        <v>709</v>
      </c>
      <c r="D184" t="s">
        <v>394</v>
      </c>
      <c r="E184" s="110">
        <v>200000</v>
      </c>
      <c r="F184" t="str">
        <f>VLOOKUP(D184,Sheet1!$A$18:$B$28,2,FALSE)</f>
        <v>BH Con người</v>
      </c>
      <c r="G184" t="str">
        <f t="shared" si="7"/>
        <v>134</v>
      </c>
      <c r="H184" s="24">
        <f t="shared" si="8"/>
        <v>200000</v>
      </c>
      <c r="I184" t="str">
        <f>VLOOKUP(G184,'CHECK_DT-BT'!$A$3:$C$92,3,FALSE)</f>
        <v>BV Cần Thơ</v>
      </c>
    </row>
    <row r="185" spans="1:9" x14ac:dyDescent="0.25">
      <c r="A185" t="str">
        <f t="shared" si="6"/>
        <v>134</v>
      </c>
      <c r="B185" t="s">
        <v>708</v>
      </c>
      <c r="C185" t="s">
        <v>709</v>
      </c>
      <c r="D185" t="s">
        <v>393</v>
      </c>
      <c r="E185" s="110">
        <v>6300000</v>
      </c>
      <c r="F185" t="str">
        <f>VLOOKUP(D185,Sheet1!$A$18:$B$28,2,FALSE)</f>
        <v>BH Xe cơ giới</v>
      </c>
      <c r="G185" t="str">
        <f t="shared" si="7"/>
        <v>134</v>
      </c>
      <c r="H185" s="24">
        <f t="shared" si="8"/>
        <v>6300000</v>
      </c>
      <c r="I185" t="str">
        <f>VLOOKUP(G185,'CHECK_DT-BT'!$A$3:$C$92,3,FALSE)</f>
        <v>BV Cần Thơ</v>
      </c>
    </row>
    <row r="186" spans="1:9" x14ac:dyDescent="0.25">
      <c r="A186" t="str">
        <f t="shared" si="6"/>
        <v>134</v>
      </c>
      <c r="B186" t="s">
        <v>710</v>
      </c>
      <c r="C186" t="s">
        <v>711</v>
      </c>
      <c r="D186" t="s">
        <v>393</v>
      </c>
      <c r="E186" s="110">
        <v>5900000</v>
      </c>
      <c r="F186" t="str">
        <f>VLOOKUP(D186,Sheet1!$A$18:$B$28,2,FALSE)</f>
        <v>BH Xe cơ giới</v>
      </c>
      <c r="G186" t="str">
        <f t="shared" si="7"/>
        <v>134</v>
      </c>
      <c r="H186" s="24">
        <f t="shared" si="8"/>
        <v>5900000</v>
      </c>
      <c r="I186" t="str">
        <f>VLOOKUP(G186,'CHECK_DT-BT'!$A$3:$C$92,3,FALSE)</f>
        <v>BV Cần Thơ</v>
      </c>
    </row>
    <row r="187" spans="1:9" x14ac:dyDescent="0.25">
      <c r="A187" t="str">
        <f t="shared" si="6"/>
        <v>134</v>
      </c>
      <c r="B187" t="s">
        <v>712</v>
      </c>
      <c r="C187" t="s">
        <v>713</v>
      </c>
      <c r="D187" t="s">
        <v>393</v>
      </c>
      <c r="E187" s="110">
        <v>32300000</v>
      </c>
      <c r="F187" t="str">
        <f>VLOOKUP(D187,Sheet1!$A$18:$B$28,2,FALSE)</f>
        <v>BH Xe cơ giới</v>
      </c>
      <c r="G187" t="str">
        <f t="shared" si="7"/>
        <v>134</v>
      </c>
      <c r="H187" s="24">
        <f t="shared" si="8"/>
        <v>32300000</v>
      </c>
      <c r="I187" t="str">
        <f>VLOOKUP(G187,'CHECK_DT-BT'!$A$3:$C$92,3,FALSE)</f>
        <v>BV Cần Thơ</v>
      </c>
    </row>
    <row r="188" spans="1:9" x14ac:dyDescent="0.25">
      <c r="A188" t="str">
        <f t="shared" si="6"/>
        <v>134</v>
      </c>
      <c r="B188" t="s">
        <v>714</v>
      </c>
      <c r="C188" t="s">
        <v>715</v>
      </c>
      <c r="D188" t="s">
        <v>393</v>
      </c>
      <c r="E188" s="110">
        <v>11500000</v>
      </c>
      <c r="F188" t="str">
        <f>VLOOKUP(D188,Sheet1!$A$18:$B$28,2,FALSE)</f>
        <v>BH Xe cơ giới</v>
      </c>
      <c r="G188" t="str">
        <f t="shared" si="7"/>
        <v>134</v>
      </c>
      <c r="H188" s="24">
        <f t="shared" si="8"/>
        <v>11500000</v>
      </c>
      <c r="I188" t="str">
        <f>VLOOKUP(G188,'CHECK_DT-BT'!$A$3:$C$92,3,FALSE)</f>
        <v>BV Cần Thơ</v>
      </c>
    </row>
    <row r="189" spans="1:9" x14ac:dyDescent="0.25">
      <c r="A189" t="str">
        <f t="shared" si="6"/>
        <v>134</v>
      </c>
      <c r="B189" t="s">
        <v>716</v>
      </c>
      <c r="C189" t="s">
        <v>717</v>
      </c>
      <c r="D189" t="s">
        <v>393</v>
      </c>
      <c r="E189" s="110">
        <v>26800000</v>
      </c>
      <c r="F189" t="str">
        <f>VLOOKUP(D189,Sheet1!$A$18:$B$28,2,FALSE)</f>
        <v>BH Xe cơ giới</v>
      </c>
      <c r="G189" t="str">
        <f t="shared" si="7"/>
        <v>134</v>
      </c>
      <c r="H189" s="24">
        <f t="shared" si="8"/>
        <v>26800000</v>
      </c>
      <c r="I189" t="str">
        <f>VLOOKUP(G189,'CHECK_DT-BT'!$A$3:$C$92,3,FALSE)</f>
        <v>BV Cần Thơ</v>
      </c>
    </row>
    <row r="190" spans="1:9" x14ac:dyDescent="0.25">
      <c r="A190" t="str">
        <f t="shared" si="6"/>
        <v>134</v>
      </c>
      <c r="B190" t="s">
        <v>718</v>
      </c>
      <c r="C190" t="s">
        <v>719</v>
      </c>
      <c r="D190" t="s">
        <v>393</v>
      </c>
      <c r="E190" s="110">
        <v>115290000</v>
      </c>
      <c r="F190" t="str">
        <f>VLOOKUP(D190,Sheet1!$A$18:$B$28,2,FALSE)</f>
        <v>BH Xe cơ giới</v>
      </c>
      <c r="G190" t="str">
        <f t="shared" si="7"/>
        <v>134</v>
      </c>
      <c r="H190" s="24">
        <f t="shared" si="8"/>
        <v>115290000</v>
      </c>
      <c r="I190" t="str">
        <f>VLOOKUP(G190,'CHECK_DT-BT'!$A$3:$C$92,3,FALSE)</f>
        <v>BV Cần Thơ</v>
      </c>
    </row>
    <row r="191" spans="1:9" x14ac:dyDescent="0.25">
      <c r="A191" t="str">
        <f t="shared" si="6"/>
        <v>134</v>
      </c>
      <c r="B191" t="s">
        <v>720</v>
      </c>
      <c r="C191" t="s">
        <v>721</v>
      </c>
      <c r="D191" t="s">
        <v>393</v>
      </c>
      <c r="E191" s="110">
        <v>2400000</v>
      </c>
      <c r="F191" t="str">
        <f>VLOOKUP(D191,Sheet1!$A$18:$B$28,2,FALSE)</f>
        <v>BH Xe cơ giới</v>
      </c>
      <c r="G191" t="str">
        <f t="shared" si="7"/>
        <v>134</v>
      </c>
      <c r="H191" s="24">
        <f t="shared" si="8"/>
        <v>2400000</v>
      </c>
      <c r="I191" t="str">
        <f>VLOOKUP(G191,'CHECK_DT-BT'!$A$3:$C$92,3,FALSE)</f>
        <v>BV Cần Thơ</v>
      </c>
    </row>
    <row r="192" spans="1:9" x14ac:dyDescent="0.25">
      <c r="A192" t="str">
        <f t="shared" si="6"/>
        <v>135</v>
      </c>
      <c r="B192" t="s">
        <v>722</v>
      </c>
      <c r="C192" t="s">
        <v>723</v>
      </c>
      <c r="D192" t="s">
        <v>391</v>
      </c>
      <c r="E192" s="110">
        <v>0</v>
      </c>
      <c r="F192" t="str">
        <f>VLOOKUP(D192,Sheet1!$A$18:$B$28,2,FALSE)</f>
        <v>BH Kỹ thuật</v>
      </c>
      <c r="G192" t="str">
        <f t="shared" si="7"/>
        <v>135</v>
      </c>
      <c r="H192" s="24">
        <f t="shared" si="8"/>
        <v>0</v>
      </c>
      <c r="I192" t="str">
        <f>VLOOKUP(G192,'CHECK_DT-BT'!$A$3:$C$92,3,FALSE)</f>
        <v>BV Đà Nẵng</v>
      </c>
    </row>
    <row r="193" spans="1:9" x14ac:dyDescent="0.25">
      <c r="A193" t="str">
        <f t="shared" si="6"/>
        <v>135</v>
      </c>
      <c r="B193" t="s">
        <v>724</v>
      </c>
      <c r="C193" t="s">
        <v>725</v>
      </c>
      <c r="D193" t="s">
        <v>392</v>
      </c>
      <c r="E193" s="110">
        <v>31818182</v>
      </c>
      <c r="F193" t="str">
        <f>VLOOKUP(D193,Sheet1!$A$18:$B$28,2,FALSE)</f>
        <v>BH Tài sản</v>
      </c>
      <c r="G193" t="str">
        <f t="shared" si="7"/>
        <v>135</v>
      </c>
      <c r="H193" s="24">
        <f t="shared" si="8"/>
        <v>31818182</v>
      </c>
      <c r="I193" t="str">
        <f>VLOOKUP(G193,'CHECK_DT-BT'!$A$3:$C$92,3,FALSE)</f>
        <v>BV Đà Nẵng</v>
      </c>
    </row>
    <row r="194" spans="1:9" x14ac:dyDescent="0.25">
      <c r="A194" t="str">
        <f t="shared" si="6"/>
        <v>135</v>
      </c>
      <c r="B194" t="s">
        <v>724</v>
      </c>
      <c r="C194" t="s">
        <v>725</v>
      </c>
      <c r="D194" t="s">
        <v>393</v>
      </c>
      <c r="E194" s="110">
        <v>6800000</v>
      </c>
      <c r="F194" t="str">
        <f>VLOOKUP(D194,Sheet1!$A$18:$B$28,2,FALSE)</f>
        <v>BH Xe cơ giới</v>
      </c>
      <c r="G194" t="str">
        <f t="shared" si="7"/>
        <v>135</v>
      </c>
      <c r="H194" s="24">
        <f t="shared" si="8"/>
        <v>6800000</v>
      </c>
      <c r="I194" t="str">
        <f>VLOOKUP(G194,'CHECK_DT-BT'!$A$3:$C$92,3,FALSE)</f>
        <v>BV Đà Nẵng</v>
      </c>
    </row>
    <row r="195" spans="1:9" x14ac:dyDescent="0.25">
      <c r="A195" t="str">
        <f t="shared" si="6"/>
        <v>135</v>
      </c>
      <c r="B195" t="s">
        <v>726</v>
      </c>
      <c r="C195" t="s">
        <v>727</v>
      </c>
      <c r="D195" t="s">
        <v>392</v>
      </c>
      <c r="E195" s="110">
        <v>39200905</v>
      </c>
      <c r="F195" t="str">
        <f>VLOOKUP(D195,Sheet1!$A$18:$B$28,2,FALSE)</f>
        <v>BH Tài sản</v>
      </c>
      <c r="G195" t="str">
        <f t="shared" si="7"/>
        <v>135</v>
      </c>
      <c r="H195" s="24">
        <f t="shared" si="8"/>
        <v>39200905</v>
      </c>
      <c r="I195" t="str">
        <f>VLOOKUP(G195,'CHECK_DT-BT'!$A$3:$C$92,3,FALSE)</f>
        <v>BV Đà Nẵng</v>
      </c>
    </row>
    <row r="196" spans="1:9" x14ac:dyDescent="0.25">
      <c r="A196" t="str">
        <f t="shared" si="6"/>
        <v>135</v>
      </c>
      <c r="B196" t="s">
        <v>726</v>
      </c>
      <c r="C196" t="s">
        <v>727</v>
      </c>
      <c r="D196" t="s">
        <v>393</v>
      </c>
      <c r="E196" s="110">
        <v>3400000</v>
      </c>
      <c r="F196" t="str">
        <f>VLOOKUP(D196,Sheet1!$A$18:$B$28,2,FALSE)</f>
        <v>BH Xe cơ giới</v>
      </c>
      <c r="G196" t="str">
        <f t="shared" si="7"/>
        <v>135</v>
      </c>
      <c r="H196" s="24">
        <f t="shared" si="8"/>
        <v>3400000</v>
      </c>
      <c r="I196" t="str">
        <f>VLOOKUP(G196,'CHECK_DT-BT'!$A$3:$C$92,3,FALSE)</f>
        <v>BV Đà Nẵng</v>
      </c>
    </row>
    <row r="197" spans="1:9" x14ac:dyDescent="0.25">
      <c r="A197" t="str">
        <f t="shared" ref="A197:A260" si="9">LEFT(B197,3)</f>
        <v>135</v>
      </c>
      <c r="B197" t="s">
        <v>728</v>
      </c>
      <c r="C197" t="s">
        <v>729</v>
      </c>
      <c r="D197" t="s">
        <v>391</v>
      </c>
      <c r="E197" s="110">
        <v>121448475</v>
      </c>
      <c r="F197" t="str">
        <f>VLOOKUP(D197,Sheet1!$A$18:$B$28,2,FALSE)</f>
        <v>BH Kỹ thuật</v>
      </c>
      <c r="G197" t="str">
        <f t="shared" ref="G197:G260" si="10">IF(A197="101",B197,A197)</f>
        <v>135</v>
      </c>
      <c r="H197" s="24">
        <f t="shared" ref="H197:H260" si="11">E197</f>
        <v>121448475</v>
      </c>
      <c r="I197" t="str">
        <f>VLOOKUP(G197,'CHECK_DT-BT'!$A$3:$C$92,3,FALSE)</f>
        <v>BV Đà Nẵng</v>
      </c>
    </row>
    <row r="198" spans="1:9" x14ac:dyDescent="0.25">
      <c r="A198" t="str">
        <f t="shared" si="9"/>
        <v>135</v>
      </c>
      <c r="B198" t="s">
        <v>730</v>
      </c>
      <c r="C198" t="s">
        <v>731</v>
      </c>
      <c r="D198" t="s">
        <v>392</v>
      </c>
      <c r="E198" s="110">
        <v>26320000</v>
      </c>
      <c r="F198" t="str">
        <f>VLOOKUP(D198,Sheet1!$A$18:$B$28,2,FALSE)</f>
        <v>BH Tài sản</v>
      </c>
      <c r="G198" t="str">
        <f t="shared" si="10"/>
        <v>135</v>
      </c>
      <c r="H198" s="24">
        <f t="shared" si="11"/>
        <v>26320000</v>
      </c>
      <c r="I198" t="str">
        <f>VLOOKUP(G198,'CHECK_DT-BT'!$A$3:$C$92,3,FALSE)</f>
        <v>BV Đà Nẵng</v>
      </c>
    </row>
    <row r="199" spans="1:9" x14ac:dyDescent="0.25">
      <c r="A199" t="str">
        <f t="shared" si="9"/>
        <v>135</v>
      </c>
      <c r="B199" t="s">
        <v>732</v>
      </c>
      <c r="C199" t="s">
        <v>733</v>
      </c>
      <c r="D199" t="s">
        <v>393</v>
      </c>
      <c r="E199" s="110">
        <v>1000000</v>
      </c>
      <c r="F199" t="str">
        <f>VLOOKUP(D199,Sheet1!$A$18:$B$28,2,FALSE)</f>
        <v>BH Xe cơ giới</v>
      </c>
      <c r="G199" t="str">
        <f t="shared" si="10"/>
        <v>135</v>
      </c>
      <c r="H199" s="24">
        <f t="shared" si="11"/>
        <v>1000000</v>
      </c>
      <c r="I199" t="str">
        <f>VLOOKUP(G199,'CHECK_DT-BT'!$A$3:$C$92,3,FALSE)</f>
        <v>BV Đà Nẵng</v>
      </c>
    </row>
    <row r="200" spans="1:9" x14ac:dyDescent="0.25">
      <c r="A200" t="str">
        <f t="shared" si="9"/>
        <v>135</v>
      </c>
      <c r="B200" t="s">
        <v>734</v>
      </c>
      <c r="C200" t="s">
        <v>735</v>
      </c>
      <c r="D200" t="s">
        <v>393</v>
      </c>
      <c r="E200" s="110">
        <v>1100000</v>
      </c>
      <c r="F200" t="str">
        <f>VLOOKUP(D200,Sheet1!$A$18:$B$28,2,FALSE)</f>
        <v>BH Xe cơ giới</v>
      </c>
      <c r="G200" t="str">
        <f t="shared" si="10"/>
        <v>135</v>
      </c>
      <c r="H200" s="24">
        <f t="shared" si="11"/>
        <v>1100000</v>
      </c>
      <c r="I200" t="str">
        <f>VLOOKUP(G200,'CHECK_DT-BT'!$A$3:$C$92,3,FALSE)</f>
        <v>BV Đà Nẵng</v>
      </c>
    </row>
    <row r="201" spans="1:9" x14ac:dyDescent="0.25">
      <c r="A201" t="str">
        <f t="shared" si="9"/>
        <v>135</v>
      </c>
      <c r="B201" t="s">
        <v>736</v>
      </c>
      <c r="C201" t="s">
        <v>737</v>
      </c>
      <c r="D201" t="s">
        <v>387</v>
      </c>
      <c r="E201" s="110">
        <v>18634250</v>
      </c>
      <c r="F201" t="str">
        <f>VLOOKUP(D201,Sheet1!$A$18:$B$28,2,FALSE)</f>
        <v>BH Hàng hóa</v>
      </c>
      <c r="G201" t="str">
        <f t="shared" si="10"/>
        <v>135</v>
      </c>
      <c r="H201" s="24">
        <f t="shared" si="11"/>
        <v>18634250</v>
      </c>
      <c r="I201" t="str">
        <f>VLOOKUP(G201,'CHECK_DT-BT'!$A$3:$C$92,3,FALSE)</f>
        <v>BV Đà Nẵng</v>
      </c>
    </row>
    <row r="202" spans="1:9" x14ac:dyDescent="0.25">
      <c r="A202" t="str">
        <f t="shared" si="9"/>
        <v>135</v>
      </c>
      <c r="B202" t="s">
        <v>736</v>
      </c>
      <c r="C202" t="s">
        <v>737</v>
      </c>
      <c r="D202" t="s">
        <v>391</v>
      </c>
      <c r="E202" s="110">
        <v>532059149</v>
      </c>
      <c r="F202" t="str">
        <f>VLOOKUP(D202,Sheet1!$A$18:$B$28,2,FALSE)</f>
        <v>BH Kỹ thuật</v>
      </c>
      <c r="G202" t="str">
        <f t="shared" si="10"/>
        <v>135</v>
      </c>
      <c r="H202" s="24">
        <f t="shared" si="11"/>
        <v>532059149</v>
      </c>
      <c r="I202" t="str">
        <f>VLOOKUP(G202,'CHECK_DT-BT'!$A$3:$C$92,3,FALSE)</f>
        <v>BV Đà Nẵng</v>
      </c>
    </row>
    <row r="203" spans="1:9" x14ac:dyDescent="0.25">
      <c r="A203" t="str">
        <f t="shared" si="9"/>
        <v>135</v>
      </c>
      <c r="B203" t="s">
        <v>736</v>
      </c>
      <c r="C203" t="s">
        <v>737</v>
      </c>
      <c r="D203" t="s">
        <v>392</v>
      </c>
      <c r="E203" s="110">
        <v>4090909091</v>
      </c>
      <c r="F203" t="str">
        <f>VLOOKUP(D203,Sheet1!$A$18:$B$28,2,FALSE)</f>
        <v>BH Tài sản</v>
      </c>
      <c r="G203" t="str">
        <f t="shared" si="10"/>
        <v>135</v>
      </c>
      <c r="H203" s="24">
        <f t="shared" si="11"/>
        <v>4090909091</v>
      </c>
      <c r="I203" t="str">
        <f>VLOOKUP(G203,'CHECK_DT-BT'!$A$3:$C$92,3,FALSE)</f>
        <v>BV Đà Nẵng</v>
      </c>
    </row>
    <row r="204" spans="1:9" x14ac:dyDescent="0.25">
      <c r="A204" t="str">
        <f t="shared" si="9"/>
        <v>135</v>
      </c>
      <c r="B204" t="s">
        <v>738</v>
      </c>
      <c r="C204" t="s">
        <v>739</v>
      </c>
      <c r="D204" t="s">
        <v>393</v>
      </c>
      <c r="E204" s="110">
        <v>8200000</v>
      </c>
      <c r="F204" t="str">
        <f>VLOOKUP(D204,Sheet1!$A$18:$B$28,2,FALSE)</f>
        <v>BH Xe cơ giới</v>
      </c>
      <c r="G204" t="str">
        <f t="shared" si="10"/>
        <v>135</v>
      </c>
      <c r="H204" s="24">
        <f t="shared" si="11"/>
        <v>8200000</v>
      </c>
      <c r="I204" t="str">
        <f>VLOOKUP(G204,'CHECK_DT-BT'!$A$3:$C$92,3,FALSE)</f>
        <v>BV Đà Nẵng</v>
      </c>
    </row>
    <row r="205" spans="1:9" x14ac:dyDescent="0.25">
      <c r="A205" t="str">
        <f t="shared" si="9"/>
        <v>135</v>
      </c>
      <c r="B205" t="s">
        <v>740</v>
      </c>
      <c r="C205" t="s">
        <v>741</v>
      </c>
      <c r="D205" t="s">
        <v>393</v>
      </c>
      <c r="E205" s="110">
        <v>9200000</v>
      </c>
      <c r="F205" t="str">
        <f>VLOOKUP(D205,Sheet1!$A$18:$B$28,2,FALSE)</f>
        <v>BH Xe cơ giới</v>
      </c>
      <c r="G205" t="str">
        <f t="shared" si="10"/>
        <v>135</v>
      </c>
      <c r="H205" s="24">
        <f t="shared" si="11"/>
        <v>9200000</v>
      </c>
      <c r="I205" t="str">
        <f>VLOOKUP(G205,'CHECK_DT-BT'!$A$3:$C$92,3,FALSE)</f>
        <v>BV Đà Nẵng</v>
      </c>
    </row>
    <row r="206" spans="1:9" x14ac:dyDescent="0.25">
      <c r="A206" t="str">
        <f t="shared" si="9"/>
        <v>135</v>
      </c>
      <c r="B206" t="s">
        <v>742</v>
      </c>
      <c r="C206" t="s">
        <v>743</v>
      </c>
      <c r="D206" t="s">
        <v>393</v>
      </c>
      <c r="E206" s="110">
        <v>9800000</v>
      </c>
      <c r="F206" t="str">
        <f>VLOOKUP(D206,Sheet1!$A$18:$B$28,2,FALSE)</f>
        <v>BH Xe cơ giới</v>
      </c>
      <c r="G206" t="str">
        <f t="shared" si="10"/>
        <v>135</v>
      </c>
      <c r="H206" s="24">
        <f t="shared" si="11"/>
        <v>9800000</v>
      </c>
      <c r="I206" t="str">
        <f>VLOOKUP(G206,'CHECK_DT-BT'!$A$3:$C$92,3,FALSE)</f>
        <v>BV Đà Nẵng</v>
      </c>
    </row>
    <row r="207" spans="1:9" x14ac:dyDescent="0.25">
      <c r="A207" t="str">
        <f t="shared" si="9"/>
        <v>135</v>
      </c>
      <c r="B207" t="s">
        <v>744</v>
      </c>
      <c r="C207" t="s">
        <v>745</v>
      </c>
      <c r="D207" t="s">
        <v>393</v>
      </c>
      <c r="E207" s="110">
        <v>17600000</v>
      </c>
      <c r="F207" t="str">
        <f>VLOOKUP(D207,Sheet1!$A$18:$B$28,2,FALSE)</f>
        <v>BH Xe cơ giới</v>
      </c>
      <c r="G207" t="str">
        <f t="shared" si="10"/>
        <v>135</v>
      </c>
      <c r="H207" s="24">
        <f t="shared" si="11"/>
        <v>17600000</v>
      </c>
      <c r="I207" t="str">
        <f>VLOOKUP(G207,'CHECK_DT-BT'!$A$3:$C$92,3,FALSE)</f>
        <v>BV Đà Nẵng</v>
      </c>
    </row>
    <row r="208" spans="1:9" x14ac:dyDescent="0.25">
      <c r="A208" t="str">
        <f t="shared" si="9"/>
        <v>136</v>
      </c>
      <c r="B208" t="s">
        <v>301</v>
      </c>
      <c r="C208" t="s">
        <v>81</v>
      </c>
      <c r="D208" t="s">
        <v>393</v>
      </c>
      <c r="E208" s="110">
        <v>5800000</v>
      </c>
      <c r="F208" t="str">
        <f>VLOOKUP(D208,Sheet1!$A$18:$B$28,2,FALSE)</f>
        <v>BH Xe cơ giới</v>
      </c>
      <c r="G208" t="str">
        <f t="shared" si="10"/>
        <v>136</v>
      </c>
      <c r="H208" s="24">
        <f t="shared" si="11"/>
        <v>5800000</v>
      </c>
      <c r="I208" t="str">
        <f>VLOOKUP(G208,'CHECK_DT-BT'!$A$3:$C$92,3,FALSE)</f>
        <v>BV Dak Lak</v>
      </c>
    </row>
    <row r="209" spans="1:9" x14ac:dyDescent="0.25">
      <c r="A209" t="str">
        <f t="shared" si="9"/>
        <v>136</v>
      </c>
      <c r="B209" t="s">
        <v>746</v>
      </c>
      <c r="C209" t="s">
        <v>747</v>
      </c>
      <c r="D209" t="s">
        <v>393</v>
      </c>
      <c r="E209" s="110">
        <v>-12340000</v>
      </c>
      <c r="F209" t="str">
        <f>VLOOKUP(D209,Sheet1!$A$18:$B$28,2,FALSE)</f>
        <v>BH Xe cơ giới</v>
      </c>
      <c r="G209" t="str">
        <f t="shared" si="10"/>
        <v>136</v>
      </c>
      <c r="H209" s="24">
        <f t="shared" si="11"/>
        <v>-12340000</v>
      </c>
      <c r="I209" t="str">
        <f>VLOOKUP(G209,'CHECK_DT-BT'!$A$3:$C$92,3,FALSE)</f>
        <v>BV Dak Lak</v>
      </c>
    </row>
    <row r="210" spans="1:9" x14ac:dyDescent="0.25">
      <c r="A210" t="str">
        <f t="shared" si="9"/>
        <v>136</v>
      </c>
      <c r="B210" t="s">
        <v>748</v>
      </c>
      <c r="C210" t="s">
        <v>749</v>
      </c>
      <c r="D210" t="s">
        <v>393</v>
      </c>
      <c r="E210" s="110">
        <v>10500000</v>
      </c>
      <c r="F210" t="str">
        <f>VLOOKUP(D210,Sheet1!$A$18:$B$28,2,FALSE)</f>
        <v>BH Xe cơ giới</v>
      </c>
      <c r="G210" t="str">
        <f t="shared" si="10"/>
        <v>136</v>
      </c>
      <c r="H210" s="24">
        <f t="shared" si="11"/>
        <v>10500000</v>
      </c>
      <c r="I210" t="str">
        <f>VLOOKUP(G210,'CHECK_DT-BT'!$A$3:$C$92,3,FALSE)</f>
        <v>BV Dak Lak</v>
      </c>
    </row>
    <row r="211" spans="1:9" x14ac:dyDescent="0.25">
      <c r="A211" t="str">
        <f t="shared" si="9"/>
        <v>136</v>
      </c>
      <c r="B211" t="s">
        <v>750</v>
      </c>
      <c r="C211" t="s">
        <v>751</v>
      </c>
      <c r="D211" t="s">
        <v>393</v>
      </c>
      <c r="E211" s="110">
        <v>4200000</v>
      </c>
      <c r="F211" t="str">
        <f>VLOOKUP(D211,Sheet1!$A$18:$B$28,2,FALSE)</f>
        <v>BH Xe cơ giới</v>
      </c>
      <c r="G211" t="str">
        <f t="shared" si="10"/>
        <v>136</v>
      </c>
      <c r="H211" s="24">
        <f t="shared" si="11"/>
        <v>4200000</v>
      </c>
      <c r="I211" t="str">
        <f>VLOOKUP(G211,'CHECK_DT-BT'!$A$3:$C$92,3,FALSE)</f>
        <v>BV Dak Lak</v>
      </c>
    </row>
    <row r="212" spans="1:9" x14ac:dyDescent="0.25">
      <c r="A212" t="str">
        <f t="shared" si="9"/>
        <v>136</v>
      </c>
      <c r="B212" t="s">
        <v>752</v>
      </c>
      <c r="C212" t="s">
        <v>753</v>
      </c>
      <c r="D212" t="s">
        <v>394</v>
      </c>
      <c r="E212" s="110">
        <v>440000</v>
      </c>
      <c r="F212" t="str">
        <f>VLOOKUP(D212,Sheet1!$A$18:$B$28,2,FALSE)</f>
        <v>BH Con người</v>
      </c>
      <c r="G212" t="str">
        <f t="shared" si="10"/>
        <v>136</v>
      </c>
      <c r="H212" s="24">
        <f t="shared" si="11"/>
        <v>440000</v>
      </c>
      <c r="I212" t="str">
        <f>VLOOKUP(G212,'CHECK_DT-BT'!$A$3:$C$92,3,FALSE)</f>
        <v>BV Dak Lak</v>
      </c>
    </row>
    <row r="213" spans="1:9" x14ac:dyDescent="0.25">
      <c r="A213" t="str">
        <f t="shared" si="9"/>
        <v>136</v>
      </c>
      <c r="B213" t="s">
        <v>754</v>
      </c>
      <c r="C213" t="s">
        <v>755</v>
      </c>
      <c r="D213" t="s">
        <v>393</v>
      </c>
      <c r="E213" s="110">
        <v>4500000</v>
      </c>
      <c r="F213" t="str">
        <f>VLOOKUP(D213,Sheet1!$A$18:$B$28,2,FALSE)</f>
        <v>BH Xe cơ giới</v>
      </c>
      <c r="G213" t="str">
        <f t="shared" si="10"/>
        <v>136</v>
      </c>
      <c r="H213" s="24">
        <f t="shared" si="11"/>
        <v>4500000</v>
      </c>
      <c r="I213" t="str">
        <f>VLOOKUP(G213,'CHECK_DT-BT'!$A$3:$C$92,3,FALSE)</f>
        <v>BV Dak Lak</v>
      </c>
    </row>
    <row r="214" spans="1:9" x14ac:dyDescent="0.25">
      <c r="A214" t="str">
        <f t="shared" si="9"/>
        <v>136</v>
      </c>
      <c r="B214" t="s">
        <v>756</v>
      </c>
      <c r="C214" t="s">
        <v>757</v>
      </c>
      <c r="D214" t="s">
        <v>393</v>
      </c>
      <c r="E214" s="110">
        <v>6000000</v>
      </c>
      <c r="F214" t="str">
        <f>VLOOKUP(D214,Sheet1!$A$18:$B$28,2,FALSE)</f>
        <v>BH Xe cơ giới</v>
      </c>
      <c r="G214" t="str">
        <f t="shared" si="10"/>
        <v>136</v>
      </c>
      <c r="H214" s="24">
        <f t="shared" si="11"/>
        <v>6000000</v>
      </c>
      <c r="I214" t="str">
        <f>VLOOKUP(G214,'CHECK_DT-BT'!$A$3:$C$92,3,FALSE)</f>
        <v>BV Dak Lak</v>
      </c>
    </row>
    <row r="215" spans="1:9" x14ac:dyDescent="0.25">
      <c r="A215" t="str">
        <f t="shared" si="9"/>
        <v>136</v>
      </c>
      <c r="B215" t="s">
        <v>758</v>
      </c>
      <c r="C215" t="s">
        <v>759</v>
      </c>
      <c r="D215" t="s">
        <v>393</v>
      </c>
      <c r="E215" s="110">
        <v>4300000</v>
      </c>
      <c r="F215" t="str">
        <f>VLOOKUP(D215,Sheet1!$A$18:$B$28,2,FALSE)</f>
        <v>BH Xe cơ giới</v>
      </c>
      <c r="G215" t="str">
        <f t="shared" si="10"/>
        <v>136</v>
      </c>
      <c r="H215" s="24">
        <f t="shared" si="11"/>
        <v>4300000</v>
      </c>
      <c r="I215" t="str">
        <f>VLOOKUP(G215,'CHECK_DT-BT'!$A$3:$C$92,3,FALSE)</f>
        <v>BV Dak Lak</v>
      </c>
    </row>
    <row r="216" spans="1:9" x14ac:dyDescent="0.25">
      <c r="A216" t="str">
        <f t="shared" si="9"/>
        <v>136</v>
      </c>
      <c r="B216" t="s">
        <v>760</v>
      </c>
      <c r="C216" t="s">
        <v>761</v>
      </c>
      <c r="D216" t="s">
        <v>393</v>
      </c>
      <c r="E216" s="110">
        <v>1000000</v>
      </c>
      <c r="F216" t="str">
        <f>VLOOKUP(D216,Sheet1!$A$18:$B$28,2,FALSE)</f>
        <v>BH Xe cơ giới</v>
      </c>
      <c r="G216" t="str">
        <f t="shared" si="10"/>
        <v>136</v>
      </c>
      <c r="H216" s="24">
        <f t="shared" si="11"/>
        <v>1000000</v>
      </c>
      <c r="I216" t="str">
        <f>VLOOKUP(G216,'CHECK_DT-BT'!$A$3:$C$92,3,FALSE)</f>
        <v>BV Dak Lak</v>
      </c>
    </row>
    <row r="217" spans="1:9" x14ac:dyDescent="0.25">
      <c r="A217" t="str">
        <f t="shared" si="9"/>
        <v>136</v>
      </c>
      <c r="B217" t="s">
        <v>762</v>
      </c>
      <c r="C217" t="s">
        <v>763</v>
      </c>
      <c r="D217" t="s">
        <v>393</v>
      </c>
      <c r="E217" s="110">
        <v>500000</v>
      </c>
      <c r="F217" t="str">
        <f>VLOOKUP(D217,Sheet1!$A$18:$B$28,2,FALSE)</f>
        <v>BH Xe cơ giới</v>
      </c>
      <c r="G217" t="str">
        <f t="shared" si="10"/>
        <v>136</v>
      </c>
      <c r="H217" s="24">
        <f t="shared" si="11"/>
        <v>500000</v>
      </c>
      <c r="I217" t="str">
        <f>VLOOKUP(G217,'CHECK_DT-BT'!$A$3:$C$92,3,FALSE)</f>
        <v>BV Dak Lak</v>
      </c>
    </row>
    <row r="218" spans="1:9" x14ac:dyDescent="0.25">
      <c r="A218" t="str">
        <f t="shared" si="9"/>
        <v>136</v>
      </c>
      <c r="B218" t="s">
        <v>764</v>
      </c>
      <c r="C218" t="s">
        <v>765</v>
      </c>
      <c r="D218" t="s">
        <v>393</v>
      </c>
      <c r="E218" s="110">
        <v>3100000</v>
      </c>
      <c r="F218" t="str">
        <f>VLOOKUP(D218,Sheet1!$A$18:$B$28,2,FALSE)</f>
        <v>BH Xe cơ giới</v>
      </c>
      <c r="G218" t="str">
        <f t="shared" si="10"/>
        <v>136</v>
      </c>
      <c r="H218" s="24">
        <f t="shared" si="11"/>
        <v>3100000</v>
      </c>
      <c r="I218" t="str">
        <f>VLOOKUP(G218,'CHECK_DT-BT'!$A$3:$C$92,3,FALSE)</f>
        <v>BV Dak Lak</v>
      </c>
    </row>
    <row r="219" spans="1:9" x14ac:dyDescent="0.25">
      <c r="A219" t="str">
        <f t="shared" si="9"/>
        <v>136</v>
      </c>
      <c r="B219" t="s">
        <v>766</v>
      </c>
      <c r="C219" t="s">
        <v>767</v>
      </c>
      <c r="D219" t="s">
        <v>393</v>
      </c>
      <c r="E219" s="110">
        <v>1500000</v>
      </c>
      <c r="F219" t="str">
        <f>VLOOKUP(D219,Sheet1!$A$18:$B$28,2,FALSE)</f>
        <v>BH Xe cơ giới</v>
      </c>
      <c r="G219" t="str">
        <f t="shared" si="10"/>
        <v>136</v>
      </c>
      <c r="H219" s="24">
        <f t="shared" si="11"/>
        <v>1500000</v>
      </c>
      <c r="I219" t="str">
        <f>VLOOKUP(G219,'CHECK_DT-BT'!$A$3:$C$92,3,FALSE)</f>
        <v>BV Dak Lak</v>
      </c>
    </row>
    <row r="220" spans="1:9" x14ac:dyDescent="0.25">
      <c r="A220" t="str">
        <f t="shared" si="9"/>
        <v>137</v>
      </c>
      <c r="B220" t="s">
        <v>768</v>
      </c>
      <c r="C220" t="s">
        <v>769</v>
      </c>
      <c r="D220" t="s">
        <v>393</v>
      </c>
      <c r="E220" s="110">
        <v>5300000</v>
      </c>
      <c r="F220" t="str">
        <f>VLOOKUP(D220,Sheet1!$A$18:$B$28,2,FALSE)</f>
        <v>BH Xe cơ giới</v>
      </c>
      <c r="G220" t="str">
        <f t="shared" si="10"/>
        <v>137</v>
      </c>
      <c r="H220" s="24">
        <f t="shared" si="11"/>
        <v>5300000</v>
      </c>
      <c r="I220" t="str">
        <f>VLOOKUP(G220,'CHECK_DT-BT'!$A$3:$C$92,3,FALSE)</f>
        <v>BV Đồng Nai</v>
      </c>
    </row>
    <row r="221" spans="1:9" x14ac:dyDescent="0.25">
      <c r="A221" t="str">
        <f t="shared" si="9"/>
        <v>137</v>
      </c>
      <c r="B221" t="s">
        <v>770</v>
      </c>
      <c r="C221" t="s">
        <v>771</v>
      </c>
      <c r="D221" t="s">
        <v>393</v>
      </c>
      <c r="E221" s="110">
        <v>1000000</v>
      </c>
      <c r="F221" t="str">
        <f>VLOOKUP(D221,Sheet1!$A$18:$B$28,2,FALSE)</f>
        <v>BH Xe cơ giới</v>
      </c>
      <c r="G221" t="str">
        <f t="shared" si="10"/>
        <v>137</v>
      </c>
      <c r="H221" s="24">
        <f t="shared" si="11"/>
        <v>1000000</v>
      </c>
      <c r="I221" t="str">
        <f>VLOOKUP(G221,'CHECK_DT-BT'!$A$3:$C$92,3,FALSE)</f>
        <v>BV Đồng Nai</v>
      </c>
    </row>
    <row r="222" spans="1:9" x14ac:dyDescent="0.25">
      <c r="A222" t="str">
        <f t="shared" si="9"/>
        <v>137</v>
      </c>
      <c r="B222" t="s">
        <v>772</v>
      </c>
      <c r="C222" t="s">
        <v>773</v>
      </c>
      <c r="D222" t="s">
        <v>387</v>
      </c>
      <c r="E222" s="110">
        <v>21986150</v>
      </c>
      <c r="F222" t="str">
        <f>VLOOKUP(D222,Sheet1!$A$18:$B$28,2,FALSE)</f>
        <v>BH Hàng hóa</v>
      </c>
      <c r="G222" t="str">
        <f t="shared" si="10"/>
        <v>137</v>
      </c>
      <c r="H222" s="24">
        <f t="shared" si="11"/>
        <v>21986150</v>
      </c>
      <c r="I222" t="str">
        <f>VLOOKUP(G222,'CHECK_DT-BT'!$A$3:$C$92,3,FALSE)</f>
        <v>BV Đồng Nai</v>
      </c>
    </row>
    <row r="223" spans="1:9" x14ac:dyDescent="0.25">
      <c r="A223" t="str">
        <f t="shared" si="9"/>
        <v>138</v>
      </c>
      <c r="B223" t="s">
        <v>774</v>
      </c>
      <c r="C223" t="s">
        <v>775</v>
      </c>
      <c r="D223" t="s">
        <v>387</v>
      </c>
      <c r="E223" s="110">
        <v>232984991</v>
      </c>
      <c r="F223" t="str">
        <f>VLOOKUP(D223,Sheet1!$A$18:$B$28,2,FALSE)</f>
        <v>BH Hàng hóa</v>
      </c>
      <c r="G223" t="str">
        <f t="shared" si="10"/>
        <v>138</v>
      </c>
      <c r="H223" s="24">
        <f t="shared" si="11"/>
        <v>232984991</v>
      </c>
      <c r="I223" t="str">
        <f>VLOOKUP(G223,'CHECK_DT-BT'!$A$3:$C$92,3,FALSE)</f>
        <v>BV Đồng Tháp</v>
      </c>
    </row>
    <row r="224" spans="1:9" x14ac:dyDescent="0.25">
      <c r="A224" t="str">
        <f t="shared" si="9"/>
        <v>138</v>
      </c>
      <c r="B224" t="s">
        <v>776</v>
      </c>
      <c r="C224" t="s">
        <v>777</v>
      </c>
      <c r="D224" t="s">
        <v>393</v>
      </c>
      <c r="E224" s="110">
        <v>3700000</v>
      </c>
      <c r="F224" t="str">
        <f>VLOOKUP(D224,Sheet1!$A$18:$B$28,2,FALSE)</f>
        <v>BH Xe cơ giới</v>
      </c>
      <c r="G224" t="str">
        <f t="shared" si="10"/>
        <v>138</v>
      </c>
      <c r="H224" s="24">
        <f t="shared" si="11"/>
        <v>3700000</v>
      </c>
      <c r="I224" t="str">
        <f>VLOOKUP(G224,'CHECK_DT-BT'!$A$3:$C$92,3,FALSE)</f>
        <v>BV Đồng Tháp</v>
      </c>
    </row>
    <row r="225" spans="1:9" x14ac:dyDescent="0.25">
      <c r="A225" t="str">
        <f t="shared" si="9"/>
        <v>138</v>
      </c>
      <c r="B225" t="s">
        <v>778</v>
      </c>
      <c r="C225" t="s">
        <v>779</v>
      </c>
      <c r="D225" t="s">
        <v>394</v>
      </c>
      <c r="E225" s="110">
        <v>300000</v>
      </c>
      <c r="F225" t="str">
        <f>VLOOKUP(D225,Sheet1!$A$18:$B$28,2,FALSE)</f>
        <v>BH Con người</v>
      </c>
      <c r="G225" t="str">
        <f t="shared" si="10"/>
        <v>138</v>
      </c>
      <c r="H225" s="24">
        <f t="shared" si="11"/>
        <v>300000</v>
      </c>
      <c r="I225" t="str">
        <f>VLOOKUP(G225,'CHECK_DT-BT'!$A$3:$C$92,3,FALSE)</f>
        <v>BV Đồng Tháp</v>
      </c>
    </row>
    <row r="226" spans="1:9" x14ac:dyDescent="0.25">
      <c r="A226" t="str">
        <f t="shared" si="9"/>
        <v>138</v>
      </c>
      <c r="B226" t="s">
        <v>778</v>
      </c>
      <c r="C226" t="s">
        <v>779</v>
      </c>
      <c r="D226" t="s">
        <v>393</v>
      </c>
      <c r="E226" s="110">
        <v>500000</v>
      </c>
      <c r="F226" t="str">
        <f>VLOOKUP(D226,Sheet1!$A$18:$B$28,2,FALSE)</f>
        <v>BH Xe cơ giới</v>
      </c>
      <c r="G226" t="str">
        <f t="shared" si="10"/>
        <v>138</v>
      </c>
      <c r="H226" s="24">
        <f t="shared" si="11"/>
        <v>500000</v>
      </c>
      <c r="I226" t="str">
        <f>VLOOKUP(G226,'CHECK_DT-BT'!$A$3:$C$92,3,FALSE)</f>
        <v>BV Đồng Tháp</v>
      </c>
    </row>
    <row r="227" spans="1:9" x14ac:dyDescent="0.25">
      <c r="A227" t="str">
        <f t="shared" si="9"/>
        <v>138</v>
      </c>
      <c r="B227" t="s">
        <v>780</v>
      </c>
      <c r="C227" t="s">
        <v>781</v>
      </c>
      <c r="D227" t="s">
        <v>393</v>
      </c>
      <c r="E227" s="110">
        <v>1800000</v>
      </c>
      <c r="F227" t="str">
        <f>VLOOKUP(D227,Sheet1!$A$18:$B$28,2,FALSE)</f>
        <v>BH Xe cơ giới</v>
      </c>
      <c r="G227" t="str">
        <f t="shared" si="10"/>
        <v>138</v>
      </c>
      <c r="H227" s="24">
        <f t="shared" si="11"/>
        <v>1800000</v>
      </c>
      <c r="I227" t="str">
        <f>VLOOKUP(G227,'CHECK_DT-BT'!$A$3:$C$92,3,FALSE)</f>
        <v>BV Đồng Tháp</v>
      </c>
    </row>
    <row r="228" spans="1:9" x14ac:dyDescent="0.25">
      <c r="A228" t="str">
        <f t="shared" si="9"/>
        <v>138</v>
      </c>
      <c r="B228" t="s">
        <v>782</v>
      </c>
      <c r="C228" t="s">
        <v>783</v>
      </c>
      <c r="D228" t="s">
        <v>393</v>
      </c>
      <c r="E228" s="110">
        <v>4600000</v>
      </c>
      <c r="F228" t="str">
        <f>VLOOKUP(D228,Sheet1!$A$18:$B$28,2,FALSE)</f>
        <v>BH Xe cơ giới</v>
      </c>
      <c r="G228" t="str">
        <f t="shared" si="10"/>
        <v>138</v>
      </c>
      <c r="H228" s="24">
        <f t="shared" si="11"/>
        <v>4600000</v>
      </c>
      <c r="I228" t="str">
        <f>VLOOKUP(G228,'CHECK_DT-BT'!$A$3:$C$92,3,FALSE)</f>
        <v>BV Đồng Tháp</v>
      </c>
    </row>
    <row r="229" spans="1:9" x14ac:dyDescent="0.25">
      <c r="A229" t="str">
        <f t="shared" si="9"/>
        <v>138</v>
      </c>
      <c r="B229" t="s">
        <v>784</v>
      </c>
      <c r="C229" t="s">
        <v>785</v>
      </c>
      <c r="D229" t="s">
        <v>393</v>
      </c>
      <c r="E229" s="110">
        <v>1700000</v>
      </c>
      <c r="F229" t="str">
        <f>VLOOKUP(D229,Sheet1!$A$18:$B$28,2,FALSE)</f>
        <v>BH Xe cơ giới</v>
      </c>
      <c r="G229" t="str">
        <f t="shared" si="10"/>
        <v>138</v>
      </c>
      <c r="H229" s="24">
        <f t="shared" si="11"/>
        <v>1700000</v>
      </c>
      <c r="I229" t="str">
        <f>VLOOKUP(G229,'CHECK_DT-BT'!$A$3:$C$92,3,FALSE)</f>
        <v>BV Đồng Tháp</v>
      </c>
    </row>
    <row r="230" spans="1:9" x14ac:dyDescent="0.25">
      <c r="A230" t="str">
        <f t="shared" si="9"/>
        <v>138</v>
      </c>
      <c r="B230" t="s">
        <v>786</v>
      </c>
      <c r="C230" t="s">
        <v>787</v>
      </c>
      <c r="D230" t="s">
        <v>393</v>
      </c>
      <c r="E230" s="110">
        <v>2000000</v>
      </c>
      <c r="F230" t="str">
        <f>VLOOKUP(D230,Sheet1!$A$18:$B$28,2,FALSE)</f>
        <v>BH Xe cơ giới</v>
      </c>
      <c r="G230" t="str">
        <f t="shared" si="10"/>
        <v>138</v>
      </c>
      <c r="H230" s="24">
        <f t="shared" si="11"/>
        <v>2000000</v>
      </c>
      <c r="I230" t="str">
        <f>VLOOKUP(G230,'CHECK_DT-BT'!$A$3:$C$92,3,FALSE)</f>
        <v>BV Đồng Tháp</v>
      </c>
    </row>
    <row r="231" spans="1:9" x14ac:dyDescent="0.25">
      <c r="A231" t="str">
        <f t="shared" si="9"/>
        <v>138</v>
      </c>
      <c r="B231" t="s">
        <v>788</v>
      </c>
      <c r="C231" t="s">
        <v>789</v>
      </c>
      <c r="D231" t="s">
        <v>394</v>
      </c>
      <c r="E231" s="110">
        <v>150000</v>
      </c>
      <c r="F231" t="str">
        <f>VLOOKUP(D231,Sheet1!$A$18:$B$28,2,FALSE)</f>
        <v>BH Con người</v>
      </c>
      <c r="G231" t="str">
        <f t="shared" si="10"/>
        <v>138</v>
      </c>
      <c r="H231" s="24">
        <f t="shared" si="11"/>
        <v>150000</v>
      </c>
      <c r="I231" t="str">
        <f>VLOOKUP(G231,'CHECK_DT-BT'!$A$3:$C$92,3,FALSE)</f>
        <v>BV Đồng Tháp</v>
      </c>
    </row>
    <row r="232" spans="1:9" x14ac:dyDescent="0.25">
      <c r="A232" t="str">
        <f t="shared" si="9"/>
        <v>138</v>
      </c>
      <c r="B232" t="s">
        <v>788</v>
      </c>
      <c r="C232" t="s">
        <v>789</v>
      </c>
      <c r="D232" t="s">
        <v>272</v>
      </c>
      <c r="E232" s="110">
        <v>6000000</v>
      </c>
      <c r="F232" t="str">
        <f>VLOOKUP(D232,Sheet1!$A$18:$B$28,2,FALSE)</f>
        <v>Tàu khác</v>
      </c>
      <c r="G232" t="str">
        <f t="shared" si="10"/>
        <v>138</v>
      </c>
      <c r="H232" s="24">
        <f t="shared" si="11"/>
        <v>6000000</v>
      </c>
      <c r="I232" t="str">
        <f>VLOOKUP(G232,'CHECK_DT-BT'!$A$3:$C$92,3,FALSE)</f>
        <v>BV Đồng Tháp</v>
      </c>
    </row>
    <row r="233" spans="1:9" x14ac:dyDescent="0.25">
      <c r="A233" t="str">
        <f t="shared" si="9"/>
        <v>138</v>
      </c>
      <c r="B233" t="s">
        <v>788</v>
      </c>
      <c r="C233" t="s">
        <v>789</v>
      </c>
      <c r="D233" t="s">
        <v>393</v>
      </c>
      <c r="E233" s="110">
        <v>500000</v>
      </c>
      <c r="F233" t="str">
        <f>VLOOKUP(D233,Sheet1!$A$18:$B$28,2,FALSE)</f>
        <v>BH Xe cơ giới</v>
      </c>
      <c r="G233" t="str">
        <f t="shared" si="10"/>
        <v>138</v>
      </c>
      <c r="H233" s="24">
        <f t="shared" si="11"/>
        <v>500000</v>
      </c>
      <c r="I233" t="str">
        <f>VLOOKUP(G233,'CHECK_DT-BT'!$A$3:$C$92,3,FALSE)</f>
        <v>BV Đồng Tháp</v>
      </c>
    </row>
    <row r="234" spans="1:9" x14ac:dyDescent="0.25">
      <c r="A234" t="str">
        <f t="shared" si="9"/>
        <v>138</v>
      </c>
      <c r="B234" t="s">
        <v>790</v>
      </c>
      <c r="C234" t="s">
        <v>791</v>
      </c>
      <c r="D234" t="s">
        <v>393</v>
      </c>
      <c r="E234" s="110">
        <v>7600000</v>
      </c>
      <c r="F234" t="str">
        <f>VLOOKUP(D234,Sheet1!$A$18:$B$28,2,FALSE)</f>
        <v>BH Xe cơ giới</v>
      </c>
      <c r="G234" t="str">
        <f t="shared" si="10"/>
        <v>138</v>
      </c>
      <c r="H234" s="24">
        <f t="shared" si="11"/>
        <v>7600000</v>
      </c>
      <c r="I234" t="str">
        <f>VLOOKUP(G234,'CHECK_DT-BT'!$A$3:$C$92,3,FALSE)</f>
        <v>BV Đồng Tháp</v>
      </c>
    </row>
    <row r="235" spans="1:9" x14ac:dyDescent="0.25">
      <c r="A235" t="str">
        <f t="shared" si="9"/>
        <v>138</v>
      </c>
      <c r="B235" t="s">
        <v>792</v>
      </c>
      <c r="C235" t="s">
        <v>793</v>
      </c>
      <c r="D235" t="s">
        <v>387</v>
      </c>
      <c r="E235" s="110">
        <v>5730890</v>
      </c>
      <c r="F235" t="str">
        <f>VLOOKUP(D235,Sheet1!$A$18:$B$28,2,FALSE)</f>
        <v>BH Hàng hóa</v>
      </c>
      <c r="G235" t="str">
        <f t="shared" si="10"/>
        <v>138</v>
      </c>
      <c r="H235" s="24">
        <f t="shared" si="11"/>
        <v>5730890</v>
      </c>
      <c r="I235" t="str">
        <f>VLOOKUP(G235,'CHECK_DT-BT'!$A$3:$C$92,3,FALSE)</f>
        <v>BV Đồng Tháp</v>
      </c>
    </row>
    <row r="236" spans="1:9" x14ac:dyDescent="0.25">
      <c r="A236" t="str">
        <f t="shared" si="9"/>
        <v>138</v>
      </c>
      <c r="B236" t="s">
        <v>792</v>
      </c>
      <c r="C236" t="s">
        <v>793</v>
      </c>
      <c r="D236" t="s">
        <v>391</v>
      </c>
      <c r="E236" s="110">
        <v>27777778</v>
      </c>
      <c r="F236" t="str">
        <f>VLOOKUP(D236,Sheet1!$A$18:$B$28,2,FALSE)</f>
        <v>BH Kỹ thuật</v>
      </c>
      <c r="G236" t="str">
        <f t="shared" si="10"/>
        <v>138</v>
      </c>
      <c r="H236" s="24">
        <f t="shared" si="11"/>
        <v>27777778</v>
      </c>
      <c r="I236" t="str">
        <f>VLOOKUP(G236,'CHECK_DT-BT'!$A$3:$C$92,3,FALSE)</f>
        <v>BV Đồng Tháp</v>
      </c>
    </row>
    <row r="237" spans="1:9" x14ac:dyDescent="0.25">
      <c r="A237" t="str">
        <f t="shared" si="9"/>
        <v>138</v>
      </c>
      <c r="B237" t="s">
        <v>792</v>
      </c>
      <c r="C237" t="s">
        <v>793</v>
      </c>
      <c r="D237" t="s">
        <v>393</v>
      </c>
      <c r="E237" s="110">
        <v>6800000</v>
      </c>
      <c r="F237" t="str">
        <f>VLOOKUP(D237,Sheet1!$A$18:$B$28,2,FALSE)</f>
        <v>BH Xe cơ giới</v>
      </c>
      <c r="G237" t="str">
        <f t="shared" si="10"/>
        <v>138</v>
      </c>
      <c r="H237" s="24">
        <f t="shared" si="11"/>
        <v>6800000</v>
      </c>
      <c r="I237" t="str">
        <f>VLOOKUP(G237,'CHECK_DT-BT'!$A$3:$C$92,3,FALSE)</f>
        <v>BV Đồng Tháp</v>
      </c>
    </row>
    <row r="238" spans="1:9" x14ac:dyDescent="0.25">
      <c r="A238" t="str">
        <f t="shared" si="9"/>
        <v>138</v>
      </c>
      <c r="B238" t="s">
        <v>794</v>
      </c>
      <c r="C238" t="s">
        <v>795</v>
      </c>
      <c r="D238" t="s">
        <v>394</v>
      </c>
      <c r="E238" s="110">
        <v>50000</v>
      </c>
      <c r="F238" t="str">
        <f>VLOOKUP(D238,Sheet1!$A$18:$B$28,2,FALSE)</f>
        <v>BH Con người</v>
      </c>
      <c r="G238" t="str">
        <f t="shared" si="10"/>
        <v>138</v>
      </c>
      <c r="H238" s="24">
        <f t="shared" si="11"/>
        <v>50000</v>
      </c>
      <c r="I238" t="str">
        <f>VLOOKUP(G238,'CHECK_DT-BT'!$A$3:$C$92,3,FALSE)</f>
        <v>BV Đồng Tháp</v>
      </c>
    </row>
    <row r="239" spans="1:9" x14ac:dyDescent="0.25">
      <c r="A239" t="str">
        <f t="shared" si="9"/>
        <v>138</v>
      </c>
      <c r="B239" t="s">
        <v>794</v>
      </c>
      <c r="C239" t="s">
        <v>795</v>
      </c>
      <c r="D239" t="s">
        <v>393</v>
      </c>
      <c r="E239" s="110">
        <v>500000</v>
      </c>
      <c r="F239" t="str">
        <f>VLOOKUP(D239,Sheet1!$A$18:$B$28,2,FALSE)</f>
        <v>BH Xe cơ giới</v>
      </c>
      <c r="G239" t="str">
        <f t="shared" si="10"/>
        <v>138</v>
      </c>
      <c r="H239" s="24">
        <f t="shared" si="11"/>
        <v>500000</v>
      </c>
      <c r="I239" t="str">
        <f>VLOOKUP(G239,'CHECK_DT-BT'!$A$3:$C$92,3,FALSE)</f>
        <v>BV Đồng Tháp</v>
      </c>
    </row>
    <row r="240" spans="1:9" x14ac:dyDescent="0.25">
      <c r="A240" t="str">
        <f t="shared" si="9"/>
        <v>138</v>
      </c>
      <c r="B240" t="s">
        <v>794</v>
      </c>
      <c r="C240" t="s">
        <v>795</v>
      </c>
      <c r="D240" t="s">
        <v>396</v>
      </c>
      <c r="E240" s="110">
        <v>200000</v>
      </c>
      <c r="F240" t="str">
        <f>VLOOKUP(D240,Sheet1!$A$18:$B$28,2,FALSE)</f>
        <v>BH Y tế</v>
      </c>
      <c r="G240" t="str">
        <f t="shared" si="10"/>
        <v>138</v>
      </c>
      <c r="H240" s="24">
        <f t="shared" si="11"/>
        <v>200000</v>
      </c>
      <c r="I240" t="str">
        <f>VLOOKUP(G240,'CHECK_DT-BT'!$A$3:$C$92,3,FALSE)</f>
        <v>BV Đồng Tháp</v>
      </c>
    </row>
    <row r="241" spans="1:9" x14ac:dyDescent="0.25">
      <c r="A241" t="str">
        <f t="shared" si="9"/>
        <v>138</v>
      </c>
      <c r="B241" t="s">
        <v>796</v>
      </c>
      <c r="C241" t="s">
        <v>797</v>
      </c>
      <c r="D241" t="s">
        <v>393</v>
      </c>
      <c r="E241" s="110">
        <v>700000</v>
      </c>
      <c r="F241" t="str">
        <f>VLOOKUP(D241,Sheet1!$A$18:$B$28,2,FALSE)</f>
        <v>BH Xe cơ giới</v>
      </c>
      <c r="G241" t="str">
        <f t="shared" si="10"/>
        <v>138</v>
      </c>
      <c r="H241" s="24">
        <f t="shared" si="11"/>
        <v>700000</v>
      </c>
      <c r="I241" t="str">
        <f>VLOOKUP(G241,'CHECK_DT-BT'!$A$3:$C$92,3,FALSE)</f>
        <v>BV Đồng Tháp</v>
      </c>
    </row>
    <row r="242" spans="1:9" x14ac:dyDescent="0.25">
      <c r="A242" t="str">
        <f t="shared" si="9"/>
        <v>139</v>
      </c>
      <c r="B242" t="s">
        <v>310</v>
      </c>
      <c r="C242" t="s">
        <v>74</v>
      </c>
      <c r="D242" t="s">
        <v>393</v>
      </c>
      <c r="E242" s="110">
        <v>1800000</v>
      </c>
      <c r="F242" t="str">
        <f>VLOOKUP(D242,Sheet1!$A$18:$B$28,2,FALSE)</f>
        <v>BH Xe cơ giới</v>
      </c>
      <c r="G242" t="str">
        <f t="shared" si="10"/>
        <v>139</v>
      </c>
      <c r="H242" s="24">
        <f t="shared" si="11"/>
        <v>1800000</v>
      </c>
      <c r="I242" t="str">
        <f>VLOOKUP(G242,'CHECK_DT-BT'!$A$3:$C$92,3,FALSE)</f>
        <v>BV Gia Lai</v>
      </c>
    </row>
    <row r="243" spans="1:9" x14ac:dyDescent="0.25">
      <c r="A243" t="str">
        <f t="shared" si="9"/>
        <v>139</v>
      </c>
      <c r="B243" t="s">
        <v>798</v>
      </c>
      <c r="C243" t="s">
        <v>799</v>
      </c>
      <c r="D243" t="s">
        <v>393</v>
      </c>
      <c r="E243" s="110">
        <v>-5191492</v>
      </c>
      <c r="F243" t="str">
        <f>VLOOKUP(D243,Sheet1!$A$18:$B$28,2,FALSE)</f>
        <v>BH Xe cơ giới</v>
      </c>
      <c r="G243" t="str">
        <f t="shared" si="10"/>
        <v>139</v>
      </c>
      <c r="H243" s="24">
        <f t="shared" si="11"/>
        <v>-5191492</v>
      </c>
      <c r="I243" t="str">
        <f>VLOOKUP(G243,'CHECK_DT-BT'!$A$3:$C$92,3,FALSE)</f>
        <v>BV Gia Lai</v>
      </c>
    </row>
    <row r="244" spans="1:9" x14ac:dyDescent="0.25">
      <c r="A244" t="str">
        <f t="shared" si="9"/>
        <v>139</v>
      </c>
      <c r="B244" t="s">
        <v>800</v>
      </c>
      <c r="C244" t="s">
        <v>801</v>
      </c>
      <c r="D244" t="s">
        <v>393</v>
      </c>
      <c r="E244" s="110">
        <v>10400000</v>
      </c>
      <c r="F244" t="str">
        <f>VLOOKUP(D244,Sheet1!$A$18:$B$28,2,FALSE)</f>
        <v>BH Xe cơ giới</v>
      </c>
      <c r="G244" t="str">
        <f t="shared" si="10"/>
        <v>139</v>
      </c>
      <c r="H244" s="24">
        <f t="shared" si="11"/>
        <v>10400000</v>
      </c>
      <c r="I244" t="str">
        <f>VLOOKUP(G244,'CHECK_DT-BT'!$A$3:$C$92,3,FALSE)</f>
        <v>BV Gia Lai</v>
      </c>
    </row>
    <row r="245" spans="1:9" x14ac:dyDescent="0.25">
      <c r="A245" t="str">
        <f t="shared" si="9"/>
        <v>139</v>
      </c>
      <c r="B245" t="s">
        <v>802</v>
      </c>
      <c r="C245" t="s">
        <v>803</v>
      </c>
      <c r="D245" t="s">
        <v>393</v>
      </c>
      <c r="E245" s="110">
        <v>1200000</v>
      </c>
      <c r="F245" t="str">
        <f>VLOOKUP(D245,Sheet1!$A$18:$B$28,2,FALSE)</f>
        <v>BH Xe cơ giới</v>
      </c>
      <c r="G245" t="str">
        <f t="shared" si="10"/>
        <v>139</v>
      </c>
      <c r="H245" s="24">
        <f t="shared" si="11"/>
        <v>1200000</v>
      </c>
      <c r="I245" t="str">
        <f>VLOOKUP(G245,'CHECK_DT-BT'!$A$3:$C$92,3,FALSE)</f>
        <v>BV Gia Lai</v>
      </c>
    </row>
    <row r="246" spans="1:9" x14ac:dyDescent="0.25">
      <c r="A246" t="str">
        <f t="shared" si="9"/>
        <v>139</v>
      </c>
      <c r="B246" t="s">
        <v>804</v>
      </c>
      <c r="C246" t="s">
        <v>805</v>
      </c>
      <c r="D246" t="s">
        <v>392</v>
      </c>
      <c r="E246" s="110">
        <v>72801685</v>
      </c>
      <c r="F246" t="str">
        <f>VLOOKUP(D246,Sheet1!$A$18:$B$28,2,FALSE)</f>
        <v>BH Tài sản</v>
      </c>
      <c r="G246" t="str">
        <f t="shared" si="10"/>
        <v>139</v>
      </c>
      <c r="H246" s="24">
        <f t="shared" si="11"/>
        <v>72801685</v>
      </c>
      <c r="I246" t="str">
        <f>VLOOKUP(G246,'CHECK_DT-BT'!$A$3:$C$92,3,FALSE)</f>
        <v>BV Gia Lai</v>
      </c>
    </row>
    <row r="247" spans="1:9" x14ac:dyDescent="0.25">
      <c r="A247" t="str">
        <f t="shared" si="9"/>
        <v>139</v>
      </c>
      <c r="B247" t="s">
        <v>804</v>
      </c>
      <c r="C247" t="s">
        <v>805</v>
      </c>
      <c r="D247" t="s">
        <v>393</v>
      </c>
      <c r="E247" s="110">
        <v>4000000</v>
      </c>
      <c r="F247" t="str">
        <f>VLOOKUP(D247,Sheet1!$A$18:$B$28,2,FALSE)</f>
        <v>BH Xe cơ giới</v>
      </c>
      <c r="G247" t="str">
        <f t="shared" si="10"/>
        <v>139</v>
      </c>
      <c r="H247" s="24">
        <f t="shared" si="11"/>
        <v>4000000</v>
      </c>
      <c r="I247" t="str">
        <f>VLOOKUP(G247,'CHECK_DT-BT'!$A$3:$C$92,3,FALSE)</f>
        <v>BV Gia Lai</v>
      </c>
    </row>
    <row r="248" spans="1:9" x14ac:dyDescent="0.25">
      <c r="A248" t="str">
        <f t="shared" si="9"/>
        <v>139</v>
      </c>
      <c r="B248" t="s">
        <v>806</v>
      </c>
      <c r="C248" t="s">
        <v>807</v>
      </c>
      <c r="D248" t="s">
        <v>393</v>
      </c>
      <c r="E248" s="110">
        <v>3800000</v>
      </c>
      <c r="F248" t="str">
        <f>VLOOKUP(D248,Sheet1!$A$18:$B$28,2,FALSE)</f>
        <v>BH Xe cơ giới</v>
      </c>
      <c r="G248" t="str">
        <f t="shared" si="10"/>
        <v>139</v>
      </c>
      <c r="H248" s="24">
        <f t="shared" si="11"/>
        <v>3800000</v>
      </c>
      <c r="I248" t="str">
        <f>VLOOKUP(G248,'CHECK_DT-BT'!$A$3:$C$92,3,FALSE)</f>
        <v>BV Gia Lai</v>
      </c>
    </row>
    <row r="249" spans="1:9" x14ac:dyDescent="0.25">
      <c r="A249" t="str">
        <f t="shared" si="9"/>
        <v>139</v>
      </c>
      <c r="B249" t="s">
        <v>808</v>
      </c>
      <c r="C249" t="s">
        <v>809</v>
      </c>
      <c r="D249" t="s">
        <v>393</v>
      </c>
      <c r="E249" s="110">
        <v>3000000</v>
      </c>
      <c r="F249" t="str">
        <f>VLOOKUP(D249,Sheet1!$A$18:$B$28,2,FALSE)</f>
        <v>BH Xe cơ giới</v>
      </c>
      <c r="G249" t="str">
        <f t="shared" si="10"/>
        <v>139</v>
      </c>
      <c r="H249" s="24">
        <f t="shared" si="11"/>
        <v>3000000</v>
      </c>
      <c r="I249" t="str">
        <f>VLOOKUP(G249,'CHECK_DT-BT'!$A$3:$C$92,3,FALSE)</f>
        <v>BV Gia Lai</v>
      </c>
    </row>
    <row r="250" spans="1:9" x14ac:dyDescent="0.25">
      <c r="A250" t="str">
        <f t="shared" si="9"/>
        <v>139</v>
      </c>
      <c r="B250" t="s">
        <v>810</v>
      </c>
      <c r="C250" t="s">
        <v>811</v>
      </c>
      <c r="D250" t="s">
        <v>393</v>
      </c>
      <c r="E250" s="110">
        <v>2574336</v>
      </c>
      <c r="F250" t="str">
        <f>VLOOKUP(D250,Sheet1!$A$18:$B$28,2,FALSE)</f>
        <v>BH Xe cơ giới</v>
      </c>
      <c r="G250" t="str">
        <f t="shared" si="10"/>
        <v>139</v>
      </c>
      <c r="H250" s="24">
        <f t="shared" si="11"/>
        <v>2574336</v>
      </c>
      <c r="I250" t="str">
        <f>VLOOKUP(G250,'CHECK_DT-BT'!$A$3:$C$92,3,FALSE)</f>
        <v>BV Gia Lai</v>
      </c>
    </row>
    <row r="251" spans="1:9" x14ac:dyDescent="0.25">
      <c r="A251" t="str">
        <f t="shared" si="9"/>
        <v>139</v>
      </c>
      <c r="B251" t="s">
        <v>812</v>
      </c>
      <c r="C251" t="s">
        <v>813</v>
      </c>
      <c r="D251" t="s">
        <v>394</v>
      </c>
      <c r="E251" s="110">
        <v>1580000</v>
      </c>
      <c r="F251" t="str">
        <f>VLOOKUP(D251,Sheet1!$A$18:$B$28,2,FALSE)</f>
        <v>BH Con người</v>
      </c>
      <c r="G251" t="str">
        <f t="shared" si="10"/>
        <v>139</v>
      </c>
      <c r="H251" s="24">
        <f t="shared" si="11"/>
        <v>1580000</v>
      </c>
      <c r="I251" t="str">
        <f>VLOOKUP(G251,'CHECK_DT-BT'!$A$3:$C$92,3,FALSE)</f>
        <v>BV Gia Lai</v>
      </c>
    </row>
    <row r="252" spans="1:9" x14ac:dyDescent="0.25">
      <c r="A252" t="str">
        <f t="shared" si="9"/>
        <v>140</v>
      </c>
      <c r="B252" t="s">
        <v>814</v>
      </c>
      <c r="C252" t="s">
        <v>815</v>
      </c>
      <c r="D252" t="s">
        <v>391</v>
      </c>
      <c r="E252" s="110">
        <v>0</v>
      </c>
      <c r="F252" t="str">
        <f>VLOOKUP(D252,Sheet1!$A$18:$B$28,2,FALSE)</f>
        <v>BH Kỹ thuật</v>
      </c>
      <c r="G252" t="str">
        <f t="shared" si="10"/>
        <v>140</v>
      </c>
      <c r="H252" s="24">
        <f t="shared" si="11"/>
        <v>0</v>
      </c>
      <c r="I252" t="str">
        <f>VLOOKUP(G252,'CHECK_DT-BT'!$A$3:$C$92,3,FALSE)</f>
        <v>BV Hà Giang</v>
      </c>
    </row>
    <row r="253" spans="1:9" x14ac:dyDescent="0.25">
      <c r="A253" t="str">
        <f t="shared" si="9"/>
        <v>140</v>
      </c>
      <c r="B253" t="s">
        <v>814</v>
      </c>
      <c r="C253" t="s">
        <v>815</v>
      </c>
      <c r="D253" t="s">
        <v>393</v>
      </c>
      <c r="E253" s="110">
        <v>1500000</v>
      </c>
      <c r="F253" t="str">
        <f>VLOOKUP(D253,Sheet1!$A$18:$B$28,2,FALSE)</f>
        <v>BH Xe cơ giới</v>
      </c>
      <c r="G253" t="str">
        <f t="shared" si="10"/>
        <v>140</v>
      </c>
      <c r="H253" s="24">
        <f t="shared" si="11"/>
        <v>1500000</v>
      </c>
      <c r="I253" t="str">
        <f>VLOOKUP(G253,'CHECK_DT-BT'!$A$3:$C$92,3,FALSE)</f>
        <v>BV Hà Giang</v>
      </c>
    </row>
    <row r="254" spans="1:9" x14ac:dyDescent="0.25">
      <c r="A254" t="str">
        <f t="shared" si="9"/>
        <v>140</v>
      </c>
      <c r="B254" t="s">
        <v>816</v>
      </c>
      <c r="C254" t="s">
        <v>817</v>
      </c>
      <c r="D254" t="s">
        <v>393</v>
      </c>
      <c r="E254" s="110">
        <v>2000000</v>
      </c>
      <c r="F254" t="str">
        <f>VLOOKUP(D254,Sheet1!$A$18:$B$28,2,FALSE)</f>
        <v>BH Xe cơ giới</v>
      </c>
      <c r="G254" t="str">
        <f t="shared" si="10"/>
        <v>140</v>
      </c>
      <c r="H254" s="24">
        <f t="shared" si="11"/>
        <v>2000000</v>
      </c>
      <c r="I254" t="str">
        <f>VLOOKUP(G254,'CHECK_DT-BT'!$A$3:$C$92,3,FALSE)</f>
        <v>BV Hà Giang</v>
      </c>
    </row>
    <row r="255" spans="1:9" x14ac:dyDescent="0.25">
      <c r="A255" t="str">
        <f t="shared" si="9"/>
        <v>141</v>
      </c>
      <c r="B255" t="s">
        <v>818</v>
      </c>
      <c r="C255" t="s">
        <v>819</v>
      </c>
      <c r="D255" t="s">
        <v>393</v>
      </c>
      <c r="E255" s="110">
        <v>-20400000</v>
      </c>
      <c r="F255" t="str">
        <f>VLOOKUP(D255,Sheet1!$A$18:$B$28,2,FALSE)</f>
        <v>BH Xe cơ giới</v>
      </c>
      <c r="G255" t="str">
        <f t="shared" si="10"/>
        <v>141</v>
      </c>
      <c r="H255" s="24">
        <f t="shared" si="11"/>
        <v>-20400000</v>
      </c>
      <c r="I255" t="str">
        <f>VLOOKUP(G255,'CHECK_DT-BT'!$A$3:$C$92,3,FALSE)</f>
        <v>BV Hà Nam</v>
      </c>
    </row>
    <row r="256" spans="1:9" x14ac:dyDescent="0.25">
      <c r="A256" t="str">
        <f t="shared" si="9"/>
        <v>141</v>
      </c>
      <c r="B256" t="s">
        <v>820</v>
      </c>
      <c r="C256" t="s">
        <v>821</v>
      </c>
      <c r="D256" t="s">
        <v>393</v>
      </c>
      <c r="E256" s="110">
        <v>1200000</v>
      </c>
      <c r="F256" t="str">
        <f>VLOOKUP(D256,Sheet1!$A$18:$B$28,2,FALSE)</f>
        <v>BH Xe cơ giới</v>
      </c>
      <c r="G256" t="str">
        <f t="shared" si="10"/>
        <v>141</v>
      </c>
      <c r="H256" s="24">
        <f t="shared" si="11"/>
        <v>1200000</v>
      </c>
      <c r="I256" t="str">
        <f>VLOOKUP(G256,'CHECK_DT-BT'!$A$3:$C$92,3,FALSE)</f>
        <v>BV Hà Nam</v>
      </c>
    </row>
    <row r="257" spans="1:9" x14ac:dyDescent="0.25">
      <c r="A257" t="str">
        <f t="shared" si="9"/>
        <v>141</v>
      </c>
      <c r="B257" t="s">
        <v>822</v>
      </c>
      <c r="C257" t="s">
        <v>823</v>
      </c>
      <c r="D257" t="s">
        <v>393</v>
      </c>
      <c r="E257" s="110">
        <v>10580000</v>
      </c>
      <c r="F257" t="str">
        <f>VLOOKUP(D257,Sheet1!$A$18:$B$28,2,FALSE)</f>
        <v>BH Xe cơ giới</v>
      </c>
      <c r="G257" t="str">
        <f t="shared" si="10"/>
        <v>141</v>
      </c>
      <c r="H257" s="24">
        <f t="shared" si="11"/>
        <v>10580000</v>
      </c>
      <c r="I257" t="str">
        <f>VLOOKUP(G257,'CHECK_DT-BT'!$A$3:$C$92,3,FALSE)</f>
        <v>BV Hà Nam</v>
      </c>
    </row>
    <row r="258" spans="1:9" x14ac:dyDescent="0.25">
      <c r="A258" t="str">
        <f t="shared" si="9"/>
        <v>141</v>
      </c>
      <c r="B258" t="s">
        <v>824</v>
      </c>
      <c r="C258" t="s">
        <v>825</v>
      </c>
      <c r="D258" t="s">
        <v>393</v>
      </c>
      <c r="E258" s="110">
        <v>700000</v>
      </c>
      <c r="F258" t="str">
        <f>VLOOKUP(D258,Sheet1!$A$18:$B$28,2,FALSE)</f>
        <v>BH Xe cơ giới</v>
      </c>
      <c r="G258" t="str">
        <f t="shared" si="10"/>
        <v>141</v>
      </c>
      <c r="H258" s="24">
        <f t="shared" si="11"/>
        <v>700000</v>
      </c>
      <c r="I258" t="str">
        <f>VLOOKUP(G258,'CHECK_DT-BT'!$A$3:$C$92,3,FALSE)</f>
        <v>BV Hà Nam</v>
      </c>
    </row>
    <row r="259" spans="1:9" x14ac:dyDescent="0.25">
      <c r="A259" t="str">
        <f t="shared" si="9"/>
        <v>142</v>
      </c>
      <c r="B259" t="s">
        <v>826</v>
      </c>
      <c r="C259" t="s">
        <v>827</v>
      </c>
      <c r="D259" t="s">
        <v>387</v>
      </c>
      <c r="E259" s="110">
        <v>-26472454</v>
      </c>
      <c r="F259" t="str">
        <f>VLOOKUP(D259,Sheet1!$A$18:$B$28,2,FALSE)</f>
        <v>BH Hàng hóa</v>
      </c>
      <c r="G259" t="str">
        <f t="shared" si="10"/>
        <v>142</v>
      </c>
      <c r="H259" s="24">
        <f t="shared" si="11"/>
        <v>-26472454</v>
      </c>
      <c r="I259" t="str">
        <f>VLOOKUP(G259,'CHECK_DT-BT'!$A$3:$C$92,3,FALSE)</f>
        <v>BV Hà Nội</v>
      </c>
    </row>
    <row r="260" spans="1:9" x14ac:dyDescent="0.25">
      <c r="A260" t="str">
        <f t="shared" si="9"/>
        <v>142</v>
      </c>
      <c r="B260" t="s">
        <v>826</v>
      </c>
      <c r="C260" t="s">
        <v>827</v>
      </c>
      <c r="D260" t="s">
        <v>391</v>
      </c>
      <c r="E260" s="110">
        <v>153277052</v>
      </c>
      <c r="F260" t="str">
        <f>VLOOKUP(D260,Sheet1!$A$18:$B$28,2,FALSE)</f>
        <v>BH Kỹ thuật</v>
      </c>
      <c r="G260" t="str">
        <f t="shared" si="10"/>
        <v>142</v>
      </c>
      <c r="H260" s="24">
        <f t="shared" si="11"/>
        <v>153277052</v>
      </c>
      <c r="I260" t="str">
        <f>VLOOKUP(G260,'CHECK_DT-BT'!$A$3:$C$92,3,FALSE)</f>
        <v>BV Hà Nội</v>
      </c>
    </row>
    <row r="261" spans="1:9" x14ac:dyDescent="0.25">
      <c r="A261" t="str">
        <f t="shared" ref="A261:A324" si="12">LEFT(B261,3)</f>
        <v>142</v>
      </c>
      <c r="B261" t="s">
        <v>826</v>
      </c>
      <c r="C261" t="s">
        <v>827</v>
      </c>
      <c r="D261" t="s">
        <v>392</v>
      </c>
      <c r="E261" s="110">
        <v>3462545</v>
      </c>
      <c r="F261" t="str">
        <f>VLOOKUP(D261,Sheet1!$A$18:$B$28,2,FALSE)</f>
        <v>BH Tài sản</v>
      </c>
      <c r="G261" t="str">
        <f t="shared" ref="G261:G324" si="13">IF(A261="101",B261,A261)</f>
        <v>142</v>
      </c>
      <c r="H261" s="24">
        <f t="shared" ref="H261:H324" si="14">E261</f>
        <v>3462545</v>
      </c>
      <c r="I261" t="str">
        <f>VLOOKUP(G261,'CHECK_DT-BT'!$A$3:$C$92,3,FALSE)</f>
        <v>BV Hà Nội</v>
      </c>
    </row>
    <row r="262" spans="1:9" x14ac:dyDescent="0.25">
      <c r="A262" t="str">
        <f t="shared" si="12"/>
        <v>142</v>
      </c>
      <c r="B262" t="s">
        <v>826</v>
      </c>
      <c r="C262" t="s">
        <v>827</v>
      </c>
      <c r="D262" t="s">
        <v>393</v>
      </c>
      <c r="E262" s="110">
        <v>1200000</v>
      </c>
      <c r="F262" t="str">
        <f>VLOOKUP(D262,Sheet1!$A$18:$B$28,2,FALSE)</f>
        <v>BH Xe cơ giới</v>
      </c>
      <c r="G262" t="str">
        <f t="shared" si="13"/>
        <v>142</v>
      </c>
      <c r="H262" s="24">
        <f t="shared" si="14"/>
        <v>1200000</v>
      </c>
      <c r="I262" t="str">
        <f>VLOOKUP(G262,'CHECK_DT-BT'!$A$3:$C$92,3,FALSE)</f>
        <v>BV Hà Nội</v>
      </c>
    </row>
    <row r="263" spans="1:9" x14ac:dyDescent="0.25">
      <c r="A263" t="str">
        <f t="shared" si="12"/>
        <v>142</v>
      </c>
      <c r="B263" t="s">
        <v>828</v>
      </c>
      <c r="C263" t="s">
        <v>829</v>
      </c>
      <c r="D263" t="s">
        <v>387</v>
      </c>
      <c r="E263" s="110">
        <v>15285150</v>
      </c>
      <c r="F263" t="str">
        <f>VLOOKUP(D263,Sheet1!$A$18:$B$28,2,FALSE)</f>
        <v>BH Hàng hóa</v>
      </c>
      <c r="G263" t="str">
        <f t="shared" si="13"/>
        <v>142</v>
      </c>
      <c r="H263" s="24">
        <f t="shared" si="14"/>
        <v>15285150</v>
      </c>
      <c r="I263" t="str">
        <f>VLOOKUP(G263,'CHECK_DT-BT'!$A$3:$C$92,3,FALSE)</f>
        <v>BV Hà Nội</v>
      </c>
    </row>
    <row r="264" spans="1:9" x14ac:dyDescent="0.25">
      <c r="A264" t="str">
        <f t="shared" si="12"/>
        <v>142</v>
      </c>
      <c r="B264" t="s">
        <v>828</v>
      </c>
      <c r="C264" t="s">
        <v>829</v>
      </c>
      <c r="D264" t="s">
        <v>391</v>
      </c>
      <c r="E264" s="110">
        <v>427686498</v>
      </c>
      <c r="F264" t="str">
        <f>VLOOKUP(D264,Sheet1!$A$18:$B$28,2,FALSE)</f>
        <v>BH Kỹ thuật</v>
      </c>
      <c r="G264" t="str">
        <f t="shared" si="13"/>
        <v>142</v>
      </c>
      <c r="H264" s="24">
        <f t="shared" si="14"/>
        <v>427686498</v>
      </c>
      <c r="I264" t="str">
        <f>VLOOKUP(G264,'CHECK_DT-BT'!$A$3:$C$92,3,FALSE)</f>
        <v>BV Hà Nội</v>
      </c>
    </row>
    <row r="265" spans="1:9" x14ac:dyDescent="0.25">
      <c r="A265" t="str">
        <f t="shared" si="12"/>
        <v>142</v>
      </c>
      <c r="B265" t="s">
        <v>828</v>
      </c>
      <c r="C265" t="s">
        <v>829</v>
      </c>
      <c r="D265" t="s">
        <v>392</v>
      </c>
      <c r="E265" s="110">
        <v>4979768</v>
      </c>
      <c r="F265" t="str">
        <f>VLOOKUP(D265,Sheet1!$A$18:$B$28,2,FALSE)</f>
        <v>BH Tài sản</v>
      </c>
      <c r="G265" t="str">
        <f t="shared" si="13"/>
        <v>142</v>
      </c>
      <c r="H265" s="24">
        <f t="shared" si="14"/>
        <v>4979768</v>
      </c>
      <c r="I265" t="str">
        <f>VLOOKUP(G265,'CHECK_DT-BT'!$A$3:$C$92,3,FALSE)</f>
        <v>BV Hà Nội</v>
      </c>
    </row>
    <row r="266" spans="1:9" x14ac:dyDescent="0.25">
      <c r="A266" t="str">
        <f t="shared" si="12"/>
        <v>142</v>
      </c>
      <c r="B266" t="s">
        <v>828</v>
      </c>
      <c r="C266" t="s">
        <v>829</v>
      </c>
      <c r="D266" t="s">
        <v>393</v>
      </c>
      <c r="E266" s="110">
        <v>15300000</v>
      </c>
      <c r="F266" t="str">
        <f>VLOOKUP(D266,Sheet1!$A$18:$B$28,2,FALSE)</f>
        <v>BH Xe cơ giới</v>
      </c>
      <c r="G266" t="str">
        <f t="shared" si="13"/>
        <v>142</v>
      </c>
      <c r="H266" s="24">
        <f t="shared" si="14"/>
        <v>15300000</v>
      </c>
      <c r="I266" t="str">
        <f>VLOOKUP(G266,'CHECK_DT-BT'!$A$3:$C$92,3,FALSE)</f>
        <v>BV Hà Nội</v>
      </c>
    </row>
    <row r="267" spans="1:9" x14ac:dyDescent="0.25">
      <c r="A267" t="str">
        <f t="shared" si="12"/>
        <v>142</v>
      </c>
      <c r="B267" t="s">
        <v>830</v>
      </c>
      <c r="C267" t="s">
        <v>831</v>
      </c>
      <c r="D267" t="s">
        <v>393</v>
      </c>
      <c r="E267" s="110">
        <v>1000000</v>
      </c>
      <c r="F267" t="str">
        <f>VLOOKUP(D267,Sheet1!$A$18:$B$28,2,FALSE)</f>
        <v>BH Xe cơ giới</v>
      </c>
      <c r="G267" t="str">
        <f t="shared" si="13"/>
        <v>142</v>
      </c>
      <c r="H267" s="24">
        <f t="shared" si="14"/>
        <v>1000000</v>
      </c>
      <c r="I267" t="str">
        <f>VLOOKUP(G267,'CHECK_DT-BT'!$A$3:$C$92,3,FALSE)</f>
        <v>BV Hà Nội</v>
      </c>
    </row>
    <row r="268" spans="1:9" x14ac:dyDescent="0.25">
      <c r="A268" t="str">
        <f t="shared" si="12"/>
        <v>142</v>
      </c>
      <c r="B268" t="s">
        <v>832</v>
      </c>
      <c r="C268" t="s">
        <v>833</v>
      </c>
      <c r="D268" t="s">
        <v>393</v>
      </c>
      <c r="E268" s="110">
        <v>700000</v>
      </c>
      <c r="F268" t="str">
        <f>VLOOKUP(D268,Sheet1!$A$18:$B$28,2,FALSE)</f>
        <v>BH Xe cơ giới</v>
      </c>
      <c r="G268" t="str">
        <f t="shared" si="13"/>
        <v>142</v>
      </c>
      <c r="H268" s="24">
        <f t="shared" si="14"/>
        <v>700000</v>
      </c>
      <c r="I268" t="str">
        <f>VLOOKUP(G268,'CHECK_DT-BT'!$A$3:$C$92,3,FALSE)</f>
        <v>BV Hà Nội</v>
      </c>
    </row>
    <row r="269" spans="1:9" x14ac:dyDescent="0.25">
      <c r="A269" t="str">
        <f t="shared" si="12"/>
        <v>142</v>
      </c>
      <c r="B269" t="s">
        <v>834</v>
      </c>
      <c r="C269" t="s">
        <v>835</v>
      </c>
      <c r="D269" t="s">
        <v>393</v>
      </c>
      <c r="E269" s="110">
        <v>1200000</v>
      </c>
      <c r="F269" t="str">
        <f>VLOOKUP(D269,Sheet1!$A$18:$B$28,2,FALSE)</f>
        <v>BH Xe cơ giới</v>
      </c>
      <c r="G269" t="str">
        <f t="shared" si="13"/>
        <v>142</v>
      </c>
      <c r="H269" s="24">
        <f t="shared" si="14"/>
        <v>1200000</v>
      </c>
      <c r="I269" t="str">
        <f>VLOOKUP(G269,'CHECK_DT-BT'!$A$3:$C$92,3,FALSE)</f>
        <v>BV Hà Nội</v>
      </c>
    </row>
    <row r="270" spans="1:9" x14ac:dyDescent="0.25">
      <c r="A270" t="str">
        <f t="shared" si="12"/>
        <v>142</v>
      </c>
      <c r="B270" t="s">
        <v>836</v>
      </c>
      <c r="C270" t="s">
        <v>837</v>
      </c>
      <c r="D270" t="s">
        <v>387</v>
      </c>
      <c r="E270" s="110">
        <v>36350000</v>
      </c>
      <c r="F270" t="str">
        <f>VLOOKUP(D270,Sheet1!$A$18:$B$28,2,FALSE)</f>
        <v>BH Hàng hóa</v>
      </c>
      <c r="G270" t="str">
        <f t="shared" si="13"/>
        <v>142</v>
      </c>
      <c r="H270" s="24">
        <f t="shared" si="14"/>
        <v>36350000</v>
      </c>
      <c r="I270" t="str">
        <f>VLOOKUP(G270,'CHECK_DT-BT'!$A$3:$C$92,3,FALSE)</f>
        <v>BV Hà Nội</v>
      </c>
    </row>
    <row r="271" spans="1:9" x14ac:dyDescent="0.25">
      <c r="A271" t="str">
        <f t="shared" si="12"/>
        <v>142</v>
      </c>
      <c r="B271" t="s">
        <v>836</v>
      </c>
      <c r="C271" t="s">
        <v>837</v>
      </c>
      <c r="D271" t="s">
        <v>393</v>
      </c>
      <c r="E271" s="110">
        <v>2000000</v>
      </c>
      <c r="F271" t="str">
        <f>VLOOKUP(D271,Sheet1!$A$18:$B$28,2,FALSE)</f>
        <v>BH Xe cơ giới</v>
      </c>
      <c r="G271" t="str">
        <f t="shared" si="13"/>
        <v>142</v>
      </c>
      <c r="H271" s="24">
        <f t="shared" si="14"/>
        <v>2000000</v>
      </c>
      <c r="I271" t="str">
        <f>VLOOKUP(G271,'CHECK_DT-BT'!$A$3:$C$92,3,FALSE)</f>
        <v>BV Hà Nội</v>
      </c>
    </row>
    <row r="272" spans="1:9" x14ac:dyDescent="0.25">
      <c r="A272" t="str">
        <f t="shared" si="12"/>
        <v>142</v>
      </c>
      <c r="B272" t="s">
        <v>838</v>
      </c>
      <c r="C272" t="s">
        <v>839</v>
      </c>
      <c r="D272" t="s">
        <v>387</v>
      </c>
      <c r="E272" s="110">
        <v>16594908</v>
      </c>
      <c r="F272" t="str">
        <f>VLOOKUP(D272,Sheet1!$A$18:$B$28,2,FALSE)</f>
        <v>BH Hàng hóa</v>
      </c>
      <c r="G272" t="str">
        <f t="shared" si="13"/>
        <v>142</v>
      </c>
      <c r="H272" s="24">
        <f t="shared" si="14"/>
        <v>16594908</v>
      </c>
      <c r="I272" t="str">
        <f>VLOOKUP(G272,'CHECK_DT-BT'!$A$3:$C$92,3,FALSE)</f>
        <v>BV Hà Nội</v>
      </c>
    </row>
    <row r="273" spans="1:9" x14ac:dyDescent="0.25">
      <c r="A273" t="str">
        <f t="shared" si="12"/>
        <v>142</v>
      </c>
      <c r="B273" t="s">
        <v>838</v>
      </c>
      <c r="C273" t="s">
        <v>839</v>
      </c>
      <c r="D273" t="s">
        <v>393</v>
      </c>
      <c r="E273" s="110">
        <v>2000000</v>
      </c>
      <c r="F273" t="str">
        <f>VLOOKUP(D273,Sheet1!$A$18:$B$28,2,FALSE)</f>
        <v>BH Xe cơ giới</v>
      </c>
      <c r="G273" t="str">
        <f t="shared" si="13"/>
        <v>142</v>
      </c>
      <c r="H273" s="24">
        <f t="shared" si="14"/>
        <v>2000000</v>
      </c>
      <c r="I273" t="str">
        <f>VLOOKUP(G273,'CHECK_DT-BT'!$A$3:$C$92,3,FALSE)</f>
        <v>BV Hà Nội</v>
      </c>
    </row>
    <row r="274" spans="1:9" x14ac:dyDescent="0.25">
      <c r="A274" t="str">
        <f t="shared" si="12"/>
        <v>142</v>
      </c>
      <c r="B274" t="s">
        <v>840</v>
      </c>
      <c r="C274" t="s">
        <v>841</v>
      </c>
      <c r="D274" t="s">
        <v>393</v>
      </c>
      <c r="E274" s="110">
        <v>17100000</v>
      </c>
      <c r="F274" t="str">
        <f>VLOOKUP(D274,Sheet1!$A$18:$B$28,2,FALSE)</f>
        <v>BH Xe cơ giới</v>
      </c>
      <c r="G274" t="str">
        <f t="shared" si="13"/>
        <v>142</v>
      </c>
      <c r="H274" s="24">
        <f t="shared" si="14"/>
        <v>17100000</v>
      </c>
      <c r="I274" t="str">
        <f>VLOOKUP(G274,'CHECK_DT-BT'!$A$3:$C$92,3,FALSE)</f>
        <v>BV Hà Nội</v>
      </c>
    </row>
    <row r="275" spans="1:9" x14ac:dyDescent="0.25">
      <c r="A275" t="str">
        <f t="shared" si="12"/>
        <v>142</v>
      </c>
      <c r="B275" t="s">
        <v>842</v>
      </c>
      <c r="C275" t="s">
        <v>843</v>
      </c>
      <c r="D275" t="s">
        <v>393</v>
      </c>
      <c r="E275" s="110">
        <v>3200000</v>
      </c>
      <c r="F275" t="str">
        <f>VLOOKUP(D275,Sheet1!$A$18:$B$28,2,FALSE)</f>
        <v>BH Xe cơ giới</v>
      </c>
      <c r="G275" t="str">
        <f t="shared" si="13"/>
        <v>142</v>
      </c>
      <c r="H275" s="24">
        <f t="shared" si="14"/>
        <v>3200000</v>
      </c>
      <c r="I275" t="str">
        <f>VLOOKUP(G275,'CHECK_DT-BT'!$A$3:$C$92,3,FALSE)</f>
        <v>BV Hà Nội</v>
      </c>
    </row>
    <row r="276" spans="1:9" x14ac:dyDescent="0.25">
      <c r="A276" t="str">
        <f t="shared" si="12"/>
        <v>142</v>
      </c>
      <c r="B276" t="s">
        <v>844</v>
      </c>
      <c r="C276" t="s">
        <v>845</v>
      </c>
      <c r="D276" t="s">
        <v>392</v>
      </c>
      <c r="E276" s="110">
        <v>98617863</v>
      </c>
      <c r="F276" t="str">
        <f>VLOOKUP(D276,Sheet1!$A$18:$B$28,2,FALSE)</f>
        <v>BH Tài sản</v>
      </c>
      <c r="G276" t="str">
        <f t="shared" si="13"/>
        <v>142</v>
      </c>
      <c r="H276" s="24">
        <f t="shared" si="14"/>
        <v>98617863</v>
      </c>
      <c r="I276" t="str">
        <f>VLOOKUP(G276,'CHECK_DT-BT'!$A$3:$C$92,3,FALSE)</f>
        <v>BV Hà Nội</v>
      </c>
    </row>
    <row r="277" spans="1:9" x14ac:dyDescent="0.25">
      <c r="A277" t="str">
        <f t="shared" si="12"/>
        <v>142</v>
      </c>
      <c r="B277" t="s">
        <v>844</v>
      </c>
      <c r="C277" t="s">
        <v>845</v>
      </c>
      <c r="D277" t="s">
        <v>393</v>
      </c>
      <c r="E277" s="110">
        <v>3200000</v>
      </c>
      <c r="F277" t="str">
        <f>VLOOKUP(D277,Sheet1!$A$18:$B$28,2,FALSE)</f>
        <v>BH Xe cơ giới</v>
      </c>
      <c r="G277" t="str">
        <f t="shared" si="13"/>
        <v>142</v>
      </c>
      <c r="H277" s="24">
        <f t="shared" si="14"/>
        <v>3200000</v>
      </c>
      <c r="I277" t="str">
        <f>VLOOKUP(G277,'CHECK_DT-BT'!$A$3:$C$92,3,FALSE)</f>
        <v>BV Hà Nội</v>
      </c>
    </row>
    <row r="278" spans="1:9" x14ac:dyDescent="0.25">
      <c r="A278" t="str">
        <f t="shared" si="12"/>
        <v>143</v>
      </c>
      <c r="B278" t="s">
        <v>306</v>
      </c>
      <c r="C278" t="s">
        <v>71</v>
      </c>
      <c r="D278" t="s">
        <v>393</v>
      </c>
      <c r="E278" s="110">
        <v>28200000</v>
      </c>
      <c r="F278" t="str">
        <f>VLOOKUP(D278,Sheet1!$A$18:$B$28,2,FALSE)</f>
        <v>BH Xe cơ giới</v>
      </c>
      <c r="G278" t="str">
        <f t="shared" si="13"/>
        <v>143</v>
      </c>
      <c r="H278" s="24">
        <f t="shared" si="14"/>
        <v>28200000</v>
      </c>
      <c r="I278" t="str">
        <f>VLOOKUP(G278,'CHECK_DT-BT'!$A$3:$C$92,3,FALSE)</f>
        <v>BV Đông Đô</v>
      </c>
    </row>
    <row r="279" spans="1:9" x14ac:dyDescent="0.25">
      <c r="A279" t="str">
        <f t="shared" si="12"/>
        <v>143</v>
      </c>
      <c r="B279" t="s">
        <v>846</v>
      </c>
      <c r="C279" t="s">
        <v>847</v>
      </c>
      <c r="D279" t="s">
        <v>391</v>
      </c>
      <c r="E279" s="110">
        <v>13845384</v>
      </c>
      <c r="F279" t="str">
        <f>VLOOKUP(D279,Sheet1!$A$18:$B$28,2,FALSE)</f>
        <v>BH Kỹ thuật</v>
      </c>
      <c r="G279" t="str">
        <f t="shared" si="13"/>
        <v>143</v>
      </c>
      <c r="H279" s="24">
        <f t="shared" si="14"/>
        <v>13845384</v>
      </c>
      <c r="I279" t="str">
        <f>VLOOKUP(G279,'CHECK_DT-BT'!$A$3:$C$92,3,FALSE)</f>
        <v>BV Đông Đô</v>
      </c>
    </row>
    <row r="280" spans="1:9" x14ac:dyDescent="0.25">
      <c r="A280" t="str">
        <f t="shared" si="12"/>
        <v>143</v>
      </c>
      <c r="B280" t="s">
        <v>846</v>
      </c>
      <c r="C280" t="s">
        <v>847</v>
      </c>
      <c r="D280" t="s">
        <v>393</v>
      </c>
      <c r="E280" s="110">
        <v>19900000</v>
      </c>
      <c r="F280" t="str">
        <f>VLOOKUP(D280,Sheet1!$A$18:$B$28,2,FALSE)</f>
        <v>BH Xe cơ giới</v>
      </c>
      <c r="G280" t="str">
        <f t="shared" si="13"/>
        <v>143</v>
      </c>
      <c r="H280" s="24">
        <f t="shared" si="14"/>
        <v>19900000</v>
      </c>
      <c r="I280" t="str">
        <f>VLOOKUP(G280,'CHECK_DT-BT'!$A$3:$C$92,3,FALSE)</f>
        <v>BV Đông Đô</v>
      </c>
    </row>
    <row r="281" spans="1:9" x14ac:dyDescent="0.25">
      <c r="A281" t="str">
        <f t="shared" si="12"/>
        <v>143</v>
      </c>
      <c r="B281" t="s">
        <v>848</v>
      </c>
      <c r="C281" t="s">
        <v>849</v>
      </c>
      <c r="D281" t="s">
        <v>392</v>
      </c>
      <c r="E281" s="110">
        <v>136070367</v>
      </c>
      <c r="F281" t="str">
        <f>VLOOKUP(D281,Sheet1!$A$18:$B$28,2,FALSE)</f>
        <v>BH Tài sản</v>
      </c>
      <c r="G281" t="str">
        <f t="shared" si="13"/>
        <v>143</v>
      </c>
      <c r="H281" s="24">
        <f t="shared" si="14"/>
        <v>136070367</v>
      </c>
      <c r="I281" t="str">
        <f>VLOOKUP(G281,'CHECK_DT-BT'!$A$3:$C$92,3,FALSE)</f>
        <v>BV Đông Đô</v>
      </c>
    </row>
    <row r="282" spans="1:9" x14ac:dyDescent="0.25">
      <c r="A282" t="str">
        <f t="shared" si="12"/>
        <v>143</v>
      </c>
      <c r="B282" t="s">
        <v>850</v>
      </c>
      <c r="C282" t="s">
        <v>851</v>
      </c>
      <c r="D282" t="s">
        <v>393</v>
      </c>
      <c r="E282" s="110">
        <v>1200000</v>
      </c>
      <c r="F282" t="str">
        <f>VLOOKUP(D282,Sheet1!$A$18:$B$28,2,FALSE)</f>
        <v>BH Xe cơ giới</v>
      </c>
      <c r="G282" t="str">
        <f t="shared" si="13"/>
        <v>143</v>
      </c>
      <c r="H282" s="24">
        <f t="shared" si="14"/>
        <v>1200000</v>
      </c>
      <c r="I282" t="str">
        <f>VLOOKUP(G282,'CHECK_DT-BT'!$A$3:$C$92,3,FALSE)</f>
        <v>BV Đông Đô</v>
      </c>
    </row>
    <row r="283" spans="1:9" x14ac:dyDescent="0.25">
      <c r="A283" t="str">
        <f t="shared" si="12"/>
        <v>143</v>
      </c>
      <c r="B283" t="s">
        <v>852</v>
      </c>
      <c r="C283" t="s">
        <v>853</v>
      </c>
      <c r="D283" t="s">
        <v>393</v>
      </c>
      <c r="E283" s="110">
        <v>3500000</v>
      </c>
      <c r="F283" t="str">
        <f>VLOOKUP(D283,Sheet1!$A$18:$B$28,2,FALSE)</f>
        <v>BH Xe cơ giới</v>
      </c>
      <c r="G283" t="str">
        <f t="shared" si="13"/>
        <v>143</v>
      </c>
      <c r="H283" s="24">
        <f t="shared" si="14"/>
        <v>3500000</v>
      </c>
      <c r="I283" t="str">
        <f>VLOOKUP(G283,'CHECK_DT-BT'!$A$3:$C$92,3,FALSE)</f>
        <v>BV Đông Đô</v>
      </c>
    </row>
    <row r="284" spans="1:9" x14ac:dyDescent="0.25">
      <c r="A284" t="str">
        <f t="shared" si="12"/>
        <v>143</v>
      </c>
      <c r="B284" t="s">
        <v>854</v>
      </c>
      <c r="C284" t="s">
        <v>855</v>
      </c>
      <c r="D284" t="s">
        <v>393</v>
      </c>
      <c r="E284" s="110">
        <v>3800000</v>
      </c>
      <c r="F284" t="str">
        <f>VLOOKUP(D284,Sheet1!$A$18:$B$28,2,FALSE)</f>
        <v>BH Xe cơ giới</v>
      </c>
      <c r="G284" t="str">
        <f t="shared" si="13"/>
        <v>143</v>
      </c>
      <c r="H284" s="24">
        <f t="shared" si="14"/>
        <v>3800000</v>
      </c>
      <c r="I284" t="str">
        <f>VLOOKUP(G284,'CHECK_DT-BT'!$A$3:$C$92,3,FALSE)</f>
        <v>BV Đông Đô</v>
      </c>
    </row>
    <row r="285" spans="1:9" x14ac:dyDescent="0.25">
      <c r="A285" t="str">
        <f t="shared" si="12"/>
        <v>143</v>
      </c>
      <c r="B285" t="s">
        <v>856</v>
      </c>
      <c r="C285" t="s">
        <v>857</v>
      </c>
      <c r="D285" t="s">
        <v>393</v>
      </c>
      <c r="E285" s="110">
        <v>2200000</v>
      </c>
      <c r="F285" t="str">
        <f>VLOOKUP(D285,Sheet1!$A$18:$B$28,2,FALSE)</f>
        <v>BH Xe cơ giới</v>
      </c>
      <c r="G285" t="str">
        <f t="shared" si="13"/>
        <v>143</v>
      </c>
      <c r="H285" s="24">
        <f t="shared" si="14"/>
        <v>2200000</v>
      </c>
      <c r="I285" t="str">
        <f>VLOOKUP(G285,'CHECK_DT-BT'!$A$3:$C$92,3,FALSE)</f>
        <v>BV Đông Đô</v>
      </c>
    </row>
    <row r="286" spans="1:9" x14ac:dyDescent="0.25">
      <c r="A286" t="str">
        <f t="shared" si="12"/>
        <v>143</v>
      </c>
      <c r="B286" t="s">
        <v>858</v>
      </c>
      <c r="C286" t="s">
        <v>859</v>
      </c>
      <c r="D286" t="s">
        <v>393</v>
      </c>
      <c r="E286" s="110">
        <v>16400000</v>
      </c>
      <c r="F286" t="str">
        <f>VLOOKUP(D286,Sheet1!$A$18:$B$28,2,FALSE)</f>
        <v>BH Xe cơ giới</v>
      </c>
      <c r="G286" t="str">
        <f t="shared" si="13"/>
        <v>143</v>
      </c>
      <c r="H286" s="24">
        <f t="shared" si="14"/>
        <v>16400000</v>
      </c>
      <c r="I286" t="str">
        <f>VLOOKUP(G286,'CHECK_DT-BT'!$A$3:$C$92,3,FALSE)</f>
        <v>BV Đông Đô</v>
      </c>
    </row>
    <row r="287" spans="1:9" x14ac:dyDescent="0.25">
      <c r="A287" t="str">
        <f t="shared" si="12"/>
        <v>143</v>
      </c>
      <c r="B287" t="s">
        <v>860</v>
      </c>
      <c r="C287" t="s">
        <v>861</v>
      </c>
      <c r="D287" t="s">
        <v>393</v>
      </c>
      <c r="E287" s="110">
        <v>4000000</v>
      </c>
      <c r="F287" t="str">
        <f>VLOOKUP(D287,Sheet1!$A$18:$B$28,2,FALSE)</f>
        <v>BH Xe cơ giới</v>
      </c>
      <c r="G287" t="str">
        <f t="shared" si="13"/>
        <v>143</v>
      </c>
      <c r="H287" s="24">
        <f t="shared" si="14"/>
        <v>4000000</v>
      </c>
      <c r="I287" t="str">
        <f>VLOOKUP(G287,'CHECK_DT-BT'!$A$3:$C$92,3,FALSE)</f>
        <v>BV Đông Đô</v>
      </c>
    </row>
    <row r="288" spans="1:9" x14ac:dyDescent="0.25">
      <c r="A288" t="str">
        <f t="shared" si="12"/>
        <v>143</v>
      </c>
      <c r="B288" t="s">
        <v>862</v>
      </c>
      <c r="C288" t="s">
        <v>863</v>
      </c>
      <c r="D288" t="s">
        <v>393</v>
      </c>
      <c r="E288" s="110">
        <v>71900000</v>
      </c>
      <c r="F288" t="str">
        <f>VLOOKUP(D288,Sheet1!$A$18:$B$28,2,FALSE)</f>
        <v>BH Xe cơ giới</v>
      </c>
      <c r="G288" t="str">
        <f t="shared" si="13"/>
        <v>143</v>
      </c>
      <c r="H288" s="24">
        <f t="shared" si="14"/>
        <v>71900000</v>
      </c>
      <c r="I288" t="str">
        <f>VLOOKUP(G288,'CHECK_DT-BT'!$A$3:$C$92,3,FALSE)</f>
        <v>BV Đông Đô</v>
      </c>
    </row>
    <row r="289" spans="1:9" x14ac:dyDescent="0.25">
      <c r="A289" t="str">
        <f t="shared" si="12"/>
        <v>143</v>
      </c>
      <c r="B289" t="s">
        <v>864</v>
      </c>
      <c r="C289" t="s">
        <v>865</v>
      </c>
      <c r="D289" t="s">
        <v>393</v>
      </c>
      <c r="E289" s="110">
        <v>500000</v>
      </c>
      <c r="F289" t="str">
        <f>VLOOKUP(D289,Sheet1!$A$18:$B$28,2,FALSE)</f>
        <v>BH Xe cơ giới</v>
      </c>
      <c r="G289" t="str">
        <f t="shared" si="13"/>
        <v>143</v>
      </c>
      <c r="H289" s="24">
        <f t="shared" si="14"/>
        <v>500000</v>
      </c>
      <c r="I289" t="str">
        <f>VLOOKUP(G289,'CHECK_DT-BT'!$A$3:$C$92,3,FALSE)</f>
        <v>BV Đông Đô</v>
      </c>
    </row>
    <row r="290" spans="1:9" x14ac:dyDescent="0.25">
      <c r="A290" t="str">
        <f t="shared" si="12"/>
        <v>143</v>
      </c>
      <c r="B290" t="s">
        <v>866</v>
      </c>
      <c r="C290" t="s">
        <v>867</v>
      </c>
      <c r="D290" t="s">
        <v>393</v>
      </c>
      <c r="E290" s="110">
        <v>27100000</v>
      </c>
      <c r="F290" t="str">
        <f>VLOOKUP(D290,Sheet1!$A$18:$B$28,2,FALSE)</f>
        <v>BH Xe cơ giới</v>
      </c>
      <c r="G290" t="str">
        <f t="shared" si="13"/>
        <v>143</v>
      </c>
      <c r="H290" s="24">
        <f t="shared" si="14"/>
        <v>27100000</v>
      </c>
      <c r="I290" t="str">
        <f>VLOOKUP(G290,'CHECK_DT-BT'!$A$3:$C$92,3,FALSE)</f>
        <v>BV Đông Đô</v>
      </c>
    </row>
    <row r="291" spans="1:9" x14ac:dyDescent="0.25">
      <c r="A291" t="str">
        <f t="shared" si="12"/>
        <v>143</v>
      </c>
      <c r="B291" t="s">
        <v>868</v>
      </c>
      <c r="C291" t="s">
        <v>869</v>
      </c>
      <c r="D291" t="s">
        <v>393</v>
      </c>
      <c r="E291" s="110">
        <v>1000000</v>
      </c>
      <c r="F291" t="str">
        <f>VLOOKUP(D291,Sheet1!$A$18:$B$28,2,FALSE)</f>
        <v>BH Xe cơ giới</v>
      </c>
      <c r="G291" t="str">
        <f t="shared" si="13"/>
        <v>143</v>
      </c>
      <c r="H291" s="24">
        <f t="shared" si="14"/>
        <v>1000000</v>
      </c>
      <c r="I291" t="str">
        <f>VLOOKUP(G291,'CHECK_DT-BT'!$A$3:$C$92,3,FALSE)</f>
        <v>BV Đông Đô</v>
      </c>
    </row>
    <row r="292" spans="1:9" x14ac:dyDescent="0.25">
      <c r="A292" t="str">
        <f t="shared" si="12"/>
        <v>144</v>
      </c>
      <c r="B292" t="s">
        <v>870</v>
      </c>
      <c r="C292" t="s">
        <v>871</v>
      </c>
      <c r="D292" t="s">
        <v>391</v>
      </c>
      <c r="E292" s="110">
        <v>153277052</v>
      </c>
      <c r="F292" t="str">
        <f>VLOOKUP(D292,Sheet1!$A$18:$B$28,2,FALSE)</f>
        <v>BH Kỹ thuật</v>
      </c>
      <c r="G292" t="str">
        <f t="shared" si="13"/>
        <v>144</v>
      </c>
      <c r="H292" s="24">
        <f t="shared" si="14"/>
        <v>153277052</v>
      </c>
      <c r="I292" t="str">
        <f>VLOOKUP(G292,'CHECK_DT-BT'!$A$3:$C$92,3,FALSE)</f>
        <v>BV Hà Tĩnh</v>
      </c>
    </row>
    <row r="293" spans="1:9" x14ac:dyDescent="0.25">
      <c r="A293" t="str">
        <f t="shared" si="12"/>
        <v>144</v>
      </c>
      <c r="B293" t="s">
        <v>870</v>
      </c>
      <c r="C293" t="s">
        <v>871</v>
      </c>
      <c r="D293" t="s">
        <v>272</v>
      </c>
      <c r="E293" s="110">
        <v>47965000</v>
      </c>
      <c r="F293" t="str">
        <f>VLOOKUP(D293,Sheet1!$A$18:$B$28,2,FALSE)</f>
        <v>Tàu khác</v>
      </c>
      <c r="G293" t="str">
        <f t="shared" si="13"/>
        <v>144</v>
      </c>
      <c r="H293" s="24">
        <f t="shared" si="14"/>
        <v>47965000</v>
      </c>
      <c r="I293" t="str">
        <f>VLOOKUP(G293,'CHECK_DT-BT'!$A$3:$C$92,3,FALSE)</f>
        <v>BV Hà Tĩnh</v>
      </c>
    </row>
    <row r="294" spans="1:9" x14ac:dyDescent="0.25">
      <c r="A294" t="str">
        <f t="shared" si="12"/>
        <v>144</v>
      </c>
      <c r="B294" t="s">
        <v>870</v>
      </c>
      <c r="C294" t="s">
        <v>871</v>
      </c>
      <c r="D294" t="s">
        <v>393</v>
      </c>
      <c r="E294" s="110">
        <v>30900000</v>
      </c>
      <c r="F294" t="str">
        <f>VLOOKUP(D294,Sheet1!$A$18:$B$28,2,FALSE)</f>
        <v>BH Xe cơ giới</v>
      </c>
      <c r="G294" t="str">
        <f t="shared" si="13"/>
        <v>144</v>
      </c>
      <c r="H294" s="24">
        <f t="shared" si="14"/>
        <v>30900000</v>
      </c>
      <c r="I294" t="str">
        <f>VLOOKUP(G294,'CHECK_DT-BT'!$A$3:$C$92,3,FALSE)</f>
        <v>BV Hà Tĩnh</v>
      </c>
    </row>
    <row r="295" spans="1:9" x14ac:dyDescent="0.25">
      <c r="A295" t="str">
        <f t="shared" si="12"/>
        <v>144</v>
      </c>
      <c r="B295" t="s">
        <v>872</v>
      </c>
      <c r="C295" t="s">
        <v>873</v>
      </c>
      <c r="D295" t="s">
        <v>393</v>
      </c>
      <c r="E295" s="110">
        <v>4000000</v>
      </c>
      <c r="F295" t="str">
        <f>VLOOKUP(D295,Sheet1!$A$18:$B$28,2,FALSE)</f>
        <v>BH Xe cơ giới</v>
      </c>
      <c r="G295" t="str">
        <f t="shared" si="13"/>
        <v>144</v>
      </c>
      <c r="H295" s="24">
        <f t="shared" si="14"/>
        <v>4000000</v>
      </c>
      <c r="I295" t="str">
        <f>VLOOKUP(G295,'CHECK_DT-BT'!$A$3:$C$92,3,FALSE)</f>
        <v>BV Hà Tĩnh</v>
      </c>
    </row>
    <row r="296" spans="1:9" x14ac:dyDescent="0.25">
      <c r="A296" t="str">
        <f t="shared" si="12"/>
        <v>144</v>
      </c>
      <c r="B296" t="s">
        <v>874</v>
      </c>
      <c r="C296" t="s">
        <v>875</v>
      </c>
      <c r="D296" t="s">
        <v>392</v>
      </c>
      <c r="E296" s="110">
        <v>24000000</v>
      </c>
      <c r="F296" t="str">
        <f>VLOOKUP(D296,Sheet1!$A$18:$B$28,2,FALSE)</f>
        <v>BH Tài sản</v>
      </c>
      <c r="G296" t="str">
        <f t="shared" si="13"/>
        <v>144</v>
      </c>
      <c r="H296" s="24">
        <f t="shared" si="14"/>
        <v>24000000</v>
      </c>
      <c r="I296" t="str">
        <f>VLOOKUP(G296,'CHECK_DT-BT'!$A$3:$C$92,3,FALSE)</f>
        <v>BV Hà Tĩnh</v>
      </c>
    </row>
    <row r="297" spans="1:9" x14ac:dyDescent="0.25">
      <c r="A297" t="str">
        <f t="shared" si="12"/>
        <v>144</v>
      </c>
      <c r="B297" t="s">
        <v>876</v>
      </c>
      <c r="C297" t="s">
        <v>877</v>
      </c>
      <c r="D297" t="s">
        <v>393</v>
      </c>
      <c r="E297" s="110">
        <v>3167342</v>
      </c>
      <c r="F297" t="str">
        <f>VLOOKUP(D297,Sheet1!$A$18:$B$28,2,FALSE)</f>
        <v>BH Xe cơ giới</v>
      </c>
      <c r="G297" t="str">
        <f t="shared" si="13"/>
        <v>144</v>
      </c>
      <c r="H297" s="24">
        <f t="shared" si="14"/>
        <v>3167342</v>
      </c>
      <c r="I297" t="str">
        <f>VLOOKUP(G297,'CHECK_DT-BT'!$A$3:$C$92,3,FALSE)</f>
        <v>BV Hà Tĩnh</v>
      </c>
    </row>
    <row r="298" spans="1:9" x14ac:dyDescent="0.25">
      <c r="A298" t="str">
        <f t="shared" si="12"/>
        <v>145</v>
      </c>
      <c r="B298" t="s">
        <v>316</v>
      </c>
      <c r="C298" t="s">
        <v>87</v>
      </c>
      <c r="D298" t="s">
        <v>393</v>
      </c>
      <c r="E298" s="110">
        <v>4400000</v>
      </c>
      <c r="F298" t="str">
        <f>VLOOKUP(D298,Sheet1!$A$18:$B$28,2,FALSE)</f>
        <v>BH Xe cơ giới</v>
      </c>
      <c r="G298" t="str">
        <f t="shared" si="13"/>
        <v>145</v>
      </c>
      <c r="H298" s="24">
        <f t="shared" si="14"/>
        <v>4400000</v>
      </c>
      <c r="I298" t="str">
        <f>VLOOKUP(G298,'CHECK_DT-BT'!$A$3:$C$92,3,FALSE)</f>
        <v>BV Hải Dương</v>
      </c>
    </row>
    <row r="299" spans="1:9" x14ac:dyDescent="0.25">
      <c r="A299" t="str">
        <f t="shared" si="12"/>
        <v>145</v>
      </c>
      <c r="B299" t="s">
        <v>878</v>
      </c>
      <c r="C299" t="s">
        <v>879</v>
      </c>
      <c r="D299" t="s">
        <v>393</v>
      </c>
      <c r="E299" s="110">
        <v>-47900000</v>
      </c>
      <c r="F299" t="str">
        <f>VLOOKUP(D299,Sheet1!$A$18:$B$28,2,FALSE)</f>
        <v>BH Xe cơ giới</v>
      </c>
      <c r="G299" t="str">
        <f t="shared" si="13"/>
        <v>145</v>
      </c>
      <c r="H299" s="24">
        <f t="shared" si="14"/>
        <v>-47900000</v>
      </c>
      <c r="I299" t="str">
        <f>VLOOKUP(G299,'CHECK_DT-BT'!$A$3:$C$92,3,FALSE)</f>
        <v>BV Hải Dương</v>
      </c>
    </row>
    <row r="300" spans="1:9" x14ac:dyDescent="0.25">
      <c r="A300" t="str">
        <f t="shared" si="12"/>
        <v>145</v>
      </c>
      <c r="B300" t="s">
        <v>880</v>
      </c>
      <c r="C300" t="s">
        <v>881</v>
      </c>
      <c r="D300" t="s">
        <v>393</v>
      </c>
      <c r="E300" s="110">
        <v>6500000</v>
      </c>
      <c r="F300" t="str">
        <f>VLOOKUP(D300,Sheet1!$A$18:$B$28,2,FALSE)</f>
        <v>BH Xe cơ giới</v>
      </c>
      <c r="G300" t="str">
        <f t="shared" si="13"/>
        <v>145</v>
      </c>
      <c r="H300" s="24">
        <f t="shared" si="14"/>
        <v>6500000</v>
      </c>
      <c r="I300" t="str">
        <f>VLOOKUP(G300,'CHECK_DT-BT'!$A$3:$C$92,3,FALSE)</f>
        <v>BV Hải Dương</v>
      </c>
    </row>
    <row r="301" spans="1:9" x14ac:dyDescent="0.25">
      <c r="A301" t="str">
        <f t="shared" si="12"/>
        <v>145</v>
      </c>
      <c r="B301" t="s">
        <v>882</v>
      </c>
      <c r="C301" t="s">
        <v>883</v>
      </c>
      <c r="D301" t="s">
        <v>394</v>
      </c>
      <c r="E301" s="110">
        <v>1690000</v>
      </c>
      <c r="F301" t="str">
        <f>VLOOKUP(D301,Sheet1!$A$18:$B$28,2,FALSE)</f>
        <v>BH Con người</v>
      </c>
      <c r="G301" t="str">
        <f t="shared" si="13"/>
        <v>145</v>
      </c>
      <c r="H301" s="24">
        <f t="shared" si="14"/>
        <v>1690000</v>
      </c>
      <c r="I301" t="str">
        <f>VLOOKUP(G301,'CHECK_DT-BT'!$A$3:$C$92,3,FALSE)</f>
        <v>BV Hải Dương</v>
      </c>
    </row>
    <row r="302" spans="1:9" x14ac:dyDescent="0.25">
      <c r="A302" t="str">
        <f t="shared" si="12"/>
        <v>145</v>
      </c>
      <c r="B302" t="s">
        <v>884</v>
      </c>
      <c r="C302" t="s">
        <v>885</v>
      </c>
      <c r="D302" t="s">
        <v>387</v>
      </c>
      <c r="E302" s="110">
        <v>66000000</v>
      </c>
      <c r="F302" t="str">
        <f>VLOOKUP(D302,Sheet1!$A$18:$B$28,2,FALSE)</f>
        <v>BH Hàng hóa</v>
      </c>
      <c r="G302" t="str">
        <f t="shared" si="13"/>
        <v>145</v>
      </c>
      <c r="H302" s="24">
        <f t="shared" si="14"/>
        <v>66000000</v>
      </c>
      <c r="I302" t="str">
        <f>VLOOKUP(G302,'CHECK_DT-BT'!$A$3:$C$92,3,FALSE)</f>
        <v>BV Hải Dương</v>
      </c>
    </row>
    <row r="303" spans="1:9" x14ac:dyDescent="0.25">
      <c r="A303" t="str">
        <f t="shared" si="12"/>
        <v>145</v>
      </c>
      <c r="B303" t="s">
        <v>886</v>
      </c>
      <c r="C303" t="s">
        <v>887</v>
      </c>
      <c r="D303" t="s">
        <v>394</v>
      </c>
      <c r="E303" s="110">
        <v>1520000</v>
      </c>
      <c r="F303" t="str">
        <f>VLOOKUP(D303,Sheet1!$A$18:$B$28,2,FALSE)</f>
        <v>BH Con người</v>
      </c>
      <c r="G303" t="str">
        <f t="shared" si="13"/>
        <v>145</v>
      </c>
      <c r="H303" s="24">
        <f t="shared" si="14"/>
        <v>1520000</v>
      </c>
      <c r="I303" t="str">
        <f>VLOOKUP(G303,'CHECK_DT-BT'!$A$3:$C$92,3,FALSE)</f>
        <v>BV Hải Dương</v>
      </c>
    </row>
    <row r="304" spans="1:9" x14ac:dyDescent="0.25">
      <c r="A304" t="str">
        <f t="shared" si="12"/>
        <v>145</v>
      </c>
      <c r="B304" t="s">
        <v>888</v>
      </c>
      <c r="C304" t="s">
        <v>889</v>
      </c>
      <c r="D304" t="s">
        <v>394</v>
      </c>
      <c r="E304" s="110">
        <v>8070000</v>
      </c>
      <c r="F304" t="str">
        <f>VLOOKUP(D304,Sheet1!$A$18:$B$28,2,FALSE)</f>
        <v>BH Con người</v>
      </c>
      <c r="G304" t="str">
        <f t="shared" si="13"/>
        <v>145</v>
      </c>
      <c r="H304" s="24">
        <f t="shared" si="14"/>
        <v>8070000</v>
      </c>
      <c r="I304" t="str">
        <f>VLOOKUP(G304,'CHECK_DT-BT'!$A$3:$C$92,3,FALSE)</f>
        <v>BV Hải Dương</v>
      </c>
    </row>
    <row r="305" spans="1:9" x14ac:dyDescent="0.25">
      <c r="A305" t="str">
        <f t="shared" si="12"/>
        <v>145</v>
      </c>
      <c r="B305" t="s">
        <v>890</v>
      </c>
      <c r="C305" t="s">
        <v>891</v>
      </c>
      <c r="D305" t="s">
        <v>394</v>
      </c>
      <c r="E305" s="110">
        <v>1630000</v>
      </c>
      <c r="F305" t="str">
        <f>VLOOKUP(D305,Sheet1!$A$18:$B$28,2,FALSE)</f>
        <v>BH Con người</v>
      </c>
      <c r="G305" t="str">
        <f t="shared" si="13"/>
        <v>145</v>
      </c>
      <c r="H305" s="24">
        <f t="shared" si="14"/>
        <v>1630000</v>
      </c>
      <c r="I305" t="str">
        <f>VLOOKUP(G305,'CHECK_DT-BT'!$A$3:$C$92,3,FALSE)</f>
        <v>BV Hải Dương</v>
      </c>
    </row>
    <row r="306" spans="1:9" x14ac:dyDescent="0.25">
      <c r="A306" t="str">
        <f t="shared" si="12"/>
        <v>145</v>
      </c>
      <c r="B306" t="s">
        <v>892</v>
      </c>
      <c r="C306" t="s">
        <v>893</v>
      </c>
      <c r="D306" t="s">
        <v>394</v>
      </c>
      <c r="E306" s="110">
        <v>1620000</v>
      </c>
      <c r="F306" t="str">
        <f>VLOOKUP(D306,Sheet1!$A$18:$B$28,2,FALSE)</f>
        <v>BH Con người</v>
      </c>
      <c r="G306" t="str">
        <f t="shared" si="13"/>
        <v>145</v>
      </c>
      <c r="H306" s="24">
        <f t="shared" si="14"/>
        <v>1620000</v>
      </c>
      <c r="I306" t="str">
        <f>VLOOKUP(G306,'CHECK_DT-BT'!$A$3:$C$92,3,FALSE)</f>
        <v>BV Hải Dương</v>
      </c>
    </row>
    <row r="307" spans="1:9" x14ac:dyDescent="0.25">
      <c r="A307" t="str">
        <f t="shared" si="12"/>
        <v>145</v>
      </c>
      <c r="B307" t="s">
        <v>894</v>
      </c>
      <c r="C307" t="s">
        <v>895</v>
      </c>
      <c r="D307" t="s">
        <v>394</v>
      </c>
      <c r="E307" s="110">
        <v>2460000</v>
      </c>
      <c r="F307" t="str">
        <f>VLOOKUP(D307,Sheet1!$A$18:$B$28,2,FALSE)</f>
        <v>BH Con người</v>
      </c>
      <c r="G307" t="str">
        <f t="shared" si="13"/>
        <v>145</v>
      </c>
      <c r="H307" s="24">
        <f t="shared" si="14"/>
        <v>2460000</v>
      </c>
      <c r="I307" t="str">
        <f>VLOOKUP(G307,'CHECK_DT-BT'!$A$3:$C$92,3,FALSE)</f>
        <v>BV Hải Dương</v>
      </c>
    </row>
    <row r="308" spans="1:9" x14ac:dyDescent="0.25">
      <c r="A308" t="str">
        <f t="shared" si="12"/>
        <v>145</v>
      </c>
      <c r="B308" t="s">
        <v>896</v>
      </c>
      <c r="C308" t="s">
        <v>897</v>
      </c>
      <c r="D308" t="s">
        <v>394</v>
      </c>
      <c r="E308" s="110">
        <v>2570000</v>
      </c>
      <c r="F308" t="str">
        <f>VLOOKUP(D308,Sheet1!$A$18:$B$28,2,FALSE)</f>
        <v>BH Con người</v>
      </c>
      <c r="G308" t="str">
        <f t="shared" si="13"/>
        <v>145</v>
      </c>
      <c r="H308" s="24">
        <f t="shared" si="14"/>
        <v>2570000</v>
      </c>
      <c r="I308" t="str">
        <f>VLOOKUP(G308,'CHECK_DT-BT'!$A$3:$C$92,3,FALSE)</f>
        <v>BV Hải Dương</v>
      </c>
    </row>
    <row r="309" spans="1:9" x14ac:dyDescent="0.25">
      <c r="A309" t="str">
        <f t="shared" si="12"/>
        <v>145</v>
      </c>
      <c r="B309" t="s">
        <v>898</v>
      </c>
      <c r="C309" t="s">
        <v>899</v>
      </c>
      <c r="D309" t="s">
        <v>394</v>
      </c>
      <c r="E309" s="110">
        <v>1540000</v>
      </c>
      <c r="F309" t="str">
        <f>VLOOKUP(D309,Sheet1!$A$18:$B$28,2,FALSE)</f>
        <v>BH Con người</v>
      </c>
      <c r="G309" t="str">
        <f t="shared" si="13"/>
        <v>145</v>
      </c>
      <c r="H309" s="24">
        <f t="shared" si="14"/>
        <v>1540000</v>
      </c>
      <c r="I309" t="str">
        <f>VLOOKUP(G309,'CHECK_DT-BT'!$A$3:$C$92,3,FALSE)</f>
        <v>BV Hải Dương</v>
      </c>
    </row>
    <row r="310" spans="1:9" x14ac:dyDescent="0.25">
      <c r="A310" t="str">
        <f t="shared" si="12"/>
        <v>145</v>
      </c>
      <c r="B310" t="s">
        <v>900</v>
      </c>
      <c r="C310" t="s">
        <v>901</v>
      </c>
      <c r="D310" t="s">
        <v>394</v>
      </c>
      <c r="E310" s="110">
        <v>2940000</v>
      </c>
      <c r="F310" t="str">
        <f>VLOOKUP(D310,Sheet1!$A$18:$B$28,2,FALSE)</f>
        <v>BH Con người</v>
      </c>
      <c r="G310" t="str">
        <f t="shared" si="13"/>
        <v>145</v>
      </c>
      <c r="H310" s="24">
        <f t="shared" si="14"/>
        <v>2940000</v>
      </c>
      <c r="I310" t="str">
        <f>VLOOKUP(G310,'CHECK_DT-BT'!$A$3:$C$92,3,FALSE)</f>
        <v>BV Hải Dương</v>
      </c>
    </row>
    <row r="311" spans="1:9" x14ac:dyDescent="0.25">
      <c r="A311" t="str">
        <f t="shared" si="12"/>
        <v>145</v>
      </c>
      <c r="B311" t="s">
        <v>902</v>
      </c>
      <c r="C311" t="s">
        <v>903</v>
      </c>
      <c r="D311" t="s">
        <v>394</v>
      </c>
      <c r="E311" s="110">
        <v>4470000</v>
      </c>
      <c r="F311" t="str">
        <f>VLOOKUP(D311,Sheet1!$A$18:$B$28,2,FALSE)</f>
        <v>BH Con người</v>
      </c>
      <c r="G311" t="str">
        <f t="shared" si="13"/>
        <v>145</v>
      </c>
      <c r="H311" s="24">
        <f t="shared" si="14"/>
        <v>4470000</v>
      </c>
      <c r="I311" t="str">
        <f>VLOOKUP(G311,'CHECK_DT-BT'!$A$3:$C$92,3,FALSE)</f>
        <v>BV Hải Dương</v>
      </c>
    </row>
    <row r="312" spans="1:9" x14ac:dyDescent="0.25">
      <c r="A312" t="str">
        <f t="shared" si="12"/>
        <v>145</v>
      </c>
      <c r="B312" t="s">
        <v>904</v>
      </c>
      <c r="C312" t="s">
        <v>905</v>
      </c>
      <c r="D312" t="s">
        <v>394</v>
      </c>
      <c r="E312" s="110">
        <v>2750000</v>
      </c>
      <c r="F312" t="str">
        <f>VLOOKUP(D312,Sheet1!$A$18:$B$28,2,FALSE)</f>
        <v>BH Con người</v>
      </c>
      <c r="G312" t="str">
        <f t="shared" si="13"/>
        <v>145</v>
      </c>
      <c r="H312" s="24">
        <f t="shared" si="14"/>
        <v>2750000</v>
      </c>
      <c r="I312" t="str">
        <f>VLOOKUP(G312,'CHECK_DT-BT'!$A$3:$C$92,3,FALSE)</f>
        <v>BV Hải Dương</v>
      </c>
    </row>
    <row r="313" spans="1:9" x14ac:dyDescent="0.25">
      <c r="A313" t="str">
        <f t="shared" si="12"/>
        <v>145</v>
      </c>
      <c r="B313" t="s">
        <v>906</v>
      </c>
      <c r="C313" t="s">
        <v>907</v>
      </c>
      <c r="D313" t="s">
        <v>394</v>
      </c>
      <c r="E313" s="110">
        <v>1770000</v>
      </c>
      <c r="F313" t="str">
        <f>VLOOKUP(D313,Sheet1!$A$18:$B$28,2,FALSE)</f>
        <v>BH Con người</v>
      </c>
      <c r="G313" t="str">
        <f t="shared" si="13"/>
        <v>145</v>
      </c>
      <c r="H313" s="24">
        <f t="shared" si="14"/>
        <v>1770000</v>
      </c>
      <c r="I313" t="str">
        <f>VLOOKUP(G313,'CHECK_DT-BT'!$A$3:$C$92,3,FALSE)</f>
        <v>BV Hải Dương</v>
      </c>
    </row>
    <row r="314" spans="1:9" x14ac:dyDescent="0.25">
      <c r="A314" t="str">
        <f t="shared" si="12"/>
        <v>145</v>
      </c>
      <c r="B314" t="s">
        <v>906</v>
      </c>
      <c r="C314" t="s">
        <v>907</v>
      </c>
      <c r="D314" t="s">
        <v>393</v>
      </c>
      <c r="E314" s="110">
        <v>500000</v>
      </c>
      <c r="F314" t="str">
        <f>VLOOKUP(D314,Sheet1!$A$18:$B$28,2,FALSE)</f>
        <v>BH Xe cơ giới</v>
      </c>
      <c r="G314" t="str">
        <f t="shared" si="13"/>
        <v>145</v>
      </c>
      <c r="H314" s="24">
        <f t="shared" si="14"/>
        <v>500000</v>
      </c>
      <c r="I314" t="str">
        <f>VLOOKUP(G314,'CHECK_DT-BT'!$A$3:$C$92,3,FALSE)</f>
        <v>BV Hải Dương</v>
      </c>
    </row>
    <row r="315" spans="1:9" x14ac:dyDescent="0.25">
      <c r="A315" t="str">
        <f t="shared" si="12"/>
        <v>146</v>
      </c>
      <c r="B315" t="s">
        <v>908</v>
      </c>
      <c r="C315" t="s">
        <v>909</v>
      </c>
      <c r="D315" t="s">
        <v>387</v>
      </c>
      <c r="E315" s="110">
        <v>-31101487</v>
      </c>
      <c r="F315" t="str">
        <f>VLOOKUP(D315,Sheet1!$A$18:$B$28,2,FALSE)</f>
        <v>BH Hàng hóa</v>
      </c>
      <c r="G315" t="str">
        <f t="shared" si="13"/>
        <v>146</v>
      </c>
      <c r="H315" s="24">
        <f t="shared" si="14"/>
        <v>-31101487</v>
      </c>
      <c r="I315" t="str">
        <f>VLOOKUP(G315,'CHECK_DT-BT'!$A$3:$C$92,3,FALSE)</f>
        <v>BV Hải Phòng</v>
      </c>
    </row>
    <row r="316" spans="1:9" x14ac:dyDescent="0.25">
      <c r="A316" t="str">
        <f t="shared" si="12"/>
        <v>146</v>
      </c>
      <c r="B316" t="s">
        <v>908</v>
      </c>
      <c r="C316" t="s">
        <v>909</v>
      </c>
      <c r="D316" t="s">
        <v>393</v>
      </c>
      <c r="E316" s="110">
        <v>3500000</v>
      </c>
      <c r="F316" t="str">
        <f>VLOOKUP(D316,Sheet1!$A$18:$B$28,2,FALSE)</f>
        <v>BH Xe cơ giới</v>
      </c>
      <c r="G316" t="str">
        <f t="shared" si="13"/>
        <v>146</v>
      </c>
      <c r="H316" s="24">
        <f t="shared" si="14"/>
        <v>3500000</v>
      </c>
      <c r="I316" t="str">
        <f>VLOOKUP(G316,'CHECK_DT-BT'!$A$3:$C$92,3,FALSE)</f>
        <v>BV Hải Phòng</v>
      </c>
    </row>
    <row r="317" spans="1:9" x14ac:dyDescent="0.25">
      <c r="A317" t="str">
        <f t="shared" si="12"/>
        <v>146</v>
      </c>
      <c r="B317" t="s">
        <v>910</v>
      </c>
      <c r="C317" t="s">
        <v>911</v>
      </c>
      <c r="D317" t="s">
        <v>393</v>
      </c>
      <c r="E317" s="110">
        <v>1000000</v>
      </c>
      <c r="F317" t="str">
        <f>VLOOKUP(D317,Sheet1!$A$18:$B$28,2,FALSE)</f>
        <v>BH Xe cơ giới</v>
      </c>
      <c r="G317" t="str">
        <f t="shared" si="13"/>
        <v>146</v>
      </c>
      <c r="H317" s="24">
        <f t="shared" si="14"/>
        <v>1000000</v>
      </c>
      <c r="I317" t="str">
        <f>VLOOKUP(G317,'CHECK_DT-BT'!$A$3:$C$92,3,FALSE)</f>
        <v>BV Hải Phòng</v>
      </c>
    </row>
    <row r="318" spans="1:9" x14ac:dyDescent="0.25">
      <c r="A318" t="str">
        <f t="shared" si="12"/>
        <v>146</v>
      </c>
      <c r="B318" t="s">
        <v>912</v>
      </c>
      <c r="C318" t="s">
        <v>913</v>
      </c>
      <c r="D318" t="s">
        <v>392</v>
      </c>
      <c r="E318" s="110">
        <v>6550000</v>
      </c>
      <c r="F318" t="str">
        <f>VLOOKUP(D318,Sheet1!$A$18:$B$28,2,FALSE)</f>
        <v>BH Tài sản</v>
      </c>
      <c r="G318" t="str">
        <f t="shared" si="13"/>
        <v>146</v>
      </c>
      <c r="H318" s="24">
        <f t="shared" si="14"/>
        <v>6550000</v>
      </c>
      <c r="I318" t="str">
        <f>VLOOKUP(G318,'CHECK_DT-BT'!$A$3:$C$92,3,FALSE)</f>
        <v>BV Hải Phòng</v>
      </c>
    </row>
    <row r="319" spans="1:9" x14ac:dyDescent="0.25">
      <c r="A319" t="str">
        <f t="shared" si="12"/>
        <v>146</v>
      </c>
      <c r="B319" t="s">
        <v>912</v>
      </c>
      <c r="C319" t="s">
        <v>913</v>
      </c>
      <c r="D319" t="s">
        <v>393</v>
      </c>
      <c r="E319" s="110">
        <v>1100000</v>
      </c>
      <c r="F319" t="str">
        <f>VLOOKUP(D319,Sheet1!$A$18:$B$28,2,FALSE)</f>
        <v>BH Xe cơ giới</v>
      </c>
      <c r="G319" t="str">
        <f t="shared" si="13"/>
        <v>146</v>
      </c>
      <c r="H319" s="24">
        <f t="shared" si="14"/>
        <v>1100000</v>
      </c>
      <c r="I319" t="str">
        <f>VLOOKUP(G319,'CHECK_DT-BT'!$A$3:$C$92,3,FALSE)</f>
        <v>BV Hải Phòng</v>
      </c>
    </row>
    <row r="320" spans="1:9" x14ac:dyDescent="0.25">
      <c r="A320" t="str">
        <f t="shared" si="12"/>
        <v>146</v>
      </c>
      <c r="B320" t="s">
        <v>914</v>
      </c>
      <c r="C320" t="s">
        <v>915</v>
      </c>
      <c r="D320" t="s">
        <v>387</v>
      </c>
      <c r="E320" s="110">
        <v>35351976</v>
      </c>
      <c r="F320" t="str">
        <f>VLOOKUP(D320,Sheet1!$A$18:$B$28,2,FALSE)</f>
        <v>BH Hàng hóa</v>
      </c>
      <c r="G320" t="str">
        <f t="shared" si="13"/>
        <v>146</v>
      </c>
      <c r="H320" s="24">
        <f t="shared" si="14"/>
        <v>35351976</v>
      </c>
      <c r="I320" t="str">
        <f>VLOOKUP(G320,'CHECK_DT-BT'!$A$3:$C$92,3,FALSE)</f>
        <v>BV Hải Phòng</v>
      </c>
    </row>
    <row r="321" spans="1:9" x14ac:dyDescent="0.25">
      <c r="A321" t="str">
        <f t="shared" si="12"/>
        <v>146</v>
      </c>
      <c r="B321" t="s">
        <v>914</v>
      </c>
      <c r="C321" t="s">
        <v>915</v>
      </c>
      <c r="D321" t="s">
        <v>393</v>
      </c>
      <c r="E321" s="110">
        <v>500000</v>
      </c>
      <c r="F321" t="str">
        <f>VLOOKUP(D321,Sheet1!$A$18:$B$28,2,FALSE)</f>
        <v>BH Xe cơ giới</v>
      </c>
      <c r="G321" t="str">
        <f t="shared" si="13"/>
        <v>146</v>
      </c>
      <c r="H321" s="24">
        <f t="shared" si="14"/>
        <v>500000</v>
      </c>
      <c r="I321" t="str">
        <f>VLOOKUP(G321,'CHECK_DT-BT'!$A$3:$C$92,3,FALSE)</f>
        <v>BV Hải Phòng</v>
      </c>
    </row>
    <row r="322" spans="1:9" x14ac:dyDescent="0.25">
      <c r="A322" t="str">
        <f t="shared" si="12"/>
        <v>146</v>
      </c>
      <c r="B322" t="s">
        <v>916</v>
      </c>
      <c r="C322" t="s">
        <v>917</v>
      </c>
      <c r="D322" t="s">
        <v>393</v>
      </c>
      <c r="E322" s="110">
        <v>1000000</v>
      </c>
      <c r="F322" t="str">
        <f>VLOOKUP(D322,Sheet1!$A$18:$B$28,2,FALSE)</f>
        <v>BH Xe cơ giới</v>
      </c>
      <c r="G322" t="str">
        <f t="shared" si="13"/>
        <v>146</v>
      </c>
      <c r="H322" s="24">
        <f t="shared" si="14"/>
        <v>1000000</v>
      </c>
      <c r="I322" t="str">
        <f>VLOOKUP(G322,'CHECK_DT-BT'!$A$3:$C$92,3,FALSE)</f>
        <v>BV Hải Phòng</v>
      </c>
    </row>
    <row r="323" spans="1:9" x14ac:dyDescent="0.25">
      <c r="A323" t="str">
        <f t="shared" si="12"/>
        <v>146</v>
      </c>
      <c r="B323" t="s">
        <v>918</v>
      </c>
      <c r="C323" t="s">
        <v>919</v>
      </c>
      <c r="D323" t="s">
        <v>392</v>
      </c>
      <c r="E323" s="110">
        <v>7970000</v>
      </c>
      <c r="F323" t="str">
        <f>VLOOKUP(D323,Sheet1!$A$18:$B$28,2,FALSE)</f>
        <v>BH Tài sản</v>
      </c>
      <c r="G323" t="str">
        <f t="shared" si="13"/>
        <v>146</v>
      </c>
      <c r="H323" s="24">
        <f t="shared" si="14"/>
        <v>7970000</v>
      </c>
      <c r="I323" t="str">
        <f>VLOOKUP(G323,'CHECK_DT-BT'!$A$3:$C$92,3,FALSE)</f>
        <v>BV Hải Phòng</v>
      </c>
    </row>
    <row r="324" spans="1:9" x14ac:dyDescent="0.25">
      <c r="A324" t="str">
        <f t="shared" si="12"/>
        <v>146</v>
      </c>
      <c r="B324" t="s">
        <v>920</v>
      </c>
      <c r="C324" t="s">
        <v>921</v>
      </c>
      <c r="D324" t="s">
        <v>391</v>
      </c>
      <c r="E324" s="110">
        <v>17333500</v>
      </c>
      <c r="F324" t="str">
        <f>VLOOKUP(D324,Sheet1!$A$18:$B$28,2,FALSE)</f>
        <v>BH Kỹ thuật</v>
      </c>
      <c r="G324" t="str">
        <f t="shared" si="13"/>
        <v>146</v>
      </c>
      <c r="H324" s="24">
        <f t="shared" si="14"/>
        <v>17333500</v>
      </c>
      <c r="I324" t="str">
        <f>VLOOKUP(G324,'CHECK_DT-BT'!$A$3:$C$92,3,FALSE)</f>
        <v>BV Hải Phòng</v>
      </c>
    </row>
    <row r="325" spans="1:9" x14ac:dyDescent="0.25">
      <c r="A325" t="str">
        <f t="shared" ref="A325:A388" si="15">LEFT(B325,3)</f>
        <v>146</v>
      </c>
      <c r="B325" t="s">
        <v>920</v>
      </c>
      <c r="C325" t="s">
        <v>921</v>
      </c>
      <c r="D325" t="s">
        <v>389</v>
      </c>
      <c r="E325" s="110">
        <v>36201625</v>
      </c>
      <c r="F325" t="str">
        <f>VLOOKUP(D325,Sheet1!$A$18:$B$28,2,FALSE)</f>
        <v>BH Trách nhiệm</v>
      </c>
      <c r="G325" t="str">
        <f t="shared" ref="G325:G388" si="16">IF(A325="101",B325,A325)</f>
        <v>146</v>
      </c>
      <c r="H325" s="24">
        <f t="shared" ref="H325:H388" si="17">E325</f>
        <v>36201625</v>
      </c>
      <c r="I325" t="str">
        <f>VLOOKUP(G325,'CHECK_DT-BT'!$A$3:$C$92,3,FALSE)</f>
        <v>BV Hải Phòng</v>
      </c>
    </row>
    <row r="326" spans="1:9" x14ac:dyDescent="0.25">
      <c r="A326" t="str">
        <f t="shared" si="15"/>
        <v>146</v>
      </c>
      <c r="B326" t="s">
        <v>922</v>
      </c>
      <c r="C326" t="s">
        <v>923</v>
      </c>
      <c r="D326" t="s">
        <v>391</v>
      </c>
      <c r="E326" s="110">
        <v>18161484</v>
      </c>
      <c r="F326" t="str">
        <f>VLOOKUP(D326,Sheet1!$A$18:$B$28,2,FALSE)</f>
        <v>BH Kỹ thuật</v>
      </c>
      <c r="G326" t="str">
        <f t="shared" si="16"/>
        <v>146</v>
      </c>
      <c r="H326" s="24">
        <f t="shared" si="17"/>
        <v>18161484</v>
      </c>
      <c r="I326" t="str">
        <f>VLOOKUP(G326,'CHECK_DT-BT'!$A$3:$C$92,3,FALSE)</f>
        <v>BV Hải Phòng</v>
      </c>
    </row>
    <row r="327" spans="1:9" x14ac:dyDescent="0.25">
      <c r="A327" t="str">
        <f t="shared" si="15"/>
        <v>146</v>
      </c>
      <c r="B327" t="s">
        <v>922</v>
      </c>
      <c r="C327" t="s">
        <v>923</v>
      </c>
      <c r="D327" t="s">
        <v>392</v>
      </c>
      <c r="E327" s="110">
        <v>76524000</v>
      </c>
      <c r="F327" t="str">
        <f>VLOOKUP(D327,Sheet1!$A$18:$B$28,2,FALSE)</f>
        <v>BH Tài sản</v>
      </c>
      <c r="G327" t="str">
        <f t="shared" si="16"/>
        <v>146</v>
      </c>
      <c r="H327" s="24">
        <f t="shared" si="17"/>
        <v>76524000</v>
      </c>
      <c r="I327" t="str">
        <f>VLOOKUP(G327,'CHECK_DT-BT'!$A$3:$C$92,3,FALSE)</f>
        <v>BV Hải Phòng</v>
      </c>
    </row>
    <row r="328" spans="1:9" x14ac:dyDescent="0.25">
      <c r="A328" t="str">
        <f t="shared" si="15"/>
        <v>146</v>
      </c>
      <c r="B328" t="s">
        <v>922</v>
      </c>
      <c r="C328" t="s">
        <v>923</v>
      </c>
      <c r="D328" t="s">
        <v>389</v>
      </c>
      <c r="E328" s="110">
        <v>126556801</v>
      </c>
      <c r="F328" t="str">
        <f>VLOOKUP(D328,Sheet1!$A$18:$B$28,2,FALSE)</f>
        <v>BH Trách nhiệm</v>
      </c>
      <c r="G328" t="str">
        <f t="shared" si="16"/>
        <v>146</v>
      </c>
      <c r="H328" s="24">
        <f t="shared" si="17"/>
        <v>126556801</v>
      </c>
      <c r="I328" t="str">
        <f>VLOOKUP(G328,'CHECK_DT-BT'!$A$3:$C$92,3,FALSE)</f>
        <v>BV Hải Phòng</v>
      </c>
    </row>
    <row r="329" spans="1:9" x14ac:dyDescent="0.25">
      <c r="A329" t="str">
        <f t="shared" si="15"/>
        <v>146</v>
      </c>
      <c r="B329" t="s">
        <v>922</v>
      </c>
      <c r="C329" t="s">
        <v>923</v>
      </c>
      <c r="D329" t="s">
        <v>393</v>
      </c>
      <c r="E329" s="110">
        <v>6100000</v>
      </c>
      <c r="F329" t="str">
        <f>VLOOKUP(D329,Sheet1!$A$18:$B$28,2,FALSE)</f>
        <v>BH Xe cơ giới</v>
      </c>
      <c r="G329" t="str">
        <f t="shared" si="16"/>
        <v>146</v>
      </c>
      <c r="H329" s="24">
        <f t="shared" si="17"/>
        <v>6100000</v>
      </c>
      <c r="I329" t="str">
        <f>VLOOKUP(G329,'CHECK_DT-BT'!$A$3:$C$92,3,FALSE)</f>
        <v>BV Hải Phòng</v>
      </c>
    </row>
    <row r="330" spans="1:9" x14ac:dyDescent="0.25">
      <c r="A330" t="str">
        <f t="shared" si="15"/>
        <v>146</v>
      </c>
      <c r="B330" t="s">
        <v>924</v>
      </c>
      <c r="C330" t="s">
        <v>925</v>
      </c>
      <c r="D330" t="s">
        <v>391</v>
      </c>
      <c r="E330" s="110">
        <v>12250000</v>
      </c>
      <c r="F330" t="str">
        <f>VLOOKUP(D330,Sheet1!$A$18:$B$28,2,FALSE)</f>
        <v>BH Kỹ thuật</v>
      </c>
      <c r="G330" t="str">
        <f t="shared" si="16"/>
        <v>146</v>
      </c>
      <c r="H330" s="24">
        <f t="shared" si="17"/>
        <v>12250000</v>
      </c>
      <c r="I330" t="str">
        <f>VLOOKUP(G330,'CHECK_DT-BT'!$A$3:$C$92,3,FALSE)</f>
        <v>BV Hải Phòng</v>
      </c>
    </row>
    <row r="331" spans="1:9" x14ac:dyDescent="0.25">
      <c r="A331" t="str">
        <f t="shared" si="15"/>
        <v>146</v>
      </c>
      <c r="B331" t="s">
        <v>924</v>
      </c>
      <c r="C331" t="s">
        <v>925</v>
      </c>
      <c r="D331" t="s">
        <v>393</v>
      </c>
      <c r="E331" s="110">
        <v>10200000</v>
      </c>
      <c r="F331" t="str">
        <f>VLOOKUP(D331,Sheet1!$A$18:$B$28,2,FALSE)</f>
        <v>BH Xe cơ giới</v>
      </c>
      <c r="G331" t="str">
        <f t="shared" si="16"/>
        <v>146</v>
      </c>
      <c r="H331" s="24">
        <f t="shared" si="17"/>
        <v>10200000</v>
      </c>
      <c r="I331" t="str">
        <f>VLOOKUP(G331,'CHECK_DT-BT'!$A$3:$C$92,3,FALSE)</f>
        <v>BV Hải Phòng</v>
      </c>
    </row>
    <row r="332" spans="1:9" x14ac:dyDescent="0.25">
      <c r="A332" t="str">
        <f t="shared" si="15"/>
        <v>146</v>
      </c>
      <c r="B332" t="s">
        <v>926</v>
      </c>
      <c r="C332" t="s">
        <v>927</v>
      </c>
      <c r="D332" t="s">
        <v>387</v>
      </c>
      <c r="E332" s="110">
        <v>2988795</v>
      </c>
      <c r="F332" t="str">
        <f>VLOOKUP(D332,Sheet1!$A$18:$B$28,2,FALSE)</f>
        <v>BH Hàng hóa</v>
      </c>
      <c r="G332" t="str">
        <f t="shared" si="16"/>
        <v>146</v>
      </c>
      <c r="H332" s="24">
        <f t="shared" si="17"/>
        <v>2988795</v>
      </c>
      <c r="I332" t="str">
        <f>VLOOKUP(G332,'CHECK_DT-BT'!$A$3:$C$92,3,FALSE)</f>
        <v>BV Hải Phòng</v>
      </c>
    </row>
    <row r="333" spans="1:9" x14ac:dyDescent="0.25">
      <c r="A333" t="str">
        <f t="shared" si="15"/>
        <v>146</v>
      </c>
      <c r="B333" t="s">
        <v>928</v>
      </c>
      <c r="C333" t="s">
        <v>929</v>
      </c>
      <c r="D333" t="s">
        <v>273</v>
      </c>
      <c r="E333" s="110">
        <v>547691657</v>
      </c>
      <c r="F333" t="str">
        <f>VLOOKUP(D333,Sheet1!$A$18:$B$28,2,FALSE)</f>
        <v>Hull (Thân tàu biển)</v>
      </c>
      <c r="G333" t="str">
        <f t="shared" si="16"/>
        <v>146</v>
      </c>
      <c r="H333" s="24">
        <f t="shared" si="17"/>
        <v>547691657</v>
      </c>
      <c r="I333" t="str">
        <f>VLOOKUP(G333,'CHECK_DT-BT'!$A$3:$C$92,3,FALSE)</f>
        <v>BV Hải Phòng</v>
      </c>
    </row>
    <row r="334" spans="1:9" x14ac:dyDescent="0.25">
      <c r="A334" t="str">
        <f t="shared" si="15"/>
        <v>146</v>
      </c>
      <c r="B334" t="s">
        <v>928</v>
      </c>
      <c r="C334" t="s">
        <v>929</v>
      </c>
      <c r="D334" t="s">
        <v>23</v>
      </c>
      <c r="E334" s="110">
        <v>-52762000</v>
      </c>
      <c r="F334" t="str">
        <f>VLOOKUP(D334,Sheet1!$A$18:$B$28,2,FALSE)</f>
        <v>P&amp;I</v>
      </c>
      <c r="G334" t="str">
        <f t="shared" si="16"/>
        <v>146</v>
      </c>
      <c r="H334" s="24">
        <f t="shared" si="17"/>
        <v>-52762000</v>
      </c>
      <c r="I334" t="str">
        <f>VLOOKUP(G334,'CHECK_DT-BT'!$A$3:$C$92,3,FALSE)</f>
        <v>BV Hải Phòng</v>
      </c>
    </row>
    <row r="335" spans="1:9" x14ac:dyDescent="0.25">
      <c r="A335" t="str">
        <f t="shared" si="15"/>
        <v>146</v>
      </c>
      <c r="B335" t="s">
        <v>928</v>
      </c>
      <c r="C335" t="s">
        <v>929</v>
      </c>
      <c r="D335" t="s">
        <v>272</v>
      </c>
      <c r="E335" s="110">
        <v>71085000</v>
      </c>
      <c r="F335" t="str">
        <f>VLOOKUP(D335,Sheet1!$A$18:$B$28,2,FALSE)</f>
        <v>Tàu khác</v>
      </c>
      <c r="G335" t="str">
        <f t="shared" si="16"/>
        <v>146</v>
      </c>
      <c r="H335" s="24">
        <f t="shared" si="17"/>
        <v>71085000</v>
      </c>
      <c r="I335" t="str">
        <f>VLOOKUP(G335,'CHECK_DT-BT'!$A$3:$C$92,3,FALSE)</f>
        <v>BV Hải Phòng</v>
      </c>
    </row>
    <row r="336" spans="1:9" x14ac:dyDescent="0.25">
      <c r="A336" t="str">
        <f t="shared" si="15"/>
        <v>146</v>
      </c>
      <c r="B336" t="s">
        <v>930</v>
      </c>
      <c r="C336" t="s">
        <v>931</v>
      </c>
      <c r="D336" t="s">
        <v>387</v>
      </c>
      <c r="E336" s="110">
        <v>281327994</v>
      </c>
      <c r="F336" t="str">
        <f>VLOOKUP(D336,Sheet1!$A$18:$B$28,2,FALSE)</f>
        <v>BH Hàng hóa</v>
      </c>
      <c r="G336" t="str">
        <f t="shared" si="16"/>
        <v>146</v>
      </c>
      <c r="H336" s="24">
        <f t="shared" si="17"/>
        <v>281327994</v>
      </c>
      <c r="I336" t="str">
        <f>VLOOKUP(G336,'CHECK_DT-BT'!$A$3:$C$92,3,FALSE)</f>
        <v>BV Hải Phòng</v>
      </c>
    </row>
    <row r="337" spans="1:9" x14ac:dyDescent="0.25">
      <c r="A337" t="str">
        <f t="shared" si="15"/>
        <v>146</v>
      </c>
      <c r="B337" t="s">
        <v>930</v>
      </c>
      <c r="C337" t="s">
        <v>931</v>
      </c>
      <c r="D337" t="s">
        <v>273</v>
      </c>
      <c r="E337" s="110">
        <v>64659700</v>
      </c>
      <c r="F337" t="str">
        <f>VLOOKUP(D337,Sheet1!$A$18:$B$28,2,FALSE)</f>
        <v>Hull (Thân tàu biển)</v>
      </c>
      <c r="G337" t="str">
        <f t="shared" si="16"/>
        <v>146</v>
      </c>
      <c r="H337" s="24">
        <f t="shared" si="17"/>
        <v>64659700</v>
      </c>
      <c r="I337" t="str">
        <f>VLOOKUP(G337,'CHECK_DT-BT'!$A$3:$C$92,3,FALSE)</f>
        <v>BV Hải Phòng</v>
      </c>
    </row>
    <row r="338" spans="1:9" x14ac:dyDescent="0.25">
      <c r="A338" t="str">
        <f t="shared" si="15"/>
        <v>146</v>
      </c>
      <c r="B338" t="s">
        <v>930</v>
      </c>
      <c r="C338" t="s">
        <v>931</v>
      </c>
      <c r="D338" t="s">
        <v>392</v>
      </c>
      <c r="E338" s="110">
        <v>18850000</v>
      </c>
      <c r="F338" t="str">
        <f>VLOOKUP(D338,Sheet1!$A$18:$B$28,2,FALSE)</f>
        <v>BH Tài sản</v>
      </c>
      <c r="G338" t="str">
        <f t="shared" si="16"/>
        <v>146</v>
      </c>
      <c r="H338" s="24">
        <f t="shared" si="17"/>
        <v>18850000</v>
      </c>
      <c r="I338" t="str">
        <f>VLOOKUP(G338,'CHECK_DT-BT'!$A$3:$C$92,3,FALSE)</f>
        <v>BV Hải Phòng</v>
      </c>
    </row>
    <row r="339" spans="1:9" x14ac:dyDescent="0.25">
      <c r="A339" t="str">
        <f t="shared" si="15"/>
        <v>146</v>
      </c>
      <c r="B339" t="s">
        <v>930</v>
      </c>
      <c r="C339" t="s">
        <v>931</v>
      </c>
      <c r="D339" t="s">
        <v>393</v>
      </c>
      <c r="E339" s="110">
        <v>700000</v>
      </c>
      <c r="F339" t="str">
        <f>VLOOKUP(D339,Sheet1!$A$18:$B$28,2,FALSE)</f>
        <v>BH Xe cơ giới</v>
      </c>
      <c r="G339" t="str">
        <f t="shared" si="16"/>
        <v>146</v>
      </c>
      <c r="H339" s="24">
        <f t="shared" si="17"/>
        <v>700000</v>
      </c>
      <c r="I339" t="str">
        <f>VLOOKUP(G339,'CHECK_DT-BT'!$A$3:$C$92,3,FALSE)</f>
        <v>BV Hải Phòng</v>
      </c>
    </row>
    <row r="340" spans="1:9" x14ac:dyDescent="0.25">
      <c r="A340" t="str">
        <f t="shared" si="15"/>
        <v>147</v>
      </c>
      <c r="B340" t="s">
        <v>932</v>
      </c>
      <c r="C340" t="s">
        <v>933</v>
      </c>
      <c r="D340" t="s">
        <v>393</v>
      </c>
      <c r="E340" s="110">
        <v>-62000000</v>
      </c>
      <c r="F340" t="str">
        <f>VLOOKUP(D340,Sheet1!$A$18:$B$28,2,FALSE)</f>
        <v>BH Xe cơ giới</v>
      </c>
      <c r="G340" t="str">
        <f t="shared" si="16"/>
        <v>147</v>
      </c>
      <c r="H340" s="24">
        <f t="shared" si="17"/>
        <v>-62000000</v>
      </c>
      <c r="I340" t="str">
        <f>VLOOKUP(G340,'CHECK_DT-BT'!$A$3:$C$92,3,FALSE)</f>
        <v>BV Hưng Yên</v>
      </c>
    </row>
    <row r="341" spans="1:9" x14ac:dyDescent="0.25">
      <c r="A341" t="str">
        <f t="shared" si="15"/>
        <v>147</v>
      </c>
      <c r="B341" t="s">
        <v>934</v>
      </c>
      <c r="C341" t="s">
        <v>935</v>
      </c>
      <c r="D341" t="s">
        <v>393</v>
      </c>
      <c r="E341" s="110">
        <v>1000000</v>
      </c>
      <c r="F341" t="str">
        <f>VLOOKUP(D341,Sheet1!$A$18:$B$28,2,FALSE)</f>
        <v>BH Xe cơ giới</v>
      </c>
      <c r="G341" t="str">
        <f t="shared" si="16"/>
        <v>147</v>
      </c>
      <c r="H341" s="24">
        <f t="shared" si="17"/>
        <v>1000000</v>
      </c>
      <c r="I341" t="str">
        <f>VLOOKUP(G341,'CHECK_DT-BT'!$A$3:$C$92,3,FALSE)</f>
        <v>BV Hưng Yên</v>
      </c>
    </row>
    <row r="342" spans="1:9" x14ac:dyDescent="0.25">
      <c r="A342" t="str">
        <f t="shared" si="15"/>
        <v>147</v>
      </c>
      <c r="B342" t="s">
        <v>936</v>
      </c>
      <c r="C342" t="s">
        <v>937</v>
      </c>
      <c r="D342" t="s">
        <v>393</v>
      </c>
      <c r="E342" s="110">
        <v>6500000</v>
      </c>
      <c r="F342" t="str">
        <f>VLOOKUP(D342,Sheet1!$A$18:$B$28,2,FALSE)</f>
        <v>BH Xe cơ giới</v>
      </c>
      <c r="G342" t="str">
        <f t="shared" si="16"/>
        <v>147</v>
      </c>
      <c r="H342" s="24">
        <f t="shared" si="17"/>
        <v>6500000</v>
      </c>
      <c r="I342" t="str">
        <f>VLOOKUP(G342,'CHECK_DT-BT'!$A$3:$C$92,3,FALSE)</f>
        <v>BV Hưng Yên</v>
      </c>
    </row>
    <row r="343" spans="1:9" x14ac:dyDescent="0.25">
      <c r="A343" t="str">
        <f t="shared" si="15"/>
        <v>147</v>
      </c>
      <c r="B343" t="s">
        <v>938</v>
      </c>
      <c r="C343" t="s">
        <v>939</v>
      </c>
      <c r="D343" t="s">
        <v>393</v>
      </c>
      <c r="E343" s="110">
        <v>1400000</v>
      </c>
      <c r="F343" t="str">
        <f>VLOOKUP(D343,Sheet1!$A$18:$B$28,2,FALSE)</f>
        <v>BH Xe cơ giới</v>
      </c>
      <c r="G343" t="str">
        <f t="shared" si="16"/>
        <v>147</v>
      </c>
      <c r="H343" s="24">
        <f t="shared" si="17"/>
        <v>1400000</v>
      </c>
      <c r="I343" t="str">
        <f>VLOOKUP(G343,'CHECK_DT-BT'!$A$3:$C$92,3,FALSE)</f>
        <v>BV Hưng Yên</v>
      </c>
    </row>
    <row r="344" spans="1:9" x14ac:dyDescent="0.25">
      <c r="A344" t="str">
        <f t="shared" si="15"/>
        <v>147</v>
      </c>
      <c r="B344" t="s">
        <v>940</v>
      </c>
      <c r="C344" t="s">
        <v>941</v>
      </c>
      <c r="D344" t="s">
        <v>393</v>
      </c>
      <c r="E344" s="110">
        <v>1500000</v>
      </c>
      <c r="F344" t="str">
        <f>VLOOKUP(D344,Sheet1!$A$18:$B$28,2,FALSE)</f>
        <v>BH Xe cơ giới</v>
      </c>
      <c r="G344" t="str">
        <f t="shared" si="16"/>
        <v>147</v>
      </c>
      <c r="H344" s="24">
        <f t="shared" si="17"/>
        <v>1500000</v>
      </c>
      <c r="I344" t="str">
        <f>VLOOKUP(G344,'CHECK_DT-BT'!$A$3:$C$92,3,FALSE)</f>
        <v>BV Hưng Yên</v>
      </c>
    </row>
    <row r="345" spans="1:9" x14ac:dyDescent="0.25">
      <c r="A345" t="str">
        <f t="shared" si="15"/>
        <v>147</v>
      </c>
      <c r="B345" t="s">
        <v>942</v>
      </c>
      <c r="C345" t="s">
        <v>943</v>
      </c>
      <c r="D345" t="s">
        <v>393</v>
      </c>
      <c r="E345" s="110">
        <v>1200000</v>
      </c>
      <c r="F345" t="str">
        <f>VLOOKUP(D345,Sheet1!$A$18:$B$28,2,FALSE)</f>
        <v>BH Xe cơ giới</v>
      </c>
      <c r="G345" t="str">
        <f t="shared" si="16"/>
        <v>147</v>
      </c>
      <c r="H345" s="24">
        <f t="shared" si="17"/>
        <v>1200000</v>
      </c>
      <c r="I345" t="str">
        <f>VLOOKUP(G345,'CHECK_DT-BT'!$A$3:$C$92,3,FALSE)</f>
        <v>BV Hưng Yên</v>
      </c>
    </row>
    <row r="346" spans="1:9" x14ac:dyDescent="0.25">
      <c r="A346" t="str">
        <f t="shared" si="15"/>
        <v>147</v>
      </c>
      <c r="B346" t="s">
        <v>944</v>
      </c>
      <c r="C346" t="s">
        <v>945</v>
      </c>
      <c r="D346" t="s">
        <v>393</v>
      </c>
      <c r="E346" s="110">
        <v>1500000</v>
      </c>
      <c r="F346" t="str">
        <f>VLOOKUP(D346,Sheet1!$A$18:$B$28,2,FALSE)</f>
        <v>BH Xe cơ giới</v>
      </c>
      <c r="G346" t="str">
        <f t="shared" si="16"/>
        <v>147</v>
      </c>
      <c r="H346" s="24">
        <f t="shared" si="17"/>
        <v>1500000</v>
      </c>
      <c r="I346" t="str">
        <f>VLOOKUP(G346,'CHECK_DT-BT'!$A$3:$C$92,3,FALSE)</f>
        <v>BV Hưng Yên</v>
      </c>
    </row>
    <row r="347" spans="1:9" x14ac:dyDescent="0.25">
      <c r="A347" t="str">
        <f t="shared" si="15"/>
        <v>147</v>
      </c>
      <c r="B347" t="s">
        <v>946</v>
      </c>
      <c r="C347" t="s">
        <v>947</v>
      </c>
      <c r="D347" t="s">
        <v>393</v>
      </c>
      <c r="E347" s="110">
        <v>1700000</v>
      </c>
      <c r="F347" t="str">
        <f>VLOOKUP(D347,Sheet1!$A$18:$B$28,2,FALSE)</f>
        <v>BH Xe cơ giới</v>
      </c>
      <c r="G347" t="str">
        <f t="shared" si="16"/>
        <v>147</v>
      </c>
      <c r="H347" s="24">
        <f t="shared" si="17"/>
        <v>1700000</v>
      </c>
      <c r="I347" t="str">
        <f>VLOOKUP(G347,'CHECK_DT-BT'!$A$3:$C$92,3,FALSE)</f>
        <v>BV Hưng Yên</v>
      </c>
    </row>
    <row r="348" spans="1:9" x14ac:dyDescent="0.25">
      <c r="A348" t="str">
        <f t="shared" si="15"/>
        <v>148</v>
      </c>
      <c r="B348" t="s">
        <v>948</v>
      </c>
      <c r="C348" t="s">
        <v>949</v>
      </c>
      <c r="D348" t="s">
        <v>391</v>
      </c>
      <c r="E348" s="110">
        <v>57407500</v>
      </c>
      <c r="F348" t="str">
        <f>VLOOKUP(D348,Sheet1!$A$18:$B$28,2,FALSE)</f>
        <v>BH Kỹ thuật</v>
      </c>
      <c r="G348" t="str">
        <f t="shared" si="16"/>
        <v>148</v>
      </c>
      <c r="H348" s="24">
        <f t="shared" si="17"/>
        <v>57407500</v>
      </c>
      <c r="I348" t="str">
        <f>VLOOKUP(G348,'CHECK_DT-BT'!$A$3:$C$92,3,FALSE)</f>
        <v>BV Hòa Bình</v>
      </c>
    </row>
    <row r="349" spans="1:9" x14ac:dyDescent="0.25">
      <c r="A349" t="str">
        <f t="shared" si="15"/>
        <v>149</v>
      </c>
      <c r="B349" t="s">
        <v>321</v>
      </c>
      <c r="C349" t="s">
        <v>57</v>
      </c>
      <c r="D349" t="s">
        <v>393</v>
      </c>
      <c r="E349" s="110">
        <v>6000000</v>
      </c>
      <c r="F349" t="str">
        <f>VLOOKUP(D349,Sheet1!$A$18:$B$28,2,FALSE)</f>
        <v>BH Xe cơ giới</v>
      </c>
      <c r="G349" t="str">
        <f t="shared" si="16"/>
        <v>149</v>
      </c>
      <c r="H349" s="24">
        <f t="shared" si="17"/>
        <v>6000000</v>
      </c>
      <c r="I349" t="str">
        <f>VLOOKUP(G349,'CHECK_DT-BT'!$A$3:$C$92,3,FALSE)</f>
        <v>BV Khánh Hòa</v>
      </c>
    </row>
    <row r="350" spans="1:9" x14ac:dyDescent="0.25">
      <c r="A350" t="str">
        <f t="shared" si="15"/>
        <v>149</v>
      </c>
      <c r="B350" t="s">
        <v>950</v>
      </c>
      <c r="C350" t="s">
        <v>951</v>
      </c>
      <c r="D350" t="s">
        <v>392</v>
      </c>
      <c r="E350" s="110">
        <v>85230452</v>
      </c>
      <c r="F350" t="str">
        <f>VLOOKUP(D350,Sheet1!$A$18:$B$28,2,FALSE)</f>
        <v>BH Tài sản</v>
      </c>
      <c r="G350" t="str">
        <f t="shared" si="16"/>
        <v>149</v>
      </c>
      <c r="H350" s="24">
        <f t="shared" si="17"/>
        <v>85230452</v>
      </c>
      <c r="I350" t="str">
        <f>VLOOKUP(G350,'CHECK_DT-BT'!$A$3:$C$92,3,FALSE)</f>
        <v>BV Khánh Hòa</v>
      </c>
    </row>
    <row r="351" spans="1:9" x14ac:dyDescent="0.25">
      <c r="A351" t="str">
        <f t="shared" si="15"/>
        <v>149</v>
      </c>
      <c r="B351" t="s">
        <v>950</v>
      </c>
      <c r="C351" t="s">
        <v>951</v>
      </c>
      <c r="D351" t="s">
        <v>393</v>
      </c>
      <c r="E351" s="110">
        <v>700000</v>
      </c>
      <c r="F351" t="str">
        <f>VLOOKUP(D351,Sheet1!$A$18:$B$28,2,FALSE)</f>
        <v>BH Xe cơ giới</v>
      </c>
      <c r="G351" t="str">
        <f t="shared" si="16"/>
        <v>149</v>
      </c>
      <c r="H351" s="24">
        <f t="shared" si="17"/>
        <v>700000</v>
      </c>
      <c r="I351" t="str">
        <f>VLOOKUP(G351,'CHECK_DT-BT'!$A$3:$C$92,3,FALSE)</f>
        <v>BV Khánh Hòa</v>
      </c>
    </row>
    <row r="352" spans="1:9" x14ac:dyDescent="0.25">
      <c r="A352" t="str">
        <f t="shared" si="15"/>
        <v>149</v>
      </c>
      <c r="B352" t="s">
        <v>952</v>
      </c>
      <c r="C352" t="s">
        <v>953</v>
      </c>
      <c r="D352" t="s">
        <v>394</v>
      </c>
      <c r="E352" s="110">
        <v>600000</v>
      </c>
      <c r="F352" t="str">
        <f>VLOOKUP(D352,Sheet1!$A$18:$B$28,2,FALSE)</f>
        <v>BH Con người</v>
      </c>
      <c r="G352" t="str">
        <f t="shared" si="16"/>
        <v>149</v>
      </c>
      <c r="H352" s="24">
        <f t="shared" si="17"/>
        <v>600000</v>
      </c>
      <c r="I352" t="str">
        <f>VLOOKUP(G352,'CHECK_DT-BT'!$A$3:$C$92,3,FALSE)</f>
        <v>BV Khánh Hòa</v>
      </c>
    </row>
    <row r="353" spans="1:9" x14ac:dyDescent="0.25">
      <c r="A353" t="str">
        <f t="shared" si="15"/>
        <v>149</v>
      </c>
      <c r="B353" t="s">
        <v>952</v>
      </c>
      <c r="C353" t="s">
        <v>953</v>
      </c>
      <c r="D353" t="s">
        <v>392</v>
      </c>
      <c r="E353" s="110">
        <v>18200400</v>
      </c>
      <c r="F353" t="str">
        <f>VLOOKUP(D353,Sheet1!$A$18:$B$28,2,FALSE)</f>
        <v>BH Tài sản</v>
      </c>
      <c r="G353" t="str">
        <f t="shared" si="16"/>
        <v>149</v>
      </c>
      <c r="H353" s="24">
        <f t="shared" si="17"/>
        <v>18200400</v>
      </c>
      <c r="I353" t="str">
        <f>VLOOKUP(G353,'CHECK_DT-BT'!$A$3:$C$92,3,FALSE)</f>
        <v>BV Khánh Hòa</v>
      </c>
    </row>
    <row r="354" spans="1:9" x14ac:dyDescent="0.25">
      <c r="A354" t="str">
        <f t="shared" si="15"/>
        <v>149</v>
      </c>
      <c r="B354" t="s">
        <v>952</v>
      </c>
      <c r="C354" t="s">
        <v>953</v>
      </c>
      <c r="D354" t="s">
        <v>393</v>
      </c>
      <c r="E354" s="110">
        <v>4700000</v>
      </c>
      <c r="F354" t="str">
        <f>VLOOKUP(D354,Sheet1!$A$18:$B$28,2,FALSE)</f>
        <v>BH Xe cơ giới</v>
      </c>
      <c r="G354" t="str">
        <f t="shared" si="16"/>
        <v>149</v>
      </c>
      <c r="H354" s="24">
        <f t="shared" si="17"/>
        <v>4700000</v>
      </c>
      <c r="I354" t="str">
        <f>VLOOKUP(G354,'CHECK_DT-BT'!$A$3:$C$92,3,FALSE)</f>
        <v>BV Khánh Hòa</v>
      </c>
    </row>
    <row r="355" spans="1:9" x14ac:dyDescent="0.25">
      <c r="A355" t="str">
        <f t="shared" si="15"/>
        <v>149</v>
      </c>
      <c r="B355" t="s">
        <v>954</v>
      </c>
      <c r="C355" t="s">
        <v>955</v>
      </c>
      <c r="D355" t="s">
        <v>392</v>
      </c>
      <c r="E355" s="110">
        <v>23358500</v>
      </c>
      <c r="F355" t="str">
        <f>VLOOKUP(D355,Sheet1!$A$18:$B$28,2,FALSE)</f>
        <v>BH Tài sản</v>
      </c>
      <c r="G355" t="str">
        <f t="shared" si="16"/>
        <v>149</v>
      </c>
      <c r="H355" s="24">
        <f t="shared" si="17"/>
        <v>23358500</v>
      </c>
      <c r="I355" t="str">
        <f>VLOOKUP(G355,'CHECK_DT-BT'!$A$3:$C$92,3,FALSE)</f>
        <v>BV Khánh Hòa</v>
      </c>
    </row>
    <row r="356" spans="1:9" x14ac:dyDescent="0.25">
      <c r="A356" t="str">
        <f t="shared" si="15"/>
        <v>149</v>
      </c>
      <c r="B356" t="s">
        <v>954</v>
      </c>
      <c r="C356" t="s">
        <v>955</v>
      </c>
      <c r="D356" t="s">
        <v>393</v>
      </c>
      <c r="E356" s="110">
        <v>24500000</v>
      </c>
      <c r="F356" t="str">
        <f>VLOOKUP(D356,Sheet1!$A$18:$B$28,2,FALSE)</f>
        <v>BH Xe cơ giới</v>
      </c>
      <c r="G356" t="str">
        <f t="shared" si="16"/>
        <v>149</v>
      </c>
      <c r="H356" s="24">
        <f t="shared" si="17"/>
        <v>24500000</v>
      </c>
      <c r="I356" t="str">
        <f>VLOOKUP(G356,'CHECK_DT-BT'!$A$3:$C$92,3,FALSE)</f>
        <v>BV Khánh Hòa</v>
      </c>
    </row>
    <row r="357" spans="1:9" x14ac:dyDescent="0.25">
      <c r="A357" t="str">
        <f t="shared" si="15"/>
        <v>149</v>
      </c>
      <c r="B357" t="s">
        <v>956</v>
      </c>
      <c r="C357" t="s">
        <v>957</v>
      </c>
      <c r="D357" t="s">
        <v>394</v>
      </c>
      <c r="E357" s="110">
        <v>120000</v>
      </c>
      <c r="F357" t="str">
        <f>VLOOKUP(D357,Sheet1!$A$18:$B$28,2,FALSE)</f>
        <v>BH Con người</v>
      </c>
      <c r="G357" t="str">
        <f t="shared" si="16"/>
        <v>149</v>
      </c>
      <c r="H357" s="24">
        <f t="shared" si="17"/>
        <v>120000</v>
      </c>
      <c r="I357" t="str">
        <f>VLOOKUP(G357,'CHECK_DT-BT'!$A$3:$C$92,3,FALSE)</f>
        <v>BV Khánh Hòa</v>
      </c>
    </row>
    <row r="358" spans="1:9" x14ac:dyDescent="0.25">
      <c r="A358" t="str">
        <f t="shared" si="15"/>
        <v>149</v>
      </c>
      <c r="B358" t="s">
        <v>956</v>
      </c>
      <c r="C358" t="s">
        <v>957</v>
      </c>
      <c r="D358" t="s">
        <v>392</v>
      </c>
      <c r="E358" s="110">
        <v>55319703</v>
      </c>
      <c r="F358" t="str">
        <f>VLOOKUP(D358,Sheet1!$A$18:$B$28,2,FALSE)</f>
        <v>BH Tài sản</v>
      </c>
      <c r="G358" t="str">
        <f t="shared" si="16"/>
        <v>149</v>
      </c>
      <c r="H358" s="24">
        <f t="shared" si="17"/>
        <v>55319703</v>
      </c>
      <c r="I358" t="str">
        <f>VLOOKUP(G358,'CHECK_DT-BT'!$A$3:$C$92,3,FALSE)</f>
        <v>BV Khánh Hòa</v>
      </c>
    </row>
    <row r="359" spans="1:9" x14ac:dyDescent="0.25">
      <c r="A359" t="str">
        <f t="shared" si="15"/>
        <v>149</v>
      </c>
      <c r="B359" t="s">
        <v>956</v>
      </c>
      <c r="C359" t="s">
        <v>957</v>
      </c>
      <c r="D359" t="s">
        <v>393</v>
      </c>
      <c r="E359" s="110">
        <v>5000000</v>
      </c>
      <c r="F359" t="str">
        <f>VLOOKUP(D359,Sheet1!$A$18:$B$28,2,FALSE)</f>
        <v>BH Xe cơ giới</v>
      </c>
      <c r="G359" t="str">
        <f t="shared" si="16"/>
        <v>149</v>
      </c>
      <c r="H359" s="24">
        <f t="shared" si="17"/>
        <v>5000000</v>
      </c>
      <c r="I359" t="str">
        <f>VLOOKUP(G359,'CHECK_DT-BT'!$A$3:$C$92,3,FALSE)</f>
        <v>BV Khánh Hòa</v>
      </c>
    </row>
    <row r="360" spans="1:9" x14ac:dyDescent="0.25">
      <c r="A360" t="str">
        <f t="shared" si="15"/>
        <v>149</v>
      </c>
      <c r="B360" t="s">
        <v>958</v>
      </c>
      <c r="C360" t="s">
        <v>959</v>
      </c>
      <c r="D360" t="s">
        <v>393</v>
      </c>
      <c r="E360" s="110">
        <v>32018519</v>
      </c>
      <c r="F360" t="str">
        <f>VLOOKUP(D360,Sheet1!$A$18:$B$28,2,FALSE)</f>
        <v>BH Xe cơ giới</v>
      </c>
      <c r="G360" t="str">
        <f t="shared" si="16"/>
        <v>149</v>
      </c>
      <c r="H360" s="24">
        <f t="shared" si="17"/>
        <v>32018519</v>
      </c>
      <c r="I360" t="str">
        <f>VLOOKUP(G360,'CHECK_DT-BT'!$A$3:$C$92,3,FALSE)</f>
        <v>BV Khánh Hòa</v>
      </c>
    </row>
    <row r="361" spans="1:9" x14ac:dyDescent="0.25">
      <c r="A361" t="str">
        <f t="shared" si="15"/>
        <v>149</v>
      </c>
      <c r="B361" t="s">
        <v>960</v>
      </c>
      <c r="C361" t="s">
        <v>961</v>
      </c>
      <c r="D361" t="s">
        <v>393</v>
      </c>
      <c r="E361" s="110">
        <v>1500000</v>
      </c>
      <c r="F361" t="str">
        <f>VLOOKUP(D361,Sheet1!$A$18:$B$28,2,FALSE)</f>
        <v>BH Xe cơ giới</v>
      </c>
      <c r="G361" t="str">
        <f t="shared" si="16"/>
        <v>149</v>
      </c>
      <c r="H361" s="24">
        <f t="shared" si="17"/>
        <v>1500000</v>
      </c>
      <c r="I361" t="str">
        <f>VLOOKUP(G361,'CHECK_DT-BT'!$A$3:$C$92,3,FALSE)</f>
        <v>BV Khánh Hòa</v>
      </c>
    </row>
    <row r="362" spans="1:9" x14ac:dyDescent="0.25">
      <c r="A362" t="str">
        <f t="shared" si="15"/>
        <v>149</v>
      </c>
      <c r="B362" t="s">
        <v>962</v>
      </c>
      <c r="C362" t="s">
        <v>963</v>
      </c>
      <c r="D362" t="s">
        <v>272</v>
      </c>
      <c r="E362" s="110">
        <v>2000000</v>
      </c>
      <c r="F362" t="str">
        <f>VLOOKUP(D362,Sheet1!$A$18:$B$28,2,FALSE)</f>
        <v>Tàu khác</v>
      </c>
      <c r="G362" t="str">
        <f t="shared" si="16"/>
        <v>149</v>
      </c>
      <c r="H362" s="24">
        <f t="shared" si="17"/>
        <v>2000000</v>
      </c>
      <c r="I362" t="str">
        <f>VLOOKUP(G362,'CHECK_DT-BT'!$A$3:$C$92,3,FALSE)</f>
        <v>BV Khánh Hòa</v>
      </c>
    </row>
    <row r="363" spans="1:9" x14ac:dyDescent="0.25">
      <c r="A363" t="str">
        <f t="shared" si="15"/>
        <v>149</v>
      </c>
      <c r="B363" t="s">
        <v>964</v>
      </c>
      <c r="C363" t="s">
        <v>965</v>
      </c>
      <c r="D363" t="s">
        <v>393</v>
      </c>
      <c r="E363" s="110">
        <v>6500000</v>
      </c>
      <c r="F363" t="str">
        <f>VLOOKUP(D363,Sheet1!$A$18:$B$28,2,FALSE)</f>
        <v>BH Xe cơ giới</v>
      </c>
      <c r="G363" t="str">
        <f t="shared" si="16"/>
        <v>149</v>
      </c>
      <c r="H363" s="24">
        <f t="shared" si="17"/>
        <v>6500000</v>
      </c>
      <c r="I363" t="str">
        <f>VLOOKUP(G363,'CHECK_DT-BT'!$A$3:$C$92,3,FALSE)</f>
        <v>BV Khánh Hòa</v>
      </c>
    </row>
    <row r="364" spans="1:9" x14ac:dyDescent="0.25">
      <c r="A364" t="str">
        <f t="shared" si="15"/>
        <v>149</v>
      </c>
      <c r="B364" t="s">
        <v>966</v>
      </c>
      <c r="C364" t="s">
        <v>967</v>
      </c>
      <c r="D364" t="s">
        <v>393</v>
      </c>
      <c r="E364" s="110">
        <v>1000000</v>
      </c>
      <c r="F364" t="str">
        <f>VLOOKUP(D364,Sheet1!$A$18:$B$28,2,FALSE)</f>
        <v>BH Xe cơ giới</v>
      </c>
      <c r="G364" t="str">
        <f t="shared" si="16"/>
        <v>149</v>
      </c>
      <c r="H364" s="24">
        <f t="shared" si="17"/>
        <v>1000000</v>
      </c>
      <c r="I364" t="str">
        <f>VLOOKUP(G364,'CHECK_DT-BT'!$A$3:$C$92,3,FALSE)</f>
        <v>BV Khánh Hòa</v>
      </c>
    </row>
    <row r="365" spans="1:9" x14ac:dyDescent="0.25">
      <c r="A365" t="str">
        <f t="shared" si="15"/>
        <v>150</v>
      </c>
      <c r="B365" t="s">
        <v>968</v>
      </c>
      <c r="C365" t="s">
        <v>969</v>
      </c>
      <c r="D365" t="s">
        <v>393</v>
      </c>
      <c r="E365" s="110">
        <v>5700000</v>
      </c>
      <c r="F365" t="str">
        <f>VLOOKUP(D365,Sheet1!$A$18:$B$28,2,FALSE)</f>
        <v>BH Xe cơ giới</v>
      </c>
      <c r="G365" t="str">
        <f t="shared" si="16"/>
        <v>150</v>
      </c>
      <c r="H365" s="24">
        <f t="shared" si="17"/>
        <v>5700000</v>
      </c>
      <c r="I365" t="str">
        <f>VLOOKUP(G365,'CHECK_DT-BT'!$A$3:$C$92,3,FALSE)</f>
        <v>BV Kiên Giang</v>
      </c>
    </row>
    <row r="366" spans="1:9" x14ac:dyDescent="0.25">
      <c r="A366" t="str">
        <f t="shared" si="15"/>
        <v>150</v>
      </c>
      <c r="B366" t="s">
        <v>970</v>
      </c>
      <c r="C366" t="s">
        <v>971</v>
      </c>
      <c r="D366" t="s">
        <v>393</v>
      </c>
      <c r="E366" s="110">
        <v>16500000</v>
      </c>
      <c r="F366" t="str">
        <f>VLOOKUP(D366,Sheet1!$A$18:$B$28,2,FALSE)</f>
        <v>BH Xe cơ giới</v>
      </c>
      <c r="G366" t="str">
        <f t="shared" si="16"/>
        <v>150</v>
      </c>
      <c r="H366" s="24">
        <f t="shared" si="17"/>
        <v>16500000</v>
      </c>
      <c r="I366" t="str">
        <f>VLOOKUP(G366,'CHECK_DT-BT'!$A$3:$C$92,3,FALSE)</f>
        <v>BV Kiên Giang</v>
      </c>
    </row>
    <row r="367" spans="1:9" x14ac:dyDescent="0.25">
      <c r="A367" t="str">
        <f t="shared" si="15"/>
        <v>150</v>
      </c>
      <c r="B367" t="s">
        <v>972</v>
      </c>
      <c r="C367" t="s">
        <v>973</v>
      </c>
      <c r="D367" t="s">
        <v>393</v>
      </c>
      <c r="E367" s="110">
        <v>500000</v>
      </c>
      <c r="F367" t="str">
        <f>VLOOKUP(D367,Sheet1!$A$18:$B$28,2,FALSE)</f>
        <v>BH Xe cơ giới</v>
      </c>
      <c r="G367" t="str">
        <f t="shared" si="16"/>
        <v>150</v>
      </c>
      <c r="H367" s="24">
        <f t="shared" si="17"/>
        <v>500000</v>
      </c>
      <c r="I367" t="str">
        <f>VLOOKUP(G367,'CHECK_DT-BT'!$A$3:$C$92,3,FALSE)</f>
        <v>BV Kiên Giang</v>
      </c>
    </row>
    <row r="368" spans="1:9" x14ac:dyDescent="0.25">
      <c r="A368" t="str">
        <f t="shared" si="15"/>
        <v>150</v>
      </c>
      <c r="B368" t="s">
        <v>974</v>
      </c>
      <c r="C368" t="s">
        <v>975</v>
      </c>
      <c r="D368" t="s">
        <v>393</v>
      </c>
      <c r="E368" s="110">
        <v>500000</v>
      </c>
      <c r="F368" t="str">
        <f>VLOOKUP(D368,Sheet1!$A$18:$B$28,2,FALSE)</f>
        <v>BH Xe cơ giới</v>
      </c>
      <c r="G368" t="str">
        <f t="shared" si="16"/>
        <v>150</v>
      </c>
      <c r="H368" s="24">
        <f t="shared" si="17"/>
        <v>500000</v>
      </c>
      <c r="I368" t="str">
        <f>VLOOKUP(G368,'CHECK_DT-BT'!$A$3:$C$92,3,FALSE)</f>
        <v>BV Kiên Giang</v>
      </c>
    </row>
    <row r="369" spans="1:9" x14ac:dyDescent="0.25">
      <c r="A369" t="str">
        <f t="shared" si="15"/>
        <v>150</v>
      </c>
      <c r="B369" t="s">
        <v>976</v>
      </c>
      <c r="C369" t="s">
        <v>977</v>
      </c>
      <c r="D369" t="s">
        <v>393</v>
      </c>
      <c r="E369" s="110">
        <v>1800000</v>
      </c>
      <c r="F369" t="str">
        <f>VLOOKUP(D369,Sheet1!$A$18:$B$28,2,FALSE)</f>
        <v>BH Xe cơ giới</v>
      </c>
      <c r="G369" t="str">
        <f t="shared" si="16"/>
        <v>150</v>
      </c>
      <c r="H369" s="24">
        <f t="shared" si="17"/>
        <v>1800000</v>
      </c>
      <c r="I369" t="str">
        <f>VLOOKUP(G369,'CHECK_DT-BT'!$A$3:$C$92,3,FALSE)</f>
        <v>BV Kiên Giang</v>
      </c>
    </row>
    <row r="370" spans="1:9" x14ac:dyDescent="0.25">
      <c r="A370" t="str">
        <f t="shared" si="15"/>
        <v>150</v>
      </c>
      <c r="B370" t="s">
        <v>978</v>
      </c>
      <c r="C370" t="s">
        <v>979</v>
      </c>
      <c r="D370" t="s">
        <v>393</v>
      </c>
      <c r="E370" s="110">
        <v>1000000</v>
      </c>
      <c r="F370" t="str">
        <f>VLOOKUP(D370,Sheet1!$A$18:$B$28,2,FALSE)</f>
        <v>BH Xe cơ giới</v>
      </c>
      <c r="G370" t="str">
        <f t="shared" si="16"/>
        <v>150</v>
      </c>
      <c r="H370" s="24">
        <f t="shared" si="17"/>
        <v>1000000</v>
      </c>
      <c r="I370" t="str">
        <f>VLOOKUP(G370,'CHECK_DT-BT'!$A$3:$C$92,3,FALSE)</f>
        <v>BV Kiên Giang</v>
      </c>
    </row>
    <row r="371" spans="1:9" x14ac:dyDescent="0.25">
      <c r="A371" t="str">
        <f t="shared" si="15"/>
        <v>150</v>
      </c>
      <c r="B371" t="s">
        <v>980</v>
      </c>
      <c r="C371" t="s">
        <v>981</v>
      </c>
      <c r="D371" t="s">
        <v>393</v>
      </c>
      <c r="E371" s="110">
        <v>1000000</v>
      </c>
      <c r="F371" t="str">
        <f>VLOOKUP(D371,Sheet1!$A$18:$B$28,2,FALSE)</f>
        <v>BH Xe cơ giới</v>
      </c>
      <c r="G371" t="str">
        <f t="shared" si="16"/>
        <v>150</v>
      </c>
      <c r="H371" s="24">
        <f t="shared" si="17"/>
        <v>1000000</v>
      </c>
      <c r="I371" t="str">
        <f>VLOOKUP(G371,'CHECK_DT-BT'!$A$3:$C$92,3,FALSE)</f>
        <v>BV Kiên Giang</v>
      </c>
    </row>
    <row r="372" spans="1:9" x14ac:dyDescent="0.25">
      <c r="A372" t="str">
        <f t="shared" si="15"/>
        <v>150</v>
      </c>
      <c r="B372" t="s">
        <v>982</v>
      </c>
      <c r="C372" t="s">
        <v>983</v>
      </c>
      <c r="D372" t="s">
        <v>393</v>
      </c>
      <c r="E372" s="110">
        <v>3000000</v>
      </c>
      <c r="F372" t="str">
        <f>VLOOKUP(D372,Sheet1!$A$18:$B$28,2,FALSE)</f>
        <v>BH Xe cơ giới</v>
      </c>
      <c r="G372" t="str">
        <f t="shared" si="16"/>
        <v>150</v>
      </c>
      <c r="H372" s="24">
        <f t="shared" si="17"/>
        <v>3000000</v>
      </c>
      <c r="I372" t="str">
        <f>VLOOKUP(G372,'CHECK_DT-BT'!$A$3:$C$92,3,FALSE)</f>
        <v>BV Kiên Giang</v>
      </c>
    </row>
    <row r="373" spans="1:9" x14ac:dyDescent="0.25">
      <c r="A373" t="str">
        <f t="shared" si="15"/>
        <v>151</v>
      </c>
      <c r="B373" t="s">
        <v>984</v>
      </c>
      <c r="C373" t="s">
        <v>985</v>
      </c>
      <c r="D373" t="s">
        <v>393</v>
      </c>
      <c r="E373" s="110">
        <v>1700000</v>
      </c>
      <c r="F373" t="str">
        <f>VLOOKUP(D373,Sheet1!$A$18:$B$28,2,FALSE)</f>
        <v>BH Xe cơ giới</v>
      </c>
      <c r="G373" t="str">
        <f t="shared" si="16"/>
        <v>151</v>
      </c>
      <c r="H373" s="24">
        <f t="shared" si="17"/>
        <v>1700000</v>
      </c>
      <c r="I373" t="str">
        <f>VLOOKUP(G373,'CHECK_DT-BT'!$A$3:$C$92,3,FALSE)</f>
        <v>BV Kon Tum</v>
      </c>
    </row>
    <row r="374" spans="1:9" x14ac:dyDescent="0.25">
      <c r="A374" t="str">
        <f t="shared" si="15"/>
        <v>151</v>
      </c>
      <c r="B374" t="s">
        <v>986</v>
      </c>
      <c r="C374" t="s">
        <v>987</v>
      </c>
      <c r="D374" t="s">
        <v>393</v>
      </c>
      <c r="E374" s="110">
        <v>2500000</v>
      </c>
      <c r="F374" t="str">
        <f>VLOOKUP(D374,Sheet1!$A$18:$B$28,2,FALSE)</f>
        <v>BH Xe cơ giới</v>
      </c>
      <c r="G374" t="str">
        <f t="shared" si="16"/>
        <v>151</v>
      </c>
      <c r="H374" s="24">
        <f t="shared" si="17"/>
        <v>2500000</v>
      </c>
      <c r="I374" t="str">
        <f>VLOOKUP(G374,'CHECK_DT-BT'!$A$3:$C$92,3,FALSE)</f>
        <v>BV Kon Tum</v>
      </c>
    </row>
    <row r="375" spans="1:9" x14ac:dyDescent="0.25">
      <c r="A375" t="str">
        <f t="shared" si="15"/>
        <v>151</v>
      </c>
      <c r="B375" t="s">
        <v>988</v>
      </c>
      <c r="C375" t="s">
        <v>989</v>
      </c>
      <c r="D375" t="s">
        <v>393</v>
      </c>
      <c r="E375" s="110">
        <v>1000000</v>
      </c>
      <c r="F375" t="str">
        <f>VLOOKUP(D375,Sheet1!$A$18:$B$28,2,FALSE)</f>
        <v>BH Xe cơ giới</v>
      </c>
      <c r="G375" t="str">
        <f t="shared" si="16"/>
        <v>151</v>
      </c>
      <c r="H375" s="24">
        <f t="shared" si="17"/>
        <v>1000000</v>
      </c>
      <c r="I375" t="str">
        <f>VLOOKUP(G375,'CHECK_DT-BT'!$A$3:$C$92,3,FALSE)</f>
        <v>BV Kon Tum</v>
      </c>
    </row>
    <row r="376" spans="1:9" x14ac:dyDescent="0.25">
      <c r="A376" t="str">
        <f t="shared" si="15"/>
        <v>152</v>
      </c>
      <c r="B376" t="s">
        <v>325</v>
      </c>
      <c r="C376" t="s">
        <v>121</v>
      </c>
      <c r="D376" t="s">
        <v>393</v>
      </c>
      <c r="E376" s="110">
        <v>1500000</v>
      </c>
      <c r="F376" t="str">
        <f>VLOOKUP(D376,Sheet1!$A$18:$B$28,2,FALSE)</f>
        <v>BH Xe cơ giới</v>
      </c>
      <c r="G376" t="str">
        <f t="shared" si="16"/>
        <v>152</v>
      </c>
      <c r="H376" s="24">
        <f t="shared" si="17"/>
        <v>1500000</v>
      </c>
      <c r="I376" t="str">
        <f>VLOOKUP(G376,'CHECK_DT-BT'!$A$3:$C$92,3,FALSE)</f>
        <v>BV Lâm Đồng</v>
      </c>
    </row>
    <row r="377" spans="1:9" x14ac:dyDescent="0.25">
      <c r="A377" t="str">
        <f t="shared" si="15"/>
        <v>152</v>
      </c>
      <c r="B377" t="s">
        <v>990</v>
      </c>
      <c r="C377" t="s">
        <v>991</v>
      </c>
      <c r="D377" t="s">
        <v>393</v>
      </c>
      <c r="E377" s="110">
        <v>500000</v>
      </c>
      <c r="F377" t="str">
        <f>VLOOKUP(D377,Sheet1!$A$18:$B$28,2,FALSE)</f>
        <v>BH Xe cơ giới</v>
      </c>
      <c r="G377" t="str">
        <f t="shared" si="16"/>
        <v>152</v>
      </c>
      <c r="H377" s="24">
        <f t="shared" si="17"/>
        <v>500000</v>
      </c>
      <c r="I377" t="str">
        <f>VLOOKUP(G377,'CHECK_DT-BT'!$A$3:$C$92,3,FALSE)</f>
        <v>BV Lâm Đồng</v>
      </c>
    </row>
    <row r="378" spans="1:9" x14ac:dyDescent="0.25">
      <c r="A378" t="str">
        <f t="shared" si="15"/>
        <v>152</v>
      </c>
      <c r="B378" t="s">
        <v>992</v>
      </c>
      <c r="C378" t="s">
        <v>993</v>
      </c>
      <c r="D378" t="s">
        <v>393</v>
      </c>
      <c r="E378" s="110">
        <v>2000000</v>
      </c>
      <c r="F378" t="str">
        <f>VLOOKUP(D378,Sheet1!$A$18:$B$28,2,FALSE)</f>
        <v>BH Xe cơ giới</v>
      </c>
      <c r="G378" t="str">
        <f t="shared" si="16"/>
        <v>152</v>
      </c>
      <c r="H378" s="24">
        <f t="shared" si="17"/>
        <v>2000000</v>
      </c>
      <c r="I378" t="str">
        <f>VLOOKUP(G378,'CHECK_DT-BT'!$A$3:$C$92,3,FALSE)</f>
        <v>BV Lâm Đồng</v>
      </c>
    </row>
    <row r="379" spans="1:9" x14ac:dyDescent="0.25">
      <c r="A379" t="str">
        <f t="shared" si="15"/>
        <v>152</v>
      </c>
      <c r="B379" t="s">
        <v>994</v>
      </c>
      <c r="C379" t="s">
        <v>995</v>
      </c>
      <c r="D379" t="s">
        <v>393</v>
      </c>
      <c r="E379" s="110">
        <v>4000000</v>
      </c>
      <c r="F379" t="str">
        <f>VLOOKUP(D379,Sheet1!$A$18:$B$28,2,FALSE)</f>
        <v>BH Xe cơ giới</v>
      </c>
      <c r="G379" t="str">
        <f t="shared" si="16"/>
        <v>152</v>
      </c>
      <c r="H379" s="24">
        <f t="shared" si="17"/>
        <v>4000000</v>
      </c>
      <c r="I379" t="str">
        <f>VLOOKUP(G379,'CHECK_DT-BT'!$A$3:$C$92,3,FALSE)</f>
        <v>BV Lâm Đồng</v>
      </c>
    </row>
    <row r="380" spans="1:9" x14ac:dyDescent="0.25">
      <c r="A380" t="str">
        <f t="shared" si="15"/>
        <v>152</v>
      </c>
      <c r="B380" t="s">
        <v>996</v>
      </c>
      <c r="C380" t="s">
        <v>997</v>
      </c>
      <c r="D380" t="s">
        <v>393</v>
      </c>
      <c r="E380" s="110">
        <v>2500000</v>
      </c>
      <c r="F380" t="str">
        <f>VLOOKUP(D380,Sheet1!$A$18:$B$28,2,FALSE)</f>
        <v>BH Xe cơ giới</v>
      </c>
      <c r="G380" t="str">
        <f t="shared" si="16"/>
        <v>152</v>
      </c>
      <c r="H380" s="24">
        <f t="shared" si="17"/>
        <v>2500000</v>
      </c>
      <c r="I380" t="str">
        <f>VLOOKUP(G380,'CHECK_DT-BT'!$A$3:$C$92,3,FALSE)</f>
        <v>BV Lâm Đồng</v>
      </c>
    </row>
    <row r="381" spans="1:9" x14ac:dyDescent="0.25">
      <c r="A381" t="str">
        <f t="shared" si="15"/>
        <v>152</v>
      </c>
      <c r="B381" t="s">
        <v>998</v>
      </c>
      <c r="C381" t="s">
        <v>999</v>
      </c>
      <c r="D381" t="s">
        <v>393</v>
      </c>
      <c r="E381" s="110">
        <v>5800000</v>
      </c>
      <c r="F381" t="str">
        <f>VLOOKUP(D381,Sheet1!$A$18:$B$28,2,FALSE)</f>
        <v>BH Xe cơ giới</v>
      </c>
      <c r="G381" t="str">
        <f t="shared" si="16"/>
        <v>152</v>
      </c>
      <c r="H381" s="24">
        <f t="shared" si="17"/>
        <v>5800000</v>
      </c>
      <c r="I381" t="str">
        <f>VLOOKUP(G381,'CHECK_DT-BT'!$A$3:$C$92,3,FALSE)</f>
        <v>BV Lâm Đồng</v>
      </c>
    </row>
    <row r="382" spans="1:9" x14ac:dyDescent="0.25">
      <c r="A382" t="str">
        <f t="shared" si="15"/>
        <v>152</v>
      </c>
      <c r="B382" t="s">
        <v>1000</v>
      </c>
      <c r="C382" t="s">
        <v>1001</v>
      </c>
      <c r="D382" t="s">
        <v>393</v>
      </c>
      <c r="E382" s="110">
        <v>3000000</v>
      </c>
      <c r="F382" t="str">
        <f>VLOOKUP(D382,Sheet1!$A$18:$B$28,2,FALSE)</f>
        <v>BH Xe cơ giới</v>
      </c>
      <c r="G382" t="str">
        <f t="shared" si="16"/>
        <v>152</v>
      </c>
      <c r="H382" s="24">
        <f t="shared" si="17"/>
        <v>3000000</v>
      </c>
      <c r="I382" t="str">
        <f>VLOOKUP(G382,'CHECK_DT-BT'!$A$3:$C$92,3,FALSE)</f>
        <v>BV Lâm Đồng</v>
      </c>
    </row>
    <row r="383" spans="1:9" x14ac:dyDescent="0.25">
      <c r="A383" t="str">
        <f t="shared" si="15"/>
        <v>152</v>
      </c>
      <c r="B383" t="s">
        <v>1002</v>
      </c>
      <c r="C383" t="s">
        <v>1003</v>
      </c>
      <c r="D383" t="s">
        <v>393</v>
      </c>
      <c r="E383" s="110">
        <v>2500000</v>
      </c>
      <c r="F383" t="str">
        <f>VLOOKUP(D383,Sheet1!$A$18:$B$28,2,FALSE)</f>
        <v>BH Xe cơ giới</v>
      </c>
      <c r="G383" t="str">
        <f t="shared" si="16"/>
        <v>152</v>
      </c>
      <c r="H383" s="24">
        <f t="shared" si="17"/>
        <v>2500000</v>
      </c>
      <c r="I383" t="str">
        <f>VLOOKUP(G383,'CHECK_DT-BT'!$A$3:$C$92,3,FALSE)</f>
        <v>BV Lâm Đồng</v>
      </c>
    </row>
    <row r="384" spans="1:9" x14ac:dyDescent="0.25">
      <c r="A384" t="str">
        <f t="shared" si="15"/>
        <v>153</v>
      </c>
      <c r="B384" t="s">
        <v>1004</v>
      </c>
      <c r="C384" t="s">
        <v>1005</v>
      </c>
      <c r="D384" t="s">
        <v>391</v>
      </c>
      <c r="E384" s="110">
        <v>0</v>
      </c>
      <c r="F384" t="str">
        <f>VLOOKUP(D384,Sheet1!$A$18:$B$28,2,FALSE)</f>
        <v>BH Kỹ thuật</v>
      </c>
      <c r="G384" t="str">
        <f t="shared" si="16"/>
        <v>153</v>
      </c>
      <c r="H384" s="24">
        <f t="shared" si="17"/>
        <v>0</v>
      </c>
      <c r="I384" t="str">
        <f>VLOOKUP(G384,'CHECK_DT-BT'!$A$3:$C$92,3,FALSE)</f>
        <v>BV Lào Cai</v>
      </c>
    </row>
    <row r="385" spans="1:9" x14ac:dyDescent="0.25">
      <c r="A385" t="str">
        <f t="shared" si="15"/>
        <v>153</v>
      </c>
      <c r="B385" t="s">
        <v>1004</v>
      </c>
      <c r="C385" t="s">
        <v>1005</v>
      </c>
      <c r="D385" t="s">
        <v>392</v>
      </c>
      <c r="E385" s="110">
        <v>0</v>
      </c>
      <c r="F385" t="str">
        <f>VLOOKUP(D385,Sheet1!$A$18:$B$28,2,FALSE)</f>
        <v>BH Tài sản</v>
      </c>
      <c r="G385" t="str">
        <f t="shared" si="16"/>
        <v>153</v>
      </c>
      <c r="H385" s="24">
        <f t="shared" si="17"/>
        <v>0</v>
      </c>
      <c r="I385" t="str">
        <f>VLOOKUP(G385,'CHECK_DT-BT'!$A$3:$C$92,3,FALSE)</f>
        <v>BV Lào Cai</v>
      </c>
    </row>
    <row r="386" spans="1:9" x14ac:dyDescent="0.25">
      <c r="A386" t="str">
        <f t="shared" si="15"/>
        <v>153</v>
      </c>
      <c r="B386" t="s">
        <v>1004</v>
      </c>
      <c r="C386" t="s">
        <v>1005</v>
      </c>
      <c r="D386" t="s">
        <v>393</v>
      </c>
      <c r="E386" s="110">
        <v>5320000</v>
      </c>
      <c r="F386" t="str">
        <f>VLOOKUP(D386,Sheet1!$A$18:$B$28,2,FALSE)</f>
        <v>BH Xe cơ giới</v>
      </c>
      <c r="G386" t="str">
        <f t="shared" si="16"/>
        <v>153</v>
      </c>
      <c r="H386" s="24">
        <f t="shared" si="17"/>
        <v>5320000</v>
      </c>
      <c r="I386" t="str">
        <f>VLOOKUP(G386,'CHECK_DT-BT'!$A$3:$C$92,3,FALSE)</f>
        <v>BV Lào Cai</v>
      </c>
    </row>
    <row r="387" spans="1:9" x14ac:dyDescent="0.25">
      <c r="A387" t="str">
        <f t="shared" si="15"/>
        <v>153</v>
      </c>
      <c r="B387" t="s">
        <v>1006</v>
      </c>
      <c r="C387" t="s">
        <v>1007</v>
      </c>
      <c r="D387" t="s">
        <v>393</v>
      </c>
      <c r="E387" s="110">
        <v>500000</v>
      </c>
      <c r="F387" t="str">
        <f>VLOOKUP(D387,Sheet1!$A$18:$B$28,2,FALSE)</f>
        <v>BH Xe cơ giới</v>
      </c>
      <c r="G387" t="str">
        <f t="shared" si="16"/>
        <v>153</v>
      </c>
      <c r="H387" s="24">
        <f t="shared" si="17"/>
        <v>500000</v>
      </c>
      <c r="I387" t="str">
        <f>VLOOKUP(G387,'CHECK_DT-BT'!$A$3:$C$92,3,FALSE)</f>
        <v>BV Lào Cai</v>
      </c>
    </row>
    <row r="388" spans="1:9" x14ac:dyDescent="0.25">
      <c r="A388" t="str">
        <f t="shared" si="15"/>
        <v>153</v>
      </c>
      <c r="B388" t="s">
        <v>1008</v>
      </c>
      <c r="C388" t="s">
        <v>1009</v>
      </c>
      <c r="D388" t="s">
        <v>393</v>
      </c>
      <c r="E388" s="110">
        <v>1500000</v>
      </c>
      <c r="F388" t="str">
        <f>VLOOKUP(D388,Sheet1!$A$18:$B$28,2,FALSE)</f>
        <v>BH Xe cơ giới</v>
      </c>
      <c r="G388" t="str">
        <f t="shared" si="16"/>
        <v>153</v>
      </c>
      <c r="H388" s="24">
        <f t="shared" si="17"/>
        <v>1500000</v>
      </c>
      <c r="I388" t="str">
        <f>VLOOKUP(G388,'CHECK_DT-BT'!$A$3:$C$92,3,FALSE)</f>
        <v>BV Lào Cai</v>
      </c>
    </row>
    <row r="389" spans="1:9" x14ac:dyDescent="0.25">
      <c r="A389" t="str">
        <f t="shared" ref="A389:A452" si="18">LEFT(B389,3)</f>
        <v>154</v>
      </c>
      <c r="B389" t="s">
        <v>1010</v>
      </c>
      <c r="C389" t="s">
        <v>1011</v>
      </c>
      <c r="D389" t="s">
        <v>393</v>
      </c>
      <c r="E389" s="110">
        <v>2000000</v>
      </c>
      <c r="F389" t="str">
        <f>VLOOKUP(D389,Sheet1!$A$18:$B$28,2,FALSE)</f>
        <v>BH Xe cơ giới</v>
      </c>
      <c r="G389" t="str">
        <f t="shared" ref="G389:G452" si="19">IF(A389="101",B389,A389)</f>
        <v>154</v>
      </c>
      <c r="H389" s="24">
        <f t="shared" ref="H389:H452" si="20">E389</f>
        <v>2000000</v>
      </c>
      <c r="I389" t="str">
        <f>VLOOKUP(G389,'CHECK_DT-BT'!$A$3:$C$92,3,FALSE)</f>
        <v>BV Lạng Sơn</v>
      </c>
    </row>
    <row r="390" spans="1:9" x14ac:dyDescent="0.25">
      <c r="A390" t="str">
        <f t="shared" si="18"/>
        <v>154</v>
      </c>
      <c r="B390" t="s">
        <v>1012</v>
      </c>
      <c r="C390" t="s">
        <v>1013</v>
      </c>
      <c r="D390" t="s">
        <v>393</v>
      </c>
      <c r="E390" s="110">
        <v>4500000</v>
      </c>
      <c r="F390" t="str">
        <f>VLOOKUP(D390,Sheet1!$A$18:$B$28,2,FALSE)</f>
        <v>BH Xe cơ giới</v>
      </c>
      <c r="G390" t="str">
        <f t="shared" si="19"/>
        <v>154</v>
      </c>
      <c r="H390" s="24">
        <f t="shared" si="20"/>
        <v>4500000</v>
      </c>
      <c r="I390" t="str">
        <f>VLOOKUP(G390,'CHECK_DT-BT'!$A$3:$C$92,3,FALSE)</f>
        <v>BV Lạng Sơn</v>
      </c>
    </row>
    <row r="391" spans="1:9" x14ac:dyDescent="0.25">
      <c r="A391" t="str">
        <f t="shared" si="18"/>
        <v>155</v>
      </c>
      <c r="B391" t="s">
        <v>303</v>
      </c>
      <c r="C391" t="s">
        <v>111</v>
      </c>
      <c r="D391" t="s">
        <v>393</v>
      </c>
      <c r="E391" s="110">
        <v>2200000</v>
      </c>
      <c r="F391" t="str">
        <f>VLOOKUP(D391,Sheet1!$A$18:$B$28,2,FALSE)</f>
        <v>BH Xe cơ giới</v>
      </c>
      <c r="G391" t="str">
        <f t="shared" si="19"/>
        <v>155</v>
      </c>
      <c r="H391" s="24">
        <f t="shared" si="20"/>
        <v>2200000</v>
      </c>
      <c r="I391" t="str">
        <f>VLOOKUP(G391,'CHECK_DT-BT'!$A$3:$C$92,3,FALSE)</f>
        <v>BV Điện Biên</v>
      </c>
    </row>
    <row r="392" spans="1:9" x14ac:dyDescent="0.25">
      <c r="A392" t="str">
        <f t="shared" si="18"/>
        <v>155</v>
      </c>
      <c r="B392" t="s">
        <v>1014</v>
      </c>
      <c r="C392" t="s">
        <v>1015</v>
      </c>
      <c r="D392" t="s">
        <v>391</v>
      </c>
      <c r="E392" s="110">
        <v>15218000</v>
      </c>
      <c r="F392" t="str">
        <f>VLOOKUP(D392,Sheet1!$A$18:$B$28,2,FALSE)</f>
        <v>BH Kỹ thuật</v>
      </c>
      <c r="G392" t="str">
        <f t="shared" si="19"/>
        <v>155</v>
      </c>
      <c r="H392" s="24">
        <f t="shared" si="20"/>
        <v>15218000</v>
      </c>
      <c r="I392" t="str">
        <f>VLOOKUP(G392,'CHECK_DT-BT'!$A$3:$C$92,3,FALSE)</f>
        <v>BV Điện Biên</v>
      </c>
    </row>
    <row r="393" spans="1:9" x14ac:dyDescent="0.25">
      <c r="A393" t="str">
        <f t="shared" si="18"/>
        <v>155</v>
      </c>
      <c r="B393" t="s">
        <v>1014</v>
      </c>
      <c r="C393" t="s">
        <v>1015</v>
      </c>
      <c r="D393" t="s">
        <v>392</v>
      </c>
      <c r="E393" s="110">
        <v>81011573</v>
      </c>
      <c r="F393" t="str">
        <f>VLOOKUP(D393,Sheet1!$A$18:$B$28,2,FALSE)</f>
        <v>BH Tài sản</v>
      </c>
      <c r="G393" t="str">
        <f t="shared" si="19"/>
        <v>155</v>
      </c>
      <c r="H393" s="24">
        <f t="shared" si="20"/>
        <v>81011573</v>
      </c>
      <c r="I393" t="str">
        <f>VLOOKUP(G393,'CHECK_DT-BT'!$A$3:$C$92,3,FALSE)</f>
        <v>BV Điện Biên</v>
      </c>
    </row>
    <row r="394" spans="1:9" x14ac:dyDescent="0.25">
      <c r="A394" t="str">
        <f t="shared" si="18"/>
        <v>155</v>
      </c>
      <c r="B394" t="s">
        <v>1014</v>
      </c>
      <c r="C394" t="s">
        <v>1015</v>
      </c>
      <c r="D394" t="s">
        <v>393</v>
      </c>
      <c r="E394" s="110">
        <v>1700000</v>
      </c>
      <c r="F394" t="str">
        <f>VLOOKUP(D394,Sheet1!$A$18:$B$28,2,FALSE)</f>
        <v>BH Xe cơ giới</v>
      </c>
      <c r="G394" t="str">
        <f t="shared" si="19"/>
        <v>155</v>
      </c>
      <c r="H394" s="24">
        <f t="shared" si="20"/>
        <v>1700000</v>
      </c>
      <c r="I394" t="str">
        <f>VLOOKUP(G394,'CHECK_DT-BT'!$A$3:$C$92,3,FALSE)</f>
        <v>BV Điện Biên</v>
      </c>
    </row>
    <row r="395" spans="1:9" x14ac:dyDescent="0.25">
      <c r="A395" t="str">
        <f t="shared" si="18"/>
        <v>155</v>
      </c>
      <c r="B395" t="s">
        <v>1016</v>
      </c>
      <c r="C395" t="s">
        <v>1017</v>
      </c>
      <c r="D395" t="s">
        <v>393</v>
      </c>
      <c r="E395" s="110">
        <v>3500000</v>
      </c>
      <c r="F395" t="str">
        <f>VLOOKUP(D395,Sheet1!$A$18:$B$28,2,FALSE)</f>
        <v>BH Xe cơ giới</v>
      </c>
      <c r="G395" t="str">
        <f t="shared" si="19"/>
        <v>155</v>
      </c>
      <c r="H395" s="24">
        <f t="shared" si="20"/>
        <v>3500000</v>
      </c>
      <c r="I395" t="str">
        <f>VLOOKUP(G395,'CHECK_DT-BT'!$A$3:$C$92,3,FALSE)</f>
        <v>BV Điện Biên</v>
      </c>
    </row>
    <row r="396" spans="1:9" x14ac:dyDescent="0.25">
      <c r="A396" t="str">
        <f t="shared" si="18"/>
        <v>155</v>
      </c>
      <c r="B396" t="s">
        <v>1018</v>
      </c>
      <c r="C396" t="s">
        <v>1019</v>
      </c>
      <c r="D396" t="s">
        <v>393</v>
      </c>
      <c r="E396" s="110">
        <v>500000</v>
      </c>
      <c r="F396" t="str">
        <f>VLOOKUP(D396,Sheet1!$A$18:$B$28,2,FALSE)</f>
        <v>BH Xe cơ giới</v>
      </c>
      <c r="G396" t="str">
        <f t="shared" si="19"/>
        <v>155</v>
      </c>
      <c r="H396" s="24">
        <f t="shared" si="20"/>
        <v>500000</v>
      </c>
      <c r="I396" t="str">
        <f>VLOOKUP(G396,'CHECK_DT-BT'!$A$3:$C$92,3,FALSE)</f>
        <v>BV Điện Biên</v>
      </c>
    </row>
    <row r="397" spans="1:9" x14ac:dyDescent="0.25">
      <c r="A397" t="str">
        <f t="shared" si="18"/>
        <v>155</v>
      </c>
      <c r="B397" t="s">
        <v>1020</v>
      </c>
      <c r="C397" t="s">
        <v>1021</v>
      </c>
      <c r="D397" t="s">
        <v>394</v>
      </c>
      <c r="E397" s="110">
        <v>400000</v>
      </c>
      <c r="F397" t="str">
        <f>VLOOKUP(D397,Sheet1!$A$18:$B$28,2,FALSE)</f>
        <v>BH Con người</v>
      </c>
      <c r="G397" t="str">
        <f t="shared" si="19"/>
        <v>155</v>
      </c>
      <c r="H397" s="24">
        <f t="shared" si="20"/>
        <v>400000</v>
      </c>
      <c r="I397" t="str">
        <f>VLOOKUP(G397,'CHECK_DT-BT'!$A$3:$C$92,3,FALSE)</f>
        <v>BV Điện Biên</v>
      </c>
    </row>
    <row r="398" spans="1:9" x14ac:dyDescent="0.25">
      <c r="A398" t="str">
        <f t="shared" si="18"/>
        <v>156</v>
      </c>
      <c r="B398" t="s">
        <v>1022</v>
      </c>
      <c r="C398" t="s">
        <v>1023</v>
      </c>
      <c r="D398" t="s">
        <v>393</v>
      </c>
      <c r="E398" s="110">
        <v>-7160000</v>
      </c>
      <c r="F398" t="str">
        <f>VLOOKUP(D398,Sheet1!$A$18:$B$28,2,FALSE)</f>
        <v>BH Xe cơ giới</v>
      </c>
      <c r="G398" t="str">
        <f t="shared" si="19"/>
        <v>156</v>
      </c>
      <c r="H398" s="24">
        <f t="shared" si="20"/>
        <v>-7160000</v>
      </c>
      <c r="I398" t="str">
        <f>VLOOKUP(G398,'CHECK_DT-BT'!$A$3:$C$92,3,FALSE)</f>
        <v>BV Long An</v>
      </c>
    </row>
    <row r="399" spans="1:9" x14ac:dyDescent="0.25">
      <c r="A399" t="str">
        <f t="shared" si="18"/>
        <v>156</v>
      </c>
      <c r="B399" t="s">
        <v>1024</v>
      </c>
      <c r="C399" t="s">
        <v>1025</v>
      </c>
      <c r="D399" t="s">
        <v>394</v>
      </c>
      <c r="E399" s="110">
        <v>200000</v>
      </c>
      <c r="F399" t="str">
        <f>VLOOKUP(D399,Sheet1!$A$18:$B$28,2,FALSE)</f>
        <v>BH Con người</v>
      </c>
      <c r="G399" t="str">
        <f t="shared" si="19"/>
        <v>156</v>
      </c>
      <c r="H399" s="24">
        <f t="shared" si="20"/>
        <v>200000</v>
      </c>
      <c r="I399" t="str">
        <f>VLOOKUP(G399,'CHECK_DT-BT'!$A$3:$C$92,3,FALSE)</f>
        <v>BV Long An</v>
      </c>
    </row>
    <row r="400" spans="1:9" x14ac:dyDescent="0.25">
      <c r="A400" t="str">
        <f t="shared" si="18"/>
        <v>156</v>
      </c>
      <c r="B400" t="s">
        <v>1024</v>
      </c>
      <c r="C400" t="s">
        <v>1025</v>
      </c>
      <c r="D400" t="s">
        <v>393</v>
      </c>
      <c r="E400" s="110">
        <v>500000</v>
      </c>
      <c r="F400" t="str">
        <f>VLOOKUP(D400,Sheet1!$A$18:$B$28,2,FALSE)</f>
        <v>BH Xe cơ giới</v>
      </c>
      <c r="G400" t="str">
        <f t="shared" si="19"/>
        <v>156</v>
      </c>
      <c r="H400" s="24">
        <f t="shared" si="20"/>
        <v>500000</v>
      </c>
      <c r="I400" t="str">
        <f>VLOOKUP(G400,'CHECK_DT-BT'!$A$3:$C$92,3,FALSE)</f>
        <v>BV Long An</v>
      </c>
    </row>
    <row r="401" spans="1:9" x14ac:dyDescent="0.25">
      <c r="A401" t="str">
        <f t="shared" si="18"/>
        <v>156</v>
      </c>
      <c r="B401" t="s">
        <v>1026</v>
      </c>
      <c r="C401" t="s">
        <v>1027</v>
      </c>
      <c r="D401" t="s">
        <v>393</v>
      </c>
      <c r="E401" s="110">
        <v>800000</v>
      </c>
      <c r="F401" t="str">
        <f>VLOOKUP(D401,Sheet1!$A$18:$B$28,2,FALSE)</f>
        <v>BH Xe cơ giới</v>
      </c>
      <c r="G401" t="str">
        <f t="shared" si="19"/>
        <v>156</v>
      </c>
      <c r="H401" s="24">
        <f t="shared" si="20"/>
        <v>800000</v>
      </c>
      <c r="I401" t="str">
        <f>VLOOKUP(G401,'CHECK_DT-BT'!$A$3:$C$92,3,FALSE)</f>
        <v>BV Long An</v>
      </c>
    </row>
    <row r="402" spans="1:9" x14ac:dyDescent="0.25">
      <c r="A402" t="str">
        <f t="shared" si="18"/>
        <v>156</v>
      </c>
      <c r="B402" t="s">
        <v>1028</v>
      </c>
      <c r="C402" t="s">
        <v>1029</v>
      </c>
      <c r="D402" t="s">
        <v>393</v>
      </c>
      <c r="E402" s="110">
        <v>-1300000</v>
      </c>
      <c r="F402" t="str">
        <f>VLOOKUP(D402,Sheet1!$A$18:$B$28,2,FALSE)</f>
        <v>BH Xe cơ giới</v>
      </c>
      <c r="G402" t="str">
        <f t="shared" si="19"/>
        <v>156</v>
      </c>
      <c r="H402" s="24">
        <f t="shared" si="20"/>
        <v>-1300000</v>
      </c>
      <c r="I402" t="str">
        <f>VLOOKUP(G402,'CHECK_DT-BT'!$A$3:$C$92,3,FALSE)</f>
        <v>BV Long An</v>
      </c>
    </row>
    <row r="403" spans="1:9" x14ac:dyDescent="0.25">
      <c r="A403" t="str">
        <f t="shared" si="18"/>
        <v>156</v>
      </c>
      <c r="B403" t="s">
        <v>1030</v>
      </c>
      <c r="C403" t="s">
        <v>1031</v>
      </c>
      <c r="D403" t="s">
        <v>393</v>
      </c>
      <c r="E403" s="110">
        <v>-1100000</v>
      </c>
      <c r="F403" t="str">
        <f>VLOOKUP(D403,Sheet1!$A$18:$B$28,2,FALSE)</f>
        <v>BH Xe cơ giới</v>
      </c>
      <c r="G403" t="str">
        <f t="shared" si="19"/>
        <v>156</v>
      </c>
      <c r="H403" s="24">
        <f t="shared" si="20"/>
        <v>-1100000</v>
      </c>
      <c r="I403" t="str">
        <f>VLOOKUP(G403,'CHECK_DT-BT'!$A$3:$C$92,3,FALSE)</f>
        <v>BV Long An</v>
      </c>
    </row>
    <row r="404" spans="1:9" x14ac:dyDescent="0.25">
      <c r="A404" t="str">
        <f t="shared" si="18"/>
        <v>156</v>
      </c>
      <c r="B404" t="s">
        <v>1032</v>
      </c>
      <c r="C404" t="s">
        <v>1033</v>
      </c>
      <c r="D404" t="s">
        <v>393</v>
      </c>
      <c r="E404" s="110">
        <v>-2840000</v>
      </c>
      <c r="F404" t="str">
        <f>VLOOKUP(D404,Sheet1!$A$18:$B$28,2,FALSE)</f>
        <v>BH Xe cơ giới</v>
      </c>
      <c r="G404" t="str">
        <f t="shared" si="19"/>
        <v>156</v>
      </c>
      <c r="H404" s="24">
        <f t="shared" si="20"/>
        <v>-2840000</v>
      </c>
      <c r="I404" t="str">
        <f>VLOOKUP(G404,'CHECK_DT-BT'!$A$3:$C$92,3,FALSE)</f>
        <v>BV Long An</v>
      </c>
    </row>
    <row r="405" spans="1:9" x14ac:dyDescent="0.25">
      <c r="A405" t="str">
        <f t="shared" si="18"/>
        <v>157</v>
      </c>
      <c r="B405" t="s">
        <v>1034</v>
      </c>
      <c r="C405" t="s">
        <v>1035</v>
      </c>
      <c r="D405" t="s">
        <v>273</v>
      </c>
      <c r="E405" s="110">
        <v>-7896000</v>
      </c>
      <c r="F405" t="str">
        <f>VLOOKUP(D405,Sheet1!$A$18:$B$28,2,FALSE)</f>
        <v>Hull (Thân tàu biển)</v>
      </c>
      <c r="G405" t="str">
        <f t="shared" si="19"/>
        <v>157</v>
      </c>
      <c r="H405" s="24">
        <f t="shared" si="20"/>
        <v>-7896000</v>
      </c>
      <c r="I405" t="str">
        <f>VLOOKUP(G405,'CHECK_DT-BT'!$A$3:$C$92,3,FALSE)</f>
        <v>BV Nam Định</v>
      </c>
    </row>
    <row r="406" spans="1:9" x14ac:dyDescent="0.25">
      <c r="A406" t="str">
        <f t="shared" si="18"/>
        <v>157</v>
      </c>
      <c r="B406" t="s">
        <v>1034</v>
      </c>
      <c r="C406" t="s">
        <v>1035</v>
      </c>
      <c r="D406" t="s">
        <v>393</v>
      </c>
      <c r="E406" s="110">
        <v>-9200000</v>
      </c>
      <c r="F406" t="str">
        <f>VLOOKUP(D406,Sheet1!$A$18:$B$28,2,FALSE)</f>
        <v>BH Xe cơ giới</v>
      </c>
      <c r="G406" t="str">
        <f t="shared" si="19"/>
        <v>157</v>
      </c>
      <c r="H406" s="24">
        <f t="shared" si="20"/>
        <v>-9200000</v>
      </c>
      <c r="I406" t="str">
        <f>VLOOKUP(G406,'CHECK_DT-BT'!$A$3:$C$92,3,FALSE)</f>
        <v>BV Nam Định</v>
      </c>
    </row>
    <row r="407" spans="1:9" x14ac:dyDescent="0.25">
      <c r="A407" t="str">
        <f t="shared" si="18"/>
        <v>157</v>
      </c>
      <c r="B407" t="s">
        <v>1036</v>
      </c>
      <c r="C407" t="s">
        <v>1037</v>
      </c>
      <c r="D407" t="s">
        <v>393</v>
      </c>
      <c r="E407" s="110">
        <v>-800000</v>
      </c>
      <c r="F407" t="str">
        <f>VLOOKUP(D407,Sheet1!$A$18:$B$28,2,FALSE)</f>
        <v>BH Xe cơ giới</v>
      </c>
      <c r="G407" t="str">
        <f t="shared" si="19"/>
        <v>157</v>
      </c>
      <c r="H407" s="24">
        <f t="shared" si="20"/>
        <v>-800000</v>
      </c>
      <c r="I407" t="str">
        <f>VLOOKUP(G407,'CHECK_DT-BT'!$A$3:$C$92,3,FALSE)</f>
        <v>BV Nam Định</v>
      </c>
    </row>
    <row r="408" spans="1:9" x14ac:dyDescent="0.25">
      <c r="A408" t="str">
        <f t="shared" si="18"/>
        <v>157</v>
      </c>
      <c r="B408" t="s">
        <v>1038</v>
      </c>
      <c r="C408" t="s">
        <v>1039</v>
      </c>
      <c r="D408" t="s">
        <v>393</v>
      </c>
      <c r="E408" s="110">
        <v>-500000</v>
      </c>
      <c r="F408" t="str">
        <f>VLOOKUP(D408,Sheet1!$A$18:$B$28,2,FALSE)</f>
        <v>BH Xe cơ giới</v>
      </c>
      <c r="G408" t="str">
        <f t="shared" si="19"/>
        <v>157</v>
      </c>
      <c r="H408" s="24">
        <f t="shared" si="20"/>
        <v>-500000</v>
      </c>
      <c r="I408" t="str">
        <f>VLOOKUP(G408,'CHECK_DT-BT'!$A$3:$C$92,3,FALSE)</f>
        <v>BV Nam Định</v>
      </c>
    </row>
    <row r="409" spans="1:9" x14ac:dyDescent="0.25">
      <c r="A409" t="str">
        <f t="shared" si="18"/>
        <v>157</v>
      </c>
      <c r="B409" t="s">
        <v>1040</v>
      </c>
      <c r="C409" t="s">
        <v>1041</v>
      </c>
      <c r="D409" t="s">
        <v>393</v>
      </c>
      <c r="E409" s="110">
        <v>-7900000</v>
      </c>
      <c r="F409" t="str">
        <f>VLOOKUP(D409,Sheet1!$A$18:$B$28,2,FALSE)</f>
        <v>BH Xe cơ giới</v>
      </c>
      <c r="G409" t="str">
        <f t="shared" si="19"/>
        <v>157</v>
      </c>
      <c r="H409" s="24">
        <f t="shared" si="20"/>
        <v>-7900000</v>
      </c>
      <c r="I409" t="str">
        <f>VLOOKUP(G409,'CHECK_DT-BT'!$A$3:$C$92,3,FALSE)</f>
        <v>BV Nam Định</v>
      </c>
    </row>
    <row r="410" spans="1:9" x14ac:dyDescent="0.25">
      <c r="A410" t="str">
        <f t="shared" si="18"/>
        <v>157</v>
      </c>
      <c r="B410" t="s">
        <v>1042</v>
      </c>
      <c r="C410" t="s">
        <v>1043</v>
      </c>
      <c r="D410" t="s">
        <v>273</v>
      </c>
      <c r="E410" s="110">
        <v>15792000</v>
      </c>
      <c r="F410" t="str">
        <f>VLOOKUP(D410,Sheet1!$A$18:$B$28,2,FALSE)</f>
        <v>Hull (Thân tàu biển)</v>
      </c>
      <c r="G410" t="str">
        <f t="shared" si="19"/>
        <v>157</v>
      </c>
      <c r="H410" s="24">
        <f t="shared" si="20"/>
        <v>15792000</v>
      </c>
      <c r="I410" t="str">
        <f>VLOOKUP(G410,'CHECK_DT-BT'!$A$3:$C$92,3,FALSE)</f>
        <v>BV Nam Định</v>
      </c>
    </row>
    <row r="411" spans="1:9" x14ac:dyDescent="0.25">
      <c r="A411" t="str">
        <f t="shared" si="18"/>
        <v>158</v>
      </c>
      <c r="B411" t="s">
        <v>333</v>
      </c>
      <c r="C411" t="s">
        <v>70</v>
      </c>
      <c r="D411" t="s">
        <v>393</v>
      </c>
      <c r="E411" s="110">
        <v>3500000</v>
      </c>
      <c r="F411" t="str">
        <f>VLOOKUP(D411,Sheet1!$A$18:$B$28,2,FALSE)</f>
        <v>BH Xe cơ giới</v>
      </c>
      <c r="G411" t="str">
        <f t="shared" si="19"/>
        <v>158</v>
      </c>
      <c r="H411" s="24">
        <f t="shared" si="20"/>
        <v>3500000</v>
      </c>
      <c r="I411" t="str">
        <f>VLOOKUP(G411,'CHECK_DT-BT'!$A$3:$C$92,3,FALSE)</f>
        <v>BV Nghệ An</v>
      </c>
    </row>
    <row r="412" spans="1:9" x14ac:dyDescent="0.25">
      <c r="A412" t="str">
        <f t="shared" si="18"/>
        <v>158</v>
      </c>
      <c r="B412" t="s">
        <v>1044</v>
      </c>
      <c r="C412" t="s">
        <v>1045</v>
      </c>
      <c r="D412" t="s">
        <v>394</v>
      </c>
      <c r="E412" s="110">
        <v>11578000</v>
      </c>
      <c r="F412" t="str">
        <f>VLOOKUP(D412,Sheet1!$A$18:$B$28,2,FALSE)</f>
        <v>BH Con người</v>
      </c>
      <c r="G412" t="str">
        <f t="shared" si="19"/>
        <v>158</v>
      </c>
      <c r="H412" s="24">
        <f t="shared" si="20"/>
        <v>11578000</v>
      </c>
      <c r="I412" t="str">
        <f>VLOOKUP(G412,'CHECK_DT-BT'!$A$3:$C$92,3,FALSE)</f>
        <v>BV Nghệ An</v>
      </c>
    </row>
    <row r="413" spans="1:9" x14ac:dyDescent="0.25">
      <c r="A413" t="str">
        <f t="shared" si="18"/>
        <v>158</v>
      </c>
      <c r="B413" t="s">
        <v>1044</v>
      </c>
      <c r="C413" t="s">
        <v>1045</v>
      </c>
      <c r="D413" t="s">
        <v>391</v>
      </c>
      <c r="E413" s="110">
        <v>188500225</v>
      </c>
      <c r="F413" t="str">
        <f>VLOOKUP(D413,Sheet1!$A$18:$B$28,2,FALSE)</f>
        <v>BH Kỹ thuật</v>
      </c>
      <c r="G413" t="str">
        <f t="shared" si="19"/>
        <v>158</v>
      </c>
      <c r="H413" s="24">
        <f t="shared" si="20"/>
        <v>188500225</v>
      </c>
      <c r="I413" t="str">
        <f>VLOOKUP(G413,'CHECK_DT-BT'!$A$3:$C$92,3,FALSE)</f>
        <v>BV Nghệ An</v>
      </c>
    </row>
    <row r="414" spans="1:9" x14ac:dyDescent="0.25">
      <c r="A414" t="str">
        <f t="shared" si="18"/>
        <v>158</v>
      </c>
      <c r="B414" t="s">
        <v>1044</v>
      </c>
      <c r="C414" t="s">
        <v>1045</v>
      </c>
      <c r="D414" t="s">
        <v>392</v>
      </c>
      <c r="E414" s="110">
        <v>52402166</v>
      </c>
      <c r="F414" t="str">
        <f>VLOOKUP(D414,Sheet1!$A$18:$B$28,2,FALSE)</f>
        <v>BH Tài sản</v>
      </c>
      <c r="G414" t="str">
        <f t="shared" si="19"/>
        <v>158</v>
      </c>
      <c r="H414" s="24">
        <f t="shared" si="20"/>
        <v>52402166</v>
      </c>
      <c r="I414" t="str">
        <f>VLOOKUP(G414,'CHECK_DT-BT'!$A$3:$C$92,3,FALSE)</f>
        <v>BV Nghệ An</v>
      </c>
    </row>
    <row r="415" spans="1:9" x14ac:dyDescent="0.25">
      <c r="A415" t="str">
        <f t="shared" si="18"/>
        <v>158</v>
      </c>
      <c r="B415" t="s">
        <v>1044</v>
      </c>
      <c r="C415" t="s">
        <v>1045</v>
      </c>
      <c r="D415" t="s">
        <v>393</v>
      </c>
      <c r="E415" s="110">
        <v>49540000</v>
      </c>
      <c r="F415" t="str">
        <f>VLOOKUP(D415,Sheet1!$A$18:$B$28,2,FALSE)</f>
        <v>BH Xe cơ giới</v>
      </c>
      <c r="G415" t="str">
        <f t="shared" si="19"/>
        <v>158</v>
      </c>
      <c r="H415" s="24">
        <f t="shared" si="20"/>
        <v>49540000</v>
      </c>
      <c r="I415" t="str">
        <f>VLOOKUP(G415,'CHECK_DT-BT'!$A$3:$C$92,3,FALSE)</f>
        <v>BV Nghệ An</v>
      </c>
    </row>
    <row r="416" spans="1:9" x14ac:dyDescent="0.25">
      <c r="A416" t="str">
        <f t="shared" si="18"/>
        <v>158</v>
      </c>
      <c r="B416" t="s">
        <v>1046</v>
      </c>
      <c r="C416" t="s">
        <v>1047</v>
      </c>
      <c r="D416" t="s">
        <v>394</v>
      </c>
      <c r="E416" s="110">
        <v>4485000</v>
      </c>
      <c r="F416" t="str">
        <f>VLOOKUP(D416,Sheet1!$A$18:$B$28,2,FALSE)</f>
        <v>BH Con người</v>
      </c>
      <c r="G416" t="str">
        <f t="shared" si="19"/>
        <v>158</v>
      </c>
      <c r="H416" s="24">
        <f t="shared" si="20"/>
        <v>4485000</v>
      </c>
      <c r="I416" t="str">
        <f>VLOOKUP(G416,'CHECK_DT-BT'!$A$3:$C$92,3,FALSE)</f>
        <v>BV Nghệ An</v>
      </c>
    </row>
    <row r="417" spans="1:9" x14ac:dyDescent="0.25">
      <c r="A417" t="str">
        <f t="shared" si="18"/>
        <v>158</v>
      </c>
      <c r="B417" t="s">
        <v>1048</v>
      </c>
      <c r="C417" t="s">
        <v>1049</v>
      </c>
      <c r="D417" t="s">
        <v>393</v>
      </c>
      <c r="E417" s="110">
        <v>1010000</v>
      </c>
      <c r="F417" t="str">
        <f>VLOOKUP(D417,Sheet1!$A$18:$B$28,2,FALSE)</f>
        <v>BH Xe cơ giới</v>
      </c>
      <c r="G417" t="str">
        <f t="shared" si="19"/>
        <v>158</v>
      </c>
      <c r="H417" s="24">
        <f t="shared" si="20"/>
        <v>1010000</v>
      </c>
      <c r="I417" t="str">
        <f>VLOOKUP(G417,'CHECK_DT-BT'!$A$3:$C$92,3,FALSE)</f>
        <v>BV Nghệ An</v>
      </c>
    </row>
    <row r="418" spans="1:9" x14ac:dyDescent="0.25">
      <c r="A418" t="str">
        <f t="shared" si="18"/>
        <v>158</v>
      </c>
      <c r="B418" t="s">
        <v>1050</v>
      </c>
      <c r="C418" t="s">
        <v>1051</v>
      </c>
      <c r="D418" t="s">
        <v>394</v>
      </c>
      <c r="E418" s="110">
        <v>1035000</v>
      </c>
      <c r="F418" t="str">
        <f>VLOOKUP(D418,Sheet1!$A$18:$B$28,2,FALSE)</f>
        <v>BH Con người</v>
      </c>
      <c r="G418" t="str">
        <f t="shared" si="19"/>
        <v>158</v>
      </c>
      <c r="H418" s="24">
        <f t="shared" si="20"/>
        <v>1035000</v>
      </c>
      <c r="I418" t="str">
        <f>VLOOKUP(G418,'CHECK_DT-BT'!$A$3:$C$92,3,FALSE)</f>
        <v>BV Nghệ An</v>
      </c>
    </row>
    <row r="419" spans="1:9" x14ac:dyDescent="0.25">
      <c r="A419" t="str">
        <f t="shared" si="18"/>
        <v>158</v>
      </c>
      <c r="B419" t="s">
        <v>1052</v>
      </c>
      <c r="C419" t="s">
        <v>1053</v>
      </c>
      <c r="D419" t="s">
        <v>393</v>
      </c>
      <c r="E419" s="110">
        <v>1750000</v>
      </c>
      <c r="F419" t="str">
        <f>VLOOKUP(D419,Sheet1!$A$18:$B$28,2,FALSE)</f>
        <v>BH Xe cơ giới</v>
      </c>
      <c r="G419" t="str">
        <f t="shared" si="19"/>
        <v>158</v>
      </c>
      <c r="H419" s="24">
        <f t="shared" si="20"/>
        <v>1750000</v>
      </c>
      <c r="I419" t="str">
        <f>VLOOKUP(G419,'CHECK_DT-BT'!$A$3:$C$92,3,FALSE)</f>
        <v>BV Nghệ An</v>
      </c>
    </row>
    <row r="420" spans="1:9" x14ac:dyDescent="0.25">
      <c r="A420" t="str">
        <f t="shared" si="18"/>
        <v>158</v>
      </c>
      <c r="B420" t="s">
        <v>1054</v>
      </c>
      <c r="C420" t="s">
        <v>1055</v>
      </c>
      <c r="D420" t="s">
        <v>394</v>
      </c>
      <c r="E420" s="110">
        <v>390000</v>
      </c>
      <c r="F420" t="str">
        <f>VLOOKUP(D420,Sheet1!$A$18:$B$28,2,FALSE)</f>
        <v>BH Con người</v>
      </c>
      <c r="G420" t="str">
        <f t="shared" si="19"/>
        <v>158</v>
      </c>
      <c r="H420" s="24">
        <f t="shared" si="20"/>
        <v>390000</v>
      </c>
      <c r="I420" t="str">
        <f>VLOOKUP(G420,'CHECK_DT-BT'!$A$3:$C$92,3,FALSE)</f>
        <v>BV Nghệ An</v>
      </c>
    </row>
    <row r="421" spans="1:9" x14ac:dyDescent="0.25">
      <c r="A421" t="str">
        <f t="shared" si="18"/>
        <v>158</v>
      </c>
      <c r="B421" t="s">
        <v>1056</v>
      </c>
      <c r="C421" t="s">
        <v>1057</v>
      </c>
      <c r="D421" t="s">
        <v>393</v>
      </c>
      <c r="E421" s="110">
        <v>800000</v>
      </c>
      <c r="F421" t="str">
        <f>VLOOKUP(D421,Sheet1!$A$18:$B$28,2,FALSE)</f>
        <v>BH Xe cơ giới</v>
      </c>
      <c r="G421" t="str">
        <f t="shared" si="19"/>
        <v>158</v>
      </c>
      <c r="H421" s="24">
        <f t="shared" si="20"/>
        <v>800000</v>
      </c>
      <c r="I421" t="str">
        <f>VLOOKUP(G421,'CHECK_DT-BT'!$A$3:$C$92,3,FALSE)</f>
        <v>BV Nghệ An</v>
      </c>
    </row>
    <row r="422" spans="1:9" x14ac:dyDescent="0.25">
      <c r="A422" t="str">
        <f t="shared" si="18"/>
        <v>158</v>
      </c>
      <c r="B422" t="s">
        <v>1058</v>
      </c>
      <c r="C422" t="s">
        <v>1059</v>
      </c>
      <c r="D422" t="s">
        <v>393</v>
      </c>
      <c r="E422" s="110">
        <v>1200000</v>
      </c>
      <c r="F422" t="str">
        <f>VLOOKUP(D422,Sheet1!$A$18:$B$28,2,FALSE)</f>
        <v>BH Xe cơ giới</v>
      </c>
      <c r="G422" t="str">
        <f t="shared" si="19"/>
        <v>158</v>
      </c>
      <c r="H422" s="24">
        <f t="shared" si="20"/>
        <v>1200000</v>
      </c>
      <c r="I422" t="str">
        <f>VLOOKUP(G422,'CHECK_DT-BT'!$A$3:$C$92,3,FALSE)</f>
        <v>BV Nghệ An</v>
      </c>
    </row>
    <row r="423" spans="1:9" x14ac:dyDescent="0.25">
      <c r="A423" t="str">
        <f t="shared" si="18"/>
        <v>158</v>
      </c>
      <c r="B423" t="s">
        <v>1060</v>
      </c>
      <c r="C423" t="s">
        <v>1061</v>
      </c>
      <c r="D423" t="s">
        <v>391</v>
      </c>
      <c r="E423" s="110">
        <v>115790400</v>
      </c>
      <c r="F423" t="str">
        <f>VLOOKUP(D423,Sheet1!$A$18:$B$28,2,FALSE)</f>
        <v>BH Kỹ thuật</v>
      </c>
      <c r="G423" t="str">
        <f t="shared" si="19"/>
        <v>158</v>
      </c>
      <c r="H423" s="24">
        <f t="shared" si="20"/>
        <v>115790400</v>
      </c>
      <c r="I423" t="str">
        <f>VLOOKUP(G423,'CHECK_DT-BT'!$A$3:$C$92,3,FALSE)</f>
        <v>BV Nghệ An</v>
      </c>
    </row>
    <row r="424" spans="1:9" x14ac:dyDescent="0.25">
      <c r="A424" t="str">
        <f t="shared" si="18"/>
        <v>158</v>
      </c>
      <c r="B424" t="s">
        <v>1060</v>
      </c>
      <c r="C424" t="s">
        <v>1061</v>
      </c>
      <c r="D424" t="s">
        <v>392</v>
      </c>
      <c r="E424" s="110">
        <v>75800375</v>
      </c>
      <c r="F424" t="str">
        <f>VLOOKUP(D424,Sheet1!$A$18:$B$28,2,FALSE)</f>
        <v>BH Tài sản</v>
      </c>
      <c r="G424" t="str">
        <f t="shared" si="19"/>
        <v>158</v>
      </c>
      <c r="H424" s="24">
        <f t="shared" si="20"/>
        <v>75800375</v>
      </c>
      <c r="I424" t="str">
        <f>VLOOKUP(G424,'CHECK_DT-BT'!$A$3:$C$92,3,FALSE)</f>
        <v>BV Nghệ An</v>
      </c>
    </row>
    <row r="425" spans="1:9" x14ac:dyDescent="0.25">
      <c r="A425" t="str">
        <f t="shared" si="18"/>
        <v>158</v>
      </c>
      <c r="B425" t="s">
        <v>1060</v>
      </c>
      <c r="C425" t="s">
        <v>1061</v>
      </c>
      <c r="D425" t="s">
        <v>393</v>
      </c>
      <c r="E425" s="110">
        <v>1000000</v>
      </c>
      <c r="F425" t="str">
        <f>VLOOKUP(D425,Sheet1!$A$18:$B$28,2,FALSE)</f>
        <v>BH Xe cơ giới</v>
      </c>
      <c r="G425" t="str">
        <f t="shared" si="19"/>
        <v>158</v>
      </c>
      <c r="H425" s="24">
        <f t="shared" si="20"/>
        <v>1000000</v>
      </c>
      <c r="I425" t="str">
        <f>VLOOKUP(G425,'CHECK_DT-BT'!$A$3:$C$92,3,FALSE)</f>
        <v>BV Nghệ An</v>
      </c>
    </row>
    <row r="426" spans="1:9" x14ac:dyDescent="0.25">
      <c r="A426" t="str">
        <f t="shared" si="18"/>
        <v>158</v>
      </c>
      <c r="B426" t="s">
        <v>1062</v>
      </c>
      <c r="C426" t="s">
        <v>1063</v>
      </c>
      <c r="D426" t="s">
        <v>393</v>
      </c>
      <c r="E426" s="110">
        <v>11873074</v>
      </c>
      <c r="F426" t="str">
        <f>VLOOKUP(D426,Sheet1!$A$18:$B$28,2,FALSE)</f>
        <v>BH Xe cơ giới</v>
      </c>
      <c r="G426" t="str">
        <f t="shared" si="19"/>
        <v>158</v>
      </c>
      <c r="H426" s="24">
        <f t="shared" si="20"/>
        <v>11873074</v>
      </c>
      <c r="I426" t="str">
        <f>VLOOKUP(G426,'CHECK_DT-BT'!$A$3:$C$92,3,FALSE)</f>
        <v>BV Nghệ An</v>
      </c>
    </row>
    <row r="427" spans="1:9" x14ac:dyDescent="0.25">
      <c r="A427" t="str">
        <f t="shared" si="18"/>
        <v>158</v>
      </c>
      <c r="B427" t="s">
        <v>1064</v>
      </c>
      <c r="C427" t="s">
        <v>1065</v>
      </c>
      <c r="D427" t="s">
        <v>394</v>
      </c>
      <c r="E427" s="110">
        <v>3845000</v>
      </c>
      <c r="F427" t="str">
        <f>VLOOKUP(D427,Sheet1!$A$18:$B$28,2,FALSE)</f>
        <v>BH Con người</v>
      </c>
      <c r="G427" t="str">
        <f t="shared" si="19"/>
        <v>158</v>
      </c>
      <c r="H427" s="24">
        <f t="shared" si="20"/>
        <v>3845000</v>
      </c>
      <c r="I427" t="str">
        <f>VLOOKUP(G427,'CHECK_DT-BT'!$A$3:$C$92,3,FALSE)</f>
        <v>BV Nghệ An</v>
      </c>
    </row>
    <row r="428" spans="1:9" x14ac:dyDescent="0.25">
      <c r="A428" t="str">
        <f t="shared" si="18"/>
        <v>158</v>
      </c>
      <c r="B428" t="s">
        <v>1064</v>
      </c>
      <c r="C428" t="s">
        <v>1065</v>
      </c>
      <c r="D428" t="s">
        <v>393</v>
      </c>
      <c r="E428" s="110">
        <v>1000000</v>
      </c>
      <c r="F428" t="str">
        <f>VLOOKUP(D428,Sheet1!$A$18:$B$28,2,FALSE)</f>
        <v>BH Xe cơ giới</v>
      </c>
      <c r="G428" t="str">
        <f t="shared" si="19"/>
        <v>158</v>
      </c>
      <c r="H428" s="24">
        <f t="shared" si="20"/>
        <v>1000000</v>
      </c>
      <c r="I428" t="str">
        <f>VLOOKUP(G428,'CHECK_DT-BT'!$A$3:$C$92,3,FALSE)</f>
        <v>BV Nghệ An</v>
      </c>
    </row>
    <row r="429" spans="1:9" x14ac:dyDescent="0.25">
      <c r="A429" t="str">
        <f t="shared" si="18"/>
        <v>159</v>
      </c>
      <c r="B429" t="s">
        <v>1066</v>
      </c>
      <c r="C429" t="s">
        <v>1067</v>
      </c>
      <c r="D429" t="s">
        <v>393</v>
      </c>
      <c r="E429" s="110">
        <v>-8400000</v>
      </c>
      <c r="F429" t="str">
        <f>VLOOKUP(D429,Sheet1!$A$18:$B$28,2,FALSE)</f>
        <v>BH Xe cơ giới</v>
      </c>
      <c r="G429" t="str">
        <f t="shared" si="19"/>
        <v>159</v>
      </c>
      <c r="H429" s="24">
        <f t="shared" si="20"/>
        <v>-8400000</v>
      </c>
      <c r="I429" t="str">
        <f>VLOOKUP(G429,'CHECK_DT-BT'!$A$3:$C$92,3,FALSE)</f>
        <v>BV Ninh Bình</v>
      </c>
    </row>
    <row r="430" spans="1:9" x14ac:dyDescent="0.25">
      <c r="A430" t="str">
        <f t="shared" si="18"/>
        <v>159</v>
      </c>
      <c r="B430" t="s">
        <v>1068</v>
      </c>
      <c r="C430" t="s">
        <v>1069</v>
      </c>
      <c r="D430" t="s">
        <v>393</v>
      </c>
      <c r="E430" s="110">
        <v>1800000</v>
      </c>
      <c r="F430" t="str">
        <f>VLOOKUP(D430,Sheet1!$A$18:$B$28,2,FALSE)</f>
        <v>BH Xe cơ giới</v>
      </c>
      <c r="G430" t="str">
        <f t="shared" si="19"/>
        <v>159</v>
      </c>
      <c r="H430" s="24">
        <f t="shared" si="20"/>
        <v>1800000</v>
      </c>
      <c r="I430" t="str">
        <f>VLOOKUP(G430,'CHECK_DT-BT'!$A$3:$C$92,3,FALSE)</f>
        <v>BV Ninh Bình</v>
      </c>
    </row>
    <row r="431" spans="1:9" x14ac:dyDescent="0.25">
      <c r="A431" t="str">
        <f t="shared" si="18"/>
        <v>159</v>
      </c>
      <c r="B431" t="s">
        <v>1070</v>
      </c>
      <c r="C431" t="s">
        <v>1071</v>
      </c>
      <c r="D431" t="s">
        <v>393</v>
      </c>
      <c r="E431" s="110">
        <v>500000</v>
      </c>
      <c r="F431" t="str">
        <f>VLOOKUP(D431,Sheet1!$A$18:$B$28,2,FALSE)</f>
        <v>BH Xe cơ giới</v>
      </c>
      <c r="G431" t="str">
        <f t="shared" si="19"/>
        <v>159</v>
      </c>
      <c r="H431" s="24">
        <f t="shared" si="20"/>
        <v>500000</v>
      </c>
      <c r="I431" t="str">
        <f>VLOOKUP(G431,'CHECK_DT-BT'!$A$3:$C$92,3,FALSE)</f>
        <v>BV Ninh Bình</v>
      </c>
    </row>
    <row r="432" spans="1:9" x14ac:dyDescent="0.25">
      <c r="A432" t="str">
        <f t="shared" si="18"/>
        <v>160</v>
      </c>
      <c r="B432" t="s">
        <v>1072</v>
      </c>
      <c r="C432" t="s">
        <v>1073</v>
      </c>
      <c r="D432" t="s">
        <v>393</v>
      </c>
      <c r="E432" s="110">
        <v>2000000</v>
      </c>
      <c r="F432" t="str">
        <f>VLOOKUP(D432,Sheet1!$A$18:$B$28,2,FALSE)</f>
        <v>BH Xe cơ giới</v>
      </c>
      <c r="G432" t="str">
        <f t="shared" si="19"/>
        <v>160</v>
      </c>
      <c r="H432" s="24">
        <f t="shared" si="20"/>
        <v>2000000</v>
      </c>
      <c r="I432" t="str">
        <f>VLOOKUP(G432,'CHECK_DT-BT'!$A$3:$C$92,3,FALSE)</f>
        <v>BV Ninh Thuận</v>
      </c>
    </row>
    <row r="433" spans="1:9" x14ac:dyDescent="0.25">
      <c r="A433" t="str">
        <f t="shared" si="18"/>
        <v>160</v>
      </c>
      <c r="B433" t="s">
        <v>1074</v>
      </c>
      <c r="C433" t="s">
        <v>1075</v>
      </c>
      <c r="D433" t="s">
        <v>272</v>
      </c>
      <c r="E433" s="110">
        <v>27620000</v>
      </c>
      <c r="F433" t="str">
        <f>VLOOKUP(D433,Sheet1!$A$18:$B$28,2,FALSE)</f>
        <v>Tàu khác</v>
      </c>
      <c r="G433" t="str">
        <f t="shared" si="19"/>
        <v>160</v>
      </c>
      <c r="H433" s="24">
        <f t="shared" si="20"/>
        <v>27620000</v>
      </c>
      <c r="I433" t="str">
        <f>VLOOKUP(G433,'CHECK_DT-BT'!$A$3:$C$92,3,FALSE)</f>
        <v>BV Ninh Thuận</v>
      </c>
    </row>
    <row r="434" spans="1:9" x14ac:dyDescent="0.25">
      <c r="A434" t="str">
        <f t="shared" si="18"/>
        <v>160</v>
      </c>
      <c r="B434" t="s">
        <v>1076</v>
      </c>
      <c r="C434" t="s">
        <v>1077</v>
      </c>
      <c r="D434" t="s">
        <v>394</v>
      </c>
      <c r="E434" s="110">
        <v>690000</v>
      </c>
      <c r="F434" t="str">
        <f>VLOOKUP(D434,Sheet1!$A$18:$B$28,2,FALSE)</f>
        <v>BH Con người</v>
      </c>
      <c r="G434" t="str">
        <f t="shared" si="19"/>
        <v>160</v>
      </c>
      <c r="H434" s="24">
        <f t="shared" si="20"/>
        <v>690000</v>
      </c>
      <c r="I434" t="str">
        <f>VLOOKUP(G434,'CHECK_DT-BT'!$A$3:$C$92,3,FALSE)</f>
        <v>BV Ninh Thuận</v>
      </c>
    </row>
    <row r="435" spans="1:9" x14ac:dyDescent="0.25">
      <c r="A435" t="str">
        <f t="shared" si="18"/>
        <v>160</v>
      </c>
      <c r="B435" t="s">
        <v>1078</v>
      </c>
      <c r="C435" t="s">
        <v>1079</v>
      </c>
      <c r="D435" t="s">
        <v>393</v>
      </c>
      <c r="E435" s="110">
        <v>2500000</v>
      </c>
      <c r="F435" t="str">
        <f>VLOOKUP(D435,Sheet1!$A$18:$B$28,2,FALSE)</f>
        <v>BH Xe cơ giới</v>
      </c>
      <c r="G435" t="str">
        <f t="shared" si="19"/>
        <v>160</v>
      </c>
      <c r="H435" s="24">
        <f t="shared" si="20"/>
        <v>2500000</v>
      </c>
      <c r="I435" t="str">
        <f>VLOOKUP(G435,'CHECK_DT-BT'!$A$3:$C$92,3,FALSE)</f>
        <v>BV Ninh Thuận</v>
      </c>
    </row>
    <row r="436" spans="1:9" x14ac:dyDescent="0.25">
      <c r="A436" t="str">
        <f t="shared" si="18"/>
        <v>160</v>
      </c>
      <c r="B436" t="s">
        <v>1080</v>
      </c>
      <c r="C436" t="s">
        <v>1081</v>
      </c>
      <c r="D436" t="s">
        <v>393</v>
      </c>
      <c r="E436" s="110">
        <v>500000</v>
      </c>
      <c r="F436" t="str">
        <f>VLOOKUP(D436,Sheet1!$A$18:$B$28,2,FALSE)</f>
        <v>BH Xe cơ giới</v>
      </c>
      <c r="G436" t="str">
        <f t="shared" si="19"/>
        <v>160</v>
      </c>
      <c r="H436" s="24">
        <f t="shared" si="20"/>
        <v>500000</v>
      </c>
      <c r="I436" t="str">
        <f>VLOOKUP(G436,'CHECK_DT-BT'!$A$3:$C$92,3,FALSE)</f>
        <v>BV Ninh Thuận</v>
      </c>
    </row>
    <row r="437" spans="1:9" x14ac:dyDescent="0.25">
      <c r="A437" t="str">
        <f t="shared" si="18"/>
        <v>161</v>
      </c>
      <c r="B437" t="s">
        <v>338</v>
      </c>
      <c r="C437" t="s">
        <v>75</v>
      </c>
      <c r="D437" t="s">
        <v>393</v>
      </c>
      <c r="E437" s="110">
        <v>700000</v>
      </c>
      <c r="F437" t="str">
        <f>VLOOKUP(D437,Sheet1!$A$18:$B$28,2,FALSE)</f>
        <v>BH Xe cơ giới</v>
      </c>
      <c r="G437" t="str">
        <f t="shared" si="19"/>
        <v>161</v>
      </c>
      <c r="H437" s="24">
        <f t="shared" si="20"/>
        <v>700000</v>
      </c>
      <c r="I437" t="str">
        <f>VLOOKUP(G437,'CHECK_DT-BT'!$A$3:$C$92,3,FALSE)</f>
        <v>BV Phú Thọ</v>
      </c>
    </row>
    <row r="438" spans="1:9" x14ac:dyDescent="0.25">
      <c r="A438" t="str">
        <f t="shared" si="18"/>
        <v>161</v>
      </c>
      <c r="B438" t="s">
        <v>1082</v>
      </c>
      <c r="C438" t="s">
        <v>1083</v>
      </c>
      <c r="D438" t="s">
        <v>387</v>
      </c>
      <c r="E438" s="110">
        <v>27399060</v>
      </c>
      <c r="F438" t="str">
        <f>VLOOKUP(D438,Sheet1!$A$18:$B$28,2,FALSE)</f>
        <v>BH Hàng hóa</v>
      </c>
      <c r="G438" t="str">
        <f t="shared" si="19"/>
        <v>161</v>
      </c>
      <c r="H438" s="24">
        <f t="shared" si="20"/>
        <v>27399060</v>
      </c>
      <c r="I438" t="str">
        <f>VLOOKUP(G438,'CHECK_DT-BT'!$A$3:$C$92,3,FALSE)</f>
        <v>BV Phú Thọ</v>
      </c>
    </row>
    <row r="439" spans="1:9" x14ac:dyDescent="0.25">
      <c r="A439" t="str">
        <f t="shared" si="18"/>
        <v>161</v>
      </c>
      <c r="B439" t="s">
        <v>1084</v>
      </c>
      <c r="C439" t="s">
        <v>1085</v>
      </c>
      <c r="D439" t="s">
        <v>393</v>
      </c>
      <c r="E439" s="110">
        <v>2300000</v>
      </c>
      <c r="F439" t="str">
        <f>VLOOKUP(D439,Sheet1!$A$18:$B$28,2,FALSE)</f>
        <v>BH Xe cơ giới</v>
      </c>
      <c r="G439" t="str">
        <f t="shared" si="19"/>
        <v>161</v>
      </c>
      <c r="H439" s="24">
        <f t="shared" si="20"/>
        <v>2300000</v>
      </c>
      <c r="I439" t="str">
        <f>VLOOKUP(G439,'CHECK_DT-BT'!$A$3:$C$92,3,FALSE)</f>
        <v>BV Phú Thọ</v>
      </c>
    </row>
    <row r="440" spans="1:9" x14ac:dyDescent="0.25">
      <c r="A440" t="str">
        <f t="shared" si="18"/>
        <v>161</v>
      </c>
      <c r="B440" t="s">
        <v>1086</v>
      </c>
      <c r="C440" t="s">
        <v>1087</v>
      </c>
      <c r="D440" t="s">
        <v>393</v>
      </c>
      <c r="E440" s="110">
        <v>800000</v>
      </c>
      <c r="F440" t="str">
        <f>VLOOKUP(D440,Sheet1!$A$18:$B$28,2,FALSE)</f>
        <v>BH Xe cơ giới</v>
      </c>
      <c r="G440" t="str">
        <f t="shared" si="19"/>
        <v>161</v>
      </c>
      <c r="H440" s="24">
        <f t="shared" si="20"/>
        <v>800000</v>
      </c>
      <c r="I440" t="str">
        <f>VLOOKUP(G440,'CHECK_DT-BT'!$A$3:$C$92,3,FALSE)</f>
        <v>BV Phú Thọ</v>
      </c>
    </row>
    <row r="441" spans="1:9" x14ac:dyDescent="0.25">
      <c r="A441" t="str">
        <f t="shared" si="18"/>
        <v>161</v>
      </c>
      <c r="B441" t="s">
        <v>1088</v>
      </c>
      <c r="C441" t="s">
        <v>1089</v>
      </c>
      <c r="D441" t="s">
        <v>393</v>
      </c>
      <c r="E441" s="110">
        <v>2500000</v>
      </c>
      <c r="F441" t="str">
        <f>VLOOKUP(D441,Sheet1!$A$18:$B$28,2,FALSE)</f>
        <v>BH Xe cơ giới</v>
      </c>
      <c r="G441" t="str">
        <f t="shared" si="19"/>
        <v>161</v>
      </c>
      <c r="H441" s="24">
        <f t="shared" si="20"/>
        <v>2500000</v>
      </c>
      <c r="I441" t="str">
        <f>VLOOKUP(G441,'CHECK_DT-BT'!$A$3:$C$92,3,FALSE)</f>
        <v>BV Phú Thọ</v>
      </c>
    </row>
    <row r="442" spans="1:9" x14ac:dyDescent="0.25">
      <c r="A442" t="str">
        <f t="shared" si="18"/>
        <v>162</v>
      </c>
      <c r="B442" t="s">
        <v>1090</v>
      </c>
      <c r="C442" t="s">
        <v>1091</v>
      </c>
      <c r="D442" t="s">
        <v>392</v>
      </c>
      <c r="E442" s="110">
        <v>413350682</v>
      </c>
      <c r="F442" t="str">
        <f>VLOOKUP(D442,Sheet1!$A$18:$B$28,2,FALSE)</f>
        <v>BH Tài sản</v>
      </c>
      <c r="G442" t="str">
        <f t="shared" si="19"/>
        <v>162</v>
      </c>
      <c r="H442" s="24">
        <f t="shared" si="20"/>
        <v>413350682</v>
      </c>
      <c r="I442" t="str">
        <f>VLOOKUP(G442,'CHECK_DT-BT'!$A$3:$C$92,3,FALSE)</f>
        <v>BV Phú Yên</v>
      </c>
    </row>
    <row r="443" spans="1:9" x14ac:dyDescent="0.25">
      <c r="A443" t="str">
        <f t="shared" si="18"/>
        <v>162</v>
      </c>
      <c r="B443" t="s">
        <v>1090</v>
      </c>
      <c r="C443" t="s">
        <v>1091</v>
      </c>
      <c r="D443" t="s">
        <v>393</v>
      </c>
      <c r="E443" s="110">
        <v>-42700000</v>
      </c>
      <c r="F443" t="str">
        <f>VLOOKUP(D443,Sheet1!$A$18:$B$28,2,FALSE)</f>
        <v>BH Xe cơ giới</v>
      </c>
      <c r="G443" t="str">
        <f t="shared" si="19"/>
        <v>162</v>
      </c>
      <c r="H443" s="24">
        <f t="shared" si="20"/>
        <v>-42700000</v>
      </c>
      <c r="I443" t="str">
        <f>VLOOKUP(G443,'CHECK_DT-BT'!$A$3:$C$92,3,FALSE)</f>
        <v>BV Phú Yên</v>
      </c>
    </row>
    <row r="444" spans="1:9" x14ac:dyDescent="0.25">
      <c r="A444" t="str">
        <f t="shared" si="18"/>
        <v>162</v>
      </c>
      <c r="B444" t="s">
        <v>1092</v>
      </c>
      <c r="C444" t="s">
        <v>1093</v>
      </c>
      <c r="D444" t="s">
        <v>393</v>
      </c>
      <c r="E444" s="110">
        <v>2900000</v>
      </c>
      <c r="F444" t="str">
        <f>VLOOKUP(D444,Sheet1!$A$18:$B$28,2,FALSE)</f>
        <v>BH Xe cơ giới</v>
      </c>
      <c r="G444" t="str">
        <f t="shared" si="19"/>
        <v>162</v>
      </c>
      <c r="H444" s="24">
        <f t="shared" si="20"/>
        <v>2900000</v>
      </c>
      <c r="I444" t="str">
        <f>VLOOKUP(G444,'CHECK_DT-BT'!$A$3:$C$92,3,FALSE)</f>
        <v>BV Phú Yên</v>
      </c>
    </row>
    <row r="445" spans="1:9" x14ac:dyDescent="0.25">
      <c r="A445" t="str">
        <f t="shared" si="18"/>
        <v>162</v>
      </c>
      <c r="B445" t="s">
        <v>1094</v>
      </c>
      <c r="C445" t="s">
        <v>1095</v>
      </c>
      <c r="D445" t="s">
        <v>394</v>
      </c>
      <c r="E445" s="110">
        <v>100000</v>
      </c>
      <c r="F445" t="str">
        <f>VLOOKUP(D445,Sheet1!$A$18:$B$28,2,FALSE)</f>
        <v>BH Con người</v>
      </c>
      <c r="G445" t="str">
        <f t="shared" si="19"/>
        <v>162</v>
      </c>
      <c r="H445" s="24">
        <f t="shared" si="20"/>
        <v>100000</v>
      </c>
      <c r="I445" t="str">
        <f>VLOOKUP(G445,'CHECK_DT-BT'!$A$3:$C$92,3,FALSE)</f>
        <v>BV Phú Yên</v>
      </c>
    </row>
    <row r="446" spans="1:9" x14ac:dyDescent="0.25">
      <c r="A446" t="str">
        <f t="shared" si="18"/>
        <v>162</v>
      </c>
      <c r="B446" t="s">
        <v>1094</v>
      </c>
      <c r="C446" t="s">
        <v>1095</v>
      </c>
      <c r="D446" t="s">
        <v>393</v>
      </c>
      <c r="E446" s="110">
        <v>3000000</v>
      </c>
      <c r="F446" t="str">
        <f>VLOOKUP(D446,Sheet1!$A$18:$B$28,2,FALSE)</f>
        <v>BH Xe cơ giới</v>
      </c>
      <c r="G446" t="str">
        <f t="shared" si="19"/>
        <v>162</v>
      </c>
      <c r="H446" s="24">
        <f t="shared" si="20"/>
        <v>3000000</v>
      </c>
      <c r="I446" t="str">
        <f>VLOOKUP(G446,'CHECK_DT-BT'!$A$3:$C$92,3,FALSE)</f>
        <v>BV Phú Yên</v>
      </c>
    </row>
    <row r="447" spans="1:9" x14ac:dyDescent="0.25">
      <c r="A447" t="str">
        <f t="shared" si="18"/>
        <v>162</v>
      </c>
      <c r="B447" t="s">
        <v>1096</v>
      </c>
      <c r="C447" t="s">
        <v>1097</v>
      </c>
      <c r="D447" t="s">
        <v>394</v>
      </c>
      <c r="E447" s="110">
        <v>100000</v>
      </c>
      <c r="F447" t="str">
        <f>VLOOKUP(D447,Sheet1!$A$18:$B$28,2,FALSE)</f>
        <v>BH Con người</v>
      </c>
      <c r="G447" t="str">
        <f t="shared" si="19"/>
        <v>162</v>
      </c>
      <c r="H447" s="24">
        <f t="shared" si="20"/>
        <v>100000</v>
      </c>
      <c r="I447" t="str">
        <f>VLOOKUP(G447,'CHECK_DT-BT'!$A$3:$C$92,3,FALSE)</f>
        <v>BV Phú Yên</v>
      </c>
    </row>
    <row r="448" spans="1:9" x14ac:dyDescent="0.25">
      <c r="A448" t="str">
        <f t="shared" si="18"/>
        <v>162</v>
      </c>
      <c r="B448" t="s">
        <v>1096</v>
      </c>
      <c r="C448" t="s">
        <v>1097</v>
      </c>
      <c r="D448" t="s">
        <v>393</v>
      </c>
      <c r="E448" s="110">
        <v>700000</v>
      </c>
      <c r="F448" t="str">
        <f>VLOOKUP(D448,Sheet1!$A$18:$B$28,2,FALSE)</f>
        <v>BH Xe cơ giới</v>
      </c>
      <c r="G448" t="str">
        <f t="shared" si="19"/>
        <v>162</v>
      </c>
      <c r="H448" s="24">
        <f t="shared" si="20"/>
        <v>700000</v>
      </c>
      <c r="I448" t="str">
        <f>VLOOKUP(G448,'CHECK_DT-BT'!$A$3:$C$92,3,FALSE)</f>
        <v>BV Phú Yên</v>
      </c>
    </row>
    <row r="449" spans="1:9" x14ac:dyDescent="0.25">
      <c r="A449" t="str">
        <f t="shared" si="18"/>
        <v>163</v>
      </c>
      <c r="B449" t="s">
        <v>1098</v>
      </c>
      <c r="C449" t="s">
        <v>1099</v>
      </c>
      <c r="D449" t="s">
        <v>391</v>
      </c>
      <c r="E449" s="110">
        <v>112500000</v>
      </c>
      <c r="F449" t="str">
        <f>VLOOKUP(D449,Sheet1!$A$18:$B$28,2,FALSE)</f>
        <v>BH Kỹ thuật</v>
      </c>
      <c r="G449" t="str">
        <f t="shared" si="19"/>
        <v>163</v>
      </c>
      <c r="H449" s="24">
        <f t="shared" si="20"/>
        <v>112500000</v>
      </c>
      <c r="I449" t="str">
        <f>VLOOKUP(G449,'CHECK_DT-BT'!$A$3:$C$92,3,FALSE)</f>
        <v>BV Quảng Bình</v>
      </c>
    </row>
    <row r="450" spans="1:9" x14ac:dyDescent="0.25">
      <c r="A450" t="str">
        <f t="shared" si="18"/>
        <v>163</v>
      </c>
      <c r="B450" t="s">
        <v>1098</v>
      </c>
      <c r="C450" t="s">
        <v>1099</v>
      </c>
      <c r="D450" t="s">
        <v>272</v>
      </c>
      <c r="E450" s="110">
        <v>3000000</v>
      </c>
      <c r="F450" t="str">
        <f>VLOOKUP(D450,Sheet1!$A$18:$B$28,2,FALSE)</f>
        <v>Tàu khác</v>
      </c>
      <c r="G450" t="str">
        <f t="shared" si="19"/>
        <v>163</v>
      </c>
      <c r="H450" s="24">
        <f t="shared" si="20"/>
        <v>3000000</v>
      </c>
      <c r="I450" t="str">
        <f>VLOOKUP(G450,'CHECK_DT-BT'!$A$3:$C$92,3,FALSE)</f>
        <v>BV Quảng Bình</v>
      </c>
    </row>
    <row r="451" spans="1:9" x14ac:dyDescent="0.25">
      <c r="A451" t="str">
        <f t="shared" si="18"/>
        <v>163</v>
      </c>
      <c r="B451" t="s">
        <v>1098</v>
      </c>
      <c r="C451" t="s">
        <v>1099</v>
      </c>
      <c r="D451" t="s">
        <v>393</v>
      </c>
      <c r="E451" s="110">
        <v>22400000</v>
      </c>
      <c r="F451" t="str">
        <f>VLOOKUP(D451,Sheet1!$A$18:$B$28,2,FALSE)</f>
        <v>BH Xe cơ giới</v>
      </c>
      <c r="G451" t="str">
        <f t="shared" si="19"/>
        <v>163</v>
      </c>
      <c r="H451" s="24">
        <f t="shared" si="20"/>
        <v>22400000</v>
      </c>
      <c r="I451" t="str">
        <f>VLOOKUP(G451,'CHECK_DT-BT'!$A$3:$C$92,3,FALSE)</f>
        <v>BV Quảng Bình</v>
      </c>
    </row>
    <row r="452" spans="1:9" x14ac:dyDescent="0.25">
      <c r="A452" t="str">
        <f t="shared" si="18"/>
        <v>163</v>
      </c>
      <c r="B452" t="s">
        <v>1100</v>
      </c>
      <c r="C452" t="s">
        <v>1101</v>
      </c>
      <c r="D452" t="s">
        <v>393</v>
      </c>
      <c r="E452" s="110">
        <v>2500000</v>
      </c>
      <c r="F452" t="str">
        <f>VLOOKUP(D452,Sheet1!$A$18:$B$28,2,FALSE)</f>
        <v>BH Xe cơ giới</v>
      </c>
      <c r="G452" t="str">
        <f t="shared" si="19"/>
        <v>163</v>
      </c>
      <c r="H452" s="24">
        <f t="shared" si="20"/>
        <v>2500000</v>
      </c>
      <c r="I452" t="str">
        <f>VLOOKUP(G452,'CHECK_DT-BT'!$A$3:$C$92,3,FALSE)</f>
        <v>BV Quảng Bình</v>
      </c>
    </row>
    <row r="453" spans="1:9" x14ac:dyDescent="0.25">
      <c r="A453" t="str">
        <f t="shared" ref="A453:A516" si="21">LEFT(B453,3)</f>
        <v>163</v>
      </c>
      <c r="B453" t="s">
        <v>1102</v>
      </c>
      <c r="C453" t="s">
        <v>1103</v>
      </c>
      <c r="D453" t="s">
        <v>393</v>
      </c>
      <c r="E453" s="110">
        <v>2000000</v>
      </c>
      <c r="F453" t="str">
        <f>VLOOKUP(D453,Sheet1!$A$18:$B$28,2,FALSE)</f>
        <v>BH Xe cơ giới</v>
      </c>
      <c r="G453" t="str">
        <f t="shared" ref="G453:G516" si="22">IF(A453="101",B453,A453)</f>
        <v>163</v>
      </c>
      <c r="H453" s="24">
        <f t="shared" ref="H453:H516" si="23">E453</f>
        <v>2000000</v>
      </c>
      <c r="I453" t="str">
        <f>VLOOKUP(G453,'CHECK_DT-BT'!$A$3:$C$92,3,FALSE)</f>
        <v>BV Quảng Bình</v>
      </c>
    </row>
    <row r="454" spans="1:9" x14ac:dyDescent="0.25">
      <c r="A454" t="str">
        <f t="shared" si="21"/>
        <v>164</v>
      </c>
      <c r="B454" t="s">
        <v>1104</v>
      </c>
      <c r="C454" t="s">
        <v>1105</v>
      </c>
      <c r="D454" t="s">
        <v>393</v>
      </c>
      <c r="E454" s="110">
        <v>500000</v>
      </c>
      <c r="F454" t="str">
        <f>VLOOKUP(D454,Sheet1!$A$18:$B$28,2,FALSE)</f>
        <v>BH Xe cơ giới</v>
      </c>
      <c r="G454" t="str">
        <f t="shared" si="22"/>
        <v>164</v>
      </c>
      <c r="H454" s="24">
        <f t="shared" si="23"/>
        <v>500000</v>
      </c>
      <c r="I454" t="str">
        <f>VLOOKUP(G454,'CHECK_DT-BT'!$A$3:$C$92,3,FALSE)</f>
        <v>BV Quảng Nam</v>
      </c>
    </row>
    <row r="455" spans="1:9" x14ac:dyDescent="0.25">
      <c r="A455" t="str">
        <f t="shared" si="21"/>
        <v>164</v>
      </c>
      <c r="B455" t="s">
        <v>1106</v>
      </c>
      <c r="C455" t="s">
        <v>1107</v>
      </c>
      <c r="D455" t="s">
        <v>393</v>
      </c>
      <c r="E455" s="110">
        <v>2000000</v>
      </c>
      <c r="F455" t="str">
        <f>VLOOKUP(D455,Sheet1!$A$18:$B$28,2,FALSE)</f>
        <v>BH Xe cơ giới</v>
      </c>
      <c r="G455" t="str">
        <f t="shared" si="22"/>
        <v>164</v>
      </c>
      <c r="H455" s="24">
        <f t="shared" si="23"/>
        <v>2000000</v>
      </c>
      <c r="I455" t="str">
        <f>VLOOKUP(G455,'CHECK_DT-BT'!$A$3:$C$92,3,FALSE)</f>
        <v>BV Quảng Nam</v>
      </c>
    </row>
    <row r="456" spans="1:9" x14ac:dyDescent="0.25">
      <c r="A456" t="str">
        <f t="shared" si="21"/>
        <v>164</v>
      </c>
      <c r="B456" t="s">
        <v>1108</v>
      </c>
      <c r="C456" t="s">
        <v>1109</v>
      </c>
      <c r="D456" t="s">
        <v>393</v>
      </c>
      <c r="E456" s="110">
        <v>1000000</v>
      </c>
      <c r="F456" t="str">
        <f>VLOOKUP(D456,Sheet1!$A$18:$B$28,2,FALSE)</f>
        <v>BH Xe cơ giới</v>
      </c>
      <c r="G456" t="str">
        <f t="shared" si="22"/>
        <v>164</v>
      </c>
      <c r="H456" s="24">
        <f t="shared" si="23"/>
        <v>1000000</v>
      </c>
      <c r="I456" t="str">
        <f>VLOOKUP(G456,'CHECK_DT-BT'!$A$3:$C$92,3,FALSE)</f>
        <v>BV Quảng Nam</v>
      </c>
    </row>
    <row r="457" spans="1:9" x14ac:dyDescent="0.25">
      <c r="A457" t="str">
        <f t="shared" si="21"/>
        <v>164</v>
      </c>
      <c r="B457" t="s">
        <v>1110</v>
      </c>
      <c r="C457" t="s">
        <v>1111</v>
      </c>
      <c r="D457" t="s">
        <v>393</v>
      </c>
      <c r="E457" s="110">
        <v>1000000</v>
      </c>
      <c r="F457" t="str">
        <f>VLOOKUP(D457,Sheet1!$A$18:$B$28,2,FALSE)</f>
        <v>BH Xe cơ giới</v>
      </c>
      <c r="G457" t="str">
        <f t="shared" si="22"/>
        <v>164</v>
      </c>
      <c r="H457" s="24">
        <f t="shared" si="23"/>
        <v>1000000</v>
      </c>
      <c r="I457" t="str">
        <f>VLOOKUP(G457,'CHECK_DT-BT'!$A$3:$C$92,3,FALSE)</f>
        <v>BV Quảng Nam</v>
      </c>
    </row>
    <row r="458" spans="1:9" x14ac:dyDescent="0.25">
      <c r="A458" t="str">
        <f t="shared" si="21"/>
        <v>165</v>
      </c>
      <c r="B458" t="s">
        <v>1112</v>
      </c>
      <c r="C458" t="s">
        <v>1105</v>
      </c>
      <c r="D458" t="s">
        <v>393</v>
      </c>
      <c r="E458" s="110">
        <v>1000000</v>
      </c>
      <c r="F458" t="str">
        <f>VLOOKUP(D458,Sheet1!$A$18:$B$28,2,FALSE)</f>
        <v>BH Xe cơ giới</v>
      </c>
      <c r="G458" t="str">
        <f t="shared" si="22"/>
        <v>165</v>
      </c>
      <c r="H458" s="24">
        <f t="shared" si="23"/>
        <v>1000000</v>
      </c>
      <c r="I458" t="str">
        <f>VLOOKUP(G458,'CHECK_DT-BT'!$A$3:$C$92,3,FALSE)</f>
        <v>BV Quảng Ngãi</v>
      </c>
    </row>
    <row r="459" spans="1:9" x14ac:dyDescent="0.25">
      <c r="A459" t="str">
        <f t="shared" si="21"/>
        <v>165</v>
      </c>
      <c r="B459" t="s">
        <v>1113</v>
      </c>
      <c r="C459" t="s">
        <v>1114</v>
      </c>
      <c r="D459" t="s">
        <v>393</v>
      </c>
      <c r="E459" s="110">
        <v>2300000</v>
      </c>
      <c r="F459" t="str">
        <f>VLOOKUP(D459,Sheet1!$A$18:$B$28,2,FALSE)</f>
        <v>BH Xe cơ giới</v>
      </c>
      <c r="G459" t="str">
        <f t="shared" si="22"/>
        <v>165</v>
      </c>
      <c r="H459" s="24">
        <f t="shared" si="23"/>
        <v>2300000</v>
      </c>
      <c r="I459" t="str">
        <f>VLOOKUP(G459,'CHECK_DT-BT'!$A$3:$C$92,3,FALSE)</f>
        <v>BV Quảng Ngãi</v>
      </c>
    </row>
    <row r="460" spans="1:9" x14ac:dyDescent="0.25">
      <c r="A460" t="str">
        <f t="shared" si="21"/>
        <v>165</v>
      </c>
      <c r="B460" t="s">
        <v>1115</v>
      </c>
      <c r="C460" t="s">
        <v>1116</v>
      </c>
      <c r="D460" t="s">
        <v>387</v>
      </c>
      <c r="E460" s="110">
        <v>6505000</v>
      </c>
      <c r="F460" t="str">
        <f>VLOOKUP(D460,Sheet1!$A$18:$B$28,2,FALSE)</f>
        <v>BH Hàng hóa</v>
      </c>
      <c r="G460" t="str">
        <f t="shared" si="22"/>
        <v>165</v>
      </c>
      <c r="H460" s="24">
        <f t="shared" si="23"/>
        <v>6505000</v>
      </c>
      <c r="I460" t="str">
        <f>VLOOKUP(G460,'CHECK_DT-BT'!$A$3:$C$92,3,FALSE)</f>
        <v>BV Quảng Ngãi</v>
      </c>
    </row>
    <row r="461" spans="1:9" x14ac:dyDescent="0.25">
      <c r="A461" t="str">
        <f t="shared" si="21"/>
        <v>165</v>
      </c>
      <c r="B461" t="s">
        <v>1115</v>
      </c>
      <c r="C461" t="s">
        <v>1116</v>
      </c>
      <c r="D461" t="s">
        <v>392</v>
      </c>
      <c r="E461" s="110">
        <v>32727273</v>
      </c>
      <c r="F461" t="str">
        <f>VLOOKUP(D461,Sheet1!$A$18:$B$28,2,FALSE)</f>
        <v>BH Tài sản</v>
      </c>
      <c r="G461" t="str">
        <f t="shared" si="22"/>
        <v>165</v>
      </c>
      <c r="H461" s="24">
        <f t="shared" si="23"/>
        <v>32727273</v>
      </c>
      <c r="I461" t="str">
        <f>VLOOKUP(G461,'CHECK_DT-BT'!$A$3:$C$92,3,FALSE)</f>
        <v>BV Quảng Ngãi</v>
      </c>
    </row>
    <row r="462" spans="1:9" x14ac:dyDescent="0.25">
      <c r="A462" t="str">
        <f t="shared" si="21"/>
        <v>165</v>
      </c>
      <c r="B462" t="s">
        <v>1115</v>
      </c>
      <c r="C462" t="s">
        <v>1116</v>
      </c>
      <c r="D462" t="s">
        <v>393</v>
      </c>
      <c r="E462" s="110">
        <v>1000000</v>
      </c>
      <c r="F462" t="str">
        <f>VLOOKUP(D462,Sheet1!$A$18:$B$28,2,FALSE)</f>
        <v>BH Xe cơ giới</v>
      </c>
      <c r="G462" t="str">
        <f t="shared" si="22"/>
        <v>165</v>
      </c>
      <c r="H462" s="24">
        <f t="shared" si="23"/>
        <v>1000000</v>
      </c>
      <c r="I462" t="str">
        <f>VLOOKUP(G462,'CHECK_DT-BT'!$A$3:$C$92,3,FALSE)</f>
        <v>BV Quảng Ngãi</v>
      </c>
    </row>
    <row r="463" spans="1:9" x14ac:dyDescent="0.25">
      <c r="A463" t="str">
        <f t="shared" si="21"/>
        <v>165</v>
      </c>
      <c r="B463" t="s">
        <v>1117</v>
      </c>
      <c r="C463" t="s">
        <v>1118</v>
      </c>
      <c r="D463" t="s">
        <v>394</v>
      </c>
      <c r="E463" s="110">
        <v>200000</v>
      </c>
      <c r="F463" t="str">
        <f>VLOOKUP(D463,Sheet1!$A$18:$B$28,2,FALSE)</f>
        <v>BH Con người</v>
      </c>
      <c r="G463" t="str">
        <f t="shared" si="22"/>
        <v>165</v>
      </c>
      <c r="H463" s="24">
        <f t="shared" si="23"/>
        <v>200000</v>
      </c>
      <c r="I463" t="str">
        <f>VLOOKUP(G463,'CHECK_DT-BT'!$A$3:$C$92,3,FALSE)</f>
        <v>BV Quảng Ngãi</v>
      </c>
    </row>
    <row r="464" spans="1:9" x14ac:dyDescent="0.25">
      <c r="A464" t="str">
        <f t="shared" si="21"/>
        <v>165</v>
      </c>
      <c r="B464" t="s">
        <v>1119</v>
      </c>
      <c r="C464" t="s">
        <v>1120</v>
      </c>
      <c r="D464" t="s">
        <v>392</v>
      </c>
      <c r="E464" s="110">
        <v>43607861</v>
      </c>
      <c r="F464" t="str">
        <f>VLOOKUP(D464,Sheet1!$A$18:$B$28,2,FALSE)</f>
        <v>BH Tài sản</v>
      </c>
      <c r="G464" t="str">
        <f t="shared" si="22"/>
        <v>165</v>
      </c>
      <c r="H464" s="24">
        <f t="shared" si="23"/>
        <v>43607861</v>
      </c>
      <c r="I464" t="str">
        <f>VLOOKUP(G464,'CHECK_DT-BT'!$A$3:$C$92,3,FALSE)</f>
        <v>BV Quảng Ngãi</v>
      </c>
    </row>
    <row r="465" spans="1:9" x14ac:dyDescent="0.25">
      <c r="A465" t="str">
        <f t="shared" si="21"/>
        <v>165</v>
      </c>
      <c r="B465" t="s">
        <v>1121</v>
      </c>
      <c r="C465" t="s">
        <v>1122</v>
      </c>
      <c r="D465" t="s">
        <v>394</v>
      </c>
      <c r="E465" s="110">
        <v>1500000</v>
      </c>
      <c r="F465" t="str">
        <f>VLOOKUP(D465,Sheet1!$A$18:$B$28,2,FALSE)</f>
        <v>BH Con người</v>
      </c>
      <c r="G465" t="str">
        <f t="shared" si="22"/>
        <v>165</v>
      </c>
      <c r="H465" s="24">
        <f t="shared" si="23"/>
        <v>1500000</v>
      </c>
      <c r="I465" t="str">
        <f>VLOOKUP(G465,'CHECK_DT-BT'!$A$3:$C$92,3,FALSE)</f>
        <v>BV Quảng Ngãi</v>
      </c>
    </row>
    <row r="466" spans="1:9" x14ac:dyDescent="0.25">
      <c r="A466" t="str">
        <f t="shared" si="21"/>
        <v>166</v>
      </c>
      <c r="B466" t="s">
        <v>1123</v>
      </c>
      <c r="C466" t="s">
        <v>1124</v>
      </c>
      <c r="D466" t="s">
        <v>387</v>
      </c>
      <c r="E466" s="110">
        <v>44200000</v>
      </c>
      <c r="F466" t="str">
        <f>VLOOKUP(D466,Sheet1!$A$18:$B$28,2,FALSE)</f>
        <v>BH Hàng hóa</v>
      </c>
      <c r="G466" t="str">
        <f t="shared" si="22"/>
        <v>166</v>
      </c>
      <c r="H466" s="24">
        <f t="shared" si="23"/>
        <v>44200000</v>
      </c>
      <c r="I466" t="str">
        <f>VLOOKUP(G466,'CHECK_DT-BT'!$A$3:$C$92,3,FALSE)</f>
        <v>BV Quảng Ninh</v>
      </c>
    </row>
    <row r="467" spans="1:9" x14ac:dyDescent="0.25">
      <c r="A467" t="str">
        <f t="shared" si="21"/>
        <v>166</v>
      </c>
      <c r="B467" t="s">
        <v>1123</v>
      </c>
      <c r="C467" t="s">
        <v>1124</v>
      </c>
      <c r="D467" t="s">
        <v>393</v>
      </c>
      <c r="E467" s="110">
        <v>-20840000</v>
      </c>
      <c r="F467" t="str">
        <f>VLOOKUP(D467,Sheet1!$A$18:$B$28,2,FALSE)</f>
        <v>BH Xe cơ giới</v>
      </c>
      <c r="G467" t="str">
        <f t="shared" si="22"/>
        <v>166</v>
      </c>
      <c r="H467" s="24">
        <f t="shared" si="23"/>
        <v>-20840000</v>
      </c>
      <c r="I467" t="str">
        <f>VLOOKUP(G467,'CHECK_DT-BT'!$A$3:$C$92,3,FALSE)</f>
        <v>BV Quảng Ninh</v>
      </c>
    </row>
    <row r="468" spans="1:9" x14ac:dyDescent="0.25">
      <c r="A468" t="str">
        <f t="shared" si="21"/>
        <v>166</v>
      </c>
      <c r="B468" t="s">
        <v>1125</v>
      </c>
      <c r="C468" t="s">
        <v>1126</v>
      </c>
      <c r="D468" t="s">
        <v>393</v>
      </c>
      <c r="E468" s="110">
        <v>5000000</v>
      </c>
      <c r="F468" t="str">
        <f>VLOOKUP(D468,Sheet1!$A$18:$B$28,2,FALSE)</f>
        <v>BH Xe cơ giới</v>
      </c>
      <c r="G468" t="str">
        <f t="shared" si="22"/>
        <v>166</v>
      </c>
      <c r="H468" s="24">
        <f t="shared" si="23"/>
        <v>5000000</v>
      </c>
      <c r="I468" t="str">
        <f>VLOOKUP(G468,'CHECK_DT-BT'!$A$3:$C$92,3,FALSE)</f>
        <v>BV Quảng Ninh</v>
      </c>
    </row>
    <row r="469" spans="1:9" x14ac:dyDescent="0.25">
      <c r="A469" t="str">
        <f t="shared" si="21"/>
        <v>166</v>
      </c>
      <c r="B469" t="s">
        <v>1127</v>
      </c>
      <c r="C469" t="s">
        <v>1128</v>
      </c>
      <c r="D469" t="s">
        <v>393</v>
      </c>
      <c r="E469" s="110">
        <v>4500000</v>
      </c>
      <c r="F469" t="str">
        <f>VLOOKUP(D469,Sheet1!$A$18:$B$28,2,FALSE)</f>
        <v>BH Xe cơ giới</v>
      </c>
      <c r="G469" t="str">
        <f t="shared" si="22"/>
        <v>166</v>
      </c>
      <c r="H469" s="24">
        <f t="shared" si="23"/>
        <v>4500000</v>
      </c>
      <c r="I469" t="str">
        <f>VLOOKUP(G469,'CHECK_DT-BT'!$A$3:$C$92,3,FALSE)</f>
        <v>BV Quảng Ninh</v>
      </c>
    </row>
    <row r="470" spans="1:9" x14ac:dyDescent="0.25">
      <c r="A470" t="str">
        <f t="shared" si="21"/>
        <v>166</v>
      </c>
      <c r="B470" t="s">
        <v>1129</v>
      </c>
      <c r="C470" t="s">
        <v>1130</v>
      </c>
      <c r="D470" t="s">
        <v>393</v>
      </c>
      <c r="E470" s="110">
        <v>33150000</v>
      </c>
      <c r="F470" t="str">
        <f>VLOOKUP(D470,Sheet1!$A$18:$B$28,2,FALSE)</f>
        <v>BH Xe cơ giới</v>
      </c>
      <c r="G470" t="str">
        <f t="shared" si="22"/>
        <v>166</v>
      </c>
      <c r="H470" s="24">
        <f t="shared" si="23"/>
        <v>33150000</v>
      </c>
      <c r="I470" t="str">
        <f>VLOOKUP(G470,'CHECK_DT-BT'!$A$3:$C$92,3,FALSE)</f>
        <v>BV Quảng Ninh</v>
      </c>
    </row>
    <row r="471" spans="1:9" x14ac:dyDescent="0.25">
      <c r="A471" t="str">
        <f t="shared" si="21"/>
        <v>166</v>
      </c>
      <c r="B471" t="s">
        <v>1131</v>
      </c>
      <c r="C471" t="s">
        <v>1132</v>
      </c>
      <c r="D471" t="s">
        <v>393</v>
      </c>
      <c r="E471" s="110">
        <v>9600000</v>
      </c>
      <c r="F471" t="str">
        <f>VLOOKUP(D471,Sheet1!$A$18:$B$28,2,FALSE)</f>
        <v>BH Xe cơ giới</v>
      </c>
      <c r="G471" t="str">
        <f t="shared" si="22"/>
        <v>166</v>
      </c>
      <c r="H471" s="24">
        <f t="shared" si="23"/>
        <v>9600000</v>
      </c>
      <c r="I471" t="str">
        <f>VLOOKUP(G471,'CHECK_DT-BT'!$A$3:$C$92,3,FALSE)</f>
        <v>BV Quảng Ninh</v>
      </c>
    </row>
    <row r="472" spans="1:9" x14ac:dyDescent="0.25">
      <c r="A472" t="str">
        <f t="shared" si="21"/>
        <v>166</v>
      </c>
      <c r="B472" t="s">
        <v>1133</v>
      </c>
      <c r="C472" t="s">
        <v>1134</v>
      </c>
      <c r="D472" t="s">
        <v>393</v>
      </c>
      <c r="E472" s="110">
        <v>6350000</v>
      </c>
      <c r="F472" t="str">
        <f>VLOOKUP(D472,Sheet1!$A$18:$B$28,2,FALSE)</f>
        <v>BH Xe cơ giới</v>
      </c>
      <c r="G472" t="str">
        <f t="shared" si="22"/>
        <v>166</v>
      </c>
      <c r="H472" s="24">
        <f t="shared" si="23"/>
        <v>6350000</v>
      </c>
      <c r="I472" t="str">
        <f>VLOOKUP(G472,'CHECK_DT-BT'!$A$3:$C$92,3,FALSE)</f>
        <v>BV Quảng Ninh</v>
      </c>
    </row>
    <row r="473" spans="1:9" x14ac:dyDescent="0.25">
      <c r="A473" t="str">
        <f t="shared" si="21"/>
        <v>166</v>
      </c>
      <c r="B473" t="s">
        <v>1135</v>
      </c>
      <c r="C473" t="s">
        <v>1136</v>
      </c>
      <c r="D473" t="s">
        <v>393</v>
      </c>
      <c r="E473" s="110">
        <v>2100000</v>
      </c>
      <c r="F473" t="str">
        <f>VLOOKUP(D473,Sheet1!$A$18:$B$28,2,FALSE)</f>
        <v>BH Xe cơ giới</v>
      </c>
      <c r="G473" t="str">
        <f t="shared" si="22"/>
        <v>166</v>
      </c>
      <c r="H473" s="24">
        <f t="shared" si="23"/>
        <v>2100000</v>
      </c>
      <c r="I473" t="str">
        <f>VLOOKUP(G473,'CHECK_DT-BT'!$A$3:$C$92,3,FALSE)</f>
        <v>BV Quảng Ninh</v>
      </c>
    </row>
    <row r="474" spans="1:9" x14ac:dyDescent="0.25">
      <c r="A474" t="str">
        <f t="shared" si="21"/>
        <v>166</v>
      </c>
      <c r="B474" t="s">
        <v>1137</v>
      </c>
      <c r="C474" t="s">
        <v>1138</v>
      </c>
      <c r="D474" t="s">
        <v>387</v>
      </c>
      <c r="E474" s="110">
        <v>84380000</v>
      </c>
      <c r="F474" t="str">
        <f>VLOOKUP(D474,Sheet1!$A$18:$B$28,2,FALSE)</f>
        <v>BH Hàng hóa</v>
      </c>
      <c r="G474" t="str">
        <f t="shared" si="22"/>
        <v>166</v>
      </c>
      <c r="H474" s="24">
        <f t="shared" si="23"/>
        <v>84380000</v>
      </c>
      <c r="I474" t="str">
        <f>VLOOKUP(G474,'CHECK_DT-BT'!$A$3:$C$92,3,FALSE)</f>
        <v>BV Quảng Ninh</v>
      </c>
    </row>
    <row r="475" spans="1:9" x14ac:dyDescent="0.25">
      <c r="A475" t="str">
        <f t="shared" si="21"/>
        <v>166</v>
      </c>
      <c r="B475" t="s">
        <v>1139</v>
      </c>
      <c r="C475" t="s">
        <v>1140</v>
      </c>
      <c r="D475" t="s">
        <v>393</v>
      </c>
      <c r="E475" s="110">
        <v>38100000</v>
      </c>
      <c r="F475" t="str">
        <f>VLOOKUP(D475,Sheet1!$A$18:$B$28,2,FALSE)</f>
        <v>BH Xe cơ giới</v>
      </c>
      <c r="G475" t="str">
        <f t="shared" si="22"/>
        <v>166</v>
      </c>
      <c r="H475" s="24">
        <f t="shared" si="23"/>
        <v>38100000</v>
      </c>
      <c r="I475" t="str">
        <f>VLOOKUP(G475,'CHECK_DT-BT'!$A$3:$C$92,3,FALSE)</f>
        <v>BV Quảng Ninh</v>
      </c>
    </row>
    <row r="476" spans="1:9" x14ac:dyDescent="0.25">
      <c r="A476" t="str">
        <f t="shared" si="21"/>
        <v>167</v>
      </c>
      <c r="B476" t="s">
        <v>344</v>
      </c>
      <c r="C476" t="s">
        <v>112</v>
      </c>
      <c r="D476" t="s">
        <v>393</v>
      </c>
      <c r="E476" s="110">
        <v>23065000</v>
      </c>
      <c r="F476" t="str">
        <f>VLOOKUP(D476,Sheet1!$A$18:$B$28,2,FALSE)</f>
        <v>BH Xe cơ giới</v>
      </c>
      <c r="G476" t="str">
        <f t="shared" si="22"/>
        <v>167</v>
      </c>
      <c r="H476" s="24">
        <f t="shared" si="23"/>
        <v>23065000</v>
      </c>
      <c r="I476" t="str">
        <f>VLOOKUP(G476,'CHECK_DT-BT'!$A$3:$C$92,3,FALSE)</f>
        <v>BV Quảng Trị</v>
      </c>
    </row>
    <row r="477" spans="1:9" x14ac:dyDescent="0.25">
      <c r="A477" t="str">
        <f t="shared" si="21"/>
        <v>167</v>
      </c>
      <c r="B477" t="s">
        <v>1141</v>
      </c>
      <c r="C477" t="s">
        <v>1142</v>
      </c>
      <c r="D477" t="s">
        <v>393</v>
      </c>
      <c r="E477" s="110">
        <v>-11660000</v>
      </c>
      <c r="F477" t="str">
        <f>VLOOKUP(D477,Sheet1!$A$18:$B$28,2,FALSE)</f>
        <v>BH Xe cơ giới</v>
      </c>
      <c r="G477" t="str">
        <f t="shared" si="22"/>
        <v>167</v>
      </c>
      <c r="H477" s="24">
        <f t="shared" si="23"/>
        <v>-11660000</v>
      </c>
      <c r="I477" t="str">
        <f>VLOOKUP(G477,'CHECK_DT-BT'!$A$3:$C$92,3,FALSE)</f>
        <v>BV Quảng Trị</v>
      </c>
    </row>
    <row r="478" spans="1:9" x14ac:dyDescent="0.25">
      <c r="A478" t="str">
        <f t="shared" si="21"/>
        <v>167</v>
      </c>
      <c r="B478" t="s">
        <v>1143</v>
      </c>
      <c r="C478" t="s">
        <v>1144</v>
      </c>
      <c r="D478" t="s">
        <v>272</v>
      </c>
      <c r="E478" s="110">
        <v>39928000</v>
      </c>
      <c r="F478" t="str">
        <f>VLOOKUP(D478,Sheet1!$A$18:$B$28,2,FALSE)</f>
        <v>Tàu khác</v>
      </c>
      <c r="G478" t="str">
        <f t="shared" si="22"/>
        <v>167</v>
      </c>
      <c r="H478" s="24">
        <f t="shared" si="23"/>
        <v>39928000</v>
      </c>
      <c r="I478" t="str">
        <f>VLOOKUP(G478,'CHECK_DT-BT'!$A$3:$C$92,3,FALSE)</f>
        <v>BV Quảng Trị</v>
      </c>
    </row>
    <row r="479" spans="1:9" x14ac:dyDescent="0.25">
      <c r="A479" t="str">
        <f t="shared" si="21"/>
        <v>167</v>
      </c>
      <c r="B479" t="s">
        <v>1143</v>
      </c>
      <c r="C479" t="s">
        <v>1144</v>
      </c>
      <c r="D479" t="s">
        <v>393</v>
      </c>
      <c r="E479" s="110">
        <v>2700000</v>
      </c>
      <c r="F479" t="str">
        <f>VLOOKUP(D479,Sheet1!$A$18:$B$28,2,FALSE)</f>
        <v>BH Xe cơ giới</v>
      </c>
      <c r="G479" t="str">
        <f t="shared" si="22"/>
        <v>167</v>
      </c>
      <c r="H479" s="24">
        <f t="shared" si="23"/>
        <v>2700000</v>
      </c>
      <c r="I479" t="str">
        <f>VLOOKUP(G479,'CHECK_DT-BT'!$A$3:$C$92,3,FALSE)</f>
        <v>BV Quảng Trị</v>
      </c>
    </row>
    <row r="480" spans="1:9" x14ac:dyDescent="0.25">
      <c r="A480" t="str">
        <f t="shared" si="21"/>
        <v>167</v>
      </c>
      <c r="B480" t="s">
        <v>1145</v>
      </c>
      <c r="C480" t="s">
        <v>1146</v>
      </c>
      <c r="D480" t="s">
        <v>393</v>
      </c>
      <c r="E480" s="110">
        <v>700000</v>
      </c>
      <c r="F480" t="str">
        <f>VLOOKUP(D480,Sheet1!$A$18:$B$28,2,FALSE)</f>
        <v>BH Xe cơ giới</v>
      </c>
      <c r="G480" t="str">
        <f t="shared" si="22"/>
        <v>167</v>
      </c>
      <c r="H480" s="24">
        <f t="shared" si="23"/>
        <v>700000</v>
      </c>
      <c r="I480" t="str">
        <f>VLOOKUP(G480,'CHECK_DT-BT'!$A$3:$C$92,3,FALSE)</f>
        <v>BV Quảng Trị</v>
      </c>
    </row>
    <row r="481" spans="1:9" x14ac:dyDescent="0.25">
      <c r="A481" t="str">
        <f t="shared" si="21"/>
        <v>167</v>
      </c>
      <c r="B481" t="s">
        <v>1147</v>
      </c>
      <c r="C481" t="s">
        <v>1148</v>
      </c>
      <c r="D481" t="s">
        <v>393</v>
      </c>
      <c r="E481" s="110">
        <v>500000</v>
      </c>
      <c r="F481" t="str">
        <f>VLOOKUP(D481,Sheet1!$A$18:$B$28,2,FALSE)</f>
        <v>BH Xe cơ giới</v>
      </c>
      <c r="G481" t="str">
        <f t="shared" si="22"/>
        <v>167</v>
      </c>
      <c r="H481" s="24">
        <f t="shared" si="23"/>
        <v>500000</v>
      </c>
      <c r="I481" t="str">
        <f>VLOOKUP(G481,'CHECK_DT-BT'!$A$3:$C$92,3,FALSE)</f>
        <v>BV Quảng Trị</v>
      </c>
    </row>
    <row r="482" spans="1:9" x14ac:dyDescent="0.25">
      <c r="A482" t="str">
        <f t="shared" si="21"/>
        <v>167</v>
      </c>
      <c r="B482" t="s">
        <v>1149</v>
      </c>
      <c r="C482" t="s">
        <v>1150</v>
      </c>
      <c r="D482" t="s">
        <v>393</v>
      </c>
      <c r="E482" s="110">
        <v>1500000</v>
      </c>
      <c r="F482" t="str">
        <f>VLOOKUP(D482,Sheet1!$A$18:$B$28,2,FALSE)</f>
        <v>BH Xe cơ giới</v>
      </c>
      <c r="G482" t="str">
        <f t="shared" si="22"/>
        <v>167</v>
      </c>
      <c r="H482" s="24">
        <f t="shared" si="23"/>
        <v>1500000</v>
      </c>
      <c r="I482" t="str">
        <f>VLOOKUP(G482,'CHECK_DT-BT'!$A$3:$C$92,3,FALSE)</f>
        <v>BV Quảng Trị</v>
      </c>
    </row>
    <row r="483" spans="1:9" x14ac:dyDescent="0.25">
      <c r="A483" t="str">
        <f t="shared" si="21"/>
        <v>167</v>
      </c>
      <c r="B483" t="s">
        <v>1151</v>
      </c>
      <c r="C483" t="s">
        <v>1152</v>
      </c>
      <c r="D483" t="s">
        <v>393</v>
      </c>
      <c r="E483" s="110">
        <v>2500000</v>
      </c>
      <c r="F483" t="str">
        <f>VLOOKUP(D483,Sheet1!$A$18:$B$28,2,FALSE)</f>
        <v>BH Xe cơ giới</v>
      </c>
      <c r="G483" t="str">
        <f t="shared" si="22"/>
        <v>167</v>
      </c>
      <c r="H483" s="24">
        <f t="shared" si="23"/>
        <v>2500000</v>
      </c>
      <c r="I483" t="str">
        <f>VLOOKUP(G483,'CHECK_DT-BT'!$A$3:$C$92,3,FALSE)</f>
        <v>BV Quảng Trị</v>
      </c>
    </row>
    <row r="484" spans="1:9" x14ac:dyDescent="0.25">
      <c r="A484" t="str">
        <f t="shared" si="21"/>
        <v>167</v>
      </c>
      <c r="B484" t="s">
        <v>1153</v>
      </c>
      <c r="C484" t="s">
        <v>1154</v>
      </c>
      <c r="D484" t="s">
        <v>393</v>
      </c>
      <c r="E484" s="110">
        <v>1300000</v>
      </c>
      <c r="F484" t="str">
        <f>VLOOKUP(D484,Sheet1!$A$18:$B$28,2,FALSE)</f>
        <v>BH Xe cơ giới</v>
      </c>
      <c r="G484" t="str">
        <f t="shared" si="22"/>
        <v>167</v>
      </c>
      <c r="H484" s="24">
        <f t="shared" si="23"/>
        <v>1300000</v>
      </c>
      <c r="I484" t="str">
        <f>VLOOKUP(G484,'CHECK_DT-BT'!$A$3:$C$92,3,FALSE)</f>
        <v>BV Quảng Trị</v>
      </c>
    </row>
    <row r="485" spans="1:9" x14ac:dyDescent="0.25">
      <c r="A485" t="str">
        <f t="shared" si="21"/>
        <v>167</v>
      </c>
      <c r="B485" t="s">
        <v>1155</v>
      </c>
      <c r="C485" t="s">
        <v>1156</v>
      </c>
      <c r="D485" t="s">
        <v>393</v>
      </c>
      <c r="E485" s="110">
        <v>2789200</v>
      </c>
      <c r="F485" t="str">
        <f>VLOOKUP(D485,Sheet1!$A$18:$B$28,2,FALSE)</f>
        <v>BH Xe cơ giới</v>
      </c>
      <c r="G485" t="str">
        <f t="shared" si="22"/>
        <v>167</v>
      </c>
      <c r="H485" s="24">
        <f t="shared" si="23"/>
        <v>2789200</v>
      </c>
      <c r="I485" t="str">
        <f>VLOOKUP(G485,'CHECK_DT-BT'!$A$3:$C$92,3,FALSE)</f>
        <v>BV Quảng Trị</v>
      </c>
    </row>
    <row r="486" spans="1:9" x14ac:dyDescent="0.25">
      <c r="A486" t="str">
        <f t="shared" si="21"/>
        <v>168</v>
      </c>
      <c r="B486" t="s">
        <v>1157</v>
      </c>
      <c r="C486" t="s">
        <v>1158</v>
      </c>
      <c r="D486" t="s">
        <v>272</v>
      </c>
      <c r="E486" s="110">
        <v>12538515</v>
      </c>
      <c r="F486" t="str">
        <f>VLOOKUP(D486,Sheet1!$A$18:$B$28,2,FALSE)</f>
        <v>Tàu khác</v>
      </c>
      <c r="G486" t="str">
        <f t="shared" si="22"/>
        <v>168</v>
      </c>
      <c r="H486" s="24">
        <f t="shared" si="23"/>
        <v>12538515</v>
      </c>
      <c r="I486" t="str">
        <f>VLOOKUP(G486,'CHECK_DT-BT'!$A$3:$C$92,3,FALSE)</f>
        <v>BV Sơn La</v>
      </c>
    </row>
    <row r="487" spans="1:9" x14ac:dyDescent="0.25">
      <c r="A487" t="str">
        <f t="shared" si="21"/>
        <v>168</v>
      </c>
      <c r="B487" t="s">
        <v>1157</v>
      </c>
      <c r="C487" t="s">
        <v>1158</v>
      </c>
      <c r="D487" t="s">
        <v>393</v>
      </c>
      <c r="E487" s="110">
        <v>600000</v>
      </c>
      <c r="F487" t="str">
        <f>VLOOKUP(D487,Sheet1!$A$18:$B$28,2,FALSE)</f>
        <v>BH Xe cơ giới</v>
      </c>
      <c r="G487" t="str">
        <f t="shared" si="22"/>
        <v>168</v>
      </c>
      <c r="H487" s="24">
        <f t="shared" si="23"/>
        <v>600000</v>
      </c>
      <c r="I487" t="str">
        <f>VLOOKUP(G487,'CHECK_DT-BT'!$A$3:$C$92,3,FALSE)</f>
        <v>BV Sơn La</v>
      </c>
    </row>
    <row r="488" spans="1:9" x14ac:dyDescent="0.25">
      <c r="A488" t="str">
        <f t="shared" si="21"/>
        <v>168</v>
      </c>
      <c r="B488" t="s">
        <v>1159</v>
      </c>
      <c r="C488" t="s">
        <v>1160</v>
      </c>
      <c r="D488" t="s">
        <v>393</v>
      </c>
      <c r="E488" s="110">
        <v>700000</v>
      </c>
      <c r="F488" t="str">
        <f>VLOOKUP(D488,Sheet1!$A$18:$B$28,2,FALSE)</f>
        <v>BH Xe cơ giới</v>
      </c>
      <c r="G488" t="str">
        <f t="shared" si="22"/>
        <v>168</v>
      </c>
      <c r="H488" s="24">
        <f t="shared" si="23"/>
        <v>700000</v>
      </c>
      <c r="I488" t="str">
        <f>VLOOKUP(G488,'CHECK_DT-BT'!$A$3:$C$92,3,FALSE)</f>
        <v>BV Sơn La</v>
      </c>
    </row>
    <row r="489" spans="1:9" x14ac:dyDescent="0.25">
      <c r="A489" t="str">
        <f t="shared" si="21"/>
        <v>168</v>
      </c>
      <c r="B489" t="s">
        <v>1161</v>
      </c>
      <c r="C489" t="s">
        <v>1162</v>
      </c>
      <c r="D489" t="s">
        <v>393</v>
      </c>
      <c r="E489" s="110">
        <v>1500000</v>
      </c>
      <c r="F489" t="str">
        <f>VLOOKUP(D489,Sheet1!$A$18:$B$28,2,FALSE)</f>
        <v>BH Xe cơ giới</v>
      </c>
      <c r="G489" t="str">
        <f t="shared" si="22"/>
        <v>168</v>
      </c>
      <c r="H489" s="24">
        <f t="shared" si="23"/>
        <v>1500000</v>
      </c>
      <c r="I489" t="str">
        <f>VLOOKUP(G489,'CHECK_DT-BT'!$A$3:$C$92,3,FALSE)</f>
        <v>BV Sơn La</v>
      </c>
    </row>
    <row r="490" spans="1:9" x14ac:dyDescent="0.25">
      <c r="A490" t="str">
        <f t="shared" si="21"/>
        <v>169</v>
      </c>
      <c r="B490" t="s">
        <v>1163</v>
      </c>
      <c r="C490" t="s">
        <v>1164</v>
      </c>
      <c r="D490" t="s">
        <v>393</v>
      </c>
      <c r="E490" s="110">
        <v>2000000</v>
      </c>
      <c r="F490" t="str">
        <f>VLOOKUP(D490,Sheet1!$A$18:$B$28,2,FALSE)</f>
        <v>BH Xe cơ giới</v>
      </c>
      <c r="G490" t="str">
        <f t="shared" si="22"/>
        <v>169</v>
      </c>
      <c r="H490" s="24">
        <f t="shared" si="23"/>
        <v>2000000</v>
      </c>
      <c r="I490" t="str">
        <f>VLOOKUP(G490,'CHECK_DT-BT'!$A$3:$C$92,3,FALSE)</f>
        <v>BV Sài Gòn</v>
      </c>
    </row>
    <row r="491" spans="1:9" x14ac:dyDescent="0.25">
      <c r="A491" t="str">
        <f t="shared" si="21"/>
        <v>169</v>
      </c>
      <c r="B491" t="s">
        <v>1165</v>
      </c>
      <c r="C491" t="s">
        <v>1166</v>
      </c>
      <c r="D491" t="s">
        <v>393</v>
      </c>
      <c r="E491" s="110">
        <v>1000000</v>
      </c>
      <c r="F491" t="str">
        <f>VLOOKUP(D491,Sheet1!$A$18:$B$28,2,FALSE)</f>
        <v>BH Xe cơ giới</v>
      </c>
      <c r="G491" t="str">
        <f t="shared" si="22"/>
        <v>169</v>
      </c>
      <c r="H491" s="24">
        <f t="shared" si="23"/>
        <v>1000000</v>
      </c>
      <c r="I491" t="str">
        <f>VLOOKUP(G491,'CHECK_DT-BT'!$A$3:$C$92,3,FALSE)</f>
        <v>BV Sài Gòn</v>
      </c>
    </row>
    <row r="492" spans="1:9" x14ac:dyDescent="0.25">
      <c r="A492" t="str">
        <f t="shared" si="21"/>
        <v>169</v>
      </c>
      <c r="B492" t="s">
        <v>1167</v>
      </c>
      <c r="C492" t="s">
        <v>1168</v>
      </c>
      <c r="D492" t="s">
        <v>393</v>
      </c>
      <c r="E492" s="110">
        <v>4400000</v>
      </c>
      <c r="F492" t="str">
        <f>VLOOKUP(D492,Sheet1!$A$18:$B$28,2,FALSE)</f>
        <v>BH Xe cơ giới</v>
      </c>
      <c r="G492" t="str">
        <f t="shared" si="22"/>
        <v>169</v>
      </c>
      <c r="H492" s="24">
        <f t="shared" si="23"/>
        <v>4400000</v>
      </c>
      <c r="I492" t="str">
        <f>VLOOKUP(G492,'CHECK_DT-BT'!$A$3:$C$92,3,FALSE)</f>
        <v>BV Sài Gòn</v>
      </c>
    </row>
    <row r="493" spans="1:9" x14ac:dyDescent="0.25">
      <c r="A493" t="str">
        <f t="shared" si="21"/>
        <v>169</v>
      </c>
      <c r="B493" t="s">
        <v>1169</v>
      </c>
      <c r="C493" t="s">
        <v>1170</v>
      </c>
      <c r="D493" t="s">
        <v>393</v>
      </c>
      <c r="E493" s="110">
        <v>8700000</v>
      </c>
      <c r="F493" t="str">
        <f>VLOOKUP(D493,Sheet1!$A$18:$B$28,2,FALSE)</f>
        <v>BH Xe cơ giới</v>
      </c>
      <c r="G493" t="str">
        <f t="shared" si="22"/>
        <v>169</v>
      </c>
      <c r="H493" s="24">
        <f t="shared" si="23"/>
        <v>8700000</v>
      </c>
      <c r="I493" t="str">
        <f>VLOOKUP(G493,'CHECK_DT-BT'!$A$3:$C$92,3,FALSE)</f>
        <v>BV Sài Gòn</v>
      </c>
    </row>
    <row r="494" spans="1:9" x14ac:dyDescent="0.25">
      <c r="A494" t="str">
        <f t="shared" si="21"/>
        <v>169</v>
      </c>
      <c r="B494" t="s">
        <v>1171</v>
      </c>
      <c r="C494" t="s">
        <v>1172</v>
      </c>
      <c r="D494" t="s">
        <v>387</v>
      </c>
      <c r="E494" s="110">
        <v>140937135</v>
      </c>
      <c r="F494" t="str">
        <f>VLOOKUP(D494,Sheet1!$A$18:$B$28,2,FALSE)</f>
        <v>BH Hàng hóa</v>
      </c>
      <c r="G494" t="str">
        <f t="shared" si="22"/>
        <v>169</v>
      </c>
      <c r="H494" s="24">
        <f t="shared" si="23"/>
        <v>140937135</v>
      </c>
      <c r="I494" t="str">
        <f>VLOOKUP(G494,'CHECK_DT-BT'!$A$3:$C$92,3,FALSE)</f>
        <v>BV Sài Gòn</v>
      </c>
    </row>
    <row r="495" spans="1:9" x14ac:dyDescent="0.25">
      <c r="A495" t="str">
        <f t="shared" si="21"/>
        <v>169</v>
      </c>
      <c r="B495" t="s">
        <v>1171</v>
      </c>
      <c r="C495" t="s">
        <v>1172</v>
      </c>
      <c r="D495" t="s">
        <v>391</v>
      </c>
      <c r="E495" s="110">
        <v>6305000</v>
      </c>
      <c r="F495" t="str">
        <f>VLOOKUP(D495,Sheet1!$A$18:$B$28,2,FALSE)</f>
        <v>BH Kỹ thuật</v>
      </c>
      <c r="G495" t="str">
        <f t="shared" si="22"/>
        <v>169</v>
      </c>
      <c r="H495" s="24">
        <f t="shared" si="23"/>
        <v>6305000</v>
      </c>
      <c r="I495" t="str">
        <f>VLOOKUP(G495,'CHECK_DT-BT'!$A$3:$C$92,3,FALSE)</f>
        <v>BV Sài Gòn</v>
      </c>
    </row>
    <row r="496" spans="1:9" x14ac:dyDescent="0.25">
      <c r="A496" t="str">
        <f t="shared" si="21"/>
        <v>169</v>
      </c>
      <c r="B496" t="s">
        <v>1171</v>
      </c>
      <c r="C496" t="s">
        <v>1172</v>
      </c>
      <c r="D496" t="s">
        <v>392</v>
      </c>
      <c r="E496" s="110">
        <v>207660590</v>
      </c>
      <c r="F496" t="str">
        <f>VLOOKUP(D496,Sheet1!$A$18:$B$28,2,FALSE)</f>
        <v>BH Tài sản</v>
      </c>
      <c r="G496" t="str">
        <f t="shared" si="22"/>
        <v>169</v>
      </c>
      <c r="H496" s="24">
        <f t="shared" si="23"/>
        <v>207660590</v>
      </c>
      <c r="I496" t="str">
        <f>VLOOKUP(G496,'CHECK_DT-BT'!$A$3:$C$92,3,FALSE)</f>
        <v>BV Sài Gòn</v>
      </c>
    </row>
    <row r="497" spans="1:9" x14ac:dyDescent="0.25">
      <c r="A497" t="str">
        <f t="shared" si="21"/>
        <v>169</v>
      </c>
      <c r="B497" t="s">
        <v>1171</v>
      </c>
      <c r="C497" t="s">
        <v>1172</v>
      </c>
      <c r="D497" t="s">
        <v>393</v>
      </c>
      <c r="E497" s="110">
        <v>15200000</v>
      </c>
      <c r="F497" t="str">
        <f>VLOOKUP(D497,Sheet1!$A$18:$B$28,2,FALSE)</f>
        <v>BH Xe cơ giới</v>
      </c>
      <c r="G497" t="str">
        <f t="shared" si="22"/>
        <v>169</v>
      </c>
      <c r="H497" s="24">
        <f t="shared" si="23"/>
        <v>15200000</v>
      </c>
      <c r="I497" t="str">
        <f>VLOOKUP(G497,'CHECK_DT-BT'!$A$3:$C$92,3,FALSE)</f>
        <v>BV Sài Gòn</v>
      </c>
    </row>
    <row r="498" spans="1:9" x14ac:dyDescent="0.25">
      <c r="A498" t="str">
        <f t="shared" si="21"/>
        <v>169</v>
      </c>
      <c r="B498" t="s">
        <v>1173</v>
      </c>
      <c r="C498" t="s">
        <v>1174</v>
      </c>
      <c r="D498" t="s">
        <v>392</v>
      </c>
      <c r="E498" s="110">
        <v>1405702758</v>
      </c>
      <c r="F498" t="str">
        <f>VLOOKUP(D498,Sheet1!$A$18:$B$28,2,FALSE)</f>
        <v>BH Tài sản</v>
      </c>
      <c r="G498" t="str">
        <f t="shared" si="22"/>
        <v>169</v>
      </c>
      <c r="H498" s="24">
        <f t="shared" si="23"/>
        <v>1405702758</v>
      </c>
      <c r="I498" t="str">
        <f>VLOOKUP(G498,'CHECK_DT-BT'!$A$3:$C$92,3,FALSE)</f>
        <v>BV Sài Gòn</v>
      </c>
    </row>
    <row r="499" spans="1:9" x14ac:dyDescent="0.25">
      <c r="A499" t="str">
        <f t="shared" si="21"/>
        <v>169</v>
      </c>
      <c r="B499" t="s">
        <v>1173</v>
      </c>
      <c r="C499" t="s">
        <v>1174</v>
      </c>
      <c r="D499" t="s">
        <v>393</v>
      </c>
      <c r="E499" s="110">
        <v>2900000</v>
      </c>
      <c r="F499" t="str">
        <f>VLOOKUP(D499,Sheet1!$A$18:$B$28,2,FALSE)</f>
        <v>BH Xe cơ giới</v>
      </c>
      <c r="G499" t="str">
        <f t="shared" si="22"/>
        <v>169</v>
      </c>
      <c r="H499" s="24">
        <f t="shared" si="23"/>
        <v>2900000</v>
      </c>
      <c r="I499" t="str">
        <f>VLOOKUP(G499,'CHECK_DT-BT'!$A$3:$C$92,3,FALSE)</f>
        <v>BV Sài Gòn</v>
      </c>
    </row>
    <row r="500" spans="1:9" x14ac:dyDescent="0.25">
      <c r="A500" t="str">
        <f t="shared" si="21"/>
        <v>169</v>
      </c>
      <c r="B500" t="s">
        <v>1175</v>
      </c>
      <c r="C500" t="s">
        <v>1176</v>
      </c>
      <c r="D500" t="s">
        <v>387</v>
      </c>
      <c r="E500" s="110">
        <v>11834706</v>
      </c>
      <c r="F500" t="str">
        <f>VLOOKUP(D500,Sheet1!$A$18:$B$28,2,FALSE)</f>
        <v>BH Hàng hóa</v>
      </c>
      <c r="G500" t="str">
        <f t="shared" si="22"/>
        <v>169</v>
      </c>
      <c r="H500" s="24">
        <f t="shared" si="23"/>
        <v>11834706</v>
      </c>
      <c r="I500" t="str">
        <f>VLOOKUP(G500,'CHECK_DT-BT'!$A$3:$C$92,3,FALSE)</f>
        <v>BV Sài Gòn</v>
      </c>
    </row>
    <row r="501" spans="1:9" x14ac:dyDescent="0.25">
      <c r="A501" t="str">
        <f t="shared" si="21"/>
        <v>169</v>
      </c>
      <c r="B501" t="s">
        <v>1175</v>
      </c>
      <c r="C501" t="s">
        <v>1176</v>
      </c>
      <c r="D501" t="s">
        <v>273</v>
      </c>
      <c r="E501" s="110">
        <v>735554562</v>
      </c>
      <c r="F501" t="str">
        <f>VLOOKUP(D501,Sheet1!$A$18:$B$28,2,FALSE)</f>
        <v>Hull (Thân tàu biển)</v>
      </c>
      <c r="G501" t="str">
        <f t="shared" si="22"/>
        <v>169</v>
      </c>
      <c r="H501" s="24">
        <f t="shared" si="23"/>
        <v>735554562</v>
      </c>
      <c r="I501" t="str">
        <f>VLOOKUP(G501,'CHECK_DT-BT'!$A$3:$C$92,3,FALSE)</f>
        <v>BV Sài Gòn</v>
      </c>
    </row>
    <row r="502" spans="1:9" x14ac:dyDescent="0.25">
      <c r="A502" t="str">
        <f t="shared" si="21"/>
        <v>169</v>
      </c>
      <c r="B502" t="s">
        <v>1175</v>
      </c>
      <c r="C502" t="s">
        <v>1176</v>
      </c>
      <c r="D502" t="s">
        <v>391</v>
      </c>
      <c r="E502" s="110">
        <v>10305000</v>
      </c>
      <c r="F502" t="str">
        <f>VLOOKUP(D502,Sheet1!$A$18:$B$28,2,FALSE)</f>
        <v>BH Kỹ thuật</v>
      </c>
      <c r="G502" t="str">
        <f t="shared" si="22"/>
        <v>169</v>
      </c>
      <c r="H502" s="24">
        <f t="shared" si="23"/>
        <v>10305000</v>
      </c>
      <c r="I502" t="str">
        <f>VLOOKUP(G502,'CHECK_DT-BT'!$A$3:$C$92,3,FALSE)</f>
        <v>BV Sài Gòn</v>
      </c>
    </row>
    <row r="503" spans="1:9" x14ac:dyDescent="0.25">
      <c r="A503" t="str">
        <f t="shared" si="21"/>
        <v>169</v>
      </c>
      <c r="B503" t="s">
        <v>1175</v>
      </c>
      <c r="C503" t="s">
        <v>1176</v>
      </c>
      <c r="D503" t="s">
        <v>393</v>
      </c>
      <c r="E503" s="110">
        <v>6800000</v>
      </c>
      <c r="F503" t="str">
        <f>VLOOKUP(D503,Sheet1!$A$18:$B$28,2,FALSE)</f>
        <v>BH Xe cơ giới</v>
      </c>
      <c r="G503" t="str">
        <f t="shared" si="22"/>
        <v>169</v>
      </c>
      <c r="H503" s="24">
        <f t="shared" si="23"/>
        <v>6800000</v>
      </c>
      <c r="I503" t="str">
        <f>VLOOKUP(G503,'CHECK_DT-BT'!$A$3:$C$92,3,FALSE)</f>
        <v>BV Sài Gòn</v>
      </c>
    </row>
    <row r="504" spans="1:9" x14ac:dyDescent="0.25">
      <c r="A504" t="str">
        <f t="shared" si="21"/>
        <v>169</v>
      </c>
      <c r="B504" t="s">
        <v>1177</v>
      </c>
      <c r="C504" t="s">
        <v>1178</v>
      </c>
      <c r="D504" t="s">
        <v>392</v>
      </c>
      <c r="E504" s="110">
        <v>58746378</v>
      </c>
      <c r="F504" t="str">
        <f>VLOOKUP(D504,Sheet1!$A$18:$B$28,2,FALSE)</f>
        <v>BH Tài sản</v>
      </c>
      <c r="G504" t="str">
        <f t="shared" si="22"/>
        <v>169</v>
      </c>
      <c r="H504" s="24">
        <f t="shared" si="23"/>
        <v>58746378</v>
      </c>
      <c r="I504" t="str">
        <f>VLOOKUP(G504,'CHECK_DT-BT'!$A$3:$C$92,3,FALSE)</f>
        <v>BV Sài Gòn</v>
      </c>
    </row>
    <row r="505" spans="1:9" x14ac:dyDescent="0.25">
      <c r="A505" t="str">
        <f t="shared" si="21"/>
        <v>169</v>
      </c>
      <c r="B505" t="s">
        <v>1177</v>
      </c>
      <c r="C505" t="s">
        <v>1178</v>
      </c>
      <c r="D505" t="s">
        <v>393</v>
      </c>
      <c r="E505" s="110">
        <v>6000000</v>
      </c>
      <c r="F505" t="str">
        <f>VLOOKUP(D505,Sheet1!$A$18:$B$28,2,FALSE)</f>
        <v>BH Xe cơ giới</v>
      </c>
      <c r="G505" t="str">
        <f t="shared" si="22"/>
        <v>169</v>
      </c>
      <c r="H505" s="24">
        <f t="shared" si="23"/>
        <v>6000000</v>
      </c>
      <c r="I505" t="str">
        <f>VLOOKUP(G505,'CHECK_DT-BT'!$A$3:$C$92,3,FALSE)</f>
        <v>BV Sài Gòn</v>
      </c>
    </row>
    <row r="506" spans="1:9" x14ac:dyDescent="0.25">
      <c r="A506" t="str">
        <f t="shared" si="21"/>
        <v>169</v>
      </c>
      <c r="B506" t="s">
        <v>1179</v>
      </c>
      <c r="C506" t="s">
        <v>1180</v>
      </c>
      <c r="D506" t="s">
        <v>272</v>
      </c>
      <c r="E506" s="110">
        <v>33430000</v>
      </c>
      <c r="F506" t="str">
        <f>VLOOKUP(D506,Sheet1!$A$18:$B$28,2,FALSE)</f>
        <v>Tàu khác</v>
      </c>
      <c r="G506" t="str">
        <f t="shared" si="22"/>
        <v>169</v>
      </c>
      <c r="H506" s="24">
        <f t="shared" si="23"/>
        <v>33430000</v>
      </c>
      <c r="I506" t="str">
        <f>VLOOKUP(G506,'CHECK_DT-BT'!$A$3:$C$92,3,FALSE)</f>
        <v>BV Sài Gòn</v>
      </c>
    </row>
    <row r="507" spans="1:9" x14ac:dyDescent="0.25">
      <c r="A507" t="str">
        <f t="shared" si="21"/>
        <v>169</v>
      </c>
      <c r="B507" t="s">
        <v>1179</v>
      </c>
      <c r="C507" t="s">
        <v>1180</v>
      </c>
      <c r="D507" t="s">
        <v>393</v>
      </c>
      <c r="E507" s="110">
        <v>2000000</v>
      </c>
      <c r="F507" t="str">
        <f>VLOOKUP(D507,Sheet1!$A$18:$B$28,2,FALSE)</f>
        <v>BH Xe cơ giới</v>
      </c>
      <c r="G507" t="str">
        <f t="shared" si="22"/>
        <v>169</v>
      </c>
      <c r="H507" s="24">
        <f t="shared" si="23"/>
        <v>2000000</v>
      </c>
      <c r="I507" t="str">
        <f>VLOOKUP(G507,'CHECK_DT-BT'!$A$3:$C$92,3,FALSE)</f>
        <v>BV Sài Gòn</v>
      </c>
    </row>
    <row r="508" spans="1:9" x14ac:dyDescent="0.25">
      <c r="A508" t="str">
        <f t="shared" si="21"/>
        <v>169</v>
      </c>
      <c r="B508" t="s">
        <v>1181</v>
      </c>
      <c r="C508" t="s">
        <v>1182</v>
      </c>
      <c r="D508" t="s">
        <v>387</v>
      </c>
      <c r="E508" s="110">
        <v>4999010</v>
      </c>
      <c r="F508" t="str">
        <f>VLOOKUP(D508,Sheet1!$A$18:$B$28,2,FALSE)</f>
        <v>BH Hàng hóa</v>
      </c>
      <c r="G508" t="str">
        <f t="shared" si="22"/>
        <v>169</v>
      </c>
      <c r="H508" s="24">
        <f t="shared" si="23"/>
        <v>4999010</v>
      </c>
      <c r="I508" t="str">
        <f>VLOOKUP(G508,'CHECK_DT-BT'!$A$3:$C$92,3,FALSE)</f>
        <v>BV Sài Gòn</v>
      </c>
    </row>
    <row r="509" spans="1:9" x14ac:dyDescent="0.25">
      <c r="A509" t="str">
        <f t="shared" si="21"/>
        <v>169</v>
      </c>
      <c r="B509" t="s">
        <v>1181</v>
      </c>
      <c r="C509" t="s">
        <v>1182</v>
      </c>
      <c r="D509" t="s">
        <v>393</v>
      </c>
      <c r="E509" s="110">
        <v>16400000</v>
      </c>
      <c r="F509" t="str">
        <f>VLOOKUP(D509,Sheet1!$A$18:$B$28,2,FALSE)</f>
        <v>BH Xe cơ giới</v>
      </c>
      <c r="G509" t="str">
        <f t="shared" si="22"/>
        <v>169</v>
      </c>
      <c r="H509" s="24">
        <f t="shared" si="23"/>
        <v>16400000</v>
      </c>
      <c r="I509" t="str">
        <f>VLOOKUP(G509,'CHECK_DT-BT'!$A$3:$C$92,3,FALSE)</f>
        <v>BV Sài Gòn</v>
      </c>
    </row>
    <row r="510" spans="1:9" x14ac:dyDescent="0.25">
      <c r="A510" t="str">
        <f t="shared" si="21"/>
        <v>169</v>
      </c>
      <c r="B510" t="s">
        <v>1183</v>
      </c>
      <c r="C510" t="s">
        <v>1184</v>
      </c>
      <c r="D510" t="s">
        <v>393</v>
      </c>
      <c r="E510" s="110">
        <v>27900000</v>
      </c>
      <c r="F510" t="str">
        <f>VLOOKUP(D510,Sheet1!$A$18:$B$28,2,FALSE)</f>
        <v>BH Xe cơ giới</v>
      </c>
      <c r="G510" t="str">
        <f t="shared" si="22"/>
        <v>169</v>
      </c>
      <c r="H510" s="24">
        <f t="shared" si="23"/>
        <v>27900000</v>
      </c>
      <c r="I510" t="str">
        <f>VLOOKUP(G510,'CHECK_DT-BT'!$A$3:$C$92,3,FALSE)</f>
        <v>BV Sài Gòn</v>
      </c>
    </row>
    <row r="511" spans="1:9" x14ac:dyDescent="0.25">
      <c r="A511" t="str">
        <f t="shared" si="21"/>
        <v>169</v>
      </c>
      <c r="B511" t="s">
        <v>1185</v>
      </c>
      <c r="C511" t="s">
        <v>1186</v>
      </c>
      <c r="D511" t="s">
        <v>393</v>
      </c>
      <c r="E511" s="110">
        <v>3000000</v>
      </c>
      <c r="F511" t="str">
        <f>VLOOKUP(D511,Sheet1!$A$18:$B$28,2,FALSE)</f>
        <v>BH Xe cơ giới</v>
      </c>
      <c r="G511" t="str">
        <f t="shared" si="22"/>
        <v>169</v>
      </c>
      <c r="H511" s="24">
        <f t="shared" si="23"/>
        <v>3000000</v>
      </c>
      <c r="I511" t="str">
        <f>VLOOKUP(G511,'CHECK_DT-BT'!$A$3:$C$92,3,FALSE)</f>
        <v>BV Sài Gòn</v>
      </c>
    </row>
    <row r="512" spans="1:9" x14ac:dyDescent="0.25">
      <c r="A512" t="str">
        <f t="shared" si="21"/>
        <v>169</v>
      </c>
      <c r="B512" t="s">
        <v>1187</v>
      </c>
      <c r="C512" t="s">
        <v>1188</v>
      </c>
      <c r="D512" t="s">
        <v>273</v>
      </c>
      <c r="E512" s="110">
        <v>35635850</v>
      </c>
      <c r="F512" t="str">
        <f>VLOOKUP(D512,Sheet1!$A$18:$B$28,2,FALSE)</f>
        <v>Hull (Thân tàu biển)</v>
      </c>
      <c r="G512" t="str">
        <f t="shared" si="22"/>
        <v>169</v>
      </c>
      <c r="H512" s="24">
        <f t="shared" si="23"/>
        <v>35635850</v>
      </c>
      <c r="I512" t="str">
        <f>VLOOKUP(G512,'CHECK_DT-BT'!$A$3:$C$92,3,FALSE)</f>
        <v>BV Sài Gòn</v>
      </c>
    </row>
    <row r="513" spans="1:9" x14ac:dyDescent="0.25">
      <c r="A513" t="str">
        <f t="shared" si="21"/>
        <v>169</v>
      </c>
      <c r="B513" t="s">
        <v>1187</v>
      </c>
      <c r="C513" t="s">
        <v>1188</v>
      </c>
      <c r="D513" t="s">
        <v>393</v>
      </c>
      <c r="E513" s="110">
        <v>8400000</v>
      </c>
      <c r="F513" t="str">
        <f>VLOOKUP(D513,Sheet1!$A$18:$B$28,2,FALSE)</f>
        <v>BH Xe cơ giới</v>
      </c>
      <c r="G513" t="str">
        <f t="shared" si="22"/>
        <v>169</v>
      </c>
      <c r="H513" s="24">
        <f t="shared" si="23"/>
        <v>8400000</v>
      </c>
      <c r="I513" t="str">
        <f>VLOOKUP(G513,'CHECK_DT-BT'!$A$3:$C$92,3,FALSE)</f>
        <v>BV Sài Gòn</v>
      </c>
    </row>
    <row r="514" spans="1:9" x14ac:dyDescent="0.25">
      <c r="A514" t="str">
        <f t="shared" si="21"/>
        <v>169</v>
      </c>
      <c r="B514" t="s">
        <v>1189</v>
      </c>
      <c r="C514" t="s">
        <v>1190</v>
      </c>
      <c r="D514" t="s">
        <v>393</v>
      </c>
      <c r="E514" s="110">
        <v>3000000</v>
      </c>
      <c r="F514" t="str">
        <f>VLOOKUP(D514,Sheet1!$A$18:$B$28,2,FALSE)</f>
        <v>BH Xe cơ giới</v>
      </c>
      <c r="G514" t="str">
        <f t="shared" si="22"/>
        <v>169</v>
      </c>
      <c r="H514" s="24">
        <f t="shared" si="23"/>
        <v>3000000</v>
      </c>
      <c r="I514" t="str">
        <f>VLOOKUP(G514,'CHECK_DT-BT'!$A$3:$C$92,3,FALSE)</f>
        <v>BV Sài Gòn</v>
      </c>
    </row>
    <row r="515" spans="1:9" x14ac:dyDescent="0.25">
      <c r="A515" t="str">
        <f t="shared" si="21"/>
        <v>169</v>
      </c>
      <c r="B515" t="s">
        <v>1191</v>
      </c>
      <c r="C515" t="s">
        <v>1192</v>
      </c>
      <c r="D515" t="s">
        <v>387</v>
      </c>
      <c r="E515" s="110">
        <v>756428107</v>
      </c>
      <c r="F515" t="str">
        <f>VLOOKUP(D515,Sheet1!$A$18:$B$28,2,FALSE)</f>
        <v>BH Hàng hóa</v>
      </c>
      <c r="G515" t="str">
        <f t="shared" si="22"/>
        <v>169</v>
      </c>
      <c r="H515" s="24">
        <f t="shared" si="23"/>
        <v>756428107</v>
      </c>
      <c r="I515" t="str">
        <f>VLOOKUP(G515,'CHECK_DT-BT'!$A$3:$C$92,3,FALSE)</f>
        <v>BV Sài Gòn</v>
      </c>
    </row>
    <row r="516" spans="1:9" x14ac:dyDescent="0.25">
      <c r="A516" t="str">
        <f t="shared" si="21"/>
        <v>169</v>
      </c>
      <c r="B516" t="s">
        <v>1191</v>
      </c>
      <c r="C516" t="s">
        <v>1192</v>
      </c>
      <c r="D516" t="s">
        <v>392</v>
      </c>
      <c r="E516" s="110">
        <v>82101250</v>
      </c>
      <c r="F516" t="str">
        <f>VLOOKUP(D516,Sheet1!$A$18:$B$28,2,FALSE)</f>
        <v>BH Tài sản</v>
      </c>
      <c r="G516" t="str">
        <f t="shared" si="22"/>
        <v>169</v>
      </c>
      <c r="H516" s="24">
        <f t="shared" si="23"/>
        <v>82101250</v>
      </c>
      <c r="I516" t="str">
        <f>VLOOKUP(G516,'CHECK_DT-BT'!$A$3:$C$92,3,FALSE)</f>
        <v>BV Sài Gòn</v>
      </c>
    </row>
    <row r="517" spans="1:9" x14ac:dyDescent="0.25">
      <c r="A517" t="str">
        <f t="shared" ref="A517:A580" si="24">LEFT(B517,3)</f>
        <v>169</v>
      </c>
      <c r="B517" t="s">
        <v>1191</v>
      </c>
      <c r="C517" t="s">
        <v>1192</v>
      </c>
      <c r="D517" t="s">
        <v>393</v>
      </c>
      <c r="E517" s="110">
        <v>2500000</v>
      </c>
      <c r="F517" t="str">
        <f>VLOOKUP(D517,Sheet1!$A$18:$B$28,2,FALSE)</f>
        <v>BH Xe cơ giới</v>
      </c>
      <c r="G517" t="str">
        <f t="shared" ref="G517:G580" si="25">IF(A517="101",B517,A517)</f>
        <v>169</v>
      </c>
      <c r="H517" s="24">
        <f t="shared" ref="H517:H580" si="26">E517</f>
        <v>2500000</v>
      </c>
      <c r="I517" t="str">
        <f>VLOOKUP(G517,'CHECK_DT-BT'!$A$3:$C$92,3,FALSE)</f>
        <v>BV Sài Gòn</v>
      </c>
    </row>
    <row r="518" spans="1:9" x14ac:dyDescent="0.25">
      <c r="A518" t="str">
        <f t="shared" si="24"/>
        <v>170</v>
      </c>
      <c r="B518" t="s">
        <v>1193</v>
      </c>
      <c r="C518" t="s">
        <v>1194</v>
      </c>
      <c r="D518" t="s">
        <v>393</v>
      </c>
      <c r="E518" s="110">
        <v>3000000</v>
      </c>
      <c r="F518" t="str">
        <f>VLOOKUP(D518,Sheet1!$A$18:$B$28,2,FALSE)</f>
        <v>BH Xe cơ giới</v>
      </c>
      <c r="G518" t="str">
        <f t="shared" si="25"/>
        <v>170</v>
      </c>
      <c r="H518" s="24">
        <f t="shared" si="26"/>
        <v>3000000</v>
      </c>
      <c r="I518" t="str">
        <f>VLOOKUP(G518,'CHECK_DT-BT'!$A$3:$C$92,3,FALSE)</f>
        <v>BV Sóc Trăng</v>
      </c>
    </row>
    <row r="519" spans="1:9" x14ac:dyDescent="0.25">
      <c r="A519" t="str">
        <f t="shared" si="24"/>
        <v>170</v>
      </c>
      <c r="B519" t="s">
        <v>1195</v>
      </c>
      <c r="C519" t="s">
        <v>1196</v>
      </c>
      <c r="D519" t="s">
        <v>393</v>
      </c>
      <c r="E519" s="110">
        <v>1700000</v>
      </c>
      <c r="F519" t="str">
        <f>VLOOKUP(D519,Sheet1!$A$18:$B$28,2,FALSE)</f>
        <v>BH Xe cơ giới</v>
      </c>
      <c r="G519" t="str">
        <f t="shared" si="25"/>
        <v>170</v>
      </c>
      <c r="H519" s="24">
        <f t="shared" si="26"/>
        <v>1700000</v>
      </c>
      <c r="I519" t="str">
        <f>VLOOKUP(G519,'CHECK_DT-BT'!$A$3:$C$92,3,FALSE)</f>
        <v>BV Sóc Trăng</v>
      </c>
    </row>
    <row r="520" spans="1:9" x14ac:dyDescent="0.25">
      <c r="A520" t="str">
        <f t="shared" si="24"/>
        <v>170</v>
      </c>
      <c r="B520" t="s">
        <v>1197</v>
      </c>
      <c r="C520" t="s">
        <v>1198</v>
      </c>
      <c r="D520" t="s">
        <v>393</v>
      </c>
      <c r="E520" s="110">
        <v>6500000</v>
      </c>
      <c r="F520" t="str">
        <f>VLOOKUP(D520,Sheet1!$A$18:$B$28,2,FALSE)</f>
        <v>BH Xe cơ giới</v>
      </c>
      <c r="G520" t="str">
        <f t="shared" si="25"/>
        <v>170</v>
      </c>
      <c r="H520" s="24">
        <f t="shared" si="26"/>
        <v>6500000</v>
      </c>
      <c r="I520" t="str">
        <f>VLOOKUP(G520,'CHECK_DT-BT'!$A$3:$C$92,3,FALSE)</f>
        <v>BV Sóc Trăng</v>
      </c>
    </row>
    <row r="521" spans="1:9" x14ac:dyDescent="0.25">
      <c r="A521" t="str">
        <f t="shared" si="24"/>
        <v>170</v>
      </c>
      <c r="B521" t="s">
        <v>1199</v>
      </c>
      <c r="C521" t="s">
        <v>1200</v>
      </c>
      <c r="D521" t="s">
        <v>393</v>
      </c>
      <c r="E521" s="110">
        <v>2200000</v>
      </c>
      <c r="F521" t="str">
        <f>VLOOKUP(D521,Sheet1!$A$18:$B$28,2,FALSE)</f>
        <v>BH Xe cơ giới</v>
      </c>
      <c r="G521" t="str">
        <f t="shared" si="25"/>
        <v>170</v>
      </c>
      <c r="H521" s="24">
        <f t="shared" si="26"/>
        <v>2200000</v>
      </c>
      <c r="I521" t="str">
        <f>VLOOKUP(G521,'CHECK_DT-BT'!$A$3:$C$92,3,FALSE)</f>
        <v>BV Sóc Trăng</v>
      </c>
    </row>
    <row r="522" spans="1:9" x14ac:dyDescent="0.25">
      <c r="A522" t="str">
        <f t="shared" si="24"/>
        <v>170</v>
      </c>
      <c r="B522" t="s">
        <v>1201</v>
      </c>
      <c r="C522" t="s">
        <v>1202</v>
      </c>
      <c r="D522" t="s">
        <v>391</v>
      </c>
      <c r="E522" s="110">
        <v>14100000</v>
      </c>
      <c r="F522" t="str">
        <f>VLOOKUP(D522,Sheet1!$A$18:$B$28,2,FALSE)</f>
        <v>BH Kỹ thuật</v>
      </c>
      <c r="G522" t="str">
        <f t="shared" si="25"/>
        <v>170</v>
      </c>
      <c r="H522" s="24">
        <f t="shared" si="26"/>
        <v>14100000</v>
      </c>
      <c r="I522" t="str">
        <f>VLOOKUP(G522,'CHECK_DT-BT'!$A$3:$C$92,3,FALSE)</f>
        <v>BV Sóc Trăng</v>
      </c>
    </row>
    <row r="523" spans="1:9" x14ac:dyDescent="0.25">
      <c r="A523" t="str">
        <f t="shared" si="24"/>
        <v>170</v>
      </c>
      <c r="B523" t="s">
        <v>1201</v>
      </c>
      <c r="C523" t="s">
        <v>1202</v>
      </c>
      <c r="D523" t="s">
        <v>393</v>
      </c>
      <c r="E523" s="110">
        <v>1000000</v>
      </c>
      <c r="F523" t="str">
        <f>VLOOKUP(D523,Sheet1!$A$18:$B$28,2,FALSE)</f>
        <v>BH Xe cơ giới</v>
      </c>
      <c r="G523" t="str">
        <f t="shared" si="25"/>
        <v>170</v>
      </c>
      <c r="H523" s="24">
        <f t="shared" si="26"/>
        <v>1000000</v>
      </c>
      <c r="I523" t="str">
        <f>VLOOKUP(G523,'CHECK_DT-BT'!$A$3:$C$92,3,FALSE)</f>
        <v>BV Sóc Trăng</v>
      </c>
    </row>
    <row r="524" spans="1:9" x14ac:dyDescent="0.25">
      <c r="A524" t="str">
        <f t="shared" si="24"/>
        <v>171</v>
      </c>
      <c r="B524" t="s">
        <v>349</v>
      </c>
      <c r="C524" t="s">
        <v>96</v>
      </c>
      <c r="D524" t="s">
        <v>393</v>
      </c>
      <c r="E524" s="110">
        <v>5300000</v>
      </c>
      <c r="F524" t="str">
        <f>VLOOKUP(D524,Sheet1!$A$18:$B$28,2,FALSE)</f>
        <v>BH Xe cơ giới</v>
      </c>
      <c r="G524" t="str">
        <f t="shared" si="25"/>
        <v>171</v>
      </c>
      <c r="H524" s="24">
        <f t="shared" si="26"/>
        <v>5300000</v>
      </c>
      <c r="I524" t="str">
        <f>VLOOKUP(G524,'CHECK_DT-BT'!$A$3:$C$92,3,FALSE)</f>
        <v>BV Tây Ninh</v>
      </c>
    </row>
    <row r="525" spans="1:9" x14ac:dyDescent="0.25">
      <c r="A525" t="str">
        <f t="shared" si="24"/>
        <v>171</v>
      </c>
      <c r="B525" t="s">
        <v>1203</v>
      </c>
      <c r="C525" t="s">
        <v>1204</v>
      </c>
      <c r="D525" t="s">
        <v>393</v>
      </c>
      <c r="E525" s="110">
        <v>1000000</v>
      </c>
      <c r="F525" t="str">
        <f>VLOOKUP(D525,Sheet1!$A$18:$B$28,2,FALSE)</f>
        <v>BH Xe cơ giới</v>
      </c>
      <c r="G525" t="str">
        <f t="shared" si="25"/>
        <v>171</v>
      </c>
      <c r="H525" s="24">
        <f t="shared" si="26"/>
        <v>1000000</v>
      </c>
      <c r="I525" t="str">
        <f>VLOOKUP(G525,'CHECK_DT-BT'!$A$3:$C$92,3,FALSE)</f>
        <v>BV Tây Ninh</v>
      </c>
    </row>
    <row r="526" spans="1:9" x14ac:dyDescent="0.25">
      <c r="A526" t="str">
        <f t="shared" si="24"/>
        <v>171</v>
      </c>
      <c r="B526" t="s">
        <v>1205</v>
      </c>
      <c r="C526" t="s">
        <v>1206</v>
      </c>
      <c r="D526" t="s">
        <v>393</v>
      </c>
      <c r="E526" s="110">
        <v>12280000</v>
      </c>
      <c r="F526" t="str">
        <f>VLOOKUP(D526,Sheet1!$A$18:$B$28,2,FALSE)</f>
        <v>BH Xe cơ giới</v>
      </c>
      <c r="G526" t="str">
        <f t="shared" si="25"/>
        <v>171</v>
      </c>
      <c r="H526" s="24">
        <f t="shared" si="26"/>
        <v>12280000</v>
      </c>
      <c r="I526" t="str">
        <f>VLOOKUP(G526,'CHECK_DT-BT'!$A$3:$C$92,3,FALSE)</f>
        <v>BV Tây Ninh</v>
      </c>
    </row>
    <row r="527" spans="1:9" x14ac:dyDescent="0.25">
      <c r="A527" t="str">
        <f t="shared" si="24"/>
        <v>172</v>
      </c>
      <c r="B527" t="s">
        <v>350</v>
      </c>
      <c r="C527" t="s">
        <v>108</v>
      </c>
      <c r="D527" t="s">
        <v>393</v>
      </c>
      <c r="E527" s="110">
        <v>1700000</v>
      </c>
      <c r="F527" t="str">
        <f>VLOOKUP(D527,Sheet1!$A$18:$B$28,2,FALSE)</f>
        <v>BH Xe cơ giới</v>
      </c>
      <c r="G527" t="str">
        <f t="shared" si="25"/>
        <v>172</v>
      </c>
      <c r="H527" s="24">
        <f t="shared" si="26"/>
        <v>1700000</v>
      </c>
      <c r="I527" t="str">
        <f>VLOOKUP(G527,'CHECK_DT-BT'!$A$3:$C$92,3,FALSE)</f>
        <v>BV Thái Bình</v>
      </c>
    </row>
    <row r="528" spans="1:9" x14ac:dyDescent="0.25">
      <c r="A528" t="str">
        <f t="shared" si="24"/>
        <v>172</v>
      </c>
      <c r="B528" t="s">
        <v>1207</v>
      </c>
      <c r="C528" t="s">
        <v>1208</v>
      </c>
      <c r="D528">
        <v>0</v>
      </c>
      <c r="E528" s="110">
        <v>14000000</v>
      </c>
      <c r="F528" t="e">
        <f>VLOOKUP(D528,Sheet1!$A$18:$B$28,2,FALSE)</f>
        <v>#N/A</v>
      </c>
      <c r="G528" t="str">
        <f t="shared" si="25"/>
        <v>172</v>
      </c>
      <c r="H528" s="24">
        <f t="shared" si="26"/>
        <v>14000000</v>
      </c>
      <c r="I528" t="str">
        <f>VLOOKUP(G528,'CHECK_DT-BT'!$A$3:$C$92,3,FALSE)</f>
        <v>BV Thái Bình</v>
      </c>
    </row>
    <row r="529" spans="1:9" x14ac:dyDescent="0.25">
      <c r="A529" t="str">
        <f t="shared" si="24"/>
        <v>172</v>
      </c>
      <c r="B529" t="s">
        <v>1207</v>
      </c>
      <c r="C529" t="s">
        <v>1208</v>
      </c>
      <c r="D529" t="s">
        <v>393</v>
      </c>
      <c r="E529" s="110">
        <v>1600000</v>
      </c>
      <c r="F529" t="str">
        <f>VLOOKUP(D529,Sheet1!$A$18:$B$28,2,FALSE)</f>
        <v>BH Xe cơ giới</v>
      </c>
      <c r="G529" t="str">
        <f t="shared" si="25"/>
        <v>172</v>
      </c>
      <c r="H529" s="24">
        <f t="shared" si="26"/>
        <v>1600000</v>
      </c>
      <c r="I529" t="str">
        <f>VLOOKUP(G529,'CHECK_DT-BT'!$A$3:$C$92,3,FALSE)</f>
        <v>BV Thái Bình</v>
      </c>
    </row>
    <row r="530" spans="1:9" x14ac:dyDescent="0.25">
      <c r="A530" t="str">
        <f t="shared" si="24"/>
        <v>172</v>
      </c>
      <c r="B530" t="s">
        <v>1209</v>
      </c>
      <c r="C530" t="s">
        <v>1210</v>
      </c>
      <c r="D530">
        <v>0</v>
      </c>
      <c r="E530" s="110">
        <v>6240000</v>
      </c>
      <c r="F530" t="e">
        <f>VLOOKUP(D530,Sheet1!$A$18:$B$28,2,FALSE)</f>
        <v>#N/A</v>
      </c>
      <c r="G530" t="str">
        <f t="shared" si="25"/>
        <v>172</v>
      </c>
      <c r="H530" s="24">
        <f t="shared" si="26"/>
        <v>6240000</v>
      </c>
      <c r="I530" t="str">
        <f>VLOOKUP(G530,'CHECK_DT-BT'!$A$3:$C$92,3,FALSE)</f>
        <v>BV Thái Bình</v>
      </c>
    </row>
    <row r="531" spans="1:9" x14ac:dyDescent="0.25">
      <c r="A531" t="str">
        <f t="shared" si="24"/>
        <v>172</v>
      </c>
      <c r="B531" t="s">
        <v>1209</v>
      </c>
      <c r="C531" t="s">
        <v>1210</v>
      </c>
      <c r="D531" t="s">
        <v>393</v>
      </c>
      <c r="E531" s="110">
        <v>500000</v>
      </c>
      <c r="F531" t="str">
        <f>VLOOKUP(D531,Sheet1!$A$18:$B$28,2,FALSE)</f>
        <v>BH Xe cơ giới</v>
      </c>
      <c r="G531" t="str">
        <f t="shared" si="25"/>
        <v>172</v>
      </c>
      <c r="H531" s="24">
        <f t="shared" si="26"/>
        <v>500000</v>
      </c>
      <c r="I531" t="str">
        <f>VLOOKUP(G531,'CHECK_DT-BT'!$A$3:$C$92,3,FALSE)</f>
        <v>BV Thái Bình</v>
      </c>
    </row>
    <row r="532" spans="1:9" x14ac:dyDescent="0.25">
      <c r="A532" t="str">
        <f t="shared" si="24"/>
        <v>172</v>
      </c>
      <c r="B532" t="s">
        <v>1211</v>
      </c>
      <c r="C532" t="s">
        <v>1212</v>
      </c>
      <c r="D532">
        <v>0</v>
      </c>
      <c r="E532" s="110">
        <v>6780000</v>
      </c>
      <c r="F532" t="e">
        <f>VLOOKUP(D532,Sheet1!$A$18:$B$28,2,FALSE)</f>
        <v>#N/A</v>
      </c>
      <c r="G532" t="str">
        <f t="shared" si="25"/>
        <v>172</v>
      </c>
      <c r="H532" s="24">
        <f t="shared" si="26"/>
        <v>6780000</v>
      </c>
      <c r="I532" t="str">
        <f>VLOOKUP(G532,'CHECK_DT-BT'!$A$3:$C$92,3,FALSE)</f>
        <v>BV Thái Bình</v>
      </c>
    </row>
    <row r="533" spans="1:9" x14ac:dyDescent="0.25">
      <c r="A533" t="str">
        <f t="shared" si="24"/>
        <v>172</v>
      </c>
      <c r="B533" t="s">
        <v>1213</v>
      </c>
      <c r="C533" t="s">
        <v>1214</v>
      </c>
      <c r="D533">
        <v>0</v>
      </c>
      <c r="E533" s="110">
        <v>3360000</v>
      </c>
      <c r="F533" t="e">
        <f>VLOOKUP(D533,Sheet1!$A$18:$B$28,2,FALSE)</f>
        <v>#N/A</v>
      </c>
      <c r="G533" t="str">
        <f t="shared" si="25"/>
        <v>172</v>
      </c>
      <c r="H533" s="24">
        <f t="shared" si="26"/>
        <v>3360000</v>
      </c>
      <c r="I533" t="str">
        <f>VLOOKUP(G533,'CHECK_DT-BT'!$A$3:$C$92,3,FALSE)</f>
        <v>BV Thái Bình</v>
      </c>
    </row>
    <row r="534" spans="1:9" x14ac:dyDescent="0.25">
      <c r="A534" t="str">
        <f t="shared" si="24"/>
        <v>173</v>
      </c>
      <c r="B534" t="s">
        <v>351</v>
      </c>
      <c r="C534" t="s">
        <v>98</v>
      </c>
      <c r="D534" t="s">
        <v>393</v>
      </c>
      <c r="E534" s="110">
        <v>1700000</v>
      </c>
      <c r="F534" t="str">
        <f>VLOOKUP(D534,Sheet1!$A$18:$B$28,2,FALSE)</f>
        <v>BH Xe cơ giới</v>
      </c>
      <c r="G534" t="str">
        <f t="shared" si="25"/>
        <v>173</v>
      </c>
      <c r="H534" s="24">
        <f t="shared" si="26"/>
        <v>1700000</v>
      </c>
      <c r="I534" t="str">
        <f>VLOOKUP(G534,'CHECK_DT-BT'!$A$3:$C$92,3,FALSE)</f>
        <v>BV Thái Nguyên</v>
      </c>
    </row>
    <row r="535" spans="1:9" x14ac:dyDescent="0.25">
      <c r="A535" t="str">
        <f t="shared" si="24"/>
        <v>173</v>
      </c>
      <c r="B535" t="s">
        <v>1215</v>
      </c>
      <c r="C535" t="s">
        <v>1216</v>
      </c>
      <c r="D535" t="s">
        <v>394</v>
      </c>
      <c r="E535" s="110">
        <v>2270824</v>
      </c>
      <c r="F535" t="str">
        <f>VLOOKUP(D535,Sheet1!$A$18:$B$28,2,FALSE)</f>
        <v>BH Con người</v>
      </c>
      <c r="G535" t="str">
        <f t="shared" si="25"/>
        <v>173</v>
      </c>
      <c r="H535" s="24">
        <f t="shared" si="26"/>
        <v>2270824</v>
      </c>
      <c r="I535" t="str">
        <f>VLOOKUP(G535,'CHECK_DT-BT'!$A$3:$C$92,3,FALSE)</f>
        <v>BV Thái Nguyên</v>
      </c>
    </row>
    <row r="536" spans="1:9" x14ac:dyDescent="0.25">
      <c r="A536" t="str">
        <f t="shared" si="24"/>
        <v>173</v>
      </c>
      <c r="B536" t="s">
        <v>1215</v>
      </c>
      <c r="C536" t="s">
        <v>1216</v>
      </c>
      <c r="D536" t="s">
        <v>387</v>
      </c>
      <c r="E536" s="110">
        <v>26478880</v>
      </c>
      <c r="F536" t="str">
        <f>VLOOKUP(D536,Sheet1!$A$18:$B$28,2,FALSE)</f>
        <v>BH Hàng hóa</v>
      </c>
      <c r="G536" t="str">
        <f t="shared" si="25"/>
        <v>173</v>
      </c>
      <c r="H536" s="24">
        <f t="shared" si="26"/>
        <v>26478880</v>
      </c>
      <c r="I536" t="str">
        <f>VLOOKUP(G536,'CHECK_DT-BT'!$A$3:$C$92,3,FALSE)</f>
        <v>BV Thái Nguyên</v>
      </c>
    </row>
    <row r="537" spans="1:9" x14ac:dyDescent="0.25">
      <c r="A537" t="str">
        <f t="shared" si="24"/>
        <v>173</v>
      </c>
      <c r="B537" t="s">
        <v>1215</v>
      </c>
      <c r="C537" t="s">
        <v>1216</v>
      </c>
      <c r="D537" t="s">
        <v>393</v>
      </c>
      <c r="E537" s="110">
        <v>5284666</v>
      </c>
      <c r="F537" t="str">
        <f>VLOOKUP(D537,Sheet1!$A$18:$B$28,2,FALSE)</f>
        <v>BH Xe cơ giới</v>
      </c>
      <c r="G537" t="str">
        <f t="shared" si="25"/>
        <v>173</v>
      </c>
      <c r="H537" s="24">
        <f t="shared" si="26"/>
        <v>5284666</v>
      </c>
      <c r="I537" t="str">
        <f>VLOOKUP(G537,'CHECK_DT-BT'!$A$3:$C$92,3,FALSE)</f>
        <v>BV Thái Nguyên</v>
      </c>
    </row>
    <row r="538" spans="1:9" x14ac:dyDescent="0.25">
      <c r="A538" t="str">
        <f t="shared" si="24"/>
        <v>173</v>
      </c>
      <c r="B538" t="s">
        <v>1215</v>
      </c>
      <c r="C538" t="s">
        <v>1216</v>
      </c>
      <c r="D538" t="s">
        <v>396</v>
      </c>
      <c r="E538" s="110">
        <v>1542162</v>
      </c>
      <c r="F538" t="str">
        <f>VLOOKUP(D538,Sheet1!$A$18:$B$28,2,FALSE)</f>
        <v>BH Y tế</v>
      </c>
      <c r="G538" t="str">
        <f t="shared" si="25"/>
        <v>173</v>
      </c>
      <c r="H538" s="24">
        <f t="shared" si="26"/>
        <v>1542162</v>
      </c>
      <c r="I538" t="str">
        <f>VLOOKUP(G538,'CHECK_DT-BT'!$A$3:$C$92,3,FALSE)</f>
        <v>BV Thái Nguyên</v>
      </c>
    </row>
    <row r="539" spans="1:9" x14ac:dyDescent="0.25">
      <c r="A539" t="str">
        <f t="shared" si="24"/>
        <v>173</v>
      </c>
      <c r="B539" t="s">
        <v>1217</v>
      </c>
      <c r="C539" t="s">
        <v>1218</v>
      </c>
      <c r="D539" t="s">
        <v>387</v>
      </c>
      <c r="E539" s="110">
        <v>10000000</v>
      </c>
      <c r="F539" t="str">
        <f>VLOOKUP(D539,Sheet1!$A$18:$B$28,2,FALSE)</f>
        <v>BH Hàng hóa</v>
      </c>
      <c r="G539" t="str">
        <f t="shared" si="25"/>
        <v>173</v>
      </c>
      <c r="H539" s="24">
        <f t="shared" si="26"/>
        <v>10000000</v>
      </c>
      <c r="I539" t="str">
        <f>VLOOKUP(G539,'CHECK_DT-BT'!$A$3:$C$92,3,FALSE)</f>
        <v>BV Thái Nguyên</v>
      </c>
    </row>
    <row r="540" spans="1:9" x14ac:dyDescent="0.25">
      <c r="A540" t="str">
        <f t="shared" si="24"/>
        <v>173</v>
      </c>
      <c r="B540" t="s">
        <v>1217</v>
      </c>
      <c r="C540" t="s">
        <v>1218</v>
      </c>
      <c r="D540" t="s">
        <v>393</v>
      </c>
      <c r="E540" s="110">
        <v>3500000</v>
      </c>
      <c r="F540" t="str">
        <f>VLOOKUP(D540,Sheet1!$A$18:$B$28,2,FALSE)</f>
        <v>BH Xe cơ giới</v>
      </c>
      <c r="G540" t="str">
        <f t="shared" si="25"/>
        <v>173</v>
      </c>
      <c r="H540" s="24">
        <f t="shared" si="26"/>
        <v>3500000</v>
      </c>
      <c r="I540" t="str">
        <f>VLOOKUP(G540,'CHECK_DT-BT'!$A$3:$C$92,3,FALSE)</f>
        <v>BV Thái Nguyên</v>
      </c>
    </row>
    <row r="541" spans="1:9" x14ac:dyDescent="0.25">
      <c r="A541" t="str">
        <f t="shared" si="24"/>
        <v>173</v>
      </c>
      <c r="B541" t="s">
        <v>1219</v>
      </c>
      <c r="C541" t="s">
        <v>1220</v>
      </c>
      <c r="D541" t="s">
        <v>393</v>
      </c>
      <c r="E541" s="110">
        <v>7500000</v>
      </c>
      <c r="F541" t="str">
        <f>VLOOKUP(D541,Sheet1!$A$18:$B$28,2,FALSE)</f>
        <v>BH Xe cơ giới</v>
      </c>
      <c r="G541" t="str">
        <f t="shared" si="25"/>
        <v>173</v>
      </c>
      <c r="H541" s="24">
        <f t="shared" si="26"/>
        <v>7500000</v>
      </c>
      <c r="I541" t="str">
        <f>VLOOKUP(G541,'CHECK_DT-BT'!$A$3:$C$92,3,FALSE)</f>
        <v>BV Thái Nguyên</v>
      </c>
    </row>
    <row r="542" spans="1:9" x14ac:dyDescent="0.25">
      <c r="A542" t="str">
        <f t="shared" si="24"/>
        <v>173</v>
      </c>
      <c r="B542" t="s">
        <v>1221</v>
      </c>
      <c r="C542" t="s">
        <v>1222</v>
      </c>
      <c r="D542" t="s">
        <v>393</v>
      </c>
      <c r="E542" s="110">
        <v>1000000</v>
      </c>
      <c r="F542" t="str">
        <f>VLOOKUP(D542,Sheet1!$A$18:$B$28,2,FALSE)</f>
        <v>BH Xe cơ giới</v>
      </c>
      <c r="G542" t="str">
        <f t="shared" si="25"/>
        <v>173</v>
      </c>
      <c r="H542" s="24">
        <f t="shared" si="26"/>
        <v>1000000</v>
      </c>
      <c r="I542" t="str">
        <f>VLOOKUP(G542,'CHECK_DT-BT'!$A$3:$C$92,3,FALSE)</f>
        <v>BV Thái Nguyên</v>
      </c>
    </row>
    <row r="543" spans="1:9" x14ac:dyDescent="0.25">
      <c r="A543" t="str">
        <f t="shared" si="24"/>
        <v>173</v>
      </c>
      <c r="B543" t="s">
        <v>1223</v>
      </c>
      <c r="C543" t="s">
        <v>1224</v>
      </c>
      <c r="D543" t="s">
        <v>393</v>
      </c>
      <c r="E543" s="110">
        <v>6000000</v>
      </c>
      <c r="F543" t="str">
        <f>VLOOKUP(D543,Sheet1!$A$18:$B$28,2,FALSE)</f>
        <v>BH Xe cơ giới</v>
      </c>
      <c r="G543" t="str">
        <f t="shared" si="25"/>
        <v>173</v>
      </c>
      <c r="H543" s="24">
        <f t="shared" si="26"/>
        <v>6000000</v>
      </c>
      <c r="I543" t="str">
        <f>VLOOKUP(G543,'CHECK_DT-BT'!$A$3:$C$92,3,FALSE)</f>
        <v>BV Thái Nguyên</v>
      </c>
    </row>
    <row r="544" spans="1:9" x14ac:dyDescent="0.25">
      <c r="A544" t="str">
        <f t="shared" si="24"/>
        <v>174</v>
      </c>
      <c r="B544" t="s">
        <v>353</v>
      </c>
      <c r="C544" t="s">
        <v>97</v>
      </c>
      <c r="D544" t="s">
        <v>393</v>
      </c>
      <c r="E544" s="110">
        <v>700000</v>
      </c>
      <c r="F544" t="str">
        <f>VLOOKUP(D544,Sheet1!$A$18:$B$28,2,FALSE)</f>
        <v>BH Xe cơ giới</v>
      </c>
      <c r="G544" t="str">
        <f t="shared" si="25"/>
        <v>174</v>
      </c>
      <c r="H544" s="24">
        <f t="shared" si="26"/>
        <v>700000</v>
      </c>
      <c r="I544" t="str">
        <f>VLOOKUP(G544,'CHECK_DT-BT'!$A$3:$C$92,3,FALSE)</f>
        <v>BV Thanh Hóa</v>
      </c>
    </row>
    <row r="545" spans="1:9" x14ac:dyDescent="0.25">
      <c r="A545" t="str">
        <f t="shared" si="24"/>
        <v>174</v>
      </c>
      <c r="B545" t="s">
        <v>1225</v>
      </c>
      <c r="C545" t="s">
        <v>1226</v>
      </c>
      <c r="D545" t="s">
        <v>394</v>
      </c>
      <c r="E545" s="110">
        <v>42653551</v>
      </c>
      <c r="F545" t="str">
        <f>VLOOKUP(D545,Sheet1!$A$18:$B$28,2,FALSE)</f>
        <v>BH Con người</v>
      </c>
      <c r="G545" t="str">
        <f t="shared" si="25"/>
        <v>174</v>
      </c>
      <c r="H545" s="24">
        <f t="shared" si="26"/>
        <v>42653551</v>
      </c>
      <c r="I545" t="str">
        <f>VLOOKUP(G545,'CHECK_DT-BT'!$A$3:$C$92,3,FALSE)</f>
        <v>BV Thanh Hóa</v>
      </c>
    </row>
    <row r="546" spans="1:9" x14ac:dyDescent="0.25">
      <c r="A546" t="str">
        <f t="shared" si="24"/>
        <v>174</v>
      </c>
      <c r="B546" t="s">
        <v>1225</v>
      </c>
      <c r="C546" t="s">
        <v>1226</v>
      </c>
      <c r="D546" t="s">
        <v>273</v>
      </c>
      <c r="E546" s="110">
        <v>23688000</v>
      </c>
      <c r="F546" t="str">
        <f>VLOOKUP(D546,Sheet1!$A$18:$B$28,2,FALSE)</f>
        <v>Hull (Thân tàu biển)</v>
      </c>
      <c r="G546" t="str">
        <f t="shared" si="25"/>
        <v>174</v>
      </c>
      <c r="H546" s="24">
        <f t="shared" si="26"/>
        <v>23688000</v>
      </c>
      <c r="I546" t="str">
        <f>VLOOKUP(G546,'CHECK_DT-BT'!$A$3:$C$92,3,FALSE)</f>
        <v>BV Thanh Hóa</v>
      </c>
    </row>
    <row r="547" spans="1:9" x14ac:dyDescent="0.25">
      <c r="A547" t="str">
        <f t="shared" si="24"/>
        <v>174</v>
      </c>
      <c r="B547" t="s">
        <v>1225</v>
      </c>
      <c r="C547" t="s">
        <v>1226</v>
      </c>
      <c r="D547" t="s">
        <v>391</v>
      </c>
      <c r="E547" s="110">
        <v>925926</v>
      </c>
      <c r="F547" t="str">
        <f>VLOOKUP(D547,Sheet1!$A$18:$B$28,2,FALSE)</f>
        <v>BH Kỹ thuật</v>
      </c>
      <c r="G547" t="str">
        <f t="shared" si="25"/>
        <v>174</v>
      </c>
      <c r="H547" s="24">
        <f t="shared" si="26"/>
        <v>925926</v>
      </c>
      <c r="I547" t="str">
        <f>VLOOKUP(G547,'CHECK_DT-BT'!$A$3:$C$92,3,FALSE)</f>
        <v>BV Thanh Hóa</v>
      </c>
    </row>
    <row r="548" spans="1:9" x14ac:dyDescent="0.25">
      <c r="A548" t="str">
        <f t="shared" si="24"/>
        <v>174</v>
      </c>
      <c r="B548" t="s">
        <v>1225</v>
      </c>
      <c r="C548" t="s">
        <v>1226</v>
      </c>
      <c r="D548" t="s">
        <v>392</v>
      </c>
      <c r="E548" s="110">
        <v>925926</v>
      </c>
      <c r="F548" t="str">
        <f>VLOOKUP(D548,Sheet1!$A$18:$B$28,2,FALSE)</f>
        <v>BH Tài sản</v>
      </c>
      <c r="G548" t="str">
        <f t="shared" si="25"/>
        <v>174</v>
      </c>
      <c r="H548" s="24">
        <f t="shared" si="26"/>
        <v>925926</v>
      </c>
      <c r="I548" t="str">
        <f>VLOOKUP(G548,'CHECK_DT-BT'!$A$3:$C$92,3,FALSE)</f>
        <v>BV Thanh Hóa</v>
      </c>
    </row>
    <row r="549" spans="1:9" x14ac:dyDescent="0.25">
      <c r="A549" t="str">
        <f t="shared" si="24"/>
        <v>174</v>
      </c>
      <c r="B549" t="s">
        <v>1225</v>
      </c>
      <c r="C549" t="s">
        <v>1226</v>
      </c>
      <c r="D549" t="s">
        <v>272</v>
      </c>
      <c r="E549" s="110">
        <v>1851852</v>
      </c>
      <c r="F549" t="str">
        <f>VLOOKUP(D549,Sheet1!$A$18:$B$28,2,FALSE)</f>
        <v>Tàu khác</v>
      </c>
      <c r="G549" t="str">
        <f t="shared" si="25"/>
        <v>174</v>
      </c>
      <c r="H549" s="24">
        <f t="shared" si="26"/>
        <v>1851852</v>
      </c>
      <c r="I549" t="str">
        <f>VLOOKUP(G549,'CHECK_DT-BT'!$A$3:$C$92,3,FALSE)</f>
        <v>BV Thanh Hóa</v>
      </c>
    </row>
    <row r="550" spans="1:9" x14ac:dyDescent="0.25">
      <c r="A550" t="str">
        <f t="shared" si="24"/>
        <v>174</v>
      </c>
      <c r="B550" t="s">
        <v>1225</v>
      </c>
      <c r="C550" t="s">
        <v>1226</v>
      </c>
      <c r="D550" t="s">
        <v>393</v>
      </c>
      <c r="E550" s="110">
        <v>18317171</v>
      </c>
      <c r="F550" t="str">
        <f>VLOOKUP(D550,Sheet1!$A$18:$B$28,2,FALSE)</f>
        <v>BH Xe cơ giới</v>
      </c>
      <c r="G550" t="str">
        <f t="shared" si="25"/>
        <v>174</v>
      </c>
      <c r="H550" s="24">
        <f t="shared" si="26"/>
        <v>18317171</v>
      </c>
      <c r="I550" t="str">
        <f>VLOOKUP(G550,'CHECK_DT-BT'!$A$3:$C$92,3,FALSE)</f>
        <v>BV Thanh Hóa</v>
      </c>
    </row>
    <row r="551" spans="1:9" x14ac:dyDescent="0.25">
      <c r="A551" t="str">
        <f t="shared" si="24"/>
        <v>174</v>
      </c>
      <c r="B551" t="s">
        <v>1225</v>
      </c>
      <c r="C551" t="s">
        <v>1226</v>
      </c>
      <c r="D551" t="s">
        <v>396</v>
      </c>
      <c r="E551" s="110">
        <v>1972247</v>
      </c>
      <c r="F551" t="str">
        <f>VLOOKUP(D551,Sheet1!$A$18:$B$28,2,FALSE)</f>
        <v>BH Y tế</v>
      </c>
      <c r="G551" t="str">
        <f t="shared" si="25"/>
        <v>174</v>
      </c>
      <c r="H551" s="24">
        <f t="shared" si="26"/>
        <v>1972247</v>
      </c>
      <c r="I551" t="str">
        <f>VLOOKUP(G551,'CHECK_DT-BT'!$A$3:$C$92,3,FALSE)</f>
        <v>BV Thanh Hóa</v>
      </c>
    </row>
    <row r="552" spans="1:9" x14ac:dyDescent="0.25">
      <c r="A552" t="str">
        <f t="shared" si="24"/>
        <v>174</v>
      </c>
      <c r="B552" t="s">
        <v>1227</v>
      </c>
      <c r="C552" t="s">
        <v>1228</v>
      </c>
      <c r="D552" t="s">
        <v>393</v>
      </c>
      <c r="E552" s="110">
        <v>700000</v>
      </c>
      <c r="F552" t="str">
        <f>VLOOKUP(D552,Sheet1!$A$18:$B$28,2,FALSE)</f>
        <v>BH Xe cơ giới</v>
      </c>
      <c r="G552" t="str">
        <f t="shared" si="25"/>
        <v>174</v>
      </c>
      <c r="H552" s="24">
        <f t="shared" si="26"/>
        <v>700000</v>
      </c>
      <c r="I552" t="str">
        <f>VLOOKUP(G552,'CHECK_DT-BT'!$A$3:$C$92,3,FALSE)</f>
        <v>BV Thanh Hóa</v>
      </c>
    </row>
    <row r="553" spans="1:9" x14ac:dyDescent="0.25">
      <c r="A553" t="str">
        <f t="shared" si="24"/>
        <v>174</v>
      </c>
      <c r="B553" t="s">
        <v>1229</v>
      </c>
      <c r="C553" t="s">
        <v>1230</v>
      </c>
      <c r="D553" t="s">
        <v>393</v>
      </c>
      <c r="E553" s="110">
        <v>2200000</v>
      </c>
      <c r="F553" t="str">
        <f>VLOOKUP(D553,Sheet1!$A$18:$B$28,2,FALSE)</f>
        <v>BH Xe cơ giới</v>
      </c>
      <c r="G553" t="str">
        <f t="shared" si="25"/>
        <v>174</v>
      </c>
      <c r="H553" s="24">
        <f t="shared" si="26"/>
        <v>2200000</v>
      </c>
      <c r="I553" t="str">
        <f>VLOOKUP(G553,'CHECK_DT-BT'!$A$3:$C$92,3,FALSE)</f>
        <v>BV Thanh Hóa</v>
      </c>
    </row>
    <row r="554" spans="1:9" x14ac:dyDescent="0.25">
      <c r="A554" t="str">
        <f t="shared" si="24"/>
        <v>174</v>
      </c>
      <c r="B554" t="s">
        <v>1231</v>
      </c>
      <c r="C554" t="s">
        <v>1232</v>
      </c>
      <c r="D554" t="s">
        <v>393</v>
      </c>
      <c r="E554" s="110">
        <v>500000</v>
      </c>
      <c r="F554" t="str">
        <f>VLOOKUP(D554,Sheet1!$A$18:$B$28,2,FALSE)</f>
        <v>BH Xe cơ giới</v>
      </c>
      <c r="G554" t="str">
        <f t="shared" si="25"/>
        <v>174</v>
      </c>
      <c r="H554" s="24">
        <f t="shared" si="26"/>
        <v>500000</v>
      </c>
      <c r="I554" t="str">
        <f>VLOOKUP(G554,'CHECK_DT-BT'!$A$3:$C$92,3,FALSE)</f>
        <v>BV Thanh Hóa</v>
      </c>
    </row>
    <row r="555" spans="1:9" x14ac:dyDescent="0.25">
      <c r="A555" t="str">
        <f t="shared" si="24"/>
        <v>174</v>
      </c>
      <c r="B555" t="s">
        <v>1233</v>
      </c>
      <c r="C555" t="s">
        <v>1234</v>
      </c>
      <c r="D555" t="s">
        <v>393</v>
      </c>
      <c r="E555" s="110">
        <v>2300000</v>
      </c>
      <c r="F555" t="str">
        <f>VLOOKUP(D555,Sheet1!$A$18:$B$28,2,FALSE)</f>
        <v>BH Xe cơ giới</v>
      </c>
      <c r="G555" t="str">
        <f t="shared" si="25"/>
        <v>174</v>
      </c>
      <c r="H555" s="24">
        <f t="shared" si="26"/>
        <v>2300000</v>
      </c>
      <c r="I555" t="str">
        <f>VLOOKUP(G555,'CHECK_DT-BT'!$A$3:$C$92,3,FALSE)</f>
        <v>BV Thanh Hóa</v>
      </c>
    </row>
    <row r="556" spans="1:9" x14ac:dyDescent="0.25">
      <c r="A556" t="str">
        <f t="shared" si="24"/>
        <v>174</v>
      </c>
      <c r="B556" t="s">
        <v>1235</v>
      </c>
      <c r="C556" t="s">
        <v>1236</v>
      </c>
      <c r="D556" t="s">
        <v>391</v>
      </c>
      <c r="E556" s="110">
        <v>296026470</v>
      </c>
      <c r="F556" t="str">
        <f>VLOOKUP(D556,Sheet1!$A$18:$B$28,2,FALSE)</f>
        <v>BH Kỹ thuật</v>
      </c>
      <c r="G556" t="str">
        <f t="shared" si="25"/>
        <v>174</v>
      </c>
      <c r="H556" s="24">
        <f t="shared" si="26"/>
        <v>296026470</v>
      </c>
      <c r="I556" t="str">
        <f>VLOOKUP(G556,'CHECK_DT-BT'!$A$3:$C$92,3,FALSE)</f>
        <v>BV Thanh Hóa</v>
      </c>
    </row>
    <row r="557" spans="1:9" x14ac:dyDescent="0.25">
      <c r="A557" t="str">
        <f t="shared" si="24"/>
        <v>175</v>
      </c>
      <c r="B557" t="s">
        <v>1237</v>
      </c>
      <c r="C557" t="s">
        <v>1238</v>
      </c>
      <c r="D557" t="s">
        <v>391</v>
      </c>
      <c r="E557" s="110">
        <v>48422275</v>
      </c>
      <c r="F557" t="str">
        <f>VLOOKUP(D557,Sheet1!$A$18:$B$28,2,FALSE)</f>
        <v>BH Kỹ thuật</v>
      </c>
      <c r="G557" t="str">
        <f t="shared" si="25"/>
        <v>175</v>
      </c>
      <c r="H557" s="24">
        <f t="shared" si="26"/>
        <v>48422275</v>
      </c>
      <c r="I557" t="str">
        <f>VLOOKUP(G557,'CHECK_DT-BT'!$A$3:$C$92,3,FALSE)</f>
        <v>BV Thừa Thiên Huế</v>
      </c>
    </row>
    <row r="558" spans="1:9" x14ac:dyDescent="0.25">
      <c r="A558" t="str">
        <f t="shared" si="24"/>
        <v>175</v>
      </c>
      <c r="B558" t="s">
        <v>1237</v>
      </c>
      <c r="C558" t="s">
        <v>1238</v>
      </c>
      <c r="D558" t="s">
        <v>393</v>
      </c>
      <c r="E558" s="110">
        <v>-7500000</v>
      </c>
      <c r="F558" t="str">
        <f>VLOOKUP(D558,Sheet1!$A$18:$B$28,2,FALSE)</f>
        <v>BH Xe cơ giới</v>
      </c>
      <c r="G558" t="str">
        <f t="shared" si="25"/>
        <v>175</v>
      </c>
      <c r="H558" s="24">
        <f t="shared" si="26"/>
        <v>-7500000</v>
      </c>
      <c r="I558" t="str">
        <f>VLOOKUP(G558,'CHECK_DT-BT'!$A$3:$C$92,3,FALSE)</f>
        <v>BV Thừa Thiên Huế</v>
      </c>
    </row>
    <row r="559" spans="1:9" x14ac:dyDescent="0.25">
      <c r="A559" t="str">
        <f t="shared" si="24"/>
        <v>175</v>
      </c>
      <c r="B559" t="s">
        <v>1239</v>
      </c>
      <c r="C559" t="s">
        <v>1240</v>
      </c>
      <c r="D559" t="s">
        <v>393</v>
      </c>
      <c r="E559" s="110">
        <v>1100000</v>
      </c>
      <c r="F559" t="str">
        <f>VLOOKUP(D559,Sheet1!$A$18:$B$28,2,FALSE)</f>
        <v>BH Xe cơ giới</v>
      </c>
      <c r="G559" t="str">
        <f t="shared" si="25"/>
        <v>175</v>
      </c>
      <c r="H559" s="24">
        <f t="shared" si="26"/>
        <v>1100000</v>
      </c>
      <c r="I559" t="str">
        <f>VLOOKUP(G559,'CHECK_DT-BT'!$A$3:$C$92,3,FALSE)</f>
        <v>BV Thừa Thiên Huế</v>
      </c>
    </row>
    <row r="560" spans="1:9" x14ac:dyDescent="0.25">
      <c r="A560" t="str">
        <f t="shared" si="24"/>
        <v>175</v>
      </c>
      <c r="B560" t="s">
        <v>1241</v>
      </c>
      <c r="C560" t="s">
        <v>1242</v>
      </c>
      <c r="D560" t="s">
        <v>393</v>
      </c>
      <c r="E560" s="110">
        <v>8000000</v>
      </c>
      <c r="F560" t="str">
        <f>VLOOKUP(D560,Sheet1!$A$18:$B$28,2,FALSE)</f>
        <v>BH Xe cơ giới</v>
      </c>
      <c r="G560" t="str">
        <f t="shared" si="25"/>
        <v>175</v>
      </c>
      <c r="H560" s="24">
        <f t="shared" si="26"/>
        <v>8000000</v>
      </c>
      <c r="I560" t="str">
        <f>VLOOKUP(G560,'CHECK_DT-BT'!$A$3:$C$92,3,FALSE)</f>
        <v>BV Thừa Thiên Huế</v>
      </c>
    </row>
    <row r="561" spans="1:9" x14ac:dyDescent="0.25">
      <c r="A561" t="str">
        <f t="shared" si="24"/>
        <v>175</v>
      </c>
      <c r="B561" t="s">
        <v>1243</v>
      </c>
      <c r="C561" t="s">
        <v>1244</v>
      </c>
      <c r="D561" t="s">
        <v>393</v>
      </c>
      <c r="E561" s="110">
        <v>500000</v>
      </c>
      <c r="F561" t="str">
        <f>VLOOKUP(D561,Sheet1!$A$18:$B$28,2,FALSE)</f>
        <v>BH Xe cơ giới</v>
      </c>
      <c r="G561" t="str">
        <f t="shared" si="25"/>
        <v>175</v>
      </c>
      <c r="H561" s="24">
        <f t="shared" si="26"/>
        <v>500000</v>
      </c>
      <c r="I561" t="str">
        <f>VLOOKUP(G561,'CHECK_DT-BT'!$A$3:$C$92,3,FALSE)</f>
        <v>BV Thừa Thiên Huế</v>
      </c>
    </row>
    <row r="562" spans="1:9" x14ac:dyDescent="0.25">
      <c r="A562" t="str">
        <f t="shared" si="24"/>
        <v>175</v>
      </c>
      <c r="B562" t="s">
        <v>1245</v>
      </c>
      <c r="C562" t="s">
        <v>1246</v>
      </c>
      <c r="D562" t="s">
        <v>393</v>
      </c>
      <c r="E562" s="110">
        <v>1500000</v>
      </c>
      <c r="F562" t="str">
        <f>VLOOKUP(D562,Sheet1!$A$18:$B$28,2,FALSE)</f>
        <v>BH Xe cơ giới</v>
      </c>
      <c r="G562" t="str">
        <f t="shared" si="25"/>
        <v>175</v>
      </c>
      <c r="H562" s="24">
        <f t="shared" si="26"/>
        <v>1500000</v>
      </c>
      <c r="I562" t="str">
        <f>VLOOKUP(G562,'CHECK_DT-BT'!$A$3:$C$92,3,FALSE)</f>
        <v>BV Thừa Thiên Huế</v>
      </c>
    </row>
    <row r="563" spans="1:9" x14ac:dyDescent="0.25">
      <c r="A563" t="str">
        <f t="shared" si="24"/>
        <v>175</v>
      </c>
      <c r="B563" t="s">
        <v>1247</v>
      </c>
      <c r="C563" t="s">
        <v>1248</v>
      </c>
      <c r="D563" t="s">
        <v>393</v>
      </c>
      <c r="E563" s="110">
        <v>1000000</v>
      </c>
      <c r="F563" t="str">
        <f>VLOOKUP(D563,Sheet1!$A$18:$B$28,2,FALSE)</f>
        <v>BH Xe cơ giới</v>
      </c>
      <c r="G563" t="str">
        <f t="shared" si="25"/>
        <v>175</v>
      </c>
      <c r="H563" s="24">
        <f t="shared" si="26"/>
        <v>1000000</v>
      </c>
      <c r="I563" t="str">
        <f>VLOOKUP(G563,'CHECK_DT-BT'!$A$3:$C$92,3,FALSE)</f>
        <v>BV Thừa Thiên Huế</v>
      </c>
    </row>
    <row r="564" spans="1:9" x14ac:dyDescent="0.25">
      <c r="A564" t="str">
        <f t="shared" si="24"/>
        <v>176</v>
      </c>
      <c r="B564" t="s">
        <v>1249</v>
      </c>
      <c r="C564" t="s">
        <v>1250</v>
      </c>
      <c r="D564" t="s">
        <v>396</v>
      </c>
      <c r="E564" s="110">
        <v>160000</v>
      </c>
      <c r="F564" t="str">
        <f>VLOOKUP(D564,Sheet1!$A$18:$B$28,2,FALSE)</f>
        <v>BH Y tế</v>
      </c>
      <c r="G564" t="str">
        <f t="shared" si="25"/>
        <v>176</v>
      </c>
      <c r="H564" s="24">
        <f t="shared" si="26"/>
        <v>160000</v>
      </c>
      <c r="I564" t="str">
        <f>VLOOKUP(G564,'CHECK_DT-BT'!$A$3:$C$92,3,FALSE)</f>
        <v>BV Tiền Giang</v>
      </c>
    </row>
    <row r="565" spans="1:9" x14ac:dyDescent="0.25">
      <c r="A565" t="str">
        <f t="shared" si="24"/>
        <v>176</v>
      </c>
      <c r="B565" t="s">
        <v>1251</v>
      </c>
      <c r="C565" t="s">
        <v>1252</v>
      </c>
      <c r="D565" t="s">
        <v>394</v>
      </c>
      <c r="E565" s="110">
        <v>100000</v>
      </c>
      <c r="F565" t="str">
        <f>VLOOKUP(D565,Sheet1!$A$18:$B$28,2,FALSE)</f>
        <v>BH Con người</v>
      </c>
      <c r="G565" t="str">
        <f t="shared" si="25"/>
        <v>176</v>
      </c>
      <c r="H565" s="24">
        <f t="shared" si="26"/>
        <v>100000</v>
      </c>
      <c r="I565" t="str">
        <f>VLOOKUP(G565,'CHECK_DT-BT'!$A$3:$C$92,3,FALSE)</f>
        <v>BV Tiền Giang</v>
      </c>
    </row>
    <row r="566" spans="1:9" x14ac:dyDescent="0.25">
      <c r="A566" t="str">
        <f t="shared" si="24"/>
        <v>176</v>
      </c>
      <c r="B566" t="s">
        <v>1251</v>
      </c>
      <c r="C566" t="s">
        <v>1252</v>
      </c>
      <c r="D566" t="s">
        <v>393</v>
      </c>
      <c r="E566" s="110">
        <v>6000000</v>
      </c>
      <c r="F566" t="str">
        <f>VLOOKUP(D566,Sheet1!$A$18:$B$28,2,FALSE)</f>
        <v>BH Xe cơ giới</v>
      </c>
      <c r="G566" t="str">
        <f t="shared" si="25"/>
        <v>176</v>
      </c>
      <c r="H566" s="24">
        <f t="shared" si="26"/>
        <v>6000000</v>
      </c>
      <c r="I566" t="str">
        <f>VLOOKUP(G566,'CHECK_DT-BT'!$A$3:$C$92,3,FALSE)</f>
        <v>BV Tiền Giang</v>
      </c>
    </row>
    <row r="567" spans="1:9" x14ac:dyDescent="0.25">
      <c r="A567" t="str">
        <f t="shared" si="24"/>
        <v>176</v>
      </c>
      <c r="B567" t="s">
        <v>1253</v>
      </c>
      <c r="C567" t="s">
        <v>1254</v>
      </c>
      <c r="D567" t="s">
        <v>393</v>
      </c>
      <c r="E567" s="110">
        <v>2000000</v>
      </c>
      <c r="F567" t="str">
        <f>VLOOKUP(D567,Sheet1!$A$18:$B$28,2,FALSE)</f>
        <v>BH Xe cơ giới</v>
      </c>
      <c r="G567" t="str">
        <f t="shared" si="25"/>
        <v>176</v>
      </c>
      <c r="H567" s="24">
        <f t="shared" si="26"/>
        <v>2000000</v>
      </c>
      <c r="I567" t="str">
        <f>VLOOKUP(G567,'CHECK_DT-BT'!$A$3:$C$92,3,FALSE)</f>
        <v>BV Tiền Giang</v>
      </c>
    </row>
    <row r="568" spans="1:9" x14ac:dyDescent="0.25">
      <c r="A568" t="str">
        <f t="shared" si="24"/>
        <v>176</v>
      </c>
      <c r="B568" t="s">
        <v>1255</v>
      </c>
      <c r="C568" t="s">
        <v>1256</v>
      </c>
      <c r="D568" t="s">
        <v>393</v>
      </c>
      <c r="E568" s="110">
        <v>1500000</v>
      </c>
      <c r="F568" t="str">
        <f>VLOOKUP(D568,Sheet1!$A$18:$B$28,2,FALSE)</f>
        <v>BH Xe cơ giới</v>
      </c>
      <c r="G568" t="str">
        <f t="shared" si="25"/>
        <v>176</v>
      </c>
      <c r="H568" s="24">
        <f t="shared" si="26"/>
        <v>1500000</v>
      </c>
      <c r="I568" t="str">
        <f>VLOOKUP(G568,'CHECK_DT-BT'!$A$3:$C$92,3,FALSE)</f>
        <v>BV Tiền Giang</v>
      </c>
    </row>
    <row r="569" spans="1:9" x14ac:dyDescent="0.25">
      <c r="A569" t="str">
        <f t="shared" si="24"/>
        <v>176</v>
      </c>
      <c r="B569" t="s">
        <v>1257</v>
      </c>
      <c r="C569" t="s">
        <v>1258</v>
      </c>
      <c r="D569" t="s">
        <v>393</v>
      </c>
      <c r="E569" s="110">
        <v>2000000</v>
      </c>
      <c r="F569" t="str">
        <f>VLOOKUP(D569,Sheet1!$A$18:$B$28,2,FALSE)</f>
        <v>BH Xe cơ giới</v>
      </c>
      <c r="G569" t="str">
        <f t="shared" si="25"/>
        <v>176</v>
      </c>
      <c r="H569" s="24">
        <f t="shared" si="26"/>
        <v>2000000</v>
      </c>
      <c r="I569" t="str">
        <f>VLOOKUP(G569,'CHECK_DT-BT'!$A$3:$C$92,3,FALSE)</f>
        <v>BV Tiền Giang</v>
      </c>
    </row>
    <row r="570" spans="1:9" x14ac:dyDescent="0.25">
      <c r="A570" t="str">
        <f t="shared" si="24"/>
        <v>176</v>
      </c>
      <c r="B570" t="s">
        <v>1259</v>
      </c>
      <c r="C570" t="s">
        <v>1260</v>
      </c>
      <c r="D570" t="s">
        <v>272</v>
      </c>
      <c r="E570" s="110">
        <v>48125000</v>
      </c>
      <c r="F570" t="str">
        <f>VLOOKUP(D570,Sheet1!$A$18:$B$28,2,FALSE)</f>
        <v>Tàu khác</v>
      </c>
      <c r="G570" t="str">
        <f t="shared" si="25"/>
        <v>176</v>
      </c>
      <c r="H570" s="24">
        <f t="shared" si="26"/>
        <v>48125000</v>
      </c>
      <c r="I570" t="str">
        <f>VLOOKUP(G570,'CHECK_DT-BT'!$A$3:$C$92,3,FALSE)</f>
        <v>BV Tiền Giang</v>
      </c>
    </row>
    <row r="571" spans="1:9" x14ac:dyDescent="0.25">
      <c r="A571" t="str">
        <f t="shared" si="24"/>
        <v>176</v>
      </c>
      <c r="B571" t="s">
        <v>1259</v>
      </c>
      <c r="C571" t="s">
        <v>1260</v>
      </c>
      <c r="D571" t="s">
        <v>393</v>
      </c>
      <c r="E571" s="110">
        <v>-3679259</v>
      </c>
      <c r="F571" t="str">
        <f>VLOOKUP(D571,Sheet1!$A$18:$B$28,2,FALSE)</f>
        <v>BH Xe cơ giới</v>
      </c>
      <c r="G571" t="str">
        <f t="shared" si="25"/>
        <v>176</v>
      </c>
      <c r="H571" s="24">
        <f t="shared" si="26"/>
        <v>-3679259</v>
      </c>
      <c r="I571" t="str">
        <f>VLOOKUP(G571,'CHECK_DT-BT'!$A$3:$C$92,3,FALSE)</f>
        <v>BV Tiền Giang</v>
      </c>
    </row>
    <row r="572" spans="1:9" x14ac:dyDescent="0.25">
      <c r="A572" t="str">
        <f t="shared" si="24"/>
        <v>176</v>
      </c>
      <c r="B572" t="s">
        <v>1259</v>
      </c>
      <c r="C572" t="s">
        <v>1260</v>
      </c>
      <c r="D572" t="s">
        <v>1261</v>
      </c>
      <c r="E572" s="110">
        <v>200000</v>
      </c>
      <c r="F572" t="e">
        <f>VLOOKUP(D572,Sheet1!$A$18:$B$28,2,FALSE)</f>
        <v>#N/A</v>
      </c>
      <c r="G572" t="str">
        <f t="shared" si="25"/>
        <v>176</v>
      </c>
      <c r="H572" s="24">
        <f t="shared" si="26"/>
        <v>200000</v>
      </c>
      <c r="I572" t="str">
        <f>VLOOKUP(G572,'CHECK_DT-BT'!$A$3:$C$92,3,FALSE)</f>
        <v>BV Tiền Giang</v>
      </c>
    </row>
    <row r="573" spans="1:9" x14ac:dyDescent="0.25">
      <c r="A573" t="str">
        <f t="shared" si="24"/>
        <v>177</v>
      </c>
      <c r="B573" t="s">
        <v>1262</v>
      </c>
      <c r="C573" t="s">
        <v>1263</v>
      </c>
      <c r="D573" t="s">
        <v>393</v>
      </c>
      <c r="E573" s="110">
        <v>2500000</v>
      </c>
      <c r="F573" t="str">
        <f>VLOOKUP(D573,Sheet1!$A$18:$B$28,2,FALSE)</f>
        <v>BH Xe cơ giới</v>
      </c>
      <c r="G573" t="str">
        <f t="shared" si="25"/>
        <v>177</v>
      </c>
      <c r="H573" s="24">
        <f t="shared" si="26"/>
        <v>2500000</v>
      </c>
      <c r="I573" t="str">
        <f>VLOOKUP(G573,'CHECK_DT-BT'!$A$3:$C$92,3,FALSE)</f>
        <v>BV Trà Vinh</v>
      </c>
    </row>
    <row r="574" spans="1:9" x14ac:dyDescent="0.25">
      <c r="A574" t="str">
        <f t="shared" si="24"/>
        <v>177</v>
      </c>
      <c r="B574" t="s">
        <v>1264</v>
      </c>
      <c r="C574" t="s">
        <v>1265</v>
      </c>
      <c r="D574" t="s">
        <v>393</v>
      </c>
      <c r="E574" s="110">
        <v>7500000</v>
      </c>
      <c r="F574" t="str">
        <f>VLOOKUP(D574,Sheet1!$A$18:$B$28,2,FALSE)</f>
        <v>BH Xe cơ giới</v>
      </c>
      <c r="G574" t="str">
        <f t="shared" si="25"/>
        <v>177</v>
      </c>
      <c r="H574" s="24">
        <f t="shared" si="26"/>
        <v>7500000</v>
      </c>
      <c r="I574" t="str">
        <f>VLOOKUP(G574,'CHECK_DT-BT'!$A$3:$C$92,3,FALSE)</f>
        <v>BV Trà Vinh</v>
      </c>
    </row>
    <row r="575" spans="1:9" x14ac:dyDescent="0.25">
      <c r="A575" t="str">
        <f t="shared" si="24"/>
        <v>177</v>
      </c>
      <c r="B575" t="s">
        <v>1266</v>
      </c>
      <c r="C575" t="s">
        <v>1267</v>
      </c>
      <c r="D575" t="s">
        <v>393</v>
      </c>
      <c r="E575" s="110">
        <v>500000</v>
      </c>
      <c r="F575" t="str">
        <f>VLOOKUP(D575,Sheet1!$A$18:$B$28,2,FALSE)</f>
        <v>BH Xe cơ giới</v>
      </c>
      <c r="G575" t="str">
        <f t="shared" si="25"/>
        <v>177</v>
      </c>
      <c r="H575" s="24">
        <f t="shared" si="26"/>
        <v>500000</v>
      </c>
      <c r="I575" t="str">
        <f>VLOOKUP(G575,'CHECK_DT-BT'!$A$3:$C$92,3,FALSE)</f>
        <v>BV Trà Vinh</v>
      </c>
    </row>
    <row r="576" spans="1:9" x14ac:dyDescent="0.25">
      <c r="A576" t="str">
        <f t="shared" si="24"/>
        <v>177</v>
      </c>
      <c r="B576" t="s">
        <v>1268</v>
      </c>
      <c r="C576" t="s">
        <v>1269</v>
      </c>
      <c r="D576" t="s">
        <v>393</v>
      </c>
      <c r="E576" s="110">
        <v>500000</v>
      </c>
      <c r="F576" t="str">
        <f>VLOOKUP(D576,Sheet1!$A$18:$B$28,2,FALSE)</f>
        <v>BH Xe cơ giới</v>
      </c>
      <c r="G576" t="str">
        <f t="shared" si="25"/>
        <v>177</v>
      </c>
      <c r="H576" s="24">
        <f t="shared" si="26"/>
        <v>500000</v>
      </c>
      <c r="I576" t="str">
        <f>VLOOKUP(G576,'CHECK_DT-BT'!$A$3:$C$92,3,FALSE)</f>
        <v>BV Trà Vinh</v>
      </c>
    </row>
    <row r="577" spans="1:9" x14ac:dyDescent="0.25">
      <c r="A577" t="str">
        <f t="shared" si="24"/>
        <v>177</v>
      </c>
      <c r="B577" t="s">
        <v>1270</v>
      </c>
      <c r="C577" t="s">
        <v>1271</v>
      </c>
      <c r="D577" t="s">
        <v>393</v>
      </c>
      <c r="E577" s="110">
        <v>2000000</v>
      </c>
      <c r="F577" t="str">
        <f>VLOOKUP(D577,Sheet1!$A$18:$B$28,2,FALSE)</f>
        <v>BH Xe cơ giới</v>
      </c>
      <c r="G577" t="str">
        <f t="shared" si="25"/>
        <v>177</v>
      </c>
      <c r="H577" s="24">
        <f t="shared" si="26"/>
        <v>2000000</v>
      </c>
      <c r="I577" t="str">
        <f>VLOOKUP(G577,'CHECK_DT-BT'!$A$3:$C$92,3,FALSE)</f>
        <v>BV Trà Vinh</v>
      </c>
    </row>
    <row r="578" spans="1:9" x14ac:dyDescent="0.25">
      <c r="A578" t="str">
        <f t="shared" si="24"/>
        <v>178</v>
      </c>
      <c r="B578" t="s">
        <v>1272</v>
      </c>
      <c r="C578" t="s">
        <v>1273</v>
      </c>
      <c r="D578" t="s">
        <v>393</v>
      </c>
      <c r="E578" s="110">
        <v>500000</v>
      </c>
      <c r="F578" t="str">
        <f>VLOOKUP(D578,Sheet1!$A$18:$B$28,2,FALSE)</f>
        <v>BH Xe cơ giới</v>
      </c>
      <c r="G578" t="str">
        <f t="shared" si="25"/>
        <v>178</v>
      </c>
      <c r="H578" s="24">
        <f t="shared" si="26"/>
        <v>500000</v>
      </c>
      <c r="I578" t="str">
        <f>VLOOKUP(G578,'CHECK_DT-BT'!$A$3:$C$92,3,FALSE)</f>
        <v>BV Tuyên Quang</v>
      </c>
    </row>
    <row r="579" spans="1:9" x14ac:dyDescent="0.25">
      <c r="A579" t="str">
        <f t="shared" si="24"/>
        <v>178</v>
      </c>
      <c r="B579" t="s">
        <v>1274</v>
      </c>
      <c r="C579" t="s">
        <v>1275</v>
      </c>
      <c r="D579" t="s">
        <v>393</v>
      </c>
      <c r="E579" s="110">
        <v>1200000</v>
      </c>
      <c r="F579" t="str">
        <f>VLOOKUP(D579,Sheet1!$A$18:$B$28,2,FALSE)</f>
        <v>BH Xe cơ giới</v>
      </c>
      <c r="G579" t="str">
        <f t="shared" si="25"/>
        <v>178</v>
      </c>
      <c r="H579" s="24">
        <f t="shared" si="26"/>
        <v>1200000</v>
      </c>
      <c r="I579" t="str">
        <f>VLOOKUP(G579,'CHECK_DT-BT'!$A$3:$C$92,3,FALSE)</f>
        <v>BV Tuyên Quang</v>
      </c>
    </row>
    <row r="580" spans="1:9" x14ac:dyDescent="0.25">
      <c r="A580" t="str">
        <f t="shared" si="24"/>
        <v>179</v>
      </c>
      <c r="B580" t="s">
        <v>360</v>
      </c>
      <c r="C580" t="s">
        <v>86</v>
      </c>
      <c r="D580" t="s">
        <v>393</v>
      </c>
      <c r="E580" s="110">
        <v>3500000</v>
      </c>
      <c r="F580" t="str">
        <f>VLOOKUP(D580,Sheet1!$A$18:$B$28,2,FALSE)</f>
        <v>BH Xe cơ giới</v>
      </c>
      <c r="G580" t="str">
        <f t="shared" si="25"/>
        <v>179</v>
      </c>
      <c r="H580" s="24">
        <f t="shared" si="26"/>
        <v>3500000</v>
      </c>
      <c r="I580" t="str">
        <f>VLOOKUP(G580,'CHECK_DT-BT'!$A$3:$C$92,3,FALSE)</f>
        <v>BV Vĩnh Long</v>
      </c>
    </row>
    <row r="581" spans="1:9" x14ac:dyDescent="0.25">
      <c r="A581" t="str">
        <f t="shared" ref="A581:A644" si="27">LEFT(B581,3)</f>
        <v>179</v>
      </c>
      <c r="B581" t="s">
        <v>1276</v>
      </c>
      <c r="C581" t="s">
        <v>1277</v>
      </c>
      <c r="D581" t="s">
        <v>393</v>
      </c>
      <c r="E581" s="110">
        <v>8800000</v>
      </c>
      <c r="F581" t="str">
        <f>VLOOKUP(D581,Sheet1!$A$18:$B$28,2,FALSE)</f>
        <v>BH Xe cơ giới</v>
      </c>
      <c r="G581" t="str">
        <f t="shared" ref="G581:G644" si="28">IF(A581="101",B581,A581)</f>
        <v>179</v>
      </c>
      <c r="H581" s="24">
        <f t="shared" ref="H581:H644" si="29">E581</f>
        <v>8800000</v>
      </c>
      <c r="I581" t="str">
        <f>VLOOKUP(G581,'CHECK_DT-BT'!$A$3:$C$92,3,FALSE)</f>
        <v>BV Vĩnh Long</v>
      </c>
    </row>
    <row r="582" spans="1:9" x14ac:dyDescent="0.25">
      <c r="A582" t="str">
        <f t="shared" si="27"/>
        <v>179</v>
      </c>
      <c r="B582" t="s">
        <v>1278</v>
      </c>
      <c r="C582" t="s">
        <v>1279</v>
      </c>
      <c r="D582" t="s">
        <v>393</v>
      </c>
      <c r="E582" s="110">
        <v>700000</v>
      </c>
      <c r="F582" t="str">
        <f>VLOOKUP(D582,Sheet1!$A$18:$B$28,2,FALSE)</f>
        <v>BH Xe cơ giới</v>
      </c>
      <c r="G582" t="str">
        <f t="shared" si="28"/>
        <v>179</v>
      </c>
      <c r="H582" s="24">
        <f t="shared" si="29"/>
        <v>700000</v>
      </c>
      <c r="I582" t="str">
        <f>VLOOKUP(G582,'CHECK_DT-BT'!$A$3:$C$92,3,FALSE)</f>
        <v>BV Vĩnh Long</v>
      </c>
    </row>
    <row r="583" spans="1:9" x14ac:dyDescent="0.25">
      <c r="A583" t="str">
        <f t="shared" si="27"/>
        <v>179</v>
      </c>
      <c r="B583" t="s">
        <v>1280</v>
      </c>
      <c r="C583" t="s">
        <v>1281</v>
      </c>
      <c r="D583" t="s">
        <v>393</v>
      </c>
      <c r="E583" s="110">
        <v>2720000</v>
      </c>
      <c r="F583" t="str">
        <f>VLOOKUP(D583,Sheet1!$A$18:$B$28,2,FALSE)</f>
        <v>BH Xe cơ giới</v>
      </c>
      <c r="G583" t="str">
        <f t="shared" si="28"/>
        <v>179</v>
      </c>
      <c r="H583" s="24">
        <f t="shared" si="29"/>
        <v>2720000</v>
      </c>
      <c r="I583" t="str">
        <f>VLOOKUP(G583,'CHECK_DT-BT'!$A$3:$C$92,3,FALSE)</f>
        <v>BV Vĩnh Long</v>
      </c>
    </row>
    <row r="584" spans="1:9" x14ac:dyDescent="0.25">
      <c r="A584" t="str">
        <f t="shared" si="27"/>
        <v>179</v>
      </c>
      <c r="B584" t="s">
        <v>1282</v>
      </c>
      <c r="C584" t="s">
        <v>1283</v>
      </c>
      <c r="D584" t="s">
        <v>393</v>
      </c>
      <c r="E584" s="110">
        <v>2000000</v>
      </c>
      <c r="F584" t="str">
        <f>VLOOKUP(D584,Sheet1!$A$18:$B$28,2,FALSE)</f>
        <v>BH Xe cơ giới</v>
      </c>
      <c r="G584" t="str">
        <f t="shared" si="28"/>
        <v>179</v>
      </c>
      <c r="H584" s="24">
        <f t="shared" si="29"/>
        <v>2000000</v>
      </c>
      <c r="I584" t="str">
        <f>VLOOKUP(G584,'CHECK_DT-BT'!$A$3:$C$92,3,FALSE)</f>
        <v>BV Vĩnh Long</v>
      </c>
    </row>
    <row r="585" spans="1:9" x14ac:dyDescent="0.25">
      <c r="A585" t="str">
        <f t="shared" si="27"/>
        <v>179</v>
      </c>
      <c r="B585" t="s">
        <v>1284</v>
      </c>
      <c r="C585" t="s">
        <v>1285</v>
      </c>
      <c r="D585" t="s">
        <v>393</v>
      </c>
      <c r="E585" s="110">
        <v>18320000</v>
      </c>
      <c r="F585" t="str">
        <f>VLOOKUP(D585,Sheet1!$A$18:$B$28,2,FALSE)</f>
        <v>BH Xe cơ giới</v>
      </c>
      <c r="G585" t="str">
        <f t="shared" si="28"/>
        <v>179</v>
      </c>
      <c r="H585" s="24">
        <f t="shared" si="29"/>
        <v>18320000</v>
      </c>
      <c r="I585" t="str">
        <f>VLOOKUP(G585,'CHECK_DT-BT'!$A$3:$C$92,3,FALSE)</f>
        <v>BV Vĩnh Long</v>
      </c>
    </row>
    <row r="586" spans="1:9" x14ac:dyDescent="0.25">
      <c r="A586" t="str">
        <f t="shared" si="27"/>
        <v>179</v>
      </c>
      <c r="B586" t="s">
        <v>1286</v>
      </c>
      <c r="C586" t="s">
        <v>1287</v>
      </c>
      <c r="D586" t="s">
        <v>393</v>
      </c>
      <c r="E586" s="110">
        <v>1800000</v>
      </c>
      <c r="F586" t="str">
        <f>VLOOKUP(D586,Sheet1!$A$18:$B$28,2,FALSE)</f>
        <v>BH Xe cơ giới</v>
      </c>
      <c r="G586" t="str">
        <f t="shared" si="28"/>
        <v>179</v>
      </c>
      <c r="H586" s="24">
        <f t="shared" si="29"/>
        <v>1800000</v>
      </c>
      <c r="I586" t="str">
        <f>VLOOKUP(G586,'CHECK_DT-BT'!$A$3:$C$92,3,FALSE)</f>
        <v>BV Vĩnh Long</v>
      </c>
    </row>
    <row r="587" spans="1:9" x14ac:dyDescent="0.25">
      <c r="A587" t="str">
        <f t="shared" si="27"/>
        <v>179</v>
      </c>
      <c r="B587" t="s">
        <v>1288</v>
      </c>
      <c r="C587" t="s">
        <v>1289</v>
      </c>
      <c r="D587" t="s">
        <v>393</v>
      </c>
      <c r="E587" s="110">
        <v>6000000</v>
      </c>
      <c r="F587" t="str">
        <f>VLOOKUP(D587,Sheet1!$A$18:$B$28,2,FALSE)</f>
        <v>BH Xe cơ giới</v>
      </c>
      <c r="G587" t="str">
        <f t="shared" si="28"/>
        <v>179</v>
      </c>
      <c r="H587" s="24">
        <f t="shared" si="29"/>
        <v>6000000</v>
      </c>
      <c r="I587" t="str">
        <f>VLOOKUP(G587,'CHECK_DT-BT'!$A$3:$C$92,3,FALSE)</f>
        <v>BV Vĩnh Long</v>
      </c>
    </row>
    <row r="588" spans="1:9" x14ac:dyDescent="0.25">
      <c r="A588" t="str">
        <f t="shared" si="27"/>
        <v>180</v>
      </c>
      <c r="B588" t="s">
        <v>1290</v>
      </c>
      <c r="C588" t="s">
        <v>1291</v>
      </c>
      <c r="D588" t="s">
        <v>393</v>
      </c>
      <c r="E588" s="110">
        <v>5626000</v>
      </c>
      <c r="F588" t="str">
        <f>VLOOKUP(D588,Sheet1!$A$18:$B$28,2,FALSE)</f>
        <v>BH Xe cơ giới</v>
      </c>
      <c r="G588" t="str">
        <f t="shared" si="28"/>
        <v>180</v>
      </c>
      <c r="H588" s="24">
        <f t="shared" si="29"/>
        <v>5626000</v>
      </c>
      <c r="I588" t="str">
        <f>VLOOKUP(G588,'CHECK_DT-BT'!$A$3:$C$92,3,FALSE)</f>
        <v>BV Vĩnh Phúc</v>
      </c>
    </row>
    <row r="589" spans="1:9" x14ac:dyDescent="0.25">
      <c r="A589" t="str">
        <f t="shared" si="27"/>
        <v>180</v>
      </c>
      <c r="B589" t="s">
        <v>1292</v>
      </c>
      <c r="C589" t="s">
        <v>1293</v>
      </c>
      <c r="D589" t="s">
        <v>393</v>
      </c>
      <c r="E589" s="110">
        <v>1100000</v>
      </c>
      <c r="F589" t="str">
        <f>VLOOKUP(D589,Sheet1!$A$18:$B$28,2,FALSE)</f>
        <v>BH Xe cơ giới</v>
      </c>
      <c r="G589" t="str">
        <f t="shared" si="28"/>
        <v>180</v>
      </c>
      <c r="H589" s="24">
        <f t="shared" si="29"/>
        <v>1100000</v>
      </c>
      <c r="I589" t="str">
        <f>VLOOKUP(G589,'CHECK_DT-BT'!$A$3:$C$92,3,FALSE)</f>
        <v>BV Vĩnh Phúc</v>
      </c>
    </row>
    <row r="590" spans="1:9" x14ac:dyDescent="0.25">
      <c r="A590" t="str">
        <f t="shared" si="27"/>
        <v>180</v>
      </c>
      <c r="B590" t="s">
        <v>1294</v>
      </c>
      <c r="C590" t="s">
        <v>1295</v>
      </c>
      <c r="D590" t="s">
        <v>393</v>
      </c>
      <c r="E590" s="110">
        <v>1000000</v>
      </c>
      <c r="F590" t="str">
        <f>VLOOKUP(D590,Sheet1!$A$18:$B$28,2,FALSE)</f>
        <v>BH Xe cơ giới</v>
      </c>
      <c r="G590" t="str">
        <f t="shared" si="28"/>
        <v>180</v>
      </c>
      <c r="H590" s="24">
        <f t="shared" si="29"/>
        <v>1000000</v>
      </c>
      <c r="I590" t="str">
        <f>VLOOKUP(G590,'CHECK_DT-BT'!$A$3:$C$92,3,FALSE)</f>
        <v>BV Vĩnh Phúc</v>
      </c>
    </row>
    <row r="591" spans="1:9" x14ac:dyDescent="0.25">
      <c r="A591" t="str">
        <f t="shared" si="27"/>
        <v>181</v>
      </c>
      <c r="B591" t="s">
        <v>1296</v>
      </c>
      <c r="C591" t="s">
        <v>1297</v>
      </c>
      <c r="D591" t="s">
        <v>393</v>
      </c>
      <c r="E591" s="110">
        <v>500000</v>
      </c>
      <c r="F591" t="str">
        <f>VLOOKUP(D591,Sheet1!$A$18:$B$28,2,FALSE)</f>
        <v>BH Xe cơ giới</v>
      </c>
      <c r="G591" t="str">
        <f t="shared" si="28"/>
        <v>181</v>
      </c>
      <c r="H591" s="24">
        <f t="shared" si="29"/>
        <v>500000</v>
      </c>
      <c r="I591" t="str">
        <f>VLOOKUP(G591,'CHECK_DT-BT'!$A$3:$C$92,3,FALSE)</f>
        <v>BV Yên Bái</v>
      </c>
    </row>
    <row r="592" spans="1:9" x14ac:dyDescent="0.25">
      <c r="A592" t="str">
        <f t="shared" si="27"/>
        <v>181</v>
      </c>
      <c r="B592" t="s">
        <v>1298</v>
      </c>
      <c r="C592" t="s">
        <v>1299</v>
      </c>
      <c r="D592" t="s">
        <v>393</v>
      </c>
      <c r="E592" s="110">
        <v>1810000</v>
      </c>
      <c r="F592" t="str">
        <f>VLOOKUP(D592,Sheet1!$A$18:$B$28,2,FALSE)</f>
        <v>BH Xe cơ giới</v>
      </c>
      <c r="G592" t="str">
        <f t="shared" si="28"/>
        <v>181</v>
      </c>
      <c r="H592" s="24">
        <f t="shared" si="29"/>
        <v>1810000</v>
      </c>
      <c r="I592" t="str">
        <f>VLOOKUP(G592,'CHECK_DT-BT'!$A$3:$C$92,3,FALSE)</f>
        <v>BV Yên Bái</v>
      </c>
    </row>
    <row r="593" spans="1:9" x14ac:dyDescent="0.25">
      <c r="A593" t="str">
        <f t="shared" si="27"/>
        <v>181</v>
      </c>
      <c r="B593" t="s">
        <v>1300</v>
      </c>
      <c r="C593" t="s">
        <v>1301</v>
      </c>
      <c r="D593" t="s">
        <v>393</v>
      </c>
      <c r="E593" s="110">
        <v>1200000</v>
      </c>
      <c r="F593" t="str">
        <f>VLOOKUP(D593,Sheet1!$A$18:$B$28,2,FALSE)</f>
        <v>BH Xe cơ giới</v>
      </c>
      <c r="G593" t="str">
        <f t="shared" si="28"/>
        <v>181</v>
      </c>
      <c r="H593" s="24">
        <f t="shared" si="29"/>
        <v>1200000</v>
      </c>
      <c r="I593" t="str">
        <f>VLOOKUP(G593,'CHECK_DT-BT'!$A$3:$C$92,3,FALSE)</f>
        <v>BV Yên Bái</v>
      </c>
    </row>
    <row r="594" spans="1:9" x14ac:dyDescent="0.25">
      <c r="A594" t="str">
        <f t="shared" si="27"/>
        <v>182</v>
      </c>
      <c r="B594" t="s">
        <v>1302</v>
      </c>
      <c r="C594" t="s">
        <v>1303</v>
      </c>
      <c r="D594" t="s">
        <v>393</v>
      </c>
      <c r="E594" s="110">
        <v>-23444000</v>
      </c>
      <c r="F594" t="str">
        <f>VLOOKUP(D594,Sheet1!$A$18:$B$28,2,FALSE)</f>
        <v>BH Xe cơ giới</v>
      </c>
      <c r="G594" t="str">
        <f t="shared" si="28"/>
        <v>182</v>
      </c>
      <c r="H594" s="24">
        <f t="shared" si="29"/>
        <v>-23444000</v>
      </c>
      <c r="I594" t="str">
        <f>VLOOKUP(G594,'CHECK_DT-BT'!$A$3:$C$92,3,FALSE)</f>
        <v>BV Nam Bình Dương</v>
      </c>
    </row>
    <row r="595" spans="1:9" x14ac:dyDescent="0.25">
      <c r="A595" t="str">
        <f t="shared" si="27"/>
        <v>182</v>
      </c>
      <c r="B595" t="s">
        <v>1304</v>
      </c>
      <c r="C595" t="s">
        <v>1305</v>
      </c>
      <c r="D595" t="s">
        <v>387</v>
      </c>
      <c r="E595" s="110">
        <v>32500000</v>
      </c>
      <c r="F595" t="str">
        <f>VLOOKUP(D595,Sheet1!$A$18:$B$28,2,FALSE)</f>
        <v>BH Hàng hóa</v>
      </c>
      <c r="G595" t="str">
        <f t="shared" si="28"/>
        <v>182</v>
      </c>
      <c r="H595" s="24">
        <f t="shared" si="29"/>
        <v>32500000</v>
      </c>
      <c r="I595" t="str">
        <f>VLOOKUP(G595,'CHECK_DT-BT'!$A$3:$C$92,3,FALSE)</f>
        <v>BV Nam Bình Dương</v>
      </c>
    </row>
    <row r="596" spans="1:9" x14ac:dyDescent="0.25">
      <c r="A596" t="str">
        <f t="shared" si="27"/>
        <v>182</v>
      </c>
      <c r="B596" t="s">
        <v>1304</v>
      </c>
      <c r="C596" t="s">
        <v>1305</v>
      </c>
      <c r="D596" t="s">
        <v>393</v>
      </c>
      <c r="E596" s="110">
        <v>3000000</v>
      </c>
      <c r="F596" t="str">
        <f>VLOOKUP(D596,Sheet1!$A$18:$B$28,2,FALSE)</f>
        <v>BH Xe cơ giới</v>
      </c>
      <c r="G596" t="str">
        <f t="shared" si="28"/>
        <v>182</v>
      </c>
      <c r="H596" s="24">
        <f t="shared" si="29"/>
        <v>3000000</v>
      </c>
      <c r="I596" t="str">
        <f>VLOOKUP(G596,'CHECK_DT-BT'!$A$3:$C$92,3,FALSE)</f>
        <v>BV Nam Bình Dương</v>
      </c>
    </row>
    <row r="597" spans="1:9" x14ac:dyDescent="0.25">
      <c r="A597" t="str">
        <f t="shared" si="27"/>
        <v>182</v>
      </c>
      <c r="B597" t="s">
        <v>1306</v>
      </c>
      <c r="C597" t="s">
        <v>1307</v>
      </c>
      <c r="D597" t="s">
        <v>387</v>
      </c>
      <c r="E597" s="110">
        <v>30750000</v>
      </c>
      <c r="F597" t="str">
        <f>VLOOKUP(D597,Sheet1!$A$18:$B$28,2,FALSE)</f>
        <v>BH Hàng hóa</v>
      </c>
      <c r="G597" t="str">
        <f t="shared" si="28"/>
        <v>182</v>
      </c>
      <c r="H597" s="24">
        <f t="shared" si="29"/>
        <v>30750000</v>
      </c>
      <c r="I597" t="str">
        <f>VLOOKUP(G597,'CHECK_DT-BT'!$A$3:$C$92,3,FALSE)</f>
        <v>BV Nam Bình Dương</v>
      </c>
    </row>
    <row r="598" spans="1:9" x14ac:dyDescent="0.25">
      <c r="A598" t="str">
        <f t="shared" si="27"/>
        <v>182</v>
      </c>
      <c r="B598" t="s">
        <v>1306</v>
      </c>
      <c r="C598" t="s">
        <v>1307</v>
      </c>
      <c r="D598" t="s">
        <v>393</v>
      </c>
      <c r="E598" s="110">
        <v>4500000</v>
      </c>
      <c r="F598" t="str">
        <f>VLOOKUP(D598,Sheet1!$A$18:$B$28,2,FALSE)</f>
        <v>BH Xe cơ giới</v>
      </c>
      <c r="G598" t="str">
        <f t="shared" si="28"/>
        <v>182</v>
      </c>
      <c r="H598" s="24">
        <f t="shared" si="29"/>
        <v>4500000</v>
      </c>
      <c r="I598" t="str">
        <f>VLOOKUP(G598,'CHECK_DT-BT'!$A$3:$C$92,3,FALSE)</f>
        <v>BV Nam Bình Dương</v>
      </c>
    </row>
    <row r="599" spans="1:9" x14ac:dyDescent="0.25">
      <c r="A599" t="str">
        <f t="shared" si="27"/>
        <v>182</v>
      </c>
      <c r="B599" t="s">
        <v>1308</v>
      </c>
      <c r="C599" t="s">
        <v>1309</v>
      </c>
      <c r="D599" t="s">
        <v>393</v>
      </c>
      <c r="E599" s="110">
        <v>2500000</v>
      </c>
      <c r="F599" t="str">
        <f>VLOOKUP(D599,Sheet1!$A$18:$B$28,2,FALSE)</f>
        <v>BH Xe cơ giới</v>
      </c>
      <c r="G599" t="str">
        <f t="shared" si="28"/>
        <v>182</v>
      </c>
      <c r="H599" s="24">
        <f t="shared" si="29"/>
        <v>2500000</v>
      </c>
      <c r="I599" t="str">
        <f>VLOOKUP(G599,'CHECK_DT-BT'!$A$3:$C$92,3,FALSE)</f>
        <v>BV Nam Bình Dương</v>
      </c>
    </row>
    <row r="600" spans="1:9" x14ac:dyDescent="0.25">
      <c r="A600" t="str">
        <f t="shared" si="27"/>
        <v>182</v>
      </c>
      <c r="B600" t="s">
        <v>1310</v>
      </c>
      <c r="C600" t="s">
        <v>1311</v>
      </c>
      <c r="D600" t="s">
        <v>387</v>
      </c>
      <c r="E600" s="110">
        <v>232571912</v>
      </c>
      <c r="F600" t="str">
        <f>VLOOKUP(D600,Sheet1!$A$18:$B$28,2,FALSE)</f>
        <v>BH Hàng hóa</v>
      </c>
      <c r="G600" t="str">
        <f t="shared" si="28"/>
        <v>182</v>
      </c>
      <c r="H600" s="24">
        <f t="shared" si="29"/>
        <v>232571912</v>
      </c>
      <c r="I600" t="str">
        <f>VLOOKUP(G600,'CHECK_DT-BT'!$A$3:$C$92,3,FALSE)</f>
        <v>BV Nam Bình Dương</v>
      </c>
    </row>
    <row r="601" spans="1:9" x14ac:dyDescent="0.25">
      <c r="A601" t="str">
        <f t="shared" si="27"/>
        <v>182</v>
      </c>
      <c r="B601" t="s">
        <v>1310</v>
      </c>
      <c r="C601" t="s">
        <v>1311</v>
      </c>
      <c r="D601" t="s">
        <v>393</v>
      </c>
      <c r="E601" s="110">
        <v>2700000</v>
      </c>
      <c r="F601" t="str">
        <f>VLOOKUP(D601,Sheet1!$A$18:$B$28,2,FALSE)</f>
        <v>BH Xe cơ giới</v>
      </c>
      <c r="G601" t="str">
        <f t="shared" si="28"/>
        <v>182</v>
      </c>
      <c r="H601" s="24">
        <f t="shared" si="29"/>
        <v>2700000</v>
      </c>
      <c r="I601" t="str">
        <f>VLOOKUP(G601,'CHECK_DT-BT'!$A$3:$C$92,3,FALSE)</f>
        <v>BV Nam Bình Dương</v>
      </c>
    </row>
    <row r="602" spans="1:9" x14ac:dyDescent="0.25">
      <c r="A602" t="str">
        <f t="shared" si="27"/>
        <v>182</v>
      </c>
      <c r="B602" t="s">
        <v>1312</v>
      </c>
      <c r="C602" t="s">
        <v>1313</v>
      </c>
      <c r="D602" t="s">
        <v>393</v>
      </c>
      <c r="E602" s="110">
        <v>6400000</v>
      </c>
      <c r="F602" t="str">
        <f>VLOOKUP(D602,Sheet1!$A$18:$B$28,2,FALSE)</f>
        <v>BH Xe cơ giới</v>
      </c>
      <c r="G602" t="str">
        <f t="shared" si="28"/>
        <v>182</v>
      </c>
      <c r="H602" s="24">
        <f t="shared" si="29"/>
        <v>6400000</v>
      </c>
      <c r="I602" t="str">
        <f>VLOOKUP(G602,'CHECK_DT-BT'!$A$3:$C$92,3,FALSE)</f>
        <v>BV Nam Bình Dương</v>
      </c>
    </row>
    <row r="603" spans="1:9" x14ac:dyDescent="0.25">
      <c r="A603" t="str">
        <f t="shared" si="27"/>
        <v>182</v>
      </c>
      <c r="B603" t="s">
        <v>1314</v>
      </c>
      <c r="C603" t="s">
        <v>1315</v>
      </c>
      <c r="D603" t="s">
        <v>387</v>
      </c>
      <c r="E603" s="110">
        <v>47312175</v>
      </c>
      <c r="F603" t="str">
        <f>VLOOKUP(D603,Sheet1!$A$18:$B$28,2,FALSE)</f>
        <v>BH Hàng hóa</v>
      </c>
      <c r="G603" t="str">
        <f t="shared" si="28"/>
        <v>182</v>
      </c>
      <c r="H603" s="24">
        <f t="shared" si="29"/>
        <v>47312175</v>
      </c>
      <c r="I603" t="str">
        <f>VLOOKUP(G603,'CHECK_DT-BT'!$A$3:$C$92,3,FALSE)</f>
        <v>BV Nam Bình Dương</v>
      </c>
    </row>
    <row r="604" spans="1:9" x14ac:dyDescent="0.25">
      <c r="A604" t="str">
        <f t="shared" si="27"/>
        <v>182</v>
      </c>
      <c r="B604" t="s">
        <v>1314</v>
      </c>
      <c r="C604" t="s">
        <v>1315</v>
      </c>
      <c r="D604" t="s">
        <v>393</v>
      </c>
      <c r="E604" s="110">
        <v>4300000</v>
      </c>
      <c r="F604" t="str">
        <f>VLOOKUP(D604,Sheet1!$A$18:$B$28,2,FALSE)</f>
        <v>BH Xe cơ giới</v>
      </c>
      <c r="G604" t="str">
        <f t="shared" si="28"/>
        <v>182</v>
      </c>
      <c r="H604" s="24">
        <f t="shared" si="29"/>
        <v>4300000</v>
      </c>
      <c r="I604" t="str">
        <f>VLOOKUP(G604,'CHECK_DT-BT'!$A$3:$C$92,3,FALSE)</f>
        <v>BV Nam Bình Dương</v>
      </c>
    </row>
    <row r="605" spans="1:9" x14ac:dyDescent="0.25">
      <c r="A605" t="str">
        <f t="shared" si="27"/>
        <v>182</v>
      </c>
      <c r="B605" t="s">
        <v>1316</v>
      </c>
      <c r="C605" t="s">
        <v>1317</v>
      </c>
      <c r="D605" t="s">
        <v>387</v>
      </c>
      <c r="E605" s="110">
        <v>1097039291</v>
      </c>
      <c r="F605" t="str">
        <f>VLOOKUP(D605,Sheet1!$A$18:$B$28,2,FALSE)</f>
        <v>BH Hàng hóa</v>
      </c>
      <c r="G605" t="str">
        <f t="shared" si="28"/>
        <v>182</v>
      </c>
      <c r="H605" s="24">
        <f t="shared" si="29"/>
        <v>1097039291</v>
      </c>
      <c r="I605" t="str">
        <f>VLOOKUP(G605,'CHECK_DT-BT'!$A$3:$C$92,3,FALSE)</f>
        <v>BV Nam Bình Dương</v>
      </c>
    </row>
    <row r="606" spans="1:9" x14ac:dyDescent="0.25">
      <c r="A606" t="str">
        <f t="shared" si="27"/>
        <v>182</v>
      </c>
      <c r="B606" t="s">
        <v>1316</v>
      </c>
      <c r="C606" t="s">
        <v>1317</v>
      </c>
      <c r="D606" t="s">
        <v>393</v>
      </c>
      <c r="E606" s="110">
        <v>11500000</v>
      </c>
      <c r="F606" t="str">
        <f>VLOOKUP(D606,Sheet1!$A$18:$B$28,2,FALSE)</f>
        <v>BH Xe cơ giới</v>
      </c>
      <c r="G606" t="str">
        <f t="shared" si="28"/>
        <v>182</v>
      </c>
      <c r="H606" s="24">
        <f t="shared" si="29"/>
        <v>11500000</v>
      </c>
      <c r="I606" t="str">
        <f>VLOOKUP(G606,'CHECK_DT-BT'!$A$3:$C$92,3,FALSE)</f>
        <v>BV Nam Bình Dương</v>
      </c>
    </row>
    <row r="607" spans="1:9" x14ac:dyDescent="0.25">
      <c r="A607" t="str">
        <f t="shared" si="27"/>
        <v>182</v>
      </c>
      <c r="B607" t="s">
        <v>1318</v>
      </c>
      <c r="C607" t="s">
        <v>1319</v>
      </c>
      <c r="D607" t="s">
        <v>393</v>
      </c>
      <c r="E607" s="110">
        <v>4300000</v>
      </c>
      <c r="F607" t="str">
        <f>VLOOKUP(D607,Sheet1!$A$18:$B$28,2,FALSE)</f>
        <v>BH Xe cơ giới</v>
      </c>
      <c r="G607" t="str">
        <f t="shared" si="28"/>
        <v>182</v>
      </c>
      <c r="H607" s="24">
        <f t="shared" si="29"/>
        <v>4300000</v>
      </c>
      <c r="I607" t="str">
        <f>VLOOKUP(G607,'CHECK_DT-BT'!$A$3:$C$92,3,FALSE)</f>
        <v>BV Nam Bình Dương</v>
      </c>
    </row>
    <row r="608" spans="1:9" x14ac:dyDescent="0.25">
      <c r="A608" t="str">
        <f t="shared" si="27"/>
        <v>182</v>
      </c>
      <c r="B608" t="s">
        <v>1320</v>
      </c>
      <c r="C608" t="s">
        <v>1321</v>
      </c>
      <c r="D608" t="s">
        <v>393</v>
      </c>
      <c r="E608" s="110">
        <v>-4880000</v>
      </c>
      <c r="F608" t="str">
        <f>VLOOKUP(D608,Sheet1!$A$18:$B$28,2,FALSE)</f>
        <v>BH Xe cơ giới</v>
      </c>
      <c r="G608" t="str">
        <f t="shared" si="28"/>
        <v>182</v>
      </c>
      <c r="H608" s="24">
        <f t="shared" si="29"/>
        <v>-4880000</v>
      </c>
      <c r="I608" t="str">
        <f>VLOOKUP(G608,'CHECK_DT-BT'!$A$3:$C$92,3,FALSE)</f>
        <v>BV Nam Bình Dương</v>
      </c>
    </row>
    <row r="609" spans="1:9" x14ac:dyDescent="0.25">
      <c r="A609" t="str">
        <f t="shared" si="27"/>
        <v>183</v>
      </c>
      <c r="B609" t="s">
        <v>1322</v>
      </c>
      <c r="C609" t="s">
        <v>1323</v>
      </c>
      <c r="D609" t="s">
        <v>393</v>
      </c>
      <c r="E609" s="110">
        <v>1500000</v>
      </c>
      <c r="F609" t="str">
        <f>VLOOKUP(D609,Sheet1!$A$18:$B$28,2,FALSE)</f>
        <v>BH Xe cơ giới</v>
      </c>
      <c r="G609" t="str">
        <f t="shared" si="28"/>
        <v>183</v>
      </c>
      <c r="H609" s="24">
        <f t="shared" si="29"/>
        <v>1500000</v>
      </c>
      <c r="I609" t="str">
        <f>VLOOKUP(G609,'CHECK_DT-BT'!$A$3:$C$92,3,FALSE)</f>
        <v>BV Lai Châu</v>
      </c>
    </row>
    <row r="610" spans="1:9" x14ac:dyDescent="0.25">
      <c r="A610" t="str">
        <f t="shared" si="27"/>
        <v>184</v>
      </c>
      <c r="B610" t="s">
        <v>1324</v>
      </c>
      <c r="C610" t="s">
        <v>1325</v>
      </c>
      <c r="D610" t="s">
        <v>273</v>
      </c>
      <c r="E610" s="110">
        <v>305179670</v>
      </c>
      <c r="F610" t="str">
        <f>VLOOKUP(D610,Sheet1!$A$18:$B$28,2,FALSE)</f>
        <v>Hull (Thân tàu biển)</v>
      </c>
      <c r="G610" t="str">
        <f t="shared" si="28"/>
        <v>184</v>
      </c>
      <c r="H610" s="24">
        <f t="shared" si="29"/>
        <v>305179670</v>
      </c>
      <c r="I610" t="str">
        <f>VLOOKUP(G610,'CHECK_DT-BT'!$A$3:$C$92,3,FALSE)</f>
        <v>BV Gia Định</v>
      </c>
    </row>
    <row r="611" spans="1:9" x14ac:dyDescent="0.25">
      <c r="A611" t="str">
        <f t="shared" si="27"/>
        <v>184</v>
      </c>
      <c r="B611" t="s">
        <v>1324</v>
      </c>
      <c r="C611" t="s">
        <v>1325</v>
      </c>
      <c r="D611" t="s">
        <v>393</v>
      </c>
      <c r="E611" s="110">
        <v>700000</v>
      </c>
      <c r="F611" t="str">
        <f>VLOOKUP(D611,Sheet1!$A$18:$B$28,2,FALSE)</f>
        <v>BH Xe cơ giới</v>
      </c>
      <c r="G611" t="str">
        <f t="shared" si="28"/>
        <v>184</v>
      </c>
      <c r="H611" s="24">
        <f t="shared" si="29"/>
        <v>700000</v>
      </c>
      <c r="I611" t="str">
        <f>VLOOKUP(G611,'CHECK_DT-BT'!$A$3:$C$92,3,FALSE)</f>
        <v>BV Gia Định</v>
      </c>
    </row>
    <row r="612" spans="1:9" x14ac:dyDescent="0.25">
      <c r="A612" t="str">
        <f t="shared" si="27"/>
        <v>184</v>
      </c>
      <c r="B612" t="s">
        <v>1326</v>
      </c>
      <c r="C612" t="s">
        <v>1327</v>
      </c>
      <c r="D612" t="s">
        <v>393</v>
      </c>
      <c r="E612" s="110">
        <v>3800000</v>
      </c>
      <c r="F612" t="str">
        <f>VLOOKUP(D612,Sheet1!$A$18:$B$28,2,FALSE)</f>
        <v>BH Xe cơ giới</v>
      </c>
      <c r="G612" t="str">
        <f t="shared" si="28"/>
        <v>184</v>
      </c>
      <c r="H612" s="24">
        <f t="shared" si="29"/>
        <v>3800000</v>
      </c>
      <c r="I612" t="str">
        <f>VLOOKUP(G612,'CHECK_DT-BT'!$A$3:$C$92,3,FALSE)</f>
        <v>BV Gia Định</v>
      </c>
    </row>
    <row r="613" spans="1:9" x14ac:dyDescent="0.25">
      <c r="A613" t="str">
        <f t="shared" si="27"/>
        <v>184</v>
      </c>
      <c r="B613" t="s">
        <v>1328</v>
      </c>
      <c r="C613" t="s">
        <v>1329</v>
      </c>
      <c r="D613" t="s">
        <v>393</v>
      </c>
      <c r="E613" s="110">
        <v>5000000</v>
      </c>
      <c r="F613" t="str">
        <f>VLOOKUP(D613,Sheet1!$A$18:$B$28,2,FALSE)</f>
        <v>BH Xe cơ giới</v>
      </c>
      <c r="G613" t="str">
        <f t="shared" si="28"/>
        <v>184</v>
      </c>
      <c r="H613" s="24">
        <f t="shared" si="29"/>
        <v>5000000</v>
      </c>
      <c r="I613" t="str">
        <f>VLOOKUP(G613,'CHECK_DT-BT'!$A$3:$C$92,3,FALSE)</f>
        <v>BV Gia Định</v>
      </c>
    </row>
    <row r="614" spans="1:9" x14ac:dyDescent="0.25">
      <c r="A614" t="str">
        <f t="shared" si="27"/>
        <v>184</v>
      </c>
      <c r="B614" t="s">
        <v>1330</v>
      </c>
      <c r="C614" t="s">
        <v>1331</v>
      </c>
      <c r="D614" t="s">
        <v>387</v>
      </c>
      <c r="E614" s="110">
        <v>6374900</v>
      </c>
      <c r="F614" t="str">
        <f>VLOOKUP(D614,Sheet1!$A$18:$B$28,2,FALSE)</f>
        <v>BH Hàng hóa</v>
      </c>
      <c r="G614" t="str">
        <f t="shared" si="28"/>
        <v>184</v>
      </c>
      <c r="H614" s="24">
        <f t="shared" si="29"/>
        <v>6374900</v>
      </c>
      <c r="I614" t="str">
        <f>VLOOKUP(G614,'CHECK_DT-BT'!$A$3:$C$92,3,FALSE)</f>
        <v>BV Gia Định</v>
      </c>
    </row>
    <row r="615" spans="1:9" x14ac:dyDescent="0.25">
      <c r="A615" t="str">
        <f t="shared" si="27"/>
        <v>184</v>
      </c>
      <c r="B615" t="s">
        <v>1332</v>
      </c>
      <c r="C615" t="s">
        <v>1333</v>
      </c>
      <c r="D615" t="s">
        <v>387</v>
      </c>
      <c r="E615" s="110">
        <v>12662214</v>
      </c>
      <c r="F615" t="str">
        <f>VLOOKUP(D615,Sheet1!$A$18:$B$28,2,FALSE)</f>
        <v>BH Hàng hóa</v>
      </c>
      <c r="G615" t="str">
        <f t="shared" si="28"/>
        <v>184</v>
      </c>
      <c r="H615" s="24">
        <f t="shared" si="29"/>
        <v>12662214</v>
      </c>
      <c r="I615" t="str">
        <f>VLOOKUP(G615,'CHECK_DT-BT'!$A$3:$C$92,3,FALSE)</f>
        <v>BV Gia Định</v>
      </c>
    </row>
    <row r="616" spans="1:9" x14ac:dyDescent="0.25">
      <c r="A616" t="str">
        <f t="shared" si="27"/>
        <v>184</v>
      </c>
      <c r="B616" t="s">
        <v>1332</v>
      </c>
      <c r="C616" t="s">
        <v>1333</v>
      </c>
      <c r="D616" t="s">
        <v>273</v>
      </c>
      <c r="E616" s="110">
        <v>26425000</v>
      </c>
      <c r="F616" t="str">
        <f>VLOOKUP(D616,Sheet1!$A$18:$B$28,2,FALSE)</f>
        <v>Hull (Thân tàu biển)</v>
      </c>
      <c r="G616" t="str">
        <f t="shared" si="28"/>
        <v>184</v>
      </c>
      <c r="H616" s="24">
        <f t="shared" si="29"/>
        <v>26425000</v>
      </c>
      <c r="I616" t="str">
        <f>VLOOKUP(G616,'CHECK_DT-BT'!$A$3:$C$92,3,FALSE)</f>
        <v>BV Gia Định</v>
      </c>
    </row>
    <row r="617" spans="1:9" x14ac:dyDescent="0.25">
      <c r="A617" t="str">
        <f t="shared" si="27"/>
        <v>184</v>
      </c>
      <c r="B617" t="s">
        <v>1332</v>
      </c>
      <c r="C617" t="s">
        <v>1333</v>
      </c>
      <c r="D617" t="s">
        <v>393</v>
      </c>
      <c r="E617" s="110">
        <v>1200000</v>
      </c>
      <c r="F617" t="str">
        <f>VLOOKUP(D617,Sheet1!$A$18:$B$28,2,FALSE)</f>
        <v>BH Xe cơ giới</v>
      </c>
      <c r="G617" t="str">
        <f t="shared" si="28"/>
        <v>184</v>
      </c>
      <c r="H617" s="24">
        <f t="shared" si="29"/>
        <v>1200000</v>
      </c>
      <c r="I617" t="str">
        <f>VLOOKUP(G617,'CHECK_DT-BT'!$A$3:$C$92,3,FALSE)</f>
        <v>BV Gia Định</v>
      </c>
    </row>
    <row r="618" spans="1:9" x14ac:dyDescent="0.25">
      <c r="A618" t="str">
        <f t="shared" si="27"/>
        <v>184</v>
      </c>
      <c r="B618" t="s">
        <v>1334</v>
      </c>
      <c r="C618" t="s">
        <v>1335</v>
      </c>
      <c r="D618" t="s">
        <v>392</v>
      </c>
      <c r="E618" s="110">
        <v>83778000</v>
      </c>
      <c r="F618" t="str">
        <f>VLOOKUP(D618,Sheet1!$A$18:$B$28,2,FALSE)</f>
        <v>BH Tài sản</v>
      </c>
      <c r="G618" t="str">
        <f t="shared" si="28"/>
        <v>184</v>
      </c>
      <c r="H618" s="24">
        <f t="shared" si="29"/>
        <v>83778000</v>
      </c>
      <c r="I618" t="str">
        <f>VLOOKUP(G618,'CHECK_DT-BT'!$A$3:$C$92,3,FALSE)</f>
        <v>BV Gia Định</v>
      </c>
    </row>
    <row r="619" spans="1:9" x14ac:dyDescent="0.25">
      <c r="A619" t="str">
        <f t="shared" si="27"/>
        <v>184</v>
      </c>
      <c r="B619" t="s">
        <v>1334</v>
      </c>
      <c r="C619" t="s">
        <v>1335</v>
      </c>
      <c r="D619" t="s">
        <v>393</v>
      </c>
      <c r="E619" s="110">
        <v>10800000</v>
      </c>
      <c r="F619" t="str">
        <f>VLOOKUP(D619,Sheet1!$A$18:$B$28,2,FALSE)</f>
        <v>BH Xe cơ giới</v>
      </c>
      <c r="G619" t="str">
        <f t="shared" si="28"/>
        <v>184</v>
      </c>
      <c r="H619" s="24">
        <f t="shared" si="29"/>
        <v>10800000</v>
      </c>
      <c r="I619" t="str">
        <f>VLOOKUP(G619,'CHECK_DT-BT'!$A$3:$C$92,3,FALSE)</f>
        <v>BV Gia Định</v>
      </c>
    </row>
    <row r="620" spans="1:9" x14ac:dyDescent="0.25">
      <c r="A620" t="str">
        <f t="shared" si="27"/>
        <v>184</v>
      </c>
      <c r="B620" t="s">
        <v>1336</v>
      </c>
      <c r="C620" t="s">
        <v>1337</v>
      </c>
      <c r="D620" t="s">
        <v>393</v>
      </c>
      <c r="E620" s="110">
        <v>3500000</v>
      </c>
      <c r="F620" t="str">
        <f>VLOOKUP(D620,Sheet1!$A$18:$B$28,2,FALSE)</f>
        <v>BH Xe cơ giới</v>
      </c>
      <c r="G620" t="str">
        <f t="shared" si="28"/>
        <v>184</v>
      </c>
      <c r="H620" s="24">
        <f t="shared" si="29"/>
        <v>3500000</v>
      </c>
      <c r="I620" t="str">
        <f>VLOOKUP(G620,'CHECK_DT-BT'!$A$3:$C$92,3,FALSE)</f>
        <v>BV Gia Định</v>
      </c>
    </row>
    <row r="621" spans="1:9" x14ac:dyDescent="0.25">
      <c r="A621" t="str">
        <f t="shared" si="27"/>
        <v>184</v>
      </c>
      <c r="B621" t="s">
        <v>1338</v>
      </c>
      <c r="C621" t="s">
        <v>1339</v>
      </c>
      <c r="D621" t="s">
        <v>387</v>
      </c>
      <c r="E621" s="110">
        <v>23966000</v>
      </c>
      <c r="F621" t="str">
        <f>VLOOKUP(D621,Sheet1!$A$18:$B$28,2,FALSE)</f>
        <v>BH Hàng hóa</v>
      </c>
      <c r="G621" t="str">
        <f t="shared" si="28"/>
        <v>184</v>
      </c>
      <c r="H621" s="24">
        <f t="shared" si="29"/>
        <v>23966000</v>
      </c>
      <c r="I621" t="str">
        <f>VLOOKUP(G621,'CHECK_DT-BT'!$A$3:$C$92,3,FALSE)</f>
        <v>BV Gia Định</v>
      </c>
    </row>
    <row r="622" spans="1:9" x14ac:dyDescent="0.25">
      <c r="A622" t="str">
        <f t="shared" si="27"/>
        <v>184</v>
      </c>
      <c r="B622" t="s">
        <v>1338</v>
      </c>
      <c r="C622" t="s">
        <v>1339</v>
      </c>
      <c r="D622" t="s">
        <v>393</v>
      </c>
      <c r="E622" s="110">
        <v>1700000</v>
      </c>
      <c r="F622" t="str">
        <f>VLOOKUP(D622,Sheet1!$A$18:$B$28,2,FALSE)</f>
        <v>BH Xe cơ giới</v>
      </c>
      <c r="G622" t="str">
        <f t="shared" si="28"/>
        <v>184</v>
      </c>
      <c r="H622" s="24">
        <f t="shared" si="29"/>
        <v>1700000</v>
      </c>
      <c r="I622" t="str">
        <f>VLOOKUP(G622,'CHECK_DT-BT'!$A$3:$C$92,3,FALSE)</f>
        <v>BV Gia Định</v>
      </c>
    </row>
    <row r="623" spans="1:9" x14ac:dyDescent="0.25">
      <c r="A623" t="str">
        <f t="shared" si="27"/>
        <v>185</v>
      </c>
      <c r="B623" t="s">
        <v>336</v>
      </c>
      <c r="C623" t="s">
        <v>63</v>
      </c>
      <c r="D623" t="s">
        <v>393</v>
      </c>
      <c r="E623" s="110">
        <v>4500000</v>
      </c>
      <c r="F623" t="str">
        <f>VLOOKUP(D623,Sheet1!$A$18:$B$28,2,FALSE)</f>
        <v>BH Xe cơ giới</v>
      </c>
      <c r="G623" t="str">
        <f t="shared" si="28"/>
        <v>185</v>
      </c>
      <c r="H623" s="24">
        <f t="shared" si="29"/>
        <v>4500000</v>
      </c>
      <c r="I623" t="str">
        <f>VLOOKUP(G623,'CHECK_DT-BT'!$A$3:$C$92,3,FALSE)</f>
        <v>BV Phú Mỹ</v>
      </c>
    </row>
    <row r="624" spans="1:9" x14ac:dyDescent="0.25">
      <c r="A624" t="str">
        <f t="shared" si="27"/>
        <v>185</v>
      </c>
      <c r="B624" t="s">
        <v>1340</v>
      </c>
      <c r="C624" t="s">
        <v>1341</v>
      </c>
      <c r="D624" t="s">
        <v>273</v>
      </c>
      <c r="E624" s="110">
        <v>41597500</v>
      </c>
      <c r="F624" t="str">
        <f>VLOOKUP(D624,Sheet1!$A$18:$B$28,2,FALSE)</f>
        <v>Hull (Thân tàu biển)</v>
      </c>
      <c r="G624" t="str">
        <f t="shared" si="28"/>
        <v>185</v>
      </c>
      <c r="H624" s="24">
        <f t="shared" si="29"/>
        <v>41597500</v>
      </c>
      <c r="I624" t="str">
        <f>VLOOKUP(G624,'CHECK_DT-BT'!$A$3:$C$92,3,FALSE)</f>
        <v>BV Phú Mỹ</v>
      </c>
    </row>
    <row r="625" spans="1:9" x14ac:dyDescent="0.25">
      <c r="A625" t="str">
        <f t="shared" si="27"/>
        <v>185</v>
      </c>
      <c r="B625" t="s">
        <v>1340</v>
      </c>
      <c r="C625" t="s">
        <v>1341</v>
      </c>
      <c r="D625" t="s">
        <v>393</v>
      </c>
      <c r="E625" s="110">
        <v>1500000</v>
      </c>
      <c r="F625" t="str">
        <f>VLOOKUP(D625,Sheet1!$A$18:$B$28,2,FALSE)</f>
        <v>BH Xe cơ giới</v>
      </c>
      <c r="G625" t="str">
        <f t="shared" si="28"/>
        <v>185</v>
      </c>
      <c r="H625" s="24">
        <f t="shared" si="29"/>
        <v>1500000</v>
      </c>
      <c r="I625" t="str">
        <f>VLOOKUP(G625,'CHECK_DT-BT'!$A$3:$C$92,3,FALSE)</f>
        <v>BV Phú Mỹ</v>
      </c>
    </row>
    <row r="626" spans="1:9" x14ac:dyDescent="0.25">
      <c r="A626" t="str">
        <f t="shared" si="27"/>
        <v>185</v>
      </c>
      <c r="B626" t="s">
        <v>1342</v>
      </c>
      <c r="C626" t="s">
        <v>1343</v>
      </c>
      <c r="D626" t="s">
        <v>391</v>
      </c>
      <c r="E626" s="110">
        <v>1011937029</v>
      </c>
      <c r="F626" t="str">
        <f>VLOOKUP(D626,Sheet1!$A$18:$B$28,2,FALSE)</f>
        <v>BH Kỹ thuật</v>
      </c>
      <c r="G626" t="str">
        <f t="shared" si="28"/>
        <v>185</v>
      </c>
      <c r="H626" s="24">
        <f t="shared" si="29"/>
        <v>1011937029</v>
      </c>
      <c r="I626" t="str">
        <f>VLOOKUP(G626,'CHECK_DT-BT'!$A$3:$C$92,3,FALSE)</f>
        <v>BV Phú Mỹ</v>
      </c>
    </row>
    <row r="627" spans="1:9" x14ac:dyDescent="0.25">
      <c r="A627" t="str">
        <f t="shared" si="27"/>
        <v>185</v>
      </c>
      <c r="B627" t="s">
        <v>1342</v>
      </c>
      <c r="C627" t="s">
        <v>1343</v>
      </c>
      <c r="D627" t="s">
        <v>393</v>
      </c>
      <c r="E627" s="110">
        <v>17900000</v>
      </c>
      <c r="F627" t="str">
        <f>VLOOKUP(D627,Sheet1!$A$18:$B$28,2,FALSE)</f>
        <v>BH Xe cơ giới</v>
      </c>
      <c r="G627" t="str">
        <f t="shared" si="28"/>
        <v>185</v>
      </c>
      <c r="H627" s="24">
        <f t="shared" si="29"/>
        <v>17900000</v>
      </c>
      <c r="I627" t="str">
        <f>VLOOKUP(G627,'CHECK_DT-BT'!$A$3:$C$92,3,FALSE)</f>
        <v>BV Phú Mỹ</v>
      </c>
    </row>
    <row r="628" spans="1:9" x14ac:dyDescent="0.25">
      <c r="A628" t="str">
        <f t="shared" si="27"/>
        <v>185</v>
      </c>
      <c r="B628" t="s">
        <v>1344</v>
      </c>
      <c r="C628" t="s">
        <v>1345</v>
      </c>
      <c r="D628" t="s">
        <v>393</v>
      </c>
      <c r="E628" s="110">
        <v>5700000</v>
      </c>
      <c r="F628" t="str">
        <f>VLOOKUP(D628,Sheet1!$A$18:$B$28,2,FALSE)</f>
        <v>BH Xe cơ giới</v>
      </c>
      <c r="G628" t="str">
        <f t="shared" si="28"/>
        <v>185</v>
      </c>
      <c r="H628" s="24">
        <f t="shared" si="29"/>
        <v>5700000</v>
      </c>
      <c r="I628" t="str">
        <f>VLOOKUP(G628,'CHECK_DT-BT'!$A$3:$C$92,3,FALSE)</f>
        <v>BV Phú Mỹ</v>
      </c>
    </row>
    <row r="629" spans="1:9" x14ac:dyDescent="0.25">
      <c r="A629" t="str">
        <f t="shared" si="27"/>
        <v>185</v>
      </c>
      <c r="B629" t="s">
        <v>1346</v>
      </c>
      <c r="C629" t="s">
        <v>1347</v>
      </c>
      <c r="D629" t="s">
        <v>387</v>
      </c>
      <c r="E629" s="110">
        <v>14332756</v>
      </c>
      <c r="F629" t="str">
        <f>VLOOKUP(D629,Sheet1!$A$18:$B$28,2,FALSE)</f>
        <v>BH Hàng hóa</v>
      </c>
      <c r="G629" t="str">
        <f t="shared" si="28"/>
        <v>185</v>
      </c>
      <c r="H629" s="24">
        <f t="shared" si="29"/>
        <v>14332756</v>
      </c>
      <c r="I629" t="str">
        <f>VLOOKUP(G629,'CHECK_DT-BT'!$A$3:$C$92,3,FALSE)</f>
        <v>BV Phú Mỹ</v>
      </c>
    </row>
    <row r="630" spans="1:9" x14ac:dyDescent="0.25">
      <c r="A630" t="str">
        <f t="shared" si="27"/>
        <v>185</v>
      </c>
      <c r="B630" t="s">
        <v>1346</v>
      </c>
      <c r="C630" t="s">
        <v>1347</v>
      </c>
      <c r="D630" t="s">
        <v>393</v>
      </c>
      <c r="E630" s="110">
        <v>5200000</v>
      </c>
      <c r="F630" t="str">
        <f>VLOOKUP(D630,Sheet1!$A$18:$B$28,2,FALSE)</f>
        <v>BH Xe cơ giới</v>
      </c>
      <c r="G630" t="str">
        <f t="shared" si="28"/>
        <v>185</v>
      </c>
      <c r="H630" s="24">
        <f t="shared" si="29"/>
        <v>5200000</v>
      </c>
      <c r="I630" t="str">
        <f>VLOOKUP(G630,'CHECK_DT-BT'!$A$3:$C$92,3,FALSE)</f>
        <v>BV Phú Mỹ</v>
      </c>
    </row>
    <row r="631" spans="1:9" x14ac:dyDescent="0.25">
      <c r="A631" t="str">
        <f t="shared" si="27"/>
        <v>185</v>
      </c>
      <c r="B631" t="s">
        <v>1348</v>
      </c>
      <c r="C631" t="s">
        <v>1349</v>
      </c>
      <c r="D631" t="s">
        <v>387</v>
      </c>
      <c r="E631" s="110">
        <v>40732550</v>
      </c>
      <c r="F631" t="str">
        <f>VLOOKUP(D631,Sheet1!$A$18:$B$28,2,FALSE)</f>
        <v>BH Hàng hóa</v>
      </c>
      <c r="G631" t="str">
        <f t="shared" si="28"/>
        <v>185</v>
      </c>
      <c r="H631" s="24">
        <f t="shared" si="29"/>
        <v>40732550</v>
      </c>
      <c r="I631" t="str">
        <f>VLOOKUP(G631,'CHECK_DT-BT'!$A$3:$C$92,3,FALSE)</f>
        <v>BV Phú Mỹ</v>
      </c>
    </row>
    <row r="632" spans="1:9" x14ac:dyDescent="0.25">
      <c r="A632" t="str">
        <f t="shared" si="27"/>
        <v>185</v>
      </c>
      <c r="B632" t="s">
        <v>1348</v>
      </c>
      <c r="C632" t="s">
        <v>1349</v>
      </c>
      <c r="D632" t="s">
        <v>392</v>
      </c>
      <c r="E632" s="110">
        <v>22286352</v>
      </c>
      <c r="F632" t="str">
        <f>VLOOKUP(D632,Sheet1!$A$18:$B$28,2,FALSE)</f>
        <v>BH Tài sản</v>
      </c>
      <c r="G632" t="str">
        <f t="shared" si="28"/>
        <v>185</v>
      </c>
      <c r="H632" s="24">
        <f t="shared" si="29"/>
        <v>22286352</v>
      </c>
      <c r="I632" t="str">
        <f>VLOOKUP(G632,'CHECK_DT-BT'!$A$3:$C$92,3,FALSE)</f>
        <v>BV Phú Mỹ</v>
      </c>
    </row>
    <row r="633" spans="1:9" x14ac:dyDescent="0.25">
      <c r="A633" t="str">
        <f t="shared" si="27"/>
        <v>185</v>
      </c>
      <c r="B633" t="s">
        <v>1348</v>
      </c>
      <c r="C633" t="s">
        <v>1349</v>
      </c>
      <c r="D633" t="s">
        <v>393</v>
      </c>
      <c r="E633" s="110">
        <v>800000</v>
      </c>
      <c r="F633" t="str">
        <f>VLOOKUP(D633,Sheet1!$A$18:$B$28,2,FALSE)</f>
        <v>BH Xe cơ giới</v>
      </c>
      <c r="G633" t="str">
        <f t="shared" si="28"/>
        <v>185</v>
      </c>
      <c r="H633" s="24">
        <f t="shared" si="29"/>
        <v>800000</v>
      </c>
      <c r="I633" t="str">
        <f>VLOOKUP(G633,'CHECK_DT-BT'!$A$3:$C$92,3,FALSE)</f>
        <v>BV Phú Mỹ</v>
      </c>
    </row>
    <row r="634" spans="1:9" x14ac:dyDescent="0.25">
      <c r="A634" t="str">
        <f t="shared" si="27"/>
        <v>185</v>
      </c>
      <c r="B634" t="s">
        <v>1350</v>
      </c>
      <c r="C634" t="s">
        <v>1351</v>
      </c>
      <c r="D634" t="s">
        <v>393</v>
      </c>
      <c r="E634" s="110">
        <v>2600000</v>
      </c>
      <c r="F634" t="str">
        <f>VLOOKUP(D634,Sheet1!$A$18:$B$28,2,FALSE)</f>
        <v>BH Xe cơ giới</v>
      </c>
      <c r="G634" t="str">
        <f t="shared" si="28"/>
        <v>185</v>
      </c>
      <c r="H634" s="24">
        <f t="shared" si="29"/>
        <v>2600000</v>
      </c>
      <c r="I634" t="str">
        <f>VLOOKUP(G634,'CHECK_DT-BT'!$A$3:$C$92,3,FALSE)</f>
        <v>BV Phú Mỹ</v>
      </c>
    </row>
    <row r="635" spans="1:9" x14ac:dyDescent="0.25">
      <c r="A635" t="str">
        <f t="shared" si="27"/>
        <v>185</v>
      </c>
      <c r="B635" t="s">
        <v>1352</v>
      </c>
      <c r="C635" t="s">
        <v>1353</v>
      </c>
      <c r="D635" t="s">
        <v>393</v>
      </c>
      <c r="E635" s="110">
        <v>11300000</v>
      </c>
      <c r="F635" t="str">
        <f>VLOOKUP(D635,Sheet1!$A$18:$B$28,2,FALSE)</f>
        <v>BH Xe cơ giới</v>
      </c>
      <c r="G635" t="str">
        <f t="shared" si="28"/>
        <v>185</v>
      </c>
      <c r="H635" s="24">
        <f t="shared" si="29"/>
        <v>11300000</v>
      </c>
      <c r="I635" t="str">
        <f>VLOOKUP(G635,'CHECK_DT-BT'!$A$3:$C$92,3,FALSE)</f>
        <v>BV Phú Mỹ</v>
      </c>
    </row>
    <row r="636" spans="1:9" x14ac:dyDescent="0.25">
      <c r="A636" t="str">
        <f t="shared" si="27"/>
        <v>185</v>
      </c>
      <c r="B636" t="s">
        <v>1354</v>
      </c>
      <c r="C636" t="s">
        <v>1355</v>
      </c>
      <c r="D636" t="s">
        <v>393</v>
      </c>
      <c r="E636" s="110">
        <v>7600000</v>
      </c>
      <c r="F636" t="str">
        <f>VLOOKUP(D636,Sheet1!$A$18:$B$28,2,FALSE)</f>
        <v>BH Xe cơ giới</v>
      </c>
      <c r="G636" t="str">
        <f t="shared" si="28"/>
        <v>185</v>
      </c>
      <c r="H636" s="24">
        <f t="shared" si="29"/>
        <v>7600000</v>
      </c>
      <c r="I636" t="str">
        <f>VLOOKUP(G636,'CHECK_DT-BT'!$A$3:$C$92,3,FALSE)</f>
        <v>BV Phú Mỹ</v>
      </c>
    </row>
    <row r="637" spans="1:9" x14ac:dyDescent="0.25">
      <c r="A637" t="str">
        <f t="shared" si="27"/>
        <v>185</v>
      </c>
      <c r="B637" t="s">
        <v>1356</v>
      </c>
      <c r="C637" t="s">
        <v>1357</v>
      </c>
      <c r="D637" t="s">
        <v>273</v>
      </c>
      <c r="E637" s="110">
        <v>8339410</v>
      </c>
      <c r="F637" t="str">
        <f>VLOOKUP(D637,Sheet1!$A$18:$B$28,2,FALSE)</f>
        <v>Hull (Thân tàu biển)</v>
      </c>
      <c r="G637" t="str">
        <f t="shared" si="28"/>
        <v>185</v>
      </c>
      <c r="H637" s="24">
        <f t="shared" si="29"/>
        <v>8339410</v>
      </c>
      <c r="I637" t="str">
        <f>VLOOKUP(G637,'CHECK_DT-BT'!$A$3:$C$92,3,FALSE)</f>
        <v>BV Phú Mỹ</v>
      </c>
    </row>
    <row r="638" spans="1:9" x14ac:dyDescent="0.25">
      <c r="A638" t="str">
        <f t="shared" si="27"/>
        <v>185</v>
      </c>
      <c r="B638" t="s">
        <v>1356</v>
      </c>
      <c r="C638" t="s">
        <v>1357</v>
      </c>
      <c r="D638" t="s">
        <v>392</v>
      </c>
      <c r="E638" s="110">
        <v>83952593</v>
      </c>
      <c r="F638" t="str">
        <f>VLOOKUP(D638,Sheet1!$A$18:$B$28,2,FALSE)</f>
        <v>BH Tài sản</v>
      </c>
      <c r="G638" t="str">
        <f t="shared" si="28"/>
        <v>185</v>
      </c>
      <c r="H638" s="24">
        <f t="shared" si="29"/>
        <v>83952593</v>
      </c>
      <c r="I638" t="str">
        <f>VLOOKUP(G638,'CHECK_DT-BT'!$A$3:$C$92,3,FALSE)</f>
        <v>BV Phú Mỹ</v>
      </c>
    </row>
    <row r="639" spans="1:9" x14ac:dyDescent="0.25">
      <c r="A639" t="str">
        <f t="shared" si="27"/>
        <v>185</v>
      </c>
      <c r="B639" t="s">
        <v>1356</v>
      </c>
      <c r="C639" t="s">
        <v>1357</v>
      </c>
      <c r="D639" t="s">
        <v>393</v>
      </c>
      <c r="E639" s="110">
        <v>11700000</v>
      </c>
      <c r="F639" t="str">
        <f>VLOOKUP(D639,Sheet1!$A$18:$B$28,2,FALSE)</f>
        <v>BH Xe cơ giới</v>
      </c>
      <c r="G639" t="str">
        <f t="shared" si="28"/>
        <v>185</v>
      </c>
      <c r="H639" s="24">
        <f t="shared" si="29"/>
        <v>11700000</v>
      </c>
      <c r="I639" t="str">
        <f>VLOOKUP(G639,'CHECK_DT-BT'!$A$3:$C$92,3,FALSE)</f>
        <v>BV Phú Mỹ</v>
      </c>
    </row>
    <row r="640" spans="1:9" x14ac:dyDescent="0.25">
      <c r="A640" t="str">
        <f t="shared" si="27"/>
        <v>185</v>
      </c>
      <c r="B640" t="s">
        <v>1358</v>
      </c>
      <c r="C640" t="s">
        <v>1359</v>
      </c>
      <c r="D640" t="s">
        <v>391</v>
      </c>
      <c r="E640" s="110">
        <v>1978871052</v>
      </c>
      <c r="F640" t="str">
        <f>VLOOKUP(D640,Sheet1!$A$18:$B$28,2,FALSE)</f>
        <v>BH Kỹ thuật</v>
      </c>
      <c r="G640" t="str">
        <f t="shared" si="28"/>
        <v>185</v>
      </c>
      <c r="H640" s="24">
        <f t="shared" si="29"/>
        <v>1978871052</v>
      </c>
      <c r="I640" t="str">
        <f>VLOOKUP(G640,'CHECK_DT-BT'!$A$3:$C$92,3,FALSE)</f>
        <v>BV Phú Mỹ</v>
      </c>
    </row>
    <row r="641" spans="1:9" x14ac:dyDescent="0.25">
      <c r="A641" t="str">
        <f t="shared" si="27"/>
        <v>185</v>
      </c>
      <c r="B641" t="s">
        <v>1358</v>
      </c>
      <c r="C641" t="s">
        <v>1359</v>
      </c>
      <c r="D641" t="s">
        <v>393</v>
      </c>
      <c r="E641" s="110">
        <v>2000000</v>
      </c>
      <c r="F641" t="str">
        <f>VLOOKUP(D641,Sheet1!$A$18:$B$28,2,FALSE)</f>
        <v>BH Xe cơ giới</v>
      </c>
      <c r="G641" t="str">
        <f t="shared" si="28"/>
        <v>185</v>
      </c>
      <c r="H641" s="24">
        <f t="shared" si="29"/>
        <v>2000000</v>
      </c>
      <c r="I641" t="str">
        <f>VLOOKUP(G641,'CHECK_DT-BT'!$A$3:$C$92,3,FALSE)</f>
        <v>BV Phú Mỹ</v>
      </c>
    </row>
    <row r="642" spans="1:9" x14ac:dyDescent="0.25">
      <c r="A642" t="str">
        <f t="shared" si="27"/>
        <v>185</v>
      </c>
      <c r="B642" t="s">
        <v>1360</v>
      </c>
      <c r="C642" t="s">
        <v>1361</v>
      </c>
      <c r="D642" t="s">
        <v>392</v>
      </c>
      <c r="E642" s="110">
        <v>51149100</v>
      </c>
      <c r="F642" t="str">
        <f>VLOOKUP(D642,Sheet1!$A$18:$B$28,2,FALSE)</f>
        <v>BH Tài sản</v>
      </c>
      <c r="G642" t="str">
        <f t="shared" si="28"/>
        <v>185</v>
      </c>
      <c r="H642" s="24">
        <f t="shared" si="29"/>
        <v>51149100</v>
      </c>
      <c r="I642" t="str">
        <f>VLOOKUP(G642,'CHECK_DT-BT'!$A$3:$C$92,3,FALSE)</f>
        <v>BV Phú Mỹ</v>
      </c>
    </row>
    <row r="643" spans="1:9" x14ac:dyDescent="0.25">
      <c r="A643" t="str">
        <f t="shared" si="27"/>
        <v>185</v>
      </c>
      <c r="B643" t="s">
        <v>1360</v>
      </c>
      <c r="C643" t="s">
        <v>1361</v>
      </c>
      <c r="D643" t="s">
        <v>393</v>
      </c>
      <c r="E643" s="110">
        <v>2000000</v>
      </c>
      <c r="F643" t="str">
        <f>VLOOKUP(D643,Sheet1!$A$18:$B$28,2,FALSE)</f>
        <v>BH Xe cơ giới</v>
      </c>
      <c r="G643" t="str">
        <f t="shared" si="28"/>
        <v>185</v>
      </c>
      <c r="H643" s="24">
        <f t="shared" si="29"/>
        <v>2000000</v>
      </c>
      <c r="I643" t="str">
        <f>VLOOKUP(G643,'CHECK_DT-BT'!$A$3:$C$92,3,FALSE)</f>
        <v>BV Phú Mỹ</v>
      </c>
    </row>
    <row r="644" spans="1:9" x14ac:dyDescent="0.25">
      <c r="A644" t="str">
        <f t="shared" si="27"/>
        <v>185</v>
      </c>
      <c r="B644" t="s">
        <v>1362</v>
      </c>
      <c r="C644" t="s">
        <v>1363</v>
      </c>
      <c r="D644" t="s">
        <v>393</v>
      </c>
      <c r="E644" s="110">
        <v>1000000</v>
      </c>
      <c r="F644" t="str">
        <f>VLOOKUP(D644,Sheet1!$A$18:$B$28,2,FALSE)</f>
        <v>BH Xe cơ giới</v>
      </c>
      <c r="G644" t="str">
        <f t="shared" si="28"/>
        <v>185</v>
      </c>
      <c r="H644" s="24">
        <f t="shared" si="29"/>
        <v>1000000</v>
      </c>
      <c r="I644" t="str">
        <f>VLOOKUP(G644,'CHECK_DT-BT'!$A$3:$C$92,3,FALSE)</f>
        <v>BV Phú Mỹ</v>
      </c>
    </row>
    <row r="645" spans="1:9" x14ac:dyDescent="0.25">
      <c r="A645" t="str">
        <f t="shared" ref="A645:A708" si="30">LEFT(B645,3)</f>
        <v>186</v>
      </c>
      <c r="B645" t="s">
        <v>1364</v>
      </c>
      <c r="C645" t="s">
        <v>1365</v>
      </c>
      <c r="D645" t="s">
        <v>393</v>
      </c>
      <c r="E645" s="110">
        <v>0</v>
      </c>
      <c r="F645" t="str">
        <f>VLOOKUP(D645,Sheet1!$A$18:$B$28,2,FALSE)</f>
        <v>BH Xe cơ giới</v>
      </c>
      <c r="G645" t="str">
        <f t="shared" ref="G645:G708" si="31">IF(A645="101",B645,A645)</f>
        <v>186</v>
      </c>
      <c r="H645" s="24">
        <f t="shared" ref="H645:H708" si="32">E645</f>
        <v>0</v>
      </c>
      <c r="I645" t="str">
        <f>VLOOKUP(G645,'CHECK_DT-BT'!$A$3:$C$92,3,FALSE)</f>
        <v>BV Thành phố HCM</v>
      </c>
    </row>
    <row r="646" spans="1:9" x14ac:dyDescent="0.25">
      <c r="A646" t="str">
        <f t="shared" si="30"/>
        <v>186</v>
      </c>
      <c r="B646" t="s">
        <v>1366</v>
      </c>
      <c r="C646" t="s">
        <v>1367</v>
      </c>
      <c r="D646" t="s">
        <v>393</v>
      </c>
      <c r="E646" s="110">
        <v>10200000</v>
      </c>
      <c r="F646" t="str">
        <f>VLOOKUP(D646,Sheet1!$A$18:$B$28,2,FALSE)</f>
        <v>BH Xe cơ giới</v>
      </c>
      <c r="G646" t="str">
        <f t="shared" si="31"/>
        <v>186</v>
      </c>
      <c r="H646" s="24">
        <f t="shared" si="32"/>
        <v>10200000</v>
      </c>
      <c r="I646" t="str">
        <f>VLOOKUP(G646,'CHECK_DT-BT'!$A$3:$C$92,3,FALSE)</f>
        <v>BV Thành phố HCM</v>
      </c>
    </row>
    <row r="647" spans="1:9" x14ac:dyDescent="0.25">
      <c r="A647" t="str">
        <f t="shared" si="30"/>
        <v>186</v>
      </c>
      <c r="B647" t="s">
        <v>1368</v>
      </c>
      <c r="C647" t="s">
        <v>1369</v>
      </c>
      <c r="D647" t="s">
        <v>387</v>
      </c>
      <c r="E647" s="110">
        <v>10800000</v>
      </c>
      <c r="F647" t="str">
        <f>VLOOKUP(D647,Sheet1!$A$18:$B$28,2,FALSE)</f>
        <v>BH Hàng hóa</v>
      </c>
      <c r="G647" t="str">
        <f t="shared" si="31"/>
        <v>186</v>
      </c>
      <c r="H647" s="24">
        <f t="shared" si="32"/>
        <v>10800000</v>
      </c>
      <c r="I647" t="str">
        <f>VLOOKUP(G647,'CHECK_DT-BT'!$A$3:$C$92,3,FALSE)</f>
        <v>BV Thành phố HCM</v>
      </c>
    </row>
    <row r="648" spans="1:9" x14ac:dyDescent="0.25">
      <c r="A648" t="str">
        <f t="shared" si="30"/>
        <v>186</v>
      </c>
      <c r="B648" t="s">
        <v>1368</v>
      </c>
      <c r="C648" t="s">
        <v>1369</v>
      </c>
      <c r="D648" t="s">
        <v>393</v>
      </c>
      <c r="E648" s="110">
        <v>4800000</v>
      </c>
      <c r="F648" t="str">
        <f>VLOOKUP(D648,Sheet1!$A$18:$B$28,2,FALSE)</f>
        <v>BH Xe cơ giới</v>
      </c>
      <c r="G648" t="str">
        <f t="shared" si="31"/>
        <v>186</v>
      </c>
      <c r="H648" s="24">
        <f t="shared" si="32"/>
        <v>4800000</v>
      </c>
      <c r="I648" t="str">
        <f>VLOOKUP(G648,'CHECK_DT-BT'!$A$3:$C$92,3,FALSE)</f>
        <v>BV Thành phố HCM</v>
      </c>
    </row>
    <row r="649" spans="1:9" x14ac:dyDescent="0.25">
      <c r="A649" t="str">
        <f t="shared" si="30"/>
        <v>186</v>
      </c>
      <c r="B649" t="s">
        <v>1370</v>
      </c>
      <c r="C649" t="s">
        <v>1371</v>
      </c>
      <c r="D649" t="s">
        <v>393</v>
      </c>
      <c r="E649" s="110">
        <v>2000000</v>
      </c>
      <c r="F649" t="str">
        <f>VLOOKUP(D649,Sheet1!$A$18:$B$28,2,FALSE)</f>
        <v>BH Xe cơ giới</v>
      </c>
      <c r="G649" t="str">
        <f t="shared" si="31"/>
        <v>186</v>
      </c>
      <c r="H649" s="24">
        <f t="shared" si="32"/>
        <v>2000000</v>
      </c>
      <c r="I649" t="str">
        <f>VLOOKUP(G649,'CHECK_DT-BT'!$A$3:$C$92,3,FALSE)</f>
        <v>BV Thành phố HCM</v>
      </c>
    </row>
    <row r="650" spans="1:9" x14ac:dyDescent="0.25">
      <c r="A650" t="str">
        <f t="shared" si="30"/>
        <v>186</v>
      </c>
      <c r="B650" t="s">
        <v>1372</v>
      </c>
      <c r="C650" t="s">
        <v>1373</v>
      </c>
      <c r="D650" t="s">
        <v>392</v>
      </c>
      <c r="E650" s="110">
        <v>26838936</v>
      </c>
      <c r="F650" t="str">
        <f>VLOOKUP(D650,Sheet1!$A$18:$B$28,2,FALSE)</f>
        <v>BH Tài sản</v>
      </c>
      <c r="G650" t="str">
        <f t="shared" si="31"/>
        <v>186</v>
      </c>
      <c r="H650" s="24">
        <f t="shared" si="32"/>
        <v>26838936</v>
      </c>
      <c r="I650" t="str">
        <f>VLOOKUP(G650,'CHECK_DT-BT'!$A$3:$C$92,3,FALSE)</f>
        <v>BV Thành phố HCM</v>
      </c>
    </row>
    <row r="651" spans="1:9" x14ac:dyDescent="0.25">
      <c r="A651" t="str">
        <f t="shared" si="30"/>
        <v>186</v>
      </c>
      <c r="B651" t="s">
        <v>1372</v>
      </c>
      <c r="C651" t="s">
        <v>1373</v>
      </c>
      <c r="D651" t="s">
        <v>393</v>
      </c>
      <c r="E651" s="110">
        <v>4600000</v>
      </c>
      <c r="F651" t="str">
        <f>VLOOKUP(D651,Sheet1!$A$18:$B$28,2,FALSE)</f>
        <v>BH Xe cơ giới</v>
      </c>
      <c r="G651" t="str">
        <f t="shared" si="31"/>
        <v>186</v>
      </c>
      <c r="H651" s="24">
        <f t="shared" si="32"/>
        <v>4600000</v>
      </c>
      <c r="I651" t="str">
        <f>VLOOKUP(G651,'CHECK_DT-BT'!$A$3:$C$92,3,FALSE)</f>
        <v>BV Thành phố HCM</v>
      </c>
    </row>
    <row r="652" spans="1:9" x14ac:dyDescent="0.25">
      <c r="A652" t="str">
        <f t="shared" si="30"/>
        <v>186</v>
      </c>
      <c r="B652" t="s">
        <v>1374</v>
      </c>
      <c r="C652" t="s">
        <v>1375</v>
      </c>
      <c r="D652" t="s">
        <v>387</v>
      </c>
      <c r="E652" s="110">
        <v>71520000</v>
      </c>
      <c r="F652" t="str">
        <f>VLOOKUP(D652,Sheet1!$A$18:$B$28,2,FALSE)</f>
        <v>BH Hàng hóa</v>
      </c>
      <c r="G652" t="str">
        <f t="shared" si="31"/>
        <v>186</v>
      </c>
      <c r="H652" s="24">
        <f t="shared" si="32"/>
        <v>71520000</v>
      </c>
      <c r="I652" t="str">
        <f>VLOOKUP(G652,'CHECK_DT-BT'!$A$3:$C$92,3,FALSE)</f>
        <v>BV Thành phố HCM</v>
      </c>
    </row>
    <row r="653" spans="1:9" x14ac:dyDescent="0.25">
      <c r="A653" t="str">
        <f t="shared" si="30"/>
        <v>186</v>
      </c>
      <c r="B653" t="s">
        <v>1374</v>
      </c>
      <c r="C653" t="s">
        <v>1375</v>
      </c>
      <c r="D653" t="s">
        <v>393</v>
      </c>
      <c r="E653" s="110">
        <v>4300000</v>
      </c>
      <c r="F653" t="str">
        <f>VLOOKUP(D653,Sheet1!$A$18:$B$28,2,FALSE)</f>
        <v>BH Xe cơ giới</v>
      </c>
      <c r="G653" t="str">
        <f t="shared" si="31"/>
        <v>186</v>
      </c>
      <c r="H653" s="24">
        <f t="shared" si="32"/>
        <v>4300000</v>
      </c>
      <c r="I653" t="str">
        <f>VLOOKUP(G653,'CHECK_DT-BT'!$A$3:$C$92,3,FALSE)</f>
        <v>BV Thành phố HCM</v>
      </c>
    </row>
    <row r="654" spans="1:9" x14ac:dyDescent="0.25">
      <c r="A654" t="str">
        <f t="shared" si="30"/>
        <v>186</v>
      </c>
      <c r="B654" t="s">
        <v>1376</v>
      </c>
      <c r="C654" t="s">
        <v>1377</v>
      </c>
      <c r="D654" t="s">
        <v>392</v>
      </c>
      <c r="E654" s="110">
        <v>502578461</v>
      </c>
      <c r="F654" t="str">
        <f>VLOOKUP(D654,Sheet1!$A$18:$B$28,2,FALSE)</f>
        <v>BH Tài sản</v>
      </c>
      <c r="G654" t="str">
        <f t="shared" si="31"/>
        <v>186</v>
      </c>
      <c r="H654" s="24">
        <f t="shared" si="32"/>
        <v>502578461</v>
      </c>
      <c r="I654" t="str">
        <f>VLOOKUP(G654,'CHECK_DT-BT'!$A$3:$C$92,3,FALSE)</f>
        <v>BV Thành phố HCM</v>
      </c>
    </row>
    <row r="655" spans="1:9" x14ac:dyDescent="0.25">
      <c r="A655" t="str">
        <f t="shared" si="30"/>
        <v>186</v>
      </c>
      <c r="B655" t="s">
        <v>1376</v>
      </c>
      <c r="C655" t="s">
        <v>1377</v>
      </c>
      <c r="D655" t="s">
        <v>393</v>
      </c>
      <c r="E655" s="110">
        <v>8000000</v>
      </c>
      <c r="F655" t="str">
        <f>VLOOKUP(D655,Sheet1!$A$18:$B$28,2,FALSE)</f>
        <v>BH Xe cơ giới</v>
      </c>
      <c r="G655" t="str">
        <f t="shared" si="31"/>
        <v>186</v>
      </c>
      <c r="H655" s="24">
        <f t="shared" si="32"/>
        <v>8000000</v>
      </c>
      <c r="I655" t="str">
        <f>VLOOKUP(G655,'CHECK_DT-BT'!$A$3:$C$92,3,FALSE)</f>
        <v>BV Thành phố HCM</v>
      </c>
    </row>
    <row r="656" spans="1:9" x14ac:dyDescent="0.25">
      <c r="A656" t="str">
        <f t="shared" si="30"/>
        <v>186</v>
      </c>
      <c r="B656" t="s">
        <v>1378</v>
      </c>
      <c r="C656" t="s">
        <v>1379</v>
      </c>
      <c r="D656" t="s">
        <v>393</v>
      </c>
      <c r="E656" s="110">
        <v>6800000</v>
      </c>
      <c r="F656" t="str">
        <f>VLOOKUP(D656,Sheet1!$A$18:$B$28,2,FALSE)</f>
        <v>BH Xe cơ giới</v>
      </c>
      <c r="G656" t="str">
        <f t="shared" si="31"/>
        <v>186</v>
      </c>
      <c r="H656" s="24">
        <f t="shared" si="32"/>
        <v>6800000</v>
      </c>
      <c r="I656" t="str">
        <f>VLOOKUP(G656,'CHECK_DT-BT'!$A$3:$C$92,3,FALSE)</f>
        <v>BV Thành phố HCM</v>
      </c>
    </row>
    <row r="657" spans="1:9" x14ac:dyDescent="0.25">
      <c r="A657" t="str">
        <f t="shared" si="30"/>
        <v>186</v>
      </c>
      <c r="B657" t="s">
        <v>1380</v>
      </c>
      <c r="C657" t="s">
        <v>1381</v>
      </c>
      <c r="D657" t="s">
        <v>387</v>
      </c>
      <c r="E657" s="110">
        <v>96872460</v>
      </c>
      <c r="F657" t="str">
        <f>VLOOKUP(D657,Sheet1!$A$18:$B$28,2,FALSE)</f>
        <v>BH Hàng hóa</v>
      </c>
      <c r="G657" t="str">
        <f t="shared" si="31"/>
        <v>186</v>
      </c>
      <c r="H657" s="24">
        <f t="shared" si="32"/>
        <v>96872460</v>
      </c>
      <c r="I657" t="str">
        <f>VLOOKUP(G657,'CHECK_DT-BT'!$A$3:$C$92,3,FALSE)</f>
        <v>BV Thành phố HCM</v>
      </c>
    </row>
    <row r="658" spans="1:9" x14ac:dyDescent="0.25">
      <c r="A658" t="str">
        <f t="shared" si="30"/>
        <v>186</v>
      </c>
      <c r="B658" t="s">
        <v>1382</v>
      </c>
      <c r="C658" t="s">
        <v>1383</v>
      </c>
      <c r="D658" t="s">
        <v>387</v>
      </c>
      <c r="E658" s="110">
        <v>18190500</v>
      </c>
      <c r="F658" t="str">
        <f>VLOOKUP(D658,Sheet1!$A$18:$B$28,2,FALSE)</f>
        <v>BH Hàng hóa</v>
      </c>
      <c r="G658" t="str">
        <f t="shared" si="31"/>
        <v>186</v>
      </c>
      <c r="H658" s="24">
        <f t="shared" si="32"/>
        <v>18190500</v>
      </c>
      <c r="I658" t="str">
        <f>VLOOKUP(G658,'CHECK_DT-BT'!$A$3:$C$92,3,FALSE)</f>
        <v>BV Thành phố HCM</v>
      </c>
    </row>
    <row r="659" spans="1:9" x14ac:dyDescent="0.25">
      <c r="A659" t="str">
        <f t="shared" si="30"/>
        <v>186</v>
      </c>
      <c r="B659" t="s">
        <v>1382</v>
      </c>
      <c r="C659" t="s">
        <v>1383</v>
      </c>
      <c r="D659" t="s">
        <v>393</v>
      </c>
      <c r="E659" s="110">
        <v>6900000</v>
      </c>
      <c r="F659" t="str">
        <f>VLOOKUP(D659,Sheet1!$A$18:$B$28,2,FALSE)</f>
        <v>BH Xe cơ giới</v>
      </c>
      <c r="G659" t="str">
        <f t="shared" si="31"/>
        <v>186</v>
      </c>
      <c r="H659" s="24">
        <f t="shared" si="32"/>
        <v>6900000</v>
      </c>
      <c r="I659" t="str">
        <f>VLOOKUP(G659,'CHECK_DT-BT'!$A$3:$C$92,3,FALSE)</f>
        <v>BV Thành phố HCM</v>
      </c>
    </row>
    <row r="660" spans="1:9" x14ac:dyDescent="0.25">
      <c r="A660" t="str">
        <f t="shared" si="30"/>
        <v>186</v>
      </c>
      <c r="B660" t="s">
        <v>1384</v>
      </c>
      <c r="C660" t="s">
        <v>1385</v>
      </c>
      <c r="D660" t="s">
        <v>393</v>
      </c>
      <c r="E660" s="110">
        <v>1400000</v>
      </c>
      <c r="F660" t="str">
        <f>VLOOKUP(D660,Sheet1!$A$18:$B$28,2,FALSE)</f>
        <v>BH Xe cơ giới</v>
      </c>
      <c r="G660" t="str">
        <f t="shared" si="31"/>
        <v>186</v>
      </c>
      <c r="H660" s="24">
        <f t="shared" si="32"/>
        <v>1400000</v>
      </c>
      <c r="I660" t="str">
        <f>VLOOKUP(G660,'CHECK_DT-BT'!$A$3:$C$92,3,FALSE)</f>
        <v>BV Thành phố HCM</v>
      </c>
    </row>
    <row r="661" spans="1:9" x14ac:dyDescent="0.25">
      <c r="A661" t="str">
        <f t="shared" si="30"/>
        <v>186</v>
      </c>
      <c r="B661" t="s">
        <v>1386</v>
      </c>
      <c r="C661" t="s">
        <v>1387</v>
      </c>
      <c r="D661" t="s">
        <v>387</v>
      </c>
      <c r="E661" s="110">
        <v>26150000</v>
      </c>
      <c r="F661" t="str">
        <f>VLOOKUP(D661,Sheet1!$A$18:$B$28,2,FALSE)</f>
        <v>BH Hàng hóa</v>
      </c>
      <c r="G661" t="str">
        <f t="shared" si="31"/>
        <v>186</v>
      </c>
      <c r="H661" s="24">
        <f t="shared" si="32"/>
        <v>26150000</v>
      </c>
      <c r="I661" t="str">
        <f>VLOOKUP(G661,'CHECK_DT-BT'!$A$3:$C$92,3,FALSE)</f>
        <v>BV Thành phố HCM</v>
      </c>
    </row>
    <row r="662" spans="1:9" x14ac:dyDescent="0.25">
      <c r="A662" t="str">
        <f t="shared" si="30"/>
        <v>186</v>
      </c>
      <c r="B662" t="s">
        <v>1386</v>
      </c>
      <c r="C662" t="s">
        <v>1387</v>
      </c>
      <c r="D662" t="s">
        <v>392</v>
      </c>
      <c r="E662" s="110">
        <v>20920000</v>
      </c>
      <c r="F662" t="str">
        <f>VLOOKUP(D662,Sheet1!$A$18:$B$28,2,FALSE)</f>
        <v>BH Tài sản</v>
      </c>
      <c r="G662" t="str">
        <f t="shared" si="31"/>
        <v>186</v>
      </c>
      <c r="H662" s="24">
        <f t="shared" si="32"/>
        <v>20920000</v>
      </c>
      <c r="I662" t="str">
        <f>VLOOKUP(G662,'CHECK_DT-BT'!$A$3:$C$92,3,FALSE)</f>
        <v>BV Thành phố HCM</v>
      </c>
    </row>
    <row r="663" spans="1:9" x14ac:dyDescent="0.25">
      <c r="A663" t="str">
        <f t="shared" si="30"/>
        <v>186</v>
      </c>
      <c r="B663" t="s">
        <v>1386</v>
      </c>
      <c r="C663" t="s">
        <v>1387</v>
      </c>
      <c r="D663" t="s">
        <v>393</v>
      </c>
      <c r="E663" s="110">
        <v>4000000</v>
      </c>
      <c r="F663" t="str">
        <f>VLOOKUP(D663,Sheet1!$A$18:$B$28,2,FALSE)</f>
        <v>BH Xe cơ giới</v>
      </c>
      <c r="G663" t="str">
        <f t="shared" si="31"/>
        <v>186</v>
      </c>
      <c r="H663" s="24">
        <f t="shared" si="32"/>
        <v>4000000</v>
      </c>
      <c r="I663" t="str">
        <f>VLOOKUP(G663,'CHECK_DT-BT'!$A$3:$C$92,3,FALSE)</f>
        <v>BV Thành phố HCM</v>
      </c>
    </row>
    <row r="664" spans="1:9" x14ac:dyDescent="0.25">
      <c r="A664" t="str">
        <f t="shared" si="30"/>
        <v>186</v>
      </c>
      <c r="B664" t="s">
        <v>1388</v>
      </c>
      <c r="C664" t="s">
        <v>1389</v>
      </c>
      <c r="D664" t="s">
        <v>393</v>
      </c>
      <c r="E664" s="110">
        <v>0</v>
      </c>
      <c r="F664" t="str">
        <f>VLOOKUP(D664,Sheet1!$A$18:$B$28,2,FALSE)</f>
        <v>BH Xe cơ giới</v>
      </c>
      <c r="G664" t="str">
        <f t="shared" si="31"/>
        <v>186</v>
      </c>
      <c r="H664" s="24">
        <f t="shared" si="32"/>
        <v>0</v>
      </c>
      <c r="I664" t="str">
        <f>VLOOKUP(G664,'CHECK_DT-BT'!$A$3:$C$92,3,FALSE)</f>
        <v>BV Thành phố HCM</v>
      </c>
    </row>
    <row r="665" spans="1:9" x14ac:dyDescent="0.25">
      <c r="A665" t="str">
        <f t="shared" si="30"/>
        <v>188</v>
      </c>
      <c r="B665" t="s">
        <v>318</v>
      </c>
      <c r="C665" t="s">
        <v>113</v>
      </c>
      <c r="D665" t="s">
        <v>393</v>
      </c>
      <c r="E665" s="110">
        <v>1500000</v>
      </c>
      <c r="F665" t="str">
        <f>VLOOKUP(D665,Sheet1!$A$18:$B$28,2,FALSE)</f>
        <v>BH Xe cơ giới</v>
      </c>
      <c r="G665" t="str">
        <f t="shared" si="31"/>
        <v>188</v>
      </c>
      <c r="H665" s="24">
        <f t="shared" si="32"/>
        <v>1500000</v>
      </c>
      <c r="I665" t="str">
        <f>VLOOKUP(G665,'CHECK_DT-BT'!$A$3:$C$92,3,FALSE)</f>
        <v>BV Hậu Giang</v>
      </c>
    </row>
    <row r="666" spans="1:9" x14ac:dyDescent="0.25">
      <c r="A666" t="str">
        <f t="shared" si="30"/>
        <v>188</v>
      </c>
      <c r="B666" t="s">
        <v>1390</v>
      </c>
      <c r="C666" t="s">
        <v>1391</v>
      </c>
      <c r="D666" t="s">
        <v>394</v>
      </c>
      <c r="E666" s="110">
        <v>3986000</v>
      </c>
      <c r="F666" t="str">
        <f>VLOOKUP(D666,Sheet1!$A$18:$B$28,2,FALSE)</f>
        <v>BH Con người</v>
      </c>
      <c r="G666" t="str">
        <f t="shared" si="31"/>
        <v>188</v>
      </c>
      <c r="H666" s="24">
        <f t="shared" si="32"/>
        <v>3986000</v>
      </c>
      <c r="I666" t="str">
        <f>VLOOKUP(G666,'CHECK_DT-BT'!$A$3:$C$92,3,FALSE)</f>
        <v>BV Hậu Giang</v>
      </c>
    </row>
    <row r="667" spans="1:9" x14ac:dyDescent="0.25">
      <c r="A667" t="str">
        <f t="shared" si="30"/>
        <v>188</v>
      </c>
      <c r="B667" t="s">
        <v>1392</v>
      </c>
      <c r="C667" t="s">
        <v>1393</v>
      </c>
      <c r="D667" t="s">
        <v>393</v>
      </c>
      <c r="E667" s="110">
        <v>4700000</v>
      </c>
      <c r="F667" t="str">
        <f>VLOOKUP(D667,Sheet1!$A$18:$B$28,2,FALSE)</f>
        <v>BH Xe cơ giới</v>
      </c>
      <c r="G667" t="str">
        <f t="shared" si="31"/>
        <v>188</v>
      </c>
      <c r="H667" s="24">
        <f t="shared" si="32"/>
        <v>4700000</v>
      </c>
      <c r="I667" t="str">
        <f>VLOOKUP(G667,'CHECK_DT-BT'!$A$3:$C$92,3,FALSE)</f>
        <v>BV Hậu Giang</v>
      </c>
    </row>
    <row r="668" spans="1:9" x14ac:dyDescent="0.25">
      <c r="A668" t="str">
        <f t="shared" si="30"/>
        <v>188</v>
      </c>
      <c r="B668" t="s">
        <v>1394</v>
      </c>
      <c r="C668" t="s">
        <v>1395</v>
      </c>
      <c r="D668" t="s">
        <v>393</v>
      </c>
      <c r="E668" s="110">
        <v>4400000</v>
      </c>
      <c r="F668" t="str">
        <f>VLOOKUP(D668,Sheet1!$A$18:$B$28,2,FALSE)</f>
        <v>BH Xe cơ giới</v>
      </c>
      <c r="G668" t="str">
        <f t="shared" si="31"/>
        <v>188</v>
      </c>
      <c r="H668" s="24">
        <f t="shared" si="32"/>
        <v>4400000</v>
      </c>
      <c r="I668" t="str">
        <f>VLOOKUP(G668,'CHECK_DT-BT'!$A$3:$C$92,3,FALSE)</f>
        <v>BV Hậu Giang</v>
      </c>
    </row>
    <row r="669" spans="1:9" x14ac:dyDescent="0.25">
      <c r="A669" t="str">
        <f t="shared" si="30"/>
        <v>188</v>
      </c>
      <c r="B669" t="s">
        <v>1396</v>
      </c>
      <c r="C669" t="s">
        <v>1397</v>
      </c>
      <c r="D669" t="s">
        <v>394</v>
      </c>
      <c r="E669" s="110">
        <v>206000</v>
      </c>
      <c r="F669" t="str">
        <f>VLOOKUP(D669,Sheet1!$A$18:$B$28,2,FALSE)</f>
        <v>BH Con người</v>
      </c>
      <c r="G669" t="str">
        <f t="shared" si="31"/>
        <v>188</v>
      </c>
      <c r="H669" s="24">
        <f t="shared" si="32"/>
        <v>206000</v>
      </c>
      <c r="I669" t="str">
        <f>VLOOKUP(G669,'CHECK_DT-BT'!$A$3:$C$92,3,FALSE)</f>
        <v>BV Hậu Giang</v>
      </c>
    </row>
    <row r="670" spans="1:9" x14ac:dyDescent="0.25">
      <c r="A670" t="str">
        <f t="shared" si="30"/>
        <v>188</v>
      </c>
      <c r="B670" t="s">
        <v>1396</v>
      </c>
      <c r="C670" t="s">
        <v>1397</v>
      </c>
      <c r="D670" t="s">
        <v>393</v>
      </c>
      <c r="E670" s="110">
        <v>7400000</v>
      </c>
      <c r="F670" t="str">
        <f>VLOOKUP(D670,Sheet1!$A$18:$B$28,2,FALSE)</f>
        <v>BH Xe cơ giới</v>
      </c>
      <c r="G670" t="str">
        <f t="shared" si="31"/>
        <v>188</v>
      </c>
      <c r="H670" s="24">
        <f t="shared" si="32"/>
        <v>7400000</v>
      </c>
      <c r="I670" t="str">
        <f>VLOOKUP(G670,'CHECK_DT-BT'!$A$3:$C$92,3,FALSE)</f>
        <v>BV Hậu Giang</v>
      </c>
    </row>
    <row r="671" spans="1:9" x14ac:dyDescent="0.25">
      <c r="A671" t="str">
        <f t="shared" si="30"/>
        <v>188</v>
      </c>
      <c r="B671" t="s">
        <v>1398</v>
      </c>
      <c r="C671" t="s">
        <v>1399</v>
      </c>
      <c r="D671" t="s">
        <v>393</v>
      </c>
      <c r="E671" s="110">
        <v>2500000</v>
      </c>
      <c r="F671" t="str">
        <f>VLOOKUP(D671,Sheet1!$A$18:$B$28,2,FALSE)</f>
        <v>BH Xe cơ giới</v>
      </c>
      <c r="G671" t="str">
        <f t="shared" si="31"/>
        <v>188</v>
      </c>
      <c r="H671" s="24">
        <f t="shared" si="32"/>
        <v>2500000</v>
      </c>
      <c r="I671" t="str">
        <f>VLOOKUP(G671,'CHECK_DT-BT'!$A$3:$C$92,3,FALSE)</f>
        <v>BV Hậu Giang</v>
      </c>
    </row>
    <row r="672" spans="1:9" x14ac:dyDescent="0.25">
      <c r="A672" t="str">
        <f t="shared" si="30"/>
        <v>188</v>
      </c>
      <c r="B672" t="s">
        <v>1400</v>
      </c>
      <c r="C672" t="s">
        <v>1401</v>
      </c>
      <c r="D672" t="s">
        <v>394</v>
      </c>
      <c r="E672" s="110">
        <v>4630000</v>
      </c>
      <c r="F672" t="str">
        <f>VLOOKUP(D672,Sheet1!$A$18:$B$28,2,FALSE)</f>
        <v>BH Con người</v>
      </c>
      <c r="G672" t="str">
        <f t="shared" si="31"/>
        <v>188</v>
      </c>
      <c r="H672" s="24">
        <f t="shared" si="32"/>
        <v>4630000</v>
      </c>
      <c r="I672" t="str">
        <f>VLOOKUP(G672,'CHECK_DT-BT'!$A$3:$C$92,3,FALSE)</f>
        <v>BV Hậu Giang</v>
      </c>
    </row>
    <row r="673" spans="1:9" x14ac:dyDescent="0.25">
      <c r="A673" t="str">
        <f t="shared" si="30"/>
        <v>188</v>
      </c>
      <c r="B673" t="s">
        <v>1402</v>
      </c>
      <c r="C673" t="s">
        <v>1403</v>
      </c>
      <c r="D673" t="s">
        <v>394</v>
      </c>
      <c r="E673" s="110">
        <v>730000</v>
      </c>
      <c r="F673" t="str">
        <f>VLOOKUP(D673,Sheet1!$A$18:$B$28,2,FALSE)</f>
        <v>BH Con người</v>
      </c>
      <c r="G673" t="str">
        <f t="shared" si="31"/>
        <v>188</v>
      </c>
      <c r="H673" s="24">
        <f t="shared" si="32"/>
        <v>730000</v>
      </c>
      <c r="I673" t="str">
        <f>VLOOKUP(G673,'CHECK_DT-BT'!$A$3:$C$92,3,FALSE)</f>
        <v>BV Hậu Giang</v>
      </c>
    </row>
    <row r="674" spans="1:9" x14ac:dyDescent="0.25">
      <c r="A674" t="str">
        <f t="shared" si="30"/>
        <v>188</v>
      </c>
      <c r="B674" t="s">
        <v>1402</v>
      </c>
      <c r="C674" t="s">
        <v>1403</v>
      </c>
      <c r="D674" t="s">
        <v>393</v>
      </c>
      <c r="E674" s="110">
        <v>4500000</v>
      </c>
      <c r="F674" t="str">
        <f>VLOOKUP(D674,Sheet1!$A$18:$B$28,2,FALSE)</f>
        <v>BH Xe cơ giới</v>
      </c>
      <c r="G674" t="str">
        <f t="shared" si="31"/>
        <v>188</v>
      </c>
      <c r="H674" s="24">
        <f t="shared" si="32"/>
        <v>4500000</v>
      </c>
      <c r="I674" t="str">
        <f>VLOOKUP(G674,'CHECK_DT-BT'!$A$3:$C$92,3,FALSE)</f>
        <v>BV Hậu Giang</v>
      </c>
    </row>
    <row r="675" spans="1:9" x14ac:dyDescent="0.25">
      <c r="A675" t="str">
        <f t="shared" si="30"/>
        <v>188</v>
      </c>
      <c r="B675" t="s">
        <v>1404</v>
      </c>
      <c r="C675" t="s">
        <v>1405</v>
      </c>
      <c r="D675" t="s">
        <v>393</v>
      </c>
      <c r="E675" s="110">
        <v>500000</v>
      </c>
      <c r="F675" t="str">
        <f>VLOOKUP(D675,Sheet1!$A$18:$B$28,2,FALSE)</f>
        <v>BH Xe cơ giới</v>
      </c>
      <c r="G675" t="str">
        <f t="shared" si="31"/>
        <v>188</v>
      </c>
      <c r="H675" s="24">
        <f t="shared" si="32"/>
        <v>500000</v>
      </c>
      <c r="I675" t="str">
        <f>VLOOKUP(G675,'CHECK_DT-BT'!$A$3:$C$92,3,FALSE)</f>
        <v>BV Hậu Giang</v>
      </c>
    </row>
    <row r="676" spans="1:9" x14ac:dyDescent="0.25">
      <c r="A676" t="str">
        <f t="shared" si="30"/>
        <v>189</v>
      </c>
      <c r="B676" t="s">
        <v>1406</v>
      </c>
      <c r="C676" t="s">
        <v>1407</v>
      </c>
      <c r="D676" t="s">
        <v>393</v>
      </c>
      <c r="E676" s="110">
        <v>12600000</v>
      </c>
      <c r="F676" t="str">
        <f>VLOOKUP(D676,Sheet1!$A$18:$B$28,2,FALSE)</f>
        <v>BH Xe cơ giới</v>
      </c>
      <c r="G676" t="str">
        <f t="shared" si="31"/>
        <v>189</v>
      </c>
      <c r="H676" s="24">
        <f t="shared" si="32"/>
        <v>12600000</v>
      </c>
      <c r="I676" t="str">
        <f>VLOOKUP(G676,'CHECK_DT-BT'!$A$3:$C$92,3,FALSE)</f>
        <v>BV Dak Nong</v>
      </c>
    </row>
    <row r="677" spans="1:9" x14ac:dyDescent="0.25">
      <c r="A677" t="str">
        <f t="shared" si="30"/>
        <v>189</v>
      </c>
      <c r="B677" t="s">
        <v>1408</v>
      </c>
      <c r="C677" t="s">
        <v>1409</v>
      </c>
      <c r="D677" t="s">
        <v>393</v>
      </c>
      <c r="E677" s="110">
        <v>1000000</v>
      </c>
      <c r="F677" t="str">
        <f>VLOOKUP(D677,Sheet1!$A$18:$B$28,2,FALSE)</f>
        <v>BH Xe cơ giới</v>
      </c>
      <c r="G677" t="str">
        <f t="shared" si="31"/>
        <v>189</v>
      </c>
      <c r="H677" s="24">
        <f t="shared" si="32"/>
        <v>1000000</v>
      </c>
      <c r="I677" t="str">
        <f>VLOOKUP(G677,'CHECK_DT-BT'!$A$3:$C$92,3,FALSE)</f>
        <v>BV Dak Nong</v>
      </c>
    </row>
    <row r="678" spans="1:9" x14ac:dyDescent="0.25">
      <c r="A678" t="str">
        <f t="shared" si="30"/>
        <v>191</v>
      </c>
      <c r="B678" t="s">
        <v>1410</v>
      </c>
      <c r="C678" t="s">
        <v>1411</v>
      </c>
      <c r="D678" t="s">
        <v>393</v>
      </c>
      <c r="E678" s="110">
        <v>2200000</v>
      </c>
      <c r="F678" t="str">
        <f>VLOOKUP(D678,Sheet1!$A$18:$B$28,2,FALSE)</f>
        <v>BH Xe cơ giới</v>
      </c>
      <c r="G678" t="str">
        <f t="shared" si="31"/>
        <v>191</v>
      </c>
      <c r="H678" s="24">
        <f t="shared" si="32"/>
        <v>2200000</v>
      </c>
      <c r="I678" t="str">
        <f>VLOOKUP(G678,'CHECK_DT-BT'!$A$3:$C$92,3,FALSE)</f>
        <v>BV Phú Quốc</v>
      </c>
    </row>
    <row r="679" spans="1:9" x14ac:dyDescent="0.25">
      <c r="A679" t="str">
        <f t="shared" si="30"/>
        <v>191</v>
      </c>
      <c r="B679" t="s">
        <v>1412</v>
      </c>
      <c r="C679" t="s">
        <v>1413</v>
      </c>
      <c r="D679" t="s">
        <v>393</v>
      </c>
      <c r="E679" s="110">
        <v>2700000</v>
      </c>
      <c r="F679" t="str">
        <f>VLOOKUP(D679,Sheet1!$A$18:$B$28,2,FALSE)</f>
        <v>BH Xe cơ giới</v>
      </c>
      <c r="G679" t="str">
        <f t="shared" si="31"/>
        <v>191</v>
      </c>
      <c r="H679" s="24">
        <f t="shared" si="32"/>
        <v>2700000</v>
      </c>
      <c r="I679" t="str">
        <f>VLOOKUP(G679,'CHECK_DT-BT'!$A$3:$C$92,3,FALSE)</f>
        <v>BV Phú Quốc</v>
      </c>
    </row>
    <row r="680" spans="1:9" x14ac:dyDescent="0.25">
      <c r="A680" t="str">
        <f t="shared" si="30"/>
        <v>192</v>
      </c>
      <c r="B680" t="s">
        <v>304</v>
      </c>
      <c r="C680" t="s">
        <v>48</v>
      </c>
      <c r="D680" t="s">
        <v>393</v>
      </c>
      <c r="E680" s="110">
        <v>200000</v>
      </c>
      <c r="F680" t="str">
        <f>VLOOKUP(D680,Sheet1!$A$18:$B$28,2,FALSE)</f>
        <v>BH Xe cơ giới</v>
      </c>
      <c r="G680" t="str">
        <f t="shared" si="31"/>
        <v>192</v>
      </c>
      <c r="H680" s="24">
        <f t="shared" si="32"/>
        <v>200000</v>
      </c>
      <c r="I680" t="str">
        <f>VLOOKUP(G680,'CHECK_DT-BT'!$A$3:$C$92,3,FALSE)</f>
        <v>BV Đình Vũ</v>
      </c>
    </row>
    <row r="681" spans="1:9" x14ac:dyDescent="0.25">
      <c r="A681" t="str">
        <f t="shared" si="30"/>
        <v>192</v>
      </c>
      <c r="B681" t="s">
        <v>1414</v>
      </c>
      <c r="C681" t="s">
        <v>1415</v>
      </c>
      <c r="D681" t="s">
        <v>273</v>
      </c>
      <c r="E681" s="110">
        <v>147846584</v>
      </c>
      <c r="F681" t="str">
        <f>VLOOKUP(D681,Sheet1!$A$18:$B$28,2,FALSE)</f>
        <v>Hull (Thân tàu biển)</v>
      </c>
      <c r="G681" t="str">
        <f t="shared" si="31"/>
        <v>192</v>
      </c>
      <c r="H681" s="24">
        <f t="shared" si="32"/>
        <v>147846584</v>
      </c>
      <c r="I681" t="str">
        <f>VLOOKUP(G681,'CHECK_DT-BT'!$A$3:$C$92,3,FALSE)</f>
        <v>BV Đình Vũ</v>
      </c>
    </row>
    <row r="682" spans="1:9" x14ac:dyDescent="0.25">
      <c r="A682" t="str">
        <f t="shared" si="30"/>
        <v>192</v>
      </c>
      <c r="B682" t="s">
        <v>1414</v>
      </c>
      <c r="C682" t="s">
        <v>1415</v>
      </c>
      <c r="D682" t="s">
        <v>393</v>
      </c>
      <c r="E682" s="110">
        <v>6300000</v>
      </c>
      <c r="F682" t="str">
        <f>VLOOKUP(D682,Sheet1!$A$18:$B$28,2,FALSE)</f>
        <v>BH Xe cơ giới</v>
      </c>
      <c r="G682" t="str">
        <f t="shared" si="31"/>
        <v>192</v>
      </c>
      <c r="H682" s="24">
        <f t="shared" si="32"/>
        <v>6300000</v>
      </c>
      <c r="I682" t="str">
        <f>VLOOKUP(G682,'CHECK_DT-BT'!$A$3:$C$92,3,FALSE)</f>
        <v>BV Đình Vũ</v>
      </c>
    </row>
    <row r="683" spans="1:9" x14ac:dyDescent="0.25">
      <c r="A683" t="str">
        <f t="shared" si="30"/>
        <v>192</v>
      </c>
      <c r="B683" t="s">
        <v>1416</v>
      </c>
      <c r="C683" t="s">
        <v>1417</v>
      </c>
      <c r="D683" t="s">
        <v>391</v>
      </c>
      <c r="E683" s="110">
        <v>92590000</v>
      </c>
      <c r="F683" t="str">
        <f>VLOOKUP(D683,Sheet1!$A$18:$B$28,2,FALSE)</f>
        <v>BH Kỹ thuật</v>
      </c>
      <c r="G683" t="str">
        <f t="shared" si="31"/>
        <v>192</v>
      </c>
      <c r="H683" s="24">
        <f t="shared" si="32"/>
        <v>92590000</v>
      </c>
      <c r="I683" t="str">
        <f>VLOOKUP(G683,'CHECK_DT-BT'!$A$3:$C$92,3,FALSE)</f>
        <v>BV Đình Vũ</v>
      </c>
    </row>
    <row r="684" spans="1:9" x14ac:dyDescent="0.25">
      <c r="A684" t="str">
        <f t="shared" si="30"/>
        <v>192</v>
      </c>
      <c r="B684" t="s">
        <v>1416</v>
      </c>
      <c r="C684" t="s">
        <v>1417</v>
      </c>
      <c r="D684" t="s">
        <v>389</v>
      </c>
      <c r="E684" s="110">
        <v>22150000</v>
      </c>
      <c r="F684" t="str">
        <f>VLOOKUP(D684,Sheet1!$A$18:$B$28,2,FALSE)</f>
        <v>BH Trách nhiệm</v>
      </c>
      <c r="G684" t="str">
        <f t="shared" si="31"/>
        <v>192</v>
      </c>
      <c r="H684" s="24">
        <f t="shared" si="32"/>
        <v>22150000</v>
      </c>
      <c r="I684" t="str">
        <f>VLOOKUP(G684,'CHECK_DT-BT'!$A$3:$C$92,3,FALSE)</f>
        <v>BV Đình Vũ</v>
      </c>
    </row>
    <row r="685" spans="1:9" x14ac:dyDescent="0.25">
      <c r="A685" t="str">
        <f t="shared" si="30"/>
        <v>192</v>
      </c>
      <c r="B685" t="s">
        <v>1416</v>
      </c>
      <c r="C685" t="s">
        <v>1417</v>
      </c>
      <c r="D685" t="s">
        <v>393</v>
      </c>
      <c r="E685" s="110">
        <v>1200000</v>
      </c>
      <c r="F685" t="str">
        <f>VLOOKUP(D685,Sheet1!$A$18:$B$28,2,FALSE)</f>
        <v>BH Xe cơ giới</v>
      </c>
      <c r="G685" t="str">
        <f t="shared" si="31"/>
        <v>192</v>
      </c>
      <c r="H685" s="24">
        <f t="shared" si="32"/>
        <v>1200000</v>
      </c>
      <c r="I685" t="str">
        <f>VLOOKUP(G685,'CHECK_DT-BT'!$A$3:$C$92,3,FALSE)</f>
        <v>BV Đình Vũ</v>
      </c>
    </row>
    <row r="686" spans="1:9" x14ac:dyDescent="0.25">
      <c r="A686" t="str">
        <f t="shared" si="30"/>
        <v>192</v>
      </c>
      <c r="B686" t="s">
        <v>1418</v>
      </c>
      <c r="C686" t="s">
        <v>1419</v>
      </c>
      <c r="D686" t="s">
        <v>387</v>
      </c>
      <c r="E686" s="110">
        <v>12400000</v>
      </c>
      <c r="F686" t="str">
        <f>VLOOKUP(D686,Sheet1!$A$18:$B$28,2,FALSE)</f>
        <v>BH Hàng hóa</v>
      </c>
      <c r="G686" t="str">
        <f t="shared" si="31"/>
        <v>192</v>
      </c>
      <c r="H686" s="24">
        <f t="shared" si="32"/>
        <v>12400000</v>
      </c>
      <c r="I686" t="str">
        <f>VLOOKUP(G686,'CHECK_DT-BT'!$A$3:$C$92,3,FALSE)</f>
        <v>BV Đình Vũ</v>
      </c>
    </row>
    <row r="687" spans="1:9" x14ac:dyDescent="0.25">
      <c r="A687" t="str">
        <f t="shared" si="30"/>
        <v>192</v>
      </c>
      <c r="B687" t="s">
        <v>1418</v>
      </c>
      <c r="C687" t="s">
        <v>1419</v>
      </c>
      <c r="D687" t="s">
        <v>391</v>
      </c>
      <c r="E687" s="110">
        <v>33060000</v>
      </c>
      <c r="F687" t="str">
        <f>VLOOKUP(D687,Sheet1!$A$18:$B$28,2,FALSE)</f>
        <v>BH Kỹ thuật</v>
      </c>
      <c r="G687" t="str">
        <f t="shared" si="31"/>
        <v>192</v>
      </c>
      <c r="H687" s="24">
        <f t="shared" si="32"/>
        <v>33060000</v>
      </c>
      <c r="I687" t="str">
        <f>VLOOKUP(G687,'CHECK_DT-BT'!$A$3:$C$92,3,FALSE)</f>
        <v>BV Đình Vũ</v>
      </c>
    </row>
    <row r="688" spans="1:9" x14ac:dyDescent="0.25">
      <c r="A688" t="str">
        <f t="shared" si="30"/>
        <v>192</v>
      </c>
      <c r="B688" t="s">
        <v>1418</v>
      </c>
      <c r="C688" t="s">
        <v>1419</v>
      </c>
      <c r="D688" t="s">
        <v>389</v>
      </c>
      <c r="E688" s="110">
        <v>18725000</v>
      </c>
      <c r="F688" t="str">
        <f>VLOOKUP(D688,Sheet1!$A$18:$B$28,2,FALSE)</f>
        <v>BH Trách nhiệm</v>
      </c>
      <c r="G688" t="str">
        <f t="shared" si="31"/>
        <v>192</v>
      </c>
      <c r="H688" s="24">
        <f t="shared" si="32"/>
        <v>18725000</v>
      </c>
      <c r="I688" t="str">
        <f>VLOOKUP(G688,'CHECK_DT-BT'!$A$3:$C$92,3,FALSE)</f>
        <v>BV Đình Vũ</v>
      </c>
    </row>
    <row r="689" spans="1:9" x14ac:dyDescent="0.25">
      <c r="A689" t="str">
        <f t="shared" si="30"/>
        <v>192</v>
      </c>
      <c r="B689" t="s">
        <v>1418</v>
      </c>
      <c r="C689" t="s">
        <v>1419</v>
      </c>
      <c r="D689" t="s">
        <v>393</v>
      </c>
      <c r="E689" s="110">
        <v>2300000</v>
      </c>
      <c r="F689" t="str">
        <f>VLOOKUP(D689,Sheet1!$A$18:$B$28,2,FALSE)</f>
        <v>BH Xe cơ giới</v>
      </c>
      <c r="G689" t="str">
        <f t="shared" si="31"/>
        <v>192</v>
      </c>
      <c r="H689" s="24">
        <f t="shared" si="32"/>
        <v>2300000</v>
      </c>
      <c r="I689" t="str">
        <f>VLOOKUP(G689,'CHECK_DT-BT'!$A$3:$C$92,3,FALSE)</f>
        <v>BV Đình Vũ</v>
      </c>
    </row>
    <row r="690" spans="1:9" x14ac:dyDescent="0.25">
      <c r="A690" t="str">
        <f t="shared" si="30"/>
        <v>192</v>
      </c>
      <c r="B690" t="s">
        <v>1420</v>
      </c>
      <c r="C690" t="s">
        <v>1421</v>
      </c>
      <c r="D690" t="s">
        <v>273</v>
      </c>
      <c r="E690" s="110">
        <v>-54183001</v>
      </c>
      <c r="F690" t="str">
        <f>VLOOKUP(D690,Sheet1!$A$18:$B$28,2,FALSE)</f>
        <v>Hull (Thân tàu biển)</v>
      </c>
      <c r="G690" t="str">
        <f t="shared" si="31"/>
        <v>192</v>
      </c>
      <c r="H690" s="24">
        <f t="shared" si="32"/>
        <v>-54183001</v>
      </c>
      <c r="I690" t="str">
        <f>VLOOKUP(G690,'CHECK_DT-BT'!$A$3:$C$92,3,FALSE)</f>
        <v>BV Đình Vũ</v>
      </c>
    </row>
    <row r="691" spans="1:9" x14ac:dyDescent="0.25">
      <c r="A691" t="str">
        <f t="shared" si="30"/>
        <v>192</v>
      </c>
      <c r="B691" t="s">
        <v>1420</v>
      </c>
      <c r="C691" t="s">
        <v>1421</v>
      </c>
      <c r="D691" t="s">
        <v>392</v>
      </c>
      <c r="E691" s="110">
        <v>37195000</v>
      </c>
      <c r="F691" t="str">
        <f>VLOOKUP(D691,Sheet1!$A$18:$B$28,2,FALSE)</f>
        <v>BH Tài sản</v>
      </c>
      <c r="G691" t="str">
        <f t="shared" si="31"/>
        <v>192</v>
      </c>
      <c r="H691" s="24">
        <f t="shared" si="32"/>
        <v>37195000</v>
      </c>
      <c r="I691" t="str">
        <f>VLOOKUP(G691,'CHECK_DT-BT'!$A$3:$C$92,3,FALSE)</f>
        <v>BV Đình Vũ</v>
      </c>
    </row>
    <row r="692" spans="1:9" x14ac:dyDescent="0.25">
      <c r="A692" t="str">
        <f t="shared" si="30"/>
        <v>192</v>
      </c>
      <c r="B692" t="s">
        <v>1420</v>
      </c>
      <c r="C692" t="s">
        <v>1421</v>
      </c>
      <c r="D692" t="s">
        <v>393</v>
      </c>
      <c r="E692" s="110">
        <v>500000</v>
      </c>
      <c r="F692" t="str">
        <f>VLOOKUP(D692,Sheet1!$A$18:$B$28,2,FALSE)</f>
        <v>BH Xe cơ giới</v>
      </c>
      <c r="G692" t="str">
        <f t="shared" si="31"/>
        <v>192</v>
      </c>
      <c r="H692" s="24">
        <f t="shared" si="32"/>
        <v>500000</v>
      </c>
      <c r="I692" t="str">
        <f>VLOOKUP(G692,'CHECK_DT-BT'!$A$3:$C$92,3,FALSE)</f>
        <v>BV Đình Vũ</v>
      </c>
    </row>
    <row r="693" spans="1:9" x14ac:dyDescent="0.25">
      <c r="A693" t="str">
        <f t="shared" si="30"/>
        <v>193</v>
      </c>
      <c r="B693" t="s">
        <v>314</v>
      </c>
      <c r="C693" t="s">
        <v>64</v>
      </c>
      <c r="D693" t="s">
        <v>393</v>
      </c>
      <c r="E693" s="110">
        <v>20200000</v>
      </c>
      <c r="F693" t="str">
        <f>VLOOKUP(D693,Sheet1!$A$18:$B$28,2,FALSE)</f>
        <v>BH Xe cơ giới</v>
      </c>
      <c r="G693" t="str">
        <f t="shared" si="31"/>
        <v>193</v>
      </c>
      <c r="H693" s="24">
        <f t="shared" si="32"/>
        <v>20200000</v>
      </c>
      <c r="I693" t="str">
        <f>VLOOKUP(G693,'CHECK_DT-BT'!$A$3:$C$92,3,FALSE)</f>
        <v>BV Hà Thành</v>
      </c>
    </row>
    <row r="694" spans="1:9" x14ac:dyDescent="0.25">
      <c r="A694" t="str">
        <f t="shared" si="30"/>
        <v>193</v>
      </c>
      <c r="B694" t="s">
        <v>1422</v>
      </c>
      <c r="C694" t="s">
        <v>1423</v>
      </c>
      <c r="D694" t="s">
        <v>387</v>
      </c>
      <c r="E694" s="110">
        <v>51944350</v>
      </c>
      <c r="F694" t="str">
        <f>VLOOKUP(D694,Sheet1!$A$18:$B$28,2,FALSE)</f>
        <v>BH Hàng hóa</v>
      </c>
      <c r="G694" t="str">
        <f t="shared" si="31"/>
        <v>193</v>
      </c>
      <c r="H694" s="24">
        <f t="shared" si="32"/>
        <v>51944350</v>
      </c>
      <c r="I694" t="str">
        <f>VLOOKUP(G694,'CHECK_DT-BT'!$A$3:$C$92,3,FALSE)</f>
        <v>BV Hà Thành</v>
      </c>
    </row>
    <row r="695" spans="1:9" x14ac:dyDescent="0.25">
      <c r="A695" t="str">
        <f t="shared" si="30"/>
        <v>193</v>
      </c>
      <c r="B695" t="s">
        <v>1422</v>
      </c>
      <c r="C695" t="s">
        <v>1423</v>
      </c>
      <c r="D695" t="s">
        <v>273</v>
      </c>
      <c r="E695" s="110">
        <v>10661000</v>
      </c>
      <c r="F695" t="str">
        <f>VLOOKUP(D695,Sheet1!$A$18:$B$28,2,FALSE)</f>
        <v>Hull (Thân tàu biển)</v>
      </c>
      <c r="G695" t="str">
        <f t="shared" si="31"/>
        <v>193</v>
      </c>
      <c r="H695" s="24">
        <f t="shared" si="32"/>
        <v>10661000</v>
      </c>
      <c r="I695" t="str">
        <f>VLOOKUP(G695,'CHECK_DT-BT'!$A$3:$C$92,3,FALSE)</f>
        <v>BV Hà Thành</v>
      </c>
    </row>
    <row r="696" spans="1:9" x14ac:dyDescent="0.25">
      <c r="A696" t="str">
        <f t="shared" si="30"/>
        <v>193</v>
      </c>
      <c r="B696" t="s">
        <v>1422</v>
      </c>
      <c r="C696" t="s">
        <v>1423</v>
      </c>
      <c r="D696" t="s">
        <v>392</v>
      </c>
      <c r="E696" s="110">
        <v>129211514</v>
      </c>
      <c r="F696" t="str">
        <f>VLOOKUP(D696,Sheet1!$A$18:$B$28,2,FALSE)</f>
        <v>BH Tài sản</v>
      </c>
      <c r="G696" t="str">
        <f t="shared" si="31"/>
        <v>193</v>
      </c>
      <c r="H696" s="24">
        <f t="shared" si="32"/>
        <v>129211514</v>
      </c>
      <c r="I696" t="str">
        <f>VLOOKUP(G696,'CHECK_DT-BT'!$A$3:$C$92,3,FALSE)</f>
        <v>BV Hà Thành</v>
      </c>
    </row>
    <row r="697" spans="1:9" x14ac:dyDescent="0.25">
      <c r="A697" t="str">
        <f t="shared" si="30"/>
        <v>193</v>
      </c>
      <c r="B697" t="s">
        <v>1422</v>
      </c>
      <c r="C697" t="s">
        <v>1423</v>
      </c>
      <c r="D697" t="s">
        <v>393</v>
      </c>
      <c r="E697" s="110">
        <v>5800000</v>
      </c>
      <c r="F697" t="str">
        <f>VLOOKUP(D697,Sheet1!$A$18:$B$28,2,FALSE)</f>
        <v>BH Xe cơ giới</v>
      </c>
      <c r="G697" t="str">
        <f t="shared" si="31"/>
        <v>193</v>
      </c>
      <c r="H697" s="24">
        <f t="shared" si="32"/>
        <v>5800000</v>
      </c>
      <c r="I697" t="str">
        <f>VLOOKUP(G697,'CHECK_DT-BT'!$A$3:$C$92,3,FALSE)</f>
        <v>BV Hà Thành</v>
      </c>
    </row>
    <row r="698" spans="1:9" x14ac:dyDescent="0.25">
      <c r="A698" t="str">
        <f t="shared" si="30"/>
        <v>193</v>
      </c>
      <c r="B698" t="s">
        <v>1424</v>
      </c>
      <c r="C698" t="s">
        <v>1425</v>
      </c>
      <c r="D698" t="s">
        <v>393</v>
      </c>
      <c r="E698" s="110">
        <v>47900000</v>
      </c>
      <c r="F698" t="str">
        <f>VLOOKUP(D698,Sheet1!$A$18:$B$28,2,FALSE)</f>
        <v>BH Xe cơ giới</v>
      </c>
      <c r="G698" t="str">
        <f t="shared" si="31"/>
        <v>193</v>
      </c>
      <c r="H698" s="24">
        <f t="shared" si="32"/>
        <v>47900000</v>
      </c>
      <c r="I698" t="str">
        <f>VLOOKUP(G698,'CHECK_DT-BT'!$A$3:$C$92,3,FALSE)</f>
        <v>BV Hà Thành</v>
      </c>
    </row>
    <row r="699" spans="1:9" x14ac:dyDescent="0.25">
      <c r="A699" t="str">
        <f t="shared" si="30"/>
        <v>193</v>
      </c>
      <c r="B699" t="s">
        <v>1426</v>
      </c>
      <c r="C699" t="s">
        <v>1427</v>
      </c>
      <c r="D699" t="s">
        <v>393</v>
      </c>
      <c r="E699" s="110">
        <v>3700000</v>
      </c>
      <c r="F699" t="str">
        <f>VLOOKUP(D699,Sheet1!$A$18:$B$28,2,FALSE)</f>
        <v>BH Xe cơ giới</v>
      </c>
      <c r="G699" t="str">
        <f t="shared" si="31"/>
        <v>193</v>
      </c>
      <c r="H699" s="24">
        <f t="shared" si="32"/>
        <v>3700000</v>
      </c>
      <c r="I699" t="str">
        <f>VLOOKUP(G699,'CHECK_DT-BT'!$A$3:$C$92,3,FALSE)</f>
        <v>BV Hà Thành</v>
      </c>
    </row>
    <row r="700" spans="1:9" x14ac:dyDescent="0.25">
      <c r="A700" t="str">
        <f t="shared" si="30"/>
        <v>193</v>
      </c>
      <c r="B700" t="s">
        <v>1428</v>
      </c>
      <c r="C700" t="s">
        <v>1429</v>
      </c>
      <c r="D700" t="s">
        <v>393</v>
      </c>
      <c r="E700" s="110">
        <v>7600000</v>
      </c>
      <c r="F700" t="str">
        <f>VLOOKUP(D700,Sheet1!$A$18:$B$28,2,FALSE)</f>
        <v>BH Xe cơ giới</v>
      </c>
      <c r="G700" t="str">
        <f t="shared" si="31"/>
        <v>193</v>
      </c>
      <c r="H700" s="24">
        <f t="shared" si="32"/>
        <v>7600000</v>
      </c>
      <c r="I700" t="str">
        <f>VLOOKUP(G700,'CHECK_DT-BT'!$A$3:$C$92,3,FALSE)</f>
        <v>BV Hà Thành</v>
      </c>
    </row>
    <row r="701" spans="1:9" x14ac:dyDescent="0.25">
      <c r="A701" t="str">
        <f t="shared" si="30"/>
        <v>193</v>
      </c>
      <c r="B701" t="s">
        <v>1430</v>
      </c>
      <c r="C701" t="s">
        <v>1431</v>
      </c>
      <c r="D701" t="s">
        <v>392</v>
      </c>
      <c r="E701" s="110">
        <v>3454545454</v>
      </c>
      <c r="F701" t="str">
        <f>VLOOKUP(D701,Sheet1!$A$18:$B$28,2,FALSE)</f>
        <v>BH Tài sản</v>
      </c>
      <c r="G701" t="str">
        <f t="shared" si="31"/>
        <v>193</v>
      </c>
      <c r="H701" s="24">
        <f t="shared" si="32"/>
        <v>3454545454</v>
      </c>
      <c r="I701" t="str">
        <f>VLOOKUP(G701,'CHECK_DT-BT'!$A$3:$C$92,3,FALSE)</f>
        <v>BV Hà Thành</v>
      </c>
    </row>
    <row r="702" spans="1:9" x14ac:dyDescent="0.25">
      <c r="A702" t="str">
        <f t="shared" si="30"/>
        <v>193</v>
      </c>
      <c r="B702" t="s">
        <v>1430</v>
      </c>
      <c r="C702" t="s">
        <v>1431</v>
      </c>
      <c r="D702" t="s">
        <v>393</v>
      </c>
      <c r="E702" s="110">
        <v>2500000</v>
      </c>
      <c r="F702" t="str">
        <f>VLOOKUP(D702,Sheet1!$A$18:$B$28,2,FALSE)</f>
        <v>BH Xe cơ giới</v>
      </c>
      <c r="G702" t="str">
        <f t="shared" si="31"/>
        <v>193</v>
      </c>
      <c r="H702" s="24">
        <f t="shared" si="32"/>
        <v>2500000</v>
      </c>
      <c r="I702" t="str">
        <f>VLOOKUP(G702,'CHECK_DT-BT'!$A$3:$C$92,3,FALSE)</f>
        <v>BV Hà Thành</v>
      </c>
    </row>
    <row r="703" spans="1:9" x14ac:dyDescent="0.25">
      <c r="A703" t="str">
        <f t="shared" si="30"/>
        <v>193</v>
      </c>
      <c r="B703" t="s">
        <v>1432</v>
      </c>
      <c r="C703" t="s">
        <v>1433</v>
      </c>
      <c r="D703" t="s">
        <v>393</v>
      </c>
      <c r="E703" s="110">
        <v>500000</v>
      </c>
      <c r="F703" t="str">
        <f>VLOOKUP(D703,Sheet1!$A$18:$B$28,2,FALSE)</f>
        <v>BH Xe cơ giới</v>
      </c>
      <c r="G703" t="str">
        <f t="shared" si="31"/>
        <v>193</v>
      </c>
      <c r="H703" s="24">
        <f t="shared" si="32"/>
        <v>500000</v>
      </c>
      <c r="I703" t="str">
        <f>VLOOKUP(G703,'CHECK_DT-BT'!$A$3:$C$92,3,FALSE)</f>
        <v>BV Hà Thành</v>
      </c>
    </row>
    <row r="704" spans="1:9" x14ac:dyDescent="0.25">
      <c r="A704" t="str">
        <f t="shared" si="30"/>
        <v>193</v>
      </c>
      <c r="B704" t="s">
        <v>1434</v>
      </c>
      <c r="C704" t="s">
        <v>1435</v>
      </c>
      <c r="D704" t="s">
        <v>387</v>
      </c>
      <c r="E704" s="110">
        <v>27313654</v>
      </c>
      <c r="F704" t="str">
        <f>VLOOKUP(D704,Sheet1!$A$18:$B$28,2,FALSE)</f>
        <v>BH Hàng hóa</v>
      </c>
      <c r="G704" t="str">
        <f t="shared" si="31"/>
        <v>193</v>
      </c>
      <c r="H704" s="24">
        <f t="shared" si="32"/>
        <v>27313654</v>
      </c>
      <c r="I704" t="str">
        <f>VLOOKUP(G704,'CHECK_DT-BT'!$A$3:$C$92,3,FALSE)</f>
        <v>BV Hà Thành</v>
      </c>
    </row>
    <row r="705" spans="1:9" x14ac:dyDescent="0.25">
      <c r="A705" t="str">
        <f t="shared" si="30"/>
        <v>193</v>
      </c>
      <c r="B705" t="s">
        <v>1434</v>
      </c>
      <c r="C705" t="s">
        <v>1435</v>
      </c>
      <c r="D705" t="s">
        <v>393</v>
      </c>
      <c r="E705" s="110">
        <v>34600000</v>
      </c>
      <c r="F705" t="str">
        <f>VLOOKUP(D705,Sheet1!$A$18:$B$28,2,FALSE)</f>
        <v>BH Xe cơ giới</v>
      </c>
      <c r="G705" t="str">
        <f t="shared" si="31"/>
        <v>193</v>
      </c>
      <c r="H705" s="24">
        <f t="shared" si="32"/>
        <v>34600000</v>
      </c>
      <c r="I705" t="str">
        <f>VLOOKUP(G705,'CHECK_DT-BT'!$A$3:$C$92,3,FALSE)</f>
        <v>BV Hà Thành</v>
      </c>
    </row>
    <row r="706" spans="1:9" x14ac:dyDescent="0.25">
      <c r="A706" t="str">
        <f t="shared" si="30"/>
        <v>193</v>
      </c>
      <c r="B706" t="s">
        <v>1436</v>
      </c>
      <c r="C706" t="s">
        <v>1437</v>
      </c>
      <c r="D706" t="s">
        <v>393</v>
      </c>
      <c r="E706" s="110">
        <v>4200000</v>
      </c>
      <c r="F706" t="str">
        <f>VLOOKUP(D706,Sheet1!$A$18:$B$28,2,FALSE)</f>
        <v>BH Xe cơ giới</v>
      </c>
      <c r="G706" t="str">
        <f t="shared" si="31"/>
        <v>193</v>
      </c>
      <c r="H706" s="24">
        <f t="shared" si="32"/>
        <v>4200000</v>
      </c>
      <c r="I706" t="str">
        <f>VLOOKUP(G706,'CHECK_DT-BT'!$A$3:$C$92,3,FALSE)</f>
        <v>BV Hà Thành</v>
      </c>
    </row>
    <row r="707" spans="1:9" x14ac:dyDescent="0.25">
      <c r="A707" t="str">
        <f t="shared" si="30"/>
        <v>194</v>
      </c>
      <c r="B707" t="s">
        <v>1438</v>
      </c>
      <c r="C707" t="s">
        <v>1439</v>
      </c>
      <c r="D707" t="s">
        <v>393</v>
      </c>
      <c r="E707" s="110">
        <v>400000</v>
      </c>
      <c r="F707" t="str">
        <f>VLOOKUP(D707,Sheet1!$A$18:$B$28,2,FALSE)</f>
        <v>BH Xe cơ giới</v>
      </c>
      <c r="G707" t="str">
        <f t="shared" si="31"/>
        <v>194</v>
      </c>
      <c r="H707" s="24">
        <f t="shared" si="32"/>
        <v>400000</v>
      </c>
      <c r="I707" t="str">
        <f>VLOOKUP(G707,'CHECK_DT-BT'!$A$3:$C$92,3,FALSE)</f>
        <v>BV Sơn Tây</v>
      </c>
    </row>
    <row r="708" spans="1:9" x14ac:dyDescent="0.25">
      <c r="A708" t="str">
        <f t="shared" si="30"/>
        <v>194</v>
      </c>
      <c r="B708" t="s">
        <v>1440</v>
      </c>
      <c r="C708" t="s">
        <v>1441</v>
      </c>
      <c r="D708" t="s">
        <v>394</v>
      </c>
      <c r="E708" s="110">
        <v>5540000</v>
      </c>
      <c r="F708" t="str">
        <f>VLOOKUP(D708,Sheet1!$A$18:$B$28,2,FALSE)</f>
        <v>BH Con người</v>
      </c>
      <c r="G708" t="str">
        <f t="shared" si="31"/>
        <v>194</v>
      </c>
      <c r="H708" s="24">
        <f t="shared" si="32"/>
        <v>5540000</v>
      </c>
      <c r="I708" t="str">
        <f>VLOOKUP(G708,'CHECK_DT-BT'!$A$3:$C$92,3,FALSE)</f>
        <v>BV Sơn Tây</v>
      </c>
    </row>
    <row r="709" spans="1:9" x14ac:dyDescent="0.25">
      <c r="A709" t="str">
        <f t="shared" ref="A709:A730" si="33">LEFT(B709,3)</f>
        <v>194</v>
      </c>
      <c r="B709" t="s">
        <v>1442</v>
      </c>
      <c r="C709" t="s">
        <v>1443</v>
      </c>
      <c r="D709" t="s">
        <v>393</v>
      </c>
      <c r="E709" s="110">
        <v>1800000</v>
      </c>
      <c r="F709" t="str">
        <f>VLOOKUP(D709,Sheet1!$A$18:$B$28,2,FALSE)</f>
        <v>BH Xe cơ giới</v>
      </c>
      <c r="G709" t="str">
        <f t="shared" ref="G709:G730" si="34">IF(A709="101",B709,A709)</f>
        <v>194</v>
      </c>
      <c r="H709" s="24">
        <f t="shared" ref="H709:H730" si="35">E709</f>
        <v>1800000</v>
      </c>
      <c r="I709" t="str">
        <f>VLOOKUP(G709,'CHECK_DT-BT'!$A$3:$C$92,3,FALSE)</f>
        <v>BV Sơn Tây</v>
      </c>
    </row>
    <row r="710" spans="1:9" x14ac:dyDescent="0.25">
      <c r="A710" t="str">
        <f t="shared" si="33"/>
        <v>194</v>
      </c>
      <c r="B710" t="s">
        <v>1444</v>
      </c>
      <c r="C710" t="s">
        <v>1445</v>
      </c>
      <c r="D710" t="s">
        <v>394</v>
      </c>
      <c r="E710" s="110">
        <v>1975000</v>
      </c>
      <c r="F710" t="str">
        <f>VLOOKUP(D710,Sheet1!$A$18:$B$28,2,FALSE)</f>
        <v>BH Con người</v>
      </c>
      <c r="G710" t="str">
        <f t="shared" si="34"/>
        <v>194</v>
      </c>
      <c r="H710" s="24">
        <f t="shared" si="35"/>
        <v>1975000</v>
      </c>
      <c r="I710" t="str">
        <f>VLOOKUP(G710,'CHECK_DT-BT'!$A$3:$C$92,3,FALSE)</f>
        <v>BV Sơn Tây</v>
      </c>
    </row>
    <row r="711" spans="1:9" x14ac:dyDescent="0.25">
      <c r="A711" t="str">
        <f t="shared" si="33"/>
        <v>194</v>
      </c>
      <c r="B711" t="s">
        <v>1446</v>
      </c>
      <c r="C711" t="s">
        <v>1447</v>
      </c>
      <c r="D711" t="s">
        <v>394</v>
      </c>
      <c r="E711" s="110">
        <v>2535000</v>
      </c>
      <c r="F711" t="str">
        <f>VLOOKUP(D711,Sheet1!$A$18:$B$28,2,FALSE)</f>
        <v>BH Con người</v>
      </c>
      <c r="G711" t="str">
        <f t="shared" si="34"/>
        <v>194</v>
      </c>
      <c r="H711" s="24">
        <f t="shared" si="35"/>
        <v>2535000</v>
      </c>
      <c r="I711" t="str">
        <f>VLOOKUP(G711,'CHECK_DT-BT'!$A$3:$C$92,3,FALSE)</f>
        <v>BV Sơn Tây</v>
      </c>
    </row>
    <row r="712" spans="1:9" x14ac:dyDescent="0.25">
      <c r="A712" t="str">
        <f t="shared" si="33"/>
        <v>194</v>
      </c>
      <c r="B712" t="s">
        <v>1448</v>
      </c>
      <c r="C712" t="s">
        <v>1449</v>
      </c>
      <c r="D712" t="s">
        <v>394</v>
      </c>
      <c r="E712" s="110">
        <v>808000</v>
      </c>
      <c r="F712" t="str">
        <f>VLOOKUP(D712,Sheet1!$A$18:$B$28,2,FALSE)</f>
        <v>BH Con người</v>
      </c>
      <c r="G712" t="str">
        <f t="shared" si="34"/>
        <v>194</v>
      </c>
      <c r="H712" s="24">
        <f t="shared" si="35"/>
        <v>808000</v>
      </c>
      <c r="I712" t="str">
        <f>VLOOKUP(G712,'CHECK_DT-BT'!$A$3:$C$92,3,FALSE)</f>
        <v>BV Sơn Tây</v>
      </c>
    </row>
    <row r="713" spans="1:9" x14ac:dyDescent="0.25">
      <c r="A713" t="str">
        <f t="shared" si="33"/>
        <v>194</v>
      </c>
      <c r="B713" t="s">
        <v>1448</v>
      </c>
      <c r="C713" t="s">
        <v>1449</v>
      </c>
      <c r="D713" t="s">
        <v>393</v>
      </c>
      <c r="E713" s="110">
        <v>700000</v>
      </c>
      <c r="F713" t="str">
        <f>VLOOKUP(D713,Sheet1!$A$18:$B$28,2,FALSE)</f>
        <v>BH Xe cơ giới</v>
      </c>
      <c r="G713" t="str">
        <f t="shared" si="34"/>
        <v>194</v>
      </c>
      <c r="H713" s="24">
        <f t="shared" si="35"/>
        <v>700000</v>
      </c>
      <c r="I713" t="str">
        <f>VLOOKUP(G713,'CHECK_DT-BT'!$A$3:$C$92,3,FALSE)</f>
        <v>BV Sơn Tây</v>
      </c>
    </row>
    <row r="714" spans="1:9" x14ac:dyDescent="0.25">
      <c r="A714" t="str">
        <f t="shared" si="33"/>
        <v>195</v>
      </c>
      <c r="B714" t="s">
        <v>1450</v>
      </c>
      <c r="C714" t="s">
        <v>1451</v>
      </c>
      <c r="D714" t="s">
        <v>393</v>
      </c>
      <c r="E714" s="110">
        <v>500000</v>
      </c>
      <c r="F714" t="str">
        <f>VLOOKUP(D714,Sheet1!$A$18:$B$28,2,FALSE)</f>
        <v>BH Xe cơ giới</v>
      </c>
      <c r="G714" t="str">
        <f t="shared" si="34"/>
        <v>195</v>
      </c>
      <c r="H714" s="24">
        <f t="shared" si="35"/>
        <v>500000</v>
      </c>
      <c r="I714" t="str">
        <f>VLOOKUP(G714,'CHECK_DT-BT'!$A$3:$C$92,3,FALSE)</f>
        <v>BV Bến Thành</v>
      </c>
    </row>
    <row r="715" spans="1:9" x14ac:dyDescent="0.25">
      <c r="A715" t="str">
        <f t="shared" si="33"/>
        <v>195</v>
      </c>
      <c r="B715" t="s">
        <v>1452</v>
      </c>
      <c r="C715" t="s">
        <v>1453</v>
      </c>
      <c r="D715" t="s">
        <v>393</v>
      </c>
      <c r="E715" s="110">
        <v>13900000</v>
      </c>
      <c r="F715" t="str">
        <f>VLOOKUP(D715,Sheet1!$A$18:$B$28,2,FALSE)</f>
        <v>BH Xe cơ giới</v>
      </c>
      <c r="G715" t="str">
        <f t="shared" si="34"/>
        <v>195</v>
      </c>
      <c r="H715" s="24">
        <f t="shared" si="35"/>
        <v>13900000</v>
      </c>
      <c r="I715" t="str">
        <f>VLOOKUP(G715,'CHECK_DT-BT'!$A$3:$C$92,3,FALSE)</f>
        <v>BV Bến Thành</v>
      </c>
    </row>
    <row r="716" spans="1:9" x14ac:dyDescent="0.25">
      <c r="A716" t="str">
        <f t="shared" si="33"/>
        <v>195</v>
      </c>
      <c r="B716" t="s">
        <v>1454</v>
      </c>
      <c r="C716" t="s">
        <v>1455</v>
      </c>
      <c r="D716" t="s">
        <v>393</v>
      </c>
      <c r="E716" s="110">
        <v>2000000</v>
      </c>
      <c r="F716" t="str">
        <f>VLOOKUP(D716,Sheet1!$A$18:$B$28,2,FALSE)</f>
        <v>BH Xe cơ giới</v>
      </c>
      <c r="G716" t="str">
        <f t="shared" si="34"/>
        <v>195</v>
      </c>
      <c r="H716" s="24">
        <f t="shared" si="35"/>
        <v>2000000</v>
      </c>
      <c r="I716" t="str">
        <f>VLOOKUP(G716,'CHECK_DT-BT'!$A$3:$C$92,3,FALSE)</f>
        <v>BV Bến Thành</v>
      </c>
    </row>
    <row r="717" spans="1:9" x14ac:dyDescent="0.25">
      <c r="A717" t="str">
        <f t="shared" si="33"/>
        <v>195</v>
      </c>
      <c r="B717" t="s">
        <v>1456</v>
      </c>
      <c r="C717" t="s">
        <v>1457</v>
      </c>
      <c r="D717" t="s">
        <v>391</v>
      </c>
      <c r="E717" s="110">
        <v>55148850</v>
      </c>
      <c r="F717" t="str">
        <f>VLOOKUP(D717,Sheet1!$A$18:$B$28,2,FALSE)</f>
        <v>BH Kỹ thuật</v>
      </c>
      <c r="G717" t="str">
        <f t="shared" si="34"/>
        <v>195</v>
      </c>
      <c r="H717" s="24">
        <f t="shared" si="35"/>
        <v>55148850</v>
      </c>
      <c r="I717" t="str">
        <f>VLOOKUP(G717,'CHECK_DT-BT'!$A$3:$C$92,3,FALSE)</f>
        <v>BV Bến Thành</v>
      </c>
    </row>
    <row r="718" spans="1:9" x14ac:dyDescent="0.25">
      <c r="A718" t="str">
        <f t="shared" si="33"/>
        <v>195</v>
      </c>
      <c r="B718" t="s">
        <v>1456</v>
      </c>
      <c r="C718" t="s">
        <v>1457</v>
      </c>
      <c r="D718" t="s">
        <v>392</v>
      </c>
      <c r="E718" s="110">
        <v>6231750</v>
      </c>
      <c r="F718" t="str">
        <f>VLOOKUP(D718,Sheet1!$A$18:$B$28,2,FALSE)</f>
        <v>BH Tài sản</v>
      </c>
      <c r="G718" t="str">
        <f t="shared" si="34"/>
        <v>195</v>
      </c>
      <c r="H718" s="24">
        <f t="shared" si="35"/>
        <v>6231750</v>
      </c>
      <c r="I718" t="str">
        <f>VLOOKUP(G718,'CHECK_DT-BT'!$A$3:$C$92,3,FALSE)</f>
        <v>BV Bến Thành</v>
      </c>
    </row>
    <row r="719" spans="1:9" x14ac:dyDescent="0.25">
      <c r="A719" t="str">
        <f t="shared" si="33"/>
        <v>195</v>
      </c>
      <c r="B719" t="s">
        <v>1456</v>
      </c>
      <c r="C719" t="s">
        <v>1457</v>
      </c>
      <c r="D719" t="s">
        <v>393</v>
      </c>
      <c r="E719" s="110">
        <v>1600000</v>
      </c>
      <c r="F719" t="str">
        <f>VLOOKUP(D719,Sheet1!$A$18:$B$28,2,FALSE)</f>
        <v>BH Xe cơ giới</v>
      </c>
      <c r="G719" t="str">
        <f t="shared" si="34"/>
        <v>195</v>
      </c>
      <c r="H719" s="24">
        <f t="shared" si="35"/>
        <v>1600000</v>
      </c>
      <c r="I719" t="str">
        <f>VLOOKUP(G719,'CHECK_DT-BT'!$A$3:$C$92,3,FALSE)</f>
        <v>BV Bến Thành</v>
      </c>
    </row>
    <row r="720" spans="1:9" x14ac:dyDescent="0.25">
      <c r="A720" t="str">
        <f t="shared" si="33"/>
        <v>196</v>
      </c>
      <c r="B720" t="s">
        <v>1458</v>
      </c>
      <c r="C720" t="s">
        <v>1459</v>
      </c>
      <c r="D720" t="s">
        <v>393</v>
      </c>
      <c r="E720" s="110">
        <v>1600000</v>
      </c>
      <c r="F720" t="str">
        <f>VLOOKUP(D720,Sheet1!$A$18:$B$28,2,FALSE)</f>
        <v>BH Xe cơ giới</v>
      </c>
      <c r="G720" t="str">
        <f t="shared" si="34"/>
        <v>196</v>
      </c>
      <c r="H720" s="24">
        <f t="shared" si="35"/>
        <v>1600000</v>
      </c>
      <c r="I720" t="str">
        <f>VLOOKUP(G720,'CHECK_DT-BT'!$A$3:$C$92,3,FALSE)</f>
        <v>BV Mỹ Đình</v>
      </c>
    </row>
    <row r="721" spans="1:9" x14ac:dyDescent="0.25">
      <c r="A721" t="str">
        <f t="shared" si="33"/>
        <v>196</v>
      </c>
      <c r="B721" t="s">
        <v>1460</v>
      </c>
      <c r="C721" t="s">
        <v>1461</v>
      </c>
      <c r="D721" t="s">
        <v>393</v>
      </c>
      <c r="E721" s="110">
        <v>12400000</v>
      </c>
      <c r="F721" t="str">
        <f>VLOOKUP(D721,Sheet1!$A$18:$B$28,2,FALSE)</f>
        <v>BH Xe cơ giới</v>
      </c>
      <c r="G721" t="str">
        <f t="shared" si="34"/>
        <v>196</v>
      </c>
      <c r="H721" s="24">
        <f t="shared" si="35"/>
        <v>12400000</v>
      </c>
      <c r="I721" t="str">
        <f>VLOOKUP(G721,'CHECK_DT-BT'!$A$3:$C$92,3,FALSE)</f>
        <v>BV Mỹ Đình</v>
      </c>
    </row>
    <row r="722" spans="1:9" x14ac:dyDescent="0.25">
      <c r="A722" t="str">
        <f t="shared" si="33"/>
        <v>196</v>
      </c>
      <c r="B722" t="s">
        <v>1462</v>
      </c>
      <c r="C722" t="s">
        <v>1463</v>
      </c>
      <c r="D722" t="s">
        <v>393</v>
      </c>
      <c r="E722" s="110">
        <v>6000000</v>
      </c>
      <c r="F722" t="str">
        <f>VLOOKUP(D722,Sheet1!$A$18:$B$28,2,FALSE)</f>
        <v>BH Xe cơ giới</v>
      </c>
      <c r="G722" t="str">
        <f t="shared" si="34"/>
        <v>196</v>
      </c>
      <c r="H722" s="24">
        <f t="shared" si="35"/>
        <v>6000000</v>
      </c>
      <c r="I722" t="str">
        <f>VLOOKUP(G722,'CHECK_DT-BT'!$A$3:$C$92,3,FALSE)</f>
        <v>BV Mỹ Đình</v>
      </c>
    </row>
    <row r="723" spans="1:9" x14ac:dyDescent="0.25">
      <c r="A723" t="str">
        <f t="shared" si="33"/>
        <v>196</v>
      </c>
      <c r="B723" t="s">
        <v>1464</v>
      </c>
      <c r="C723" t="s">
        <v>1465</v>
      </c>
      <c r="D723" t="s">
        <v>393</v>
      </c>
      <c r="E723" s="110">
        <v>7400000</v>
      </c>
      <c r="F723" t="str">
        <f>VLOOKUP(D723,Sheet1!$A$18:$B$28,2,FALSE)</f>
        <v>BH Xe cơ giới</v>
      </c>
      <c r="G723" t="str">
        <f t="shared" si="34"/>
        <v>196</v>
      </c>
      <c r="H723" s="24">
        <f t="shared" si="35"/>
        <v>7400000</v>
      </c>
      <c r="I723" t="str">
        <f>VLOOKUP(G723,'CHECK_DT-BT'!$A$3:$C$92,3,FALSE)</f>
        <v>BV Mỹ Đình</v>
      </c>
    </row>
    <row r="724" spans="1:9" x14ac:dyDescent="0.25">
      <c r="A724" t="str">
        <f t="shared" si="33"/>
        <v>196</v>
      </c>
      <c r="B724" t="s">
        <v>1466</v>
      </c>
      <c r="C724" t="s">
        <v>1467</v>
      </c>
      <c r="D724" t="s">
        <v>387</v>
      </c>
      <c r="E724" s="110">
        <v>8326400</v>
      </c>
      <c r="F724" t="str">
        <f>VLOOKUP(D724,Sheet1!$A$18:$B$28,2,FALSE)</f>
        <v>BH Hàng hóa</v>
      </c>
      <c r="G724" t="str">
        <f t="shared" si="34"/>
        <v>196</v>
      </c>
      <c r="H724" s="24">
        <f t="shared" si="35"/>
        <v>8326400</v>
      </c>
      <c r="I724" t="str">
        <f>VLOOKUP(G724,'CHECK_DT-BT'!$A$3:$C$92,3,FALSE)</f>
        <v>BV Mỹ Đình</v>
      </c>
    </row>
    <row r="725" spans="1:9" x14ac:dyDescent="0.25">
      <c r="A725" t="str">
        <f t="shared" si="33"/>
        <v>196</v>
      </c>
      <c r="B725" t="s">
        <v>1466</v>
      </c>
      <c r="C725" t="s">
        <v>1467</v>
      </c>
      <c r="D725" t="s">
        <v>391</v>
      </c>
      <c r="E725" s="110">
        <v>989435527</v>
      </c>
      <c r="F725" t="str">
        <f>VLOOKUP(D725,Sheet1!$A$18:$B$28,2,FALSE)</f>
        <v>BH Kỹ thuật</v>
      </c>
      <c r="G725" t="str">
        <f t="shared" si="34"/>
        <v>196</v>
      </c>
      <c r="H725" s="24">
        <f t="shared" si="35"/>
        <v>989435527</v>
      </c>
      <c r="I725" t="str">
        <f>VLOOKUP(G725,'CHECK_DT-BT'!$A$3:$C$92,3,FALSE)</f>
        <v>BV Mỹ Đình</v>
      </c>
    </row>
    <row r="726" spans="1:9" x14ac:dyDescent="0.25">
      <c r="A726" t="str">
        <f t="shared" si="33"/>
        <v>196</v>
      </c>
      <c r="B726" t="s">
        <v>1466</v>
      </c>
      <c r="C726" t="s">
        <v>1467</v>
      </c>
      <c r="D726" t="s">
        <v>393</v>
      </c>
      <c r="E726" s="110">
        <v>1500000</v>
      </c>
      <c r="F726" t="str">
        <f>VLOOKUP(D726,Sheet1!$A$18:$B$28,2,FALSE)</f>
        <v>BH Xe cơ giới</v>
      </c>
      <c r="G726" t="str">
        <f t="shared" si="34"/>
        <v>196</v>
      </c>
      <c r="H726" s="24">
        <f t="shared" si="35"/>
        <v>1500000</v>
      </c>
      <c r="I726" t="str">
        <f>VLOOKUP(G726,'CHECK_DT-BT'!$A$3:$C$92,3,FALSE)</f>
        <v>BV Mỹ Đình</v>
      </c>
    </row>
    <row r="727" spans="1:9" x14ac:dyDescent="0.25">
      <c r="A727" t="str">
        <f t="shared" si="33"/>
        <v>196</v>
      </c>
      <c r="B727" t="s">
        <v>1468</v>
      </c>
      <c r="C727" t="s">
        <v>1469</v>
      </c>
      <c r="D727" t="s">
        <v>387</v>
      </c>
      <c r="E727" s="110">
        <v>15304605</v>
      </c>
      <c r="F727" t="str">
        <f>VLOOKUP(D727,Sheet1!$A$18:$B$28,2,FALSE)</f>
        <v>BH Hàng hóa</v>
      </c>
      <c r="G727" t="str">
        <f t="shared" si="34"/>
        <v>196</v>
      </c>
      <c r="H727" s="24">
        <f t="shared" si="35"/>
        <v>15304605</v>
      </c>
      <c r="I727" t="str">
        <f>VLOOKUP(G727,'CHECK_DT-BT'!$A$3:$C$92,3,FALSE)</f>
        <v>BV Mỹ Đình</v>
      </c>
    </row>
    <row r="728" spans="1:9" x14ac:dyDescent="0.25">
      <c r="A728" t="str">
        <f t="shared" si="33"/>
        <v>196</v>
      </c>
      <c r="B728" t="s">
        <v>1468</v>
      </c>
      <c r="C728" t="s">
        <v>1469</v>
      </c>
      <c r="D728" t="s">
        <v>393</v>
      </c>
      <c r="E728" s="110">
        <v>2900000</v>
      </c>
      <c r="F728" t="str">
        <f>VLOOKUP(D728,Sheet1!$A$18:$B$28,2,FALSE)</f>
        <v>BH Xe cơ giới</v>
      </c>
      <c r="G728" t="str">
        <f t="shared" si="34"/>
        <v>196</v>
      </c>
      <c r="H728" s="24">
        <f t="shared" si="35"/>
        <v>2900000</v>
      </c>
      <c r="I728" t="str">
        <f>VLOOKUP(G728,'CHECK_DT-BT'!$A$3:$C$92,3,FALSE)</f>
        <v>BV Mỹ Đình</v>
      </c>
    </row>
    <row r="729" spans="1:9" x14ac:dyDescent="0.25">
      <c r="A729" t="str">
        <f t="shared" si="33"/>
        <v>196</v>
      </c>
      <c r="B729" t="s">
        <v>1470</v>
      </c>
      <c r="C729" t="s">
        <v>1471</v>
      </c>
      <c r="D729" t="s">
        <v>393</v>
      </c>
      <c r="E729" s="110">
        <v>3700000</v>
      </c>
      <c r="F729" t="str">
        <f>VLOOKUP(D729,Sheet1!$A$18:$B$28,2,FALSE)</f>
        <v>BH Xe cơ giới</v>
      </c>
      <c r="G729" t="str">
        <f t="shared" si="34"/>
        <v>196</v>
      </c>
      <c r="H729" s="24">
        <f t="shared" si="35"/>
        <v>3700000</v>
      </c>
      <c r="I729" t="str">
        <f>VLOOKUP(G729,'CHECK_DT-BT'!$A$3:$C$92,3,FALSE)</f>
        <v>BV Mỹ Đình</v>
      </c>
    </row>
    <row r="730" spans="1:9" x14ac:dyDescent="0.25">
      <c r="A730" t="str">
        <f t="shared" si="33"/>
        <v>196</v>
      </c>
      <c r="B730" t="s">
        <v>1472</v>
      </c>
      <c r="C730" t="s">
        <v>1473</v>
      </c>
      <c r="D730" t="s">
        <v>393</v>
      </c>
      <c r="E730" s="110">
        <v>1500000</v>
      </c>
      <c r="F730" t="str">
        <f>VLOOKUP(D730,Sheet1!$A$18:$B$28,2,FALSE)</f>
        <v>BH Xe cơ giới</v>
      </c>
      <c r="G730" t="str">
        <f t="shared" si="34"/>
        <v>196</v>
      </c>
      <c r="H730" s="24">
        <f t="shared" si="35"/>
        <v>1500000</v>
      </c>
      <c r="I730" t="str">
        <f>VLOOKUP(G730,'CHECK_DT-BT'!$A$3:$C$92,3,FALSE)</f>
        <v>BV Mỹ Đình</v>
      </c>
    </row>
  </sheetData>
  <autoFilter ref="A3:F73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X2047"/>
  <sheetViews>
    <sheetView zoomScaleNormal="100" workbookViewId="0">
      <pane xSplit="1" ySplit="10" topLeftCell="B1077" activePane="bottomRight" state="frozen"/>
      <selection pane="topRight" activeCell="B1" sqref="B1"/>
      <selection pane="bottomLeft" activeCell="A11" sqref="A11"/>
      <selection pane="bottomRight" activeCell="S1091" sqref="S1091"/>
    </sheetView>
  </sheetViews>
  <sheetFormatPr defaultRowHeight="15" x14ac:dyDescent="0.25"/>
  <cols>
    <col min="1" max="1" width="13.85546875" style="40" bestFit="1" customWidth="1"/>
    <col min="2" max="2" width="44.42578125" style="40" bestFit="1" customWidth="1"/>
    <col min="3" max="3" width="20.7109375" style="40" customWidth="1"/>
    <col min="4" max="4" width="20.7109375" style="40" hidden="1" customWidth="1"/>
    <col min="5" max="5" width="23.140625" style="40" hidden="1" customWidth="1"/>
    <col min="6" max="6" width="28.140625" style="40" hidden="1" customWidth="1"/>
    <col min="7" max="7" width="31.140625" style="40" hidden="1" customWidth="1"/>
    <col min="8" max="8" width="42.85546875" style="40" hidden="1" customWidth="1"/>
    <col min="9" max="12" width="25.7109375" style="40" hidden="1" customWidth="1"/>
    <col min="13" max="13" width="24" style="40" hidden="1" customWidth="1"/>
    <col min="14" max="14" width="20.28515625" style="40" customWidth="1"/>
    <col min="15" max="15" width="44.42578125" style="40" bestFit="1" customWidth="1"/>
    <col min="16" max="16" width="14.85546875" style="40" customWidth="1"/>
    <col min="17" max="17" width="13.85546875" style="40" bestFit="1" customWidth="1"/>
    <col min="18" max="16384" width="9.140625" style="40"/>
  </cols>
  <sheetData>
    <row r="1" spans="1:17" ht="15" customHeight="1" x14ac:dyDescent="0.25">
      <c r="B1" s="41" t="s">
        <v>375</v>
      </c>
      <c r="C1" s="41" t="s">
        <v>398</v>
      </c>
      <c r="D1" s="41" t="s">
        <v>378</v>
      </c>
      <c r="E1" s="41" t="s">
        <v>377</v>
      </c>
      <c r="F1" s="41"/>
      <c r="G1" s="42" t="s">
        <v>381</v>
      </c>
      <c r="H1" s="42" t="s">
        <v>381</v>
      </c>
      <c r="I1" s="42" t="s">
        <v>382</v>
      </c>
      <c r="J1" s="42" t="s">
        <v>383</v>
      </c>
      <c r="K1" s="42" t="s">
        <v>384</v>
      </c>
      <c r="L1" s="42" t="s">
        <v>385</v>
      </c>
      <c r="M1" s="42" t="s">
        <v>386</v>
      </c>
      <c r="O1" s="41"/>
    </row>
    <row r="2" spans="1:17" x14ac:dyDescent="0.25">
      <c r="B2" s="43"/>
      <c r="C2" s="44"/>
      <c r="D2" s="41"/>
      <c r="E2" s="44"/>
      <c r="F2" s="44"/>
      <c r="G2" s="45"/>
      <c r="H2" s="45"/>
      <c r="I2" s="46"/>
      <c r="J2" s="46"/>
      <c r="K2" s="46"/>
      <c r="L2" s="46"/>
      <c r="M2" s="46"/>
      <c r="O2" s="43"/>
    </row>
    <row r="3" spans="1:17" ht="39.950000000000003" customHeight="1" x14ac:dyDescent="0.25">
      <c r="B3" s="47">
        <v>103</v>
      </c>
      <c r="C3" s="117" t="s">
        <v>399</v>
      </c>
      <c r="D3" s="114" t="s">
        <v>400</v>
      </c>
      <c r="E3" s="120" t="s">
        <v>401</v>
      </c>
      <c r="F3" s="48"/>
      <c r="G3" s="114" t="s">
        <v>402</v>
      </c>
      <c r="H3" s="114" t="s">
        <v>402</v>
      </c>
      <c r="I3" s="114" t="s">
        <v>403</v>
      </c>
      <c r="J3" s="114" t="s">
        <v>404</v>
      </c>
      <c r="K3" s="114" t="s">
        <v>405</v>
      </c>
      <c r="L3" s="114" t="s">
        <v>406</v>
      </c>
      <c r="M3" s="114" t="s">
        <v>407</v>
      </c>
      <c r="O3" s="80"/>
    </row>
    <row r="4" spans="1:17" ht="25.5" customHeight="1" x14ac:dyDescent="0.25">
      <c r="B4" s="47">
        <v>104</v>
      </c>
      <c r="C4" s="118"/>
      <c r="D4" s="115"/>
      <c r="E4" s="121"/>
      <c r="F4" s="49"/>
      <c r="G4" s="115"/>
      <c r="H4" s="115"/>
      <c r="I4" s="115"/>
      <c r="J4" s="115"/>
      <c r="K4" s="115"/>
      <c r="L4" s="115"/>
      <c r="M4" s="115"/>
      <c r="O4" s="81"/>
    </row>
    <row r="5" spans="1:17" ht="21.75" customHeight="1" x14ac:dyDescent="0.25">
      <c r="B5" s="50">
        <v>105</v>
      </c>
      <c r="C5" s="118"/>
      <c r="D5" s="115"/>
      <c r="E5" s="121"/>
      <c r="F5" s="49"/>
      <c r="G5" s="115"/>
      <c r="H5" s="115"/>
      <c r="I5" s="115"/>
      <c r="J5" s="115"/>
      <c r="K5" s="115"/>
      <c r="L5" s="115"/>
      <c r="M5" s="115"/>
      <c r="O5" s="82"/>
    </row>
    <row r="6" spans="1:17" ht="18.75" customHeight="1" x14ac:dyDescent="0.25">
      <c r="B6" s="47">
        <v>106</v>
      </c>
      <c r="C6" s="118"/>
      <c r="D6" s="115"/>
      <c r="E6" s="121"/>
      <c r="F6" s="49"/>
      <c r="G6" s="115"/>
      <c r="H6" s="115"/>
      <c r="I6" s="115"/>
      <c r="J6" s="115"/>
      <c r="K6" s="115"/>
      <c r="L6" s="115"/>
      <c r="M6" s="115"/>
      <c r="O6" s="81"/>
    </row>
    <row r="7" spans="1:17" ht="16.5" customHeight="1" x14ac:dyDescent="0.25">
      <c r="B7" s="50" t="s">
        <v>408</v>
      </c>
      <c r="C7" s="119"/>
      <c r="D7" s="116"/>
      <c r="E7" s="122"/>
      <c r="F7" s="51"/>
      <c r="G7" s="116"/>
      <c r="H7" s="116"/>
      <c r="I7" s="116"/>
      <c r="J7" s="116"/>
      <c r="K7" s="116"/>
      <c r="L7" s="116"/>
      <c r="M7" s="116"/>
      <c r="O7" s="83"/>
    </row>
    <row r="8" spans="1:17" s="55" customFormat="1" ht="16.5" customHeight="1" x14ac:dyDescent="0.25">
      <c r="A8" s="52"/>
      <c r="B8" s="52"/>
      <c r="C8" s="53" t="s">
        <v>409</v>
      </c>
      <c r="D8" s="54">
        <v>-4129706328</v>
      </c>
      <c r="E8" s="54">
        <v>1125730707725</v>
      </c>
      <c r="F8" s="54"/>
      <c r="G8" s="54">
        <v>-30569984</v>
      </c>
      <c r="H8" s="54"/>
      <c r="I8" s="54">
        <v>0</v>
      </c>
      <c r="J8" s="54">
        <v>0</v>
      </c>
      <c r="K8" s="54">
        <v>0</v>
      </c>
      <c r="L8" s="54">
        <v>2972513339</v>
      </c>
      <c r="M8" s="54">
        <v>0</v>
      </c>
      <c r="O8" s="52"/>
    </row>
    <row r="9" spans="1:17" s="60" customFormat="1" ht="16.5" customHeight="1" x14ac:dyDescent="0.25">
      <c r="A9" s="56"/>
      <c r="B9" s="56"/>
      <c r="C9" s="57" t="s">
        <v>410</v>
      </c>
      <c r="D9" s="58">
        <v>2033017011550</v>
      </c>
      <c r="E9" s="58"/>
      <c r="F9" s="58">
        <v>86594669824.999985</v>
      </c>
      <c r="G9" s="58">
        <v>-34704912</v>
      </c>
      <c r="H9" s="58">
        <v>86559964912.999985</v>
      </c>
      <c r="I9" s="58">
        <v>584135761</v>
      </c>
      <c r="J9" s="58">
        <v>190820252422</v>
      </c>
      <c r="K9" s="58">
        <v>56848731820</v>
      </c>
      <c r="L9" s="58">
        <v>115910953778</v>
      </c>
      <c r="M9" s="58">
        <v>99870854743</v>
      </c>
      <c r="N9" s="59"/>
      <c r="O9" s="56"/>
    </row>
    <row r="10" spans="1:17" s="60" customFormat="1" ht="16.5" customHeight="1" x14ac:dyDescent="0.25">
      <c r="A10" s="84" t="s">
        <v>375</v>
      </c>
      <c r="B10" s="61" t="s">
        <v>376</v>
      </c>
      <c r="C10" s="61" t="s">
        <v>377</v>
      </c>
      <c r="D10" s="61" t="s">
        <v>378</v>
      </c>
      <c r="E10" s="62"/>
      <c r="F10" s="62" t="s">
        <v>379</v>
      </c>
      <c r="G10" s="62" t="s">
        <v>380</v>
      </c>
      <c r="H10" s="63" t="s">
        <v>381</v>
      </c>
      <c r="I10" s="63" t="s">
        <v>382</v>
      </c>
      <c r="J10" s="63" t="s">
        <v>383</v>
      </c>
      <c r="K10" s="63" t="s">
        <v>384</v>
      </c>
      <c r="L10" s="63" t="s">
        <v>385</v>
      </c>
      <c r="M10" s="63" t="s">
        <v>386</v>
      </c>
      <c r="N10" s="64" t="s">
        <v>43</v>
      </c>
      <c r="O10" s="61"/>
    </row>
    <row r="11" spans="1:17" x14ac:dyDescent="0.25">
      <c r="A11" s="85" t="s">
        <v>352</v>
      </c>
      <c r="B11" s="65" t="s">
        <v>210</v>
      </c>
      <c r="C11" s="65" t="s">
        <v>387</v>
      </c>
      <c r="D11" s="66">
        <v>974860062</v>
      </c>
      <c r="E11" s="65">
        <v>1888042500</v>
      </c>
      <c r="F11" s="67">
        <v>41072204.279909678</v>
      </c>
      <c r="G11" s="68">
        <v>0</v>
      </c>
      <c r="H11" s="68">
        <v>41072204.279909678</v>
      </c>
      <c r="I11" s="68">
        <v>0</v>
      </c>
      <c r="J11" s="68">
        <v>97486007</v>
      </c>
      <c r="K11" s="68">
        <v>48743004</v>
      </c>
      <c r="L11" s="68">
        <v>38994402</v>
      </c>
      <c r="M11" s="68">
        <v>77988804</v>
      </c>
      <c r="N11" s="69">
        <v>304284421.27990967</v>
      </c>
      <c r="O11" s="65" t="str">
        <f>VLOOKUP(A11,Report_HQ1!$A$7:$C$95,3,FALSE)</f>
        <v>BV Thăng Long</v>
      </c>
      <c r="P11" s="40" t="str">
        <f>VLOOKUP(C11,Sheet1!$U$4:$V$14,2,FALSE)</f>
        <v>BH Hàng hóa</v>
      </c>
      <c r="Q11" s="88">
        <f>N11</f>
        <v>304284421.27990967</v>
      </c>
    </row>
    <row r="12" spans="1:17" x14ac:dyDescent="0.25">
      <c r="A12" s="85" t="s">
        <v>352</v>
      </c>
      <c r="B12" s="65" t="s">
        <v>210</v>
      </c>
      <c r="C12" s="65" t="s">
        <v>272</v>
      </c>
      <c r="D12" s="66">
        <v>0</v>
      </c>
      <c r="E12" s="65">
        <v>1888042500</v>
      </c>
      <c r="F12" s="67">
        <v>0</v>
      </c>
      <c r="G12" s="68">
        <v>0</v>
      </c>
      <c r="H12" s="68">
        <v>0</v>
      </c>
      <c r="I12" s="68">
        <v>0</v>
      </c>
      <c r="J12" s="68">
        <v>0</v>
      </c>
      <c r="K12" s="68">
        <v>0</v>
      </c>
      <c r="L12" s="68">
        <v>0</v>
      </c>
      <c r="M12" s="68">
        <v>0</v>
      </c>
      <c r="N12" s="69">
        <v>0</v>
      </c>
      <c r="O12" s="65" t="str">
        <f>VLOOKUP(A12,Report_HQ1!$A$7:$C$95,3,FALSE)</f>
        <v>BV Thăng Long</v>
      </c>
      <c r="P12" s="40" t="str">
        <f>VLOOKUP(C12,Sheet1!$U$4:$V$14,2,FALSE)</f>
        <v>Tàu khác</v>
      </c>
      <c r="Q12" s="88">
        <f t="shared" ref="Q12:Q75" si="0">N12</f>
        <v>0</v>
      </c>
    </row>
    <row r="13" spans="1:17" x14ac:dyDescent="0.25">
      <c r="A13" s="85" t="s">
        <v>352</v>
      </c>
      <c r="B13" s="65" t="s">
        <v>210</v>
      </c>
      <c r="C13" s="65" t="s">
        <v>388</v>
      </c>
      <c r="D13" s="66">
        <v>1578512074</v>
      </c>
      <c r="E13" s="65">
        <v>1888042500</v>
      </c>
      <c r="F13" s="67">
        <v>66504899.409482546</v>
      </c>
      <c r="G13" s="68">
        <v>0</v>
      </c>
      <c r="H13" s="68">
        <v>66504899.409482546</v>
      </c>
      <c r="I13" s="68">
        <v>7892560</v>
      </c>
      <c r="J13" s="68">
        <v>78925604</v>
      </c>
      <c r="K13" s="68">
        <v>39462801</v>
      </c>
      <c r="L13" s="68">
        <v>0</v>
      </c>
      <c r="M13" s="68">
        <v>47355362</v>
      </c>
      <c r="N13" s="69">
        <v>240141226.40948254</v>
      </c>
      <c r="O13" s="65" t="str">
        <f>VLOOKUP(A13,Report_HQ1!$A$7:$C$95,3,FALSE)</f>
        <v>BV Thăng Long</v>
      </c>
      <c r="P13" s="40" t="str">
        <f>VLOOKUP(C13,Sheet1!$U$4:$V$14,2,FALSE)</f>
        <v>Hull (Thân tàu biển)</v>
      </c>
      <c r="Q13" s="88">
        <f t="shared" si="0"/>
        <v>240141226.40948254</v>
      </c>
    </row>
    <row r="14" spans="1:17" x14ac:dyDescent="0.25">
      <c r="A14" s="85" t="s">
        <v>352</v>
      </c>
      <c r="B14" s="65" t="s">
        <v>210</v>
      </c>
      <c r="C14" s="65" t="s">
        <v>23</v>
      </c>
      <c r="D14" s="66">
        <v>1200342364</v>
      </c>
      <c r="E14" s="65">
        <v>1888042500</v>
      </c>
      <c r="F14" s="67">
        <v>50572085.88368421</v>
      </c>
      <c r="G14" s="68">
        <v>-4134928</v>
      </c>
      <c r="H14" s="68">
        <v>46437157.88368421</v>
      </c>
      <c r="I14" s="68">
        <v>0</v>
      </c>
      <c r="J14" s="68">
        <v>58983386</v>
      </c>
      <c r="K14" s="68">
        <v>24839900</v>
      </c>
      <c r="L14" s="68">
        <v>0</v>
      </c>
      <c r="M14" s="68">
        <v>31875343</v>
      </c>
      <c r="N14" s="69">
        <v>162135786.88368422</v>
      </c>
      <c r="O14" s="65" t="str">
        <f>VLOOKUP(A14,Report_HQ1!$A$7:$C$95,3,FALSE)</f>
        <v>BV Thăng Long</v>
      </c>
      <c r="P14" s="40" t="str">
        <f>VLOOKUP(C14,Sheet1!$U$4:$V$14,2,FALSE)</f>
        <v>P&amp;I</v>
      </c>
      <c r="Q14" s="88">
        <f t="shared" si="0"/>
        <v>162135786.88368422</v>
      </c>
    </row>
    <row r="15" spans="1:17" x14ac:dyDescent="0.25">
      <c r="A15" s="85" t="s">
        <v>352</v>
      </c>
      <c r="B15" s="65" t="s">
        <v>210</v>
      </c>
      <c r="C15" s="65" t="s">
        <v>389</v>
      </c>
      <c r="D15" s="66">
        <v>669375306</v>
      </c>
      <c r="E15" s="65">
        <v>1888042500</v>
      </c>
      <c r="F15" s="67">
        <v>28201708.511430491</v>
      </c>
      <c r="G15" s="68">
        <v>0</v>
      </c>
      <c r="H15" s="68">
        <v>28201708.511430491</v>
      </c>
      <c r="I15" s="68">
        <v>0</v>
      </c>
      <c r="J15" s="68">
        <v>31202766</v>
      </c>
      <c r="K15" s="68">
        <v>27135048</v>
      </c>
      <c r="L15" s="68">
        <v>91796610</v>
      </c>
      <c r="M15" s="68">
        <v>43779092</v>
      </c>
      <c r="N15" s="69">
        <v>222115224.5114305</v>
      </c>
      <c r="O15" s="65" t="str">
        <f>VLOOKUP(A15,Report_HQ1!$A$7:$C$95,3,FALSE)</f>
        <v>BV Thăng Long</v>
      </c>
      <c r="P15" s="40" t="str">
        <f>VLOOKUP(C15,Sheet1!$U$4:$V$14,2,FALSE)</f>
        <v>BH Trách nhiệm</v>
      </c>
      <c r="Q15" s="88">
        <f t="shared" si="0"/>
        <v>222115224.5114305</v>
      </c>
    </row>
    <row r="16" spans="1:17" x14ac:dyDescent="0.25">
      <c r="A16" s="85" t="s">
        <v>352</v>
      </c>
      <c r="B16" s="65" t="s">
        <v>210</v>
      </c>
      <c r="C16" s="65" t="s">
        <v>390</v>
      </c>
      <c r="D16" s="66">
        <v>689743586</v>
      </c>
      <c r="E16" s="65">
        <v>1888042500</v>
      </c>
      <c r="F16" s="67">
        <v>29059852.351351585</v>
      </c>
      <c r="G16" s="68">
        <v>0</v>
      </c>
      <c r="H16" s="68">
        <v>29059852.351351585</v>
      </c>
      <c r="I16" s="68">
        <v>0</v>
      </c>
      <c r="J16" s="68">
        <v>0</v>
      </c>
      <c r="K16" s="68">
        <v>0</v>
      </c>
      <c r="L16" s="68">
        <v>82562307</v>
      </c>
      <c r="M16" s="68">
        <v>17450513</v>
      </c>
      <c r="N16" s="69">
        <v>129072672.35135159</v>
      </c>
      <c r="O16" s="65" t="str">
        <f>VLOOKUP(A16,Report_HQ1!$A$7:$C$95,3,FALSE)</f>
        <v>BV Thăng Long</v>
      </c>
      <c r="P16" s="40" t="e">
        <f>VLOOKUP(C16,Sheet1!$U$4:$V$14,2,FALSE)</f>
        <v>#N/A</v>
      </c>
      <c r="Q16" s="88">
        <f t="shared" si="0"/>
        <v>129072672.35135159</v>
      </c>
    </row>
    <row r="17" spans="1:17" x14ac:dyDescent="0.25">
      <c r="A17" s="85" t="s">
        <v>352</v>
      </c>
      <c r="B17" s="65" t="s">
        <v>210</v>
      </c>
      <c r="C17" s="65" t="s">
        <v>391</v>
      </c>
      <c r="D17" s="66">
        <v>4890335795</v>
      </c>
      <c r="E17" s="65">
        <v>1888042500</v>
      </c>
      <c r="F17" s="67">
        <v>206036618.58659106</v>
      </c>
      <c r="G17" s="68">
        <v>-4479244</v>
      </c>
      <c r="H17" s="68">
        <v>201557374.58659106</v>
      </c>
      <c r="I17" s="68">
        <v>0</v>
      </c>
      <c r="J17" s="68">
        <v>330828047</v>
      </c>
      <c r="K17" s="68">
        <v>66954286</v>
      </c>
      <c r="L17" s="68">
        <v>422542716</v>
      </c>
      <c r="M17" s="68">
        <v>278780679</v>
      </c>
      <c r="N17" s="69">
        <v>1300663102.586591</v>
      </c>
      <c r="O17" s="65" t="str">
        <f>VLOOKUP(A17,Report_HQ1!$A$7:$C$95,3,FALSE)</f>
        <v>BV Thăng Long</v>
      </c>
      <c r="P17" s="40" t="str">
        <f>VLOOKUP(C17,Sheet1!$U$4:$V$14,2,FALSE)</f>
        <v>BH Kỹ thuật</v>
      </c>
      <c r="Q17" s="88">
        <f t="shared" si="0"/>
        <v>1300663102.586591</v>
      </c>
    </row>
    <row r="18" spans="1:17" x14ac:dyDescent="0.25">
      <c r="A18" s="85" t="s">
        <v>352</v>
      </c>
      <c r="B18" s="65" t="s">
        <v>210</v>
      </c>
      <c r="C18" s="65" t="s">
        <v>392</v>
      </c>
      <c r="D18" s="66">
        <v>9057639266</v>
      </c>
      <c r="E18" s="65">
        <v>1888042500</v>
      </c>
      <c r="F18" s="67">
        <v>381610884.19568795</v>
      </c>
      <c r="G18" s="68">
        <v>0</v>
      </c>
      <c r="H18" s="68">
        <v>381610884.19568795</v>
      </c>
      <c r="I18" s="68">
        <v>0</v>
      </c>
      <c r="J18" s="68">
        <v>743370971</v>
      </c>
      <c r="K18" s="68">
        <v>134653506</v>
      </c>
      <c r="L18" s="68">
        <v>817940117</v>
      </c>
      <c r="M18" s="68">
        <v>500205004</v>
      </c>
      <c r="N18" s="69">
        <v>2577780482.1956882</v>
      </c>
      <c r="O18" s="65" t="str">
        <f>VLOOKUP(A18,Report_HQ1!$A$7:$C$95,3,FALSE)</f>
        <v>BV Thăng Long</v>
      </c>
      <c r="P18" s="40" t="str">
        <f>VLOOKUP(C18,Sheet1!$U$4:$V$14,2,FALSE)</f>
        <v>BH Tài sản</v>
      </c>
      <c r="Q18" s="88">
        <f t="shared" si="0"/>
        <v>2577780482.1956882</v>
      </c>
    </row>
    <row r="19" spans="1:17" x14ac:dyDescent="0.25">
      <c r="A19" s="85" t="s">
        <v>352</v>
      </c>
      <c r="B19" s="65" t="s">
        <v>210</v>
      </c>
      <c r="C19" s="65" t="s">
        <v>393</v>
      </c>
      <c r="D19" s="66">
        <v>11825313244</v>
      </c>
      <c r="E19" s="65">
        <v>1888042500</v>
      </c>
      <c r="F19" s="67">
        <v>498216821.2277112</v>
      </c>
      <c r="G19" s="68">
        <v>0</v>
      </c>
      <c r="H19" s="68">
        <v>498216821.2277112</v>
      </c>
      <c r="I19" s="68">
        <v>0</v>
      </c>
      <c r="J19" s="68">
        <v>1064840666</v>
      </c>
      <c r="K19" s="68">
        <v>530484507</v>
      </c>
      <c r="L19" s="68">
        <v>889670053</v>
      </c>
      <c r="M19" s="68">
        <v>649894886</v>
      </c>
      <c r="N19" s="69">
        <v>3633106933.2277112</v>
      </c>
      <c r="O19" s="65" t="str">
        <f>VLOOKUP(A19,Report_HQ1!$A$7:$C$95,3,FALSE)</f>
        <v>BV Thăng Long</v>
      </c>
      <c r="P19" s="40" t="str">
        <f>VLOOKUP(C19,Sheet1!$U$4:$V$14,2,FALSE)</f>
        <v>BH Xe cơ giới</v>
      </c>
      <c r="Q19" s="88">
        <f t="shared" si="0"/>
        <v>3633106933.2277112</v>
      </c>
    </row>
    <row r="20" spans="1:17" x14ac:dyDescent="0.25">
      <c r="A20" s="85" t="s">
        <v>352</v>
      </c>
      <c r="B20" s="65" t="s">
        <v>210</v>
      </c>
      <c r="C20" s="65" t="s">
        <v>394</v>
      </c>
      <c r="D20" s="66">
        <v>677209846</v>
      </c>
      <c r="E20" s="65">
        <v>1888042500</v>
      </c>
      <c r="F20" s="67">
        <v>28531788.529950239</v>
      </c>
      <c r="G20" s="68">
        <v>0</v>
      </c>
      <c r="H20" s="68">
        <v>28531788.529950239</v>
      </c>
      <c r="I20" s="68">
        <v>10000</v>
      </c>
      <c r="J20" s="68">
        <v>127334849</v>
      </c>
      <c r="K20" s="68">
        <v>24545633</v>
      </c>
      <c r="L20" s="68">
        <v>24335073</v>
      </c>
      <c r="M20" s="68">
        <v>44034951</v>
      </c>
      <c r="N20" s="69">
        <v>248792294.52995023</v>
      </c>
      <c r="O20" s="65" t="str">
        <f>VLOOKUP(A20,Report_HQ1!$A$7:$C$95,3,FALSE)</f>
        <v>BV Thăng Long</v>
      </c>
      <c r="P20" s="40" t="str">
        <f>VLOOKUP(C20,Sheet1!$U$4:$V$14,2,FALSE)</f>
        <v>BH Con người</v>
      </c>
      <c r="Q20" s="88">
        <f t="shared" si="0"/>
        <v>248792294.52995023</v>
      </c>
    </row>
    <row r="21" spans="1:17" x14ac:dyDescent="0.25">
      <c r="A21" s="85" t="s">
        <v>352</v>
      </c>
      <c r="B21" s="65" t="s">
        <v>210</v>
      </c>
      <c r="C21" s="65" t="s">
        <v>395</v>
      </c>
      <c r="D21" s="66">
        <v>0</v>
      </c>
      <c r="E21" s="65">
        <v>1888042500</v>
      </c>
      <c r="F21" s="67">
        <v>0</v>
      </c>
      <c r="G21" s="68">
        <v>0</v>
      </c>
      <c r="H21" s="68">
        <v>0</v>
      </c>
      <c r="I21" s="68">
        <v>0</v>
      </c>
      <c r="J21" s="68">
        <v>0</v>
      </c>
      <c r="K21" s="68">
        <v>0</v>
      </c>
      <c r="L21" s="68">
        <v>0</v>
      </c>
      <c r="M21" s="68">
        <v>0</v>
      </c>
      <c r="N21" s="69">
        <v>0</v>
      </c>
      <c r="O21" s="65" t="str">
        <f>VLOOKUP(A21,Report_HQ1!$A$7:$C$95,3,FALSE)</f>
        <v>BV Thăng Long</v>
      </c>
      <c r="P21" s="40" t="e">
        <f>VLOOKUP(C21,Sheet1!$U$4:$V$14,2,FALSE)</f>
        <v>#N/A</v>
      </c>
      <c r="Q21" s="88">
        <f t="shared" si="0"/>
        <v>0</v>
      </c>
    </row>
    <row r="22" spans="1:17" x14ac:dyDescent="0.25">
      <c r="A22" s="85" t="s">
        <v>352</v>
      </c>
      <c r="B22" s="65" t="s">
        <v>210</v>
      </c>
      <c r="C22" s="65" t="s">
        <v>396</v>
      </c>
      <c r="D22" s="66">
        <v>12788905890</v>
      </c>
      <c r="E22" s="65">
        <v>1888042500</v>
      </c>
      <c r="F22" s="67">
        <v>538814313.66979122</v>
      </c>
      <c r="G22" s="68">
        <v>0</v>
      </c>
      <c r="H22" s="68">
        <v>538814313.66979122</v>
      </c>
      <c r="I22" s="68">
        <v>0</v>
      </c>
      <c r="J22" s="68">
        <v>2228718591</v>
      </c>
      <c r="K22" s="68">
        <v>349492893</v>
      </c>
      <c r="L22" s="68">
        <v>0</v>
      </c>
      <c r="M22" s="68">
        <v>659757280</v>
      </c>
      <c r="N22" s="69">
        <v>3776783077.6697912</v>
      </c>
      <c r="O22" s="65" t="str">
        <f>VLOOKUP(A22,Report_HQ1!$A$7:$C$95,3,FALSE)</f>
        <v>BV Thăng Long</v>
      </c>
      <c r="P22" s="40" t="str">
        <f>VLOOKUP(C22,Sheet1!$U$4:$V$14,2,FALSE)</f>
        <v>BH Y tế</v>
      </c>
      <c r="Q22" s="88">
        <f t="shared" si="0"/>
        <v>3776783077.6697912</v>
      </c>
    </row>
    <row r="23" spans="1:17" x14ac:dyDescent="0.25">
      <c r="A23" s="85" t="s">
        <v>352</v>
      </c>
      <c r="B23" s="65" t="s">
        <v>210</v>
      </c>
      <c r="C23" s="65" t="s">
        <v>397</v>
      </c>
      <c r="D23" s="66">
        <v>460970450</v>
      </c>
      <c r="E23" s="65">
        <v>1888042500</v>
      </c>
      <c r="F23" s="67">
        <v>19421323.354409706</v>
      </c>
      <c r="G23" s="68">
        <v>0</v>
      </c>
      <c r="H23" s="68">
        <v>19421323.354409706</v>
      </c>
      <c r="I23" s="68">
        <v>0</v>
      </c>
      <c r="J23" s="68">
        <v>92194090</v>
      </c>
      <c r="K23" s="68">
        <v>92194090</v>
      </c>
      <c r="L23" s="68">
        <v>0</v>
      </c>
      <c r="M23" s="68">
        <v>36877636</v>
      </c>
      <c r="N23" s="69">
        <v>240687139.35440969</v>
      </c>
      <c r="O23" s="65" t="str">
        <f>VLOOKUP(A23,Report_HQ1!$A$7:$C$95,3,FALSE)</f>
        <v>BV Thăng Long</v>
      </c>
      <c r="P23" s="40" t="str">
        <f>VLOOKUP(C23,Sheet1!$U$4:$V$14,2,FALSE)</f>
        <v>BH Du lịch</v>
      </c>
      <c r="Q23" s="88">
        <f t="shared" si="0"/>
        <v>240687139.35440969</v>
      </c>
    </row>
    <row r="24" spans="1:17" x14ac:dyDescent="0.25">
      <c r="A24" s="85" t="s">
        <v>358</v>
      </c>
      <c r="B24" s="65" t="s">
        <v>216</v>
      </c>
      <c r="C24" s="65" t="s">
        <v>387</v>
      </c>
      <c r="D24" s="66">
        <v>216870999</v>
      </c>
      <c r="E24" s="65">
        <v>1118000000</v>
      </c>
      <c r="F24" s="67">
        <v>8927560.5187632274</v>
      </c>
      <c r="G24" s="68">
        <v>0</v>
      </c>
      <c r="H24" s="68">
        <v>8927560.5187632274</v>
      </c>
      <c r="I24" s="68">
        <v>0</v>
      </c>
      <c r="J24" s="68">
        <v>21687100</v>
      </c>
      <c r="K24" s="68">
        <v>10843550</v>
      </c>
      <c r="L24" s="68">
        <v>8674840</v>
      </c>
      <c r="M24" s="68">
        <v>17349680</v>
      </c>
      <c r="N24" s="69">
        <v>67482730.518763229</v>
      </c>
      <c r="O24" s="65" t="str">
        <f>VLOOKUP(A24,Report_HQ1!$A$7:$C$95,3,FALSE)</f>
        <v>BV Tràng An</v>
      </c>
      <c r="P24" s="40" t="str">
        <f>VLOOKUP(C24,Sheet1!$U$4:$V$14,2,FALSE)</f>
        <v>BH Hàng hóa</v>
      </c>
      <c r="Q24" s="88">
        <f t="shared" si="0"/>
        <v>67482730.518763229</v>
      </c>
    </row>
    <row r="25" spans="1:17" x14ac:dyDescent="0.25">
      <c r="A25" s="85" t="s">
        <v>358</v>
      </c>
      <c r="B25" s="65" t="s">
        <v>216</v>
      </c>
      <c r="C25" s="65" t="s">
        <v>272</v>
      </c>
      <c r="D25" s="66">
        <v>0</v>
      </c>
      <c r="E25" s="65">
        <v>1118000000</v>
      </c>
      <c r="F25" s="67">
        <v>0</v>
      </c>
      <c r="G25" s="68">
        <v>0</v>
      </c>
      <c r="H25" s="68">
        <v>0</v>
      </c>
      <c r="I25" s="68">
        <v>0</v>
      </c>
      <c r="J25" s="68">
        <v>0</v>
      </c>
      <c r="K25" s="68">
        <v>0</v>
      </c>
      <c r="L25" s="68">
        <v>0</v>
      </c>
      <c r="M25" s="68">
        <v>0</v>
      </c>
      <c r="N25" s="69">
        <v>0</v>
      </c>
      <c r="O25" s="65" t="str">
        <f>VLOOKUP(A25,Report_HQ1!$A$7:$C$95,3,FALSE)</f>
        <v>BV Tràng An</v>
      </c>
      <c r="P25" s="40" t="str">
        <f>VLOOKUP(C25,Sheet1!$U$4:$V$14,2,FALSE)</f>
        <v>Tàu khác</v>
      </c>
      <c r="Q25" s="88">
        <f t="shared" si="0"/>
        <v>0</v>
      </c>
    </row>
    <row r="26" spans="1:17" x14ac:dyDescent="0.25">
      <c r="A26" s="85" t="s">
        <v>358</v>
      </c>
      <c r="B26" s="65" t="s">
        <v>216</v>
      </c>
      <c r="C26" s="65" t="s">
        <v>388</v>
      </c>
      <c r="D26" s="66">
        <v>-292875886</v>
      </c>
      <c r="E26" s="65">
        <v>1118000000</v>
      </c>
      <c r="F26" s="67">
        <v>-12056324.768215781</v>
      </c>
      <c r="G26" s="68">
        <v>0</v>
      </c>
      <c r="H26" s="68">
        <v>-12056324.768215781</v>
      </c>
      <c r="I26" s="68">
        <v>-1464379</v>
      </c>
      <c r="J26" s="68">
        <v>0</v>
      </c>
      <c r="K26" s="68">
        <v>0</v>
      </c>
      <c r="L26" s="68">
        <v>-21965691</v>
      </c>
      <c r="M26" s="68">
        <v>-8786277</v>
      </c>
      <c r="N26" s="69">
        <v>-44272671.768215783</v>
      </c>
      <c r="O26" s="65" t="str">
        <f>VLOOKUP(A26,Report_HQ1!$A$7:$C$95,3,FALSE)</f>
        <v>BV Tràng An</v>
      </c>
      <c r="P26" s="40" t="str">
        <f>VLOOKUP(C26,Sheet1!$U$4:$V$14,2,FALSE)</f>
        <v>Hull (Thân tàu biển)</v>
      </c>
      <c r="Q26" s="88">
        <f t="shared" si="0"/>
        <v>-44272671.768215783</v>
      </c>
    </row>
    <row r="27" spans="1:17" x14ac:dyDescent="0.25">
      <c r="A27" s="85" t="s">
        <v>358</v>
      </c>
      <c r="B27" s="65" t="s">
        <v>216</v>
      </c>
      <c r="C27" s="65" t="s">
        <v>23</v>
      </c>
      <c r="D27" s="66">
        <v>-73636364</v>
      </c>
      <c r="E27" s="65">
        <v>1118000000</v>
      </c>
      <c r="F27" s="67">
        <v>-3031263.2810423761</v>
      </c>
      <c r="G27" s="68">
        <v>0</v>
      </c>
      <c r="H27" s="68">
        <v>-3031263.2810423761</v>
      </c>
      <c r="I27" s="68">
        <v>0</v>
      </c>
      <c r="J27" s="68">
        <v>0</v>
      </c>
      <c r="K27" s="68">
        <v>0</v>
      </c>
      <c r="L27" s="68">
        <v>-5522727</v>
      </c>
      <c r="M27" s="68">
        <v>-2945455</v>
      </c>
      <c r="N27" s="69">
        <v>-11499445.281042377</v>
      </c>
      <c r="O27" s="65" t="str">
        <f>VLOOKUP(A27,Report_HQ1!$A$7:$C$95,3,FALSE)</f>
        <v>BV Tràng An</v>
      </c>
      <c r="P27" s="40" t="str">
        <f>VLOOKUP(C27,Sheet1!$U$4:$V$14,2,FALSE)</f>
        <v>P&amp;I</v>
      </c>
      <c r="Q27" s="88">
        <f t="shared" si="0"/>
        <v>-11499445.281042377</v>
      </c>
    </row>
    <row r="28" spans="1:17" x14ac:dyDescent="0.25">
      <c r="A28" s="85" t="s">
        <v>358</v>
      </c>
      <c r="B28" s="65" t="s">
        <v>216</v>
      </c>
      <c r="C28" s="65" t="s">
        <v>389</v>
      </c>
      <c r="D28" s="66">
        <v>170476392</v>
      </c>
      <c r="E28" s="65">
        <v>1118000000</v>
      </c>
      <c r="F28" s="67">
        <v>7017712.4355866658</v>
      </c>
      <c r="G28" s="68">
        <v>0</v>
      </c>
      <c r="H28" s="68">
        <v>7017712.4355866658</v>
      </c>
      <c r="I28" s="68">
        <v>0</v>
      </c>
      <c r="J28" s="68">
        <v>3012995</v>
      </c>
      <c r="K28" s="68">
        <v>1754593</v>
      </c>
      <c r="L28" s="68">
        <v>19322582</v>
      </c>
      <c r="M28" s="68">
        <v>8365421</v>
      </c>
      <c r="N28" s="69">
        <v>39473303.435586661</v>
      </c>
      <c r="O28" s="65" t="str">
        <f>VLOOKUP(A28,Report_HQ1!$A$7:$C$95,3,FALSE)</f>
        <v>BV Tràng An</v>
      </c>
      <c r="P28" s="40" t="str">
        <f>VLOOKUP(C28,Sheet1!$U$4:$V$14,2,FALSE)</f>
        <v>BH Trách nhiệm</v>
      </c>
      <c r="Q28" s="88">
        <f t="shared" si="0"/>
        <v>39473303.435586661</v>
      </c>
    </row>
    <row r="29" spans="1:17" x14ac:dyDescent="0.25">
      <c r="A29" s="85" t="s">
        <v>358</v>
      </c>
      <c r="B29" s="65" t="s">
        <v>216</v>
      </c>
      <c r="C29" s="65" t="s">
        <v>390</v>
      </c>
      <c r="D29" s="66">
        <v>1247253176</v>
      </c>
      <c r="E29" s="65">
        <v>1118000000</v>
      </c>
      <c r="F29" s="67">
        <v>51343555.67274186</v>
      </c>
      <c r="G29" s="68">
        <v>0</v>
      </c>
      <c r="H29" s="68">
        <v>51343555.67274186</v>
      </c>
      <c r="I29" s="68">
        <v>0</v>
      </c>
      <c r="J29" s="68">
        <v>0</v>
      </c>
      <c r="K29" s="68">
        <v>0</v>
      </c>
      <c r="L29" s="68">
        <v>149296205</v>
      </c>
      <c r="M29" s="68">
        <v>31555505</v>
      </c>
      <c r="N29" s="69">
        <v>232195265.67274186</v>
      </c>
      <c r="O29" s="65" t="str">
        <f>VLOOKUP(A29,Report_HQ1!$A$7:$C$95,3,FALSE)</f>
        <v>BV Tràng An</v>
      </c>
      <c r="P29" s="40" t="e">
        <f>VLOOKUP(C29,Sheet1!$U$4:$V$14,2,FALSE)</f>
        <v>#N/A</v>
      </c>
      <c r="Q29" s="88">
        <f t="shared" si="0"/>
        <v>232195265.67274186</v>
      </c>
    </row>
    <row r="30" spans="1:17" x14ac:dyDescent="0.25">
      <c r="A30" s="85" t="s">
        <v>358</v>
      </c>
      <c r="B30" s="65" t="s">
        <v>216</v>
      </c>
      <c r="C30" s="65" t="s">
        <v>391</v>
      </c>
      <c r="D30" s="66">
        <v>3788746353</v>
      </c>
      <c r="E30" s="65">
        <v>1118000000</v>
      </c>
      <c r="F30" s="67">
        <v>155964893.93517742</v>
      </c>
      <c r="G30" s="68">
        <v>0</v>
      </c>
      <c r="H30" s="68">
        <v>155964893.93517742</v>
      </c>
      <c r="I30" s="68">
        <v>0</v>
      </c>
      <c r="J30" s="68">
        <v>138988126</v>
      </c>
      <c r="K30" s="68">
        <v>57635128</v>
      </c>
      <c r="L30" s="68">
        <v>641349517</v>
      </c>
      <c r="M30" s="68">
        <v>165884782</v>
      </c>
      <c r="N30" s="69">
        <v>1159822446.9351773</v>
      </c>
      <c r="O30" s="65" t="str">
        <f>VLOOKUP(A30,Report_HQ1!$A$7:$C$95,3,FALSE)</f>
        <v>BV Tràng An</v>
      </c>
      <c r="P30" s="40" t="str">
        <f>VLOOKUP(C30,Sheet1!$U$4:$V$14,2,FALSE)</f>
        <v>BH Kỹ thuật</v>
      </c>
      <c r="Q30" s="88">
        <f t="shared" si="0"/>
        <v>1159822446.9351773</v>
      </c>
    </row>
    <row r="31" spans="1:17" x14ac:dyDescent="0.25">
      <c r="A31" s="85" t="s">
        <v>358</v>
      </c>
      <c r="B31" s="65" t="s">
        <v>216</v>
      </c>
      <c r="C31" s="65" t="s">
        <v>392</v>
      </c>
      <c r="D31" s="66">
        <v>4302138962</v>
      </c>
      <c r="E31" s="65">
        <v>1118000000</v>
      </c>
      <c r="F31" s="67">
        <v>177098856.55750689</v>
      </c>
      <c r="G31" s="68">
        <v>0</v>
      </c>
      <c r="H31" s="68">
        <v>177098856.55750689</v>
      </c>
      <c r="I31" s="68">
        <v>0</v>
      </c>
      <c r="J31" s="68">
        <v>377603435</v>
      </c>
      <c r="K31" s="68">
        <v>149409932</v>
      </c>
      <c r="L31" s="68">
        <v>635170488</v>
      </c>
      <c r="M31" s="68">
        <v>250952599</v>
      </c>
      <c r="N31" s="69">
        <v>1590235310.557507</v>
      </c>
      <c r="O31" s="65" t="str">
        <f>VLOOKUP(A31,Report_HQ1!$A$7:$C$95,3,FALSE)</f>
        <v>BV Tràng An</v>
      </c>
      <c r="P31" s="40" t="str">
        <f>VLOOKUP(C31,Sheet1!$U$4:$V$14,2,FALSE)</f>
        <v>BH Tài sản</v>
      </c>
      <c r="Q31" s="88">
        <f t="shared" si="0"/>
        <v>1590235310.557507</v>
      </c>
    </row>
    <row r="32" spans="1:17" x14ac:dyDescent="0.25">
      <c r="A32" s="85" t="s">
        <v>358</v>
      </c>
      <c r="B32" s="65" t="s">
        <v>216</v>
      </c>
      <c r="C32" s="65" t="s">
        <v>393</v>
      </c>
      <c r="D32" s="66">
        <v>5707593937</v>
      </c>
      <c r="E32" s="65">
        <v>1118000000</v>
      </c>
      <c r="F32" s="67">
        <v>234954837.31826022</v>
      </c>
      <c r="G32" s="68">
        <v>0</v>
      </c>
      <c r="H32" s="68">
        <v>234954837.31826022</v>
      </c>
      <c r="I32" s="68">
        <v>0</v>
      </c>
      <c r="J32" s="68">
        <v>516834629</v>
      </c>
      <c r="K32" s="68">
        <v>258809314</v>
      </c>
      <c r="L32" s="68">
        <v>444584524</v>
      </c>
      <c r="M32" s="68">
        <v>317755325</v>
      </c>
      <c r="N32" s="69">
        <v>1772938629.3182602</v>
      </c>
      <c r="O32" s="65" t="str">
        <f>VLOOKUP(A32,Report_HQ1!$A$7:$C$95,3,FALSE)</f>
        <v>BV Tràng An</v>
      </c>
      <c r="P32" s="40" t="str">
        <f>VLOOKUP(C32,Sheet1!$U$4:$V$14,2,FALSE)</f>
        <v>BH Xe cơ giới</v>
      </c>
      <c r="Q32" s="88">
        <f t="shared" si="0"/>
        <v>1772938629.3182602</v>
      </c>
    </row>
    <row r="33" spans="1:17" x14ac:dyDescent="0.25">
      <c r="A33" s="85" t="s">
        <v>358</v>
      </c>
      <c r="B33" s="65" t="s">
        <v>216</v>
      </c>
      <c r="C33" s="65" t="s">
        <v>394</v>
      </c>
      <c r="D33" s="66">
        <v>3847324575</v>
      </c>
      <c r="E33" s="65">
        <v>1118000000</v>
      </c>
      <c r="F33" s="67">
        <v>158376284.22893703</v>
      </c>
      <c r="G33" s="68">
        <v>0</v>
      </c>
      <c r="H33" s="68">
        <v>158376284.22893703</v>
      </c>
      <c r="I33" s="68">
        <v>1000000</v>
      </c>
      <c r="J33" s="68">
        <v>609324299</v>
      </c>
      <c r="K33" s="68">
        <v>127042313</v>
      </c>
      <c r="L33" s="68">
        <v>370542585</v>
      </c>
      <c r="M33" s="68">
        <v>200690925</v>
      </c>
      <c r="N33" s="69">
        <v>1466976406.2289371</v>
      </c>
      <c r="O33" s="65" t="str">
        <f>VLOOKUP(A33,Report_HQ1!$A$7:$C$95,3,FALSE)</f>
        <v>BV Tràng An</v>
      </c>
      <c r="P33" s="40" t="str">
        <f>VLOOKUP(C33,Sheet1!$U$4:$V$14,2,FALSE)</f>
        <v>BH Con người</v>
      </c>
      <c r="Q33" s="88">
        <f t="shared" si="0"/>
        <v>1466976406.2289371</v>
      </c>
    </row>
    <row r="34" spans="1:17" x14ac:dyDescent="0.25">
      <c r="A34" s="85" t="s">
        <v>358</v>
      </c>
      <c r="B34" s="65" t="s">
        <v>216</v>
      </c>
      <c r="C34" s="65" t="s">
        <v>395</v>
      </c>
      <c r="D34" s="66">
        <v>0</v>
      </c>
      <c r="E34" s="65">
        <v>1118000000</v>
      </c>
      <c r="F34" s="67">
        <v>0</v>
      </c>
      <c r="G34" s="68">
        <v>0</v>
      </c>
      <c r="H34" s="68">
        <v>0</v>
      </c>
      <c r="I34" s="68">
        <v>0</v>
      </c>
      <c r="J34" s="68">
        <v>0</v>
      </c>
      <c r="K34" s="68">
        <v>0</v>
      </c>
      <c r="L34" s="68">
        <v>0</v>
      </c>
      <c r="M34" s="68">
        <v>0</v>
      </c>
      <c r="N34" s="69">
        <v>0</v>
      </c>
      <c r="O34" s="65" t="str">
        <f>VLOOKUP(A34,Report_HQ1!$A$7:$C$95,3,FALSE)</f>
        <v>BV Tràng An</v>
      </c>
      <c r="P34" s="40" t="e">
        <f>VLOOKUP(C34,Sheet1!$U$4:$V$14,2,FALSE)</f>
        <v>#N/A</v>
      </c>
      <c r="Q34" s="88">
        <f t="shared" si="0"/>
        <v>0</v>
      </c>
    </row>
    <row r="35" spans="1:17" x14ac:dyDescent="0.25">
      <c r="A35" s="85" t="s">
        <v>358</v>
      </c>
      <c r="B35" s="65" t="s">
        <v>216</v>
      </c>
      <c r="C35" s="65" t="s">
        <v>396</v>
      </c>
      <c r="D35" s="66">
        <v>7466753041</v>
      </c>
      <c r="E35" s="65">
        <v>1118000000</v>
      </c>
      <c r="F35" s="67">
        <v>307371155.93859035</v>
      </c>
      <c r="G35" s="68">
        <v>0</v>
      </c>
      <c r="H35" s="68">
        <v>307371155.93859035</v>
      </c>
      <c r="I35" s="68">
        <v>0</v>
      </c>
      <c r="J35" s="68">
        <v>867288434</v>
      </c>
      <c r="K35" s="68">
        <v>205508223</v>
      </c>
      <c r="L35" s="68">
        <v>521850809</v>
      </c>
      <c r="M35" s="68">
        <v>416889001</v>
      </c>
      <c r="N35" s="69">
        <v>2318907622.93859</v>
      </c>
      <c r="O35" s="65" t="str">
        <f>VLOOKUP(A35,Report_HQ1!$A$7:$C$95,3,FALSE)</f>
        <v>BV Tràng An</v>
      </c>
      <c r="P35" s="40" t="str">
        <f>VLOOKUP(C35,Sheet1!$U$4:$V$14,2,FALSE)</f>
        <v>BH Y tế</v>
      </c>
      <c r="Q35" s="88">
        <f t="shared" si="0"/>
        <v>2318907622.93859</v>
      </c>
    </row>
    <row r="36" spans="1:17" x14ac:dyDescent="0.25">
      <c r="A36" s="85" t="s">
        <v>358</v>
      </c>
      <c r="B36" s="65" t="s">
        <v>216</v>
      </c>
      <c r="C36" s="65" t="s">
        <v>397</v>
      </c>
      <c r="D36" s="66">
        <v>778148796</v>
      </c>
      <c r="E36" s="65">
        <v>1118000000</v>
      </c>
      <c r="F36" s="67">
        <v>32032731.443694513</v>
      </c>
      <c r="G36" s="68">
        <v>0</v>
      </c>
      <c r="H36" s="68">
        <v>32032731.443694513</v>
      </c>
      <c r="I36" s="68">
        <v>0</v>
      </c>
      <c r="J36" s="68">
        <v>155629759</v>
      </c>
      <c r="K36" s="68">
        <v>155629759</v>
      </c>
      <c r="L36" s="68">
        <v>0</v>
      </c>
      <c r="M36" s="68">
        <v>62251904</v>
      </c>
      <c r="N36" s="69">
        <v>405544153.44369447</v>
      </c>
      <c r="O36" s="65" t="str">
        <f>VLOOKUP(A36,Report_HQ1!$A$7:$C$95,3,FALSE)</f>
        <v>BV Tràng An</v>
      </c>
      <c r="P36" s="40" t="str">
        <f>VLOOKUP(C36,Sheet1!$U$4:$V$14,2,FALSE)</f>
        <v>BH Du lịch</v>
      </c>
      <c r="Q36" s="88">
        <f t="shared" si="0"/>
        <v>405544153.44369447</v>
      </c>
    </row>
    <row r="37" spans="1:17" x14ac:dyDescent="0.25">
      <c r="A37" s="85" t="s">
        <v>329</v>
      </c>
      <c r="B37" s="65" t="s">
        <v>187</v>
      </c>
      <c r="C37" s="65" t="s">
        <v>387</v>
      </c>
      <c r="D37" s="66">
        <v>5152299983</v>
      </c>
      <c r="E37" s="65">
        <v>592250000</v>
      </c>
      <c r="F37" s="67">
        <v>254454752.90109122</v>
      </c>
      <c r="G37" s="68">
        <v>0</v>
      </c>
      <c r="H37" s="68">
        <v>254454752.90109122</v>
      </c>
      <c r="I37" s="68">
        <v>0</v>
      </c>
      <c r="J37" s="68">
        <v>503324020</v>
      </c>
      <c r="K37" s="68">
        <v>251556355</v>
      </c>
      <c r="L37" s="68">
        <v>224035490</v>
      </c>
      <c r="M37" s="68">
        <v>412183998</v>
      </c>
      <c r="N37" s="69">
        <v>1645554615.9010911</v>
      </c>
      <c r="O37" s="65" t="str">
        <f>VLOOKUP(A37,Report_HQ1!$A$7:$C$95,3,FALSE)</f>
        <v>BV Long Thành</v>
      </c>
      <c r="P37" s="40" t="str">
        <f>VLOOKUP(C37,Sheet1!$U$4:$V$14,2,FALSE)</f>
        <v>BH Hàng hóa</v>
      </c>
      <c r="Q37" s="88">
        <f t="shared" si="0"/>
        <v>1645554615.9010911</v>
      </c>
    </row>
    <row r="38" spans="1:17" x14ac:dyDescent="0.25">
      <c r="A38" s="85" t="s">
        <v>329</v>
      </c>
      <c r="B38" s="65" t="s">
        <v>187</v>
      </c>
      <c r="C38" s="65" t="s">
        <v>272</v>
      </c>
      <c r="D38" s="66">
        <v>0</v>
      </c>
      <c r="E38" s="65">
        <v>592250000</v>
      </c>
      <c r="F38" s="67">
        <v>0</v>
      </c>
      <c r="G38" s="68">
        <v>0</v>
      </c>
      <c r="H38" s="68">
        <v>0</v>
      </c>
      <c r="I38" s="68">
        <v>0</v>
      </c>
      <c r="J38" s="68">
        <v>0</v>
      </c>
      <c r="K38" s="68">
        <v>0</v>
      </c>
      <c r="L38" s="68">
        <v>0</v>
      </c>
      <c r="M38" s="68">
        <v>0</v>
      </c>
      <c r="N38" s="69">
        <v>0</v>
      </c>
      <c r="O38" s="65" t="str">
        <f>VLOOKUP(A38,Report_HQ1!$A$7:$C$95,3,FALSE)</f>
        <v>BV Long Thành</v>
      </c>
      <c r="P38" s="40" t="str">
        <f>VLOOKUP(C38,Sheet1!$U$4:$V$14,2,FALSE)</f>
        <v>Tàu khác</v>
      </c>
      <c r="Q38" s="88">
        <f t="shared" si="0"/>
        <v>0</v>
      </c>
    </row>
    <row r="39" spans="1:17" x14ac:dyDescent="0.25">
      <c r="A39" s="85" t="s">
        <v>329</v>
      </c>
      <c r="B39" s="65" t="s">
        <v>187</v>
      </c>
      <c r="C39" s="65" t="s">
        <v>388</v>
      </c>
      <c r="D39" s="66">
        <v>0</v>
      </c>
      <c r="E39" s="65">
        <v>592250000</v>
      </c>
      <c r="F39" s="67">
        <v>0</v>
      </c>
      <c r="G39" s="68">
        <v>0</v>
      </c>
      <c r="H39" s="68">
        <v>0</v>
      </c>
      <c r="I39" s="68">
        <v>0</v>
      </c>
      <c r="J39" s="68">
        <v>0</v>
      </c>
      <c r="K39" s="68">
        <v>0</v>
      </c>
      <c r="L39" s="68">
        <v>0</v>
      </c>
      <c r="M39" s="68">
        <v>0</v>
      </c>
      <c r="N39" s="69">
        <v>0</v>
      </c>
      <c r="O39" s="65" t="str">
        <f>VLOOKUP(A39,Report_HQ1!$A$7:$C$95,3,FALSE)</f>
        <v>BV Long Thành</v>
      </c>
      <c r="P39" s="40" t="str">
        <f>VLOOKUP(C39,Sheet1!$U$4:$V$14,2,FALSE)</f>
        <v>Hull (Thân tàu biển)</v>
      </c>
      <c r="Q39" s="88">
        <f t="shared" si="0"/>
        <v>0</v>
      </c>
    </row>
    <row r="40" spans="1:17" x14ac:dyDescent="0.25">
      <c r="A40" s="85" t="s">
        <v>329</v>
      </c>
      <c r="B40" s="65" t="s">
        <v>187</v>
      </c>
      <c r="C40" s="65" t="s">
        <v>23</v>
      </c>
      <c r="D40" s="66">
        <v>0</v>
      </c>
      <c r="E40" s="65">
        <v>592250000</v>
      </c>
      <c r="F40" s="67">
        <v>0</v>
      </c>
      <c r="G40" s="68">
        <v>0</v>
      </c>
      <c r="H40" s="68">
        <v>0</v>
      </c>
      <c r="I40" s="68">
        <v>0</v>
      </c>
      <c r="J40" s="68">
        <v>0</v>
      </c>
      <c r="K40" s="68">
        <v>0</v>
      </c>
      <c r="L40" s="68">
        <v>0</v>
      </c>
      <c r="M40" s="68">
        <v>0</v>
      </c>
      <c r="N40" s="69">
        <v>0</v>
      </c>
      <c r="O40" s="65" t="str">
        <f>VLOOKUP(A40,Report_HQ1!$A$7:$C$95,3,FALSE)</f>
        <v>BV Long Thành</v>
      </c>
      <c r="P40" s="40" t="str">
        <f>VLOOKUP(C40,Sheet1!$U$4:$V$14,2,FALSE)</f>
        <v>P&amp;I</v>
      </c>
      <c r="Q40" s="88">
        <f t="shared" si="0"/>
        <v>0</v>
      </c>
    </row>
    <row r="41" spans="1:17" x14ac:dyDescent="0.25">
      <c r="A41" s="85" t="s">
        <v>329</v>
      </c>
      <c r="B41" s="65" t="s">
        <v>187</v>
      </c>
      <c r="C41" s="65" t="s">
        <v>389</v>
      </c>
      <c r="D41" s="66">
        <v>8100000</v>
      </c>
      <c r="E41" s="65">
        <v>592250000</v>
      </c>
      <c r="F41" s="67">
        <v>400031.73442916333</v>
      </c>
      <c r="G41" s="68">
        <v>0</v>
      </c>
      <c r="H41" s="68">
        <v>400031.73442916333</v>
      </c>
      <c r="I41" s="68">
        <v>0</v>
      </c>
      <c r="J41" s="68">
        <v>405000</v>
      </c>
      <c r="K41" s="68">
        <v>202500</v>
      </c>
      <c r="L41" s="68">
        <v>607500</v>
      </c>
      <c r="M41" s="68">
        <v>648000</v>
      </c>
      <c r="N41" s="69">
        <v>2263031.7344291634</v>
      </c>
      <c r="O41" s="65" t="str">
        <f>VLOOKUP(A41,Report_HQ1!$A$7:$C$95,3,FALSE)</f>
        <v>BV Long Thành</v>
      </c>
      <c r="P41" s="40" t="str">
        <f>VLOOKUP(C41,Sheet1!$U$4:$V$14,2,FALSE)</f>
        <v>BH Trách nhiệm</v>
      </c>
      <c r="Q41" s="88">
        <f t="shared" si="0"/>
        <v>2263031.7344291634</v>
      </c>
    </row>
    <row r="42" spans="1:17" x14ac:dyDescent="0.25">
      <c r="A42" s="85" t="s">
        <v>329</v>
      </c>
      <c r="B42" s="65" t="s">
        <v>187</v>
      </c>
      <c r="C42" s="65" t="s">
        <v>390</v>
      </c>
      <c r="D42" s="66">
        <v>0</v>
      </c>
      <c r="E42" s="65">
        <v>592250000</v>
      </c>
      <c r="F42" s="67">
        <v>0</v>
      </c>
      <c r="G42" s="68">
        <v>0</v>
      </c>
      <c r="H42" s="68">
        <v>0</v>
      </c>
      <c r="I42" s="68">
        <v>0</v>
      </c>
      <c r="J42" s="68">
        <v>0</v>
      </c>
      <c r="K42" s="68">
        <v>0</v>
      </c>
      <c r="L42" s="68">
        <v>0</v>
      </c>
      <c r="M42" s="68">
        <v>0</v>
      </c>
      <c r="N42" s="69">
        <v>0</v>
      </c>
      <c r="O42" s="65" t="str">
        <f>VLOOKUP(A42,Report_HQ1!$A$7:$C$95,3,FALSE)</f>
        <v>BV Long Thành</v>
      </c>
      <c r="P42" s="40" t="e">
        <f>VLOOKUP(C42,Sheet1!$U$4:$V$14,2,FALSE)</f>
        <v>#N/A</v>
      </c>
      <c r="Q42" s="88">
        <f t="shared" si="0"/>
        <v>0</v>
      </c>
    </row>
    <row r="43" spans="1:17" x14ac:dyDescent="0.25">
      <c r="A43" s="85" t="s">
        <v>329</v>
      </c>
      <c r="B43" s="65" t="s">
        <v>187</v>
      </c>
      <c r="C43" s="65" t="s">
        <v>391</v>
      </c>
      <c r="D43" s="66">
        <v>0</v>
      </c>
      <c r="E43" s="65">
        <v>592250000</v>
      </c>
      <c r="F43" s="67">
        <v>0</v>
      </c>
      <c r="G43" s="68">
        <v>0</v>
      </c>
      <c r="H43" s="68">
        <v>0</v>
      </c>
      <c r="I43" s="68">
        <v>0</v>
      </c>
      <c r="J43" s="68">
        <v>0</v>
      </c>
      <c r="K43" s="68">
        <v>0</v>
      </c>
      <c r="L43" s="68">
        <v>0</v>
      </c>
      <c r="M43" s="68">
        <v>0</v>
      </c>
      <c r="N43" s="69">
        <v>0</v>
      </c>
      <c r="O43" s="65" t="str">
        <f>VLOOKUP(A43,Report_HQ1!$A$7:$C$95,3,FALSE)</f>
        <v>BV Long Thành</v>
      </c>
      <c r="P43" s="40" t="str">
        <f>VLOOKUP(C43,Sheet1!$U$4:$V$14,2,FALSE)</f>
        <v>BH Kỹ thuật</v>
      </c>
      <c r="Q43" s="88">
        <f t="shared" si="0"/>
        <v>0</v>
      </c>
    </row>
    <row r="44" spans="1:17" x14ac:dyDescent="0.25">
      <c r="A44" s="85" t="s">
        <v>329</v>
      </c>
      <c r="B44" s="65" t="s">
        <v>187</v>
      </c>
      <c r="C44" s="65" t="s">
        <v>392</v>
      </c>
      <c r="D44" s="66">
        <v>561964158</v>
      </c>
      <c r="E44" s="65">
        <v>592250000</v>
      </c>
      <c r="F44" s="67">
        <v>27753518.124909189</v>
      </c>
      <c r="G44" s="68">
        <v>0</v>
      </c>
      <c r="H44" s="68">
        <v>27753518.124909189</v>
      </c>
      <c r="I44" s="68">
        <v>0</v>
      </c>
      <c r="J44" s="68">
        <v>25642864</v>
      </c>
      <c r="K44" s="68">
        <v>12341966</v>
      </c>
      <c r="L44" s="68">
        <v>35037047</v>
      </c>
      <c r="M44" s="68">
        <v>29421025</v>
      </c>
      <c r="N44" s="69">
        <v>130196420.12490919</v>
      </c>
      <c r="O44" s="65" t="str">
        <f>VLOOKUP(A44,Report_HQ1!$A$7:$C$95,3,FALSE)</f>
        <v>BV Long Thành</v>
      </c>
      <c r="P44" s="40" t="str">
        <f>VLOOKUP(C44,Sheet1!$U$4:$V$14,2,FALSE)</f>
        <v>BH Tài sản</v>
      </c>
      <c r="Q44" s="88">
        <f t="shared" si="0"/>
        <v>130196420.12490919</v>
      </c>
    </row>
    <row r="45" spans="1:17" x14ac:dyDescent="0.25">
      <c r="A45" s="85" t="s">
        <v>329</v>
      </c>
      <c r="B45" s="65" t="s">
        <v>187</v>
      </c>
      <c r="C45" s="65" t="s">
        <v>393</v>
      </c>
      <c r="D45" s="66">
        <v>3806002030</v>
      </c>
      <c r="E45" s="65">
        <v>592250000</v>
      </c>
      <c r="F45" s="67">
        <v>187965628.80269343</v>
      </c>
      <c r="G45" s="68">
        <v>0</v>
      </c>
      <c r="H45" s="68">
        <v>187965628.80269343</v>
      </c>
      <c r="I45" s="68">
        <v>0</v>
      </c>
      <c r="J45" s="68">
        <v>331135419</v>
      </c>
      <c r="K45" s="68">
        <v>164703075</v>
      </c>
      <c r="L45" s="68">
        <v>457946690</v>
      </c>
      <c r="M45" s="68">
        <v>227528727</v>
      </c>
      <c r="N45" s="69">
        <v>1369279539.8026934</v>
      </c>
      <c r="O45" s="65" t="str">
        <f>VLOOKUP(A45,Report_HQ1!$A$7:$C$95,3,FALSE)</f>
        <v>BV Long Thành</v>
      </c>
      <c r="P45" s="40" t="str">
        <f>VLOOKUP(C45,Sheet1!$U$4:$V$14,2,FALSE)</f>
        <v>BH Xe cơ giới</v>
      </c>
      <c r="Q45" s="88">
        <f t="shared" si="0"/>
        <v>1369279539.8026934</v>
      </c>
    </row>
    <row r="46" spans="1:17" x14ac:dyDescent="0.25">
      <c r="A46" s="85" t="s">
        <v>329</v>
      </c>
      <c r="B46" s="65" t="s">
        <v>187</v>
      </c>
      <c r="C46" s="65" t="s">
        <v>394</v>
      </c>
      <c r="D46" s="66">
        <v>793117967</v>
      </c>
      <c r="E46" s="65">
        <v>592250000</v>
      </c>
      <c r="F46" s="67">
        <v>39169426.659992829</v>
      </c>
      <c r="G46" s="68">
        <v>0</v>
      </c>
      <c r="H46" s="68">
        <v>39169426.659992829</v>
      </c>
      <c r="I46" s="68">
        <v>0</v>
      </c>
      <c r="J46" s="68">
        <v>152528542</v>
      </c>
      <c r="K46" s="68">
        <v>35964589</v>
      </c>
      <c r="L46" s="68">
        <v>47458618</v>
      </c>
      <c r="M46" s="68">
        <v>46123610</v>
      </c>
      <c r="N46" s="69">
        <v>321244785.65999281</v>
      </c>
      <c r="O46" s="65" t="str">
        <f>VLOOKUP(A46,Report_HQ1!$A$7:$C$95,3,FALSE)</f>
        <v>BV Long Thành</v>
      </c>
      <c r="P46" s="40" t="str">
        <f>VLOOKUP(C46,Sheet1!$U$4:$V$14,2,FALSE)</f>
        <v>BH Con người</v>
      </c>
      <c r="Q46" s="88">
        <f t="shared" si="0"/>
        <v>321244785.65999281</v>
      </c>
    </row>
    <row r="47" spans="1:17" x14ac:dyDescent="0.25">
      <c r="A47" s="85" t="s">
        <v>329</v>
      </c>
      <c r="B47" s="65" t="s">
        <v>187</v>
      </c>
      <c r="C47" s="65" t="s">
        <v>395</v>
      </c>
      <c r="D47" s="66">
        <v>0</v>
      </c>
      <c r="E47" s="65">
        <v>592250000</v>
      </c>
      <c r="F47" s="67">
        <v>0</v>
      </c>
      <c r="G47" s="68">
        <v>0</v>
      </c>
      <c r="H47" s="68">
        <v>0</v>
      </c>
      <c r="I47" s="68">
        <v>0</v>
      </c>
      <c r="J47" s="68">
        <v>0</v>
      </c>
      <c r="K47" s="68">
        <v>0</v>
      </c>
      <c r="L47" s="68">
        <v>0</v>
      </c>
      <c r="M47" s="68">
        <v>0</v>
      </c>
      <c r="N47" s="69">
        <v>0</v>
      </c>
      <c r="O47" s="65" t="str">
        <f>VLOOKUP(A47,Report_HQ1!$A$7:$C$95,3,FALSE)</f>
        <v>BV Long Thành</v>
      </c>
      <c r="P47" s="40" t="e">
        <f>VLOOKUP(C47,Sheet1!$U$4:$V$14,2,FALSE)</f>
        <v>#N/A</v>
      </c>
      <c r="Q47" s="88">
        <f t="shared" si="0"/>
        <v>0</v>
      </c>
    </row>
    <row r="48" spans="1:17" x14ac:dyDescent="0.25">
      <c r="A48" s="85" t="s">
        <v>329</v>
      </c>
      <c r="B48" s="65" t="s">
        <v>187</v>
      </c>
      <c r="C48" s="65" t="s">
        <v>396</v>
      </c>
      <c r="D48" s="66">
        <v>1640603555</v>
      </c>
      <c r="E48" s="65">
        <v>592250000</v>
      </c>
      <c r="F48" s="67">
        <v>81023887.113247082</v>
      </c>
      <c r="G48" s="68">
        <v>0</v>
      </c>
      <c r="H48" s="68">
        <v>81023887.113247082</v>
      </c>
      <c r="I48" s="68">
        <v>0</v>
      </c>
      <c r="J48" s="68">
        <v>285475521</v>
      </c>
      <c r="K48" s="68">
        <v>48538218</v>
      </c>
      <c r="L48" s="68">
        <v>1316640</v>
      </c>
      <c r="M48" s="68">
        <v>101536218</v>
      </c>
      <c r="N48" s="69">
        <v>517890484.1132471</v>
      </c>
      <c r="O48" s="65" t="str">
        <f>VLOOKUP(A48,Report_HQ1!$A$7:$C$95,3,FALSE)</f>
        <v>BV Long Thành</v>
      </c>
      <c r="P48" s="40" t="str">
        <f>VLOOKUP(C48,Sheet1!$U$4:$V$14,2,FALSE)</f>
        <v>BH Y tế</v>
      </c>
      <c r="Q48" s="88">
        <f t="shared" si="0"/>
        <v>517890484.1132471</v>
      </c>
    </row>
    <row r="49" spans="1:17" x14ac:dyDescent="0.25">
      <c r="A49" s="85" t="s">
        <v>329</v>
      </c>
      <c r="B49" s="65" t="s">
        <v>187</v>
      </c>
      <c r="C49" s="65" t="s">
        <v>397</v>
      </c>
      <c r="D49" s="66">
        <v>30023400</v>
      </c>
      <c r="E49" s="65">
        <v>592250000</v>
      </c>
      <c r="F49" s="67">
        <v>1482754.6636371042</v>
      </c>
      <c r="G49" s="68">
        <v>0</v>
      </c>
      <c r="H49" s="68">
        <v>1482754.6636371042</v>
      </c>
      <c r="I49" s="68">
        <v>0</v>
      </c>
      <c r="J49" s="68">
        <v>6004680</v>
      </c>
      <c r="K49" s="68">
        <v>6004680</v>
      </c>
      <c r="L49" s="68">
        <v>0</v>
      </c>
      <c r="M49" s="68">
        <v>2401872</v>
      </c>
      <c r="N49" s="69">
        <v>15893986.663637105</v>
      </c>
      <c r="O49" s="65" t="str">
        <f>VLOOKUP(A49,Report_HQ1!$A$7:$C$95,3,FALSE)</f>
        <v>BV Long Thành</v>
      </c>
      <c r="P49" s="40" t="str">
        <f>VLOOKUP(C49,Sheet1!$U$4:$V$14,2,FALSE)</f>
        <v>BH Du lịch</v>
      </c>
      <c r="Q49" s="88">
        <f t="shared" si="0"/>
        <v>15893986.663637105</v>
      </c>
    </row>
    <row r="50" spans="1:17" x14ac:dyDescent="0.25">
      <c r="A50" s="85" t="s">
        <v>305</v>
      </c>
      <c r="B50" s="65" t="s">
        <v>163</v>
      </c>
      <c r="C50" s="65" t="s">
        <v>387</v>
      </c>
      <c r="D50" s="66">
        <v>6440500</v>
      </c>
      <c r="E50" s="65">
        <v>521000000</v>
      </c>
      <c r="F50" s="67">
        <v>373027.41524431156</v>
      </c>
      <c r="G50" s="68">
        <v>0</v>
      </c>
      <c r="H50" s="68">
        <v>373027.41524431156</v>
      </c>
      <c r="I50" s="68">
        <v>0</v>
      </c>
      <c r="J50" s="68">
        <v>644050</v>
      </c>
      <c r="K50" s="68">
        <v>322025</v>
      </c>
      <c r="L50" s="68">
        <v>257620</v>
      </c>
      <c r="M50" s="68">
        <v>515240</v>
      </c>
      <c r="N50" s="69">
        <v>2111962.4152443116</v>
      </c>
      <c r="O50" s="65" t="str">
        <f>VLOOKUP(A50,Report_HQ1!$A$7:$C$95,3,FALSE)</f>
        <v>BV Đông Bắc</v>
      </c>
      <c r="P50" s="40" t="str">
        <f>VLOOKUP(C50,Sheet1!$U$4:$V$14,2,FALSE)</f>
        <v>BH Hàng hóa</v>
      </c>
      <c r="Q50" s="88">
        <f t="shared" si="0"/>
        <v>2111962.4152443116</v>
      </c>
    </row>
    <row r="51" spans="1:17" x14ac:dyDescent="0.25">
      <c r="A51" s="85" t="s">
        <v>305</v>
      </c>
      <c r="B51" s="65" t="s">
        <v>163</v>
      </c>
      <c r="C51" s="65" t="s">
        <v>272</v>
      </c>
      <c r="D51" s="66">
        <v>25786000</v>
      </c>
      <c r="E51" s="65">
        <v>521000000</v>
      </c>
      <c r="F51" s="67">
        <v>1493499.7173340297</v>
      </c>
      <c r="G51" s="68">
        <v>0</v>
      </c>
      <c r="H51" s="68">
        <v>1493499.7173340297</v>
      </c>
      <c r="I51" s="68">
        <v>95400</v>
      </c>
      <c r="J51" s="68">
        <v>2936400</v>
      </c>
      <c r="K51" s="68">
        <v>1370320</v>
      </c>
      <c r="L51" s="68">
        <v>1624060</v>
      </c>
      <c r="M51" s="68">
        <v>1938680</v>
      </c>
      <c r="N51" s="69">
        <v>9458359.7173340302</v>
      </c>
      <c r="O51" s="65" t="str">
        <f>VLOOKUP(A51,Report_HQ1!$A$7:$C$95,3,FALSE)</f>
        <v>BV Đông Bắc</v>
      </c>
      <c r="P51" s="40" t="str">
        <f>VLOOKUP(C51,Sheet1!$U$4:$V$14,2,FALSE)</f>
        <v>Tàu khác</v>
      </c>
      <c r="Q51" s="88">
        <f t="shared" si="0"/>
        <v>9458359.7173340302</v>
      </c>
    </row>
    <row r="52" spans="1:17" x14ac:dyDescent="0.25">
      <c r="A52" s="85" t="s">
        <v>305</v>
      </c>
      <c r="B52" s="65" t="s">
        <v>163</v>
      </c>
      <c r="C52" s="65" t="s">
        <v>388</v>
      </c>
      <c r="D52" s="66">
        <v>159484369</v>
      </c>
      <c r="E52" s="65">
        <v>521000000</v>
      </c>
      <c r="F52" s="67">
        <v>9237177.5390016325</v>
      </c>
      <c r="G52" s="68">
        <v>0</v>
      </c>
      <c r="H52" s="68">
        <v>9237177.5390016325</v>
      </c>
      <c r="I52" s="68">
        <v>0</v>
      </c>
      <c r="J52" s="68">
        <v>0</v>
      </c>
      <c r="K52" s="68">
        <v>0</v>
      </c>
      <c r="L52" s="68">
        <v>0</v>
      </c>
      <c r="M52" s="68">
        <v>0</v>
      </c>
      <c r="N52" s="69">
        <v>9237177.5390016325</v>
      </c>
      <c r="O52" s="65" t="str">
        <f>VLOOKUP(A52,Report_HQ1!$A$7:$C$95,3,FALSE)</f>
        <v>BV Đông Bắc</v>
      </c>
      <c r="P52" s="40" t="str">
        <f>VLOOKUP(C52,Sheet1!$U$4:$V$14,2,FALSE)</f>
        <v>Hull (Thân tàu biển)</v>
      </c>
      <c r="Q52" s="88">
        <f t="shared" si="0"/>
        <v>9237177.5390016325</v>
      </c>
    </row>
    <row r="53" spans="1:17" x14ac:dyDescent="0.25">
      <c r="A53" s="85" t="s">
        <v>305</v>
      </c>
      <c r="B53" s="65" t="s">
        <v>163</v>
      </c>
      <c r="C53" s="65" t="s">
        <v>23</v>
      </c>
      <c r="D53" s="66">
        <v>-238187407</v>
      </c>
      <c r="E53" s="65">
        <v>521000000</v>
      </c>
      <c r="F53" s="67">
        <v>-13795579.966921022</v>
      </c>
      <c r="G53" s="68">
        <v>4763748</v>
      </c>
      <c r="H53" s="68">
        <v>-9031831.9669210222</v>
      </c>
      <c r="I53" s="68">
        <v>0</v>
      </c>
      <c r="J53" s="68">
        <v>-11909370</v>
      </c>
      <c r="K53" s="68">
        <v>-1190937</v>
      </c>
      <c r="L53" s="68">
        <v>0</v>
      </c>
      <c r="M53" s="68">
        <v>-2381874</v>
      </c>
      <c r="N53" s="69">
        <v>-24514012.966921024</v>
      </c>
      <c r="O53" s="65" t="str">
        <f>VLOOKUP(A53,Report_HQ1!$A$7:$C$95,3,FALSE)</f>
        <v>BV Đông Bắc</v>
      </c>
      <c r="P53" s="40" t="str">
        <f>VLOOKUP(C53,Sheet1!$U$4:$V$14,2,FALSE)</f>
        <v>P&amp;I</v>
      </c>
      <c r="Q53" s="88">
        <f t="shared" si="0"/>
        <v>-24514012.966921024</v>
      </c>
    </row>
    <row r="54" spans="1:17" x14ac:dyDescent="0.25">
      <c r="A54" s="85" t="s">
        <v>305</v>
      </c>
      <c r="B54" s="65" t="s">
        <v>163</v>
      </c>
      <c r="C54" s="65" t="s">
        <v>389</v>
      </c>
      <c r="D54" s="66">
        <v>0</v>
      </c>
      <c r="E54" s="65">
        <v>521000000</v>
      </c>
      <c r="F54" s="67">
        <v>0</v>
      </c>
      <c r="G54" s="68">
        <v>0</v>
      </c>
      <c r="H54" s="68">
        <v>0</v>
      </c>
      <c r="I54" s="68">
        <v>0</v>
      </c>
      <c r="J54" s="68">
        <v>0</v>
      </c>
      <c r="K54" s="68">
        <v>0</v>
      </c>
      <c r="L54" s="68">
        <v>0</v>
      </c>
      <c r="M54" s="68">
        <v>0</v>
      </c>
      <c r="N54" s="69">
        <v>0</v>
      </c>
      <c r="O54" s="65" t="str">
        <f>VLOOKUP(A54,Report_HQ1!$A$7:$C$95,3,FALSE)</f>
        <v>BV Đông Bắc</v>
      </c>
      <c r="P54" s="40" t="str">
        <f>VLOOKUP(C54,Sheet1!$U$4:$V$14,2,FALSE)</f>
        <v>BH Trách nhiệm</v>
      </c>
      <c r="Q54" s="88">
        <f t="shared" si="0"/>
        <v>0</v>
      </c>
    </row>
    <row r="55" spans="1:17" x14ac:dyDescent="0.25">
      <c r="A55" s="85" t="s">
        <v>305</v>
      </c>
      <c r="B55" s="65" t="s">
        <v>163</v>
      </c>
      <c r="C55" s="65" t="s">
        <v>390</v>
      </c>
      <c r="D55" s="66">
        <v>147056706</v>
      </c>
      <c r="E55" s="65">
        <v>521000000</v>
      </c>
      <c r="F55" s="67">
        <v>8517379.5409553051</v>
      </c>
      <c r="G55" s="68">
        <v>0</v>
      </c>
      <c r="H55" s="68">
        <v>8517379.5409553051</v>
      </c>
      <c r="I55" s="68">
        <v>0</v>
      </c>
      <c r="J55" s="68">
        <v>0</v>
      </c>
      <c r="K55" s="68">
        <v>0</v>
      </c>
      <c r="L55" s="68">
        <v>17602688</v>
      </c>
      <c r="M55" s="68">
        <v>3720535</v>
      </c>
      <c r="N55" s="69">
        <v>29840602.540955305</v>
      </c>
      <c r="O55" s="65" t="str">
        <f>VLOOKUP(A55,Report_HQ1!$A$7:$C$95,3,FALSE)</f>
        <v>BV Đông Bắc</v>
      </c>
      <c r="P55" s="40" t="e">
        <f>VLOOKUP(C55,Sheet1!$U$4:$V$14,2,FALSE)</f>
        <v>#N/A</v>
      </c>
      <c r="Q55" s="88">
        <f t="shared" si="0"/>
        <v>29840602.540955305</v>
      </c>
    </row>
    <row r="56" spans="1:17" x14ac:dyDescent="0.25">
      <c r="A56" s="85" t="s">
        <v>305</v>
      </c>
      <c r="B56" s="65" t="s">
        <v>163</v>
      </c>
      <c r="C56" s="65" t="s">
        <v>391</v>
      </c>
      <c r="D56" s="66">
        <v>500180635</v>
      </c>
      <c r="E56" s="65">
        <v>521000000</v>
      </c>
      <c r="F56" s="67">
        <v>28969969.634237785</v>
      </c>
      <c r="G56" s="68">
        <v>0</v>
      </c>
      <c r="H56" s="68">
        <v>28969969.634237785</v>
      </c>
      <c r="I56" s="68">
        <v>0</v>
      </c>
      <c r="J56" s="68">
        <v>0</v>
      </c>
      <c r="K56" s="68">
        <v>0</v>
      </c>
      <c r="L56" s="68">
        <v>0</v>
      </c>
      <c r="M56" s="68">
        <v>0</v>
      </c>
      <c r="N56" s="69">
        <v>28969969.634237785</v>
      </c>
      <c r="O56" s="65" t="str">
        <f>VLOOKUP(A56,Report_HQ1!$A$7:$C$95,3,FALSE)</f>
        <v>BV Đông Bắc</v>
      </c>
      <c r="P56" s="40" t="str">
        <f>VLOOKUP(C56,Sheet1!$U$4:$V$14,2,FALSE)</f>
        <v>BH Kỹ thuật</v>
      </c>
      <c r="Q56" s="88">
        <f t="shared" si="0"/>
        <v>28969969.634237785</v>
      </c>
    </row>
    <row r="57" spans="1:17" x14ac:dyDescent="0.25">
      <c r="A57" s="85" t="s">
        <v>305</v>
      </c>
      <c r="B57" s="65" t="s">
        <v>163</v>
      </c>
      <c r="C57" s="65" t="s">
        <v>392</v>
      </c>
      <c r="D57" s="66">
        <v>2142321117</v>
      </c>
      <c r="E57" s="65">
        <v>521000000</v>
      </c>
      <c r="F57" s="67">
        <v>124081128.62321503</v>
      </c>
      <c r="G57" s="68">
        <v>0</v>
      </c>
      <c r="H57" s="68">
        <v>124081128.62321503</v>
      </c>
      <c r="I57" s="68">
        <v>0</v>
      </c>
      <c r="J57" s="68">
        <v>295469520</v>
      </c>
      <c r="K57" s="68">
        <v>7088422</v>
      </c>
      <c r="L57" s="68">
        <v>180885205</v>
      </c>
      <c r="M57" s="68">
        <v>73522410</v>
      </c>
      <c r="N57" s="69">
        <v>681046685.62321496</v>
      </c>
      <c r="O57" s="65" t="str">
        <f>VLOOKUP(A57,Report_HQ1!$A$7:$C$95,3,FALSE)</f>
        <v>BV Đông Bắc</v>
      </c>
      <c r="P57" s="40" t="str">
        <f>VLOOKUP(C57,Sheet1!$U$4:$V$14,2,FALSE)</f>
        <v>BH Tài sản</v>
      </c>
      <c r="Q57" s="88">
        <f t="shared" si="0"/>
        <v>681046685.62321496</v>
      </c>
    </row>
    <row r="58" spans="1:17" x14ac:dyDescent="0.25">
      <c r="A58" s="85" t="s">
        <v>305</v>
      </c>
      <c r="B58" s="65" t="s">
        <v>163</v>
      </c>
      <c r="C58" s="65" t="s">
        <v>393</v>
      </c>
      <c r="D58" s="66">
        <v>4742493159</v>
      </c>
      <c r="E58" s="65">
        <v>521000000</v>
      </c>
      <c r="F58" s="67">
        <v>274680531.77790546</v>
      </c>
      <c r="G58" s="68">
        <v>0</v>
      </c>
      <c r="H58" s="68">
        <v>274680531.77790546</v>
      </c>
      <c r="I58" s="68">
        <v>0</v>
      </c>
      <c r="J58" s="68">
        <v>410490783</v>
      </c>
      <c r="K58" s="68">
        <v>210104781</v>
      </c>
      <c r="L58" s="68">
        <v>385972913</v>
      </c>
      <c r="M58" s="68">
        <v>284240984</v>
      </c>
      <c r="N58" s="69">
        <v>1565489992.7779055</v>
      </c>
      <c r="O58" s="65" t="str">
        <f>VLOOKUP(A58,Report_HQ1!$A$7:$C$95,3,FALSE)</f>
        <v>BV Đông Bắc</v>
      </c>
      <c r="P58" s="40" t="str">
        <f>VLOOKUP(C58,Sheet1!$U$4:$V$14,2,FALSE)</f>
        <v>BH Xe cơ giới</v>
      </c>
      <c r="Q58" s="88">
        <f t="shared" si="0"/>
        <v>1565489992.7779055</v>
      </c>
    </row>
    <row r="59" spans="1:17" x14ac:dyDescent="0.25">
      <c r="A59" s="85" t="s">
        <v>305</v>
      </c>
      <c r="B59" s="65" t="s">
        <v>163</v>
      </c>
      <c r="C59" s="65" t="s">
        <v>394</v>
      </c>
      <c r="D59" s="66">
        <v>606567694</v>
      </c>
      <c r="E59" s="65">
        <v>521000000</v>
      </c>
      <c r="F59" s="67">
        <v>35131803.286006138</v>
      </c>
      <c r="G59" s="68">
        <v>0</v>
      </c>
      <c r="H59" s="68">
        <v>35131803.286006138</v>
      </c>
      <c r="I59" s="68">
        <v>0</v>
      </c>
      <c r="J59" s="68">
        <v>80466848</v>
      </c>
      <c r="K59" s="68">
        <v>1047350</v>
      </c>
      <c r="L59" s="68">
        <v>24805420</v>
      </c>
      <c r="M59" s="68">
        <v>27479818</v>
      </c>
      <c r="N59" s="69">
        <v>168931239.28600615</v>
      </c>
      <c r="O59" s="65" t="str">
        <f>VLOOKUP(A59,Report_HQ1!$A$7:$C$95,3,FALSE)</f>
        <v>BV Đông Bắc</v>
      </c>
      <c r="P59" s="40" t="str">
        <f>VLOOKUP(C59,Sheet1!$U$4:$V$14,2,FALSE)</f>
        <v>BH Con người</v>
      </c>
      <c r="Q59" s="88">
        <f t="shared" si="0"/>
        <v>168931239.28600615</v>
      </c>
    </row>
    <row r="60" spans="1:17" x14ac:dyDescent="0.25">
      <c r="A60" s="85" t="s">
        <v>305</v>
      </c>
      <c r="B60" s="65" t="s">
        <v>163</v>
      </c>
      <c r="C60" s="65" t="s">
        <v>395</v>
      </c>
      <c r="D60" s="66">
        <v>0</v>
      </c>
      <c r="E60" s="65">
        <v>521000000</v>
      </c>
      <c r="F60" s="67">
        <v>0</v>
      </c>
      <c r="G60" s="68">
        <v>0</v>
      </c>
      <c r="H60" s="68">
        <v>0</v>
      </c>
      <c r="I60" s="68">
        <v>0</v>
      </c>
      <c r="J60" s="68">
        <v>0</v>
      </c>
      <c r="K60" s="68">
        <v>0</v>
      </c>
      <c r="L60" s="68">
        <v>0</v>
      </c>
      <c r="M60" s="68">
        <v>0</v>
      </c>
      <c r="N60" s="69">
        <v>0</v>
      </c>
      <c r="O60" s="65" t="str">
        <f>VLOOKUP(A60,Report_HQ1!$A$7:$C$95,3,FALSE)</f>
        <v>BV Đông Bắc</v>
      </c>
      <c r="P60" s="40" t="e">
        <f>VLOOKUP(C60,Sheet1!$U$4:$V$14,2,FALSE)</f>
        <v>#N/A</v>
      </c>
      <c r="Q60" s="88">
        <f t="shared" si="0"/>
        <v>0</v>
      </c>
    </row>
    <row r="61" spans="1:17" x14ac:dyDescent="0.25">
      <c r="A61" s="85" t="s">
        <v>305</v>
      </c>
      <c r="B61" s="65" t="s">
        <v>163</v>
      </c>
      <c r="C61" s="65" t="s">
        <v>396</v>
      </c>
      <c r="D61" s="66">
        <v>889225970</v>
      </c>
      <c r="E61" s="65">
        <v>521000000</v>
      </c>
      <c r="F61" s="67">
        <v>51503092.175640985</v>
      </c>
      <c r="G61" s="68">
        <v>0</v>
      </c>
      <c r="H61" s="68">
        <v>51503092.175640985</v>
      </c>
      <c r="I61" s="68">
        <v>0</v>
      </c>
      <c r="J61" s="68">
        <v>177845194</v>
      </c>
      <c r="K61" s="68">
        <v>110259898</v>
      </c>
      <c r="L61" s="68">
        <v>7494722</v>
      </c>
      <c r="M61" s="68">
        <v>67011932</v>
      </c>
      <c r="N61" s="69">
        <v>414114838.175641</v>
      </c>
      <c r="O61" s="65" t="str">
        <f>VLOOKUP(A61,Report_HQ1!$A$7:$C$95,3,FALSE)</f>
        <v>BV Đông Bắc</v>
      </c>
      <c r="P61" s="40" t="str">
        <f>VLOOKUP(C61,Sheet1!$U$4:$V$14,2,FALSE)</f>
        <v>BH Y tế</v>
      </c>
      <c r="Q61" s="88">
        <f t="shared" si="0"/>
        <v>414114838.175641</v>
      </c>
    </row>
    <row r="62" spans="1:17" x14ac:dyDescent="0.25">
      <c r="A62" s="85" t="s">
        <v>305</v>
      </c>
      <c r="B62" s="65" t="s">
        <v>163</v>
      </c>
      <c r="C62" s="65" t="s">
        <v>397</v>
      </c>
      <c r="D62" s="66">
        <v>13950000</v>
      </c>
      <c r="E62" s="65">
        <v>521000000</v>
      </c>
      <c r="F62" s="67">
        <v>807970.25738035049</v>
      </c>
      <c r="G62" s="68">
        <v>0</v>
      </c>
      <c r="H62" s="68">
        <v>807970.25738035049</v>
      </c>
      <c r="I62" s="68">
        <v>0</v>
      </c>
      <c r="J62" s="68">
        <v>2790000</v>
      </c>
      <c r="K62" s="68">
        <v>2790000</v>
      </c>
      <c r="L62" s="68">
        <v>0</v>
      </c>
      <c r="M62" s="68">
        <v>1116000</v>
      </c>
      <c r="N62" s="69">
        <v>7503970.2573803505</v>
      </c>
      <c r="O62" s="65" t="str">
        <f>VLOOKUP(A62,Report_HQ1!$A$7:$C$95,3,FALSE)</f>
        <v>BV Đông Bắc</v>
      </c>
      <c r="P62" s="40" t="str">
        <f>VLOOKUP(C62,Sheet1!$U$4:$V$14,2,FALSE)</f>
        <v>BH Du lịch</v>
      </c>
      <c r="Q62" s="88">
        <f t="shared" si="0"/>
        <v>7503970.2573803505</v>
      </c>
    </row>
    <row r="63" spans="1:17" x14ac:dyDescent="0.25">
      <c r="A63" s="85" t="s">
        <v>285</v>
      </c>
      <c r="B63" s="65" t="s">
        <v>143</v>
      </c>
      <c r="C63" s="65" t="s">
        <v>387</v>
      </c>
      <c r="D63" s="66">
        <v>4342506230</v>
      </c>
      <c r="E63" s="65">
        <v>1924205000</v>
      </c>
      <c r="F63" s="67">
        <v>192761754.76916248</v>
      </c>
      <c r="G63" s="68">
        <v>0</v>
      </c>
      <c r="H63" s="68">
        <v>192761754.76916248</v>
      </c>
      <c r="I63" s="68">
        <v>0</v>
      </c>
      <c r="J63" s="68">
        <v>407933489</v>
      </c>
      <c r="K63" s="68">
        <v>203966744</v>
      </c>
      <c r="L63" s="68">
        <v>213175950</v>
      </c>
      <c r="M63" s="68">
        <v>347400498</v>
      </c>
      <c r="N63" s="69">
        <v>1365238435.7691624</v>
      </c>
      <c r="O63" s="65" t="str">
        <f>VLOOKUP(A63,Report_HQ1!$A$7:$C$95,3,FALSE)</f>
        <v>BV An Phú</v>
      </c>
      <c r="P63" s="40" t="str">
        <f>VLOOKUP(C63,Sheet1!$U$4:$V$14,2,FALSE)</f>
        <v>BH Hàng hóa</v>
      </c>
      <c r="Q63" s="88">
        <f t="shared" si="0"/>
        <v>1365238435.7691624</v>
      </c>
    </row>
    <row r="64" spans="1:17" x14ac:dyDescent="0.25">
      <c r="A64" s="85" t="s">
        <v>285</v>
      </c>
      <c r="B64" s="65" t="s">
        <v>143</v>
      </c>
      <c r="C64" s="65" t="s">
        <v>272</v>
      </c>
      <c r="D64" s="66">
        <v>15958800</v>
      </c>
      <c r="E64" s="65">
        <v>1924205000</v>
      </c>
      <c r="F64" s="67">
        <v>708403.42628825898</v>
      </c>
      <c r="G64" s="68">
        <v>0</v>
      </c>
      <c r="H64" s="68">
        <v>708403.42628825898</v>
      </c>
      <c r="I64" s="68">
        <v>0</v>
      </c>
      <c r="J64" s="68">
        <v>0</v>
      </c>
      <c r="K64" s="68">
        <v>0</v>
      </c>
      <c r="L64" s="68">
        <v>3670524</v>
      </c>
      <c r="M64" s="68">
        <v>957528</v>
      </c>
      <c r="N64" s="69">
        <v>5336455.4262882592</v>
      </c>
      <c r="O64" s="65" t="str">
        <f>VLOOKUP(A64,Report_HQ1!$A$7:$C$95,3,FALSE)</f>
        <v>BV An Phú</v>
      </c>
      <c r="P64" s="40" t="str">
        <f>VLOOKUP(C64,Sheet1!$U$4:$V$14,2,FALSE)</f>
        <v>Tàu khác</v>
      </c>
      <c r="Q64" s="88">
        <f t="shared" si="0"/>
        <v>5336455.4262882592</v>
      </c>
    </row>
    <row r="65" spans="1:17" x14ac:dyDescent="0.25">
      <c r="A65" s="85" t="s">
        <v>285</v>
      </c>
      <c r="B65" s="65" t="s">
        <v>143</v>
      </c>
      <c r="C65" s="65" t="s">
        <v>388</v>
      </c>
      <c r="D65" s="66">
        <v>0</v>
      </c>
      <c r="E65" s="65">
        <v>1924205000</v>
      </c>
      <c r="F65" s="67">
        <v>0</v>
      </c>
      <c r="G65" s="68">
        <v>0</v>
      </c>
      <c r="H65" s="68">
        <v>0</v>
      </c>
      <c r="I65" s="68">
        <v>0</v>
      </c>
      <c r="J65" s="68">
        <v>0</v>
      </c>
      <c r="K65" s="68">
        <v>0</v>
      </c>
      <c r="L65" s="68">
        <v>0</v>
      </c>
      <c r="M65" s="68">
        <v>0</v>
      </c>
      <c r="N65" s="69">
        <v>0</v>
      </c>
      <c r="O65" s="65" t="str">
        <f>VLOOKUP(A65,Report_HQ1!$A$7:$C$95,3,FALSE)</f>
        <v>BV An Phú</v>
      </c>
      <c r="P65" s="40" t="str">
        <f>VLOOKUP(C65,Sheet1!$U$4:$V$14,2,FALSE)</f>
        <v>Hull (Thân tàu biển)</v>
      </c>
      <c r="Q65" s="88">
        <f t="shared" si="0"/>
        <v>0</v>
      </c>
    </row>
    <row r="66" spans="1:17" x14ac:dyDescent="0.25">
      <c r="A66" s="85" t="s">
        <v>285</v>
      </c>
      <c r="B66" s="65" t="s">
        <v>143</v>
      </c>
      <c r="C66" s="65" t="s">
        <v>23</v>
      </c>
      <c r="D66" s="66">
        <v>0</v>
      </c>
      <c r="E66" s="65">
        <v>1924205000</v>
      </c>
      <c r="F66" s="67">
        <v>0</v>
      </c>
      <c r="G66" s="68">
        <v>0</v>
      </c>
      <c r="H66" s="68">
        <v>0</v>
      </c>
      <c r="I66" s="68">
        <v>0</v>
      </c>
      <c r="J66" s="68">
        <v>0</v>
      </c>
      <c r="K66" s="68">
        <v>0</v>
      </c>
      <c r="L66" s="68">
        <v>0</v>
      </c>
      <c r="M66" s="68">
        <v>0</v>
      </c>
      <c r="N66" s="69">
        <v>0</v>
      </c>
      <c r="O66" s="65" t="str">
        <f>VLOOKUP(A66,Report_HQ1!$A$7:$C$95,3,FALSE)</f>
        <v>BV An Phú</v>
      </c>
      <c r="P66" s="40" t="str">
        <f>VLOOKUP(C66,Sheet1!$U$4:$V$14,2,FALSE)</f>
        <v>P&amp;I</v>
      </c>
      <c r="Q66" s="88">
        <f t="shared" si="0"/>
        <v>0</v>
      </c>
    </row>
    <row r="67" spans="1:17" x14ac:dyDescent="0.25">
      <c r="A67" s="85" t="s">
        <v>285</v>
      </c>
      <c r="B67" s="65" t="s">
        <v>143</v>
      </c>
      <c r="C67" s="65" t="s">
        <v>389</v>
      </c>
      <c r="D67" s="66">
        <v>600031664</v>
      </c>
      <c r="E67" s="65">
        <v>1924205000</v>
      </c>
      <c r="F67" s="67">
        <v>26635115.839476988</v>
      </c>
      <c r="G67" s="68">
        <v>0</v>
      </c>
      <c r="H67" s="68">
        <v>26635115.839476988</v>
      </c>
      <c r="I67" s="68">
        <v>0</v>
      </c>
      <c r="J67" s="68">
        <v>26895383</v>
      </c>
      <c r="K67" s="68">
        <v>13447692</v>
      </c>
      <c r="L67" s="68">
        <v>49661675</v>
      </c>
      <c r="M67" s="68">
        <v>48002533</v>
      </c>
      <c r="N67" s="69">
        <v>164642398.839477</v>
      </c>
      <c r="O67" s="65" t="str">
        <f>VLOOKUP(A67,Report_HQ1!$A$7:$C$95,3,FALSE)</f>
        <v>BV An Phú</v>
      </c>
      <c r="P67" s="40" t="str">
        <f>VLOOKUP(C67,Sheet1!$U$4:$V$14,2,FALSE)</f>
        <v>BH Trách nhiệm</v>
      </c>
      <c r="Q67" s="88">
        <f t="shared" si="0"/>
        <v>164642398.839477</v>
      </c>
    </row>
    <row r="68" spans="1:17" x14ac:dyDescent="0.25">
      <c r="A68" s="85" t="s">
        <v>285</v>
      </c>
      <c r="B68" s="65" t="s">
        <v>143</v>
      </c>
      <c r="C68" s="65" t="s">
        <v>390</v>
      </c>
      <c r="D68" s="66">
        <v>0</v>
      </c>
      <c r="E68" s="65">
        <v>1924205000</v>
      </c>
      <c r="F68" s="67">
        <v>0</v>
      </c>
      <c r="G68" s="68">
        <v>0</v>
      </c>
      <c r="H68" s="68">
        <v>0</v>
      </c>
      <c r="I68" s="68">
        <v>0</v>
      </c>
      <c r="J68" s="68">
        <v>0</v>
      </c>
      <c r="K68" s="68">
        <v>0</v>
      </c>
      <c r="L68" s="68">
        <v>0</v>
      </c>
      <c r="M68" s="68">
        <v>0</v>
      </c>
      <c r="N68" s="69">
        <v>0</v>
      </c>
      <c r="O68" s="65" t="str">
        <f>VLOOKUP(A68,Report_HQ1!$A$7:$C$95,3,FALSE)</f>
        <v>BV An Phú</v>
      </c>
      <c r="P68" s="40" t="e">
        <f>VLOOKUP(C68,Sheet1!$U$4:$V$14,2,FALSE)</f>
        <v>#N/A</v>
      </c>
      <c r="Q68" s="88">
        <f t="shared" si="0"/>
        <v>0</v>
      </c>
    </row>
    <row r="69" spans="1:17" x14ac:dyDescent="0.25">
      <c r="A69" s="85" t="s">
        <v>285</v>
      </c>
      <c r="B69" s="65" t="s">
        <v>143</v>
      </c>
      <c r="C69" s="65" t="s">
        <v>391</v>
      </c>
      <c r="D69" s="66">
        <v>33551789</v>
      </c>
      <c r="E69" s="65">
        <v>1924205000</v>
      </c>
      <c r="F69" s="67">
        <v>1489347.7132178308</v>
      </c>
      <c r="G69" s="68">
        <v>0</v>
      </c>
      <c r="H69" s="68">
        <v>1489347.7132178308</v>
      </c>
      <c r="I69" s="68">
        <v>0</v>
      </c>
      <c r="J69" s="68">
        <v>2826822</v>
      </c>
      <c r="K69" s="68">
        <v>1413411</v>
      </c>
      <c r="L69" s="68">
        <v>3364784</v>
      </c>
      <c r="M69" s="68">
        <v>2013107</v>
      </c>
      <c r="N69" s="69">
        <v>11107471.71321783</v>
      </c>
      <c r="O69" s="65" t="str">
        <f>VLOOKUP(A69,Report_HQ1!$A$7:$C$95,3,FALSE)</f>
        <v>BV An Phú</v>
      </c>
      <c r="P69" s="40" t="str">
        <f>VLOOKUP(C69,Sheet1!$U$4:$V$14,2,FALSE)</f>
        <v>BH Kỹ thuật</v>
      </c>
      <c r="Q69" s="88">
        <f t="shared" si="0"/>
        <v>11107471.71321783</v>
      </c>
    </row>
    <row r="70" spans="1:17" x14ac:dyDescent="0.25">
      <c r="A70" s="85" t="s">
        <v>285</v>
      </c>
      <c r="B70" s="65" t="s">
        <v>143</v>
      </c>
      <c r="C70" s="65" t="s">
        <v>392</v>
      </c>
      <c r="D70" s="66">
        <v>7354878368</v>
      </c>
      <c r="E70" s="65">
        <v>1924205000</v>
      </c>
      <c r="F70" s="67">
        <v>326479499.45012146</v>
      </c>
      <c r="G70" s="68">
        <v>0</v>
      </c>
      <c r="H70" s="68">
        <v>326479499.45012146</v>
      </c>
      <c r="I70" s="68">
        <v>0</v>
      </c>
      <c r="J70" s="68">
        <v>382213862</v>
      </c>
      <c r="K70" s="68">
        <v>169271509</v>
      </c>
      <c r="L70" s="68">
        <v>874009283</v>
      </c>
      <c r="M70" s="68">
        <v>426643304</v>
      </c>
      <c r="N70" s="69">
        <v>2178617457.4501214</v>
      </c>
      <c r="O70" s="65" t="str">
        <f>VLOOKUP(A70,Report_HQ1!$A$7:$C$95,3,FALSE)</f>
        <v>BV An Phú</v>
      </c>
      <c r="P70" s="40" t="str">
        <f>VLOOKUP(C70,Sheet1!$U$4:$V$14,2,FALSE)</f>
        <v>BH Tài sản</v>
      </c>
      <c r="Q70" s="88">
        <f t="shared" si="0"/>
        <v>2178617457.4501214</v>
      </c>
    </row>
    <row r="71" spans="1:17" x14ac:dyDescent="0.25">
      <c r="A71" s="85" t="s">
        <v>285</v>
      </c>
      <c r="B71" s="65" t="s">
        <v>143</v>
      </c>
      <c r="C71" s="65" t="s">
        <v>393</v>
      </c>
      <c r="D71" s="66">
        <v>17809898719</v>
      </c>
      <c r="E71" s="65">
        <v>1924205000</v>
      </c>
      <c r="F71" s="67">
        <v>790572804.62105393</v>
      </c>
      <c r="G71" s="68">
        <v>0</v>
      </c>
      <c r="H71" s="68">
        <v>790572804.62105393</v>
      </c>
      <c r="I71" s="68">
        <v>0</v>
      </c>
      <c r="J71" s="68">
        <v>1643425202</v>
      </c>
      <c r="K71" s="68">
        <v>821712600</v>
      </c>
      <c r="L71" s="68">
        <v>1392786152</v>
      </c>
      <c r="M71" s="68">
        <v>979069668</v>
      </c>
      <c r="N71" s="69">
        <v>5627566426.6210537</v>
      </c>
      <c r="O71" s="65" t="str">
        <f>VLOOKUP(A71,Report_HQ1!$A$7:$C$95,3,FALSE)</f>
        <v>BV An Phú</v>
      </c>
      <c r="P71" s="40" t="str">
        <f>VLOOKUP(C71,Sheet1!$U$4:$V$14,2,FALSE)</f>
        <v>BH Xe cơ giới</v>
      </c>
      <c r="Q71" s="88">
        <f t="shared" si="0"/>
        <v>5627566426.6210537</v>
      </c>
    </row>
    <row r="72" spans="1:17" x14ac:dyDescent="0.25">
      <c r="A72" s="85" t="s">
        <v>285</v>
      </c>
      <c r="B72" s="65" t="s">
        <v>143</v>
      </c>
      <c r="C72" s="65" t="s">
        <v>394</v>
      </c>
      <c r="D72" s="66">
        <v>1647980157</v>
      </c>
      <c r="E72" s="65">
        <v>1924205000</v>
      </c>
      <c r="F72" s="67">
        <v>73153043.441478238</v>
      </c>
      <c r="G72" s="68">
        <v>0</v>
      </c>
      <c r="H72" s="68">
        <v>73153043.441478238</v>
      </c>
      <c r="I72" s="68">
        <v>2100</v>
      </c>
      <c r="J72" s="68">
        <v>288698581</v>
      </c>
      <c r="K72" s="68">
        <v>130339030</v>
      </c>
      <c r="L72" s="68">
        <v>367227960</v>
      </c>
      <c r="M72" s="68">
        <v>99834105</v>
      </c>
      <c r="N72" s="69">
        <v>959254819.44147825</v>
      </c>
      <c r="O72" s="65" t="str">
        <f>VLOOKUP(A72,Report_HQ1!$A$7:$C$95,3,FALSE)</f>
        <v>BV An Phú</v>
      </c>
      <c r="P72" s="40" t="str">
        <f>VLOOKUP(C72,Sheet1!$U$4:$V$14,2,FALSE)</f>
        <v>BH Con người</v>
      </c>
      <c r="Q72" s="88">
        <f t="shared" si="0"/>
        <v>959254819.44147825</v>
      </c>
    </row>
    <row r="73" spans="1:17" x14ac:dyDescent="0.25">
      <c r="A73" s="85" t="s">
        <v>285</v>
      </c>
      <c r="B73" s="65" t="s">
        <v>143</v>
      </c>
      <c r="C73" s="65" t="s">
        <v>395</v>
      </c>
      <c r="D73" s="66">
        <v>0</v>
      </c>
      <c r="E73" s="65">
        <v>1924205000</v>
      </c>
      <c r="F73" s="67">
        <v>0</v>
      </c>
      <c r="G73" s="68">
        <v>0</v>
      </c>
      <c r="H73" s="68">
        <v>0</v>
      </c>
      <c r="I73" s="68">
        <v>0</v>
      </c>
      <c r="J73" s="68">
        <v>0</v>
      </c>
      <c r="K73" s="68">
        <v>0</v>
      </c>
      <c r="L73" s="68">
        <v>0</v>
      </c>
      <c r="M73" s="68">
        <v>0</v>
      </c>
      <c r="N73" s="69">
        <v>0</v>
      </c>
      <c r="O73" s="65" t="str">
        <f>VLOOKUP(A73,Report_HQ1!$A$7:$C$95,3,FALSE)</f>
        <v>BV An Phú</v>
      </c>
      <c r="P73" s="40" t="e">
        <f>VLOOKUP(C73,Sheet1!$U$4:$V$14,2,FALSE)</f>
        <v>#N/A</v>
      </c>
      <c r="Q73" s="88">
        <f t="shared" si="0"/>
        <v>0</v>
      </c>
    </row>
    <row r="74" spans="1:17" x14ac:dyDescent="0.25">
      <c r="A74" s="85" t="s">
        <v>285</v>
      </c>
      <c r="B74" s="65" t="s">
        <v>143</v>
      </c>
      <c r="C74" s="65" t="s">
        <v>396</v>
      </c>
      <c r="D74" s="66">
        <v>11387486240</v>
      </c>
      <c r="E74" s="65">
        <v>1924205000</v>
      </c>
      <c r="F74" s="67">
        <v>505485015.74218631</v>
      </c>
      <c r="G74" s="68">
        <v>0</v>
      </c>
      <c r="H74" s="68">
        <v>505485015.74218631</v>
      </c>
      <c r="I74" s="68">
        <v>0</v>
      </c>
      <c r="J74" s="68">
        <v>1796953258</v>
      </c>
      <c r="K74" s="68">
        <v>277235384</v>
      </c>
      <c r="L74" s="68">
        <v>297838677</v>
      </c>
      <c r="M74" s="68">
        <v>563581501</v>
      </c>
      <c r="N74" s="69">
        <v>3441093835.7421865</v>
      </c>
      <c r="O74" s="65" t="str">
        <f>VLOOKUP(A74,Report_HQ1!$A$7:$C$95,3,FALSE)</f>
        <v>BV An Phú</v>
      </c>
      <c r="P74" s="40" t="str">
        <f>VLOOKUP(C74,Sheet1!$U$4:$V$14,2,FALSE)</f>
        <v>BH Y tế</v>
      </c>
      <c r="Q74" s="88">
        <f t="shared" si="0"/>
        <v>3441093835.7421865</v>
      </c>
    </row>
    <row r="75" spans="1:17" x14ac:dyDescent="0.25">
      <c r="A75" s="85" t="s">
        <v>285</v>
      </c>
      <c r="B75" s="65" t="s">
        <v>143</v>
      </c>
      <c r="C75" s="65" t="s">
        <v>397</v>
      </c>
      <c r="D75" s="66">
        <v>155893000</v>
      </c>
      <c r="E75" s="65">
        <v>1924205000</v>
      </c>
      <c r="F75" s="67">
        <v>6920014.9970145347</v>
      </c>
      <c r="G75" s="68">
        <v>0</v>
      </c>
      <c r="H75" s="68">
        <v>6920014.9970145347</v>
      </c>
      <c r="I75" s="68">
        <v>0</v>
      </c>
      <c r="J75" s="68">
        <v>24831000</v>
      </c>
      <c r="K75" s="68">
        <v>24831000</v>
      </c>
      <c r="L75" s="68">
        <v>9521400</v>
      </c>
      <c r="M75" s="68">
        <v>12471440</v>
      </c>
      <c r="N75" s="69">
        <v>78574854.997014537</v>
      </c>
      <c r="O75" s="65" t="str">
        <f>VLOOKUP(A75,Report_HQ1!$A$7:$C$95,3,FALSE)</f>
        <v>BV An Phú</v>
      </c>
      <c r="P75" s="40" t="str">
        <f>VLOOKUP(C75,Sheet1!$U$4:$V$14,2,FALSE)</f>
        <v>BH Du lịch</v>
      </c>
      <c r="Q75" s="88">
        <f t="shared" si="0"/>
        <v>78574854.997014537</v>
      </c>
    </row>
    <row r="76" spans="1:17" x14ac:dyDescent="0.25">
      <c r="A76" s="85" t="s">
        <v>284</v>
      </c>
      <c r="B76" s="65" t="s">
        <v>142</v>
      </c>
      <c r="C76" s="65" t="s">
        <v>387</v>
      </c>
      <c r="D76" s="66">
        <v>339388253</v>
      </c>
      <c r="E76" s="65">
        <v>1352750000</v>
      </c>
      <c r="F76" s="67">
        <v>20811560.686084777</v>
      </c>
      <c r="G76" s="68">
        <v>0</v>
      </c>
      <c r="H76" s="68">
        <v>20811560.686084777</v>
      </c>
      <c r="I76" s="68">
        <v>0</v>
      </c>
      <c r="J76" s="68">
        <v>33682699</v>
      </c>
      <c r="K76" s="68">
        <v>16841350</v>
      </c>
      <c r="L76" s="68">
        <v>13959719</v>
      </c>
      <c r="M76" s="68">
        <v>27151060</v>
      </c>
      <c r="N76" s="69">
        <v>112446388.68608478</v>
      </c>
      <c r="O76" s="65" t="str">
        <f>VLOOKUP(A76,Report_HQ1!$A$7:$C$95,3,FALSE)</f>
        <v>BV An Giang</v>
      </c>
      <c r="P76" s="40" t="str">
        <f>VLOOKUP(C76,Sheet1!$U$4:$V$14,2,FALSE)</f>
        <v>BH Hàng hóa</v>
      </c>
      <c r="Q76" s="88">
        <f t="shared" ref="Q76:Q139" si="1">N76</f>
        <v>112446388.68608478</v>
      </c>
    </row>
    <row r="77" spans="1:17" x14ac:dyDescent="0.25">
      <c r="A77" s="85" t="s">
        <v>284</v>
      </c>
      <c r="B77" s="65" t="s">
        <v>142</v>
      </c>
      <c r="C77" s="65" t="s">
        <v>272</v>
      </c>
      <c r="D77" s="66">
        <v>1234512453</v>
      </c>
      <c r="E77" s="65">
        <v>1352750000</v>
      </c>
      <c r="F77" s="67">
        <v>75701296.689655557</v>
      </c>
      <c r="G77" s="68">
        <v>0</v>
      </c>
      <c r="H77" s="68">
        <v>75701296.689655557</v>
      </c>
      <c r="I77" s="68">
        <v>1678577</v>
      </c>
      <c r="J77" s="68">
        <v>179955235</v>
      </c>
      <c r="K77" s="68">
        <v>83979110</v>
      </c>
      <c r="L77" s="68">
        <v>20003519</v>
      </c>
      <c r="M77" s="68">
        <v>98064778</v>
      </c>
      <c r="N77" s="69">
        <v>459382515.68965554</v>
      </c>
      <c r="O77" s="65" t="str">
        <f>VLOOKUP(A77,Report_HQ1!$A$7:$C$95,3,FALSE)</f>
        <v>BV An Giang</v>
      </c>
      <c r="P77" s="40" t="str">
        <f>VLOOKUP(C77,Sheet1!$U$4:$V$14,2,FALSE)</f>
        <v>Tàu khác</v>
      </c>
      <c r="Q77" s="88">
        <f t="shared" si="1"/>
        <v>459382515.68965554</v>
      </c>
    </row>
    <row r="78" spans="1:17" x14ac:dyDescent="0.25">
      <c r="A78" s="85" t="s">
        <v>284</v>
      </c>
      <c r="B78" s="65" t="s">
        <v>142</v>
      </c>
      <c r="C78" s="65" t="s">
        <v>388</v>
      </c>
      <c r="D78" s="66">
        <v>0</v>
      </c>
      <c r="E78" s="65">
        <v>1352750000</v>
      </c>
      <c r="F78" s="67">
        <v>0</v>
      </c>
      <c r="G78" s="68">
        <v>0</v>
      </c>
      <c r="H78" s="68">
        <v>0</v>
      </c>
      <c r="I78" s="68">
        <v>0</v>
      </c>
      <c r="J78" s="68">
        <v>0</v>
      </c>
      <c r="K78" s="68">
        <v>0</v>
      </c>
      <c r="L78" s="68">
        <v>0</v>
      </c>
      <c r="M78" s="68">
        <v>0</v>
      </c>
      <c r="N78" s="69">
        <v>0</v>
      </c>
      <c r="O78" s="65" t="str">
        <f>VLOOKUP(A78,Report_HQ1!$A$7:$C$95,3,FALSE)</f>
        <v>BV An Giang</v>
      </c>
      <c r="P78" s="40" t="str">
        <f>VLOOKUP(C78,Sheet1!$U$4:$V$14,2,FALSE)</f>
        <v>Hull (Thân tàu biển)</v>
      </c>
      <c r="Q78" s="88">
        <f t="shared" si="1"/>
        <v>0</v>
      </c>
    </row>
    <row r="79" spans="1:17" x14ac:dyDescent="0.25">
      <c r="A79" s="85" t="s">
        <v>284</v>
      </c>
      <c r="B79" s="65" t="s">
        <v>142</v>
      </c>
      <c r="C79" s="65" t="s">
        <v>23</v>
      </c>
      <c r="D79" s="66">
        <v>0</v>
      </c>
      <c r="E79" s="65">
        <v>1352750000</v>
      </c>
      <c r="F79" s="67">
        <v>0</v>
      </c>
      <c r="G79" s="68">
        <v>0</v>
      </c>
      <c r="H79" s="68">
        <v>0</v>
      </c>
      <c r="I79" s="68">
        <v>0</v>
      </c>
      <c r="J79" s="68">
        <v>0</v>
      </c>
      <c r="K79" s="68">
        <v>0</v>
      </c>
      <c r="L79" s="68">
        <v>0</v>
      </c>
      <c r="M79" s="68">
        <v>0</v>
      </c>
      <c r="N79" s="69">
        <v>0</v>
      </c>
      <c r="O79" s="65" t="str">
        <f>VLOOKUP(A79,Report_HQ1!$A$7:$C$95,3,FALSE)</f>
        <v>BV An Giang</v>
      </c>
      <c r="P79" s="40" t="str">
        <f>VLOOKUP(C79,Sheet1!$U$4:$V$14,2,FALSE)</f>
        <v>P&amp;I</v>
      </c>
      <c r="Q79" s="88">
        <f t="shared" si="1"/>
        <v>0</v>
      </c>
    </row>
    <row r="80" spans="1:17" x14ac:dyDescent="0.25">
      <c r="A80" s="85" t="s">
        <v>284</v>
      </c>
      <c r="B80" s="65" t="s">
        <v>142</v>
      </c>
      <c r="C80" s="65" t="s">
        <v>389</v>
      </c>
      <c r="D80" s="66">
        <v>202472252</v>
      </c>
      <c r="E80" s="65">
        <v>1352750000</v>
      </c>
      <c r="F80" s="67">
        <v>12415761.366219858</v>
      </c>
      <c r="G80" s="68">
        <v>0</v>
      </c>
      <c r="H80" s="68">
        <v>12415761.366219858</v>
      </c>
      <c r="I80" s="68">
        <v>0</v>
      </c>
      <c r="J80" s="68">
        <v>9270546</v>
      </c>
      <c r="K80" s="68">
        <v>4635272</v>
      </c>
      <c r="L80" s="68">
        <v>14709965</v>
      </c>
      <c r="M80" s="68">
        <v>14951321</v>
      </c>
      <c r="N80" s="69">
        <v>55982865.366219856</v>
      </c>
      <c r="O80" s="65" t="str">
        <f>VLOOKUP(A80,Report_HQ1!$A$7:$C$95,3,FALSE)</f>
        <v>BV An Giang</v>
      </c>
      <c r="P80" s="40" t="str">
        <f>VLOOKUP(C80,Sheet1!$U$4:$V$14,2,FALSE)</f>
        <v>BH Trách nhiệm</v>
      </c>
      <c r="Q80" s="88">
        <f t="shared" si="1"/>
        <v>55982865.366219856</v>
      </c>
    </row>
    <row r="81" spans="1:17" x14ac:dyDescent="0.25">
      <c r="A81" s="85" t="s">
        <v>284</v>
      </c>
      <c r="B81" s="65" t="s">
        <v>142</v>
      </c>
      <c r="C81" s="65" t="s">
        <v>390</v>
      </c>
      <c r="D81" s="66">
        <v>0</v>
      </c>
      <c r="E81" s="65">
        <v>1352750000</v>
      </c>
      <c r="F81" s="67">
        <v>0</v>
      </c>
      <c r="G81" s="68">
        <v>0</v>
      </c>
      <c r="H81" s="68">
        <v>0</v>
      </c>
      <c r="I81" s="68">
        <v>0</v>
      </c>
      <c r="J81" s="68">
        <v>0</v>
      </c>
      <c r="K81" s="68">
        <v>0</v>
      </c>
      <c r="L81" s="68">
        <v>0</v>
      </c>
      <c r="M81" s="68">
        <v>0</v>
      </c>
      <c r="N81" s="69">
        <v>0</v>
      </c>
      <c r="O81" s="65" t="str">
        <f>VLOOKUP(A81,Report_HQ1!$A$7:$C$95,3,FALSE)</f>
        <v>BV An Giang</v>
      </c>
      <c r="P81" s="40" t="e">
        <f>VLOOKUP(C81,Sheet1!$U$4:$V$14,2,FALSE)</f>
        <v>#N/A</v>
      </c>
      <c r="Q81" s="88">
        <f t="shared" si="1"/>
        <v>0</v>
      </c>
    </row>
    <row r="82" spans="1:17" x14ac:dyDescent="0.25">
      <c r="A82" s="85" t="s">
        <v>284</v>
      </c>
      <c r="B82" s="65" t="s">
        <v>142</v>
      </c>
      <c r="C82" s="65" t="s">
        <v>391</v>
      </c>
      <c r="D82" s="66">
        <v>926278929</v>
      </c>
      <c r="E82" s="65">
        <v>1352750000</v>
      </c>
      <c r="F82" s="67">
        <v>56800169.047468811</v>
      </c>
      <c r="G82" s="68">
        <v>0</v>
      </c>
      <c r="H82" s="68">
        <v>56800169.047468811</v>
      </c>
      <c r="I82" s="68">
        <v>0</v>
      </c>
      <c r="J82" s="68">
        <v>3051800</v>
      </c>
      <c r="K82" s="68">
        <v>1525900</v>
      </c>
      <c r="L82" s="68">
        <v>3538578</v>
      </c>
      <c r="M82" s="68">
        <v>1963838</v>
      </c>
      <c r="N82" s="69">
        <v>66880285.047468811</v>
      </c>
      <c r="O82" s="65" t="str">
        <f>VLOOKUP(A82,Report_HQ1!$A$7:$C$95,3,FALSE)</f>
        <v>BV An Giang</v>
      </c>
      <c r="P82" s="40" t="str">
        <f>VLOOKUP(C82,Sheet1!$U$4:$V$14,2,FALSE)</f>
        <v>BH Kỹ thuật</v>
      </c>
      <c r="Q82" s="88">
        <f t="shared" si="1"/>
        <v>66880285.047468811</v>
      </c>
    </row>
    <row r="83" spans="1:17" x14ac:dyDescent="0.25">
      <c r="A83" s="85" t="s">
        <v>284</v>
      </c>
      <c r="B83" s="65" t="s">
        <v>142</v>
      </c>
      <c r="C83" s="65" t="s">
        <v>392</v>
      </c>
      <c r="D83" s="66">
        <v>1073852932</v>
      </c>
      <c r="E83" s="65">
        <v>1352750000</v>
      </c>
      <c r="F83" s="67">
        <v>65849525.623528495</v>
      </c>
      <c r="G83" s="68">
        <v>0</v>
      </c>
      <c r="H83" s="68">
        <v>65849525.623528495</v>
      </c>
      <c r="I83" s="68">
        <v>0</v>
      </c>
      <c r="J83" s="68">
        <v>28440154</v>
      </c>
      <c r="K83" s="68">
        <v>14220077</v>
      </c>
      <c r="L83" s="68">
        <v>35372103</v>
      </c>
      <c r="M83" s="68">
        <v>18467069</v>
      </c>
      <c r="N83" s="69">
        <v>162348928.62352848</v>
      </c>
      <c r="O83" s="65" t="str">
        <f>VLOOKUP(A83,Report_HQ1!$A$7:$C$95,3,FALSE)</f>
        <v>BV An Giang</v>
      </c>
      <c r="P83" s="40" t="str">
        <f>VLOOKUP(C83,Sheet1!$U$4:$V$14,2,FALSE)</f>
        <v>BH Tài sản</v>
      </c>
      <c r="Q83" s="88">
        <f t="shared" si="1"/>
        <v>162348928.62352848</v>
      </c>
    </row>
    <row r="84" spans="1:17" x14ac:dyDescent="0.25">
      <c r="A84" s="85" t="s">
        <v>284</v>
      </c>
      <c r="B84" s="65" t="s">
        <v>142</v>
      </c>
      <c r="C84" s="65" t="s">
        <v>393</v>
      </c>
      <c r="D84" s="66">
        <v>7568456409</v>
      </c>
      <c r="E84" s="65">
        <v>1352750000</v>
      </c>
      <c r="F84" s="67">
        <v>464103835.24939144</v>
      </c>
      <c r="G84" s="68">
        <v>0</v>
      </c>
      <c r="H84" s="68">
        <v>464103835.24939144</v>
      </c>
      <c r="I84" s="68">
        <v>0</v>
      </c>
      <c r="J84" s="68">
        <v>697244460</v>
      </c>
      <c r="K84" s="68">
        <v>350002841</v>
      </c>
      <c r="L84" s="68">
        <v>833617627</v>
      </c>
      <c r="M84" s="68">
        <v>451672057</v>
      </c>
      <c r="N84" s="69">
        <v>2796640820.2493916</v>
      </c>
      <c r="O84" s="65" t="str">
        <f>VLOOKUP(A84,Report_HQ1!$A$7:$C$95,3,FALSE)</f>
        <v>BV An Giang</v>
      </c>
      <c r="P84" s="40" t="str">
        <f>VLOOKUP(C84,Sheet1!$U$4:$V$14,2,FALSE)</f>
        <v>BH Xe cơ giới</v>
      </c>
      <c r="Q84" s="88">
        <f t="shared" si="1"/>
        <v>2796640820.2493916</v>
      </c>
    </row>
    <row r="85" spans="1:17" x14ac:dyDescent="0.25">
      <c r="A85" s="85" t="s">
        <v>284</v>
      </c>
      <c r="B85" s="65" t="s">
        <v>142</v>
      </c>
      <c r="C85" s="65" t="s">
        <v>394</v>
      </c>
      <c r="D85" s="66">
        <v>8543170609</v>
      </c>
      <c r="E85" s="65">
        <v>1352750000</v>
      </c>
      <c r="F85" s="67">
        <v>523874094.07708454</v>
      </c>
      <c r="G85" s="68">
        <v>0</v>
      </c>
      <c r="H85" s="68">
        <v>523874094.07708454</v>
      </c>
      <c r="I85" s="68">
        <v>977250</v>
      </c>
      <c r="J85" s="68">
        <v>1509729306</v>
      </c>
      <c r="K85" s="68">
        <v>21850034</v>
      </c>
      <c r="L85" s="68">
        <v>29111852</v>
      </c>
      <c r="M85" s="68">
        <v>465265731</v>
      </c>
      <c r="N85" s="69">
        <v>2550808267.0770845</v>
      </c>
      <c r="O85" s="65" t="str">
        <f>VLOOKUP(A85,Report_HQ1!$A$7:$C$95,3,FALSE)</f>
        <v>BV An Giang</v>
      </c>
      <c r="P85" s="40" t="str">
        <f>VLOOKUP(C85,Sheet1!$U$4:$V$14,2,FALSE)</f>
        <v>BH Con người</v>
      </c>
      <c r="Q85" s="88">
        <f t="shared" si="1"/>
        <v>2550808267.0770845</v>
      </c>
    </row>
    <row r="86" spans="1:17" x14ac:dyDescent="0.25">
      <c r="A86" s="85" t="s">
        <v>284</v>
      </c>
      <c r="B86" s="65" t="s">
        <v>142</v>
      </c>
      <c r="C86" s="65" t="s">
        <v>395</v>
      </c>
      <c r="D86" s="66">
        <v>0</v>
      </c>
      <c r="E86" s="65">
        <v>1352750000</v>
      </c>
      <c r="F86" s="67">
        <v>0</v>
      </c>
      <c r="G86" s="68">
        <v>0</v>
      </c>
      <c r="H86" s="68">
        <v>0</v>
      </c>
      <c r="I86" s="68">
        <v>0</v>
      </c>
      <c r="J86" s="68">
        <v>0</v>
      </c>
      <c r="K86" s="68">
        <v>0</v>
      </c>
      <c r="L86" s="68">
        <v>0</v>
      </c>
      <c r="M86" s="68">
        <v>0</v>
      </c>
      <c r="N86" s="69">
        <v>0</v>
      </c>
      <c r="O86" s="65" t="str">
        <f>VLOOKUP(A86,Report_HQ1!$A$7:$C$95,3,FALSE)</f>
        <v>BV An Giang</v>
      </c>
      <c r="P86" s="40" t="e">
        <f>VLOOKUP(C86,Sheet1!$U$4:$V$14,2,FALSE)</f>
        <v>#N/A</v>
      </c>
      <c r="Q86" s="88">
        <f t="shared" si="1"/>
        <v>0</v>
      </c>
    </row>
    <row r="87" spans="1:17" x14ac:dyDescent="0.25">
      <c r="A87" s="85" t="s">
        <v>284</v>
      </c>
      <c r="B87" s="65" t="s">
        <v>142</v>
      </c>
      <c r="C87" s="65" t="s">
        <v>396</v>
      </c>
      <c r="D87" s="66">
        <v>2045474650</v>
      </c>
      <c r="E87" s="65">
        <v>1352750000</v>
      </c>
      <c r="F87" s="67">
        <v>125430150.96731418</v>
      </c>
      <c r="G87" s="68">
        <v>0</v>
      </c>
      <c r="H87" s="68">
        <v>125430150.96731418</v>
      </c>
      <c r="I87" s="68">
        <v>0</v>
      </c>
      <c r="J87" s="68">
        <v>391122240</v>
      </c>
      <c r="K87" s="68">
        <v>313513212</v>
      </c>
      <c r="L87" s="68">
        <v>18119614</v>
      </c>
      <c r="M87" s="68">
        <v>139655334</v>
      </c>
      <c r="N87" s="69">
        <v>987840550.96731424</v>
      </c>
      <c r="O87" s="65" t="str">
        <f>VLOOKUP(A87,Report_HQ1!$A$7:$C$95,3,FALSE)</f>
        <v>BV An Giang</v>
      </c>
      <c r="P87" s="40" t="str">
        <f>VLOOKUP(C87,Sheet1!$U$4:$V$14,2,FALSE)</f>
        <v>BH Y tế</v>
      </c>
      <c r="Q87" s="88">
        <f t="shared" si="1"/>
        <v>987840550.96731424</v>
      </c>
    </row>
    <row r="88" spans="1:17" x14ac:dyDescent="0.25">
      <c r="A88" s="85" t="s">
        <v>284</v>
      </c>
      <c r="B88" s="65" t="s">
        <v>142</v>
      </c>
      <c r="C88" s="65" t="s">
        <v>397</v>
      </c>
      <c r="D88" s="66">
        <v>126606400</v>
      </c>
      <c r="E88" s="65">
        <v>1352750000</v>
      </c>
      <c r="F88" s="67">
        <v>7763606.2932523591</v>
      </c>
      <c r="G88" s="68">
        <v>0</v>
      </c>
      <c r="H88" s="68">
        <v>7763606.2932523591</v>
      </c>
      <c r="I88" s="68">
        <v>0</v>
      </c>
      <c r="J88" s="68">
        <v>9435200</v>
      </c>
      <c r="K88" s="68">
        <v>9435200</v>
      </c>
      <c r="L88" s="68">
        <v>23829120</v>
      </c>
      <c r="M88" s="68">
        <v>10128512</v>
      </c>
      <c r="N88" s="69">
        <v>60591638.293252364</v>
      </c>
      <c r="O88" s="65" t="str">
        <f>VLOOKUP(A88,Report_HQ1!$A$7:$C$95,3,FALSE)</f>
        <v>BV An Giang</v>
      </c>
      <c r="P88" s="40" t="str">
        <f>VLOOKUP(C88,Sheet1!$U$4:$V$14,2,FALSE)</f>
        <v>BH Du lịch</v>
      </c>
      <c r="Q88" s="88">
        <f t="shared" si="1"/>
        <v>60591638.293252364</v>
      </c>
    </row>
    <row r="89" spans="1:17" x14ac:dyDescent="0.25">
      <c r="A89" s="85" t="s">
        <v>286</v>
      </c>
      <c r="B89" s="65" t="s">
        <v>144</v>
      </c>
      <c r="C89" s="65" t="s">
        <v>387</v>
      </c>
      <c r="D89" s="66">
        <v>1313789115</v>
      </c>
      <c r="E89" s="65">
        <v>841360000</v>
      </c>
      <c r="F89" s="67">
        <v>46430206.353311382</v>
      </c>
      <c r="G89" s="68">
        <v>0</v>
      </c>
      <c r="H89" s="68">
        <v>46430206.353311382</v>
      </c>
      <c r="I89" s="68">
        <v>0</v>
      </c>
      <c r="J89" s="68">
        <v>184609144</v>
      </c>
      <c r="K89" s="68">
        <v>12459223</v>
      </c>
      <c r="L89" s="68">
        <v>36582496</v>
      </c>
      <c r="M89" s="68">
        <v>105103129</v>
      </c>
      <c r="N89" s="69">
        <v>385184198.35331142</v>
      </c>
      <c r="O89" s="65" t="str">
        <f>VLOOKUP(A89,Report_HQ1!$A$7:$C$95,3,FALSE)</f>
        <v>BV Bà Rịa - Vũng Tàu</v>
      </c>
      <c r="P89" s="40" t="str">
        <f>VLOOKUP(C89,Sheet1!$U$4:$V$14,2,FALSE)</f>
        <v>BH Hàng hóa</v>
      </c>
      <c r="Q89" s="88">
        <f t="shared" si="1"/>
        <v>385184198.35331142</v>
      </c>
    </row>
    <row r="90" spans="1:17" x14ac:dyDescent="0.25">
      <c r="A90" s="85" t="s">
        <v>286</v>
      </c>
      <c r="B90" s="65" t="s">
        <v>144</v>
      </c>
      <c r="C90" s="65" t="s">
        <v>272</v>
      </c>
      <c r="D90" s="66">
        <v>88060500</v>
      </c>
      <c r="E90" s="65">
        <v>841360000</v>
      </c>
      <c r="F90" s="67">
        <v>3112118.3300226824</v>
      </c>
      <c r="G90" s="68">
        <v>0</v>
      </c>
      <c r="H90" s="68">
        <v>3112118.3300226824</v>
      </c>
      <c r="I90" s="68">
        <v>348608</v>
      </c>
      <c r="J90" s="68">
        <v>13209075</v>
      </c>
      <c r="K90" s="68">
        <v>6164235</v>
      </c>
      <c r="L90" s="68">
        <v>880605</v>
      </c>
      <c r="M90" s="68">
        <v>7044840</v>
      </c>
      <c r="N90" s="69">
        <v>30759481.330022682</v>
      </c>
      <c r="O90" s="65" t="str">
        <f>VLOOKUP(A90,Report_HQ1!$A$7:$C$95,3,FALSE)</f>
        <v>BV Bà Rịa - Vũng Tàu</v>
      </c>
      <c r="P90" s="40" t="str">
        <f>VLOOKUP(C90,Sheet1!$U$4:$V$14,2,FALSE)</f>
        <v>Tàu khác</v>
      </c>
      <c r="Q90" s="88">
        <f t="shared" si="1"/>
        <v>30759481.330022682</v>
      </c>
    </row>
    <row r="91" spans="1:17" x14ac:dyDescent="0.25">
      <c r="A91" s="85" t="s">
        <v>286</v>
      </c>
      <c r="B91" s="65" t="s">
        <v>144</v>
      </c>
      <c r="C91" s="65" t="s">
        <v>388</v>
      </c>
      <c r="D91" s="66">
        <v>882681980</v>
      </c>
      <c r="E91" s="65">
        <v>841360000</v>
      </c>
      <c r="F91" s="67">
        <v>31194585.194709484</v>
      </c>
      <c r="G91" s="68">
        <v>0</v>
      </c>
      <c r="H91" s="68">
        <v>31194585.194709484</v>
      </c>
      <c r="I91" s="68">
        <v>4413410</v>
      </c>
      <c r="J91" s="68">
        <v>44134099</v>
      </c>
      <c r="K91" s="68">
        <v>22067050</v>
      </c>
      <c r="L91" s="68">
        <v>0</v>
      </c>
      <c r="M91" s="68">
        <v>26480459</v>
      </c>
      <c r="N91" s="69">
        <v>128289603.19470948</v>
      </c>
      <c r="O91" s="65" t="str">
        <f>VLOOKUP(A91,Report_HQ1!$A$7:$C$95,3,FALSE)</f>
        <v>BV Bà Rịa - Vũng Tàu</v>
      </c>
      <c r="P91" s="40" t="str">
        <f>VLOOKUP(C91,Sheet1!$U$4:$V$14,2,FALSE)</f>
        <v>Hull (Thân tàu biển)</v>
      </c>
      <c r="Q91" s="88">
        <f t="shared" si="1"/>
        <v>128289603.19470948</v>
      </c>
    </row>
    <row r="92" spans="1:17" x14ac:dyDescent="0.25">
      <c r="A92" s="85" t="s">
        <v>286</v>
      </c>
      <c r="B92" s="65" t="s">
        <v>144</v>
      </c>
      <c r="C92" s="65" t="s">
        <v>23</v>
      </c>
      <c r="D92" s="66">
        <v>2115945559</v>
      </c>
      <c r="E92" s="65">
        <v>841360000</v>
      </c>
      <c r="F92" s="67">
        <v>74778964.001953095</v>
      </c>
      <c r="G92" s="68">
        <v>0</v>
      </c>
      <c r="H92" s="68">
        <v>74778964.001953095</v>
      </c>
      <c r="I92" s="68">
        <v>0</v>
      </c>
      <c r="J92" s="68">
        <v>105797278</v>
      </c>
      <c r="K92" s="68">
        <v>52898639</v>
      </c>
      <c r="L92" s="68">
        <v>0</v>
      </c>
      <c r="M92" s="68">
        <v>63478367</v>
      </c>
      <c r="N92" s="69">
        <v>296953248.00195313</v>
      </c>
      <c r="O92" s="65" t="str">
        <f>VLOOKUP(A92,Report_HQ1!$A$7:$C$95,3,FALSE)</f>
        <v>BV Bà Rịa - Vũng Tàu</v>
      </c>
      <c r="P92" s="40" t="str">
        <f>VLOOKUP(C92,Sheet1!$U$4:$V$14,2,FALSE)</f>
        <v>P&amp;I</v>
      </c>
      <c r="Q92" s="88">
        <f t="shared" si="1"/>
        <v>296953248.00195313</v>
      </c>
    </row>
    <row r="93" spans="1:17" x14ac:dyDescent="0.25">
      <c r="A93" s="85" t="s">
        <v>286</v>
      </c>
      <c r="B93" s="65" t="s">
        <v>144</v>
      </c>
      <c r="C93" s="65" t="s">
        <v>389</v>
      </c>
      <c r="D93" s="66">
        <v>38305416</v>
      </c>
      <c r="E93" s="65">
        <v>841360000</v>
      </c>
      <c r="F93" s="67">
        <v>1353739.6139329681</v>
      </c>
      <c r="G93" s="68">
        <v>0</v>
      </c>
      <c r="H93" s="68">
        <v>1353739.6139329681</v>
      </c>
      <c r="I93" s="68">
        <v>0</v>
      </c>
      <c r="J93" s="68">
        <v>4328012</v>
      </c>
      <c r="K93" s="68">
        <v>354450</v>
      </c>
      <c r="L93" s="68">
        <v>1304624</v>
      </c>
      <c r="M93" s="68">
        <v>3064433</v>
      </c>
      <c r="N93" s="69">
        <v>10405258.613932967</v>
      </c>
      <c r="O93" s="65" t="str">
        <f>VLOOKUP(A93,Report_HQ1!$A$7:$C$95,3,FALSE)</f>
        <v>BV Bà Rịa - Vũng Tàu</v>
      </c>
      <c r="P93" s="40" t="str">
        <f>VLOOKUP(C93,Sheet1!$U$4:$V$14,2,FALSE)</f>
        <v>BH Trách nhiệm</v>
      </c>
      <c r="Q93" s="88">
        <f t="shared" si="1"/>
        <v>10405258.613932967</v>
      </c>
    </row>
    <row r="94" spans="1:17" x14ac:dyDescent="0.25">
      <c r="A94" s="85" t="s">
        <v>286</v>
      </c>
      <c r="B94" s="65" t="s">
        <v>144</v>
      </c>
      <c r="C94" s="65" t="s">
        <v>390</v>
      </c>
      <c r="D94" s="66">
        <v>6574415502</v>
      </c>
      <c r="E94" s="65">
        <v>841360000</v>
      </c>
      <c r="F94" s="67">
        <v>232344342.7298218</v>
      </c>
      <c r="G94" s="68">
        <v>0</v>
      </c>
      <c r="H94" s="68">
        <v>232344342.7298218</v>
      </c>
      <c r="I94" s="68">
        <v>0</v>
      </c>
      <c r="J94" s="68">
        <v>0</v>
      </c>
      <c r="K94" s="68">
        <v>0</v>
      </c>
      <c r="L94" s="68">
        <v>786957536</v>
      </c>
      <c r="M94" s="68">
        <v>166332712</v>
      </c>
      <c r="N94" s="69">
        <v>1185634590.7298217</v>
      </c>
      <c r="O94" s="65" t="str">
        <f>VLOOKUP(A94,Report_HQ1!$A$7:$C$95,3,FALSE)</f>
        <v>BV Bà Rịa - Vũng Tàu</v>
      </c>
      <c r="P94" s="40" t="e">
        <f>VLOOKUP(C94,Sheet1!$U$4:$V$14,2,FALSE)</f>
        <v>#N/A</v>
      </c>
      <c r="Q94" s="88">
        <f t="shared" si="1"/>
        <v>1185634590.7298217</v>
      </c>
    </row>
    <row r="95" spans="1:17" x14ac:dyDescent="0.25">
      <c r="A95" s="85" t="s">
        <v>286</v>
      </c>
      <c r="B95" s="65" t="s">
        <v>144</v>
      </c>
      <c r="C95" s="65" t="s">
        <v>391</v>
      </c>
      <c r="D95" s="66">
        <v>730642740</v>
      </c>
      <c r="E95" s="65">
        <v>841360000</v>
      </c>
      <c r="F95" s="67">
        <v>25821414.41227334</v>
      </c>
      <c r="G95" s="68">
        <v>0</v>
      </c>
      <c r="H95" s="68">
        <v>25821414.41227334</v>
      </c>
      <c r="I95" s="68">
        <v>0</v>
      </c>
      <c r="J95" s="68">
        <v>55047027</v>
      </c>
      <c r="K95" s="68">
        <v>168688</v>
      </c>
      <c r="L95" s="68">
        <v>76772303</v>
      </c>
      <c r="M95" s="68">
        <v>43838564</v>
      </c>
      <c r="N95" s="69">
        <v>201647996.41227335</v>
      </c>
      <c r="O95" s="65" t="str">
        <f>VLOOKUP(A95,Report_HQ1!$A$7:$C$95,3,FALSE)</f>
        <v>BV Bà Rịa - Vũng Tàu</v>
      </c>
      <c r="P95" s="40" t="str">
        <f>VLOOKUP(C95,Sheet1!$U$4:$V$14,2,FALSE)</f>
        <v>BH Kỹ thuật</v>
      </c>
      <c r="Q95" s="88">
        <f t="shared" si="1"/>
        <v>201647996.41227335</v>
      </c>
    </row>
    <row r="96" spans="1:17" x14ac:dyDescent="0.25">
      <c r="A96" s="85" t="s">
        <v>286</v>
      </c>
      <c r="B96" s="65" t="s">
        <v>144</v>
      </c>
      <c r="C96" s="65" t="s">
        <v>392</v>
      </c>
      <c r="D96" s="66">
        <v>1112003155</v>
      </c>
      <c r="E96" s="65">
        <v>841360000</v>
      </c>
      <c r="F96" s="67">
        <v>39298952.444269039</v>
      </c>
      <c r="G96" s="68">
        <v>0</v>
      </c>
      <c r="H96" s="68">
        <v>39298952.444269039</v>
      </c>
      <c r="I96" s="68">
        <v>0</v>
      </c>
      <c r="J96" s="68">
        <v>149713212</v>
      </c>
      <c r="K96" s="68">
        <v>7261145</v>
      </c>
      <c r="L96" s="68">
        <v>53182226</v>
      </c>
      <c r="M96" s="68">
        <v>66720189</v>
      </c>
      <c r="N96" s="69">
        <v>316175724.44426906</v>
      </c>
      <c r="O96" s="65" t="str">
        <f>VLOOKUP(A96,Report_HQ1!$A$7:$C$95,3,FALSE)</f>
        <v>BV Bà Rịa - Vũng Tàu</v>
      </c>
      <c r="P96" s="40" t="str">
        <f>VLOOKUP(C96,Sheet1!$U$4:$V$14,2,FALSE)</f>
        <v>BH Tài sản</v>
      </c>
      <c r="Q96" s="88">
        <f t="shared" si="1"/>
        <v>316175724.44426906</v>
      </c>
    </row>
    <row r="97" spans="1:17" x14ac:dyDescent="0.25">
      <c r="A97" s="85" t="s">
        <v>286</v>
      </c>
      <c r="B97" s="65" t="s">
        <v>144</v>
      </c>
      <c r="C97" s="65" t="s">
        <v>393</v>
      </c>
      <c r="D97" s="66">
        <v>1233356071</v>
      </c>
      <c r="E97" s="65">
        <v>841360000</v>
      </c>
      <c r="F97" s="67">
        <v>43587647.537816122</v>
      </c>
      <c r="G97" s="68">
        <v>0</v>
      </c>
      <c r="H97" s="68">
        <v>43587647.537816122</v>
      </c>
      <c r="I97" s="68">
        <v>0</v>
      </c>
      <c r="J97" s="68">
        <v>108298327</v>
      </c>
      <c r="K97" s="68">
        <v>54149164</v>
      </c>
      <c r="L97" s="68">
        <v>144943834</v>
      </c>
      <c r="M97" s="68">
        <v>73136104</v>
      </c>
      <c r="N97" s="69">
        <v>424115076.53781611</v>
      </c>
      <c r="O97" s="65" t="str">
        <f>VLOOKUP(A97,Report_HQ1!$A$7:$C$95,3,FALSE)</f>
        <v>BV Bà Rịa - Vũng Tàu</v>
      </c>
      <c r="P97" s="40" t="str">
        <f>VLOOKUP(C97,Sheet1!$U$4:$V$14,2,FALSE)</f>
        <v>BH Xe cơ giới</v>
      </c>
      <c r="Q97" s="88">
        <f t="shared" si="1"/>
        <v>424115076.53781611</v>
      </c>
    </row>
    <row r="98" spans="1:17" x14ac:dyDescent="0.25">
      <c r="A98" s="85" t="s">
        <v>286</v>
      </c>
      <c r="B98" s="65" t="s">
        <v>144</v>
      </c>
      <c r="C98" s="65" t="s">
        <v>394</v>
      </c>
      <c r="D98" s="66">
        <v>1061688700</v>
      </c>
      <c r="E98" s="65">
        <v>841360000</v>
      </c>
      <c r="F98" s="67">
        <v>37520805.174260333</v>
      </c>
      <c r="G98" s="68">
        <v>0</v>
      </c>
      <c r="H98" s="68">
        <v>37520805.174260333</v>
      </c>
      <c r="I98" s="68">
        <v>141200</v>
      </c>
      <c r="J98" s="68">
        <v>211172210</v>
      </c>
      <c r="K98" s="68">
        <v>30647590</v>
      </c>
      <c r="L98" s="68">
        <v>39279719</v>
      </c>
      <c r="M98" s="68">
        <v>63887764</v>
      </c>
      <c r="N98" s="69">
        <v>382649288.17426032</v>
      </c>
      <c r="O98" s="65" t="str">
        <f>VLOOKUP(A98,Report_HQ1!$A$7:$C$95,3,FALSE)</f>
        <v>BV Bà Rịa - Vũng Tàu</v>
      </c>
      <c r="P98" s="40" t="str">
        <f>VLOOKUP(C98,Sheet1!$U$4:$V$14,2,FALSE)</f>
        <v>BH Con người</v>
      </c>
      <c r="Q98" s="88">
        <f t="shared" si="1"/>
        <v>382649288.17426032</v>
      </c>
    </row>
    <row r="99" spans="1:17" x14ac:dyDescent="0.25">
      <c r="A99" s="85" t="s">
        <v>286</v>
      </c>
      <c r="B99" s="65" t="s">
        <v>144</v>
      </c>
      <c r="C99" s="65" t="s">
        <v>395</v>
      </c>
      <c r="D99" s="66">
        <v>0</v>
      </c>
      <c r="E99" s="65">
        <v>841360000</v>
      </c>
      <c r="F99" s="67">
        <v>0</v>
      </c>
      <c r="G99" s="68">
        <v>0</v>
      </c>
      <c r="H99" s="68">
        <v>0</v>
      </c>
      <c r="I99" s="68">
        <v>0</v>
      </c>
      <c r="J99" s="68">
        <v>0</v>
      </c>
      <c r="K99" s="68">
        <v>0</v>
      </c>
      <c r="L99" s="68">
        <v>0</v>
      </c>
      <c r="M99" s="68">
        <v>0</v>
      </c>
      <c r="N99" s="69">
        <v>0</v>
      </c>
      <c r="O99" s="65" t="str">
        <f>VLOOKUP(A99,Report_HQ1!$A$7:$C$95,3,FALSE)</f>
        <v>BV Bà Rịa - Vũng Tàu</v>
      </c>
      <c r="P99" s="40" t="e">
        <f>VLOOKUP(C99,Sheet1!$U$4:$V$14,2,FALSE)</f>
        <v>#N/A</v>
      </c>
      <c r="Q99" s="88">
        <f t="shared" si="1"/>
        <v>0</v>
      </c>
    </row>
    <row r="100" spans="1:17" x14ac:dyDescent="0.25">
      <c r="A100" s="85" t="s">
        <v>286</v>
      </c>
      <c r="B100" s="65" t="s">
        <v>144</v>
      </c>
      <c r="C100" s="65" t="s">
        <v>396</v>
      </c>
      <c r="D100" s="66">
        <v>2549626220</v>
      </c>
      <c r="E100" s="65">
        <v>841360000</v>
      </c>
      <c r="F100" s="67">
        <v>90105535.330465347</v>
      </c>
      <c r="G100" s="68">
        <v>0</v>
      </c>
      <c r="H100" s="68">
        <v>90105535.330465347</v>
      </c>
      <c r="I100" s="68">
        <v>0</v>
      </c>
      <c r="J100" s="68">
        <v>462155662</v>
      </c>
      <c r="K100" s="68">
        <v>108280889</v>
      </c>
      <c r="L100" s="68">
        <v>7567860</v>
      </c>
      <c r="M100" s="68">
        <v>159384992</v>
      </c>
      <c r="N100" s="69">
        <v>827494938.33046532</v>
      </c>
      <c r="O100" s="65" t="str">
        <f>VLOOKUP(A100,Report_HQ1!$A$7:$C$95,3,FALSE)</f>
        <v>BV Bà Rịa - Vũng Tàu</v>
      </c>
      <c r="P100" s="40" t="str">
        <f>VLOOKUP(C100,Sheet1!$U$4:$V$14,2,FALSE)</f>
        <v>BH Y tế</v>
      </c>
      <c r="Q100" s="88">
        <f t="shared" si="1"/>
        <v>827494938.33046532</v>
      </c>
    </row>
    <row r="101" spans="1:17" x14ac:dyDescent="0.25">
      <c r="A101" s="85" t="s">
        <v>286</v>
      </c>
      <c r="B101" s="65" t="s">
        <v>144</v>
      </c>
      <c r="C101" s="65" t="s">
        <v>397</v>
      </c>
      <c r="D101" s="66">
        <v>6106607530</v>
      </c>
      <c r="E101" s="65">
        <v>841360000</v>
      </c>
      <c r="F101" s="67">
        <v>215811688.87716439</v>
      </c>
      <c r="G101" s="68">
        <v>0</v>
      </c>
      <c r="H101" s="68">
        <v>215811688.87716439</v>
      </c>
      <c r="I101" s="68">
        <v>0</v>
      </c>
      <c r="J101" s="68">
        <v>5933260</v>
      </c>
      <c r="K101" s="68">
        <v>5933260</v>
      </c>
      <c r="L101" s="68">
        <v>0</v>
      </c>
      <c r="M101" s="68">
        <v>2373304</v>
      </c>
      <c r="N101" s="69">
        <v>230051512.87716439</v>
      </c>
      <c r="O101" s="65" t="str">
        <f>VLOOKUP(A101,Report_HQ1!$A$7:$C$95,3,FALSE)</f>
        <v>BV Bà Rịa - Vũng Tàu</v>
      </c>
      <c r="P101" s="40" t="str">
        <f>VLOOKUP(C101,Sheet1!$U$4:$V$14,2,FALSE)</f>
        <v>BH Du lịch</v>
      </c>
      <c r="Q101" s="88">
        <f t="shared" si="1"/>
        <v>230051512.87716439</v>
      </c>
    </row>
    <row r="102" spans="1:17" x14ac:dyDescent="0.25">
      <c r="A102" s="85" t="s">
        <v>287</v>
      </c>
      <c r="B102" s="65" t="s">
        <v>411</v>
      </c>
      <c r="C102" s="65" t="s">
        <v>387</v>
      </c>
      <c r="D102" s="66">
        <v>0</v>
      </c>
      <c r="E102" s="65">
        <v>195250000</v>
      </c>
      <c r="F102" s="67">
        <v>0</v>
      </c>
      <c r="G102" s="68">
        <v>0</v>
      </c>
      <c r="H102" s="68">
        <v>0</v>
      </c>
      <c r="I102" s="68">
        <v>0</v>
      </c>
      <c r="J102" s="68">
        <v>0</v>
      </c>
      <c r="K102" s="68">
        <v>0</v>
      </c>
      <c r="L102" s="68">
        <v>0</v>
      </c>
      <c r="M102" s="68">
        <v>0</v>
      </c>
      <c r="N102" s="69">
        <v>0</v>
      </c>
      <c r="O102" s="65" t="str">
        <f>VLOOKUP(A102,Report_HQ1!$A$7:$C$95,3,FALSE)</f>
        <v>BV Bắc Cạn</v>
      </c>
      <c r="P102" s="40" t="str">
        <f>VLOOKUP(C102,Sheet1!$U$4:$V$14,2,FALSE)</f>
        <v>BH Hàng hóa</v>
      </c>
      <c r="Q102" s="88">
        <f t="shared" si="1"/>
        <v>0</v>
      </c>
    </row>
    <row r="103" spans="1:17" x14ac:dyDescent="0.25">
      <c r="A103" s="85" t="s">
        <v>287</v>
      </c>
      <c r="B103" s="65" t="s">
        <v>411</v>
      </c>
      <c r="C103" s="65" t="s">
        <v>272</v>
      </c>
      <c r="D103" s="66">
        <v>0</v>
      </c>
      <c r="E103" s="65">
        <v>195250000</v>
      </c>
      <c r="F103" s="67">
        <v>0</v>
      </c>
      <c r="G103" s="68">
        <v>0</v>
      </c>
      <c r="H103" s="68">
        <v>0</v>
      </c>
      <c r="I103" s="68">
        <v>0</v>
      </c>
      <c r="J103" s="68">
        <v>0</v>
      </c>
      <c r="K103" s="68">
        <v>0</v>
      </c>
      <c r="L103" s="68">
        <v>0</v>
      </c>
      <c r="M103" s="68">
        <v>0</v>
      </c>
      <c r="N103" s="69">
        <v>0</v>
      </c>
      <c r="O103" s="65" t="str">
        <f>VLOOKUP(A103,Report_HQ1!$A$7:$C$95,3,FALSE)</f>
        <v>BV Bắc Cạn</v>
      </c>
      <c r="P103" s="40" t="str">
        <f>VLOOKUP(C103,Sheet1!$U$4:$V$14,2,FALSE)</f>
        <v>Tàu khác</v>
      </c>
      <c r="Q103" s="88">
        <f t="shared" si="1"/>
        <v>0</v>
      </c>
    </row>
    <row r="104" spans="1:17" x14ac:dyDescent="0.25">
      <c r="A104" s="85" t="s">
        <v>287</v>
      </c>
      <c r="B104" s="65" t="s">
        <v>411</v>
      </c>
      <c r="C104" s="65" t="s">
        <v>388</v>
      </c>
      <c r="D104" s="66">
        <v>0</v>
      </c>
      <c r="E104" s="65">
        <v>195250000</v>
      </c>
      <c r="F104" s="67">
        <v>0</v>
      </c>
      <c r="G104" s="68">
        <v>0</v>
      </c>
      <c r="H104" s="68">
        <v>0</v>
      </c>
      <c r="I104" s="68">
        <v>0</v>
      </c>
      <c r="J104" s="68">
        <v>0</v>
      </c>
      <c r="K104" s="68">
        <v>0</v>
      </c>
      <c r="L104" s="68">
        <v>0</v>
      </c>
      <c r="M104" s="68">
        <v>0</v>
      </c>
      <c r="N104" s="69">
        <v>0</v>
      </c>
      <c r="O104" s="65" t="str">
        <f>VLOOKUP(A104,Report_HQ1!$A$7:$C$95,3,FALSE)</f>
        <v>BV Bắc Cạn</v>
      </c>
      <c r="P104" s="40" t="str">
        <f>VLOOKUP(C104,Sheet1!$U$4:$V$14,2,FALSE)</f>
        <v>Hull (Thân tàu biển)</v>
      </c>
      <c r="Q104" s="88">
        <f t="shared" si="1"/>
        <v>0</v>
      </c>
    </row>
    <row r="105" spans="1:17" x14ac:dyDescent="0.25">
      <c r="A105" s="85" t="s">
        <v>287</v>
      </c>
      <c r="B105" s="65" t="s">
        <v>411</v>
      </c>
      <c r="C105" s="65" t="s">
        <v>23</v>
      </c>
      <c r="D105" s="66">
        <v>0</v>
      </c>
      <c r="E105" s="65">
        <v>195250000</v>
      </c>
      <c r="F105" s="67">
        <v>0</v>
      </c>
      <c r="G105" s="68">
        <v>0</v>
      </c>
      <c r="H105" s="68">
        <v>0</v>
      </c>
      <c r="I105" s="68">
        <v>0</v>
      </c>
      <c r="J105" s="68">
        <v>0</v>
      </c>
      <c r="K105" s="68">
        <v>0</v>
      </c>
      <c r="L105" s="68">
        <v>0</v>
      </c>
      <c r="M105" s="68">
        <v>0</v>
      </c>
      <c r="N105" s="69">
        <v>0</v>
      </c>
      <c r="O105" s="65" t="str">
        <f>VLOOKUP(A105,Report_HQ1!$A$7:$C$95,3,FALSE)</f>
        <v>BV Bắc Cạn</v>
      </c>
      <c r="P105" s="40" t="str">
        <f>VLOOKUP(C105,Sheet1!$U$4:$V$14,2,FALSE)</f>
        <v>P&amp;I</v>
      </c>
      <c r="Q105" s="88">
        <f t="shared" si="1"/>
        <v>0</v>
      </c>
    </row>
    <row r="106" spans="1:17" x14ac:dyDescent="0.25">
      <c r="A106" s="85" t="s">
        <v>287</v>
      </c>
      <c r="B106" s="65" t="s">
        <v>411</v>
      </c>
      <c r="C106" s="65" t="s">
        <v>389</v>
      </c>
      <c r="D106" s="66">
        <v>0</v>
      </c>
      <c r="E106" s="65">
        <v>195250000</v>
      </c>
      <c r="F106" s="67">
        <v>0</v>
      </c>
      <c r="G106" s="68">
        <v>0</v>
      </c>
      <c r="H106" s="68">
        <v>0</v>
      </c>
      <c r="I106" s="68">
        <v>0</v>
      </c>
      <c r="J106" s="68">
        <v>0</v>
      </c>
      <c r="K106" s="68">
        <v>0</v>
      </c>
      <c r="L106" s="68">
        <v>0</v>
      </c>
      <c r="M106" s="68">
        <v>0</v>
      </c>
      <c r="N106" s="69">
        <v>0</v>
      </c>
      <c r="O106" s="65" t="str">
        <f>VLOOKUP(A106,Report_HQ1!$A$7:$C$95,3,FALSE)</f>
        <v>BV Bắc Cạn</v>
      </c>
      <c r="P106" s="40" t="str">
        <f>VLOOKUP(C106,Sheet1!$U$4:$V$14,2,FALSE)</f>
        <v>BH Trách nhiệm</v>
      </c>
      <c r="Q106" s="88">
        <f t="shared" si="1"/>
        <v>0</v>
      </c>
    </row>
    <row r="107" spans="1:17" x14ac:dyDescent="0.25">
      <c r="A107" s="85" t="s">
        <v>287</v>
      </c>
      <c r="B107" s="65" t="s">
        <v>411</v>
      </c>
      <c r="C107" s="65" t="s">
        <v>390</v>
      </c>
      <c r="D107" s="66">
        <v>0</v>
      </c>
      <c r="E107" s="65">
        <v>195250000</v>
      </c>
      <c r="F107" s="67">
        <v>0</v>
      </c>
      <c r="G107" s="68">
        <v>0</v>
      </c>
      <c r="H107" s="68">
        <v>0</v>
      </c>
      <c r="I107" s="68">
        <v>0</v>
      </c>
      <c r="J107" s="68">
        <v>0</v>
      </c>
      <c r="K107" s="68">
        <v>0</v>
      </c>
      <c r="L107" s="68">
        <v>0</v>
      </c>
      <c r="M107" s="68">
        <v>0</v>
      </c>
      <c r="N107" s="69">
        <v>0</v>
      </c>
      <c r="O107" s="65" t="str">
        <f>VLOOKUP(A107,Report_HQ1!$A$7:$C$95,3,FALSE)</f>
        <v>BV Bắc Cạn</v>
      </c>
      <c r="P107" s="40" t="e">
        <f>VLOOKUP(C107,Sheet1!$U$4:$V$14,2,FALSE)</f>
        <v>#N/A</v>
      </c>
      <c r="Q107" s="88">
        <f t="shared" si="1"/>
        <v>0</v>
      </c>
    </row>
    <row r="108" spans="1:17" x14ac:dyDescent="0.25">
      <c r="A108" s="85" t="s">
        <v>287</v>
      </c>
      <c r="B108" s="65" t="s">
        <v>411</v>
      </c>
      <c r="C108" s="65" t="s">
        <v>391</v>
      </c>
      <c r="D108" s="66">
        <v>118890000</v>
      </c>
      <c r="E108" s="65">
        <v>195250000</v>
      </c>
      <c r="F108" s="67">
        <v>14151677.031466216</v>
      </c>
      <c r="G108" s="68">
        <v>0</v>
      </c>
      <c r="H108" s="68">
        <v>14151677.031466216</v>
      </c>
      <c r="I108" s="68">
        <v>0</v>
      </c>
      <c r="J108" s="68">
        <v>0</v>
      </c>
      <c r="K108" s="68">
        <v>0</v>
      </c>
      <c r="L108" s="68">
        <v>0</v>
      </c>
      <c r="M108" s="68">
        <v>0</v>
      </c>
      <c r="N108" s="69">
        <v>14151677.031466216</v>
      </c>
      <c r="O108" s="65" t="str">
        <f>VLOOKUP(A108,Report_HQ1!$A$7:$C$95,3,FALSE)</f>
        <v>BV Bắc Cạn</v>
      </c>
      <c r="P108" s="40" t="str">
        <f>VLOOKUP(C108,Sheet1!$U$4:$V$14,2,FALSE)</f>
        <v>BH Kỹ thuật</v>
      </c>
      <c r="Q108" s="88">
        <f t="shared" si="1"/>
        <v>14151677.031466216</v>
      </c>
    </row>
    <row r="109" spans="1:17" x14ac:dyDescent="0.25">
      <c r="A109" s="85" t="s">
        <v>287</v>
      </c>
      <c r="B109" s="65" t="s">
        <v>411</v>
      </c>
      <c r="C109" s="65" t="s">
        <v>392</v>
      </c>
      <c r="D109" s="66">
        <v>93765249</v>
      </c>
      <c r="E109" s="65">
        <v>195250000</v>
      </c>
      <c r="F109" s="67">
        <v>11161035.584346965</v>
      </c>
      <c r="G109" s="68">
        <v>0</v>
      </c>
      <c r="H109" s="68">
        <v>11161035.584346965</v>
      </c>
      <c r="I109" s="68">
        <v>0</v>
      </c>
      <c r="J109" s="68">
        <v>1894205</v>
      </c>
      <c r="K109" s="68">
        <v>947101</v>
      </c>
      <c r="L109" s="68">
        <v>4826132</v>
      </c>
      <c r="M109" s="68">
        <v>2118149</v>
      </c>
      <c r="N109" s="69">
        <v>20946622.584346965</v>
      </c>
      <c r="O109" s="65" t="str">
        <f>VLOOKUP(A109,Report_HQ1!$A$7:$C$95,3,FALSE)</f>
        <v>BV Bắc Cạn</v>
      </c>
      <c r="P109" s="40" t="str">
        <f>VLOOKUP(C109,Sheet1!$U$4:$V$14,2,FALSE)</f>
        <v>BH Tài sản</v>
      </c>
      <c r="Q109" s="88">
        <f t="shared" si="1"/>
        <v>20946622.584346965</v>
      </c>
    </row>
    <row r="110" spans="1:17" x14ac:dyDescent="0.25">
      <c r="A110" s="85" t="s">
        <v>287</v>
      </c>
      <c r="B110" s="65" t="s">
        <v>411</v>
      </c>
      <c r="C110" s="65" t="s">
        <v>393</v>
      </c>
      <c r="D110" s="66">
        <v>873332401</v>
      </c>
      <c r="E110" s="65">
        <v>195250000</v>
      </c>
      <c r="F110" s="67">
        <v>103954227.26946709</v>
      </c>
      <c r="G110" s="68">
        <v>0</v>
      </c>
      <c r="H110" s="68">
        <v>103954227.26946709</v>
      </c>
      <c r="I110" s="68">
        <v>0</v>
      </c>
      <c r="J110" s="68">
        <v>87098366</v>
      </c>
      <c r="K110" s="68">
        <v>44533375</v>
      </c>
      <c r="L110" s="68">
        <v>80529921</v>
      </c>
      <c r="M110" s="68">
        <v>52240614</v>
      </c>
      <c r="N110" s="69">
        <v>368356503.26946712</v>
      </c>
      <c r="O110" s="65" t="str">
        <f>VLOOKUP(A110,Report_HQ1!$A$7:$C$95,3,FALSE)</f>
        <v>BV Bắc Cạn</v>
      </c>
      <c r="P110" s="40" t="str">
        <f>VLOOKUP(C110,Sheet1!$U$4:$V$14,2,FALSE)</f>
        <v>BH Xe cơ giới</v>
      </c>
      <c r="Q110" s="88">
        <f t="shared" si="1"/>
        <v>368356503.26946712</v>
      </c>
    </row>
    <row r="111" spans="1:17" x14ac:dyDescent="0.25">
      <c r="A111" s="85" t="s">
        <v>287</v>
      </c>
      <c r="B111" s="65" t="s">
        <v>411</v>
      </c>
      <c r="C111" s="65" t="s">
        <v>394</v>
      </c>
      <c r="D111" s="66">
        <v>453262400</v>
      </c>
      <c r="E111" s="65">
        <v>195250000</v>
      </c>
      <c r="F111" s="67">
        <v>53952587.226068243</v>
      </c>
      <c r="G111" s="68">
        <v>0</v>
      </c>
      <c r="H111" s="68">
        <v>53952587.226068243</v>
      </c>
      <c r="I111" s="68">
        <v>0</v>
      </c>
      <c r="J111" s="68">
        <v>63624098</v>
      </c>
      <c r="K111" s="68">
        <v>133000</v>
      </c>
      <c r="L111" s="68">
        <v>18304304</v>
      </c>
      <c r="M111" s="68">
        <v>21402216</v>
      </c>
      <c r="N111" s="69">
        <v>157416205.22606826</v>
      </c>
      <c r="O111" s="65" t="str">
        <f>VLOOKUP(A111,Report_HQ1!$A$7:$C$95,3,FALSE)</f>
        <v>BV Bắc Cạn</v>
      </c>
      <c r="P111" s="40" t="str">
        <f>VLOOKUP(C111,Sheet1!$U$4:$V$14,2,FALSE)</f>
        <v>BH Con người</v>
      </c>
      <c r="Q111" s="88">
        <f t="shared" si="1"/>
        <v>157416205.22606826</v>
      </c>
    </row>
    <row r="112" spans="1:17" x14ac:dyDescent="0.25">
      <c r="A112" s="85" t="s">
        <v>287</v>
      </c>
      <c r="B112" s="65" t="s">
        <v>411</v>
      </c>
      <c r="C112" s="65" t="s">
        <v>395</v>
      </c>
      <c r="D112" s="66">
        <v>0</v>
      </c>
      <c r="E112" s="65">
        <v>195250000</v>
      </c>
      <c r="F112" s="67">
        <v>0</v>
      </c>
      <c r="G112" s="68">
        <v>0</v>
      </c>
      <c r="H112" s="68">
        <v>0</v>
      </c>
      <c r="I112" s="68">
        <v>0</v>
      </c>
      <c r="J112" s="68">
        <v>0</v>
      </c>
      <c r="K112" s="68">
        <v>0</v>
      </c>
      <c r="L112" s="68">
        <v>0</v>
      </c>
      <c r="M112" s="68">
        <v>0</v>
      </c>
      <c r="N112" s="69">
        <v>0</v>
      </c>
      <c r="O112" s="65" t="str">
        <f>VLOOKUP(A112,Report_HQ1!$A$7:$C$95,3,FALSE)</f>
        <v>BV Bắc Cạn</v>
      </c>
      <c r="P112" s="40" t="e">
        <f>VLOOKUP(C112,Sheet1!$U$4:$V$14,2,FALSE)</f>
        <v>#N/A</v>
      </c>
      <c r="Q112" s="88">
        <f t="shared" si="1"/>
        <v>0</v>
      </c>
    </row>
    <row r="113" spans="1:17" x14ac:dyDescent="0.25">
      <c r="A113" s="85" t="s">
        <v>287</v>
      </c>
      <c r="B113" s="65" t="s">
        <v>411</v>
      </c>
      <c r="C113" s="65" t="s">
        <v>396</v>
      </c>
      <c r="D113" s="66">
        <v>52534000</v>
      </c>
      <c r="E113" s="65">
        <v>195250000</v>
      </c>
      <c r="F113" s="67">
        <v>6253210.5405925326</v>
      </c>
      <c r="G113" s="68">
        <v>0</v>
      </c>
      <c r="H113" s="68">
        <v>6253210.5405925326</v>
      </c>
      <c r="I113" s="68">
        <v>0</v>
      </c>
      <c r="J113" s="68">
        <v>10506800</v>
      </c>
      <c r="K113" s="68">
        <v>2832740</v>
      </c>
      <c r="L113" s="68">
        <v>-72899</v>
      </c>
      <c r="M113" s="68">
        <v>3622080</v>
      </c>
      <c r="N113" s="69">
        <v>23141931.540592533</v>
      </c>
      <c r="O113" s="65" t="str">
        <f>VLOOKUP(A113,Report_HQ1!$A$7:$C$95,3,FALSE)</f>
        <v>BV Bắc Cạn</v>
      </c>
      <c r="P113" s="40" t="str">
        <f>VLOOKUP(C113,Sheet1!$U$4:$V$14,2,FALSE)</f>
        <v>BH Y tế</v>
      </c>
      <c r="Q113" s="88">
        <f t="shared" si="1"/>
        <v>23141931.540592533</v>
      </c>
    </row>
    <row r="114" spans="1:17" x14ac:dyDescent="0.25">
      <c r="A114" s="85" t="s">
        <v>287</v>
      </c>
      <c r="B114" s="65" t="s">
        <v>411</v>
      </c>
      <c r="C114" s="65" t="s">
        <v>397</v>
      </c>
      <c r="D114" s="66">
        <v>48535500</v>
      </c>
      <c r="E114" s="65">
        <v>195250000</v>
      </c>
      <c r="F114" s="67">
        <v>5777262.3480589502</v>
      </c>
      <c r="G114" s="68">
        <v>0</v>
      </c>
      <c r="H114" s="68">
        <v>5777262.3480589502</v>
      </c>
      <c r="I114" s="68">
        <v>0</v>
      </c>
      <c r="J114" s="68">
        <v>9707100</v>
      </c>
      <c r="K114" s="68">
        <v>9707100</v>
      </c>
      <c r="L114" s="68">
        <v>0</v>
      </c>
      <c r="M114" s="68">
        <v>3882840</v>
      </c>
      <c r="N114" s="69">
        <v>29074302.34805895</v>
      </c>
      <c r="O114" s="65" t="str">
        <f>VLOOKUP(A114,Report_HQ1!$A$7:$C$95,3,FALSE)</f>
        <v>BV Bắc Cạn</v>
      </c>
      <c r="P114" s="40" t="str">
        <f>VLOOKUP(C114,Sheet1!$U$4:$V$14,2,FALSE)</f>
        <v>BH Du lịch</v>
      </c>
      <c r="Q114" s="88">
        <f t="shared" si="1"/>
        <v>29074302.34805895</v>
      </c>
    </row>
    <row r="115" spans="1:17" x14ac:dyDescent="0.25">
      <c r="A115" s="85" t="s">
        <v>288</v>
      </c>
      <c r="B115" s="65" t="s">
        <v>146</v>
      </c>
      <c r="C115" s="65" t="s">
        <v>387</v>
      </c>
      <c r="D115" s="66">
        <v>1128871201</v>
      </c>
      <c r="E115" s="65">
        <v>1329883086</v>
      </c>
      <c r="F115" s="67">
        <v>82788096.238917246</v>
      </c>
      <c r="G115" s="68">
        <v>0</v>
      </c>
      <c r="H115" s="68">
        <v>82788096.238917246</v>
      </c>
      <c r="I115" s="68">
        <v>0</v>
      </c>
      <c r="J115" s="68">
        <v>9099752</v>
      </c>
      <c r="K115" s="68">
        <v>4549876</v>
      </c>
      <c r="L115" s="68">
        <v>200835900</v>
      </c>
      <c r="M115" s="68">
        <v>90309696</v>
      </c>
      <c r="N115" s="69">
        <v>387583320.23891723</v>
      </c>
      <c r="O115" s="65" t="str">
        <f>VLOOKUP(A115,Report_HQ1!$A$7:$C$95,3,FALSE)</f>
        <v>BV Bắc Giang</v>
      </c>
      <c r="P115" s="40" t="str">
        <f>VLOOKUP(C115,Sheet1!$U$4:$V$14,2,FALSE)</f>
        <v>BH Hàng hóa</v>
      </c>
      <c r="Q115" s="88">
        <f t="shared" si="1"/>
        <v>387583320.23891723</v>
      </c>
    </row>
    <row r="116" spans="1:17" x14ac:dyDescent="0.25">
      <c r="A116" s="85" t="s">
        <v>288</v>
      </c>
      <c r="B116" s="65" t="s">
        <v>146</v>
      </c>
      <c r="C116" s="65" t="s">
        <v>272</v>
      </c>
      <c r="D116" s="66">
        <v>0</v>
      </c>
      <c r="E116" s="65">
        <v>1329883086</v>
      </c>
      <c r="F116" s="67">
        <v>0</v>
      </c>
      <c r="G116" s="68">
        <v>0</v>
      </c>
      <c r="H116" s="68">
        <v>0</v>
      </c>
      <c r="I116" s="68">
        <v>0</v>
      </c>
      <c r="J116" s="68">
        <v>0</v>
      </c>
      <c r="K116" s="68">
        <v>0</v>
      </c>
      <c r="L116" s="68">
        <v>0</v>
      </c>
      <c r="M116" s="68">
        <v>0</v>
      </c>
      <c r="N116" s="69">
        <v>0</v>
      </c>
      <c r="O116" s="65" t="str">
        <f>VLOOKUP(A116,Report_HQ1!$A$7:$C$95,3,FALSE)</f>
        <v>BV Bắc Giang</v>
      </c>
      <c r="P116" s="40" t="str">
        <f>VLOOKUP(C116,Sheet1!$U$4:$V$14,2,FALSE)</f>
        <v>Tàu khác</v>
      </c>
      <c r="Q116" s="88">
        <f t="shared" si="1"/>
        <v>0</v>
      </c>
    </row>
    <row r="117" spans="1:17" x14ac:dyDescent="0.25">
      <c r="A117" s="85" t="s">
        <v>288</v>
      </c>
      <c r="B117" s="65" t="s">
        <v>146</v>
      </c>
      <c r="C117" s="65" t="s">
        <v>388</v>
      </c>
      <c r="D117" s="66">
        <v>0</v>
      </c>
      <c r="E117" s="65">
        <v>1329883086</v>
      </c>
      <c r="F117" s="67">
        <v>0</v>
      </c>
      <c r="G117" s="68">
        <v>0</v>
      </c>
      <c r="H117" s="68">
        <v>0</v>
      </c>
      <c r="I117" s="68">
        <v>0</v>
      </c>
      <c r="J117" s="68">
        <v>0</v>
      </c>
      <c r="K117" s="68">
        <v>0</v>
      </c>
      <c r="L117" s="68">
        <v>0</v>
      </c>
      <c r="M117" s="68">
        <v>0</v>
      </c>
      <c r="N117" s="69">
        <v>0</v>
      </c>
      <c r="O117" s="65" t="str">
        <f>VLOOKUP(A117,Report_HQ1!$A$7:$C$95,3,FALSE)</f>
        <v>BV Bắc Giang</v>
      </c>
      <c r="P117" s="40" t="str">
        <f>VLOOKUP(C117,Sheet1!$U$4:$V$14,2,FALSE)</f>
        <v>Hull (Thân tàu biển)</v>
      </c>
      <c r="Q117" s="88">
        <f t="shared" si="1"/>
        <v>0</v>
      </c>
    </row>
    <row r="118" spans="1:17" x14ac:dyDescent="0.25">
      <c r="A118" s="85" t="s">
        <v>288</v>
      </c>
      <c r="B118" s="65" t="s">
        <v>146</v>
      </c>
      <c r="C118" s="65" t="s">
        <v>23</v>
      </c>
      <c r="D118" s="66">
        <v>0</v>
      </c>
      <c r="E118" s="65">
        <v>1329883086</v>
      </c>
      <c r="F118" s="67">
        <v>0</v>
      </c>
      <c r="G118" s="68">
        <v>0</v>
      </c>
      <c r="H118" s="68">
        <v>0</v>
      </c>
      <c r="I118" s="68">
        <v>0</v>
      </c>
      <c r="J118" s="68">
        <v>0</v>
      </c>
      <c r="K118" s="68">
        <v>0</v>
      </c>
      <c r="L118" s="68">
        <v>0</v>
      </c>
      <c r="M118" s="68">
        <v>0</v>
      </c>
      <c r="N118" s="69">
        <v>0</v>
      </c>
      <c r="O118" s="65" t="str">
        <f>VLOOKUP(A118,Report_HQ1!$A$7:$C$95,3,FALSE)</f>
        <v>BV Bắc Giang</v>
      </c>
      <c r="P118" s="40" t="str">
        <f>VLOOKUP(C118,Sheet1!$U$4:$V$14,2,FALSE)</f>
        <v>P&amp;I</v>
      </c>
      <c r="Q118" s="88">
        <f t="shared" si="1"/>
        <v>0</v>
      </c>
    </row>
    <row r="119" spans="1:17" x14ac:dyDescent="0.25">
      <c r="A119" s="85" t="s">
        <v>288</v>
      </c>
      <c r="B119" s="65" t="s">
        <v>146</v>
      </c>
      <c r="C119" s="65" t="s">
        <v>389</v>
      </c>
      <c r="D119" s="66">
        <v>0</v>
      </c>
      <c r="E119" s="65">
        <v>1329883086</v>
      </c>
      <c r="F119" s="67">
        <v>0</v>
      </c>
      <c r="G119" s="68">
        <v>0</v>
      </c>
      <c r="H119" s="68">
        <v>0</v>
      </c>
      <c r="I119" s="68">
        <v>0</v>
      </c>
      <c r="J119" s="68">
        <v>0</v>
      </c>
      <c r="K119" s="68">
        <v>0</v>
      </c>
      <c r="L119" s="68">
        <v>0</v>
      </c>
      <c r="M119" s="68">
        <v>0</v>
      </c>
      <c r="N119" s="69">
        <v>0</v>
      </c>
      <c r="O119" s="65" t="str">
        <f>VLOOKUP(A119,Report_HQ1!$A$7:$C$95,3,FALSE)</f>
        <v>BV Bắc Giang</v>
      </c>
      <c r="P119" s="40" t="str">
        <f>VLOOKUP(C119,Sheet1!$U$4:$V$14,2,FALSE)</f>
        <v>BH Trách nhiệm</v>
      </c>
      <c r="Q119" s="88">
        <f t="shared" si="1"/>
        <v>0</v>
      </c>
    </row>
    <row r="120" spans="1:17" x14ac:dyDescent="0.25">
      <c r="A120" s="85" t="s">
        <v>288</v>
      </c>
      <c r="B120" s="65" t="s">
        <v>146</v>
      </c>
      <c r="C120" s="65" t="s">
        <v>390</v>
      </c>
      <c r="D120" s="66">
        <v>0</v>
      </c>
      <c r="E120" s="65">
        <v>1329883086</v>
      </c>
      <c r="F120" s="67">
        <v>0</v>
      </c>
      <c r="G120" s="68">
        <v>0</v>
      </c>
      <c r="H120" s="68">
        <v>0</v>
      </c>
      <c r="I120" s="68">
        <v>0</v>
      </c>
      <c r="J120" s="68">
        <v>0</v>
      </c>
      <c r="K120" s="68">
        <v>0</v>
      </c>
      <c r="L120" s="68">
        <v>0</v>
      </c>
      <c r="M120" s="68">
        <v>0</v>
      </c>
      <c r="N120" s="69">
        <v>0</v>
      </c>
      <c r="O120" s="65" t="str">
        <f>VLOOKUP(A120,Report_HQ1!$A$7:$C$95,3,FALSE)</f>
        <v>BV Bắc Giang</v>
      </c>
      <c r="P120" s="40" t="e">
        <f>VLOOKUP(C120,Sheet1!$U$4:$V$14,2,FALSE)</f>
        <v>#N/A</v>
      </c>
      <c r="Q120" s="88">
        <f t="shared" si="1"/>
        <v>0</v>
      </c>
    </row>
    <row r="121" spans="1:17" x14ac:dyDescent="0.25">
      <c r="A121" s="85" t="s">
        <v>288</v>
      </c>
      <c r="B121" s="65" t="s">
        <v>146</v>
      </c>
      <c r="C121" s="65" t="s">
        <v>391</v>
      </c>
      <c r="D121" s="66">
        <v>500505452</v>
      </c>
      <c r="E121" s="65">
        <v>1329883086</v>
      </c>
      <c r="F121" s="67">
        <v>36705598.912943467</v>
      </c>
      <c r="G121" s="68">
        <v>0</v>
      </c>
      <c r="H121" s="68">
        <v>36705598.912943467</v>
      </c>
      <c r="I121" s="68">
        <v>0</v>
      </c>
      <c r="J121" s="68">
        <v>37210348</v>
      </c>
      <c r="K121" s="68">
        <v>18605174</v>
      </c>
      <c r="L121" s="68">
        <v>61179222</v>
      </c>
      <c r="M121" s="68">
        <v>29895327</v>
      </c>
      <c r="N121" s="69">
        <v>183595669.91294348</v>
      </c>
      <c r="O121" s="65" t="str">
        <f>VLOOKUP(A121,Report_HQ1!$A$7:$C$95,3,FALSE)</f>
        <v>BV Bắc Giang</v>
      </c>
      <c r="P121" s="40" t="str">
        <f>VLOOKUP(C121,Sheet1!$U$4:$V$14,2,FALSE)</f>
        <v>BH Kỹ thuật</v>
      </c>
      <c r="Q121" s="88">
        <f t="shared" si="1"/>
        <v>183595669.91294348</v>
      </c>
    </row>
    <row r="122" spans="1:17" x14ac:dyDescent="0.25">
      <c r="A122" s="85" t="s">
        <v>288</v>
      </c>
      <c r="B122" s="65" t="s">
        <v>146</v>
      </c>
      <c r="C122" s="65" t="s">
        <v>392</v>
      </c>
      <c r="D122" s="66">
        <v>2757544686</v>
      </c>
      <c r="E122" s="65">
        <v>1329883086</v>
      </c>
      <c r="F122" s="67">
        <v>202230223.11620018</v>
      </c>
      <c r="G122" s="68">
        <v>0</v>
      </c>
      <c r="H122" s="68">
        <v>202230223.11620018</v>
      </c>
      <c r="I122" s="68">
        <v>0</v>
      </c>
      <c r="J122" s="68">
        <v>141904177</v>
      </c>
      <c r="K122" s="68">
        <v>70952089</v>
      </c>
      <c r="L122" s="68">
        <v>249938875</v>
      </c>
      <c r="M122" s="68">
        <v>165212681</v>
      </c>
      <c r="N122" s="69">
        <v>830238045.11620021</v>
      </c>
      <c r="O122" s="65" t="str">
        <f>VLOOKUP(A122,Report_HQ1!$A$7:$C$95,3,FALSE)</f>
        <v>BV Bắc Giang</v>
      </c>
      <c r="P122" s="40" t="str">
        <f>VLOOKUP(C122,Sheet1!$U$4:$V$14,2,FALSE)</f>
        <v>BH Tài sản</v>
      </c>
      <c r="Q122" s="88">
        <f t="shared" si="1"/>
        <v>830238045.11620021</v>
      </c>
    </row>
    <row r="123" spans="1:17" x14ac:dyDescent="0.25">
      <c r="A123" s="85" t="s">
        <v>288</v>
      </c>
      <c r="B123" s="65" t="s">
        <v>146</v>
      </c>
      <c r="C123" s="65" t="s">
        <v>393</v>
      </c>
      <c r="D123" s="66">
        <v>6960286522</v>
      </c>
      <c r="E123" s="65">
        <v>1329883086</v>
      </c>
      <c r="F123" s="67">
        <v>510446957.91984749</v>
      </c>
      <c r="G123" s="68">
        <v>0</v>
      </c>
      <c r="H123" s="68">
        <v>510446957.91984749</v>
      </c>
      <c r="I123" s="68">
        <v>0</v>
      </c>
      <c r="J123" s="68">
        <v>613802012</v>
      </c>
      <c r="K123" s="68">
        <v>306277791</v>
      </c>
      <c r="L123" s="68">
        <v>731374444</v>
      </c>
      <c r="M123" s="68">
        <v>416187925</v>
      </c>
      <c r="N123" s="69">
        <v>2578089129.9198475</v>
      </c>
      <c r="O123" s="65" t="str">
        <f>VLOOKUP(A123,Report_HQ1!$A$7:$C$95,3,FALSE)</f>
        <v>BV Bắc Giang</v>
      </c>
      <c r="P123" s="40" t="str">
        <f>VLOOKUP(C123,Sheet1!$U$4:$V$14,2,FALSE)</f>
        <v>BH Xe cơ giới</v>
      </c>
      <c r="Q123" s="88">
        <f t="shared" si="1"/>
        <v>2578089129.9198475</v>
      </c>
    </row>
    <row r="124" spans="1:17" x14ac:dyDescent="0.25">
      <c r="A124" s="86" t="s">
        <v>288</v>
      </c>
      <c r="B124" s="70" t="s">
        <v>146</v>
      </c>
      <c r="C124" s="70" t="s">
        <v>394</v>
      </c>
      <c r="D124" s="66">
        <v>6164633029</v>
      </c>
      <c r="E124" s="65">
        <v>1329883086</v>
      </c>
      <c r="F124" s="67">
        <v>452096069.0912869</v>
      </c>
      <c r="G124" s="68">
        <v>0</v>
      </c>
      <c r="H124" s="68">
        <v>452096069.0912869</v>
      </c>
      <c r="I124" s="68">
        <v>30823000</v>
      </c>
      <c r="J124" s="68">
        <v>934149314</v>
      </c>
      <c r="K124" s="68">
        <v>132662281</v>
      </c>
      <c r="L124" s="68">
        <v>233472963</v>
      </c>
      <c r="M124" s="68">
        <v>308653144</v>
      </c>
      <c r="N124" s="71">
        <v>2091856771.0912869</v>
      </c>
      <c r="O124" s="65" t="str">
        <f>VLOOKUP(A124,Report_HQ1!$A$7:$C$95,3,FALSE)</f>
        <v>BV Bắc Giang</v>
      </c>
      <c r="P124" s="40" t="str">
        <f>VLOOKUP(C124,Sheet1!$U$4:$V$14,2,FALSE)</f>
        <v>BH Con người</v>
      </c>
      <c r="Q124" s="88">
        <f t="shared" si="1"/>
        <v>2091856771.0912869</v>
      </c>
    </row>
    <row r="125" spans="1:17" x14ac:dyDescent="0.25">
      <c r="A125" s="85" t="s">
        <v>288</v>
      </c>
      <c r="B125" s="65" t="s">
        <v>146</v>
      </c>
      <c r="C125" s="65" t="s">
        <v>395</v>
      </c>
      <c r="D125" s="66">
        <v>0</v>
      </c>
      <c r="E125" s="65">
        <v>1329883086</v>
      </c>
      <c r="F125" s="67">
        <v>0</v>
      </c>
      <c r="G125" s="68">
        <v>0</v>
      </c>
      <c r="H125" s="68">
        <v>0</v>
      </c>
      <c r="I125" s="68">
        <v>0</v>
      </c>
      <c r="J125" s="68">
        <v>0</v>
      </c>
      <c r="K125" s="68">
        <v>0</v>
      </c>
      <c r="L125" s="68">
        <v>0</v>
      </c>
      <c r="M125" s="68">
        <v>0</v>
      </c>
      <c r="N125" s="69">
        <v>0</v>
      </c>
      <c r="O125" s="65" t="str">
        <f>VLOOKUP(A125,Report_HQ1!$A$7:$C$95,3,FALSE)</f>
        <v>BV Bắc Giang</v>
      </c>
      <c r="P125" s="40" t="e">
        <f>VLOOKUP(C125,Sheet1!$U$4:$V$14,2,FALSE)</f>
        <v>#N/A</v>
      </c>
      <c r="Q125" s="88">
        <f t="shared" si="1"/>
        <v>0</v>
      </c>
    </row>
    <row r="126" spans="1:17" s="76" customFormat="1" x14ac:dyDescent="0.25">
      <c r="A126" s="87" t="s">
        <v>288</v>
      </c>
      <c r="B126" s="72" t="s">
        <v>146</v>
      </c>
      <c r="C126" s="72" t="s">
        <v>396</v>
      </c>
      <c r="D126" s="73">
        <v>529788964</v>
      </c>
      <c r="E126" s="65">
        <v>1329883086</v>
      </c>
      <c r="F126" s="67">
        <v>38853165.621636115</v>
      </c>
      <c r="G126" s="68">
        <v>0</v>
      </c>
      <c r="H126" s="74">
        <v>38853165.621636115</v>
      </c>
      <c r="I126" s="74">
        <v>0</v>
      </c>
      <c r="J126" s="74">
        <v>107219708</v>
      </c>
      <c r="K126" s="74">
        <v>51276227</v>
      </c>
      <c r="L126" s="74">
        <v>-4386972</v>
      </c>
      <c r="M126" s="74">
        <v>33198062</v>
      </c>
      <c r="N126" s="75">
        <v>226160190.62163612</v>
      </c>
      <c r="O126" s="65" t="str">
        <f>VLOOKUP(A126,Report_HQ1!$A$7:$C$95,3,FALSE)</f>
        <v>BV Bắc Giang</v>
      </c>
      <c r="P126" s="40" t="str">
        <f>VLOOKUP(C126,Sheet1!$U$4:$V$14,2,FALSE)</f>
        <v>BH Y tế</v>
      </c>
      <c r="Q126" s="88">
        <f t="shared" si="1"/>
        <v>226160190.62163612</v>
      </c>
    </row>
    <row r="127" spans="1:17" x14ac:dyDescent="0.25">
      <c r="A127" s="85" t="s">
        <v>288</v>
      </c>
      <c r="B127" s="65" t="s">
        <v>146</v>
      </c>
      <c r="C127" s="65" t="s">
        <v>397</v>
      </c>
      <c r="D127" s="66">
        <v>92217700</v>
      </c>
      <c r="E127" s="65">
        <v>1329883086</v>
      </c>
      <c r="F127" s="67">
        <v>6762975.0991686424</v>
      </c>
      <c r="G127" s="68">
        <v>0</v>
      </c>
      <c r="H127" s="68">
        <v>6762975.0991686424</v>
      </c>
      <c r="I127" s="68">
        <v>0</v>
      </c>
      <c r="J127" s="68">
        <v>18443540</v>
      </c>
      <c r="K127" s="68">
        <v>18443540</v>
      </c>
      <c r="L127" s="68">
        <v>0</v>
      </c>
      <c r="M127" s="68">
        <v>7377416</v>
      </c>
      <c r="N127" s="69">
        <v>51027471.099168643</v>
      </c>
      <c r="O127" s="65" t="str">
        <f>VLOOKUP(A127,Report_HQ1!$A$7:$C$95,3,FALSE)</f>
        <v>BV Bắc Giang</v>
      </c>
      <c r="P127" s="40" t="str">
        <f>VLOOKUP(C127,Sheet1!$U$4:$V$14,2,FALSE)</f>
        <v>BH Du lịch</v>
      </c>
      <c r="Q127" s="88">
        <f t="shared" si="1"/>
        <v>51027471.099168643</v>
      </c>
    </row>
    <row r="128" spans="1:17" x14ac:dyDescent="0.25">
      <c r="A128" s="85" t="s">
        <v>290</v>
      </c>
      <c r="B128" s="65" t="s">
        <v>148</v>
      </c>
      <c r="C128" s="65" t="s">
        <v>387</v>
      </c>
      <c r="D128" s="66">
        <v>650520254</v>
      </c>
      <c r="E128" s="65">
        <v>1520720000</v>
      </c>
      <c r="F128" s="67">
        <v>32215618.90640511</v>
      </c>
      <c r="G128" s="68">
        <v>0</v>
      </c>
      <c r="H128" s="68">
        <v>32215618.90640511</v>
      </c>
      <c r="I128" s="68">
        <v>0</v>
      </c>
      <c r="J128" s="68">
        <v>65052026</v>
      </c>
      <c r="K128" s="68">
        <v>32526012</v>
      </c>
      <c r="L128" s="68">
        <v>26020810</v>
      </c>
      <c r="M128" s="68">
        <v>52041621</v>
      </c>
      <c r="N128" s="69">
        <v>207856087.90640509</v>
      </c>
      <c r="O128" s="65" t="str">
        <f>VLOOKUP(A128,Report_HQ1!$A$7:$C$95,3,FALSE)</f>
        <v>BV Bắc Ninh</v>
      </c>
      <c r="P128" s="40" t="str">
        <f>VLOOKUP(C128,Sheet1!$U$4:$V$14,2,FALSE)</f>
        <v>BH Hàng hóa</v>
      </c>
      <c r="Q128" s="88">
        <f t="shared" si="1"/>
        <v>207856087.90640509</v>
      </c>
    </row>
    <row r="129" spans="1:17" x14ac:dyDescent="0.25">
      <c r="A129" s="85" t="s">
        <v>290</v>
      </c>
      <c r="B129" s="65" t="s">
        <v>148</v>
      </c>
      <c r="C129" s="65" t="s">
        <v>272</v>
      </c>
      <c r="D129" s="66">
        <v>338553087</v>
      </c>
      <c r="E129" s="65">
        <v>1520720000</v>
      </c>
      <c r="F129" s="67">
        <v>16766114.757095654</v>
      </c>
      <c r="G129" s="68">
        <v>0</v>
      </c>
      <c r="H129" s="68">
        <v>16766114.757095654</v>
      </c>
      <c r="I129" s="68">
        <v>0</v>
      </c>
      <c r="J129" s="68">
        <v>50782963</v>
      </c>
      <c r="K129" s="68">
        <v>23698716</v>
      </c>
      <c r="L129" s="68">
        <v>3385531</v>
      </c>
      <c r="M129" s="68">
        <v>27084247</v>
      </c>
      <c r="N129" s="69">
        <v>121717571.75709565</v>
      </c>
      <c r="O129" s="65" t="str">
        <f>VLOOKUP(A129,Report_HQ1!$A$7:$C$95,3,FALSE)</f>
        <v>BV Bắc Ninh</v>
      </c>
      <c r="P129" s="40" t="str">
        <f>VLOOKUP(C129,Sheet1!$U$4:$V$14,2,FALSE)</f>
        <v>Tàu khác</v>
      </c>
      <c r="Q129" s="88">
        <f t="shared" si="1"/>
        <v>121717571.75709565</v>
      </c>
    </row>
    <row r="130" spans="1:17" x14ac:dyDescent="0.25">
      <c r="A130" s="85" t="s">
        <v>290</v>
      </c>
      <c r="B130" s="65" t="s">
        <v>148</v>
      </c>
      <c r="C130" s="65" t="s">
        <v>388</v>
      </c>
      <c r="D130" s="66">
        <v>0</v>
      </c>
      <c r="E130" s="65">
        <v>1520720000</v>
      </c>
      <c r="F130" s="67">
        <v>0</v>
      </c>
      <c r="G130" s="68">
        <v>0</v>
      </c>
      <c r="H130" s="68">
        <v>0</v>
      </c>
      <c r="I130" s="68">
        <v>0</v>
      </c>
      <c r="J130" s="68">
        <v>0</v>
      </c>
      <c r="K130" s="68">
        <v>0</v>
      </c>
      <c r="L130" s="68">
        <v>0</v>
      </c>
      <c r="M130" s="68">
        <v>0</v>
      </c>
      <c r="N130" s="69">
        <v>0</v>
      </c>
      <c r="O130" s="65" t="str">
        <f>VLOOKUP(A130,Report_HQ1!$A$7:$C$95,3,FALSE)</f>
        <v>BV Bắc Ninh</v>
      </c>
      <c r="P130" s="40" t="str">
        <f>VLOOKUP(C130,Sheet1!$U$4:$V$14,2,FALSE)</f>
        <v>Hull (Thân tàu biển)</v>
      </c>
      <c r="Q130" s="88">
        <f t="shared" si="1"/>
        <v>0</v>
      </c>
    </row>
    <row r="131" spans="1:17" x14ac:dyDescent="0.25">
      <c r="A131" s="85" t="s">
        <v>290</v>
      </c>
      <c r="B131" s="65" t="s">
        <v>148</v>
      </c>
      <c r="C131" s="65" t="s">
        <v>23</v>
      </c>
      <c r="D131" s="66">
        <v>0</v>
      </c>
      <c r="E131" s="65">
        <v>1520720000</v>
      </c>
      <c r="F131" s="67">
        <v>0</v>
      </c>
      <c r="G131" s="68">
        <v>0</v>
      </c>
      <c r="H131" s="68">
        <v>0</v>
      </c>
      <c r="I131" s="68">
        <v>0</v>
      </c>
      <c r="J131" s="68">
        <v>0</v>
      </c>
      <c r="K131" s="68">
        <v>0</v>
      </c>
      <c r="L131" s="68">
        <v>0</v>
      </c>
      <c r="M131" s="68">
        <v>0</v>
      </c>
      <c r="N131" s="69">
        <v>0</v>
      </c>
      <c r="O131" s="65" t="str">
        <f>VLOOKUP(A131,Report_HQ1!$A$7:$C$95,3,FALSE)</f>
        <v>BV Bắc Ninh</v>
      </c>
      <c r="P131" s="40" t="str">
        <f>VLOOKUP(C131,Sheet1!$U$4:$V$14,2,FALSE)</f>
        <v>P&amp;I</v>
      </c>
      <c r="Q131" s="88">
        <f t="shared" si="1"/>
        <v>0</v>
      </c>
    </row>
    <row r="132" spans="1:17" x14ac:dyDescent="0.25">
      <c r="A132" s="85" t="s">
        <v>290</v>
      </c>
      <c r="B132" s="65" t="s">
        <v>148</v>
      </c>
      <c r="C132" s="65" t="s">
        <v>389</v>
      </c>
      <c r="D132" s="66">
        <v>37260800</v>
      </c>
      <c r="E132" s="65">
        <v>1520720000</v>
      </c>
      <c r="F132" s="67">
        <v>1845261.1207210456</v>
      </c>
      <c r="G132" s="68">
        <v>0</v>
      </c>
      <c r="H132" s="68">
        <v>1845261.1207210456</v>
      </c>
      <c r="I132" s="68">
        <v>0</v>
      </c>
      <c r="J132" s="68">
        <v>1863040</v>
      </c>
      <c r="K132" s="68">
        <v>931520</v>
      </c>
      <c r="L132" s="68">
        <v>2794560</v>
      </c>
      <c r="M132" s="68">
        <v>2980864</v>
      </c>
      <c r="N132" s="69">
        <v>10415245.120721046</v>
      </c>
      <c r="O132" s="65" t="str">
        <f>VLOOKUP(A132,Report_HQ1!$A$7:$C$95,3,FALSE)</f>
        <v>BV Bắc Ninh</v>
      </c>
      <c r="P132" s="40" t="str">
        <f>VLOOKUP(C132,Sheet1!$U$4:$V$14,2,FALSE)</f>
        <v>BH Trách nhiệm</v>
      </c>
      <c r="Q132" s="88">
        <f t="shared" si="1"/>
        <v>10415245.120721046</v>
      </c>
    </row>
    <row r="133" spans="1:17" x14ac:dyDescent="0.25">
      <c r="A133" s="85" t="s">
        <v>290</v>
      </c>
      <c r="B133" s="65" t="s">
        <v>148</v>
      </c>
      <c r="C133" s="65" t="s">
        <v>390</v>
      </c>
      <c r="D133" s="66">
        <v>0</v>
      </c>
      <c r="E133" s="65">
        <v>1520720000</v>
      </c>
      <c r="F133" s="67">
        <v>0</v>
      </c>
      <c r="G133" s="68">
        <v>0</v>
      </c>
      <c r="H133" s="68">
        <v>0</v>
      </c>
      <c r="I133" s="68">
        <v>0</v>
      </c>
      <c r="J133" s="68">
        <v>0</v>
      </c>
      <c r="K133" s="68">
        <v>0</v>
      </c>
      <c r="L133" s="68">
        <v>0</v>
      </c>
      <c r="M133" s="68">
        <v>0</v>
      </c>
      <c r="N133" s="69">
        <v>0</v>
      </c>
      <c r="O133" s="65" t="str">
        <f>VLOOKUP(A133,Report_HQ1!$A$7:$C$95,3,FALSE)</f>
        <v>BV Bắc Ninh</v>
      </c>
      <c r="P133" s="40" t="e">
        <f>VLOOKUP(C133,Sheet1!$U$4:$V$14,2,FALSE)</f>
        <v>#N/A</v>
      </c>
      <c r="Q133" s="88">
        <f t="shared" si="1"/>
        <v>0</v>
      </c>
    </row>
    <row r="134" spans="1:17" x14ac:dyDescent="0.25">
      <c r="A134" s="85" t="s">
        <v>290</v>
      </c>
      <c r="B134" s="65" t="s">
        <v>148</v>
      </c>
      <c r="C134" s="65" t="s">
        <v>391</v>
      </c>
      <c r="D134" s="66">
        <v>1097332753</v>
      </c>
      <c r="E134" s="65">
        <v>1520720000</v>
      </c>
      <c r="F134" s="67">
        <v>54343048.60885141</v>
      </c>
      <c r="G134" s="68">
        <v>0</v>
      </c>
      <c r="H134" s="68">
        <v>54343048.60885141</v>
      </c>
      <c r="I134" s="68">
        <v>0</v>
      </c>
      <c r="J134" s="68">
        <v>17911608</v>
      </c>
      <c r="K134" s="68">
        <v>8955804</v>
      </c>
      <c r="L134" s="68">
        <v>14386959</v>
      </c>
      <c r="M134" s="68">
        <v>11144465</v>
      </c>
      <c r="N134" s="69">
        <v>106741884.6088514</v>
      </c>
      <c r="O134" s="65" t="str">
        <f>VLOOKUP(A134,Report_HQ1!$A$7:$C$95,3,FALSE)</f>
        <v>BV Bắc Ninh</v>
      </c>
      <c r="P134" s="40" t="str">
        <f>VLOOKUP(C134,Sheet1!$U$4:$V$14,2,FALSE)</f>
        <v>BH Kỹ thuật</v>
      </c>
      <c r="Q134" s="88">
        <f t="shared" si="1"/>
        <v>106741884.6088514</v>
      </c>
    </row>
    <row r="135" spans="1:17" x14ac:dyDescent="0.25">
      <c r="A135" s="85" t="s">
        <v>290</v>
      </c>
      <c r="B135" s="65" t="s">
        <v>148</v>
      </c>
      <c r="C135" s="65" t="s">
        <v>392</v>
      </c>
      <c r="D135" s="66">
        <v>16683063869</v>
      </c>
      <c r="E135" s="65">
        <v>1520720000</v>
      </c>
      <c r="F135" s="67">
        <v>826192919.42126119</v>
      </c>
      <c r="G135" s="68">
        <v>0</v>
      </c>
      <c r="H135" s="68">
        <v>826192919.42126119</v>
      </c>
      <c r="I135" s="68">
        <v>0</v>
      </c>
      <c r="J135" s="68">
        <v>772184451</v>
      </c>
      <c r="K135" s="68">
        <v>372891734</v>
      </c>
      <c r="L135" s="68">
        <v>1600498780</v>
      </c>
      <c r="M135" s="68">
        <v>901786553</v>
      </c>
      <c r="N135" s="69">
        <v>4473554437.4212608</v>
      </c>
      <c r="O135" s="65" t="str">
        <f>VLOOKUP(A135,Report_HQ1!$A$7:$C$95,3,FALSE)</f>
        <v>BV Bắc Ninh</v>
      </c>
      <c r="P135" s="40" t="str">
        <f>VLOOKUP(C135,Sheet1!$U$4:$V$14,2,FALSE)</f>
        <v>BH Tài sản</v>
      </c>
      <c r="Q135" s="88">
        <f t="shared" si="1"/>
        <v>4473554437.4212608</v>
      </c>
    </row>
    <row r="136" spans="1:17" x14ac:dyDescent="0.25">
      <c r="A136" s="85" t="s">
        <v>290</v>
      </c>
      <c r="B136" s="65" t="s">
        <v>148</v>
      </c>
      <c r="C136" s="65" t="s">
        <v>393</v>
      </c>
      <c r="D136" s="66">
        <v>7205908009</v>
      </c>
      <c r="E136" s="65">
        <v>1520720000</v>
      </c>
      <c r="F136" s="67">
        <v>356857122.99521482</v>
      </c>
      <c r="G136" s="68">
        <v>0</v>
      </c>
      <c r="H136" s="68">
        <v>356857122.99521482</v>
      </c>
      <c r="I136" s="68">
        <v>0</v>
      </c>
      <c r="J136" s="68">
        <v>650370318</v>
      </c>
      <c r="K136" s="68">
        <v>324501383</v>
      </c>
      <c r="L136" s="68">
        <v>771312135</v>
      </c>
      <c r="M136" s="68">
        <v>423001473</v>
      </c>
      <c r="N136" s="69">
        <v>2526042431.9952149</v>
      </c>
      <c r="O136" s="65" t="str">
        <f>VLOOKUP(A136,Report_HQ1!$A$7:$C$95,3,FALSE)</f>
        <v>BV Bắc Ninh</v>
      </c>
      <c r="P136" s="40" t="str">
        <f>VLOOKUP(C136,Sheet1!$U$4:$V$14,2,FALSE)</f>
        <v>BH Xe cơ giới</v>
      </c>
      <c r="Q136" s="88">
        <f t="shared" si="1"/>
        <v>2526042431.9952149</v>
      </c>
    </row>
    <row r="137" spans="1:17" x14ac:dyDescent="0.25">
      <c r="A137" s="85" t="s">
        <v>290</v>
      </c>
      <c r="B137" s="65" t="s">
        <v>148</v>
      </c>
      <c r="C137" s="65" t="s">
        <v>394</v>
      </c>
      <c r="D137" s="66">
        <v>2896847237</v>
      </c>
      <c r="E137" s="65">
        <v>1520720000</v>
      </c>
      <c r="F137" s="67">
        <v>143460139.85486853</v>
      </c>
      <c r="G137" s="68">
        <v>0</v>
      </c>
      <c r="H137" s="68">
        <v>143460139.85486853</v>
      </c>
      <c r="I137" s="68">
        <v>705000</v>
      </c>
      <c r="J137" s="68">
        <v>444990854</v>
      </c>
      <c r="K137" s="68">
        <v>52314007</v>
      </c>
      <c r="L137" s="68">
        <v>161910153</v>
      </c>
      <c r="M137" s="68">
        <v>149685312</v>
      </c>
      <c r="N137" s="69">
        <v>953065465.85486853</v>
      </c>
      <c r="O137" s="65" t="str">
        <f>VLOOKUP(A137,Report_HQ1!$A$7:$C$95,3,FALSE)</f>
        <v>BV Bắc Ninh</v>
      </c>
      <c r="P137" s="40" t="str">
        <f>VLOOKUP(C137,Sheet1!$U$4:$V$14,2,FALSE)</f>
        <v>BH Con người</v>
      </c>
      <c r="Q137" s="88">
        <f t="shared" si="1"/>
        <v>953065465.85486853</v>
      </c>
    </row>
    <row r="138" spans="1:17" x14ac:dyDescent="0.25">
      <c r="A138" s="85" t="s">
        <v>290</v>
      </c>
      <c r="B138" s="65" t="s">
        <v>148</v>
      </c>
      <c r="C138" s="65" t="s">
        <v>395</v>
      </c>
      <c r="D138" s="66">
        <v>0</v>
      </c>
      <c r="E138" s="65">
        <v>1520720000</v>
      </c>
      <c r="F138" s="67">
        <v>0</v>
      </c>
      <c r="G138" s="68">
        <v>0</v>
      </c>
      <c r="H138" s="68">
        <v>0</v>
      </c>
      <c r="I138" s="68">
        <v>0</v>
      </c>
      <c r="J138" s="68">
        <v>0</v>
      </c>
      <c r="K138" s="68">
        <v>0</v>
      </c>
      <c r="L138" s="68">
        <v>0</v>
      </c>
      <c r="M138" s="68">
        <v>0</v>
      </c>
      <c r="N138" s="69">
        <v>0</v>
      </c>
      <c r="O138" s="65" t="str">
        <f>VLOOKUP(A138,Report_HQ1!$A$7:$C$95,3,FALSE)</f>
        <v>BV Bắc Ninh</v>
      </c>
      <c r="P138" s="40" t="e">
        <f>VLOOKUP(C138,Sheet1!$U$4:$V$14,2,FALSE)</f>
        <v>#N/A</v>
      </c>
      <c r="Q138" s="88">
        <f t="shared" si="1"/>
        <v>0</v>
      </c>
    </row>
    <row r="139" spans="1:17" x14ac:dyDescent="0.25">
      <c r="A139" s="85" t="s">
        <v>290</v>
      </c>
      <c r="B139" s="65" t="s">
        <v>148</v>
      </c>
      <c r="C139" s="65" t="s">
        <v>396</v>
      </c>
      <c r="D139" s="66">
        <v>1706706247</v>
      </c>
      <c r="E139" s="65">
        <v>1520720000</v>
      </c>
      <c r="F139" s="67">
        <v>84520962.568727195</v>
      </c>
      <c r="G139" s="68">
        <v>0</v>
      </c>
      <c r="H139" s="68">
        <v>84520962.568727195</v>
      </c>
      <c r="I139" s="68">
        <v>0</v>
      </c>
      <c r="J139" s="68">
        <v>213391597</v>
      </c>
      <c r="K139" s="68">
        <v>106444426</v>
      </c>
      <c r="L139" s="68">
        <v>3721283</v>
      </c>
      <c r="M139" s="68">
        <v>78623766</v>
      </c>
      <c r="N139" s="69">
        <v>486702034.5687272</v>
      </c>
      <c r="O139" s="65" t="str">
        <f>VLOOKUP(A139,Report_HQ1!$A$7:$C$95,3,FALSE)</f>
        <v>BV Bắc Ninh</v>
      </c>
      <c r="P139" s="40" t="str">
        <f>VLOOKUP(C139,Sheet1!$U$4:$V$14,2,FALSE)</f>
        <v>BH Y tế</v>
      </c>
      <c r="Q139" s="88">
        <f t="shared" si="1"/>
        <v>486702034.5687272</v>
      </c>
    </row>
    <row r="140" spans="1:17" x14ac:dyDescent="0.25">
      <c r="A140" s="85" t="s">
        <v>290</v>
      </c>
      <c r="B140" s="65" t="s">
        <v>148</v>
      </c>
      <c r="C140" s="65" t="s">
        <v>397</v>
      </c>
      <c r="D140" s="66">
        <v>91247000</v>
      </c>
      <c r="E140" s="65">
        <v>1520720000</v>
      </c>
      <c r="F140" s="67">
        <v>4518811.7668550676</v>
      </c>
      <c r="G140" s="68">
        <v>0</v>
      </c>
      <c r="H140" s="68">
        <v>4518811.7668550676</v>
      </c>
      <c r="I140" s="68">
        <v>0</v>
      </c>
      <c r="J140" s="68">
        <v>18249400</v>
      </c>
      <c r="K140" s="68">
        <v>18249400</v>
      </c>
      <c r="L140" s="68">
        <v>0</v>
      </c>
      <c r="M140" s="68">
        <v>7299760</v>
      </c>
      <c r="N140" s="69">
        <v>48317371.766855069</v>
      </c>
      <c r="O140" s="65" t="str">
        <f>VLOOKUP(A140,Report_HQ1!$A$7:$C$95,3,FALSE)</f>
        <v>BV Bắc Ninh</v>
      </c>
      <c r="P140" s="40" t="str">
        <f>VLOOKUP(C140,Sheet1!$U$4:$V$14,2,FALSE)</f>
        <v>BH Du lịch</v>
      </c>
      <c r="Q140" s="88">
        <f t="shared" ref="Q140:Q203" si="2">N140</f>
        <v>48317371.766855069</v>
      </c>
    </row>
    <row r="141" spans="1:17" x14ac:dyDescent="0.25">
      <c r="A141" s="85" t="s">
        <v>289</v>
      </c>
      <c r="B141" s="65" t="s">
        <v>147</v>
      </c>
      <c r="C141" s="65" t="s">
        <v>387</v>
      </c>
      <c r="D141" s="66">
        <v>19599995</v>
      </c>
      <c r="E141" s="65">
        <v>370000000</v>
      </c>
      <c r="F141" s="67">
        <v>1339054.4975732265</v>
      </c>
      <c r="G141" s="68">
        <v>0</v>
      </c>
      <c r="H141" s="68">
        <v>1339054.4975732265</v>
      </c>
      <c r="I141" s="68">
        <v>0</v>
      </c>
      <c r="J141" s="68">
        <v>1059290</v>
      </c>
      <c r="K141" s="68">
        <v>529645</v>
      </c>
      <c r="L141" s="68">
        <v>2135065</v>
      </c>
      <c r="M141" s="68">
        <v>1568000</v>
      </c>
      <c r="N141" s="69">
        <v>6631054.4975732267</v>
      </c>
      <c r="O141" s="65" t="str">
        <f>VLOOKUP(A141,Report_HQ1!$A$7:$C$95,3,FALSE)</f>
        <v>BV Bạc Liêu</v>
      </c>
      <c r="P141" s="40" t="str">
        <f>VLOOKUP(C141,Sheet1!$U$4:$V$14,2,FALSE)</f>
        <v>BH Hàng hóa</v>
      </c>
      <c r="Q141" s="88">
        <f t="shared" si="2"/>
        <v>6631054.4975732267</v>
      </c>
    </row>
    <row r="142" spans="1:17" x14ac:dyDescent="0.25">
      <c r="A142" s="85" t="s">
        <v>289</v>
      </c>
      <c r="B142" s="65" t="s">
        <v>147</v>
      </c>
      <c r="C142" s="65" t="s">
        <v>272</v>
      </c>
      <c r="D142" s="66">
        <v>54918125</v>
      </c>
      <c r="E142" s="65">
        <v>370000000</v>
      </c>
      <c r="F142" s="67">
        <v>3751958.2162923333</v>
      </c>
      <c r="G142" s="68">
        <v>0</v>
      </c>
      <c r="H142" s="68">
        <v>3751958.2162923333</v>
      </c>
      <c r="I142" s="68">
        <v>66600</v>
      </c>
      <c r="J142" s="68">
        <v>1832839</v>
      </c>
      <c r="K142" s="68">
        <v>855325</v>
      </c>
      <c r="L142" s="68">
        <v>9943004</v>
      </c>
      <c r="M142" s="68">
        <v>3539466</v>
      </c>
      <c r="N142" s="69">
        <v>19989192.216292333</v>
      </c>
      <c r="O142" s="65" t="str">
        <f>VLOOKUP(A142,Report_HQ1!$A$7:$C$95,3,FALSE)</f>
        <v>BV Bạc Liêu</v>
      </c>
      <c r="P142" s="40" t="str">
        <f>VLOOKUP(C142,Sheet1!$U$4:$V$14,2,FALSE)</f>
        <v>Tàu khác</v>
      </c>
      <c r="Q142" s="88">
        <f t="shared" si="2"/>
        <v>19989192.216292333</v>
      </c>
    </row>
    <row r="143" spans="1:17" x14ac:dyDescent="0.25">
      <c r="A143" s="85" t="s">
        <v>289</v>
      </c>
      <c r="B143" s="65" t="s">
        <v>147</v>
      </c>
      <c r="C143" s="65" t="s">
        <v>388</v>
      </c>
      <c r="D143" s="66">
        <v>0</v>
      </c>
      <c r="E143" s="65">
        <v>370000000</v>
      </c>
      <c r="F143" s="67">
        <v>0</v>
      </c>
      <c r="G143" s="68">
        <v>0</v>
      </c>
      <c r="H143" s="68">
        <v>0</v>
      </c>
      <c r="I143" s="68">
        <v>0</v>
      </c>
      <c r="J143" s="68">
        <v>0</v>
      </c>
      <c r="K143" s="68">
        <v>0</v>
      </c>
      <c r="L143" s="68">
        <v>0</v>
      </c>
      <c r="M143" s="68">
        <v>0</v>
      </c>
      <c r="N143" s="69">
        <v>0</v>
      </c>
      <c r="O143" s="65" t="str">
        <f>VLOOKUP(A143,Report_HQ1!$A$7:$C$95,3,FALSE)</f>
        <v>BV Bạc Liêu</v>
      </c>
      <c r="P143" s="40" t="str">
        <f>VLOOKUP(C143,Sheet1!$U$4:$V$14,2,FALSE)</f>
        <v>Hull (Thân tàu biển)</v>
      </c>
      <c r="Q143" s="88">
        <f t="shared" si="2"/>
        <v>0</v>
      </c>
    </row>
    <row r="144" spans="1:17" x14ac:dyDescent="0.25">
      <c r="A144" s="85" t="s">
        <v>289</v>
      </c>
      <c r="B144" s="65" t="s">
        <v>147</v>
      </c>
      <c r="C144" s="65" t="s">
        <v>23</v>
      </c>
      <c r="D144" s="66">
        <v>0</v>
      </c>
      <c r="E144" s="65">
        <v>370000000</v>
      </c>
      <c r="F144" s="67">
        <v>0</v>
      </c>
      <c r="G144" s="68">
        <v>0</v>
      </c>
      <c r="H144" s="68">
        <v>0</v>
      </c>
      <c r="I144" s="68">
        <v>0</v>
      </c>
      <c r="J144" s="68">
        <v>0</v>
      </c>
      <c r="K144" s="68">
        <v>0</v>
      </c>
      <c r="L144" s="68">
        <v>0</v>
      </c>
      <c r="M144" s="68">
        <v>0</v>
      </c>
      <c r="N144" s="69">
        <v>0</v>
      </c>
      <c r="O144" s="65" t="str">
        <f>VLOOKUP(A144,Report_HQ1!$A$7:$C$95,3,FALSE)</f>
        <v>BV Bạc Liêu</v>
      </c>
      <c r="P144" s="40" t="str">
        <f>VLOOKUP(C144,Sheet1!$U$4:$V$14,2,FALSE)</f>
        <v>P&amp;I</v>
      </c>
      <c r="Q144" s="88">
        <f t="shared" si="2"/>
        <v>0</v>
      </c>
    </row>
    <row r="145" spans="1:17" x14ac:dyDescent="0.25">
      <c r="A145" s="85" t="s">
        <v>289</v>
      </c>
      <c r="B145" s="65" t="s">
        <v>147</v>
      </c>
      <c r="C145" s="65" t="s">
        <v>389</v>
      </c>
      <c r="D145" s="66">
        <v>3000000</v>
      </c>
      <c r="E145" s="65">
        <v>370000000</v>
      </c>
      <c r="F145" s="67">
        <v>204957.3733421707</v>
      </c>
      <c r="G145" s="68">
        <v>0</v>
      </c>
      <c r="H145" s="68">
        <v>204957.3733421707</v>
      </c>
      <c r="I145" s="68">
        <v>0</v>
      </c>
      <c r="J145" s="68">
        <v>150000</v>
      </c>
      <c r="K145" s="68">
        <v>75000</v>
      </c>
      <c r="L145" s="68">
        <v>225000</v>
      </c>
      <c r="M145" s="68">
        <v>240000</v>
      </c>
      <c r="N145" s="69">
        <v>894957.37334217073</v>
      </c>
      <c r="O145" s="65" t="str">
        <f>VLOOKUP(A145,Report_HQ1!$A$7:$C$95,3,FALSE)</f>
        <v>BV Bạc Liêu</v>
      </c>
      <c r="P145" s="40" t="str">
        <f>VLOOKUP(C145,Sheet1!$U$4:$V$14,2,FALSE)</f>
        <v>BH Trách nhiệm</v>
      </c>
      <c r="Q145" s="88">
        <f t="shared" si="2"/>
        <v>894957.37334217073</v>
      </c>
    </row>
    <row r="146" spans="1:17" x14ac:dyDescent="0.25">
      <c r="A146" s="85" t="s">
        <v>289</v>
      </c>
      <c r="B146" s="65" t="s">
        <v>147</v>
      </c>
      <c r="C146" s="65" t="s">
        <v>390</v>
      </c>
      <c r="D146" s="66">
        <v>0</v>
      </c>
      <c r="E146" s="65">
        <v>370000000</v>
      </c>
      <c r="F146" s="67">
        <v>0</v>
      </c>
      <c r="G146" s="68">
        <v>0</v>
      </c>
      <c r="H146" s="68">
        <v>0</v>
      </c>
      <c r="I146" s="68">
        <v>0</v>
      </c>
      <c r="J146" s="68">
        <v>0</v>
      </c>
      <c r="K146" s="68">
        <v>0</v>
      </c>
      <c r="L146" s="68">
        <v>0</v>
      </c>
      <c r="M146" s="68">
        <v>0</v>
      </c>
      <c r="N146" s="69">
        <v>0</v>
      </c>
      <c r="O146" s="65" t="str">
        <f>VLOOKUP(A146,Report_HQ1!$A$7:$C$95,3,FALSE)</f>
        <v>BV Bạc Liêu</v>
      </c>
      <c r="P146" s="40" t="e">
        <f>VLOOKUP(C146,Sheet1!$U$4:$V$14,2,FALSE)</f>
        <v>#N/A</v>
      </c>
      <c r="Q146" s="88">
        <f t="shared" si="2"/>
        <v>0</v>
      </c>
    </row>
    <row r="147" spans="1:17" x14ac:dyDescent="0.25">
      <c r="A147" s="85" t="s">
        <v>289</v>
      </c>
      <c r="B147" s="65" t="s">
        <v>147</v>
      </c>
      <c r="C147" s="65" t="s">
        <v>391</v>
      </c>
      <c r="D147" s="66">
        <v>0</v>
      </c>
      <c r="E147" s="65">
        <v>370000000</v>
      </c>
      <c r="F147" s="67">
        <v>0</v>
      </c>
      <c r="G147" s="68">
        <v>0</v>
      </c>
      <c r="H147" s="68">
        <v>0</v>
      </c>
      <c r="I147" s="68">
        <v>0</v>
      </c>
      <c r="J147" s="68">
        <v>0</v>
      </c>
      <c r="K147" s="68">
        <v>0</v>
      </c>
      <c r="L147" s="68">
        <v>0</v>
      </c>
      <c r="M147" s="68">
        <v>0</v>
      </c>
      <c r="N147" s="69">
        <v>0</v>
      </c>
      <c r="O147" s="65" t="str">
        <f>VLOOKUP(A147,Report_HQ1!$A$7:$C$95,3,FALSE)</f>
        <v>BV Bạc Liêu</v>
      </c>
      <c r="P147" s="40" t="str">
        <f>VLOOKUP(C147,Sheet1!$U$4:$V$14,2,FALSE)</f>
        <v>BH Kỹ thuật</v>
      </c>
      <c r="Q147" s="88">
        <f t="shared" si="2"/>
        <v>0</v>
      </c>
    </row>
    <row r="148" spans="1:17" x14ac:dyDescent="0.25">
      <c r="A148" s="85" t="s">
        <v>289</v>
      </c>
      <c r="B148" s="65" t="s">
        <v>147</v>
      </c>
      <c r="C148" s="65" t="s">
        <v>392</v>
      </c>
      <c r="D148" s="66">
        <v>373783327</v>
      </c>
      <c r="E148" s="65">
        <v>370000000</v>
      </c>
      <c r="F148" s="67">
        <v>25536549.633672561</v>
      </c>
      <c r="G148" s="68">
        <v>0</v>
      </c>
      <c r="H148" s="68">
        <v>25536549.633672561</v>
      </c>
      <c r="I148" s="68">
        <v>0</v>
      </c>
      <c r="J148" s="68">
        <v>536000</v>
      </c>
      <c r="K148" s="68">
        <v>268000</v>
      </c>
      <c r="L148" s="68">
        <v>2548400</v>
      </c>
      <c r="M148" s="68">
        <v>457146</v>
      </c>
      <c r="N148" s="69">
        <v>29346095.633672561</v>
      </c>
      <c r="O148" s="65" t="str">
        <f>VLOOKUP(A148,Report_HQ1!$A$7:$C$95,3,FALSE)</f>
        <v>BV Bạc Liêu</v>
      </c>
      <c r="P148" s="40" t="str">
        <f>VLOOKUP(C148,Sheet1!$U$4:$V$14,2,FALSE)</f>
        <v>BH Tài sản</v>
      </c>
      <c r="Q148" s="88">
        <f t="shared" si="2"/>
        <v>29346095.633672561</v>
      </c>
    </row>
    <row r="149" spans="1:17" x14ac:dyDescent="0.25">
      <c r="A149" s="85" t="s">
        <v>289</v>
      </c>
      <c r="B149" s="65" t="s">
        <v>147</v>
      </c>
      <c r="C149" s="65" t="s">
        <v>393</v>
      </c>
      <c r="D149" s="66">
        <v>3537309169</v>
      </c>
      <c r="E149" s="65">
        <v>370000000</v>
      </c>
      <c r="F149" s="67">
        <v>241665865.32580554</v>
      </c>
      <c r="G149" s="68">
        <v>0</v>
      </c>
      <c r="H149" s="68">
        <v>241665865.32580554</v>
      </c>
      <c r="I149" s="68">
        <v>0</v>
      </c>
      <c r="J149" s="68">
        <v>310517129</v>
      </c>
      <c r="K149" s="68">
        <v>155258564</v>
      </c>
      <c r="L149" s="68">
        <v>408757499</v>
      </c>
      <c r="M149" s="68">
        <v>210638573</v>
      </c>
      <c r="N149" s="69">
        <v>1326837630.3258057</v>
      </c>
      <c r="O149" s="65" t="str">
        <f>VLOOKUP(A149,Report_HQ1!$A$7:$C$95,3,FALSE)</f>
        <v>BV Bạc Liêu</v>
      </c>
      <c r="P149" s="40" t="str">
        <f>VLOOKUP(C149,Sheet1!$U$4:$V$14,2,FALSE)</f>
        <v>BH Xe cơ giới</v>
      </c>
      <c r="Q149" s="88">
        <f t="shared" si="2"/>
        <v>1326837630.3258057</v>
      </c>
    </row>
    <row r="150" spans="1:17" x14ac:dyDescent="0.25">
      <c r="A150" s="85" t="s">
        <v>289</v>
      </c>
      <c r="B150" s="65" t="s">
        <v>147</v>
      </c>
      <c r="C150" s="65" t="s">
        <v>394</v>
      </c>
      <c r="D150" s="66">
        <v>592037550</v>
      </c>
      <c r="E150" s="65">
        <v>370000000</v>
      </c>
      <c r="F150" s="67">
        <v>40447487.055978023</v>
      </c>
      <c r="G150" s="68">
        <v>0</v>
      </c>
      <c r="H150" s="68">
        <v>40447487.055978023</v>
      </c>
      <c r="I150" s="68">
        <v>8000</v>
      </c>
      <c r="J150" s="68">
        <v>88818740</v>
      </c>
      <c r="K150" s="68">
        <v>5064838</v>
      </c>
      <c r="L150" s="68">
        <v>8544770</v>
      </c>
      <c r="M150" s="68">
        <v>32311713</v>
      </c>
      <c r="N150" s="69">
        <v>175195548.05597803</v>
      </c>
      <c r="O150" s="65" t="str">
        <f>VLOOKUP(A150,Report_HQ1!$A$7:$C$95,3,FALSE)</f>
        <v>BV Bạc Liêu</v>
      </c>
      <c r="P150" s="40" t="str">
        <f>VLOOKUP(C150,Sheet1!$U$4:$V$14,2,FALSE)</f>
        <v>BH Con người</v>
      </c>
      <c r="Q150" s="88">
        <f t="shared" si="2"/>
        <v>175195548.05597803</v>
      </c>
    </row>
    <row r="151" spans="1:17" x14ac:dyDescent="0.25">
      <c r="A151" s="85" t="s">
        <v>289</v>
      </c>
      <c r="B151" s="65" t="s">
        <v>147</v>
      </c>
      <c r="C151" s="65" t="s">
        <v>395</v>
      </c>
      <c r="D151" s="66">
        <v>0</v>
      </c>
      <c r="E151" s="65">
        <v>370000000</v>
      </c>
      <c r="F151" s="67">
        <v>0</v>
      </c>
      <c r="G151" s="68">
        <v>0</v>
      </c>
      <c r="H151" s="68">
        <v>0</v>
      </c>
      <c r="I151" s="68">
        <v>0</v>
      </c>
      <c r="J151" s="68">
        <v>0</v>
      </c>
      <c r="K151" s="68">
        <v>0</v>
      </c>
      <c r="L151" s="68">
        <v>0</v>
      </c>
      <c r="M151" s="68">
        <v>0</v>
      </c>
      <c r="N151" s="69">
        <v>0</v>
      </c>
      <c r="O151" s="65" t="str">
        <f>VLOOKUP(A151,Report_HQ1!$A$7:$C$95,3,FALSE)</f>
        <v>BV Bạc Liêu</v>
      </c>
      <c r="P151" s="40" t="e">
        <f>VLOOKUP(C151,Sheet1!$U$4:$V$14,2,FALSE)</f>
        <v>#N/A</v>
      </c>
      <c r="Q151" s="88">
        <f t="shared" si="2"/>
        <v>0</v>
      </c>
    </row>
    <row r="152" spans="1:17" x14ac:dyDescent="0.25">
      <c r="A152" s="85" t="s">
        <v>289</v>
      </c>
      <c r="B152" s="65" t="s">
        <v>147</v>
      </c>
      <c r="C152" s="65" t="s">
        <v>396</v>
      </c>
      <c r="D152" s="66">
        <v>505525266</v>
      </c>
      <c r="E152" s="65">
        <v>370000000</v>
      </c>
      <c r="F152" s="67">
        <v>34537043.559154056</v>
      </c>
      <c r="G152" s="68">
        <v>0</v>
      </c>
      <c r="H152" s="68">
        <v>34537043.559154056</v>
      </c>
      <c r="I152" s="68">
        <v>0</v>
      </c>
      <c r="J152" s="68">
        <v>101105053</v>
      </c>
      <c r="K152" s="68">
        <v>19959631</v>
      </c>
      <c r="L152" s="68">
        <v>3860600</v>
      </c>
      <c r="M152" s="68">
        <v>39954389</v>
      </c>
      <c r="N152" s="69">
        <v>199416716.55915406</v>
      </c>
      <c r="O152" s="65" t="str">
        <f>VLOOKUP(A152,Report_HQ1!$A$7:$C$95,3,FALSE)</f>
        <v>BV Bạc Liêu</v>
      </c>
      <c r="P152" s="40" t="str">
        <f>VLOOKUP(C152,Sheet1!$U$4:$V$14,2,FALSE)</f>
        <v>BH Y tế</v>
      </c>
      <c r="Q152" s="88">
        <f t="shared" si="2"/>
        <v>199416716.55915406</v>
      </c>
    </row>
    <row r="153" spans="1:17" x14ac:dyDescent="0.25">
      <c r="A153" s="85" t="s">
        <v>289</v>
      </c>
      <c r="B153" s="65" t="s">
        <v>147</v>
      </c>
      <c r="C153" s="65" t="s">
        <v>397</v>
      </c>
      <c r="D153" s="66">
        <v>329586840</v>
      </c>
      <c r="E153" s="65">
        <v>370000000</v>
      </c>
      <c r="F153" s="67">
        <v>22517084.338182095</v>
      </c>
      <c r="G153" s="68">
        <v>0</v>
      </c>
      <c r="H153" s="68">
        <v>22517084.338182095</v>
      </c>
      <c r="I153" s="68">
        <v>0</v>
      </c>
      <c r="J153" s="68">
        <v>65917368</v>
      </c>
      <c r="K153" s="68">
        <v>65917368</v>
      </c>
      <c r="L153" s="68">
        <v>0</v>
      </c>
      <c r="M153" s="68">
        <v>26366947</v>
      </c>
      <c r="N153" s="69">
        <v>180718767.33818209</v>
      </c>
      <c r="O153" s="65" t="str">
        <f>VLOOKUP(A153,Report_HQ1!$A$7:$C$95,3,FALSE)</f>
        <v>BV Bạc Liêu</v>
      </c>
      <c r="P153" s="40" t="str">
        <f>VLOOKUP(C153,Sheet1!$U$4:$V$14,2,FALSE)</f>
        <v>BH Du lịch</v>
      </c>
      <c r="Q153" s="88">
        <f t="shared" si="2"/>
        <v>180718767.33818209</v>
      </c>
    </row>
    <row r="154" spans="1:17" x14ac:dyDescent="0.25">
      <c r="A154" s="85" t="s">
        <v>292</v>
      </c>
      <c r="B154" s="65" t="s">
        <v>150</v>
      </c>
      <c r="C154" s="65" t="s">
        <v>387</v>
      </c>
      <c r="D154" s="66">
        <v>46961310</v>
      </c>
      <c r="E154" s="65">
        <v>723444092</v>
      </c>
      <c r="F154" s="67">
        <v>6853699.2738288641</v>
      </c>
      <c r="G154" s="68">
        <v>0</v>
      </c>
      <c r="H154" s="68">
        <v>6853699.2738288641</v>
      </c>
      <c r="I154" s="68">
        <v>0</v>
      </c>
      <c r="J154" s="68">
        <v>4696131</v>
      </c>
      <c r="K154" s="68">
        <v>2348066</v>
      </c>
      <c r="L154" s="68">
        <v>1878452</v>
      </c>
      <c r="M154" s="68">
        <v>3756905</v>
      </c>
      <c r="N154" s="69">
        <v>19533253.273828864</v>
      </c>
      <c r="O154" s="65" t="str">
        <f>VLOOKUP(A154,Report_HQ1!$A$7:$C$95,3,FALSE)</f>
        <v>BV Bến Tre</v>
      </c>
      <c r="P154" s="40" t="str">
        <f>VLOOKUP(C154,Sheet1!$U$4:$V$14,2,FALSE)</f>
        <v>BH Hàng hóa</v>
      </c>
      <c r="Q154" s="88">
        <f t="shared" si="2"/>
        <v>19533253.273828864</v>
      </c>
    </row>
    <row r="155" spans="1:17" x14ac:dyDescent="0.25">
      <c r="A155" s="85" t="s">
        <v>292</v>
      </c>
      <c r="B155" s="65" t="s">
        <v>150</v>
      </c>
      <c r="C155" s="65" t="s">
        <v>272</v>
      </c>
      <c r="D155" s="66">
        <v>726847700</v>
      </c>
      <c r="E155" s="65">
        <v>723444092</v>
      </c>
      <c r="F155" s="67">
        <v>106078717.85676721</v>
      </c>
      <c r="G155" s="68">
        <v>0</v>
      </c>
      <c r="H155" s="68">
        <v>106078717.85676721</v>
      </c>
      <c r="I155" s="68">
        <v>3043624</v>
      </c>
      <c r="J155" s="68">
        <v>109027156</v>
      </c>
      <c r="K155" s="68">
        <v>50879339</v>
      </c>
      <c r="L155" s="68">
        <v>7268476</v>
      </c>
      <c r="M155" s="68">
        <v>58147817</v>
      </c>
      <c r="N155" s="69">
        <v>334445129.85676718</v>
      </c>
      <c r="O155" s="65" t="str">
        <f>VLOOKUP(A155,Report_HQ1!$A$7:$C$95,3,FALSE)</f>
        <v>BV Bến Tre</v>
      </c>
      <c r="P155" s="40" t="str">
        <f>VLOOKUP(C155,Sheet1!$U$4:$V$14,2,FALSE)</f>
        <v>Tàu khác</v>
      </c>
      <c r="Q155" s="88">
        <f t="shared" si="2"/>
        <v>334445129.85676718</v>
      </c>
    </row>
    <row r="156" spans="1:17" x14ac:dyDescent="0.25">
      <c r="A156" s="85" t="s">
        <v>292</v>
      </c>
      <c r="B156" s="65" t="s">
        <v>150</v>
      </c>
      <c r="C156" s="65" t="s">
        <v>388</v>
      </c>
      <c r="D156" s="66">
        <v>0</v>
      </c>
      <c r="E156" s="65">
        <v>723444092</v>
      </c>
      <c r="F156" s="67">
        <v>0</v>
      </c>
      <c r="G156" s="68">
        <v>0</v>
      </c>
      <c r="H156" s="68">
        <v>0</v>
      </c>
      <c r="I156" s="68">
        <v>0</v>
      </c>
      <c r="J156" s="68">
        <v>0</v>
      </c>
      <c r="K156" s="68">
        <v>0</v>
      </c>
      <c r="L156" s="68">
        <v>0</v>
      </c>
      <c r="M156" s="68">
        <v>0</v>
      </c>
      <c r="N156" s="69">
        <v>0</v>
      </c>
      <c r="O156" s="65" t="str">
        <f>VLOOKUP(A156,Report_HQ1!$A$7:$C$95,3,FALSE)</f>
        <v>BV Bến Tre</v>
      </c>
      <c r="P156" s="40" t="str">
        <f>VLOOKUP(C156,Sheet1!$U$4:$V$14,2,FALSE)</f>
        <v>Hull (Thân tàu biển)</v>
      </c>
      <c r="Q156" s="88">
        <f t="shared" si="2"/>
        <v>0</v>
      </c>
    </row>
    <row r="157" spans="1:17" x14ac:dyDescent="0.25">
      <c r="A157" s="85" t="s">
        <v>292</v>
      </c>
      <c r="B157" s="65" t="s">
        <v>150</v>
      </c>
      <c r="C157" s="65" t="s">
        <v>23</v>
      </c>
      <c r="D157" s="66">
        <v>0</v>
      </c>
      <c r="E157" s="65">
        <v>723444092</v>
      </c>
      <c r="F157" s="67">
        <v>0</v>
      </c>
      <c r="G157" s="68">
        <v>0</v>
      </c>
      <c r="H157" s="68">
        <v>0</v>
      </c>
      <c r="I157" s="68">
        <v>0</v>
      </c>
      <c r="J157" s="68">
        <v>0</v>
      </c>
      <c r="K157" s="68">
        <v>0</v>
      </c>
      <c r="L157" s="68">
        <v>0</v>
      </c>
      <c r="M157" s="68">
        <v>0</v>
      </c>
      <c r="N157" s="69">
        <v>0</v>
      </c>
      <c r="O157" s="65" t="str">
        <f>VLOOKUP(A157,Report_HQ1!$A$7:$C$95,3,FALSE)</f>
        <v>BV Bến Tre</v>
      </c>
      <c r="P157" s="40" t="str">
        <f>VLOOKUP(C157,Sheet1!$U$4:$V$14,2,FALSE)</f>
        <v>P&amp;I</v>
      </c>
      <c r="Q157" s="88">
        <f t="shared" si="2"/>
        <v>0</v>
      </c>
    </row>
    <row r="158" spans="1:17" x14ac:dyDescent="0.25">
      <c r="A158" s="85" t="s">
        <v>292</v>
      </c>
      <c r="B158" s="65" t="s">
        <v>150</v>
      </c>
      <c r="C158" s="65" t="s">
        <v>389</v>
      </c>
      <c r="D158" s="66">
        <v>0</v>
      </c>
      <c r="E158" s="65">
        <v>723444092</v>
      </c>
      <c r="F158" s="67">
        <v>0</v>
      </c>
      <c r="G158" s="68">
        <v>0</v>
      </c>
      <c r="H158" s="68">
        <v>0</v>
      </c>
      <c r="I158" s="68">
        <v>0</v>
      </c>
      <c r="J158" s="68">
        <v>0</v>
      </c>
      <c r="K158" s="68">
        <v>0</v>
      </c>
      <c r="L158" s="68">
        <v>0</v>
      </c>
      <c r="M158" s="68">
        <v>0</v>
      </c>
      <c r="N158" s="69">
        <v>0</v>
      </c>
      <c r="O158" s="65" t="str">
        <f>VLOOKUP(A158,Report_HQ1!$A$7:$C$95,3,FALSE)</f>
        <v>BV Bến Tre</v>
      </c>
      <c r="P158" s="40" t="str">
        <f>VLOOKUP(C158,Sheet1!$U$4:$V$14,2,FALSE)</f>
        <v>BH Trách nhiệm</v>
      </c>
      <c r="Q158" s="88">
        <f t="shared" si="2"/>
        <v>0</v>
      </c>
    </row>
    <row r="159" spans="1:17" x14ac:dyDescent="0.25">
      <c r="A159" s="85" t="s">
        <v>292</v>
      </c>
      <c r="B159" s="65" t="s">
        <v>150</v>
      </c>
      <c r="C159" s="65" t="s">
        <v>390</v>
      </c>
      <c r="D159" s="66">
        <v>0</v>
      </c>
      <c r="E159" s="65">
        <v>723444092</v>
      </c>
      <c r="F159" s="67">
        <v>0</v>
      </c>
      <c r="G159" s="68">
        <v>0</v>
      </c>
      <c r="H159" s="68">
        <v>0</v>
      </c>
      <c r="I159" s="68">
        <v>0</v>
      </c>
      <c r="J159" s="68">
        <v>0</v>
      </c>
      <c r="K159" s="68">
        <v>0</v>
      </c>
      <c r="L159" s="68">
        <v>0</v>
      </c>
      <c r="M159" s="68">
        <v>0</v>
      </c>
      <c r="N159" s="69">
        <v>0</v>
      </c>
      <c r="O159" s="65" t="str">
        <f>VLOOKUP(A159,Report_HQ1!$A$7:$C$95,3,FALSE)</f>
        <v>BV Bến Tre</v>
      </c>
      <c r="P159" s="40" t="e">
        <f>VLOOKUP(C159,Sheet1!$U$4:$V$14,2,FALSE)</f>
        <v>#N/A</v>
      </c>
      <c r="Q159" s="88">
        <f t="shared" si="2"/>
        <v>0</v>
      </c>
    </row>
    <row r="160" spans="1:17" x14ac:dyDescent="0.25">
      <c r="A160" s="85" t="s">
        <v>292</v>
      </c>
      <c r="B160" s="65" t="s">
        <v>150</v>
      </c>
      <c r="C160" s="65" t="s">
        <v>391</v>
      </c>
      <c r="D160" s="66">
        <v>204217257</v>
      </c>
      <c r="E160" s="65">
        <v>723444092</v>
      </c>
      <c r="F160" s="67">
        <v>29804187.02127821</v>
      </c>
      <c r="G160" s="68">
        <v>0</v>
      </c>
      <c r="H160" s="68">
        <v>29804187.02127821</v>
      </c>
      <c r="I160" s="68">
        <v>0</v>
      </c>
      <c r="J160" s="68">
        <v>-9043729</v>
      </c>
      <c r="K160" s="68">
        <v>-4521864</v>
      </c>
      <c r="L160" s="68">
        <v>-6330610</v>
      </c>
      <c r="M160" s="68">
        <v>-5426237</v>
      </c>
      <c r="N160" s="69">
        <v>4481747.02127821</v>
      </c>
      <c r="O160" s="65" t="str">
        <f>VLOOKUP(A160,Report_HQ1!$A$7:$C$95,3,FALSE)</f>
        <v>BV Bến Tre</v>
      </c>
      <c r="P160" s="40" t="str">
        <f>VLOOKUP(C160,Sheet1!$U$4:$V$14,2,FALSE)</f>
        <v>BH Kỹ thuật</v>
      </c>
      <c r="Q160" s="88">
        <f t="shared" si="2"/>
        <v>4481747.02127821</v>
      </c>
    </row>
    <row r="161" spans="1:17" x14ac:dyDescent="0.25">
      <c r="A161" s="85" t="s">
        <v>292</v>
      </c>
      <c r="B161" s="65" t="s">
        <v>150</v>
      </c>
      <c r="C161" s="65" t="s">
        <v>392</v>
      </c>
      <c r="D161" s="66">
        <v>340351550</v>
      </c>
      <c r="E161" s="65">
        <v>723444092</v>
      </c>
      <c r="F161" s="67">
        <v>49672106.06095802</v>
      </c>
      <c r="G161" s="68">
        <v>0</v>
      </c>
      <c r="H161" s="68">
        <v>49672106.06095802</v>
      </c>
      <c r="I161" s="68">
        <v>0</v>
      </c>
      <c r="J161" s="68">
        <v>4190864</v>
      </c>
      <c r="K161" s="68">
        <v>2095432</v>
      </c>
      <c r="L161" s="68">
        <v>2154341</v>
      </c>
      <c r="M161" s="68">
        <v>5014309</v>
      </c>
      <c r="N161" s="69">
        <v>63127052.06095802</v>
      </c>
      <c r="O161" s="65" t="str">
        <f>VLOOKUP(A161,Report_HQ1!$A$7:$C$95,3,FALSE)</f>
        <v>BV Bến Tre</v>
      </c>
      <c r="P161" s="40" t="str">
        <f>VLOOKUP(C161,Sheet1!$U$4:$V$14,2,FALSE)</f>
        <v>BH Tài sản</v>
      </c>
      <c r="Q161" s="88">
        <f t="shared" si="2"/>
        <v>63127052.06095802</v>
      </c>
    </row>
    <row r="162" spans="1:17" x14ac:dyDescent="0.25">
      <c r="A162" s="85" t="s">
        <v>292</v>
      </c>
      <c r="B162" s="65" t="s">
        <v>150</v>
      </c>
      <c r="C162" s="65" t="s">
        <v>393</v>
      </c>
      <c r="D162" s="66">
        <v>1365730615</v>
      </c>
      <c r="E162" s="65">
        <v>723444092</v>
      </c>
      <c r="F162" s="67">
        <v>199319544.62665859</v>
      </c>
      <c r="G162" s="68">
        <v>0</v>
      </c>
      <c r="H162" s="68">
        <v>199319544.62665859</v>
      </c>
      <c r="I162" s="68">
        <v>0</v>
      </c>
      <c r="J162" s="68">
        <v>105415311</v>
      </c>
      <c r="K162" s="68">
        <v>52707655</v>
      </c>
      <c r="L162" s="68">
        <v>287245406</v>
      </c>
      <c r="M162" s="68">
        <v>81441328</v>
      </c>
      <c r="N162" s="69">
        <v>726129244.62665856</v>
      </c>
      <c r="O162" s="65" t="str">
        <f>VLOOKUP(A162,Report_HQ1!$A$7:$C$95,3,FALSE)</f>
        <v>BV Bến Tre</v>
      </c>
      <c r="P162" s="40" t="str">
        <f>VLOOKUP(C162,Sheet1!$U$4:$V$14,2,FALSE)</f>
        <v>BH Xe cơ giới</v>
      </c>
      <c r="Q162" s="88">
        <f t="shared" si="2"/>
        <v>726129244.62665856</v>
      </c>
    </row>
    <row r="163" spans="1:17" x14ac:dyDescent="0.25">
      <c r="A163" s="85" t="s">
        <v>292</v>
      </c>
      <c r="B163" s="65" t="s">
        <v>150</v>
      </c>
      <c r="C163" s="65" t="s">
        <v>394</v>
      </c>
      <c r="D163" s="66">
        <v>1612036300</v>
      </c>
      <c r="E163" s="65">
        <v>723444092</v>
      </c>
      <c r="F163" s="67">
        <v>235266265.32981661</v>
      </c>
      <c r="G163" s="68">
        <v>0</v>
      </c>
      <c r="H163" s="68">
        <v>235266265.32981661</v>
      </c>
      <c r="I163" s="68">
        <v>720000</v>
      </c>
      <c r="J163" s="68">
        <v>253638643</v>
      </c>
      <c r="K163" s="68">
        <v>24041450</v>
      </c>
      <c r="L163" s="68">
        <v>48846635</v>
      </c>
      <c r="M163" s="68">
        <v>87373078</v>
      </c>
      <c r="N163" s="69">
        <v>649886071.32981658</v>
      </c>
      <c r="O163" s="65" t="str">
        <f>VLOOKUP(A163,Report_HQ1!$A$7:$C$95,3,FALSE)</f>
        <v>BV Bến Tre</v>
      </c>
      <c r="P163" s="40" t="str">
        <f>VLOOKUP(C163,Sheet1!$U$4:$V$14,2,FALSE)</f>
        <v>BH Con người</v>
      </c>
      <c r="Q163" s="88">
        <f t="shared" si="2"/>
        <v>649886071.32981658</v>
      </c>
    </row>
    <row r="164" spans="1:17" x14ac:dyDescent="0.25">
      <c r="A164" s="85" t="s">
        <v>292</v>
      </c>
      <c r="B164" s="65" t="s">
        <v>150</v>
      </c>
      <c r="C164" s="65" t="s">
        <v>395</v>
      </c>
      <c r="D164" s="66">
        <v>0</v>
      </c>
      <c r="E164" s="65">
        <v>723444092</v>
      </c>
      <c r="F164" s="67">
        <v>0</v>
      </c>
      <c r="G164" s="68">
        <v>0</v>
      </c>
      <c r="H164" s="68">
        <v>0</v>
      </c>
      <c r="I164" s="68">
        <v>0</v>
      </c>
      <c r="J164" s="68">
        <v>0</v>
      </c>
      <c r="K164" s="68">
        <v>0</v>
      </c>
      <c r="L164" s="68">
        <v>0</v>
      </c>
      <c r="M164" s="68">
        <v>0</v>
      </c>
      <c r="N164" s="69">
        <v>0</v>
      </c>
      <c r="O164" s="65" t="str">
        <f>VLOOKUP(A164,Report_HQ1!$A$7:$C$95,3,FALSE)</f>
        <v>BV Bến Tre</v>
      </c>
      <c r="P164" s="40" t="e">
        <f>VLOOKUP(C164,Sheet1!$U$4:$V$14,2,FALSE)</f>
        <v>#N/A</v>
      </c>
      <c r="Q164" s="88">
        <f t="shared" si="2"/>
        <v>0</v>
      </c>
    </row>
    <row r="165" spans="1:17" x14ac:dyDescent="0.25">
      <c r="A165" s="85" t="s">
        <v>292</v>
      </c>
      <c r="B165" s="65" t="s">
        <v>150</v>
      </c>
      <c r="C165" s="65" t="s">
        <v>396</v>
      </c>
      <c r="D165" s="66">
        <v>647120725</v>
      </c>
      <c r="E165" s="65">
        <v>723444092</v>
      </c>
      <c r="F165" s="67">
        <v>94443081.826552704</v>
      </c>
      <c r="G165" s="68">
        <v>0</v>
      </c>
      <c r="H165" s="68">
        <v>94443081.826552704</v>
      </c>
      <c r="I165" s="68">
        <v>0</v>
      </c>
      <c r="J165" s="68">
        <v>129424145</v>
      </c>
      <c r="K165" s="68">
        <v>102108333</v>
      </c>
      <c r="L165" s="68">
        <v>-769870</v>
      </c>
      <c r="M165" s="68">
        <v>43186449</v>
      </c>
      <c r="N165" s="69">
        <v>368392138.82655269</v>
      </c>
      <c r="O165" s="65" t="str">
        <f>VLOOKUP(A165,Report_HQ1!$A$7:$C$95,3,FALSE)</f>
        <v>BV Bến Tre</v>
      </c>
      <c r="P165" s="40" t="str">
        <f>VLOOKUP(C165,Sheet1!$U$4:$V$14,2,FALSE)</f>
        <v>BH Y tế</v>
      </c>
      <c r="Q165" s="88">
        <f t="shared" si="2"/>
        <v>368392138.82655269</v>
      </c>
    </row>
    <row r="166" spans="1:17" x14ac:dyDescent="0.25">
      <c r="A166" s="85" t="s">
        <v>292</v>
      </c>
      <c r="B166" s="65" t="s">
        <v>150</v>
      </c>
      <c r="C166" s="65" t="s">
        <v>397</v>
      </c>
      <c r="D166" s="66">
        <v>13748400</v>
      </c>
      <c r="E166" s="65">
        <v>723444092</v>
      </c>
      <c r="F166" s="67">
        <v>2006490.0041397645</v>
      </c>
      <c r="G166" s="68">
        <v>0</v>
      </c>
      <c r="H166" s="68">
        <v>2006490.0041397645</v>
      </c>
      <c r="I166" s="68">
        <v>0</v>
      </c>
      <c r="J166" s="68">
        <v>2749680</v>
      </c>
      <c r="K166" s="68">
        <v>2749680</v>
      </c>
      <c r="L166" s="68">
        <v>0</v>
      </c>
      <c r="M166" s="68">
        <v>1099872</v>
      </c>
      <c r="N166" s="69">
        <v>8605722.0041397642</v>
      </c>
      <c r="O166" s="65" t="str">
        <f>VLOOKUP(A166,Report_HQ1!$A$7:$C$95,3,FALSE)</f>
        <v>BV Bến Tre</v>
      </c>
      <c r="P166" s="40" t="str">
        <f>VLOOKUP(C166,Sheet1!$U$4:$V$14,2,FALSE)</f>
        <v>BH Du lịch</v>
      </c>
      <c r="Q166" s="88">
        <f t="shared" si="2"/>
        <v>8605722.0041397642</v>
      </c>
    </row>
    <row r="167" spans="1:17" x14ac:dyDescent="0.25">
      <c r="A167" s="85" t="s">
        <v>294</v>
      </c>
      <c r="B167" s="65" t="s">
        <v>152</v>
      </c>
      <c r="C167" s="65" t="s">
        <v>387</v>
      </c>
      <c r="D167" s="66">
        <v>2005430035</v>
      </c>
      <c r="E167" s="65">
        <v>1303500000</v>
      </c>
      <c r="F167" s="67">
        <v>92674482.968165934</v>
      </c>
      <c r="G167" s="68">
        <v>0</v>
      </c>
      <c r="H167" s="68">
        <v>92674482.968165934</v>
      </c>
      <c r="I167" s="68">
        <v>0</v>
      </c>
      <c r="J167" s="68">
        <v>36705196</v>
      </c>
      <c r="K167" s="68">
        <v>18352598</v>
      </c>
      <c r="L167" s="68">
        <v>325973914</v>
      </c>
      <c r="M167" s="68">
        <v>160434405</v>
      </c>
      <c r="N167" s="69">
        <v>634140595.96816587</v>
      </c>
      <c r="O167" s="65" t="str">
        <f>VLOOKUP(A167,Report_HQ1!$A$7:$C$95,3,FALSE)</f>
        <v>BV Bình Dương</v>
      </c>
      <c r="P167" s="40" t="str">
        <f>VLOOKUP(C167,Sheet1!$U$4:$V$14,2,FALSE)</f>
        <v>BH Hàng hóa</v>
      </c>
      <c r="Q167" s="88">
        <f t="shared" si="2"/>
        <v>634140595.96816587</v>
      </c>
    </row>
    <row r="168" spans="1:17" x14ac:dyDescent="0.25">
      <c r="A168" s="85" t="s">
        <v>294</v>
      </c>
      <c r="B168" s="65" t="s">
        <v>152</v>
      </c>
      <c r="C168" s="65" t="s">
        <v>272</v>
      </c>
      <c r="D168" s="66">
        <v>223745120</v>
      </c>
      <c r="E168" s="65">
        <v>1303500000</v>
      </c>
      <c r="F168" s="67">
        <v>10339659.300380548</v>
      </c>
      <c r="G168" s="68">
        <v>0</v>
      </c>
      <c r="H168" s="68">
        <v>10339659.300380548</v>
      </c>
      <c r="I168" s="68">
        <v>401650</v>
      </c>
      <c r="J168" s="68">
        <v>33561768</v>
      </c>
      <c r="K168" s="68">
        <v>15662158</v>
      </c>
      <c r="L168" s="68">
        <v>2237451</v>
      </c>
      <c r="M168" s="68">
        <v>17899610</v>
      </c>
      <c r="N168" s="69">
        <v>80102296.300380558</v>
      </c>
      <c r="O168" s="65" t="str">
        <f>VLOOKUP(A168,Report_HQ1!$A$7:$C$95,3,FALSE)</f>
        <v>BV Bình Dương</v>
      </c>
      <c r="P168" s="40" t="str">
        <f>VLOOKUP(C168,Sheet1!$U$4:$V$14,2,FALSE)</f>
        <v>Tàu khác</v>
      </c>
      <c r="Q168" s="88">
        <f t="shared" si="2"/>
        <v>80102296.300380558</v>
      </c>
    </row>
    <row r="169" spans="1:17" x14ac:dyDescent="0.25">
      <c r="A169" s="85" t="s">
        <v>294</v>
      </c>
      <c r="B169" s="65" t="s">
        <v>152</v>
      </c>
      <c r="C169" s="65" t="s">
        <v>388</v>
      </c>
      <c r="D169" s="66">
        <v>0</v>
      </c>
      <c r="E169" s="65">
        <v>1303500000</v>
      </c>
      <c r="F169" s="67">
        <v>0</v>
      </c>
      <c r="G169" s="68">
        <v>0</v>
      </c>
      <c r="H169" s="68">
        <v>0</v>
      </c>
      <c r="I169" s="68">
        <v>0</v>
      </c>
      <c r="J169" s="68">
        <v>0</v>
      </c>
      <c r="K169" s="68">
        <v>0</v>
      </c>
      <c r="L169" s="68">
        <v>0</v>
      </c>
      <c r="M169" s="68">
        <v>0</v>
      </c>
      <c r="N169" s="69">
        <v>0</v>
      </c>
      <c r="O169" s="65" t="str">
        <f>VLOOKUP(A169,Report_HQ1!$A$7:$C$95,3,FALSE)</f>
        <v>BV Bình Dương</v>
      </c>
      <c r="P169" s="40" t="str">
        <f>VLOOKUP(C169,Sheet1!$U$4:$V$14,2,FALSE)</f>
        <v>Hull (Thân tàu biển)</v>
      </c>
      <c r="Q169" s="88">
        <f t="shared" si="2"/>
        <v>0</v>
      </c>
    </row>
    <row r="170" spans="1:17" x14ac:dyDescent="0.25">
      <c r="A170" s="85" t="s">
        <v>294</v>
      </c>
      <c r="B170" s="65" t="s">
        <v>152</v>
      </c>
      <c r="C170" s="65" t="s">
        <v>23</v>
      </c>
      <c r="D170" s="66">
        <v>0</v>
      </c>
      <c r="E170" s="65">
        <v>1303500000</v>
      </c>
      <c r="F170" s="67">
        <v>0</v>
      </c>
      <c r="G170" s="68">
        <v>0</v>
      </c>
      <c r="H170" s="68">
        <v>0</v>
      </c>
      <c r="I170" s="68">
        <v>0</v>
      </c>
      <c r="J170" s="68">
        <v>0</v>
      </c>
      <c r="K170" s="68">
        <v>0</v>
      </c>
      <c r="L170" s="68">
        <v>0</v>
      </c>
      <c r="M170" s="68">
        <v>0</v>
      </c>
      <c r="N170" s="69">
        <v>0</v>
      </c>
      <c r="O170" s="65" t="str">
        <f>VLOOKUP(A170,Report_HQ1!$A$7:$C$95,3,FALSE)</f>
        <v>BV Bình Dương</v>
      </c>
      <c r="P170" s="40" t="str">
        <f>VLOOKUP(C170,Sheet1!$U$4:$V$14,2,FALSE)</f>
        <v>P&amp;I</v>
      </c>
      <c r="Q170" s="88">
        <f t="shared" si="2"/>
        <v>0</v>
      </c>
    </row>
    <row r="171" spans="1:17" x14ac:dyDescent="0.25">
      <c r="A171" s="85" t="s">
        <v>294</v>
      </c>
      <c r="B171" s="65" t="s">
        <v>152</v>
      </c>
      <c r="C171" s="65" t="s">
        <v>389</v>
      </c>
      <c r="D171" s="66">
        <v>102006966</v>
      </c>
      <c r="E171" s="65">
        <v>1303500000</v>
      </c>
      <c r="F171" s="67">
        <v>4713923.0330721969</v>
      </c>
      <c r="G171" s="68">
        <v>0</v>
      </c>
      <c r="H171" s="68">
        <v>4713923.0330721969</v>
      </c>
      <c r="I171" s="68">
        <v>0</v>
      </c>
      <c r="J171" s="68">
        <v>3475026</v>
      </c>
      <c r="K171" s="68">
        <v>1737514</v>
      </c>
      <c r="L171" s="68">
        <v>10088507</v>
      </c>
      <c r="M171" s="68">
        <v>8160558</v>
      </c>
      <c r="N171" s="69">
        <v>28175528.033072196</v>
      </c>
      <c r="O171" s="65" t="str">
        <f>VLOOKUP(A171,Report_HQ1!$A$7:$C$95,3,FALSE)</f>
        <v>BV Bình Dương</v>
      </c>
      <c r="P171" s="40" t="str">
        <f>VLOOKUP(C171,Sheet1!$U$4:$V$14,2,FALSE)</f>
        <v>BH Trách nhiệm</v>
      </c>
      <c r="Q171" s="88">
        <f t="shared" si="2"/>
        <v>28175528.033072196</v>
      </c>
    </row>
    <row r="172" spans="1:17" x14ac:dyDescent="0.25">
      <c r="A172" s="85" t="s">
        <v>294</v>
      </c>
      <c r="B172" s="65" t="s">
        <v>152</v>
      </c>
      <c r="C172" s="65" t="s">
        <v>390</v>
      </c>
      <c r="D172" s="66">
        <v>0</v>
      </c>
      <c r="E172" s="65">
        <v>1303500000</v>
      </c>
      <c r="F172" s="67">
        <v>0</v>
      </c>
      <c r="G172" s="68">
        <v>0</v>
      </c>
      <c r="H172" s="68">
        <v>0</v>
      </c>
      <c r="I172" s="68">
        <v>0</v>
      </c>
      <c r="J172" s="68">
        <v>0</v>
      </c>
      <c r="K172" s="68">
        <v>0</v>
      </c>
      <c r="L172" s="68">
        <v>0</v>
      </c>
      <c r="M172" s="68">
        <v>0</v>
      </c>
      <c r="N172" s="69">
        <v>0</v>
      </c>
      <c r="O172" s="65" t="str">
        <f>VLOOKUP(A172,Report_HQ1!$A$7:$C$95,3,FALSE)</f>
        <v>BV Bình Dương</v>
      </c>
      <c r="P172" s="40" t="e">
        <f>VLOOKUP(C172,Sheet1!$U$4:$V$14,2,FALSE)</f>
        <v>#N/A</v>
      </c>
      <c r="Q172" s="88">
        <f t="shared" si="2"/>
        <v>0</v>
      </c>
    </row>
    <row r="173" spans="1:17" x14ac:dyDescent="0.25">
      <c r="A173" s="85" t="s">
        <v>294</v>
      </c>
      <c r="B173" s="65" t="s">
        <v>152</v>
      </c>
      <c r="C173" s="65" t="s">
        <v>391</v>
      </c>
      <c r="D173" s="66">
        <v>656080398</v>
      </c>
      <c r="E173" s="65">
        <v>1303500000</v>
      </c>
      <c r="F173" s="67">
        <v>30318640.196389861</v>
      </c>
      <c r="G173" s="68">
        <v>0</v>
      </c>
      <c r="H173" s="68">
        <v>30318640.196389861</v>
      </c>
      <c r="I173" s="68">
        <v>0</v>
      </c>
      <c r="J173" s="68">
        <v>1493750</v>
      </c>
      <c r="K173" s="68">
        <v>746875</v>
      </c>
      <c r="L173" s="68">
        <v>112533824</v>
      </c>
      <c r="M173" s="68">
        <v>31114824</v>
      </c>
      <c r="N173" s="69">
        <v>176207913.19638985</v>
      </c>
      <c r="O173" s="65" t="str">
        <f>VLOOKUP(A173,Report_HQ1!$A$7:$C$95,3,FALSE)</f>
        <v>BV Bình Dương</v>
      </c>
      <c r="P173" s="40" t="str">
        <f>VLOOKUP(C173,Sheet1!$U$4:$V$14,2,FALSE)</f>
        <v>BH Kỹ thuật</v>
      </c>
      <c r="Q173" s="88">
        <f t="shared" si="2"/>
        <v>176207913.19638985</v>
      </c>
    </row>
    <row r="174" spans="1:17" x14ac:dyDescent="0.25">
      <c r="A174" s="85" t="s">
        <v>294</v>
      </c>
      <c r="B174" s="65" t="s">
        <v>152</v>
      </c>
      <c r="C174" s="65" t="s">
        <v>392</v>
      </c>
      <c r="D174" s="66">
        <v>10192589376</v>
      </c>
      <c r="E174" s="65">
        <v>1303500000</v>
      </c>
      <c r="F174" s="67">
        <v>471017654.09014684</v>
      </c>
      <c r="G174" s="68">
        <v>0</v>
      </c>
      <c r="H174" s="68">
        <v>471017654.09014684</v>
      </c>
      <c r="I174" s="68">
        <v>0</v>
      </c>
      <c r="J174" s="68">
        <v>442297361</v>
      </c>
      <c r="K174" s="68">
        <v>205976492</v>
      </c>
      <c r="L174" s="68">
        <v>758345755</v>
      </c>
      <c r="M174" s="68">
        <v>568141464</v>
      </c>
      <c r="N174" s="69">
        <v>2445778726.090147</v>
      </c>
      <c r="O174" s="65" t="str">
        <f>VLOOKUP(A174,Report_HQ1!$A$7:$C$95,3,FALSE)</f>
        <v>BV Bình Dương</v>
      </c>
      <c r="P174" s="40" t="str">
        <f>VLOOKUP(C174,Sheet1!$U$4:$V$14,2,FALSE)</f>
        <v>BH Tài sản</v>
      </c>
      <c r="Q174" s="88">
        <f t="shared" si="2"/>
        <v>2445778726.090147</v>
      </c>
    </row>
    <row r="175" spans="1:17" x14ac:dyDescent="0.25">
      <c r="A175" s="85" t="s">
        <v>294</v>
      </c>
      <c r="B175" s="65" t="s">
        <v>152</v>
      </c>
      <c r="C175" s="65" t="s">
        <v>393</v>
      </c>
      <c r="D175" s="66">
        <v>9239771011</v>
      </c>
      <c r="E175" s="65">
        <v>1303500000</v>
      </c>
      <c r="F175" s="67">
        <v>426986225.51979125</v>
      </c>
      <c r="G175" s="68">
        <v>0</v>
      </c>
      <c r="H175" s="68">
        <v>426986225.51979125</v>
      </c>
      <c r="I175" s="68">
        <v>0</v>
      </c>
      <c r="J175" s="68">
        <v>784951611</v>
      </c>
      <c r="K175" s="68">
        <v>392475806</v>
      </c>
      <c r="L175" s="68">
        <v>1154746910</v>
      </c>
      <c r="M175" s="68">
        <v>552336662</v>
      </c>
      <c r="N175" s="69">
        <v>3311497214.5197911</v>
      </c>
      <c r="O175" s="65" t="str">
        <f>VLOOKUP(A175,Report_HQ1!$A$7:$C$95,3,FALSE)</f>
        <v>BV Bình Dương</v>
      </c>
      <c r="P175" s="40" t="str">
        <f>VLOOKUP(C175,Sheet1!$U$4:$V$14,2,FALSE)</f>
        <v>BH Xe cơ giới</v>
      </c>
      <c r="Q175" s="88">
        <f t="shared" si="2"/>
        <v>3311497214.5197911</v>
      </c>
    </row>
    <row r="176" spans="1:17" x14ac:dyDescent="0.25">
      <c r="A176" s="85" t="s">
        <v>294</v>
      </c>
      <c r="B176" s="65" t="s">
        <v>152</v>
      </c>
      <c r="C176" s="65" t="s">
        <v>394</v>
      </c>
      <c r="D176" s="66">
        <v>1856878762</v>
      </c>
      <c r="E176" s="65">
        <v>1303500000</v>
      </c>
      <c r="F176" s="67">
        <v>85809664.859695807</v>
      </c>
      <c r="G176" s="68">
        <v>0</v>
      </c>
      <c r="H176" s="68">
        <v>85809664.859695807</v>
      </c>
      <c r="I176" s="68">
        <v>8241100</v>
      </c>
      <c r="J176" s="68">
        <v>320582224</v>
      </c>
      <c r="K176" s="68">
        <v>67495010</v>
      </c>
      <c r="L176" s="68">
        <v>54142721</v>
      </c>
      <c r="M176" s="68">
        <v>107497208</v>
      </c>
      <c r="N176" s="69">
        <v>643767927.85969579</v>
      </c>
      <c r="O176" s="65" t="str">
        <f>VLOOKUP(A176,Report_HQ1!$A$7:$C$95,3,FALSE)</f>
        <v>BV Bình Dương</v>
      </c>
      <c r="P176" s="40" t="str">
        <f>VLOOKUP(C176,Sheet1!$U$4:$V$14,2,FALSE)</f>
        <v>BH Con người</v>
      </c>
      <c r="Q176" s="88">
        <f t="shared" si="2"/>
        <v>643767927.85969579</v>
      </c>
    </row>
    <row r="177" spans="1:17" x14ac:dyDescent="0.25">
      <c r="A177" s="85" t="s">
        <v>294</v>
      </c>
      <c r="B177" s="65" t="s">
        <v>152</v>
      </c>
      <c r="C177" s="65" t="s">
        <v>395</v>
      </c>
      <c r="D177" s="66">
        <v>0</v>
      </c>
      <c r="E177" s="65">
        <v>1303500000</v>
      </c>
      <c r="F177" s="67">
        <v>0</v>
      </c>
      <c r="G177" s="68">
        <v>0</v>
      </c>
      <c r="H177" s="68">
        <v>0</v>
      </c>
      <c r="I177" s="68">
        <v>0</v>
      </c>
      <c r="J177" s="68">
        <v>0</v>
      </c>
      <c r="K177" s="68">
        <v>0</v>
      </c>
      <c r="L177" s="68">
        <v>0</v>
      </c>
      <c r="M177" s="68">
        <v>0</v>
      </c>
      <c r="N177" s="69">
        <v>0</v>
      </c>
      <c r="O177" s="65" t="str">
        <f>VLOOKUP(A177,Report_HQ1!$A$7:$C$95,3,FALSE)</f>
        <v>BV Bình Dương</v>
      </c>
      <c r="P177" s="40" t="e">
        <f>VLOOKUP(C177,Sheet1!$U$4:$V$14,2,FALSE)</f>
        <v>#N/A</v>
      </c>
      <c r="Q177" s="88">
        <f t="shared" si="2"/>
        <v>0</v>
      </c>
    </row>
    <row r="178" spans="1:17" x14ac:dyDescent="0.25">
      <c r="A178" s="85" t="s">
        <v>294</v>
      </c>
      <c r="B178" s="65" t="s">
        <v>152</v>
      </c>
      <c r="C178" s="65" t="s">
        <v>396</v>
      </c>
      <c r="D178" s="66">
        <v>3874716670</v>
      </c>
      <c r="E178" s="65">
        <v>1303500000</v>
      </c>
      <c r="F178" s="67">
        <v>179057537.67190567</v>
      </c>
      <c r="G178" s="68">
        <v>0</v>
      </c>
      <c r="H178" s="68">
        <v>179057537.67190567</v>
      </c>
      <c r="I178" s="68">
        <v>0</v>
      </c>
      <c r="J178" s="68">
        <v>515105936</v>
      </c>
      <c r="K178" s="68">
        <v>96644719</v>
      </c>
      <c r="L178" s="68">
        <v>22664277</v>
      </c>
      <c r="M178" s="68">
        <v>208087172</v>
      </c>
      <c r="N178" s="69">
        <v>1021559641.6719056</v>
      </c>
      <c r="O178" s="65" t="str">
        <f>VLOOKUP(A178,Report_HQ1!$A$7:$C$95,3,FALSE)</f>
        <v>BV Bình Dương</v>
      </c>
      <c r="P178" s="40" t="str">
        <f>VLOOKUP(C178,Sheet1!$U$4:$V$14,2,FALSE)</f>
        <v>BH Y tế</v>
      </c>
      <c r="Q178" s="88">
        <f t="shared" si="2"/>
        <v>1021559641.6719056</v>
      </c>
    </row>
    <row r="179" spans="1:17" x14ac:dyDescent="0.25">
      <c r="A179" s="85" t="s">
        <v>294</v>
      </c>
      <c r="B179" s="65" t="s">
        <v>152</v>
      </c>
      <c r="C179" s="65" t="s">
        <v>397</v>
      </c>
      <c r="D179" s="66">
        <v>55877800</v>
      </c>
      <c r="E179" s="65">
        <v>1303500000</v>
      </c>
      <c r="F179" s="67">
        <v>2582212.3604519479</v>
      </c>
      <c r="G179" s="68">
        <v>0</v>
      </c>
      <c r="H179" s="68">
        <v>2582212.3604519479</v>
      </c>
      <c r="I179" s="68">
        <v>0</v>
      </c>
      <c r="J179" s="68">
        <v>11175560</v>
      </c>
      <c r="K179" s="68">
        <v>11175560</v>
      </c>
      <c r="L179" s="68">
        <v>0</v>
      </c>
      <c r="M179" s="68">
        <v>4470224</v>
      </c>
      <c r="N179" s="69">
        <v>29403556.360451948</v>
      </c>
      <c r="O179" s="65" t="str">
        <f>VLOOKUP(A179,Report_HQ1!$A$7:$C$95,3,FALSE)</f>
        <v>BV Bình Dương</v>
      </c>
      <c r="P179" s="40" t="str">
        <f>VLOOKUP(C179,Sheet1!$U$4:$V$14,2,FALSE)</f>
        <v>BH Du lịch</v>
      </c>
      <c r="Q179" s="88">
        <f t="shared" si="2"/>
        <v>29403556.360451948</v>
      </c>
    </row>
    <row r="180" spans="1:17" x14ac:dyDescent="0.25">
      <c r="A180" s="85" t="s">
        <v>293</v>
      </c>
      <c r="B180" s="65" t="s">
        <v>151</v>
      </c>
      <c r="C180" s="65" t="s">
        <v>387</v>
      </c>
      <c r="D180" s="66">
        <v>157807568</v>
      </c>
      <c r="E180" s="65">
        <v>989500000</v>
      </c>
      <c r="F180" s="67">
        <v>6929159.7675060108</v>
      </c>
      <c r="G180" s="68">
        <v>0</v>
      </c>
      <c r="H180" s="68">
        <v>6929159.7675060108</v>
      </c>
      <c r="I180" s="68">
        <v>0</v>
      </c>
      <c r="J180" s="68">
        <v>15780757</v>
      </c>
      <c r="K180" s="68">
        <v>7890378</v>
      </c>
      <c r="L180" s="68">
        <v>6312302</v>
      </c>
      <c r="M180" s="68">
        <v>12624605</v>
      </c>
      <c r="N180" s="69">
        <v>49537201.767506011</v>
      </c>
      <c r="O180" s="65" t="str">
        <f>VLOOKUP(A180,Report_HQ1!$A$7:$C$95,3,FALSE)</f>
        <v>BV Bình Định</v>
      </c>
      <c r="P180" s="40" t="str">
        <f>VLOOKUP(C180,Sheet1!$U$4:$V$14,2,FALSE)</f>
        <v>BH Hàng hóa</v>
      </c>
      <c r="Q180" s="88">
        <f t="shared" si="2"/>
        <v>49537201.767506011</v>
      </c>
    </row>
    <row r="181" spans="1:17" x14ac:dyDescent="0.25">
      <c r="A181" s="85" t="s">
        <v>293</v>
      </c>
      <c r="B181" s="65" t="s">
        <v>151</v>
      </c>
      <c r="C181" s="65" t="s">
        <v>272</v>
      </c>
      <c r="D181" s="66">
        <v>6437218600</v>
      </c>
      <c r="E181" s="65">
        <v>989500000</v>
      </c>
      <c r="F181" s="67">
        <v>282651311.99386692</v>
      </c>
      <c r="G181" s="68">
        <v>0</v>
      </c>
      <c r="H181" s="68">
        <v>282651311.99386692</v>
      </c>
      <c r="I181" s="68">
        <v>32077463</v>
      </c>
      <c r="J181" s="68">
        <v>965582790</v>
      </c>
      <c r="K181" s="68">
        <v>450605302</v>
      </c>
      <c r="L181" s="68">
        <v>64372186</v>
      </c>
      <c r="M181" s="68">
        <v>514977488</v>
      </c>
      <c r="N181" s="69">
        <v>2310266540.9938669</v>
      </c>
      <c r="O181" s="65" t="str">
        <f>VLOOKUP(A181,Report_HQ1!$A$7:$C$95,3,FALSE)</f>
        <v>BV Bình Định</v>
      </c>
      <c r="P181" s="40" t="str">
        <f>VLOOKUP(C181,Sheet1!$U$4:$V$14,2,FALSE)</f>
        <v>Tàu khác</v>
      </c>
      <c r="Q181" s="88">
        <f t="shared" si="2"/>
        <v>2310266540.9938669</v>
      </c>
    </row>
    <row r="182" spans="1:17" x14ac:dyDescent="0.25">
      <c r="A182" s="85" t="s">
        <v>293</v>
      </c>
      <c r="B182" s="65" t="s">
        <v>151</v>
      </c>
      <c r="C182" s="65" t="s">
        <v>388</v>
      </c>
      <c r="D182" s="66">
        <v>0</v>
      </c>
      <c r="E182" s="65">
        <v>989500000</v>
      </c>
      <c r="F182" s="67">
        <v>0</v>
      </c>
      <c r="G182" s="68">
        <v>0</v>
      </c>
      <c r="H182" s="68">
        <v>0</v>
      </c>
      <c r="I182" s="68">
        <v>0</v>
      </c>
      <c r="J182" s="68">
        <v>0</v>
      </c>
      <c r="K182" s="68">
        <v>0</v>
      </c>
      <c r="L182" s="68">
        <v>0</v>
      </c>
      <c r="M182" s="68">
        <v>0</v>
      </c>
      <c r="N182" s="69">
        <v>0</v>
      </c>
      <c r="O182" s="65" t="str">
        <f>VLOOKUP(A182,Report_HQ1!$A$7:$C$95,3,FALSE)</f>
        <v>BV Bình Định</v>
      </c>
      <c r="P182" s="40" t="str">
        <f>VLOOKUP(C182,Sheet1!$U$4:$V$14,2,FALSE)</f>
        <v>Hull (Thân tàu biển)</v>
      </c>
      <c r="Q182" s="88">
        <f t="shared" si="2"/>
        <v>0</v>
      </c>
    </row>
    <row r="183" spans="1:17" x14ac:dyDescent="0.25">
      <c r="A183" s="85" t="s">
        <v>293</v>
      </c>
      <c r="B183" s="65" t="s">
        <v>151</v>
      </c>
      <c r="C183" s="65" t="s">
        <v>23</v>
      </c>
      <c r="D183" s="66">
        <v>0</v>
      </c>
      <c r="E183" s="65">
        <v>989500000</v>
      </c>
      <c r="F183" s="67">
        <v>0</v>
      </c>
      <c r="G183" s="68">
        <v>0</v>
      </c>
      <c r="H183" s="68">
        <v>0</v>
      </c>
      <c r="I183" s="68">
        <v>0</v>
      </c>
      <c r="J183" s="68">
        <v>0</v>
      </c>
      <c r="K183" s="68">
        <v>0</v>
      </c>
      <c r="L183" s="68">
        <v>0</v>
      </c>
      <c r="M183" s="68">
        <v>0</v>
      </c>
      <c r="N183" s="69">
        <v>0</v>
      </c>
      <c r="O183" s="65" t="str">
        <f>VLOOKUP(A183,Report_HQ1!$A$7:$C$95,3,FALSE)</f>
        <v>BV Bình Định</v>
      </c>
      <c r="P183" s="40" t="str">
        <f>VLOOKUP(C183,Sheet1!$U$4:$V$14,2,FALSE)</f>
        <v>P&amp;I</v>
      </c>
      <c r="Q183" s="88">
        <f t="shared" si="2"/>
        <v>0</v>
      </c>
    </row>
    <row r="184" spans="1:17" x14ac:dyDescent="0.25">
      <c r="A184" s="85" t="s">
        <v>293</v>
      </c>
      <c r="B184" s="65" t="s">
        <v>151</v>
      </c>
      <c r="C184" s="65" t="s">
        <v>389</v>
      </c>
      <c r="D184" s="66">
        <v>7500000</v>
      </c>
      <c r="E184" s="65">
        <v>989500000</v>
      </c>
      <c r="F184" s="67">
        <v>329316.89471505629</v>
      </c>
      <c r="G184" s="68">
        <v>0</v>
      </c>
      <c r="H184" s="68">
        <v>329316.89471505629</v>
      </c>
      <c r="I184" s="68">
        <v>0</v>
      </c>
      <c r="J184" s="68">
        <v>375000</v>
      </c>
      <c r="K184" s="68">
        <v>187500</v>
      </c>
      <c r="L184" s="68">
        <v>562500</v>
      </c>
      <c r="M184" s="68">
        <v>600000</v>
      </c>
      <c r="N184" s="69">
        <v>2054316.8947150563</v>
      </c>
      <c r="O184" s="65" t="str">
        <f>VLOOKUP(A184,Report_HQ1!$A$7:$C$95,3,FALSE)</f>
        <v>BV Bình Định</v>
      </c>
      <c r="P184" s="40" t="str">
        <f>VLOOKUP(C184,Sheet1!$U$4:$V$14,2,FALSE)</f>
        <v>BH Trách nhiệm</v>
      </c>
      <c r="Q184" s="88">
        <f t="shared" si="2"/>
        <v>2054316.8947150563</v>
      </c>
    </row>
    <row r="185" spans="1:17" x14ac:dyDescent="0.25">
      <c r="A185" s="85" t="s">
        <v>293</v>
      </c>
      <c r="B185" s="65" t="s">
        <v>151</v>
      </c>
      <c r="C185" s="65" t="s">
        <v>390</v>
      </c>
      <c r="D185" s="66">
        <v>0</v>
      </c>
      <c r="E185" s="65">
        <v>989500000</v>
      </c>
      <c r="F185" s="67">
        <v>0</v>
      </c>
      <c r="G185" s="68">
        <v>0</v>
      </c>
      <c r="H185" s="68">
        <v>0</v>
      </c>
      <c r="I185" s="68">
        <v>0</v>
      </c>
      <c r="J185" s="68">
        <v>0</v>
      </c>
      <c r="K185" s="68">
        <v>0</v>
      </c>
      <c r="L185" s="68">
        <v>0</v>
      </c>
      <c r="M185" s="68">
        <v>0</v>
      </c>
      <c r="N185" s="69">
        <v>0</v>
      </c>
      <c r="O185" s="65" t="str">
        <f>VLOOKUP(A185,Report_HQ1!$A$7:$C$95,3,FALSE)</f>
        <v>BV Bình Định</v>
      </c>
      <c r="P185" s="40" t="e">
        <f>VLOOKUP(C185,Sheet1!$U$4:$V$14,2,FALSE)</f>
        <v>#N/A</v>
      </c>
      <c r="Q185" s="88">
        <f t="shared" si="2"/>
        <v>0</v>
      </c>
    </row>
    <row r="186" spans="1:17" x14ac:dyDescent="0.25">
      <c r="A186" s="85" t="s">
        <v>293</v>
      </c>
      <c r="B186" s="65" t="s">
        <v>151</v>
      </c>
      <c r="C186" s="65" t="s">
        <v>391</v>
      </c>
      <c r="D186" s="66">
        <v>1732299213</v>
      </c>
      <c r="E186" s="65">
        <v>989500000</v>
      </c>
      <c r="F186" s="67">
        <v>76063386.33899945</v>
      </c>
      <c r="G186" s="68">
        <v>0</v>
      </c>
      <c r="H186" s="68">
        <v>76063386.33899945</v>
      </c>
      <c r="I186" s="68">
        <v>0</v>
      </c>
      <c r="J186" s="68">
        <v>3029310</v>
      </c>
      <c r="K186" s="68">
        <v>1514655</v>
      </c>
      <c r="L186" s="68">
        <v>336461846</v>
      </c>
      <c r="M186" s="68">
        <v>73971334</v>
      </c>
      <c r="N186" s="69">
        <v>491040531.33899945</v>
      </c>
      <c r="O186" s="65" t="str">
        <f>VLOOKUP(A186,Report_HQ1!$A$7:$C$95,3,FALSE)</f>
        <v>BV Bình Định</v>
      </c>
      <c r="P186" s="40" t="str">
        <f>VLOOKUP(C186,Sheet1!$U$4:$V$14,2,FALSE)</f>
        <v>BH Kỹ thuật</v>
      </c>
      <c r="Q186" s="88">
        <f t="shared" si="2"/>
        <v>491040531.33899945</v>
      </c>
    </row>
    <row r="187" spans="1:17" x14ac:dyDescent="0.25">
      <c r="A187" s="85" t="s">
        <v>293</v>
      </c>
      <c r="B187" s="65" t="s">
        <v>151</v>
      </c>
      <c r="C187" s="65" t="s">
        <v>392</v>
      </c>
      <c r="D187" s="66">
        <v>976629860</v>
      </c>
      <c r="E187" s="65">
        <v>989500000</v>
      </c>
      <c r="F187" s="67">
        <v>42882761.70416002</v>
      </c>
      <c r="G187" s="68">
        <v>0</v>
      </c>
      <c r="H187" s="68">
        <v>42882761.70416002</v>
      </c>
      <c r="I187" s="68">
        <v>0</v>
      </c>
      <c r="J187" s="68">
        <v>81099264</v>
      </c>
      <c r="K187" s="68">
        <v>18714214</v>
      </c>
      <c r="L187" s="68">
        <v>74978128</v>
      </c>
      <c r="M187" s="68">
        <v>43264564</v>
      </c>
      <c r="N187" s="69">
        <v>260938931.70416003</v>
      </c>
      <c r="O187" s="65" t="str">
        <f>VLOOKUP(A187,Report_HQ1!$A$7:$C$95,3,FALSE)</f>
        <v>BV Bình Định</v>
      </c>
      <c r="P187" s="40" t="str">
        <f>VLOOKUP(C187,Sheet1!$U$4:$V$14,2,FALSE)</f>
        <v>BH Tài sản</v>
      </c>
      <c r="Q187" s="88">
        <f t="shared" si="2"/>
        <v>260938931.70416003</v>
      </c>
    </row>
    <row r="188" spans="1:17" x14ac:dyDescent="0.25">
      <c r="A188" s="85" t="s">
        <v>293</v>
      </c>
      <c r="B188" s="65" t="s">
        <v>151</v>
      </c>
      <c r="C188" s="65" t="s">
        <v>393</v>
      </c>
      <c r="D188" s="66">
        <v>6845722800</v>
      </c>
      <c r="E188" s="65">
        <v>989500000</v>
      </c>
      <c r="F188" s="67">
        <v>300588289.94347471</v>
      </c>
      <c r="G188" s="68">
        <v>0</v>
      </c>
      <c r="H188" s="68">
        <v>300588289.94347471</v>
      </c>
      <c r="I188" s="68">
        <v>0</v>
      </c>
      <c r="J188" s="68">
        <v>606127099</v>
      </c>
      <c r="K188" s="68">
        <v>303063550</v>
      </c>
      <c r="L188" s="68">
        <v>684269261</v>
      </c>
      <c r="M188" s="68">
        <v>408729691</v>
      </c>
      <c r="N188" s="69">
        <v>2302777890.9434748</v>
      </c>
      <c r="O188" s="65" t="str">
        <f>VLOOKUP(A188,Report_HQ1!$A$7:$C$95,3,FALSE)</f>
        <v>BV Bình Định</v>
      </c>
      <c r="P188" s="40" t="str">
        <f>VLOOKUP(C188,Sheet1!$U$4:$V$14,2,FALSE)</f>
        <v>BH Xe cơ giới</v>
      </c>
      <c r="Q188" s="88">
        <f t="shared" si="2"/>
        <v>2302777890.9434748</v>
      </c>
    </row>
    <row r="189" spans="1:17" x14ac:dyDescent="0.25">
      <c r="A189" s="85" t="s">
        <v>293</v>
      </c>
      <c r="B189" s="65" t="s">
        <v>151</v>
      </c>
      <c r="C189" s="65" t="s">
        <v>394</v>
      </c>
      <c r="D189" s="66">
        <v>5683662673</v>
      </c>
      <c r="E189" s="65">
        <v>989500000</v>
      </c>
      <c r="F189" s="67">
        <v>249563485.61069816</v>
      </c>
      <c r="G189" s="68">
        <v>0</v>
      </c>
      <c r="H189" s="68">
        <v>249563485.61069816</v>
      </c>
      <c r="I189" s="68">
        <v>0</v>
      </c>
      <c r="J189" s="68">
        <v>1010704743</v>
      </c>
      <c r="K189" s="68">
        <v>142370840</v>
      </c>
      <c r="L189" s="68">
        <v>143338529</v>
      </c>
      <c r="M189" s="68">
        <v>313676478</v>
      </c>
      <c r="N189" s="69">
        <v>1859654075.6106982</v>
      </c>
      <c r="O189" s="65" t="str">
        <f>VLOOKUP(A189,Report_HQ1!$A$7:$C$95,3,FALSE)</f>
        <v>BV Bình Định</v>
      </c>
      <c r="P189" s="40" t="str">
        <f>VLOOKUP(C189,Sheet1!$U$4:$V$14,2,FALSE)</f>
        <v>BH Con người</v>
      </c>
      <c r="Q189" s="88">
        <f t="shared" si="2"/>
        <v>1859654075.6106982</v>
      </c>
    </row>
    <row r="190" spans="1:17" x14ac:dyDescent="0.25">
      <c r="A190" s="85" t="s">
        <v>293</v>
      </c>
      <c r="B190" s="65" t="s">
        <v>151</v>
      </c>
      <c r="C190" s="65" t="s">
        <v>395</v>
      </c>
      <c r="D190" s="66">
        <v>0</v>
      </c>
      <c r="E190" s="65">
        <v>989500000</v>
      </c>
      <c r="F190" s="67">
        <v>0</v>
      </c>
      <c r="G190" s="68">
        <v>0</v>
      </c>
      <c r="H190" s="68">
        <v>0</v>
      </c>
      <c r="I190" s="68">
        <v>0</v>
      </c>
      <c r="J190" s="68">
        <v>0</v>
      </c>
      <c r="K190" s="68">
        <v>0</v>
      </c>
      <c r="L190" s="68">
        <v>0</v>
      </c>
      <c r="M190" s="68">
        <v>0</v>
      </c>
      <c r="N190" s="69">
        <v>0</v>
      </c>
      <c r="O190" s="65" t="str">
        <f>VLOOKUP(A190,Report_HQ1!$A$7:$C$95,3,FALSE)</f>
        <v>BV Bình Định</v>
      </c>
      <c r="P190" s="40" t="e">
        <f>VLOOKUP(C190,Sheet1!$U$4:$V$14,2,FALSE)</f>
        <v>#N/A</v>
      </c>
      <c r="Q190" s="88">
        <f t="shared" si="2"/>
        <v>0</v>
      </c>
    </row>
    <row r="191" spans="1:17" x14ac:dyDescent="0.25">
      <c r="A191" s="85" t="s">
        <v>293</v>
      </c>
      <c r="B191" s="65" t="s">
        <v>151</v>
      </c>
      <c r="C191" s="65" t="s">
        <v>396</v>
      </c>
      <c r="D191" s="66">
        <v>645612650</v>
      </c>
      <c r="E191" s="65">
        <v>989500000</v>
      </c>
      <c r="F191" s="67">
        <v>28348153.744901132</v>
      </c>
      <c r="G191" s="68">
        <v>0</v>
      </c>
      <c r="H191" s="68">
        <v>28348153.744901132</v>
      </c>
      <c r="I191" s="68">
        <v>0</v>
      </c>
      <c r="J191" s="68">
        <v>128827480</v>
      </c>
      <c r="K191" s="68">
        <v>35497871</v>
      </c>
      <c r="L191" s="68">
        <v>-2834985</v>
      </c>
      <c r="M191" s="68">
        <v>45431854</v>
      </c>
      <c r="N191" s="69">
        <v>235270373.74490112</v>
      </c>
      <c r="O191" s="65" t="str">
        <f>VLOOKUP(A191,Report_HQ1!$A$7:$C$95,3,FALSE)</f>
        <v>BV Bình Định</v>
      </c>
      <c r="P191" s="40" t="str">
        <f>VLOOKUP(C191,Sheet1!$U$4:$V$14,2,FALSE)</f>
        <v>BH Y tế</v>
      </c>
      <c r="Q191" s="88">
        <f t="shared" si="2"/>
        <v>235270373.74490112</v>
      </c>
    </row>
    <row r="192" spans="1:17" x14ac:dyDescent="0.25">
      <c r="A192" s="85" t="s">
        <v>293</v>
      </c>
      <c r="B192" s="65" t="s">
        <v>151</v>
      </c>
      <c r="C192" s="65" t="s">
        <v>397</v>
      </c>
      <c r="D192" s="66">
        <v>48831400</v>
      </c>
      <c r="E192" s="65">
        <v>989500000</v>
      </c>
      <c r="F192" s="67">
        <v>2144134.0016785064</v>
      </c>
      <c r="G192" s="68">
        <v>0</v>
      </c>
      <c r="H192" s="68">
        <v>2144134.0016785064</v>
      </c>
      <c r="I192" s="68">
        <v>0</v>
      </c>
      <c r="J192" s="68">
        <v>9766280</v>
      </c>
      <c r="K192" s="68">
        <v>9766280</v>
      </c>
      <c r="L192" s="68">
        <v>0</v>
      </c>
      <c r="M192" s="68">
        <v>3906512</v>
      </c>
      <c r="N192" s="69">
        <v>25583206.001678504</v>
      </c>
      <c r="O192" s="65" t="str">
        <f>VLOOKUP(A192,Report_HQ1!$A$7:$C$95,3,FALSE)</f>
        <v>BV Bình Định</v>
      </c>
      <c r="P192" s="40" t="str">
        <f>VLOOKUP(C192,Sheet1!$U$4:$V$14,2,FALSE)</f>
        <v>BH Du lịch</v>
      </c>
      <c r="Q192" s="88">
        <f t="shared" si="2"/>
        <v>25583206.001678504</v>
      </c>
    </row>
    <row r="193" spans="1:17" x14ac:dyDescent="0.25">
      <c r="A193" s="85" t="s">
        <v>295</v>
      </c>
      <c r="B193" s="65" t="s">
        <v>153</v>
      </c>
      <c r="C193" s="65" t="s">
        <v>387</v>
      </c>
      <c r="D193" s="66">
        <v>1124869604</v>
      </c>
      <c r="E193" s="65">
        <v>711000000</v>
      </c>
      <c r="F193" s="67">
        <v>61145314.597131051</v>
      </c>
      <c r="G193" s="68">
        <v>0</v>
      </c>
      <c r="H193" s="68">
        <v>61145314.597131051</v>
      </c>
      <c r="I193" s="68">
        <v>0</v>
      </c>
      <c r="J193" s="68">
        <v>112486960</v>
      </c>
      <c r="K193" s="68">
        <v>56243480</v>
      </c>
      <c r="L193" s="68">
        <v>44994783</v>
      </c>
      <c r="M193" s="68">
        <v>89989569</v>
      </c>
      <c r="N193" s="69">
        <v>364860106.59713101</v>
      </c>
      <c r="O193" s="65" t="str">
        <f>VLOOKUP(A193,Report_HQ1!$A$7:$C$95,3,FALSE)</f>
        <v>BV Bình Phước</v>
      </c>
      <c r="P193" s="40" t="str">
        <f>VLOOKUP(C193,Sheet1!$U$4:$V$14,2,FALSE)</f>
        <v>BH Hàng hóa</v>
      </c>
      <c r="Q193" s="88">
        <f t="shared" si="2"/>
        <v>364860106.59713101</v>
      </c>
    </row>
    <row r="194" spans="1:17" x14ac:dyDescent="0.25">
      <c r="A194" s="85" t="s">
        <v>295</v>
      </c>
      <c r="B194" s="65" t="s">
        <v>153</v>
      </c>
      <c r="C194" s="65" t="s">
        <v>272</v>
      </c>
      <c r="D194" s="66">
        <v>0</v>
      </c>
      <c r="E194" s="65">
        <v>711000000</v>
      </c>
      <c r="F194" s="67">
        <v>0</v>
      </c>
      <c r="G194" s="68">
        <v>0</v>
      </c>
      <c r="H194" s="68">
        <v>0</v>
      </c>
      <c r="I194" s="68">
        <v>0</v>
      </c>
      <c r="J194" s="68">
        <v>0</v>
      </c>
      <c r="K194" s="68">
        <v>0</v>
      </c>
      <c r="L194" s="68">
        <v>0</v>
      </c>
      <c r="M194" s="68">
        <v>0</v>
      </c>
      <c r="N194" s="69">
        <v>0</v>
      </c>
      <c r="O194" s="65" t="str">
        <f>VLOOKUP(A194,Report_HQ1!$A$7:$C$95,3,FALSE)</f>
        <v>BV Bình Phước</v>
      </c>
      <c r="P194" s="40" t="str">
        <f>VLOOKUP(C194,Sheet1!$U$4:$V$14,2,FALSE)</f>
        <v>Tàu khác</v>
      </c>
      <c r="Q194" s="88">
        <f t="shared" si="2"/>
        <v>0</v>
      </c>
    </row>
    <row r="195" spans="1:17" x14ac:dyDescent="0.25">
      <c r="A195" s="85" t="s">
        <v>295</v>
      </c>
      <c r="B195" s="65" t="s">
        <v>153</v>
      </c>
      <c r="C195" s="65" t="s">
        <v>388</v>
      </c>
      <c r="D195" s="66">
        <v>0</v>
      </c>
      <c r="E195" s="65">
        <v>711000000</v>
      </c>
      <c r="F195" s="67">
        <v>0</v>
      </c>
      <c r="G195" s="68">
        <v>0</v>
      </c>
      <c r="H195" s="68">
        <v>0</v>
      </c>
      <c r="I195" s="68">
        <v>0</v>
      </c>
      <c r="J195" s="68">
        <v>0</v>
      </c>
      <c r="K195" s="68">
        <v>0</v>
      </c>
      <c r="L195" s="68">
        <v>0</v>
      </c>
      <c r="M195" s="68">
        <v>0</v>
      </c>
      <c r="N195" s="69">
        <v>0</v>
      </c>
      <c r="O195" s="65" t="str">
        <f>VLOOKUP(A195,Report_HQ1!$A$7:$C$95,3,FALSE)</f>
        <v>BV Bình Phước</v>
      </c>
      <c r="P195" s="40" t="str">
        <f>VLOOKUP(C195,Sheet1!$U$4:$V$14,2,FALSE)</f>
        <v>Hull (Thân tàu biển)</v>
      </c>
      <c r="Q195" s="88">
        <f t="shared" si="2"/>
        <v>0</v>
      </c>
    </row>
    <row r="196" spans="1:17" x14ac:dyDescent="0.25">
      <c r="A196" s="85" t="s">
        <v>295</v>
      </c>
      <c r="B196" s="65" t="s">
        <v>153</v>
      </c>
      <c r="C196" s="65" t="s">
        <v>23</v>
      </c>
      <c r="D196" s="66">
        <v>0</v>
      </c>
      <c r="E196" s="65">
        <v>711000000</v>
      </c>
      <c r="F196" s="67">
        <v>0</v>
      </c>
      <c r="G196" s="68">
        <v>0</v>
      </c>
      <c r="H196" s="68">
        <v>0</v>
      </c>
      <c r="I196" s="68">
        <v>0</v>
      </c>
      <c r="J196" s="68">
        <v>0</v>
      </c>
      <c r="K196" s="68">
        <v>0</v>
      </c>
      <c r="L196" s="68">
        <v>0</v>
      </c>
      <c r="M196" s="68">
        <v>0</v>
      </c>
      <c r="N196" s="69">
        <v>0</v>
      </c>
      <c r="O196" s="65" t="str">
        <f>VLOOKUP(A196,Report_HQ1!$A$7:$C$95,3,FALSE)</f>
        <v>BV Bình Phước</v>
      </c>
      <c r="P196" s="40" t="str">
        <f>VLOOKUP(C196,Sheet1!$U$4:$V$14,2,FALSE)</f>
        <v>P&amp;I</v>
      </c>
      <c r="Q196" s="88">
        <f t="shared" si="2"/>
        <v>0</v>
      </c>
    </row>
    <row r="197" spans="1:17" x14ac:dyDescent="0.25">
      <c r="A197" s="85" t="s">
        <v>295</v>
      </c>
      <c r="B197" s="65" t="s">
        <v>153</v>
      </c>
      <c r="C197" s="65" t="s">
        <v>389</v>
      </c>
      <c r="D197" s="66">
        <v>18982248</v>
      </c>
      <c r="E197" s="65">
        <v>711000000</v>
      </c>
      <c r="F197" s="67">
        <v>1031831.1754477471</v>
      </c>
      <c r="G197" s="68">
        <v>0</v>
      </c>
      <c r="H197" s="68">
        <v>1031831.1754477471</v>
      </c>
      <c r="I197" s="68">
        <v>0</v>
      </c>
      <c r="J197" s="68">
        <v>267294</v>
      </c>
      <c r="K197" s="68">
        <v>133647</v>
      </c>
      <c r="L197" s="68">
        <v>400941</v>
      </c>
      <c r="M197" s="68">
        <v>427671</v>
      </c>
      <c r="N197" s="69">
        <v>2261384.1754477471</v>
      </c>
      <c r="O197" s="65" t="str">
        <f>VLOOKUP(A197,Report_HQ1!$A$7:$C$95,3,FALSE)</f>
        <v>BV Bình Phước</v>
      </c>
      <c r="P197" s="40" t="str">
        <f>VLOOKUP(C197,Sheet1!$U$4:$V$14,2,FALSE)</f>
        <v>BH Trách nhiệm</v>
      </c>
      <c r="Q197" s="88">
        <f t="shared" si="2"/>
        <v>2261384.1754477471</v>
      </c>
    </row>
    <row r="198" spans="1:17" x14ac:dyDescent="0.25">
      <c r="A198" s="85" t="s">
        <v>295</v>
      </c>
      <c r="B198" s="65" t="s">
        <v>153</v>
      </c>
      <c r="C198" s="65" t="s">
        <v>390</v>
      </c>
      <c r="D198" s="66">
        <v>0</v>
      </c>
      <c r="E198" s="65">
        <v>711000000</v>
      </c>
      <c r="F198" s="67">
        <v>0</v>
      </c>
      <c r="G198" s="68">
        <v>0</v>
      </c>
      <c r="H198" s="68">
        <v>0</v>
      </c>
      <c r="I198" s="68">
        <v>0</v>
      </c>
      <c r="J198" s="68">
        <v>0</v>
      </c>
      <c r="K198" s="68">
        <v>0</v>
      </c>
      <c r="L198" s="68">
        <v>0</v>
      </c>
      <c r="M198" s="68">
        <v>0</v>
      </c>
      <c r="N198" s="69">
        <v>0</v>
      </c>
      <c r="O198" s="65" t="str">
        <f>VLOOKUP(A198,Report_HQ1!$A$7:$C$95,3,FALSE)</f>
        <v>BV Bình Phước</v>
      </c>
      <c r="P198" s="40" t="e">
        <f>VLOOKUP(C198,Sheet1!$U$4:$V$14,2,FALSE)</f>
        <v>#N/A</v>
      </c>
      <c r="Q198" s="88">
        <f t="shared" si="2"/>
        <v>0</v>
      </c>
    </row>
    <row r="199" spans="1:17" x14ac:dyDescent="0.25">
      <c r="A199" s="85" t="s">
        <v>295</v>
      </c>
      <c r="B199" s="65" t="s">
        <v>153</v>
      </c>
      <c r="C199" s="65" t="s">
        <v>391</v>
      </c>
      <c r="D199" s="66">
        <v>421370319</v>
      </c>
      <c r="E199" s="65">
        <v>711000000</v>
      </c>
      <c r="F199" s="67">
        <v>22904717.689525608</v>
      </c>
      <c r="G199" s="68">
        <v>0</v>
      </c>
      <c r="H199" s="68">
        <v>22904717.689525608</v>
      </c>
      <c r="I199" s="68">
        <v>0</v>
      </c>
      <c r="J199" s="68">
        <v>969273</v>
      </c>
      <c r="K199" s="68">
        <v>484636</v>
      </c>
      <c r="L199" s="68">
        <v>94446546</v>
      </c>
      <c r="M199" s="68">
        <v>23016109</v>
      </c>
      <c r="N199" s="69">
        <v>141821281.6895256</v>
      </c>
      <c r="O199" s="65" t="str">
        <f>VLOOKUP(A199,Report_HQ1!$A$7:$C$95,3,FALSE)</f>
        <v>BV Bình Phước</v>
      </c>
      <c r="P199" s="40" t="str">
        <f>VLOOKUP(C199,Sheet1!$U$4:$V$14,2,FALSE)</f>
        <v>BH Kỹ thuật</v>
      </c>
      <c r="Q199" s="88">
        <f t="shared" si="2"/>
        <v>141821281.6895256</v>
      </c>
    </row>
    <row r="200" spans="1:17" x14ac:dyDescent="0.25">
      <c r="A200" s="85" t="s">
        <v>295</v>
      </c>
      <c r="B200" s="65" t="s">
        <v>153</v>
      </c>
      <c r="C200" s="65" t="s">
        <v>392</v>
      </c>
      <c r="D200" s="66">
        <v>3200740858</v>
      </c>
      <c r="E200" s="65">
        <v>711000000</v>
      </c>
      <c r="F200" s="67">
        <v>173984883.23478708</v>
      </c>
      <c r="G200" s="68">
        <v>0</v>
      </c>
      <c r="H200" s="68">
        <v>173984883.23478708</v>
      </c>
      <c r="I200" s="68">
        <v>0</v>
      </c>
      <c r="J200" s="68">
        <v>173692658</v>
      </c>
      <c r="K200" s="68">
        <v>86846330</v>
      </c>
      <c r="L200" s="68">
        <v>263137193</v>
      </c>
      <c r="M200" s="68">
        <v>192033111</v>
      </c>
      <c r="N200" s="69">
        <v>889694175.23478711</v>
      </c>
      <c r="O200" s="65" t="str">
        <f>VLOOKUP(A200,Report_HQ1!$A$7:$C$95,3,FALSE)</f>
        <v>BV Bình Phước</v>
      </c>
      <c r="P200" s="40" t="str">
        <f>VLOOKUP(C200,Sheet1!$U$4:$V$14,2,FALSE)</f>
        <v>BH Tài sản</v>
      </c>
      <c r="Q200" s="88">
        <f t="shared" si="2"/>
        <v>889694175.23478711</v>
      </c>
    </row>
    <row r="201" spans="1:17" x14ac:dyDescent="0.25">
      <c r="A201" s="85" t="s">
        <v>295</v>
      </c>
      <c r="B201" s="65" t="s">
        <v>153</v>
      </c>
      <c r="C201" s="65" t="s">
        <v>393</v>
      </c>
      <c r="D201" s="66">
        <v>6157717215</v>
      </c>
      <c r="E201" s="65">
        <v>711000000</v>
      </c>
      <c r="F201" s="67">
        <v>334719290.99378943</v>
      </c>
      <c r="G201" s="68">
        <v>0</v>
      </c>
      <c r="H201" s="68">
        <v>334719290.99378943</v>
      </c>
      <c r="I201" s="68">
        <v>0</v>
      </c>
      <c r="J201" s="68">
        <v>562697425</v>
      </c>
      <c r="K201" s="68">
        <v>281874963</v>
      </c>
      <c r="L201" s="68">
        <v>597826938</v>
      </c>
      <c r="M201" s="68">
        <v>368595130</v>
      </c>
      <c r="N201" s="69">
        <v>2145713746.9937894</v>
      </c>
      <c r="O201" s="65" t="str">
        <f>VLOOKUP(A201,Report_HQ1!$A$7:$C$95,3,FALSE)</f>
        <v>BV Bình Phước</v>
      </c>
      <c r="P201" s="40" t="str">
        <f>VLOOKUP(C201,Sheet1!$U$4:$V$14,2,FALSE)</f>
        <v>BH Xe cơ giới</v>
      </c>
      <c r="Q201" s="88">
        <f t="shared" si="2"/>
        <v>2145713746.9937894</v>
      </c>
    </row>
    <row r="202" spans="1:17" x14ac:dyDescent="0.25">
      <c r="A202" s="85" t="s">
        <v>295</v>
      </c>
      <c r="B202" s="65" t="s">
        <v>153</v>
      </c>
      <c r="C202" s="65" t="s">
        <v>394</v>
      </c>
      <c r="D202" s="66">
        <v>1420897100</v>
      </c>
      <c r="E202" s="65">
        <v>711000000</v>
      </c>
      <c r="F202" s="67">
        <v>77236685.817364469</v>
      </c>
      <c r="G202" s="68">
        <v>0</v>
      </c>
      <c r="H202" s="68">
        <v>77236685.817364469</v>
      </c>
      <c r="I202" s="68">
        <v>2380000</v>
      </c>
      <c r="J202" s="68">
        <v>258100736</v>
      </c>
      <c r="K202" s="68">
        <v>17429625</v>
      </c>
      <c r="L202" s="68">
        <v>39757465</v>
      </c>
      <c r="M202" s="68">
        <v>81775456</v>
      </c>
      <c r="N202" s="69">
        <v>476679967.81736445</v>
      </c>
      <c r="O202" s="65" t="str">
        <f>VLOOKUP(A202,Report_HQ1!$A$7:$C$95,3,FALSE)</f>
        <v>BV Bình Phước</v>
      </c>
      <c r="P202" s="40" t="str">
        <f>VLOOKUP(C202,Sheet1!$U$4:$V$14,2,FALSE)</f>
        <v>BH Con người</v>
      </c>
      <c r="Q202" s="88">
        <f t="shared" si="2"/>
        <v>476679967.81736445</v>
      </c>
    </row>
    <row r="203" spans="1:17" x14ac:dyDescent="0.25">
      <c r="A203" s="85" t="s">
        <v>295</v>
      </c>
      <c r="B203" s="65" t="s">
        <v>153</v>
      </c>
      <c r="C203" s="65" t="s">
        <v>395</v>
      </c>
      <c r="D203" s="66">
        <v>93692960</v>
      </c>
      <c r="E203" s="65">
        <v>711000000</v>
      </c>
      <c r="F203" s="67">
        <v>5092932.9891790869</v>
      </c>
      <c r="G203" s="68">
        <v>0</v>
      </c>
      <c r="H203" s="68">
        <v>5092932.9891790869</v>
      </c>
      <c r="I203" s="68">
        <v>0</v>
      </c>
      <c r="J203" s="68">
        <v>18738592</v>
      </c>
      <c r="K203" s="68">
        <v>0</v>
      </c>
      <c r="L203" s="68">
        <v>0</v>
      </c>
      <c r="M203" s="68">
        <v>5621578</v>
      </c>
      <c r="N203" s="69">
        <v>29453102.989179086</v>
      </c>
      <c r="O203" s="65" t="str">
        <f>VLOOKUP(A203,Report_HQ1!$A$7:$C$95,3,FALSE)</f>
        <v>BV Bình Phước</v>
      </c>
      <c r="P203" s="40" t="e">
        <f>VLOOKUP(C203,Sheet1!$U$4:$V$14,2,FALSE)</f>
        <v>#N/A</v>
      </c>
      <c r="Q203" s="88">
        <f t="shared" si="2"/>
        <v>29453102.989179086</v>
      </c>
    </row>
    <row r="204" spans="1:17" x14ac:dyDescent="0.25">
      <c r="A204" s="85" t="s">
        <v>295</v>
      </c>
      <c r="B204" s="65" t="s">
        <v>153</v>
      </c>
      <c r="C204" s="65" t="s">
        <v>396</v>
      </c>
      <c r="D204" s="66">
        <v>598425430</v>
      </c>
      <c r="E204" s="65">
        <v>711000000</v>
      </c>
      <c r="F204" s="67">
        <v>32529024.742207743</v>
      </c>
      <c r="G204" s="68">
        <v>0</v>
      </c>
      <c r="H204" s="68">
        <v>32529024.742207743</v>
      </c>
      <c r="I204" s="68">
        <v>0</v>
      </c>
      <c r="J204" s="68">
        <v>119685086</v>
      </c>
      <c r="K204" s="68">
        <v>28452607</v>
      </c>
      <c r="L204" s="68">
        <v>-8265427</v>
      </c>
      <c r="M204" s="68">
        <v>37526748</v>
      </c>
      <c r="N204" s="69">
        <v>209928038.74220774</v>
      </c>
      <c r="O204" s="65" t="str">
        <f>VLOOKUP(A204,Report_HQ1!$A$7:$C$95,3,FALSE)</f>
        <v>BV Bình Phước</v>
      </c>
      <c r="P204" s="40" t="str">
        <f>VLOOKUP(C204,Sheet1!$U$4:$V$14,2,FALSE)</f>
        <v>BH Y tế</v>
      </c>
      <c r="Q204" s="88">
        <f t="shared" ref="Q204:Q267" si="3">N204</f>
        <v>209928038.74220774</v>
      </c>
    </row>
    <row r="205" spans="1:17" x14ac:dyDescent="0.25">
      <c r="A205" s="85" t="s">
        <v>295</v>
      </c>
      <c r="B205" s="65" t="s">
        <v>153</v>
      </c>
      <c r="C205" s="65" t="s">
        <v>397</v>
      </c>
      <c r="D205" s="66">
        <v>43330000</v>
      </c>
      <c r="E205" s="65">
        <v>711000000</v>
      </c>
      <c r="F205" s="67">
        <v>2355318.7605678146</v>
      </c>
      <c r="G205" s="68">
        <v>0</v>
      </c>
      <c r="H205" s="68">
        <v>2355318.7605678146</v>
      </c>
      <c r="I205" s="68">
        <v>0</v>
      </c>
      <c r="J205" s="68">
        <v>8666000</v>
      </c>
      <c r="K205" s="68">
        <v>8666000</v>
      </c>
      <c r="L205" s="68">
        <v>0</v>
      </c>
      <c r="M205" s="68">
        <v>3466400</v>
      </c>
      <c r="N205" s="69">
        <v>23153718.760567814</v>
      </c>
      <c r="O205" s="65" t="str">
        <f>VLOOKUP(A205,Report_HQ1!$A$7:$C$95,3,FALSE)</f>
        <v>BV Bình Phước</v>
      </c>
      <c r="P205" s="40" t="str">
        <f>VLOOKUP(C205,Sheet1!$U$4:$V$14,2,FALSE)</f>
        <v>BH Du lịch</v>
      </c>
      <c r="Q205" s="88">
        <f t="shared" si="3"/>
        <v>23153718.760567814</v>
      </c>
    </row>
    <row r="206" spans="1:17" x14ac:dyDescent="0.25">
      <c r="A206" s="85" t="s">
        <v>296</v>
      </c>
      <c r="B206" s="65" t="s">
        <v>154</v>
      </c>
      <c r="C206" s="65" t="s">
        <v>387</v>
      </c>
      <c r="D206" s="66">
        <v>36492153</v>
      </c>
      <c r="E206" s="65">
        <v>1045000000</v>
      </c>
      <c r="F206" s="67">
        <v>2189917.2220573421</v>
      </c>
      <c r="G206" s="68">
        <v>0</v>
      </c>
      <c r="H206" s="68">
        <v>2189917.2220573421</v>
      </c>
      <c r="I206" s="68">
        <v>0</v>
      </c>
      <c r="J206" s="68">
        <v>3649215</v>
      </c>
      <c r="K206" s="68">
        <v>1824608</v>
      </c>
      <c r="L206" s="68">
        <v>1459686</v>
      </c>
      <c r="M206" s="68">
        <v>2919372</v>
      </c>
      <c r="N206" s="69">
        <v>12042798.222057343</v>
      </c>
      <c r="O206" s="65" t="str">
        <f>VLOOKUP(A206,Report_HQ1!$A$7:$C$95,3,FALSE)</f>
        <v>BV Bình Thuận</v>
      </c>
      <c r="P206" s="40" t="str">
        <f>VLOOKUP(C206,Sheet1!$U$4:$V$14,2,FALSE)</f>
        <v>BH Hàng hóa</v>
      </c>
      <c r="Q206" s="88">
        <f t="shared" si="3"/>
        <v>12042798.222057343</v>
      </c>
    </row>
    <row r="207" spans="1:17" x14ac:dyDescent="0.25">
      <c r="A207" s="85" t="s">
        <v>296</v>
      </c>
      <c r="B207" s="65" t="s">
        <v>154</v>
      </c>
      <c r="C207" s="65" t="s">
        <v>272</v>
      </c>
      <c r="D207" s="66">
        <v>1049150000</v>
      </c>
      <c r="E207" s="65">
        <v>1045000000</v>
      </c>
      <c r="F207" s="67">
        <v>62960156.215542026</v>
      </c>
      <c r="G207" s="68">
        <v>0</v>
      </c>
      <c r="H207" s="68">
        <v>62960156.215542026</v>
      </c>
      <c r="I207" s="68">
        <v>4975050</v>
      </c>
      <c r="J207" s="68">
        <v>157372500</v>
      </c>
      <c r="K207" s="68">
        <v>73440500</v>
      </c>
      <c r="L207" s="68">
        <v>10491500</v>
      </c>
      <c r="M207" s="68">
        <v>83932000</v>
      </c>
      <c r="N207" s="69">
        <v>393171706.21554202</v>
      </c>
      <c r="O207" s="65" t="str">
        <f>VLOOKUP(A207,Report_HQ1!$A$7:$C$95,3,FALSE)</f>
        <v>BV Bình Thuận</v>
      </c>
      <c r="P207" s="40" t="str">
        <f>VLOOKUP(C207,Sheet1!$U$4:$V$14,2,FALSE)</f>
        <v>Tàu khác</v>
      </c>
      <c r="Q207" s="88">
        <f t="shared" si="3"/>
        <v>393171706.21554202</v>
      </c>
    </row>
    <row r="208" spans="1:17" x14ac:dyDescent="0.25">
      <c r="A208" s="85" t="s">
        <v>296</v>
      </c>
      <c r="B208" s="65" t="s">
        <v>154</v>
      </c>
      <c r="C208" s="65" t="s">
        <v>388</v>
      </c>
      <c r="D208" s="66">
        <v>0</v>
      </c>
      <c r="E208" s="65">
        <v>1045000000</v>
      </c>
      <c r="F208" s="67">
        <v>0</v>
      </c>
      <c r="G208" s="68">
        <v>0</v>
      </c>
      <c r="H208" s="68">
        <v>0</v>
      </c>
      <c r="I208" s="68">
        <v>0</v>
      </c>
      <c r="J208" s="68">
        <v>0</v>
      </c>
      <c r="K208" s="68">
        <v>0</v>
      </c>
      <c r="L208" s="68">
        <v>0</v>
      </c>
      <c r="M208" s="68">
        <v>0</v>
      </c>
      <c r="N208" s="69">
        <v>0</v>
      </c>
      <c r="O208" s="65" t="str">
        <f>VLOOKUP(A208,Report_HQ1!$A$7:$C$95,3,FALSE)</f>
        <v>BV Bình Thuận</v>
      </c>
      <c r="P208" s="40" t="str">
        <f>VLOOKUP(C208,Sheet1!$U$4:$V$14,2,FALSE)</f>
        <v>Hull (Thân tàu biển)</v>
      </c>
      <c r="Q208" s="88">
        <f t="shared" si="3"/>
        <v>0</v>
      </c>
    </row>
    <row r="209" spans="1:17" x14ac:dyDescent="0.25">
      <c r="A209" s="85" t="s">
        <v>296</v>
      </c>
      <c r="B209" s="65" t="s">
        <v>154</v>
      </c>
      <c r="C209" s="65" t="s">
        <v>23</v>
      </c>
      <c r="D209" s="66">
        <v>0</v>
      </c>
      <c r="E209" s="65">
        <v>1045000000</v>
      </c>
      <c r="F209" s="67">
        <v>0</v>
      </c>
      <c r="G209" s="68">
        <v>0</v>
      </c>
      <c r="H209" s="68">
        <v>0</v>
      </c>
      <c r="I209" s="68">
        <v>0</v>
      </c>
      <c r="J209" s="68">
        <v>0</v>
      </c>
      <c r="K209" s="68">
        <v>0</v>
      </c>
      <c r="L209" s="68">
        <v>0</v>
      </c>
      <c r="M209" s="68">
        <v>0</v>
      </c>
      <c r="N209" s="69">
        <v>0</v>
      </c>
      <c r="O209" s="65" t="str">
        <f>VLOOKUP(A209,Report_HQ1!$A$7:$C$95,3,FALSE)</f>
        <v>BV Bình Thuận</v>
      </c>
      <c r="P209" s="40" t="str">
        <f>VLOOKUP(C209,Sheet1!$U$4:$V$14,2,FALSE)</f>
        <v>P&amp;I</v>
      </c>
      <c r="Q209" s="88">
        <f t="shared" si="3"/>
        <v>0</v>
      </c>
    </row>
    <row r="210" spans="1:17" x14ac:dyDescent="0.25">
      <c r="A210" s="85" t="s">
        <v>296</v>
      </c>
      <c r="B210" s="65" t="s">
        <v>154</v>
      </c>
      <c r="C210" s="65" t="s">
        <v>389</v>
      </c>
      <c r="D210" s="66">
        <v>24538182</v>
      </c>
      <c r="E210" s="65">
        <v>1045000000</v>
      </c>
      <c r="F210" s="67">
        <v>1472551.8486063969</v>
      </c>
      <c r="G210" s="68">
        <v>0</v>
      </c>
      <c r="H210" s="68">
        <v>1472551.8486063969</v>
      </c>
      <c r="I210" s="68">
        <v>0</v>
      </c>
      <c r="J210" s="68">
        <v>1226909</v>
      </c>
      <c r="K210" s="68">
        <v>613455</v>
      </c>
      <c r="L210" s="68">
        <v>1840364</v>
      </c>
      <c r="M210" s="68">
        <v>1963055</v>
      </c>
      <c r="N210" s="69">
        <v>7116334.8486063965</v>
      </c>
      <c r="O210" s="65" t="str">
        <f>VLOOKUP(A210,Report_HQ1!$A$7:$C$95,3,FALSE)</f>
        <v>BV Bình Thuận</v>
      </c>
      <c r="P210" s="40" t="str">
        <f>VLOOKUP(C210,Sheet1!$U$4:$V$14,2,FALSE)</f>
        <v>BH Trách nhiệm</v>
      </c>
      <c r="Q210" s="88">
        <f t="shared" si="3"/>
        <v>7116334.8486063965</v>
      </c>
    </row>
    <row r="211" spans="1:17" x14ac:dyDescent="0.25">
      <c r="A211" s="85" t="s">
        <v>296</v>
      </c>
      <c r="B211" s="65" t="s">
        <v>154</v>
      </c>
      <c r="C211" s="65" t="s">
        <v>390</v>
      </c>
      <c r="D211" s="66">
        <v>0</v>
      </c>
      <c r="E211" s="65">
        <v>1045000000</v>
      </c>
      <c r="F211" s="67">
        <v>0</v>
      </c>
      <c r="G211" s="68">
        <v>0</v>
      </c>
      <c r="H211" s="68">
        <v>0</v>
      </c>
      <c r="I211" s="68">
        <v>0</v>
      </c>
      <c r="J211" s="68">
        <v>0</v>
      </c>
      <c r="K211" s="68">
        <v>0</v>
      </c>
      <c r="L211" s="68">
        <v>0</v>
      </c>
      <c r="M211" s="68">
        <v>0</v>
      </c>
      <c r="N211" s="69">
        <v>0</v>
      </c>
      <c r="O211" s="65" t="str">
        <f>VLOOKUP(A211,Report_HQ1!$A$7:$C$95,3,FALSE)</f>
        <v>BV Bình Thuận</v>
      </c>
      <c r="P211" s="40" t="e">
        <f>VLOOKUP(C211,Sheet1!$U$4:$V$14,2,FALSE)</f>
        <v>#N/A</v>
      </c>
      <c r="Q211" s="88">
        <f t="shared" si="3"/>
        <v>0</v>
      </c>
    </row>
    <row r="212" spans="1:17" x14ac:dyDescent="0.25">
      <c r="A212" s="85" t="s">
        <v>296</v>
      </c>
      <c r="B212" s="65" t="s">
        <v>154</v>
      </c>
      <c r="C212" s="65" t="s">
        <v>391</v>
      </c>
      <c r="D212" s="66">
        <v>116549870</v>
      </c>
      <c r="E212" s="65">
        <v>1045000000</v>
      </c>
      <c r="F212" s="67">
        <v>6994231.5418206304</v>
      </c>
      <c r="G212" s="68">
        <v>0</v>
      </c>
      <c r="H212" s="68">
        <v>6994231.5418206304</v>
      </c>
      <c r="I212" s="68">
        <v>0</v>
      </c>
      <c r="J212" s="68">
        <v>0</v>
      </c>
      <c r="K212" s="68">
        <v>0</v>
      </c>
      <c r="L212" s="68">
        <v>17482481</v>
      </c>
      <c r="M212" s="68">
        <v>6992992</v>
      </c>
      <c r="N212" s="69">
        <v>31469704.54182063</v>
      </c>
      <c r="O212" s="65" t="str">
        <f>VLOOKUP(A212,Report_HQ1!$A$7:$C$95,3,FALSE)</f>
        <v>BV Bình Thuận</v>
      </c>
      <c r="P212" s="40" t="str">
        <f>VLOOKUP(C212,Sheet1!$U$4:$V$14,2,FALSE)</f>
        <v>BH Kỹ thuật</v>
      </c>
      <c r="Q212" s="88">
        <f t="shared" si="3"/>
        <v>31469704.54182063</v>
      </c>
    </row>
    <row r="213" spans="1:17" x14ac:dyDescent="0.25">
      <c r="A213" s="85" t="s">
        <v>296</v>
      </c>
      <c r="B213" s="65" t="s">
        <v>154</v>
      </c>
      <c r="C213" s="65" t="s">
        <v>392</v>
      </c>
      <c r="D213" s="66">
        <v>1825661672</v>
      </c>
      <c r="E213" s="65">
        <v>1045000000</v>
      </c>
      <c r="F213" s="67">
        <v>109559113.63088943</v>
      </c>
      <c r="G213" s="68">
        <v>0</v>
      </c>
      <c r="H213" s="68">
        <v>109559113.63088943</v>
      </c>
      <c r="I213" s="68">
        <v>0</v>
      </c>
      <c r="J213" s="68">
        <v>38948388</v>
      </c>
      <c r="K213" s="68">
        <v>19474194</v>
      </c>
      <c r="L213" s="68">
        <v>282623868</v>
      </c>
      <c r="M213" s="68">
        <v>109539700</v>
      </c>
      <c r="N213" s="69">
        <v>560145263.63088942</v>
      </c>
      <c r="O213" s="65" t="str">
        <f>VLOOKUP(A213,Report_HQ1!$A$7:$C$95,3,FALSE)</f>
        <v>BV Bình Thuận</v>
      </c>
      <c r="P213" s="40" t="str">
        <f>VLOOKUP(C213,Sheet1!$U$4:$V$14,2,FALSE)</f>
        <v>BH Tài sản</v>
      </c>
      <c r="Q213" s="88">
        <f t="shared" si="3"/>
        <v>560145263.63088942</v>
      </c>
    </row>
    <row r="214" spans="1:17" x14ac:dyDescent="0.25">
      <c r="A214" s="85" t="s">
        <v>296</v>
      </c>
      <c r="B214" s="65" t="s">
        <v>154</v>
      </c>
      <c r="C214" s="65" t="s">
        <v>393</v>
      </c>
      <c r="D214" s="66">
        <v>7655673906</v>
      </c>
      <c r="E214" s="65">
        <v>1045000000</v>
      </c>
      <c r="F214" s="67">
        <v>459421841.54506868</v>
      </c>
      <c r="G214" s="68">
        <v>0</v>
      </c>
      <c r="H214" s="68">
        <v>459421841.54506868</v>
      </c>
      <c r="I214" s="68">
        <v>0</v>
      </c>
      <c r="J214" s="68">
        <v>733787915</v>
      </c>
      <c r="K214" s="68">
        <v>367678544</v>
      </c>
      <c r="L214" s="68">
        <v>828629059</v>
      </c>
      <c r="M214" s="68">
        <v>455066598</v>
      </c>
      <c r="N214" s="69">
        <v>2844583957.5450687</v>
      </c>
      <c r="O214" s="65" t="str">
        <f>VLOOKUP(A214,Report_HQ1!$A$7:$C$95,3,FALSE)</f>
        <v>BV Bình Thuận</v>
      </c>
      <c r="P214" s="40" t="str">
        <f>VLOOKUP(C214,Sheet1!$U$4:$V$14,2,FALSE)</f>
        <v>BH Xe cơ giới</v>
      </c>
      <c r="Q214" s="88">
        <f t="shared" si="3"/>
        <v>2844583957.5450687</v>
      </c>
    </row>
    <row r="215" spans="1:17" x14ac:dyDescent="0.25">
      <c r="A215" s="85" t="s">
        <v>296</v>
      </c>
      <c r="B215" s="65" t="s">
        <v>154</v>
      </c>
      <c r="C215" s="65" t="s">
        <v>394</v>
      </c>
      <c r="D215" s="66">
        <v>4857142900</v>
      </c>
      <c r="E215" s="65">
        <v>1045000000</v>
      </c>
      <c r="F215" s="67">
        <v>291480222.79484421</v>
      </c>
      <c r="G215" s="68">
        <v>0</v>
      </c>
      <c r="H215" s="68">
        <v>291480222.79484421</v>
      </c>
      <c r="I215" s="68">
        <v>4873500</v>
      </c>
      <c r="J215" s="68">
        <v>930674643</v>
      </c>
      <c r="K215" s="68">
        <v>39289385</v>
      </c>
      <c r="L215" s="68">
        <v>52588567</v>
      </c>
      <c r="M215" s="68">
        <v>278162668</v>
      </c>
      <c r="N215" s="69">
        <v>1597068985.7948442</v>
      </c>
      <c r="O215" s="65" t="str">
        <f>VLOOKUP(A215,Report_HQ1!$A$7:$C$95,3,FALSE)</f>
        <v>BV Bình Thuận</v>
      </c>
      <c r="P215" s="40" t="str">
        <f>VLOOKUP(C215,Sheet1!$U$4:$V$14,2,FALSE)</f>
        <v>BH Con người</v>
      </c>
      <c r="Q215" s="88">
        <f t="shared" si="3"/>
        <v>1597068985.7948442</v>
      </c>
    </row>
    <row r="216" spans="1:17" x14ac:dyDescent="0.25">
      <c r="A216" s="85" t="s">
        <v>296</v>
      </c>
      <c r="B216" s="65" t="s">
        <v>154</v>
      </c>
      <c r="C216" s="65" t="s">
        <v>395</v>
      </c>
      <c r="D216" s="66">
        <v>0</v>
      </c>
      <c r="E216" s="65">
        <v>1045000000</v>
      </c>
      <c r="F216" s="67">
        <v>0</v>
      </c>
      <c r="G216" s="68">
        <v>0</v>
      </c>
      <c r="H216" s="68">
        <v>0</v>
      </c>
      <c r="I216" s="68">
        <v>0</v>
      </c>
      <c r="J216" s="68">
        <v>0</v>
      </c>
      <c r="K216" s="68">
        <v>0</v>
      </c>
      <c r="L216" s="68">
        <v>0</v>
      </c>
      <c r="M216" s="68">
        <v>0</v>
      </c>
      <c r="N216" s="69">
        <v>0</v>
      </c>
      <c r="O216" s="65" t="str">
        <f>VLOOKUP(A216,Report_HQ1!$A$7:$C$95,3,FALSE)</f>
        <v>BV Bình Thuận</v>
      </c>
      <c r="P216" s="40" t="e">
        <f>VLOOKUP(C216,Sheet1!$U$4:$V$14,2,FALSE)</f>
        <v>#N/A</v>
      </c>
      <c r="Q216" s="88">
        <f t="shared" si="3"/>
        <v>0</v>
      </c>
    </row>
    <row r="217" spans="1:17" x14ac:dyDescent="0.25">
      <c r="A217" s="85" t="s">
        <v>296</v>
      </c>
      <c r="B217" s="65" t="s">
        <v>154</v>
      </c>
      <c r="C217" s="65" t="s">
        <v>396</v>
      </c>
      <c r="D217" s="66">
        <v>1737394340</v>
      </c>
      <c r="E217" s="65">
        <v>1045000000</v>
      </c>
      <c r="F217" s="67">
        <v>104262135.11356673</v>
      </c>
      <c r="G217" s="68">
        <v>0</v>
      </c>
      <c r="H217" s="68">
        <v>104262135.11356673</v>
      </c>
      <c r="I217" s="68">
        <v>0</v>
      </c>
      <c r="J217" s="68">
        <v>308715668</v>
      </c>
      <c r="K217" s="68">
        <v>130449051</v>
      </c>
      <c r="L217" s="68">
        <v>13783212</v>
      </c>
      <c r="M217" s="68">
        <v>121632421</v>
      </c>
      <c r="N217" s="69">
        <v>678842487.11356676</v>
      </c>
      <c r="O217" s="65" t="str">
        <f>VLOOKUP(A217,Report_HQ1!$A$7:$C$95,3,FALSE)</f>
        <v>BV Bình Thuận</v>
      </c>
      <c r="P217" s="40" t="str">
        <f>VLOOKUP(C217,Sheet1!$U$4:$V$14,2,FALSE)</f>
        <v>BH Y tế</v>
      </c>
      <c r="Q217" s="88">
        <f t="shared" si="3"/>
        <v>678842487.11356676</v>
      </c>
    </row>
    <row r="218" spans="1:17" x14ac:dyDescent="0.25">
      <c r="A218" s="85" t="s">
        <v>296</v>
      </c>
      <c r="B218" s="65" t="s">
        <v>154</v>
      </c>
      <c r="C218" s="65" t="s">
        <v>397</v>
      </c>
      <c r="D218" s="66">
        <v>110977500</v>
      </c>
      <c r="E218" s="65">
        <v>1045000000</v>
      </c>
      <c r="F218" s="67">
        <v>6659830.0876045516</v>
      </c>
      <c r="G218" s="68">
        <v>0</v>
      </c>
      <c r="H218" s="68">
        <v>6659830.0876045516</v>
      </c>
      <c r="I218" s="68">
        <v>0</v>
      </c>
      <c r="J218" s="68">
        <v>22195500</v>
      </c>
      <c r="K218" s="68">
        <v>22195500</v>
      </c>
      <c r="L218" s="68">
        <v>0</v>
      </c>
      <c r="M218" s="68">
        <v>8878200</v>
      </c>
      <c r="N218" s="69">
        <v>59929030.087604553</v>
      </c>
      <c r="O218" s="65" t="str">
        <f>VLOOKUP(A218,Report_HQ1!$A$7:$C$95,3,FALSE)</f>
        <v>BV Bình Thuận</v>
      </c>
      <c r="P218" s="40" t="str">
        <f>VLOOKUP(C218,Sheet1!$U$4:$V$14,2,FALSE)</f>
        <v>BH Du lịch</v>
      </c>
      <c r="Q218" s="88">
        <f t="shared" si="3"/>
        <v>59929030.087604553</v>
      </c>
    </row>
    <row r="219" spans="1:17" x14ac:dyDescent="0.25">
      <c r="A219" s="85" t="s">
        <v>297</v>
      </c>
      <c r="B219" s="65" t="s">
        <v>155</v>
      </c>
      <c r="C219" s="65" t="s">
        <v>387</v>
      </c>
      <c r="D219" s="66">
        <v>465321658</v>
      </c>
      <c r="E219" s="65">
        <v>550679190</v>
      </c>
      <c r="F219" s="67">
        <v>22106667.821801256</v>
      </c>
      <c r="G219" s="68">
        <v>0</v>
      </c>
      <c r="H219" s="68">
        <v>22106667.821801256</v>
      </c>
      <c r="I219" s="68">
        <v>0</v>
      </c>
      <c r="J219" s="68">
        <v>46532165</v>
      </c>
      <c r="K219" s="68">
        <v>23266083</v>
      </c>
      <c r="L219" s="68">
        <v>18612866</v>
      </c>
      <c r="M219" s="68">
        <v>37225733</v>
      </c>
      <c r="N219" s="69">
        <v>147743514.82180125</v>
      </c>
      <c r="O219" s="65" t="str">
        <f>VLOOKUP(A219,Report_HQ1!$A$7:$C$95,3,FALSE)</f>
        <v>BV Cà Mau</v>
      </c>
      <c r="P219" s="40" t="str">
        <f>VLOOKUP(C219,Sheet1!$U$4:$V$14,2,FALSE)</f>
        <v>BH Hàng hóa</v>
      </c>
      <c r="Q219" s="88">
        <f t="shared" si="3"/>
        <v>147743514.82180125</v>
      </c>
    </row>
    <row r="220" spans="1:17" x14ac:dyDescent="0.25">
      <c r="A220" s="85" t="s">
        <v>297</v>
      </c>
      <c r="B220" s="65" t="s">
        <v>155</v>
      </c>
      <c r="C220" s="65" t="s">
        <v>272</v>
      </c>
      <c r="D220" s="66">
        <v>378555298</v>
      </c>
      <c r="E220" s="65">
        <v>550679190</v>
      </c>
      <c r="F220" s="67">
        <v>17984540.545647644</v>
      </c>
      <c r="G220" s="68">
        <v>0</v>
      </c>
      <c r="H220" s="68">
        <v>17984540.545647644</v>
      </c>
      <c r="I220" s="68">
        <v>516850</v>
      </c>
      <c r="J220" s="68">
        <v>56783295</v>
      </c>
      <c r="K220" s="68">
        <v>26498871</v>
      </c>
      <c r="L220" s="68">
        <v>3785553</v>
      </c>
      <c r="M220" s="68">
        <v>30284424</v>
      </c>
      <c r="N220" s="69">
        <v>135853533.54564765</v>
      </c>
      <c r="O220" s="65" t="str">
        <f>VLOOKUP(A220,Report_HQ1!$A$7:$C$95,3,FALSE)</f>
        <v>BV Cà Mau</v>
      </c>
      <c r="P220" s="40" t="str">
        <f>VLOOKUP(C220,Sheet1!$U$4:$V$14,2,FALSE)</f>
        <v>Tàu khác</v>
      </c>
      <c r="Q220" s="88">
        <f t="shared" si="3"/>
        <v>135853533.54564765</v>
      </c>
    </row>
    <row r="221" spans="1:17" x14ac:dyDescent="0.25">
      <c r="A221" s="85" t="s">
        <v>297</v>
      </c>
      <c r="B221" s="65" t="s">
        <v>155</v>
      </c>
      <c r="C221" s="65" t="s">
        <v>388</v>
      </c>
      <c r="D221" s="66">
        <v>0</v>
      </c>
      <c r="E221" s="65">
        <v>550679190</v>
      </c>
      <c r="F221" s="67">
        <v>0</v>
      </c>
      <c r="G221" s="68">
        <v>0</v>
      </c>
      <c r="H221" s="68">
        <v>0</v>
      </c>
      <c r="I221" s="68">
        <v>0</v>
      </c>
      <c r="J221" s="68">
        <v>0</v>
      </c>
      <c r="K221" s="68">
        <v>0</v>
      </c>
      <c r="L221" s="68">
        <v>0</v>
      </c>
      <c r="M221" s="68">
        <v>0</v>
      </c>
      <c r="N221" s="69">
        <v>0</v>
      </c>
      <c r="O221" s="65" t="str">
        <f>VLOOKUP(A221,Report_HQ1!$A$7:$C$95,3,FALSE)</f>
        <v>BV Cà Mau</v>
      </c>
      <c r="P221" s="40" t="str">
        <f>VLOOKUP(C221,Sheet1!$U$4:$V$14,2,FALSE)</f>
        <v>Hull (Thân tàu biển)</v>
      </c>
      <c r="Q221" s="88">
        <f t="shared" si="3"/>
        <v>0</v>
      </c>
    </row>
    <row r="222" spans="1:17" x14ac:dyDescent="0.25">
      <c r="A222" s="85" t="s">
        <v>297</v>
      </c>
      <c r="B222" s="65" t="s">
        <v>155</v>
      </c>
      <c r="C222" s="65" t="s">
        <v>23</v>
      </c>
      <c r="D222" s="66">
        <v>0</v>
      </c>
      <c r="E222" s="65">
        <v>550679190</v>
      </c>
      <c r="F222" s="67">
        <v>0</v>
      </c>
      <c r="G222" s="68">
        <v>0</v>
      </c>
      <c r="H222" s="68">
        <v>0</v>
      </c>
      <c r="I222" s="68">
        <v>0</v>
      </c>
      <c r="J222" s="68">
        <v>0</v>
      </c>
      <c r="K222" s="68">
        <v>0</v>
      </c>
      <c r="L222" s="68">
        <v>0</v>
      </c>
      <c r="M222" s="68">
        <v>0</v>
      </c>
      <c r="N222" s="69">
        <v>0</v>
      </c>
      <c r="O222" s="65" t="str">
        <f>VLOOKUP(A222,Report_HQ1!$A$7:$C$95,3,FALSE)</f>
        <v>BV Cà Mau</v>
      </c>
      <c r="P222" s="40" t="str">
        <f>VLOOKUP(C222,Sheet1!$U$4:$V$14,2,FALSE)</f>
        <v>P&amp;I</v>
      </c>
      <c r="Q222" s="88">
        <f t="shared" si="3"/>
        <v>0</v>
      </c>
    </row>
    <row r="223" spans="1:17" x14ac:dyDescent="0.25">
      <c r="A223" s="85" t="s">
        <v>297</v>
      </c>
      <c r="B223" s="65" t="s">
        <v>155</v>
      </c>
      <c r="C223" s="65" t="s">
        <v>389</v>
      </c>
      <c r="D223" s="66">
        <v>64200000</v>
      </c>
      <c r="E223" s="65">
        <v>550679190</v>
      </c>
      <c r="F223" s="67">
        <v>3050036.5709597827</v>
      </c>
      <c r="G223" s="68">
        <v>0</v>
      </c>
      <c r="H223" s="68">
        <v>3050036.5709597827</v>
      </c>
      <c r="I223" s="68">
        <v>0</v>
      </c>
      <c r="J223" s="68">
        <v>0</v>
      </c>
      <c r="K223" s="68">
        <v>0</v>
      </c>
      <c r="L223" s="68">
        <v>9630000</v>
      </c>
      <c r="M223" s="68">
        <v>5136000</v>
      </c>
      <c r="N223" s="69">
        <v>17816036.570959784</v>
      </c>
      <c r="O223" s="65" t="str">
        <f>VLOOKUP(A223,Report_HQ1!$A$7:$C$95,3,FALSE)</f>
        <v>BV Cà Mau</v>
      </c>
      <c r="P223" s="40" t="str">
        <f>VLOOKUP(C223,Sheet1!$U$4:$V$14,2,FALSE)</f>
        <v>BH Trách nhiệm</v>
      </c>
      <c r="Q223" s="88">
        <f t="shared" si="3"/>
        <v>17816036.570959784</v>
      </c>
    </row>
    <row r="224" spans="1:17" x14ac:dyDescent="0.25">
      <c r="A224" s="85" t="s">
        <v>297</v>
      </c>
      <c r="B224" s="65" t="s">
        <v>155</v>
      </c>
      <c r="C224" s="65" t="s">
        <v>390</v>
      </c>
      <c r="D224" s="66">
        <v>0</v>
      </c>
      <c r="E224" s="65">
        <v>550679190</v>
      </c>
      <c r="F224" s="67">
        <v>0</v>
      </c>
      <c r="G224" s="68">
        <v>0</v>
      </c>
      <c r="H224" s="68">
        <v>0</v>
      </c>
      <c r="I224" s="68">
        <v>0</v>
      </c>
      <c r="J224" s="68">
        <v>0</v>
      </c>
      <c r="K224" s="68">
        <v>0</v>
      </c>
      <c r="L224" s="68">
        <v>0</v>
      </c>
      <c r="M224" s="68">
        <v>0</v>
      </c>
      <c r="N224" s="69">
        <v>0</v>
      </c>
      <c r="O224" s="65" t="str">
        <f>VLOOKUP(A224,Report_HQ1!$A$7:$C$95,3,FALSE)</f>
        <v>BV Cà Mau</v>
      </c>
      <c r="P224" s="40" t="e">
        <f>VLOOKUP(C224,Sheet1!$U$4:$V$14,2,FALSE)</f>
        <v>#N/A</v>
      </c>
      <c r="Q224" s="88">
        <f t="shared" si="3"/>
        <v>0</v>
      </c>
    </row>
    <row r="225" spans="1:17" x14ac:dyDescent="0.25">
      <c r="A225" s="85" t="s">
        <v>297</v>
      </c>
      <c r="B225" s="65" t="s">
        <v>155</v>
      </c>
      <c r="C225" s="65" t="s">
        <v>391</v>
      </c>
      <c r="D225" s="66">
        <v>5186656761</v>
      </c>
      <c r="E225" s="65">
        <v>550679190</v>
      </c>
      <c r="F225" s="67">
        <v>246409545.20351735</v>
      </c>
      <c r="G225" s="68">
        <v>0</v>
      </c>
      <c r="H225" s="68">
        <v>246409545.20351735</v>
      </c>
      <c r="I225" s="68">
        <v>0</v>
      </c>
      <c r="J225" s="68">
        <v>0</v>
      </c>
      <c r="K225" s="68">
        <v>0</v>
      </c>
      <c r="L225" s="68">
        <v>988665922</v>
      </c>
      <c r="M225" s="68">
        <v>203429727</v>
      </c>
      <c r="N225" s="69">
        <v>1438505194.2035174</v>
      </c>
      <c r="O225" s="65" t="str">
        <f>VLOOKUP(A225,Report_HQ1!$A$7:$C$95,3,FALSE)</f>
        <v>BV Cà Mau</v>
      </c>
      <c r="P225" s="40" t="str">
        <f>VLOOKUP(C225,Sheet1!$U$4:$V$14,2,FALSE)</f>
        <v>BH Kỹ thuật</v>
      </c>
      <c r="Q225" s="88">
        <f t="shared" si="3"/>
        <v>1438505194.2035174</v>
      </c>
    </row>
    <row r="226" spans="1:17" x14ac:dyDescent="0.25">
      <c r="A226" s="85" t="s">
        <v>297</v>
      </c>
      <c r="B226" s="65" t="s">
        <v>155</v>
      </c>
      <c r="C226" s="65" t="s">
        <v>392</v>
      </c>
      <c r="D226" s="66">
        <v>469531856</v>
      </c>
      <c r="E226" s="65">
        <v>550679190</v>
      </c>
      <c r="F226" s="67">
        <v>22306687.414807204</v>
      </c>
      <c r="G226" s="68">
        <v>0</v>
      </c>
      <c r="H226" s="68">
        <v>22306687.414807204</v>
      </c>
      <c r="I226" s="68">
        <v>0</v>
      </c>
      <c r="J226" s="68">
        <v>11267265</v>
      </c>
      <c r="K226" s="68">
        <v>5633632</v>
      </c>
      <c r="L226" s="68">
        <v>40862434</v>
      </c>
      <c r="M226" s="68">
        <v>13982434</v>
      </c>
      <c r="N226" s="69">
        <v>94052452.4148072</v>
      </c>
      <c r="O226" s="65" t="str">
        <f>VLOOKUP(A226,Report_HQ1!$A$7:$C$95,3,FALSE)</f>
        <v>BV Cà Mau</v>
      </c>
      <c r="P226" s="40" t="str">
        <f>VLOOKUP(C226,Sheet1!$U$4:$V$14,2,FALSE)</f>
        <v>BH Tài sản</v>
      </c>
      <c r="Q226" s="88">
        <f t="shared" si="3"/>
        <v>94052452.4148072</v>
      </c>
    </row>
    <row r="227" spans="1:17" x14ac:dyDescent="0.25">
      <c r="A227" s="85" t="s">
        <v>297</v>
      </c>
      <c r="B227" s="65" t="s">
        <v>155</v>
      </c>
      <c r="C227" s="65" t="s">
        <v>393</v>
      </c>
      <c r="D227" s="66">
        <v>2847823773</v>
      </c>
      <c r="E227" s="65">
        <v>550679190</v>
      </c>
      <c r="F227" s="67">
        <v>135295430.76789206</v>
      </c>
      <c r="G227" s="68">
        <v>0</v>
      </c>
      <c r="H227" s="68">
        <v>135295430.76789206</v>
      </c>
      <c r="I227" s="68">
        <v>0</v>
      </c>
      <c r="J227" s="68">
        <v>251374993</v>
      </c>
      <c r="K227" s="68">
        <v>130285995</v>
      </c>
      <c r="L227" s="68">
        <v>235781572</v>
      </c>
      <c r="M227" s="68">
        <v>170316772</v>
      </c>
      <c r="N227" s="69">
        <v>923054762.76789212</v>
      </c>
      <c r="O227" s="65" t="str">
        <f>VLOOKUP(A227,Report_HQ1!$A$7:$C$95,3,FALSE)</f>
        <v>BV Cà Mau</v>
      </c>
      <c r="P227" s="40" t="str">
        <f>VLOOKUP(C227,Sheet1!$U$4:$V$14,2,FALSE)</f>
        <v>BH Xe cơ giới</v>
      </c>
      <c r="Q227" s="88">
        <f t="shared" si="3"/>
        <v>923054762.76789212</v>
      </c>
    </row>
    <row r="228" spans="1:17" x14ac:dyDescent="0.25">
      <c r="A228" s="85" t="s">
        <v>297</v>
      </c>
      <c r="B228" s="65" t="s">
        <v>155</v>
      </c>
      <c r="C228" s="65" t="s">
        <v>394</v>
      </c>
      <c r="D228" s="66">
        <v>1363146920</v>
      </c>
      <c r="E228" s="65">
        <v>550679190</v>
      </c>
      <c r="F228" s="67">
        <v>64760871.61356993</v>
      </c>
      <c r="G228" s="68">
        <v>0</v>
      </c>
      <c r="H228" s="68">
        <v>64760871.61356993</v>
      </c>
      <c r="I228" s="68">
        <v>1058500</v>
      </c>
      <c r="J228" s="68">
        <v>213488672</v>
      </c>
      <c r="K228" s="68">
        <v>7628948</v>
      </c>
      <c r="L228" s="68">
        <v>51548643</v>
      </c>
      <c r="M228" s="68">
        <v>70981944</v>
      </c>
      <c r="N228" s="69">
        <v>409467578.61356992</v>
      </c>
      <c r="O228" s="65" t="str">
        <f>VLOOKUP(A228,Report_HQ1!$A$7:$C$95,3,FALSE)</f>
        <v>BV Cà Mau</v>
      </c>
      <c r="P228" s="40" t="str">
        <f>VLOOKUP(C228,Sheet1!$U$4:$V$14,2,FALSE)</f>
        <v>BH Con người</v>
      </c>
      <c r="Q228" s="88">
        <f t="shared" si="3"/>
        <v>409467578.61356992</v>
      </c>
    </row>
    <row r="229" spans="1:17" x14ac:dyDescent="0.25">
      <c r="A229" s="85" t="s">
        <v>297</v>
      </c>
      <c r="B229" s="65" t="s">
        <v>155</v>
      </c>
      <c r="C229" s="65" t="s">
        <v>395</v>
      </c>
      <c r="D229" s="66">
        <v>0</v>
      </c>
      <c r="E229" s="65">
        <v>550679190</v>
      </c>
      <c r="F229" s="67">
        <v>0</v>
      </c>
      <c r="G229" s="68">
        <v>0</v>
      </c>
      <c r="H229" s="68">
        <v>0</v>
      </c>
      <c r="I229" s="68">
        <v>0</v>
      </c>
      <c r="J229" s="68">
        <v>0</v>
      </c>
      <c r="K229" s="68">
        <v>0</v>
      </c>
      <c r="L229" s="68">
        <v>0</v>
      </c>
      <c r="M229" s="68">
        <v>0</v>
      </c>
      <c r="N229" s="69">
        <v>0</v>
      </c>
      <c r="O229" s="65" t="str">
        <f>VLOOKUP(A229,Report_HQ1!$A$7:$C$95,3,FALSE)</f>
        <v>BV Cà Mau</v>
      </c>
      <c r="P229" s="40" t="e">
        <f>VLOOKUP(C229,Sheet1!$U$4:$V$14,2,FALSE)</f>
        <v>#N/A</v>
      </c>
      <c r="Q229" s="88">
        <f t="shared" si="3"/>
        <v>0</v>
      </c>
    </row>
    <row r="230" spans="1:17" x14ac:dyDescent="0.25">
      <c r="A230" s="85" t="s">
        <v>297</v>
      </c>
      <c r="B230" s="65" t="s">
        <v>155</v>
      </c>
      <c r="C230" s="65" t="s">
        <v>396</v>
      </c>
      <c r="D230" s="66">
        <v>814618323</v>
      </c>
      <c r="E230" s="65">
        <v>550679190</v>
      </c>
      <c r="F230" s="67">
        <v>38701178.762054965</v>
      </c>
      <c r="G230" s="68">
        <v>0</v>
      </c>
      <c r="H230" s="68">
        <v>38701178.762054965</v>
      </c>
      <c r="I230" s="68">
        <v>0</v>
      </c>
      <c r="J230" s="68">
        <v>134969470</v>
      </c>
      <c r="K230" s="68">
        <v>134309482</v>
      </c>
      <c r="L230" s="68">
        <v>34116791</v>
      </c>
      <c r="M230" s="68">
        <v>53515060</v>
      </c>
      <c r="N230" s="69">
        <v>395611981.76205498</v>
      </c>
      <c r="O230" s="65" t="str">
        <f>VLOOKUP(A230,Report_HQ1!$A$7:$C$95,3,FALSE)</f>
        <v>BV Cà Mau</v>
      </c>
      <c r="P230" s="40" t="str">
        <f>VLOOKUP(C230,Sheet1!$U$4:$V$14,2,FALSE)</f>
        <v>BH Y tế</v>
      </c>
      <c r="Q230" s="88">
        <f t="shared" si="3"/>
        <v>395611981.76205498</v>
      </c>
    </row>
    <row r="231" spans="1:17" x14ac:dyDescent="0.25">
      <c r="A231" s="85" t="s">
        <v>297</v>
      </c>
      <c r="B231" s="65" t="s">
        <v>155</v>
      </c>
      <c r="C231" s="65" t="s">
        <v>397</v>
      </c>
      <c r="D231" s="66">
        <v>1352000</v>
      </c>
      <c r="E231" s="65">
        <v>550679190</v>
      </c>
      <c r="F231" s="67">
        <v>64231.299749807258</v>
      </c>
      <c r="G231" s="68">
        <v>0</v>
      </c>
      <c r="H231" s="68">
        <v>64231.299749807258</v>
      </c>
      <c r="I231" s="68">
        <v>0</v>
      </c>
      <c r="J231" s="68">
        <v>270400</v>
      </c>
      <c r="K231" s="68">
        <v>270400</v>
      </c>
      <c r="L231" s="68">
        <v>0</v>
      </c>
      <c r="M231" s="68">
        <v>108160</v>
      </c>
      <c r="N231" s="69">
        <v>713191.29974980722</v>
      </c>
      <c r="O231" s="65" t="str">
        <f>VLOOKUP(A231,Report_HQ1!$A$7:$C$95,3,FALSE)</f>
        <v>BV Cà Mau</v>
      </c>
      <c r="P231" s="40" t="str">
        <f>VLOOKUP(C231,Sheet1!$U$4:$V$14,2,FALSE)</f>
        <v>BH Du lịch</v>
      </c>
      <c r="Q231" s="88">
        <f t="shared" si="3"/>
        <v>713191.29974980722</v>
      </c>
    </row>
    <row r="232" spans="1:17" x14ac:dyDescent="0.25">
      <c r="A232" s="85" t="s">
        <v>299</v>
      </c>
      <c r="B232" s="65" t="s">
        <v>157</v>
      </c>
      <c r="C232" s="65" t="s">
        <v>387</v>
      </c>
      <c r="D232" s="66">
        <v>0</v>
      </c>
      <c r="E232" s="65">
        <v>236250000</v>
      </c>
      <c r="F232" s="67">
        <v>0</v>
      </c>
      <c r="G232" s="68">
        <v>0</v>
      </c>
      <c r="H232" s="68">
        <v>0</v>
      </c>
      <c r="I232" s="68">
        <v>0</v>
      </c>
      <c r="J232" s="68">
        <v>0</v>
      </c>
      <c r="K232" s="68">
        <v>0</v>
      </c>
      <c r="L232" s="68">
        <v>0</v>
      </c>
      <c r="M232" s="68">
        <v>0</v>
      </c>
      <c r="N232" s="69">
        <v>0</v>
      </c>
      <c r="O232" s="65" t="str">
        <f>VLOOKUP(A232,Report_HQ1!$A$7:$C$95,3,FALSE)</f>
        <v>BV Cao Bằng</v>
      </c>
      <c r="P232" s="40" t="str">
        <f>VLOOKUP(C232,Sheet1!$U$4:$V$14,2,FALSE)</f>
        <v>BH Hàng hóa</v>
      </c>
      <c r="Q232" s="88">
        <f t="shared" si="3"/>
        <v>0</v>
      </c>
    </row>
    <row r="233" spans="1:17" x14ac:dyDescent="0.25">
      <c r="A233" s="85" t="s">
        <v>299</v>
      </c>
      <c r="B233" s="65" t="s">
        <v>157</v>
      </c>
      <c r="C233" s="65" t="s">
        <v>272</v>
      </c>
      <c r="D233" s="66">
        <v>0</v>
      </c>
      <c r="E233" s="65">
        <v>236250000</v>
      </c>
      <c r="F233" s="67">
        <v>0</v>
      </c>
      <c r="G233" s="68">
        <v>0</v>
      </c>
      <c r="H233" s="68">
        <v>0</v>
      </c>
      <c r="I233" s="68">
        <v>0</v>
      </c>
      <c r="J233" s="68">
        <v>0</v>
      </c>
      <c r="K233" s="68">
        <v>0</v>
      </c>
      <c r="L233" s="68">
        <v>0</v>
      </c>
      <c r="M233" s="68">
        <v>0</v>
      </c>
      <c r="N233" s="69">
        <v>0</v>
      </c>
      <c r="O233" s="65" t="str">
        <f>VLOOKUP(A233,Report_HQ1!$A$7:$C$95,3,FALSE)</f>
        <v>BV Cao Bằng</v>
      </c>
      <c r="P233" s="40" t="str">
        <f>VLOOKUP(C233,Sheet1!$U$4:$V$14,2,FALSE)</f>
        <v>Tàu khác</v>
      </c>
      <c r="Q233" s="88">
        <f t="shared" si="3"/>
        <v>0</v>
      </c>
    </row>
    <row r="234" spans="1:17" x14ac:dyDescent="0.25">
      <c r="A234" s="85" t="s">
        <v>299</v>
      </c>
      <c r="B234" s="65" t="s">
        <v>157</v>
      </c>
      <c r="C234" s="65" t="s">
        <v>388</v>
      </c>
      <c r="D234" s="66">
        <v>0</v>
      </c>
      <c r="E234" s="65">
        <v>236250000</v>
      </c>
      <c r="F234" s="67">
        <v>0</v>
      </c>
      <c r="G234" s="68">
        <v>0</v>
      </c>
      <c r="H234" s="68">
        <v>0</v>
      </c>
      <c r="I234" s="68">
        <v>0</v>
      </c>
      <c r="J234" s="68">
        <v>0</v>
      </c>
      <c r="K234" s="68">
        <v>0</v>
      </c>
      <c r="L234" s="68">
        <v>0</v>
      </c>
      <c r="M234" s="68">
        <v>0</v>
      </c>
      <c r="N234" s="69">
        <v>0</v>
      </c>
      <c r="O234" s="65" t="str">
        <f>VLOOKUP(A234,Report_HQ1!$A$7:$C$95,3,FALSE)</f>
        <v>BV Cao Bằng</v>
      </c>
      <c r="P234" s="40" t="str">
        <f>VLOOKUP(C234,Sheet1!$U$4:$V$14,2,FALSE)</f>
        <v>Hull (Thân tàu biển)</v>
      </c>
      <c r="Q234" s="88">
        <f t="shared" si="3"/>
        <v>0</v>
      </c>
    </row>
    <row r="235" spans="1:17" x14ac:dyDescent="0.25">
      <c r="A235" s="85" t="s">
        <v>299</v>
      </c>
      <c r="B235" s="65" t="s">
        <v>157</v>
      </c>
      <c r="C235" s="65" t="s">
        <v>23</v>
      </c>
      <c r="D235" s="66">
        <v>0</v>
      </c>
      <c r="E235" s="65">
        <v>236250000</v>
      </c>
      <c r="F235" s="67">
        <v>0</v>
      </c>
      <c r="G235" s="68">
        <v>0</v>
      </c>
      <c r="H235" s="68">
        <v>0</v>
      </c>
      <c r="I235" s="68">
        <v>0</v>
      </c>
      <c r="J235" s="68">
        <v>0</v>
      </c>
      <c r="K235" s="68">
        <v>0</v>
      </c>
      <c r="L235" s="68">
        <v>0</v>
      </c>
      <c r="M235" s="68">
        <v>0</v>
      </c>
      <c r="N235" s="69">
        <v>0</v>
      </c>
      <c r="O235" s="65" t="str">
        <f>VLOOKUP(A235,Report_HQ1!$A$7:$C$95,3,FALSE)</f>
        <v>BV Cao Bằng</v>
      </c>
      <c r="P235" s="40" t="str">
        <f>VLOOKUP(C235,Sheet1!$U$4:$V$14,2,FALSE)</f>
        <v>P&amp;I</v>
      </c>
      <c r="Q235" s="88">
        <f t="shared" si="3"/>
        <v>0</v>
      </c>
    </row>
    <row r="236" spans="1:17" x14ac:dyDescent="0.25">
      <c r="A236" s="85" t="s">
        <v>299</v>
      </c>
      <c r="B236" s="65" t="s">
        <v>157</v>
      </c>
      <c r="C236" s="65" t="s">
        <v>389</v>
      </c>
      <c r="D236" s="66">
        <v>0</v>
      </c>
      <c r="E236" s="65">
        <v>236250000</v>
      </c>
      <c r="F236" s="67">
        <v>0</v>
      </c>
      <c r="G236" s="68">
        <v>0</v>
      </c>
      <c r="H236" s="68">
        <v>0</v>
      </c>
      <c r="I236" s="68">
        <v>0</v>
      </c>
      <c r="J236" s="68">
        <v>0</v>
      </c>
      <c r="K236" s="68">
        <v>0</v>
      </c>
      <c r="L236" s="68">
        <v>0</v>
      </c>
      <c r="M236" s="68">
        <v>0</v>
      </c>
      <c r="N236" s="69">
        <v>0</v>
      </c>
      <c r="O236" s="65" t="str">
        <f>VLOOKUP(A236,Report_HQ1!$A$7:$C$95,3,FALSE)</f>
        <v>BV Cao Bằng</v>
      </c>
      <c r="P236" s="40" t="str">
        <f>VLOOKUP(C236,Sheet1!$U$4:$V$14,2,FALSE)</f>
        <v>BH Trách nhiệm</v>
      </c>
      <c r="Q236" s="88">
        <f t="shared" si="3"/>
        <v>0</v>
      </c>
    </row>
    <row r="237" spans="1:17" x14ac:dyDescent="0.25">
      <c r="A237" s="85" t="s">
        <v>299</v>
      </c>
      <c r="B237" s="65" t="s">
        <v>157</v>
      </c>
      <c r="C237" s="65" t="s">
        <v>390</v>
      </c>
      <c r="D237" s="66">
        <v>0</v>
      </c>
      <c r="E237" s="65">
        <v>236250000</v>
      </c>
      <c r="F237" s="67">
        <v>0</v>
      </c>
      <c r="G237" s="68">
        <v>0</v>
      </c>
      <c r="H237" s="68">
        <v>0</v>
      </c>
      <c r="I237" s="68">
        <v>0</v>
      </c>
      <c r="J237" s="68">
        <v>0</v>
      </c>
      <c r="K237" s="68">
        <v>0</v>
      </c>
      <c r="L237" s="68">
        <v>0</v>
      </c>
      <c r="M237" s="68">
        <v>0</v>
      </c>
      <c r="N237" s="69">
        <v>0</v>
      </c>
      <c r="O237" s="65" t="str">
        <f>VLOOKUP(A237,Report_HQ1!$A$7:$C$95,3,FALSE)</f>
        <v>BV Cao Bằng</v>
      </c>
      <c r="P237" s="40" t="e">
        <f>VLOOKUP(C237,Sheet1!$U$4:$V$14,2,FALSE)</f>
        <v>#N/A</v>
      </c>
      <c r="Q237" s="88">
        <f t="shared" si="3"/>
        <v>0</v>
      </c>
    </row>
    <row r="238" spans="1:17" x14ac:dyDescent="0.25">
      <c r="A238" s="85" t="s">
        <v>299</v>
      </c>
      <c r="B238" s="65" t="s">
        <v>157</v>
      </c>
      <c r="C238" s="65" t="s">
        <v>391</v>
      </c>
      <c r="D238" s="66">
        <v>0</v>
      </c>
      <c r="E238" s="65">
        <v>236250000</v>
      </c>
      <c r="F238" s="67">
        <v>0</v>
      </c>
      <c r="G238" s="68">
        <v>0</v>
      </c>
      <c r="H238" s="68">
        <v>0</v>
      </c>
      <c r="I238" s="68">
        <v>0</v>
      </c>
      <c r="J238" s="68">
        <v>0</v>
      </c>
      <c r="K238" s="68">
        <v>0</v>
      </c>
      <c r="L238" s="68">
        <v>0</v>
      </c>
      <c r="M238" s="68">
        <v>0</v>
      </c>
      <c r="N238" s="69">
        <v>0</v>
      </c>
      <c r="O238" s="65" t="str">
        <f>VLOOKUP(A238,Report_HQ1!$A$7:$C$95,3,FALSE)</f>
        <v>BV Cao Bằng</v>
      </c>
      <c r="P238" s="40" t="str">
        <f>VLOOKUP(C238,Sheet1!$U$4:$V$14,2,FALSE)</f>
        <v>BH Kỹ thuật</v>
      </c>
      <c r="Q238" s="88">
        <f t="shared" si="3"/>
        <v>0</v>
      </c>
    </row>
    <row r="239" spans="1:17" x14ac:dyDescent="0.25">
      <c r="A239" s="85" t="s">
        <v>299</v>
      </c>
      <c r="B239" s="65" t="s">
        <v>157</v>
      </c>
      <c r="C239" s="65" t="s">
        <v>392</v>
      </c>
      <c r="D239" s="66">
        <v>78766249</v>
      </c>
      <c r="E239" s="65">
        <v>236250000</v>
      </c>
      <c r="F239" s="67">
        <v>5825778.4189612921</v>
      </c>
      <c r="G239" s="68">
        <v>0</v>
      </c>
      <c r="H239" s="68">
        <v>5825778.4189612921</v>
      </c>
      <c r="I239" s="68">
        <v>0</v>
      </c>
      <c r="J239" s="68">
        <v>4038335</v>
      </c>
      <c r="K239" s="68">
        <v>2019168</v>
      </c>
      <c r="L239" s="68">
        <v>11769652</v>
      </c>
      <c r="M239" s="68">
        <v>4725975</v>
      </c>
      <c r="N239" s="69">
        <v>28378908.418961294</v>
      </c>
      <c r="O239" s="65" t="str">
        <f>VLOOKUP(A239,Report_HQ1!$A$7:$C$95,3,FALSE)</f>
        <v>BV Cao Bằng</v>
      </c>
      <c r="P239" s="40" t="str">
        <f>VLOOKUP(C239,Sheet1!$U$4:$V$14,2,FALSE)</f>
        <v>BH Tài sản</v>
      </c>
      <c r="Q239" s="88">
        <f t="shared" si="3"/>
        <v>28378908.418961294</v>
      </c>
    </row>
    <row r="240" spans="1:17" x14ac:dyDescent="0.25">
      <c r="A240" s="85" t="s">
        <v>299</v>
      </c>
      <c r="B240" s="65" t="s">
        <v>157</v>
      </c>
      <c r="C240" s="65" t="s">
        <v>393</v>
      </c>
      <c r="D240" s="66">
        <v>2310704995</v>
      </c>
      <c r="E240" s="65">
        <v>236250000</v>
      </c>
      <c r="F240" s="67">
        <v>170906390.27963692</v>
      </c>
      <c r="G240" s="68">
        <v>0</v>
      </c>
      <c r="H240" s="68">
        <v>170906390.27963692</v>
      </c>
      <c r="I240" s="68">
        <v>0</v>
      </c>
      <c r="J240" s="68">
        <v>185583087</v>
      </c>
      <c r="K240" s="68">
        <v>92791544</v>
      </c>
      <c r="L240" s="68">
        <v>299116177</v>
      </c>
      <c r="M240" s="68">
        <v>136839787</v>
      </c>
      <c r="N240" s="69">
        <v>885236985.27963686</v>
      </c>
      <c r="O240" s="65" t="str">
        <f>VLOOKUP(A240,Report_HQ1!$A$7:$C$95,3,FALSE)</f>
        <v>BV Cao Bằng</v>
      </c>
      <c r="P240" s="40" t="str">
        <f>VLOOKUP(C240,Sheet1!$U$4:$V$14,2,FALSE)</f>
        <v>BH Xe cơ giới</v>
      </c>
      <c r="Q240" s="88">
        <f t="shared" si="3"/>
        <v>885236985.27963686</v>
      </c>
    </row>
    <row r="241" spans="1:17" x14ac:dyDescent="0.25">
      <c r="A241" s="85" t="s">
        <v>299</v>
      </c>
      <c r="B241" s="65" t="s">
        <v>157</v>
      </c>
      <c r="C241" s="65" t="s">
        <v>394</v>
      </c>
      <c r="D241" s="66">
        <v>462257300</v>
      </c>
      <c r="E241" s="65">
        <v>236250000</v>
      </c>
      <c r="F241" s="67">
        <v>34189880.012533233</v>
      </c>
      <c r="G241" s="68">
        <v>0</v>
      </c>
      <c r="H241" s="68">
        <v>34189880.012533233</v>
      </c>
      <c r="I241" s="68">
        <v>171500</v>
      </c>
      <c r="J241" s="68">
        <v>69519877</v>
      </c>
      <c r="K241" s="68">
        <v>686000</v>
      </c>
      <c r="L241" s="68">
        <v>22304756</v>
      </c>
      <c r="M241" s="68">
        <v>23380806</v>
      </c>
      <c r="N241" s="69">
        <v>150252819.01253325</v>
      </c>
      <c r="O241" s="65" t="str">
        <f>VLOOKUP(A241,Report_HQ1!$A$7:$C$95,3,FALSE)</f>
        <v>BV Cao Bằng</v>
      </c>
      <c r="P241" s="40" t="str">
        <f>VLOOKUP(C241,Sheet1!$U$4:$V$14,2,FALSE)</f>
        <v>BH Con người</v>
      </c>
      <c r="Q241" s="88">
        <f t="shared" si="3"/>
        <v>150252819.01253325</v>
      </c>
    </row>
    <row r="242" spans="1:17" x14ac:dyDescent="0.25">
      <c r="A242" s="85" t="s">
        <v>299</v>
      </c>
      <c r="B242" s="65" t="s">
        <v>157</v>
      </c>
      <c r="C242" s="65" t="s">
        <v>395</v>
      </c>
      <c r="D242" s="66">
        <v>0</v>
      </c>
      <c r="E242" s="65">
        <v>236250000</v>
      </c>
      <c r="F242" s="67">
        <v>0</v>
      </c>
      <c r="G242" s="68">
        <v>0</v>
      </c>
      <c r="H242" s="68">
        <v>0</v>
      </c>
      <c r="I242" s="68">
        <v>0</v>
      </c>
      <c r="J242" s="68">
        <v>0</v>
      </c>
      <c r="K242" s="68">
        <v>0</v>
      </c>
      <c r="L242" s="68">
        <v>0</v>
      </c>
      <c r="M242" s="68">
        <v>0</v>
      </c>
      <c r="N242" s="69">
        <v>0</v>
      </c>
      <c r="O242" s="65" t="str">
        <f>VLOOKUP(A242,Report_HQ1!$A$7:$C$95,3,FALSE)</f>
        <v>BV Cao Bằng</v>
      </c>
      <c r="P242" s="40" t="e">
        <f>VLOOKUP(C242,Sheet1!$U$4:$V$14,2,FALSE)</f>
        <v>#N/A</v>
      </c>
      <c r="Q242" s="88">
        <f t="shared" si="3"/>
        <v>0</v>
      </c>
    </row>
    <row r="243" spans="1:17" x14ac:dyDescent="0.25">
      <c r="A243" s="85" t="s">
        <v>299</v>
      </c>
      <c r="B243" s="65" t="s">
        <v>157</v>
      </c>
      <c r="C243" s="65" t="s">
        <v>396</v>
      </c>
      <c r="D243" s="66">
        <v>84603400</v>
      </c>
      <c r="E243" s="65">
        <v>236250000</v>
      </c>
      <c r="F243" s="67">
        <v>6257510.9028074928</v>
      </c>
      <c r="G243" s="68">
        <v>0</v>
      </c>
      <c r="H243" s="68">
        <v>6257510.9028074928</v>
      </c>
      <c r="I243" s="68">
        <v>0</v>
      </c>
      <c r="J243" s="68">
        <v>16920680</v>
      </c>
      <c r="K243" s="68">
        <v>3384136</v>
      </c>
      <c r="L243" s="68">
        <v>915681</v>
      </c>
      <c r="M243" s="68">
        <v>6981194</v>
      </c>
      <c r="N243" s="69">
        <v>34459201.902807489</v>
      </c>
      <c r="O243" s="65" t="str">
        <f>VLOOKUP(A243,Report_HQ1!$A$7:$C$95,3,FALSE)</f>
        <v>BV Cao Bằng</v>
      </c>
      <c r="P243" s="40" t="str">
        <f>VLOOKUP(C243,Sheet1!$U$4:$V$14,2,FALSE)</f>
        <v>BH Y tế</v>
      </c>
      <c r="Q243" s="88">
        <f t="shared" si="3"/>
        <v>34459201.902807489</v>
      </c>
    </row>
    <row r="244" spans="1:17" x14ac:dyDescent="0.25">
      <c r="A244" s="85" t="s">
        <v>299</v>
      </c>
      <c r="B244" s="65" t="s">
        <v>157</v>
      </c>
      <c r="C244" s="65" t="s">
        <v>397</v>
      </c>
      <c r="D244" s="66">
        <v>257838000</v>
      </c>
      <c r="E244" s="65">
        <v>236250000</v>
      </c>
      <c r="F244" s="67">
        <v>19070440.386061061</v>
      </c>
      <c r="G244" s="68">
        <v>0</v>
      </c>
      <c r="H244" s="68">
        <v>19070440.386061061</v>
      </c>
      <c r="I244" s="68">
        <v>0</v>
      </c>
      <c r="J244" s="68">
        <v>51567600</v>
      </c>
      <c r="K244" s="68">
        <v>51567600</v>
      </c>
      <c r="L244" s="68">
        <v>0</v>
      </c>
      <c r="M244" s="68">
        <v>20627040</v>
      </c>
      <c r="N244" s="69">
        <v>142832680.38606107</v>
      </c>
      <c r="O244" s="65" t="str">
        <f>VLOOKUP(A244,Report_HQ1!$A$7:$C$95,3,FALSE)</f>
        <v>BV Cao Bằng</v>
      </c>
      <c r="P244" s="40" t="str">
        <f>VLOOKUP(C244,Sheet1!$U$4:$V$14,2,FALSE)</f>
        <v>BH Du lịch</v>
      </c>
      <c r="Q244" s="88">
        <f t="shared" si="3"/>
        <v>142832680.38606107</v>
      </c>
    </row>
    <row r="245" spans="1:17" x14ac:dyDescent="0.25">
      <c r="A245" s="85" t="s">
        <v>298</v>
      </c>
      <c r="B245" s="65" t="s">
        <v>156</v>
      </c>
      <c r="C245" s="65" t="s">
        <v>387</v>
      </c>
      <c r="D245" s="66">
        <v>191979992</v>
      </c>
      <c r="E245" s="65">
        <v>1256500000</v>
      </c>
      <c r="F245" s="67">
        <v>8385529.2801385885</v>
      </c>
      <c r="G245" s="68">
        <v>0</v>
      </c>
      <c r="H245" s="68">
        <v>8385529.2801385885</v>
      </c>
      <c r="I245" s="68">
        <v>0</v>
      </c>
      <c r="J245" s="68">
        <v>8441251</v>
      </c>
      <c r="K245" s="68">
        <v>4220625</v>
      </c>
      <c r="L245" s="68">
        <v>23814323</v>
      </c>
      <c r="M245" s="68">
        <v>15358399</v>
      </c>
      <c r="N245" s="69">
        <v>60220127.280138589</v>
      </c>
      <c r="O245" s="65" t="str">
        <f>VLOOKUP(A245,Report_HQ1!$A$7:$C$95,3,FALSE)</f>
        <v>BV Cần Thơ</v>
      </c>
      <c r="P245" s="40" t="str">
        <f>VLOOKUP(C245,Sheet1!$U$4:$V$14,2,FALSE)</f>
        <v>BH Hàng hóa</v>
      </c>
      <c r="Q245" s="88">
        <f t="shared" si="3"/>
        <v>60220127.280138589</v>
      </c>
    </row>
    <row r="246" spans="1:17" x14ac:dyDescent="0.25">
      <c r="A246" s="85" t="s">
        <v>298</v>
      </c>
      <c r="B246" s="65" t="s">
        <v>156</v>
      </c>
      <c r="C246" s="65" t="s">
        <v>272</v>
      </c>
      <c r="D246" s="66">
        <v>667016559</v>
      </c>
      <c r="E246" s="65">
        <v>1256500000</v>
      </c>
      <c r="F246" s="67">
        <v>29134738.612926852</v>
      </c>
      <c r="G246" s="68">
        <v>0</v>
      </c>
      <c r="H246" s="68">
        <v>29134738.612926852</v>
      </c>
      <c r="I246" s="68">
        <v>852068</v>
      </c>
      <c r="J246" s="68">
        <v>34154631</v>
      </c>
      <c r="K246" s="68">
        <v>15988885</v>
      </c>
      <c r="L246" s="68">
        <v>103320349</v>
      </c>
      <c r="M246" s="68">
        <v>44589246</v>
      </c>
      <c r="N246" s="69">
        <v>228039917.61292684</v>
      </c>
      <c r="O246" s="65" t="str">
        <f>VLOOKUP(A246,Report_HQ1!$A$7:$C$95,3,FALSE)</f>
        <v>BV Cần Thơ</v>
      </c>
      <c r="P246" s="40" t="str">
        <f>VLOOKUP(C246,Sheet1!$U$4:$V$14,2,FALSE)</f>
        <v>Tàu khác</v>
      </c>
      <c r="Q246" s="88">
        <f t="shared" si="3"/>
        <v>228039917.61292684</v>
      </c>
    </row>
    <row r="247" spans="1:17" x14ac:dyDescent="0.25">
      <c r="A247" s="85" t="s">
        <v>298</v>
      </c>
      <c r="B247" s="65" t="s">
        <v>156</v>
      </c>
      <c r="C247" s="65" t="s">
        <v>388</v>
      </c>
      <c r="D247" s="66">
        <v>0</v>
      </c>
      <c r="E247" s="65">
        <v>1256500000</v>
      </c>
      <c r="F247" s="67">
        <v>0</v>
      </c>
      <c r="G247" s="68">
        <v>0</v>
      </c>
      <c r="H247" s="68">
        <v>0</v>
      </c>
      <c r="I247" s="68">
        <v>0</v>
      </c>
      <c r="J247" s="68">
        <v>0</v>
      </c>
      <c r="K247" s="68">
        <v>0</v>
      </c>
      <c r="L247" s="68">
        <v>0</v>
      </c>
      <c r="M247" s="68">
        <v>0</v>
      </c>
      <c r="N247" s="69">
        <v>0</v>
      </c>
      <c r="O247" s="65" t="str">
        <f>VLOOKUP(A247,Report_HQ1!$A$7:$C$95,3,FALSE)</f>
        <v>BV Cần Thơ</v>
      </c>
      <c r="P247" s="40" t="str">
        <f>VLOOKUP(C247,Sheet1!$U$4:$V$14,2,FALSE)</f>
        <v>Hull (Thân tàu biển)</v>
      </c>
      <c r="Q247" s="88">
        <f t="shared" si="3"/>
        <v>0</v>
      </c>
    </row>
    <row r="248" spans="1:17" x14ac:dyDescent="0.25">
      <c r="A248" s="85" t="s">
        <v>298</v>
      </c>
      <c r="B248" s="65" t="s">
        <v>156</v>
      </c>
      <c r="C248" s="65" t="s">
        <v>23</v>
      </c>
      <c r="D248" s="66">
        <v>0</v>
      </c>
      <c r="E248" s="65">
        <v>1256500000</v>
      </c>
      <c r="F248" s="67">
        <v>0</v>
      </c>
      <c r="G248" s="68">
        <v>0</v>
      </c>
      <c r="H248" s="68">
        <v>0</v>
      </c>
      <c r="I248" s="68">
        <v>0</v>
      </c>
      <c r="J248" s="68">
        <v>0</v>
      </c>
      <c r="K248" s="68">
        <v>0</v>
      </c>
      <c r="L248" s="68">
        <v>0</v>
      </c>
      <c r="M248" s="68">
        <v>0</v>
      </c>
      <c r="N248" s="69">
        <v>0</v>
      </c>
      <c r="O248" s="65" t="str">
        <f>VLOOKUP(A248,Report_HQ1!$A$7:$C$95,3,FALSE)</f>
        <v>BV Cần Thơ</v>
      </c>
      <c r="P248" s="40" t="str">
        <f>VLOOKUP(C248,Sheet1!$U$4:$V$14,2,FALSE)</f>
        <v>P&amp;I</v>
      </c>
      <c r="Q248" s="88">
        <f t="shared" si="3"/>
        <v>0</v>
      </c>
    </row>
    <row r="249" spans="1:17" x14ac:dyDescent="0.25">
      <c r="A249" s="85" t="s">
        <v>298</v>
      </c>
      <c r="B249" s="65" t="s">
        <v>156</v>
      </c>
      <c r="C249" s="65" t="s">
        <v>389</v>
      </c>
      <c r="D249" s="66">
        <v>92832788</v>
      </c>
      <c r="E249" s="65">
        <v>1256500000</v>
      </c>
      <c r="F249" s="67">
        <v>4054860.3727981099</v>
      </c>
      <c r="G249" s="68">
        <v>0</v>
      </c>
      <c r="H249" s="68">
        <v>4054860.3727981099</v>
      </c>
      <c r="I249" s="68">
        <v>0</v>
      </c>
      <c r="J249" s="68">
        <v>1462464</v>
      </c>
      <c r="K249" s="68">
        <v>695977</v>
      </c>
      <c r="L249" s="68">
        <v>11771179</v>
      </c>
      <c r="M249" s="68">
        <v>7426623</v>
      </c>
      <c r="N249" s="69">
        <v>25411103.372798108</v>
      </c>
      <c r="O249" s="65" t="str">
        <f>VLOOKUP(A249,Report_HQ1!$A$7:$C$95,3,FALSE)</f>
        <v>BV Cần Thơ</v>
      </c>
      <c r="P249" s="40" t="str">
        <f>VLOOKUP(C249,Sheet1!$U$4:$V$14,2,FALSE)</f>
        <v>BH Trách nhiệm</v>
      </c>
      <c r="Q249" s="88">
        <f t="shared" si="3"/>
        <v>25411103.372798108</v>
      </c>
    </row>
    <row r="250" spans="1:17" x14ac:dyDescent="0.25">
      <c r="A250" s="85" t="s">
        <v>298</v>
      </c>
      <c r="B250" s="65" t="s">
        <v>156</v>
      </c>
      <c r="C250" s="65" t="s">
        <v>390</v>
      </c>
      <c r="D250" s="66">
        <v>2032974804</v>
      </c>
      <c r="E250" s="65">
        <v>1256500000</v>
      </c>
      <c r="F250" s="67">
        <v>88798679.316155031</v>
      </c>
      <c r="G250" s="68">
        <v>0</v>
      </c>
      <c r="H250" s="68">
        <v>88798679.316155031</v>
      </c>
      <c r="I250" s="68">
        <v>0</v>
      </c>
      <c r="J250" s="68">
        <v>0</v>
      </c>
      <c r="K250" s="68">
        <v>0</v>
      </c>
      <c r="L250" s="68">
        <v>243347085</v>
      </c>
      <c r="M250" s="68">
        <v>51434263</v>
      </c>
      <c r="N250" s="69">
        <v>383580027.31615502</v>
      </c>
      <c r="O250" s="65" t="str">
        <f>VLOOKUP(A250,Report_HQ1!$A$7:$C$95,3,FALSE)</f>
        <v>BV Cần Thơ</v>
      </c>
      <c r="P250" s="40" t="e">
        <f>VLOOKUP(C250,Sheet1!$U$4:$V$14,2,FALSE)</f>
        <v>#N/A</v>
      </c>
      <c r="Q250" s="88">
        <f t="shared" si="3"/>
        <v>383580027.31615502</v>
      </c>
    </row>
    <row r="251" spans="1:17" x14ac:dyDescent="0.25">
      <c r="A251" s="85" t="s">
        <v>298</v>
      </c>
      <c r="B251" s="65" t="s">
        <v>156</v>
      </c>
      <c r="C251" s="65" t="s">
        <v>391</v>
      </c>
      <c r="D251" s="66">
        <v>328050210</v>
      </c>
      <c r="E251" s="65">
        <v>1256500000</v>
      </c>
      <c r="F251" s="67">
        <v>14328965.28775047</v>
      </c>
      <c r="G251" s="68">
        <v>0</v>
      </c>
      <c r="H251" s="68">
        <v>14328965.28775047</v>
      </c>
      <c r="I251" s="68">
        <v>0</v>
      </c>
      <c r="J251" s="68">
        <v>17863772</v>
      </c>
      <c r="K251" s="68">
        <v>6363736</v>
      </c>
      <c r="L251" s="68">
        <v>49069715</v>
      </c>
      <c r="M251" s="68">
        <v>19700738</v>
      </c>
      <c r="N251" s="69">
        <v>107326926.28775047</v>
      </c>
      <c r="O251" s="65" t="str">
        <f>VLOOKUP(A251,Report_HQ1!$A$7:$C$95,3,FALSE)</f>
        <v>BV Cần Thơ</v>
      </c>
      <c r="P251" s="40" t="str">
        <f>VLOOKUP(C251,Sheet1!$U$4:$V$14,2,FALSE)</f>
        <v>BH Kỹ thuật</v>
      </c>
      <c r="Q251" s="88">
        <f t="shared" si="3"/>
        <v>107326926.28775047</v>
      </c>
    </row>
    <row r="252" spans="1:17" x14ac:dyDescent="0.25">
      <c r="A252" s="85" t="s">
        <v>298</v>
      </c>
      <c r="B252" s="65" t="s">
        <v>156</v>
      </c>
      <c r="C252" s="65" t="s">
        <v>392</v>
      </c>
      <c r="D252" s="66">
        <v>3918319222</v>
      </c>
      <c r="E252" s="65">
        <v>1256500000</v>
      </c>
      <c r="F252" s="67">
        <v>171148983.92646489</v>
      </c>
      <c r="G252" s="68">
        <v>0</v>
      </c>
      <c r="H252" s="68">
        <v>171148983.92646489</v>
      </c>
      <c r="I252" s="68">
        <v>0</v>
      </c>
      <c r="J252" s="68">
        <v>175561412</v>
      </c>
      <c r="K252" s="68">
        <v>86771521</v>
      </c>
      <c r="L252" s="68">
        <v>456804938</v>
      </c>
      <c r="M252" s="68">
        <v>232941630</v>
      </c>
      <c r="N252" s="69">
        <v>1123228484.926465</v>
      </c>
      <c r="O252" s="65" t="str">
        <f>VLOOKUP(A252,Report_HQ1!$A$7:$C$95,3,FALSE)</f>
        <v>BV Cần Thơ</v>
      </c>
      <c r="P252" s="40" t="str">
        <f>VLOOKUP(C252,Sheet1!$U$4:$V$14,2,FALSE)</f>
        <v>BH Tài sản</v>
      </c>
      <c r="Q252" s="88">
        <f t="shared" si="3"/>
        <v>1123228484.926465</v>
      </c>
    </row>
    <row r="253" spans="1:17" x14ac:dyDescent="0.25">
      <c r="A253" s="85" t="s">
        <v>298</v>
      </c>
      <c r="B253" s="65" t="s">
        <v>156</v>
      </c>
      <c r="C253" s="65" t="s">
        <v>393</v>
      </c>
      <c r="D253" s="66">
        <v>15232370011</v>
      </c>
      <c r="E253" s="65">
        <v>1256500000</v>
      </c>
      <c r="F253" s="67">
        <v>665337483.36204445</v>
      </c>
      <c r="G253" s="68">
        <v>0</v>
      </c>
      <c r="H253" s="68">
        <v>665337483.36204445</v>
      </c>
      <c r="I253" s="68">
        <v>0</v>
      </c>
      <c r="J253" s="68">
        <v>1230087096</v>
      </c>
      <c r="K253" s="68">
        <v>620013678</v>
      </c>
      <c r="L253" s="68">
        <v>1714271628</v>
      </c>
      <c r="M253" s="68">
        <v>910785353</v>
      </c>
      <c r="N253" s="69">
        <v>5140495238.3620443</v>
      </c>
      <c r="O253" s="65" t="str">
        <f>VLOOKUP(A253,Report_HQ1!$A$7:$C$95,3,FALSE)</f>
        <v>BV Cần Thơ</v>
      </c>
      <c r="P253" s="40" t="str">
        <f>VLOOKUP(C253,Sheet1!$U$4:$V$14,2,FALSE)</f>
        <v>BH Xe cơ giới</v>
      </c>
      <c r="Q253" s="88">
        <f t="shared" si="3"/>
        <v>5140495238.3620443</v>
      </c>
    </row>
    <row r="254" spans="1:17" x14ac:dyDescent="0.25">
      <c r="A254" s="85" t="s">
        <v>298</v>
      </c>
      <c r="B254" s="65" t="s">
        <v>156</v>
      </c>
      <c r="C254" s="65" t="s">
        <v>394</v>
      </c>
      <c r="D254" s="66">
        <v>1359252777</v>
      </c>
      <c r="E254" s="65">
        <v>1256500000</v>
      </c>
      <c r="F254" s="67">
        <v>59371051.336657971</v>
      </c>
      <c r="G254" s="68">
        <v>0</v>
      </c>
      <c r="H254" s="68">
        <v>59371051.336657971</v>
      </c>
      <c r="I254" s="68">
        <v>1457622</v>
      </c>
      <c r="J254" s="68">
        <v>184421361</v>
      </c>
      <c r="K254" s="68">
        <v>27057354</v>
      </c>
      <c r="L254" s="68">
        <v>111069504</v>
      </c>
      <c r="M254" s="68">
        <v>76659862</v>
      </c>
      <c r="N254" s="69">
        <v>460036754.336658</v>
      </c>
      <c r="O254" s="65" t="str">
        <f>VLOOKUP(A254,Report_HQ1!$A$7:$C$95,3,FALSE)</f>
        <v>BV Cần Thơ</v>
      </c>
      <c r="P254" s="40" t="str">
        <f>VLOOKUP(C254,Sheet1!$U$4:$V$14,2,FALSE)</f>
        <v>BH Con người</v>
      </c>
      <c r="Q254" s="88">
        <f t="shared" si="3"/>
        <v>460036754.336658</v>
      </c>
    </row>
    <row r="255" spans="1:17" x14ac:dyDescent="0.25">
      <c r="A255" s="85" t="s">
        <v>298</v>
      </c>
      <c r="B255" s="65" t="s">
        <v>156</v>
      </c>
      <c r="C255" s="65" t="s">
        <v>395</v>
      </c>
      <c r="D255" s="66">
        <v>0</v>
      </c>
      <c r="E255" s="65">
        <v>1256500000</v>
      </c>
      <c r="F255" s="67">
        <v>0</v>
      </c>
      <c r="G255" s="68">
        <v>0</v>
      </c>
      <c r="H255" s="68">
        <v>0</v>
      </c>
      <c r="I255" s="68">
        <v>0</v>
      </c>
      <c r="J255" s="68">
        <v>0</v>
      </c>
      <c r="K255" s="68">
        <v>0</v>
      </c>
      <c r="L255" s="68">
        <v>0</v>
      </c>
      <c r="M255" s="68">
        <v>0</v>
      </c>
      <c r="N255" s="69">
        <v>0</v>
      </c>
      <c r="O255" s="65" t="str">
        <f>VLOOKUP(A255,Report_HQ1!$A$7:$C$95,3,FALSE)</f>
        <v>BV Cần Thơ</v>
      </c>
      <c r="P255" s="40" t="e">
        <f>VLOOKUP(C255,Sheet1!$U$4:$V$14,2,FALSE)</f>
        <v>#N/A</v>
      </c>
      <c r="Q255" s="88">
        <f t="shared" si="3"/>
        <v>0</v>
      </c>
    </row>
    <row r="256" spans="1:17" x14ac:dyDescent="0.25">
      <c r="A256" s="85" t="s">
        <v>298</v>
      </c>
      <c r="B256" s="65" t="s">
        <v>156</v>
      </c>
      <c r="C256" s="65" t="s">
        <v>396</v>
      </c>
      <c r="D256" s="66">
        <v>4859068469</v>
      </c>
      <c r="E256" s="65">
        <v>1256500000</v>
      </c>
      <c r="F256" s="67">
        <v>212240142.82174614</v>
      </c>
      <c r="G256" s="68">
        <v>0</v>
      </c>
      <c r="H256" s="68">
        <v>212240142.82174614</v>
      </c>
      <c r="I256" s="68">
        <v>0</v>
      </c>
      <c r="J256" s="68">
        <v>871504589</v>
      </c>
      <c r="K256" s="68">
        <v>440533883</v>
      </c>
      <c r="L256" s="68">
        <v>124035848</v>
      </c>
      <c r="M256" s="68">
        <v>291422319</v>
      </c>
      <c r="N256" s="69">
        <v>1939736781.8217461</v>
      </c>
      <c r="O256" s="65" t="str">
        <f>VLOOKUP(A256,Report_HQ1!$A$7:$C$95,3,FALSE)</f>
        <v>BV Cần Thơ</v>
      </c>
      <c r="P256" s="40" t="str">
        <f>VLOOKUP(C256,Sheet1!$U$4:$V$14,2,FALSE)</f>
        <v>BH Y tế</v>
      </c>
      <c r="Q256" s="88">
        <f t="shared" si="3"/>
        <v>1939736781.8217461</v>
      </c>
    </row>
    <row r="257" spans="1:17" x14ac:dyDescent="0.25">
      <c r="A257" s="85" t="s">
        <v>298</v>
      </c>
      <c r="B257" s="65" t="s">
        <v>156</v>
      </c>
      <c r="C257" s="65" t="s">
        <v>397</v>
      </c>
      <c r="D257" s="66">
        <v>84698600</v>
      </c>
      <c r="E257" s="65">
        <v>1256500000</v>
      </c>
      <c r="F257" s="67">
        <v>3699565.6833173856</v>
      </c>
      <c r="G257" s="68">
        <v>0</v>
      </c>
      <c r="H257" s="68">
        <v>3699565.6833173856</v>
      </c>
      <c r="I257" s="68">
        <v>0</v>
      </c>
      <c r="J257" s="68">
        <v>11509480</v>
      </c>
      <c r="K257" s="68">
        <v>11509480</v>
      </c>
      <c r="L257" s="68">
        <v>8145360</v>
      </c>
      <c r="M257" s="68">
        <v>6775888</v>
      </c>
      <c r="N257" s="69">
        <v>41639773.683317386</v>
      </c>
      <c r="O257" s="65" t="str">
        <f>VLOOKUP(A257,Report_HQ1!$A$7:$C$95,3,FALSE)</f>
        <v>BV Cần Thơ</v>
      </c>
      <c r="P257" s="40" t="str">
        <f>VLOOKUP(C257,Sheet1!$U$4:$V$14,2,FALSE)</f>
        <v>BH Du lịch</v>
      </c>
      <c r="Q257" s="88">
        <f t="shared" si="3"/>
        <v>41639773.683317386</v>
      </c>
    </row>
    <row r="258" spans="1:17" x14ac:dyDescent="0.25">
      <c r="A258" s="85" t="s">
        <v>300</v>
      </c>
      <c r="B258" s="65" t="s">
        <v>158</v>
      </c>
      <c r="C258" s="65" t="s">
        <v>387</v>
      </c>
      <c r="D258" s="66">
        <v>3497168125</v>
      </c>
      <c r="E258" s="65">
        <v>2051929856</v>
      </c>
      <c r="F258" s="67">
        <v>100774654.869103</v>
      </c>
      <c r="G258" s="68">
        <v>0</v>
      </c>
      <c r="H258" s="68">
        <v>100774654.869103</v>
      </c>
      <c r="I258" s="68">
        <v>0</v>
      </c>
      <c r="J258" s="68">
        <v>349716812</v>
      </c>
      <c r="K258" s="68">
        <v>174858407</v>
      </c>
      <c r="L258" s="68">
        <v>139886725</v>
      </c>
      <c r="M258" s="68">
        <v>279773450</v>
      </c>
      <c r="N258" s="69">
        <v>1045010048.869103</v>
      </c>
      <c r="O258" s="65" t="str">
        <f>VLOOKUP(A258,Report_HQ1!$A$7:$C$95,3,FALSE)</f>
        <v>BV Đà Nẵng</v>
      </c>
      <c r="P258" s="40" t="str">
        <f>VLOOKUP(C258,Sheet1!$U$4:$V$14,2,FALSE)</f>
        <v>BH Hàng hóa</v>
      </c>
      <c r="Q258" s="88">
        <f t="shared" si="3"/>
        <v>1045010048.869103</v>
      </c>
    </row>
    <row r="259" spans="1:17" x14ac:dyDescent="0.25">
      <c r="A259" s="85" t="s">
        <v>300</v>
      </c>
      <c r="B259" s="65" t="s">
        <v>158</v>
      </c>
      <c r="C259" s="65" t="s">
        <v>272</v>
      </c>
      <c r="D259" s="66">
        <v>473065060</v>
      </c>
      <c r="E259" s="65">
        <v>2051929856</v>
      </c>
      <c r="F259" s="67">
        <v>13631877.693078166</v>
      </c>
      <c r="G259" s="68">
        <v>0</v>
      </c>
      <c r="H259" s="68">
        <v>13631877.693078166</v>
      </c>
      <c r="I259" s="68">
        <v>2307287</v>
      </c>
      <c r="J259" s="68">
        <v>70959759</v>
      </c>
      <c r="K259" s="68">
        <v>33114554</v>
      </c>
      <c r="L259" s="68">
        <v>4730651</v>
      </c>
      <c r="M259" s="68">
        <v>37845205</v>
      </c>
      <c r="N259" s="69">
        <v>162589333.69307816</v>
      </c>
      <c r="O259" s="65" t="str">
        <f>VLOOKUP(A259,Report_HQ1!$A$7:$C$95,3,FALSE)</f>
        <v>BV Đà Nẵng</v>
      </c>
      <c r="P259" s="40" t="str">
        <f>VLOOKUP(C259,Sheet1!$U$4:$V$14,2,FALSE)</f>
        <v>Tàu khác</v>
      </c>
      <c r="Q259" s="88">
        <f t="shared" si="3"/>
        <v>162589333.69307816</v>
      </c>
    </row>
    <row r="260" spans="1:17" x14ac:dyDescent="0.25">
      <c r="A260" s="85" t="s">
        <v>300</v>
      </c>
      <c r="B260" s="65" t="s">
        <v>158</v>
      </c>
      <c r="C260" s="65" t="s">
        <v>388</v>
      </c>
      <c r="D260" s="66">
        <v>215086805</v>
      </c>
      <c r="E260" s="65">
        <v>2051929856</v>
      </c>
      <c r="F260" s="67">
        <v>6197957.2517043501</v>
      </c>
      <c r="G260" s="68">
        <v>0</v>
      </c>
      <c r="H260" s="68">
        <v>6197957.2517043501</v>
      </c>
      <c r="I260" s="68">
        <v>1075434</v>
      </c>
      <c r="J260" s="68">
        <v>10754340</v>
      </c>
      <c r="K260" s="68">
        <v>5377170</v>
      </c>
      <c r="L260" s="68">
        <v>0</v>
      </c>
      <c r="M260" s="68">
        <v>6452604</v>
      </c>
      <c r="N260" s="69">
        <v>29857505.25170435</v>
      </c>
      <c r="O260" s="65" t="str">
        <f>VLOOKUP(A260,Report_HQ1!$A$7:$C$95,3,FALSE)</f>
        <v>BV Đà Nẵng</v>
      </c>
      <c r="P260" s="40" t="str">
        <f>VLOOKUP(C260,Sheet1!$U$4:$V$14,2,FALSE)</f>
        <v>Hull (Thân tàu biển)</v>
      </c>
      <c r="Q260" s="88">
        <f t="shared" si="3"/>
        <v>29857505.25170435</v>
      </c>
    </row>
    <row r="261" spans="1:17" x14ac:dyDescent="0.25">
      <c r="A261" s="85" t="s">
        <v>300</v>
      </c>
      <c r="B261" s="65" t="s">
        <v>158</v>
      </c>
      <c r="C261" s="65" t="s">
        <v>23</v>
      </c>
      <c r="D261" s="66">
        <v>117971331</v>
      </c>
      <c r="E261" s="65">
        <v>2051929856</v>
      </c>
      <c r="F261" s="67">
        <v>3399470.5833519828</v>
      </c>
      <c r="G261" s="68">
        <v>0</v>
      </c>
      <c r="H261" s="68">
        <v>3399470.5833519828</v>
      </c>
      <c r="I261" s="68">
        <v>0</v>
      </c>
      <c r="J261" s="68">
        <v>5898567</v>
      </c>
      <c r="K261" s="68">
        <v>2949283</v>
      </c>
      <c r="L261" s="68">
        <v>0</v>
      </c>
      <c r="M261" s="68">
        <v>3976790</v>
      </c>
      <c r="N261" s="69">
        <v>16224110.583351983</v>
      </c>
      <c r="O261" s="65" t="str">
        <f>VLOOKUP(A261,Report_HQ1!$A$7:$C$95,3,FALSE)</f>
        <v>BV Đà Nẵng</v>
      </c>
      <c r="P261" s="40" t="str">
        <f>VLOOKUP(C261,Sheet1!$U$4:$V$14,2,FALSE)</f>
        <v>P&amp;I</v>
      </c>
      <c r="Q261" s="88">
        <f t="shared" si="3"/>
        <v>16224110.583351983</v>
      </c>
    </row>
    <row r="262" spans="1:17" x14ac:dyDescent="0.25">
      <c r="A262" s="85" t="s">
        <v>300</v>
      </c>
      <c r="B262" s="65" t="s">
        <v>158</v>
      </c>
      <c r="C262" s="65" t="s">
        <v>389</v>
      </c>
      <c r="D262" s="66">
        <v>497643721</v>
      </c>
      <c r="E262" s="65">
        <v>2051929856</v>
      </c>
      <c r="F262" s="67">
        <v>14340138.202978497</v>
      </c>
      <c r="G262" s="68">
        <v>0</v>
      </c>
      <c r="H262" s="68">
        <v>14340138.202978497</v>
      </c>
      <c r="I262" s="68">
        <v>0</v>
      </c>
      <c r="J262" s="68">
        <v>36786185</v>
      </c>
      <c r="K262" s="68">
        <v>9465094</v>
      </c>
      <c r="L262" s="68">
        <v>28400681</v>
      </c>
      <c r="M262" s="68">
        <v>37441498</v>
      </c>
      <c r="N262" s="69">
        <v>126433596.20297849</v>
      </c>
      <c r="O262" s="65" t="str">
        <f>VLOOKUP(A262,Report_HQ1!$A$7:$C$95,3,FALSE)</f>
        <v>BV Đà Nẵng</v>
      </c>
      <c r="P262" s="40" t="str">
        <f>VLOOKUP(C262,Sheet1!$U$4:$V$14,2,FALSE)</f>
        <v>BH Trách nhiệm</v>
      </c>
      <c r="Q262" s="88">
        <f t="shared" si="3"/>
        <v>126433596.20297849</v>
      </c>
    </row>
    <row r="263" spans="1:17" x14ac:dyDescent="0.25">
      <c r="A263" s="85" t="s">
        <v>300</v>
      </c>
      <c r="B263" s="65" t="s">
        <v>158</v>
      </c>
      <c r="C263" s="65" t="s">
        <v>390</v>
      </c>
      <c r="D263" s="66">
        <v>2236271624</v>
      </c>
      <c r="E263" s="65">
        <v>2051929856</v>
      </c>
      <c r="F263" s="67">
        <v>64440568.210362621</v>
      </c>
      <c r="G263" s="68">
        <v>0</v>
      </c>
      <c r="H263" s="68">
        <v>64440568.210362621</v>
      </c>
      <c r="I263" s="68">
        <v>0</v>
      </c>
      <c r="J263" s="68">
        <v>0</v>
      </c>
      <c r="K263" s="68">
        <v>0</v>
      </c>
      <c r="L263" s="68">
        <v>267681713</v>
      </c>
      <c r="M263" s="68">
        <v>56577672</v>
      </c>
      <c r="N263" s="69">
        <v>388699953.21036261</v>
      </c>
      <c r="O263" s="65" t="str">
        <f>VLOOKUP(A263,Report_HQ1!$A$7:$C$95,3,FALSE)</f>
        <v>BV Đà Nẵng</v>
      </c>
      <c r="P263" s="40" t="e">
        <f>VLOOKUP(C263,Sheet1!$U$4:$V$14,2,FALSE)</f>
        <v>#N/A</v>
      </c>
      <c r="Q263" s="88">
        <f t="shared" si="3"/>
        <v>388699953.21036261</v>
      </c>
    </row>
    <row r="264" spans="1:17" x14ac:dyDescent="0.25">
      <c r="A264" s="85" t="s">
        <v>300</v>
      </c>
      <c r="B264" s="65" t="s">
        <v>158</v>
      </c>
      <c r="C264" s="65" t="s">
        <v>391</v>
      </c>
      <c r="D264" s="66">
        <v>2401489241</v>
      </c>
      <c r="E264" s="65">
        <v>2051929856</v>
      </c>
      <c r="F264" s="67">
        <v>69201491.259056658</v>
      </c>
      <c r="G264" s="68">
        <v>0</v>
      </c>
      <c r="H264" s="68">
        <v>69201491.259056658</v>
      </c>
      <c r="I264" s="68">
        <v>0</v>
      </c>
      <c r="J264" s="68">
        <v>41172803</v>
      </c>
      <c r="K264" s="68">
        <v>16367651</v>
      </c>
      <c r="L264" s="68">
        <v>480864116</v>
      </c>
      <c r="M264" s="68">
        <v>84089354</v>
      </c>
      <c r="N264" s="69">
        <v>691695415.25905669</v>
      </c>
      <c r="O264" s="65" t="str">
        <f>VLOOKUP(A264,Report_HQ1!$A$7:$C$95,3,FALSE)</f>
        <v>BV Đà Nẵng</v>
      </c>
      <c r="P264" s="40" t="str">
        <f>VLOOKUP(C264,Sheet1!$U$4:$V$14,2,FALSE)</f>
        <v>BH Kỹ thuật</v>
      </c>
      <c r="Q264" s="88">
        <f t="shared" si="3"/>
        <v>691695415.25905669</v>
      </c>
    </row>
    <row r="265" spans="1:17" x14ac:dyDescent="0.25">
      <c r="A265" s="85" t="s">
        <v>300</v>
      </c>
      <c r="B265" s="65" t="s">
        <v>158</v>
      </c>
      <c r="C265" s="65" t="s">
        <v>392</v>
      </c>
      <c r="D265" s="66">
        <v>9348967836</v>
      </c>
      <c r="E265" s="65">
        <v>2051929856</v>
      </c>
      <c r="F265" s="67">
        <v>269400547.35150731</v>
      </c>
      <c r="G265" s="68">
        <v>-8792358</v>
      </c>
      <c r="H265" s="68">
        <v>260608189.35150731</v>
      </c>
      <c r="I265" s="68">
        <v>-1690838</v>
      </c>
      <c r="J265" s="68">
        <v>621011122</v>
      </c>
      <c r="K265" s="68">
        <v>106201091</v>
      </c>
      <c r="L265" s="68">
        <v>883174040</v>
      </c>
      <c r="M265" s="68">
        <v>474762325</v>
      </c>
      <c r="N265" s="69">
        <v>2344065929.3515072</v>
      </c>
      <c r="O265" s="65" t="str">
        <f>VLOOKUP(A265,Report_HQ1!$A$7:$C$95,3,FALSE)</f>
        <v>BV Đà Nẵng</v>
      </c>
      <c r="P265" s="40" t="str">
        <f>VLOOKUP(C265,Sheet1!$U$4:$V$14,2,FALSE)</f>
        <v>BH Tài sản</v>
      </c>
      <c r="Q265" s="88">
        <f t="shared" si="3"/>
        <v>2344065929.3515072</v>
      </c>
    </row>
    <row r="266" spans="1:17" x14ac:dyDescent="0.25">
      <c r="A266" s="85" t="s">
        <v>300</v>
      </c>
      <c r="B266" s="65" t="s">
        <v>158</v>
      </c>
      <c r="C266" s="65" t="s">
        <v>393</v>
      </c>
      <c r="D266" s="66">
        <v>19791627697</v>
      </c>
      <c r="E266" s="65">
        <v>2051929856</v>
      </c>
      <c r="F266" s="67">
        <v>570317004.8374368</v>
      </c>
      <c r="G266" s="68">
        <v>0</v>
      </c>
      <c r="H266" s="68">
        <v>570317004.8374368</v>
      </c>
      <c r="I266" s="68">
        <v>0</v>
      </c>
      <c r="J266" s="68">
        <v>1795969478</v>
      </c>
      <c r="K266" s="68">
        <v>897984738</v>
      </c>
      <c r="L266" s="68">
        <v>1555339778</v>
      </c>
      <c r="M266" s="68">
        <v>1183738839</v>
      </c>
      <c r="N266" s="69">
        <v>6003349837.8374367</v>
      </c>
      <c r="O266" s="65" t="str">
        <f>VLOOKUP(A266,Report_HQ1!$A$7:$C$95,3,FALSE)</f>
        <v>BV Đà Nẵng</v>
      </c>
      <c r="P266" s="40" t="str">
        <f>VLOOKUP(C266,Sheet1!$U$4:$V$14,2,FALSE)</f>
        <v>BH Xe cơ giới</v>
      </c>
      <c r="Q266" s="88">
        <f t="shared" si="3"/>
        <v>6003349837.8374367</v>
      </c>
    </row>
    <row r="267" spans="1:17" x14ac:dyDescent="0.25">
      <c r="A267" s="85" t="s">
        <v>300</v>
      </c>
      <c r="B267" s="65" t="s">
        <v>158</v>
      </c>
      <c r="C267" s="65" t="s">
        <v>394</v>
      </c>
      <c r="D267" s="66">
        <v>2246945531</v>
      </c>
      <c r="E267" s="65">
        <v>2051929856</v>
      </c>
      <c r="F267" s="67">
        <v>64748148.302477837</v>
      </c>
      <c r="G267" s="68">
        <v>0</v>
      </c>
      <c r="H267" s="68">
        <v>64748148.302477837</v>
      </c>
      <c r="I267" s="68">
        <v>4102480</v>
      </c>
      <c r="J267" s="68">
        <v>377579415</v>
      </c>
      <c r="K267" s="68">
        <v>54514436</v>
      </c>
      <c r="L267" s="68">
        <v>83023432</v>
      </c>
      <c r="M267" s="68">
        <v>122277158</v>
      </c>
      <c r="N267" s="69">
        <v>706245069.30247784</v>
      </c>
      <c r="O267" s="65" t="str">
        <f>VLOOKUP(A267,Report_HQ1!$A$7:$C$95,3,FALSE)</f>
        <v>BV Đà Nẵng</v>
      </c>
      <c r="P267" s="40" t="str">
        <f>VLOOKUP(C267,Sheet1!$U$4:$V$14,2,FALSE)</f>
        <v>BH Con người</v>
      </c>
      <c r="Q267" s="88">
        <f t="shared" si="3"/>
        <v>706245069.30247784</v>
      </c>
    </row>
    <row r="268" spans="1:17" x14ac:dyDescent="0.25">
      <c r="A268" s="85" t="s">
        <v>300</v>
      </c>
      <c r="B268" s="65" t="s">
        <v>158</v>
      </c>
      <c r="C268" s="65" t="s">
        <v>395</v>
      </c>
      <c r="D268" s="66">
        <v>0</v>
      </c>
      <c r="E268" s="65">
        <v>2051929856</v>
      </c>
      <c r="F268" s="67">
        <v>0</v>
      </c>
      <c r="G268" s="68">
        <v>0</v>
      </c>
      <c r="H268" s="68">
        <v>0</v>
      </c>
      <c r="I268" s="68">
        <v>0</v>
      </c>
      <c r="J268" s="68">
        <v>0</v>
      </c>
      <c r="K268" s="68">
        <v>0</v>
      </c>
      <c r="L268" s="68">
        <v>0</v>
      </c>
      <c r="M268" s="68">
        <v>0</v>
      </c>
      <c r="N268" s="69">
        <v>0</v>
      </c>
      <c r="O268" s="65" t="str">
        <f>VLOOKUP(A268,Report_HQ1!$A$7:$C$95,3,FALSE)</f>
        <v>BV Đà Nẵng</v>
      </c>
      <c r="P268" s="40" t="e">
        <f>VLOOKUP(C268,Sheet1!$U$4:$V$14,2,FALSE)</f>
        <v>#N/A</v>
      </c>
      <c r="Q268" s="88">
        <f t="shared" ref="Q268:Q331" si="4">N268</f>
        <v>0</v>
      </c>
    </row>
    <row r="269" spans="1:17" x14ac:dyDescent="0.25">
      <c r="A269" s="85" t="s">
        <v>300</v>
      </c>
      <c r="B269" s="65" t="s">
        <v>158</v>
      </c>
      <c r="C269" s="65" t="s">
        <v>396</v>
      </c>
      <c r="D269" s="66">
        <v>28991837720</v>
      </c>
      <c r="E269" s="65">
        <v>2051929856</v>
      </c>
      <c r="F269" s="67">
        <v>835430936.06746221</v>
      </c>
      <c r="G269" s="68">
        <v>0</v>
      </c>
      <c r="H269" s="68">
        <v>835430936.06746221</v>
      </c>
      <c r="I269" s="68">
        <v>0</v>
      </c>
      <c r="J269" s="68">
        <v>4287762041</v>
      </c>
      <c r="K269" s="68">
        <v>760605470</v>
      </c>
      <c r="L269" s="68">
        <v>128996137</v>
      </c>
      <c r="M269" s="68">
        <v>1550856725</v>
      </c>
      <c r="N269" s="69">
        <v>7563651309.067462</v>
      </c>
      <c r="O269" s="65" t="str">
        <f>VLOOKUP(A269,Report_HQ1!$A$7:$C$95,3,FALSE)</f>
        <v>BV Đà Nẵng</v>
      </c>
      <c r="P269" s="40" t="str">
        <f>VLOOKUP(C269,Sheet1!$U$4:$V$14,2,FALSE)</f>
        <v>BH Y tế</v>
      </c>
      <c r="Q269" s="88">
        <f t="shared" si="4"/>
        <v>7563651309.067462</v>
      </c>
    </row>
    <row r="270" spans="1:17" x14ac:dyDescent="0.25">
      <c r="A270" s="85" t="s">
        <v>300</v>
      </c>
      <c r="B270" s="65" t="s">
        <v>158</v>
      </c>
      <c r="C270" s="65" t="s">
        <v>397</v>
      </c>
      <c r="D270" s="66">
        <v>1389747320</v>
      </c>
      <c r="E270" s="65">
        <v>2051929856</v>
      </c>
      <c r="F270" s="67">
        <v>40047061.371480621</v>
      </c>
      <c r="G270" s="68">
        <v>0</v>
      </c>
      <c r="H270" s="68">
        <v>40047061.371480621</v>
      </c>
      <c r="I270" s="68">
        <v>0</v>
      </c>
      <c r="J270" s="68">
        <v>149641900</v>
      </c>
      <c r="K270" s="68">
        <v>149641900</v>
      </c>
      <c r="L270" s="68">
        <v>0</v>
      </c>
      <c r="M270" s="68">
        <v>59856760</v>
      </c>
      <c r="N270" s="69">
        <v>399187621.37148058</v>
      </c>
      <c r="O270" s="65" t="str">
        <f>VLOOKUP(A270,Report_HQ1!$A$7:$C$95,3,FALSE)</f>
        <v>BV Đà Nẵng</v>
      </c>
      <c r="P270" s="40" t="str">
        <f>VLOOKUP(C270,Sheet1!$U$4:$V$14,2,FALSE)</f>
        <v>BH Du lịch</v>
      </c>
      <c r="Q270" s="88">
        <f t="shared" si="4"/>
        <v>399187621.37148058</v>
      </c>
    </row>
    <row r="271" spans="1:17" x14ac:dyDescent="0.25">
      <c r="A271" s="85" t="s">
        <v>301</v>
      </c>
      <c r="B271" s="65" t="s">
        <v>412</v>
      </c>
      <c r="C271" s="65" t="s">
        <v>387</v>
      </c>
      <c r="D271" s="66">
        <v>253657114</v>
      </c>
      <c r="E271" s="65">
        <v>972508725</v>
      </c>
      <c r="F271" s="67">
        <v>12771025.384031905</v>
      </c>
      <c r="G271" s="68">
        <v>0</v>
      </c>
      <c r="H271" s="68">
        <v>12771025.384031905</v>
      </c>
      <c r="I271" s="68">
        <v>0</v>
      </c>
      <c r="J271" s="68">
        <v>25365711</v>
      </c>
      <c r="K271" s="68">
        <v>12682856</v>
      </c>
      <c r="L271" s="68">
        <v>10146285</v>
      </c>
      <c r="M271" s="68">
        <v>20292569</v>
      </c>
      <c r="N271" s="69">
        <v>81258446.384031907</v>
      </c>
      <c r="O271" s="65" t="str">
        <f>VLOOKUP(A271,Report_HQ1!$A$7:$C$95,3,FALSE)</f>
        <v>BV Dak Lak</v>
      </c>
      <c r="P271" s="40" t="str">
        <f>VLOOKUP(C271,Sheet1!$U$4:$V$14,2,FALSE)</f>
        <v>BH Hàng hóa</v>
      </c>
      <c r="Q271" s="88">
        <f t="shared" si="4"/>
        <v>81258446.384031907</v>
      </c>
    </row>
    <row r="272" spans="1:17" x14ac:dyDescent="0.25">
      <c r="A272" s="85" t="s">
        <v>301</v>
      </c>
      <c r="B272" s="65" t="s">
        <v>412</v>
      </c>
      <c r="C272" s="65" t="s">
        <v>272</v>
      </c>
      <c r="D272" s="66">
        <v>0</v>
      </c>
      <c r="E272" s="65">
        <v>972508725</v>
      </c>
      <c r="F272" s="67">
        <v>0</v>
      </c>
      <c r="G272" s="68">
        <v>0</v>
      </c>
      <c r="H272" s="68">
        <v>0</v>
      </c>
      <c r="I272" s="68">
        <v>0</v>
      </c>
      <c r="J272" s="68">
        <v>0</v>
      </c>
      <c r="K272" s="68">
        <v>0</v>
      </c>
      <c r="L272" s="68">
        <v>0</v>
      </c>
      <c r="M272" s="68">
        <v>0</v>
      </c>
      <c r="N272" s="69">
        <v>0</v>
      </c>
      <c r="O272" s="65" t="str">
        <f>VLOOKUP(A272,Report_HQ1!$A$7:$C$95,3,FALSE)</f>
        <v>BV Dak Lak</v>
      </c>
      <c r="P272" s="40" t="str">
        <f>VLOOKUP(C272,Sheet1!$U$4:$V$14,2,FALSE)</f>
        <v>Tàu khác</v>
      </c>
      <c r="Q272" s="88">
        <f t="shared" si="4"/>
        <v>0</v>
      </c>
    </row>
    <row r="273" spans="1:17" x14ac:dyDescent="0.25">
      <c r="A273" s="85" t="s">
        <v>301</v>
      </c>
      <c r="B273" s="65" t="s">
        <v>412</v>
      </c>
      <c r="C273" s="65" t="s">
        <v>388</v>
      </c>
      <c r="D273" s="66">
        <v>0</v>
      </c>
      <c r="E273" s="65">
        <v>972508725</v>
      </c>
      <c r="F273" s="67">
        <v>0</v>
      </c>
      <c r="G273" s="68">
        <v>0</v>
      </c>
      <c r="H273" s="68">
        <v>0</v>
      </c>
      <c r="I273" s="68">
        <v>0</v>
      </c>
      <c r="J273" s="68">
        <v>0</v>
      </c>
      <c r="K273" s="68">
        <v>0</v>
      </c>
      <c r="L273" s="68">
        <v>0</v>
      </c>
      <c r="M273" s="68">
        <v>0</v>
      </c>
      <c r="N273" s="69">
        <v>0</v>
      </c>
      <c r="O273" s="65" t="str">
        <f>VLOOKUP(A273,Report_HQ1!$A$7:$C$95,3,FALSE)</f>
        <v>BV Dak Lak</v>
      </c>
      <c r="P273" s="40" t="str">
        <f>VLOOKUP(C273,Sheet1!$U$4:$V$14,2,FALSE)</f>
        <v>Hull (Thân tàu biển)</v>
      </c>
      <c r="Q273" s="88">
        <f t="shared" si="4"/>
        <v>0</v>
      </c>
    </row>
    <row r="274" spans="1:17" x14ac:dyDescent="0.25">
      <c r="A274" s="85" t="s">
        <v>301</v>
      </c>
      <c r="B274" s="65" t="s">
        <v>412</v>
      </c>
      <c r="C274" s="65" t="s">
        <v>23</v>
      </c>
      <c r="D274" s="66">
        <v>0</v>
      </c>
      <c r="E274" s="65">
        <v>972508725</v>
      </c>
      <c r="F274" s="67">
        <v>0</v>
      </c>
      <c r="G274" s="68">
        <v>0</v>
      </c>
      <c r="H274" s="68">
        <v>0</v>
      </c>
      <c r="I274" s="68">
        <v>0</v>
      </c>
      <c r="J274" s="68">
        <v>0</v>
      </c>
      <c r="K274" s="68">
        <v>0</v>
      </c>
      <c r="L274" s="68">
        <v>0</v>
      </c>
      <c r="M274" s="68">
        <v>0</v>
      </c>
      <c r="N274" s="69">
        <v>0</v>
      </c>
      <c r="O274" s="65" t="str">
        <f>VLOOKUP(A274,Report_HQ1!$A$7:$C$95,3,FALSE)</f>
        <v>BV Dak Lak</v>
      </c>
      <c r="P274" s="40" t="str">
        <f>VLOOKUP(C274,Sheet1!$U$4:$V$14,2,FALSE)</f>
        <v>P&amp;I</v>
      </c>
      <c r="Q274" s="88">
        <f t="shared" si="4"/>
        <v>0</v>
      </c>
    </row>
    <row r="275" spans="1:17" x14ac:dyDescent="0.25">
      <c r="A275" s="85" t="s">
        <v>301</v>
      </c>
      <c r="B275" s="65" t="s">
        <v>412</v>
      </c>
      <c r="C275" s="65" t="s">
        <v>389</v>
      </c>
      <c r="D275" s="66">
        <v>10000000</v>
      </c>
      <c r="E275" s="65">
        <v>972508725</v>
      </c>
      <c r="F275" s="67">
        <v>503475.93972987909</v>
      </c>
      <c r="G275" s="68">
        <v>0</v>
      </c>
      <c r="H275" s="68">
        <v>503475.93972987909</v>
      </c>
      <c r="I275" s="68">
        <v>0</v>
      </c>
      <c r="J275" s="68">
        <v>500000</v>
      </c>
      <c r="K275" s="68">
        <v>250000</v>
      </c>
      <c r="L275" s="68">
        <v>750000</v>
      </c>
      <c r="M275" s="68">
        <v>800000</v>
      </c>
      <c r="N275" s="69">
        <v>2803475.9397298791</v>
      </c>
      <c r="O275" s="65" t="str">
        <f>VLOOKUP(A275,Report_HQ1!$A$7:$C$95,3,FALSE)</f>
        <v>BV Dak Lak</v>
      </c>
      <c r="P275" s="40" t="str">
        <f>VLOOKUP(C275,Sheet1!$U$4:$V$14,2,FALSE)</f>
        <v>BH Trách nhiệm</v>
      </c>
      <c r="Q275" s="88">
        <f t="shared" si="4"/>
        <v>2803475.9397298791</v>
      </c>
    </row>
    <row r="276" spans="1:17" x14ac:dyDescent="0.25">
      <c r="A276" s="85" t="s">
        <v>301</v>
      </c>
      <c r="B276" s="65" t="s">
        <v>412</v>
      </c>
      <c r="C276" s="65" t="s">
        <v>390</v>
      </c>
      <c r="D276" s="66">
        <v>0</v>
      </c>
      <c r="E276" s="65">
        <v>972508725</v>
      </c>
      <c r="F276" s="67">
        <v>0</v>
      </c>
      <c r="G276" s="68">
        <v>0</v>
      </c>
      <c r="H276" s="68">
        <v>0</v>
      </c>
      <c r="I276" s="68">
        <v>0</v>
      </c>
      <c r="J276" s="68">
        <v>0</v>
      </c>
      <c r="K276" s="68">
        <v>0</v>
      </c>
      <c r="L276" s="68">
        <v>0</v>
      </c>
      <c r="M276" s="68">
        <v>0</v>
      </c>
      <c r="N276" s="69">
        <v>0</v>
      </c>
      <c r="O276" s="65" t="str">
        <f>VLOOKUP(A276,Report_HQ1!$A$7:$C$95,3,FALSE)</f>
        <v>BV Dak Lak</v>
      </c>
      <c r="P276" s="40" t="e">
        <f>VLOOKUP(C276,Sheet1!$U$4:$V$14,2,FALSE)</f>
        <v>#N/A</v>
      </c>
      <c r="Q276" s="88">
        <f t="shared" si="4"/>
        <v>0</v>
      </c>
    </row>
    <row r="277" spans="1:17" x14ac:dyDescent="0.25">
      <c r="A277" s="85" t="s">
        <v>301</v>
      </c>
      <c r="B277" s="65" t="s">
        <v>412</v>
      </c>
      <c r="C277" s="65" t="s">
        <v>391</v>
      </c>
      <c r="D277" s="66">
        <v>630784220</v>
      </c>
      <c r="E277" s="65">
        <v>972508725</v>
      </c>
      <c r="F277" s="67">
        <v>31758467.793127876</v>
      </c>
      <c r="G277" s="68">
        <v>0</v>
      </c>
      <c r="H277" s="68">
        <v>31758467.793127876</v>
      </c>
      <c r="I277" s="68">
        <v>0</v>
      </c>
      <c r="J277" s="68">
        <v>54418150</v>
      </c>
      <c r="K277" s="68">
        <v>27209075</v>
      </c>
      <c r="L277" s="68">
        <v>49827894</v>
      </c>
      <c r="M277" s="68">
        <v>37847053</v>
      </c>
      <c r="N277" s="69">
        <v>201060639.79312789</v>
      </c>
      <c r="O277" s="65" t="str">
        <f>VLOOKUP(A277,Report_HQ1!$A$7:$C$95,3,FALSE)</f>
        <v>BV Dak Lak</v>
      </c>
      <c r="P277" s="40" t="str">
        <f>VLOOKUP(C277,Sheet1!$U$4:$V$14,2,FALSE)</f>
        <v>BH Kỹ thuật</v>
      </c>
      <c r="Q277" s="88">
        <f t="shared" si="4"/>
        <v>201060639.79312789</v>
      </c>
    </row>
    <row r="278" spans="1:17" x14ac:dyDescent="0.25">
      <c r="A278" s="85" t="s">
        <v>301</v>
      </c>
      <c r="B278" s="65" t="s">
        <v>412</v>
      </c>
      <c r="C278" s="65" t="s">
        <v>392</v>
      </c>
      <c r="D278" s="66">
        <v>2591593453</v>
      </c>
      <c r="E278" s="65">
        <v>972508725</v>
      </c>
      <c r="F278" s="67">
        <v>130480494.91469772</v>
      </c>
      <c r="G278" s="68">
        <v>0</v>
      </c>
      <c r="H278" s="68">
        <v>130480494.91469772</v>
      </c>
      <c r="I278" s="68">
        <v>0</v>
      </c>
      <c r="J278" s="68">
        <v>177398215</v>
      </c>
      <c r="K278" s="68">
        <v>88699108</v>
      </c>
      <c r="L278" s="68">
        <v>174530879</v>
      </c>
      <c r="M278" s="68">
        <v>154504377</v>
      </c>
      <c r="N278" s="69">
        <v>725613073.91469765</v>
      </c>
      <c r="O278" s="65" t="str">
        <f>VLOOKUP(A278,Report_HQ1!$A$7:$C$95,3,FALSE)</f>
        <v>BV Dak Lak</v>
      </c>
      <c r="P278" s="40" t="str">
        <f>VLOOKUP(C278,Sheet1!$U$4:$V$14,2,FALSE)</f>
        <v>BH Tài sản</v>
      </c>
      <c r="Q278" s="88">
        <f t="shared" si="4"/>
        <v>725613073.91469765</v>
      </c>
    </row>
    <row r="279" spans="1:17" x14ac:dyDescent="0.25">
      <c r="A279" s="85" t="s">
        <v>301</v>
      </c>
      <c r="B279" s="65" t="s">
        <v>412</v>
      </c>
      <c r="C279" s="65" t="s">
        <v>393</v>
      </c>
      <c r="D279" s="66">
        <v>11111439013</v>
      </c>
      <c r="E279" s="65">
        <v>972508725</v>
      </c>
      <c r="F279" s="67">
        <v>559434219.88214147</v>
      </c>
      <c r="G279" s="68">
        <v>0</v>
      </c>
      <c r="H279" s="68">
        <v>559434219.88214147</v>
      </c>
      <c r="I279" s="68">
        <v>0</v>
      </c>
      <c r="J279" s="68">
        <v>1006853349</v>
      </c>
      <c r="K279" s="68">
        <v>503426674</v>
      </c>
      <c r="L279" s="68">
        <v>939328840</v>
      </c>
      <c r="M279" s="68">
        <v>664465731</v>
      </c>
      <c r="N279" s="69">
        <v>3673508813.8821416</v>
      </c>
      <c r="O279" s="65" t="str">
        <f>VLOOKUP(A279,Report_HQ1!$A$7:$C$95,3,FALSE)</f>
        <v>BV Dak Lak</v>
      </c>
      <c r="P279" s="40" t="str">
        <f>VLOOKUP(C279,Sheet1!$U$4:$V$14,2,FALSE)</f>
        <v>BH Xe cơ giới</v>
      </c>
      <c r="Q279" s="88">
        <f t="shared" si="4"/>
        <v>3673508813.8821416</v>
      </c>
    </row>
    <row r="280" spans="1:17" x14ac:dyDescent="0.25">
      <c r="A280" s="85" t="s">
        <v>301</v>
      </c>
      <c r="B280" s="65" t="s">
        <v>412</v>
      </c>
      <c r="C280" s="65" t="s">
        <v>394</v>
      </c>
      <c r="D280" s="66">
        <v>3839361917</v>
      </c>
      <c r="E280" s="65">
        <v>972508725</v>
      </c>
      <c r="F280" s="67">
        <v>193302634.91246846</v>
      </c>
      <c r="G280" s="68">
        <v>0</v>
      </c>
      <c r="H280" s="68">
        <v>193302634.91246846</v>
      </c>
      <c r="I280" s="68">
        <v>14282000</v>
      </c>
      <c r="J280" s="68">
        <v>614006155</v>
      </c>
      <c r="K280" s="68">
        <v>57657275</v>
      </c>
      <c r="L280" s="68">
        <v>113459866</v>
      </c>
      <c r="M280" s="68">
        <v>198770429</v>
      </c>
      <c r="N280" s="69">
        <v>1191478359.9124684</v>
      </c>
      <c r="O280" s="65" t="str">
        <f>VLOOKUP(A280,Report_HQ1!$A$7:$C$95,3,FALSE)</f>
        <v>BV Dak Lak</v>
      </c>
      <c r="P280" s="40" t="str">
        <f>VLOOKUP(C280,Sheet1!$U$4:$V$14,2,FALSE)</f>
        <v>BH Con người</v>
      </c>
      <c r="Q280" s="88">
        <f t="shared" si="4"/>
        <v>1191478359.9124684</v>
      </c>
    </row>
    <row r="281" spans="1:17" x14ac:dyDescent="0.25">
      <c r="A281" s="85" t="s">
        <v>301</v>
      </c>
      <c r="B281" s="65" t="s">
        <v>412</v>
      </c>
      <c r="C281" s="65" t="s">
        <v>395</v>
      </c>
      <c r="D281" s="66">
        <v>0</v>
      </c>
      <c r="E281" s="65">
        <v>972508725</v>
      </c>
      <c r="F281" s="67">
        <v>0</v>
      </c>
      <c r="G281" s="68">
        <v>0</v>
      </c>
      <c r="H281" s="68">
        <v>0</v>
      </c>
      <c r="I281" s="68">
        <v>0</v>
      </c>
      <c r="J281" s="68">
        <v>0</v>
      </c>
      <c r="K281" s="68">
        <v>0</v>
      </c>
      <c r="L281" s="68">
        <v>0</v>
      </c>
      <c r="M281" s="68">
        <v>0</v>
      </c>
      <c r="N281" s="69">
        <v>0</v>
      </c>
      <c r="O281" s="65" t="str">
        <f>VLOOKUP(A281,Report_HQ1!$A$7:$C$95,3,FALSE)</f>
        <v>BV Dak Lak</v>
      </c>
      <c r="P281" s="40" t="e">
        <f>VLOOKUP(C281,Sheet1!$U$4:$V$14,2,FALSE)</f>
        <v>#N/A</v>
      </c>
      <c r="Q281" s="88">
        <f t="shared" si="4"/>
        <v>0</v>
      </c>
    </row>
    <row r="282" spans="1:17" x14ac:dyDescent="0.25">
      <c r="A282" s="85" t="s">
        <v>301</v>
      </c>
      <c r="B282" s="65" t="s">
        <v>412</v>
      </c>
      <c r="C282" s="65" t="s">
        <v>396</v>
      </c>
      <c r="D282" s="66">
        <v>705674525</v>
      </c>
      <c r="E282" s="65">
        <v>972508725</v>
      </c>
      <c r="F282" s="67">
        <v>35529014.461781107</v>
      </c>
      <c r="G282" s="68">
        <v>0</v>
      </c>
      <c r="H282" s="68">
        <v>35529014.461781107</v>
      </c>
      <c r="I282" s="68">
        <v>0</v>
      </c>
      <c r="J282" s="68">
        <v>141130905</v>
      </c>
      <c r="K282" s="68">
        <v>28288166</v>
      </c>
      <c r="L282" s="68">
        <v>-9496915</v>
      </c>
      <c r="M282" s="68">
        <v>45562656</v>
      </c>
      <c r="N282" s="69">
        <v>241013826.46178111</v>
      </c>
      <c r="O282" s="65" t="str">
        <f>VLOOKUP(A282,Report_HQ1!$A$7:$C$95,3,FALSE)</f>
        <v>BV Dak Lak</v>
      </c>
      <c r="P282" s="40" t="str">
        <f>VLOOKUP(C282,Sheet1!$U$4:$V$14,2,FALSE)</f>
        <v>BH Y tế</v>
      </c>
      <c r="Q282" s="88">
        <f t="shared" si="4"/>
        <v>241013826.46178111</v>
      </c>
    </row>
    <row r="283" spans="1:17" x14ac:dyDescent="0.25">
      <c r="A283" s="85" t="s">
        <v>301</v>
      </c>
      <c r="B283" s="65" t="s">
        <v>412</v>
      </c>
      <c r="C283" s="65" t="s">
        <v>397</v>
      </c>
      <c r="D283" s="66">
        <v>173382500</v>
      </c>
      <c r="E283" s="65">
        <v>972508725</v>
      </c>
      <c r="F283" s="67">
        <v>8729391.7120215762</v>
      </c>
      <c r="G283" s="68">
        <v>0</v>
      </c>
      <c r="H283" s="68">
        <v>8729391.7120215762</v>
      </c>
      <c r="I283" s="68">
        <v>0</v>
      </c>
      <c r="J283" s="68">
        <v>34676500</v>
      </c>
      <c r="K283" s="68">
        <v>34676500</v>
      </c>
      <c r="L283" s="68">
        <v>0</v>
      </c>
      <c r="M283" s="68">
        <v>13870600</v>
      </c>
      <c r="N283" s="69">
        <v>91952991.712021574</v>
      </c>
      <c r="O283" s="65" t="str">
        <f>VLOOKUP(A283,Report_HQ1!$A$7:$C$95,3,FALSE)</f>
        <v>BV Dak Lak</v>
      </c>
      <c r="P283" s="40" t="str">
        <f>VLOOKUP(C283,Sheet1!$U$4:$V$14,2,FALSE)</f>
        <v>BH Du lịch</v>
      </c>
      <c r="Q283" s="88">
        <f t="shared" si="4"/>
        <v>91952991.712021574</v>
      </c>
    </row>
    <row r="284" spans="1:17" x14ac:dyDescent="0.25">
      <c r="A284" s="85" t="s">
        <v>307</v>
      </c>
      <c r="B284" s="65" t="s">
        <v>165</v>
      </c>
      <c r="C284" s="65" t="s">
        <v>387</v>
      </c>
      <c r="D284" s="66">
        <v>379245444</v>
      </c>
      <c r="E284" s="65">
        <v>959250000</v>
      </c>
      <c r="F284" s="67">
        <v>30532506.708701976</v>
      </c>
      <c r="G284" s="68">
        <v>0</v>
      </c>
      <c r="H284" s="68">
        <v>30532506.708701976</v>
      </c>
      <c r="I284" s="68">
        <v>0</v>
      </c>
      <c r="J284" s="68">
        <v>37924544</v>
      </c>
      <c r="K284" s="68">
        <v>18962273</v>
      </c>
      <c r="L284" s="68">
        <v>15169818</v>
      </c>
      <c r="M284" s="68">
        <v>30339635</v>
      </c>
      <c r="N284" s="69">
        <v>132928776.70870197</v>
      </c>
      <c r="O284" s="65" t="str">
        <f>VLOOKUP(A284,Report_HQ1!$A$7:$C$95,3,FALSE)</f>
        <v>BV Đồng Nai</v>
      </c>
      <c r="P284" s="40" t="str">
        <f>VLOOKUP(C284,Sheet1!$U$4:$V$14,2,FALSE)</f>
        <v>BH Hàng hóa</v>
      </c>
      <c r="Q284" s="88">
        <f t="shared" si="4"/>
        <v>132928776.70870197</v>
      </c>
    </row>
    <row r="285" spans="1:17" x14ac:dyDescent="0.25">
      <c r="A285" s="85" t="s">
        <v>307</v>
      </c>
      <c r="B285" s="65" t="s">
        <v>165</v>
      </c>
      <c r="C285" s="65" t="s">
        <v>272</v>
      </c>
      <c r="D285" s="66">
        <v>4358000</v>
      </c>
      <c r="E285" s="65">
        <v>959250000</v>
      </c>
      <c r="F285" s="67">
        <v>350856.32890694187</v>
      </c>
      <c r="G285" s="68">
        <v>0</v>
      </c>
      <c r="H285" s="68">
        <v>350856.32890694187</v>
      </c>
      <c r="I285" s="68">
        <v>0</v>
      </c>
      <c r="J285" s="68">
        <v>653700</v>
      </c>
      <c r="K285" s="68">
        <v>305060</v>
      </c>
      <c r="L285" s="68">
        <v>43580</v>
      </c>
      <c r="M285" s="68">
        <v>348640</v>
      </c>
      <c r="N285" s="69">
        <v>1701836.3289069419</v>
      </c>
      <c r="O285" s="65" t="str">
        <f>VLOOKUP(A285,Report_HQ1!$A$7:$C$95,3,FALSE)</f>
        <v>BV Đồng Nai</v>
      </c>
      <c r="P285" s="40" t="str">
        <f>VLOOKUP(C285,Sheet1!$U$4:$V$14,2,FALSE)</f>
        <v>Tàu khác</v>
      </c>
      <c r="Q285" s="88">
        <f t="shared" si="4"/>
        <v>1701836.3289069419</v>
      </c>
    </row>
    <row r="286" spans="1:17" x14ac:dyDescent="0.25">
      <c r="A286" s="85" t="s">
        <v>307</v>
      </c>
      <c r="B286" s="65" t="s">
        <v>165</v>
      </c>
      <c r="C286" s="65" t="s">
        <v>388</v>
      </c>
      <c r="D286" s="66">
        <v>0</v>
      </c>
      <c r="E286" s="65">
        <v>959250000</v>
      </c>
      <c r="F286" s="67">
        <v>0</v>
      </c>
      <c r="G286" s="68">
        <v>0</v>
      </c>
      <c r="H286" s="68">
        <v>0</v>
      </c>
      <c r="I286" s="68">
        <v>0</v>
      </c>
      <c r="J286" s="68">
        <v>0</v>
      </c>
      <c r="K286" s="68">
        <v>0</v>
      </c>
      <c r="L286" s="68">
        <v>0</v>
      </c>
      <c r="M286" s="68">
        <v>0</v>
      </c>
      <c r="N286" s="69">
        <v>0</v>
      </c>
      <c r="O286" s="65" t="str">
        <f>VLOOKUP(A286,Report_HQ1!$A$7:$C$95,3,FALSE)</f>
        <v>BV Đồng Nai</v>
      </c>
      <c r="P286" s="40" t="str">
        <f>VLOOKUP(C286,Sheet1!$U$4:$V$14,2,FALSE)</f>
        <v>Hull (Thân tàu biển)</v>
      </c>
      <c r="Q286" s="88">
        <f t="shared" si="4"/>
        <v>0</v>
      </c>
    </row>
    <row r="287" spans="1:17" x14ac:dyDescent="0.25">
      <c r="A287" s="85" t="s">
        <v>307</v>
      </c>
      <c r="B287" s="65" t="s">
        <v>165</v>
      </c>
      <c r="C287" s="65" t="s">
        <v>23</v>
      </c>
      <c r="D287" s="66">
        <v>0</v>
      </c>
      <c r="E287" s="65">
        <v>959250000</v>
      </c>
      <c r="F287" s="67">
        <v>0</v>
      </c>
      <c r="G287" s="68">
        <v>0</v>
      </c>
      <c r="H287" s="68">
        <v>0</v>
      </c>
      <c r="I287" s="68">
        <v>0</v>
      </c>
      <c r="J287" s="68">
        <v>0</v>
      </c>
      <c r="K287" s="68">
        <v>0</v>
      </c>
      <c r="L287" s="68">
        <v>0</v>
      </c>
      <c r="M287" s="68">
        <v>0</v>
      </c>
      <c r="N287" s="69">
        <v>0</v>
      </c>
      <c r="O287" s="65" t="str">
        <f>VLOOKUP(A287,Report_HQ1!$A$7:$C$95,3,FALSE)</f>
        <v>BV Đồng Nai</v>
      </c>
      <c r="P287" s="40" t="str">
        <f>VLOOKUP(C287,Sheet1!$U$4:$V$14,2,FALSE)</f>
        <v>P&amp;I</v>
      </c>
      <c r="Q287" s="88">
        <f t="shared" si="4"/>
        <v>0</v>
      </c>
    </row>
    <row r="288" spans="1:17" x14ac:dyDescent="0.25">
      <c r="A288" s="85" t="s">
        <v>307</v>
      </c>
      <c r="B288" s="65" t="s">
        <v>165</v>
      </c>
      <c r="C288" s="65" t="s">
        <v>389</v>
      </c>
      <c r="D288" s="66">
        <v>42000000</v>
      </c>
      <c r="E288" s="65">
        <v>959250000</v>
      </c>
      <c r="F288" s="67">
        <v>3381359.7554133912</v>
      </c>
      <c r="G288" s="68">
        <v>0</v>
      </c>
      <c r="H288" s="68">
        <v>3381359.7554133912</v>
      </c>
      <c r="I288" s="68">
        <v>0</v>
      </c>
      <c r="J288" s="68">
        <v>1800000</v>
      </c>
      <c r="K288" s="68">
        <v>900000</v>
      </c>
      <c r="L288" s="68">
        <v>3536000</v>
      </c>
      <c r="M288" s="68">
        <v>2728000</v>
      </c>
      <c r="N288" s="69">
        <v>12345359.755413391</v>
      </c>
      <c r="O288" s="65" t="str">
        <f>VLOOKUP(A288,Report_HQ1!$A$7:$C$95,3,FALSE)</f>
        <v>BV Đồng Nai</v>
      </c>
      <c r="P288" s="40" t="str">
        <f>VLOOKUP(C288,Sheet1!$U$4:$V$14,2,FALSE)</f>
        <v>BH Trách nhiệm</v>
      </c>
      <c r="Q288" s="88">
        <f t="shared" si="4"/>
        <v>12345359.755413391</v>
      </c>
    </row>
    <row r="289" spans="1:17" x14ac:dyDescent="0.25">
      <c r="A289" s="85" t="s">
        <v>307</v>
      </c>
      <c r="B289" s="65" t="s">
        <v>165</v>
      </c>
      <c r="C289" s="65" t="s">
        <v>390</v>
      </c>
      <c r="D289" s="66">
        <v>0</v>
      </c>
      <c r="E289" s="65">
        <v>959250000</v>
      </c>
      <c r="F289" s="67">
        <v>0</v>
      </c>
      <c r="G289" s="68">
        <v>0</v>
      </c>
      <c r="H289" s="68">
        <v>0</v>
      </c>
      <c r="I289" s="68">
        <v>0</v>
      </c>
      <c r="J289" s="68">
        <v>0</v>
      </c>
      <c r="K289" s="68">
        <v>0</v>
      </c>
      <c r="L289" s="68">
        <v>0</v>
      </c>
      <c r="M289" s="68">
        <v>0</v>
      </c>
      <c r="N289" s="69">
        <v>0</v>
      </c>
      <c r="O289" s="65" t="str">
        <f>VLOOKUP(A289,Report_HQ1!$A$7:$C$95,3,FALSE)</f>
        <v>BV Đồng Nai</v>
      </c>
      <c r="P289" s="40" t="e">
        <f>VLOOKUP(C289,Sheet1!$U$4:$V$14,2,FALSE)</f>
        <v>#N/A</v>
      </c>
      <c r="Q289" s="88">
        <f t="shared" si="4"/>
        <v>0</v>
      </c>
    </row>
    <row r="290" spans="1:17" x14ac:dyDescent="0.25">
      <c r="A290" s="85" t="s">
        <v>307</v>
      </c>
      <c r="B290" s="65" t="s">
        <v>165</v>
      </c>
      <c r="C290" s="65" t="s">
        <v>391</v>
      </c>
      <c r="D290" s="66">
        <v>90584828</v>
      </c>
      <c r="E290" s="65">
        <v>959250000</v>
      </c>
      <c r="F290" s="67">
        <v>7292854.5678629549</v>
      </c>
      <c r="G290" s="68">
        <v>0</v>
      </c>
      <c r="H290" s="68">
        <v>7292854.5678629549</v>
      </c>
      <c r="I290" s="68">
        <v>0</v>
      </c>
      <c r="J290" s="68">
        <v>0</v>
      </c>
      <c r="K290" s="68">
        <v>0</v>
      </c>
      <c r="L290" s="68">
        <v>0</v>
      </c>
      <c r="M290" s="68">
        <v>0</v>
      </c>
      <c r="N290" s="69">
        <v>7292854.5678629549</v>
      </c>
      <c r="O290" s="65" t="str">
        <f>VLOOKUP(A290,Report_HQ1!$A$7:$C$95,3,FALSE)</f>
        <v>BV Đồng Nai</v>
      </c>
      <c r="P290" s="40" t="str">
        <f>VLOOKUP(C290,Sheet1!$U$4:$V$14,2,FALSE)</f>
        <v>BH Kỹ thuật</v>
      </c>
      <c r="Q290" s="88">
        <f t="shared" si="4"/>
        <v>7292854.5678629549</v>
      </c>
    </row>
    <row r="291" spans="1:17" x14ac:dyDescent="0.25">
      <c r="A291" s="85" t="s">
        <v>307</v>
      </c>
      <c r="B291" s="65" t="s">
        <v>165</v>
      </c>
      <c r="C291" s="65" t="s">
        <v>392</v>
      </c>
      <c r="D291" s="66">
        <v>1669633942</v>
      </c>
      <c r="E291" s="65">
        <v>959250000</v>
      </c>
      <c r="F291" s="67">
        <v>134419833.75597659</v>
      </c>
      <c r="G291" s="68">
        <v>0</v>
      </c>
      <c r="H291" s="68">
        <v>134419833.75597659</v>
      </c>
      <c r="I291" s="68">
        <v>0</v>
      </c>
      <c r="J291" s="68">
        <v>15923279</v>
      </c>
      <c r="K291" s="68">
        <v>7961640</v>
      </c>
      <c r="L291" s="68">
        <v>23576069</v>
      </c>
      <c r="M291" s="68">
        <v>18899575</v>
      </c>
      <c r="N291" s="69">
        <v>200780396.75597659</v>
      </c>
      <c r="O291" s="65" t="str">
        <f>VLOOKUP(A291,Report_HQ1!$A$7:$C$95,3,FALSE)</f>
        <v>BV Đồng Nai</v>
      </c>
      <c r="P291" s="40" t="str">
        <f>VLOOKUP(C291,Sheet1!$U$4:$V$14,2,FALSE)</f>
        <v>BH Tài sản</v>
      </c>
      <c r="Q291" s="88">
        <f t="shared" si="4"/>
        <v>200780396.75597659</v>
      </c>
    </row>
    <row r="292" spans="1:17" x14ac:dyDescent="0.25">
      <c r="A292" s="85" t="s">
        <v>307</v>
      </c>
      <c r="B292" s="65" t="s">
        <v>165</v>
      </c>
      <c r="C292" s="65" t="s">
        <v>393</v>
      </c>
      <c r="D292" s="66">
        <v>3951551785</v>
      </c>
      <c r="E292" s="65">
        <v>959250000</v>
      </c>
      <c r="F292" s="67">
        <v>318133766.12454641</v>
      </c>
      <c r="G292" s="68">
        <v>0</v>
      </c>
      <c r="H292" s="68">
        <v>318133766.12454641</v>
      </c>
      <c r="I292" s="68">
        <v>0</v>
      </c>
      <c r="J292" s="68">
        <v>347406414</v>
      </c>
      <c r="K292" s="68">
        <v>170896083</v>
      </c>
      <c r="L292" s="68">
        <v>390792158</v>
      </c>
      <c r="M292" s="68">
        <v>235873206</v>
      </c>
      <c r="N292" s="69">
        <v>1463101627.1245465</v>
      </c>
      <c r="O292" s="65" t="str">
        <f>VLOOKUP(A292,Report_HQ1!$A$7:$C$95,3,FALSE)</f>
        <v>BV Đồng Nai</v>
      </c>
      <c r="P292" s="40" t="str">
        <f>VLOOKUP(C292,Sheet1!$U$4:$V$14,2,FALSE)</f>
        <v>BH Xe cơ giới</v>
      </c>
      <c r="Q292" s="88">
        <f t="shared" si="4"/>
        <v>1463101627.1245465</v>
      </c>
    </row>
    <row r="293" spans="1:17" x14ac:dyDescent="0.25">
      <c r="A293" s="85" t="s">
        <v>307</v>
      </c>
      <c r="B293" s="65" t="s">
        <v>165</v>
      </c>
      <c r="C293" s="65" t="s">
        <v>394</v>
      </c>
      <c r="D293" s="66">
        <v>1417571439</v>
      </c>
      <c r="E293" s="65">
        <v>959250000</v>
      </c>
      <c r="F293" s="67">
        <v>114126643.19662021</v>
      </c>
      <c r="G293" s="68">
        <v>0</v>
      </c>
      <c r="H293" s="68">
        <v>114126643.19662021</v>
      </c>
      <c r="I293" s="68">
        <v>522750</v>
      </c>
      <c r="J293" s="68">
        <v>250119549</v>
      </c>
      <c r="K293" s="68">
        <v>39986703</v>
      </c>
      <c r="L293" s="68">
        <v>63040880</v>
      </c>
      <c r="M293" s="68">
        <v>78174221</v>
      </c>
      <c r="N293" s="69">
        <v>545970746.19662023</v>
      </c>
      <c r="O293" s="65" t="str">
        <f>VLOOKUP(A293,Report_HQ1!$A$7:$C$95,3,FALSE)</f>
        <v>BV Đồng Nai</v>
      </c>
      <c r="P293" s="40" t="str">
        <f>VLOOKUP(C293,Sheet1!$U$4:$V$14,2,FALSE)</f>
        <v>BH Con người</v>
      </c>
      <c r="Q293" s="88">
        <f t="shared" si="4"/>
        <v>545970746.19662023</v>
      </c>
    </row>
    <row r="294" spans="1:17" x14ac:dyDescent="0.25">
      <c r="A294" s="85" t="s">
        <v>307</v>
      </c>
      <c r="B294" s="65" t="s">
        <v>165</v>
      </c>
      <c r="C294" s="65" t="s">
        <v>395</v>
      </c>
      <c r="D294" s="66">
        <v>0</v>
      </c>
      <c r="E294" s="65">
        <v>959250000</v>
      </c>
      <c r="F294" s="67">
        <v>0</v>
      </c>
      <c r="G294" s="68">
        <v>0</v>
      </c>
      <c r="H294" s="68">
        <v>0</v>
      </c>
      <c r="I294" s="68">
        <v>0</v>
      </c>
      <c r="J294" s="68">
        <v>0</v>
      </c>
      <c r="K294" s="68">
        <v>0</v>
      </c>
      <c r="L294" s="68">
        <v>0</v>
      </c>
      <c r="M294" s="68">
        <v>0</v>
      </c>
      <c r="N294" s="69">
        <v>0</v>
      </c>
      <c r="O294" s="65" t="str">
        <f>VLOOKUP(A294,Report_HQ1!$A$7:$C$95,3,FALSE)</f>
        <v>BV Đồng Nai</v>
      </c>
      <c r="P294" s="40" t="e">
        <f>VLOOKUP(C294,Sheet1!$U$4:$V$14,2,FALSE)</f>
        <v>#N/A</v>
      </c>
      <c r="Q294" s="88">
        <f t="shared" si="4"/>
        <v>0</v>
      </c>
    </row>
    <row r="295" spans="1:17" x14ac:dyDescent="0.25">
      <c r="A295" s="85" t="s">
        <v>307</v>
      </c>
      <c r="B295" s="65" t="s">
        <v>165</v>
      </c>
      <c r="C295" s="65" t="s">
        <v>396</v>
      </c>
      <c r="D295" s="66">
        <v>4245468027</v>
      </c>
      <c r="E295" s="65">
        <v>959250000</v>
      </c>
      <c r="F295" s="67">
        <v>341796541.1760022</v>
      </c>
      <c r="G295" s="68">
        <v>0</v>
      </c>
      <c r="H295" s="68">
        <v>341796541.1760022</v>
      </c>
      <c r="I295" s="68">
        <v>0</v>
      </c>
      <c r="J295" s="68">
        <v>540812277</v>
      </c>
      <c r="K295" s="68">
        <v>104615037</v>
      </c>
      <c r="L295" s="68">
        <v>7566552</v>
      </c>
      <c r="M295" s="68">
        <v>182604389</v>
      </c>
      <c r="N295" s="69">
        <v>1177394796.1760023</v>
      </c>
      <c r="O295" s="65" t="str">
        <f>VLOOKUP(A295,Report_HQ1!$A$7:$C$95,3,FALSE)</f>
        <v>BV Đồng Nai</v>
      </c>
      <c r="P295" s="40" t="str">
        <f>VLOOKUP(C295,Sheet1!$U$4:$V$14,2,FALSE)</f>
        <v>BH Y tế</v>
      </c>
      <c r="Q295" s="88">
        <f t="shared" si="4"/>
        <v>1177394796.1760023</v>
      </c>
    </row>
    <row r="296" spans="1:17" x14ac:dyDescent="0.25">
      <c r="A296" s="85" t="s">
        <v>307</v>
      </c>
      <c r="B296" s="65" t="s">
        <v>165</v>
      </c>
      <c r="C296" s="65" t="s">
        <v>397</v>
      </c>
      <c r="D296" s="66">
        <v>114467800</v>
      </c>
      <c r="E296" s="65">
        <v>959250000</v>
      </c>
      <c r="F296" s="67">
        <v>9215638.3859692626</v>
      </c>
      <c r="G296" s="68">
        <v>0</v>
      </c>
      <c r="H296" s="68">
        <v>9215638.3859692626</v>
      </c>
      <c r="I296" s="68">
        <v>0</v>
      </c>
      <c r="J296" s="68">
        <v>22893560</v>
      </c>
      <c r="K296" s="68">
        <v>22893560</v>
      </c>
      <c r="L296" s="68">
        <v>0</v>
      </c>
      <c r="M296" s="68">
        <v>9157424</v>
      </c>
      <c r="N296" s="69">
        <v>64160182.385969266</v>
      </c>
      <c r="O296" s="65" t="str">
        <f>VLOOKUP(A296,Report_HQ1!$A$7:$C$95,3,FALSE)</f>
        <v>BV Đồng Nai</v>
      </c>
      <c r="P296" s="40" t="str">
        <f>VLOOKUP(C296,Sheet1!$U$4:$V$14,2,FALSE)</f>
        <v>BH Du lịch</v>
      </c>
      <c r="Q296" s="88">
        <f t="shared" si="4"/>
        <v>64160182.385969266</v>
      </c>
    </row>
    <row r="297" spans="1:17" x14ac:dyDescent="0.25">
      <c r="A297" s="85" t="s">
        <v>308</v>
      </c>
      <c r="B297" s="65" t="s">
        <v>166</v>
      </c>
      <c r="C297" s="65" t="s">
        <v>387</v>
      </c>
      <c r="D297" s="66">
        <v>3579784827</v>
      </c>
      <c r="E297" s="65">
        <v>1128250000</v>
      </c>
      <c r="F297" s="67">
        <v>189861038.0975748</v>
      </c>
      <c r="G297" s="68">
        <v>0</v>
      </c>
      <c r="H297" s="68">
        <v>189861038.0975748</v>
      </c>
      <c r="I297" s="68">
        <v>0</v>
      </c>
      <c r="J297" s="68">
        <v>357993119</v>
      </c>
      <c r="K297" s="68">
        <v>178996560</v>
      </c>
      <c r="L297" s="68">
        <v>143197248</v>
      </c>
      <c r="M297" s="68">
        <v>286394496</v>
      </c>
      <c r="N297" s="69">
        <v>1156442461.0975747</v>
      </c>
      <c r="O297" s="65" t="str">
        <f>VLOOKUP(A297,Report_HQ1!$A$7:$C$95,3,FALSE)</f>
        <v>BV Đồng Tháp</v>
      </c>
      <c r="P297" s="40" t="str">
        <f>VLOOKUP(C297,Sheet1!$U$4:$V$14,2,FALSE)</f>
        <v>BH Hàng hóa</v>
      </c>
      <c r="Q297" s="88">
        <f t="shared" si="4"/>
        <v>1156442461.0975747</v>
      </c>
    </row>
    <row r="298" spans="1:17" x14ac:dyDescent="0.25">
      <c r="A298" s="85" t="s">
        <v>308</v>
      </c>
      <c r="B298" s="65" t="s">
        <v>166</v>
      </c>
      <c r="C298" s="65" t="s">
        <v>272</v>
      </c>
      <c r="D298" s="66">
        <v>907445098</v>
      </c>
      <c r="E298" s="65">
        <v>1128250000</v>
      </c>
      <c r="F298" s="67">
        <v>48128163.185500734</v>
      </c>
      <c r="G298" s="68">
        <v>0</v>
      </c>
      <c r="H298" s="68">
        <v>48128163.185500734</v>
      </c>
      <c r="I298" s="68">
        <v>1495425</v>
      </c>
      <c r="J298" s="68">
        <v>136116765</v>
      </c>
      <c r="K298" s="68">
        <v>63521157</v>
      </c>
      <c r="L298" s="68">
        <v>9074451</v>
      </c>
      <c r="M298" s="68">
        <v>72595607</v>
      </c>
      <c r="N298" s="69">
        <v>330931568.18550074</v>
      </c>
      <c r="O298" s="65" t="str">
        <f>VLOOKUP(A298,Report_HQ1!$A$7:$C$95,3,FALSE)</f>
        <v>BV Đồng Tháp</v>
      </c>
      <c r="P298" s="40" t="str">
        <f>VLOOKUP(C298,Sheet1!$U$4:$V$14,2,FALSE)</f>
        <v>Tàu khác</v>
      </c>
      <c r="Q298" s="88">
        <f t="shared" si="4"/>
        <v>330931568.18550074</v>
      </c>
    </row>
    <row r="299" spans="1:17" x14ac:dyDescent="0.25">
      <c r="A299" s="85" t="s">
        <v>308</v>
      </c>
      <c r="B299" s="65" t="s">
        <v>166</v>
      </c>
      <c r="C299" s="65" t="s">
        <v>388</v>
      </c>
      <c r="D299" s="66">
        <v>0</v>
      </c>
      <c r="E299" s="65">
        <v>1128250000</v>
      </c>
      <c r="F299" s="67">
        <v>0</v>
      </c>
      <c r="G299" s="68">
        <v>0</v>
      </c>
      <c r="H299" s="68">
        <v>0</v>
      </c>
      <c r="I299" s="68">
        <v>0</v>
      </c>
      <c r="J299" s="68">
        <v>0</v>
      </c>
      <c r="K299" s="68">
        <v>0</v>
      </c>
      <c r="L299" s="68">
        <v>0</v>
      </c>
      <c r="M299" s="68">
        <v>0</v>
      </c>
      <c r="N299" s="69">
        <v>0</v>
      </c>
      <c r="O299" s="65" t="str">
        <f>VLOOKUP(A299,Report_HQ1!$A$7:$C$95,3,FALSE)</f>
        <v>BV Đồng Tháp</v>
      </c>
      <c r="P299" s="40" t="str">
        <f>VLOOKUP(C299,Sheet1!$U$4:$V$14,2,FALSE)</f>
        <v>Hull (Thân tàu biển)</v>
      </c>
      <c r="Q299" s="88">
        <f t="shared" si="4"/>
        <v>0</v>
      </c>
    </row>
    <row r="300" spans="1:17" x14ac:dyDescent="0.25">
      <c r="A300" s="85" t="s">
        <v>308</v>
      </c>
      <c r="B300" s="65" t="s">
        <v>166</v>
      </c>
      <c r="C300" s="65" t="s">
        <v>23</v>
      </c>
      <c r="D300" s="66">
        <v>0</v>
      </c>
      <c r="E300" s="65">
        <v>1128250000</v>
      </c>
      <c r="F300" s="67">
        <v>0</v>
      </c>
      <c r="G300" s="68">
        <v>0</v>
      </c>
      <c r="H300" s="68">
        <v>0</v>
      </c>
      <c r="I300" s="68">
        <v>0</v>
      </c>
      <c r="J300" s="68">
        <v>0</v>
      </c>
      <c r="K300" s="68">
        <v>0</v>
      </c>
      <c r="L300" s="68">
        <v>0</v>
      </c>
      <c r="M300" s="68">
        <v>0</v>
      </c>
      <c r="N300" s="69">
        <v>0</v>
      </c>
      <c r="O300" s="65" t="str">
        <f>VLOOKUP(A300,Report_HQ1!$A$7:$C$95,3,FALSE)</f>
        <v>BV Đồng Tháp</v>
      </c>
      <c r="P300" s="40" t="str">
        <f>VLOOKUP(C300,Sheet1!$U$4:$V$14,2,FALSE)</f>
        <v>P&amp;I</v>
      </c>
      <c r="Q300" s="88">
        <f t="shared" si="4"/>
        <v>0</v>
      </c>
    </row>
    <row r="301" spans="1:17" x14ac:dyDescent="0.25">
      <c r="A301" s="85" t="s">
        <v>308</v>
      </c>
      <c r="B301" s="65" t="s">
        <v>166</v>
      </c>
      <c r="C301" s="65" t="s">
        <v>389</v>
      </c>
      <c r="D301" s="66">
        <v>13536364</v>
      </c>
      <c r="E301" s="65">
        <v>1128250000</v>
      </c>
      <c r="F301" s="67">
        <v>717928.1005167074</v>
      </c>
      <c r="G301" s="68">
        <v>0</v>
      </c>
      <c r="H301" s="68">
        <v>717928.1005167074</v>
      </c>
      <c r="I301" s="68">
        <v>0</v>
      </c>
      <c r="J301" s="68">
        <v>676818</v>
      </c>
      <c r="K301" s="68">
        <v>338409</v>
      </c>
      <c r="L301" s="68">
        <v>1015227</v>
      </c>
      <c r="M301" s="68">
        <v>1082909</v>
      </c>
      <c r="N301" s="69">
        <v>3831291.1005167076</v>
      </c>
      <c r="O301" s="65" t="str">
        <f>VLOOKUP(A301,Report_HQ1!$A$7:$C$95,3,FALSE)</f>
        <v>BV Đồng Tháp</v>
      </c>
      <c r="P301" s="40" t="str">
        <f>VLOOKUP(C301,Sheet1!$U$4:$V$14,2,FALSE)</f>
        <v>BH Trách nhiệm</v>
      </c>
      <c r="Q301" s="88">
        <f t="shared" si="4"/>
        <v>3831291.1005167076</v>
      </c>
    </row>
    <row r="302" spans="1:17" x14ac:dyDescent="0.25">
      <c r="A302" s="85" t="s">
        <v>308</v>
      </c>
      <c r="B302" s="65" t="s">
        <v>166</v>
      </c>
      <c r="C302" s="65" t="s">
        <v>390</v>
      </c>
      <c r="D302" s="66">
        <v>0</v>
      </c>
      <c r="E302" s="65">
        <v>1128250000</v>
      </c>
      <c r="F302" s="67">
        <v>0</v>
      </c>
      <c r="G302" s="68">
        <v>0</v>
      </c>
      <c r="H302" s="68">
        <v>0</v>
      </c>
      <c r="I302" s="68">
        <v>0</v>
      </c>
      <c r="J302" s="68">
        <v>0</v>
      </c>
      <c r="K302" s="68">
        <v>0</v>
      </c>
      <c r="L302" s="68">
        <v>0</v>
      </c>
      <c r="M302" s="68">
        <v>0</v>
      </c>
      <c r="N302" s="69">
        <v>0</v>
      </c>
      <c r="O302" s="65" t="str">
        <f>VLOOKUP(A302,Report_HQ1!$A$7:$C$95,3,FALSE)</f>
        <v>BV Đồng Tháp</v>
      </c>
      <c r="P302" s="40" t="e">
        <f>VLOOKUP(C302,Sheet1!$U$4:$V$14,2,FALSE)</f>
        <v>#N/A</v>
      </c>
      <c r="Q302" s="88">
        <f t="shared" si="4"/>
        <v>0</v>
      </c>
    </row>
    <row r="303" spans="1:17" x14ac:dyDescent="0.25">
      <c r="A303" s="85" t="s">
        <v>308</v>
      </c>
      <c r="B303" s="65" t="s">
        <v>166</v>
      </c>
      <c r="C303" s="65" t="s">
        <v>391</v>
      </c>
      <c r="D303" s="66">
        <v>465719157</v>
      </c>
      <c r="E303" s="65">
        <v>1128250000</v>
      </c>
      <c r="F303" s="67">
        <v>24700345.658498265</v>
      </c>
      <c r="G303" s="68">
        <v>0</v>
      </c>
      <c r="H303" s="68">
        <v>24700345.658498265</v>
      </c>
      <c r="I303" s="68">
        <v>0</v>
      </c>
      <c r="J303" s="68">
        <v>6089300</v>
      </c>
      <c r="K303" s="68">
        <v>3044650</v>
      </c>
      <c r="L303" s="68">
        <v>79150699</v>
      </c>
      <c r="M303" s="68">
        <v>27943150</v>
      </c>
      <c r="N303" s="69">
        <v>140928144.65849826</v>
      </c>
      <c r="O303" s="65" t="str">
        <f>VLOOKUP(A303,Report_HQ1!$A$7:$C$95,3,FALSE)</f>
        <v>BV Đồng Tháp</v>
      </c>
      <c r="P303" s="40" t="str">
        <f>VLOOKUP(C303,Sheet1!$U$4:$V$14,2,FALSE)</f>
        <v>BH Kỹ thuật</v>
      </c>
      <c r="Q303" s="88">
        <f t="shared" si="4"/>
        <v>140928144.65849826</v>
      </c>
    </row>
    <row r="304" spans="1:17" x14ac:dyDescent="0.25">
      <c r="A304" s="85" t="s">
        <v>308</v>
      </c>
      <c r="B304" s="65" t="s">
        <v>166</v>
      </c>
      <c r="C304" s="65" t="s">
        <v>392</v>
      </c>
      <c r="D304" s="66">
        <v>6487023531</v>
      </c>
      <c r="E304" s="65">
        <v>1128250000</v>
      </c>
      <c r="F304" s="67">
        <v>344052249.3055014</v>
      </c>
      <c r="G304" s="68">
        <v>0</v>
      </c>
      <c r="H304" s="68">
        <v>344052249.3055014</v>
      </c>
      <c r="I304" s="68">
        <v>0</v>
      </c>
      <c r="J304" s="68">
        <v>298002601</v>
      </c>
      <c r="K304" s="68">
        <v>149589367</v>
      </c>
      <c r="L304" s="68">
        <v>608159441</v>
      </c>
      <c r="M304" s="68">
        <v>389436639</v>
      </c>
      <c r="N304" s="69">
        <v>1789240297.3055015</v>
      </c>
      <c r="O304" s="65" t="str">
        <f>VLOOKUP(A304,Report_HQ1!$A$7:$C$95,3,FALSE)</f>
        <v>BV Đồng Tháp</v>
      </c>
      <c r="P304" s="40" t="str">
        <f>VLOOKUP(C304,Sheet1!$U$4:$V$14,2,FALSE)</f>
        <v>BH Tài sản</v>
      </c>
      <c r="Q304" s="88">
        <f t="shared" si="4"/>
        <v>1789240297.3055015</v>
      </c>
    </row>
    <row r="305" spans="1:17" x14ac:dyDescent="0.25">
      <c r="A305" s="85" t="s">
        <v>308</v>
      </c>
      <c r="B305" s="65" t="s">
        <v>166</v>
      </c>
      <c r="C305" s="65" t="s">
        <v>393</v>
      </c>
      <c r="D305" s="66">
        <v>5789181671</v>
      </c>
      <c r="E305" s="65">
        <v>1128250000</v>
      </c>
      <c r="F305" s="67">
        <v>307040812.48163599</v>
      </c>
      <c r="G305" s="68">
        <v>0</v>
      </c>
      <c r="H305" s="68">
        <v>307040812.48163599</v>
      </c>
      <c r="I305" s="68">
        <v>0</v>
      </c>
      <c r="J305" s="68">
        <v>539260482</v>
      </c>
      <c r="K305" s="68">
        <v>269630241</v>
      </c>
      <c r="L305" s="68">
        <v>800359746</v>
      </c>
      <c r="M305" s="68">
        <v>343738299</v>
      </c>
      <c r="N305" s="69">
        <v>2260029580.481636</v>
      </c>
      <c r="O305" s="65" t="str">
        <f>VLOOKUP(A305,Report_HQ1!$A$7:$C$95,3,FALSE)</f>
        <v>BV Đồng Tháp</v>
      </c>
      <c r="P305" s="40" t="str">
        <f>VLOOKUP(C305,Sheet1!$U$4:$V$14,2,FALSE)</f>
        <v>BH Xe cơ giới</v>
      </c>
      <c r="Q305" s="88">
        <f t="shared" si="4"/>
        <v>2260029580.481636</v>
      </c>
    </row>
    <row r="306" spans="1:17" x14ac:dyDescent="0.25">
      <c r="A306" s="85" t="s">
        <v>308</v>
      </c>
      <c r="B306" s="65" t="s">
        <v>166</v>
      </c>
      <c r="C306" s="65" t="s">
        <v>394</v>
      </c>
      <c r="D306" s="66">
        <v>2763751761</v>
      </c>
      <c r="E306" s="65">
        <v>1128250000</v>
      </c>
      <c r="F306" s="67">
        <v>146581094.60372335</v>
      </c>
      <c r="G306" s="68">
        <v>0</v>
      </c>
      <c r="H306" s="68">
        <v>146581094.60372335</v>
      </c>
      <c r="I306" s="68">
        <v>2367100</v>
      </c>
      <c r="J306" s="68">
        <v>422645816</v>
      </c>
      <c r="K306" s="68">
        <v>66187616</v>
      </c>
      <c r="L306" s="68">
        <v>104496118</v>
      </c>
      <c r="M306" s="68">
        <v>160144816</v>
      </c>
      <c r="N306" s="69">
        <v>902422560.60372329</v>
      </c>
      <c r="O306" s="65" t="str">
        <f>VLOOKUP(A306,Report_HQ1!$A$7:$C$95,3,FALSE)</f>
        <v>BV Đồng Tháp</v>
      </c>
      <c r="P306" s="40" t="str">
        <f>VLOOKUP(C306,Sheet1!$U$4:$V$14,2,FALSE)</f>
        <v>BH Con người</v>
      </c>
      <c r="Q306" s="88">
        <f t="shared" si="4"/>
        <v>902422560.60372329</v>
      </c>
    </row>
    <row r="307" spans="1:17" x14ac:dyDescent="0.25">
      <c r="A307" s="85" t="s">
        <v>308</v>
      </c>
      <c r="B307" s="65" t="s">
        <v>166</v>
      </c>
      <c r="C307" s="65" t="s">
        <v>395</v>
      </c>
      <c r="D307" s="66">
        <v>0</v>
      </c>
      <c r="E307" s="65">
        <v>1128250000</v>
      </c>
      <c r="F307" s="67">
        <v>0</v>
      </c>
      <c r="G307" s="68">
        <v>0</v>
      </c>
      <c r="H307" s="68">
        <v>0</v>
      </c>
      <c r="I307" s="68">
        <v>0</v>
      </c>
      <c r="J307" s="68">
        <v>0</v>
      </c>
      <c r="K307" s="68">
        <v>0</v>
      </c>
      <c r="L307" s="68">
        <v>0</v>
      </c>
      <c r="M307" s="68">
        <v>0</v>
      </c>
      <c r="N307" s="69">
        <v>0</v>
      </c>
      <c r="O307" s="65" t="str">
        <f>VLOOKUP(A307,Report_HQ1!$A$7:$C$95,3,FALSE)</f>
        <v>BV Đồng Tháp</v>
      </c>
      <c r="P307" s="40" t="e">
        <f>VLOOKUP(C307,Sheet1!$U$4:$V$14,2,FALSE)</f>
        <v>#N/A</v>
      </c>
      <c r="Q307" s="88">
        <f t="shared" si="4"/>
        <v>0</v>
      </c>
    </row>
    <row r="308" spans="1:17" x14ac:dyDescent="0.25">
      <c r="A308" s="85" t="s">
        <v>308</v>
      </c>
      <c r="B308" s="65" t="s">
        <v>166</v>
      </c>
      <c r="C308" s="65" t="s">
        <v>396</v>
      </c>
      <c r="D308" s="66">
        <v>1243248153</v>
      </c>
      <c r="E308" s="65">
        <v>1128250000</v>
      </c>
      <c r="F308" s="67">
        <v>65938148.89686735</v>
      </c>
      <c r="G308" s="68">
        <v>0</v>
      </c>
      <c r="H308" s="68">
        <v>65938148.89686735</v>
      </c>
      <c r="I308" s="68">
        <v>0</v>
      </c>
      <c r="J308" s="68">
        <v>248649631</v>
      </c>
      <c r="K308" s="68">
        <v>168472456</v>
      </c>
      <c r="L308" s="68">
        <v>1470779</v>
      </c>
      <c r="M308" s="68">
        <v>86281800</v>
      </c>
      <c r="N308" s="69">
        <v>570812814.89686728</v>
      </c>
      <c r="O308" s="65" t="str">
        <f>VLOOKUP(A308,Report_HQ1!$A$7:$C$95,3,FALSE)</f>
        <v>BV Đồng Tháp</v>
      </c>
      <c r="P308" s="40" t="str">
        <f>VLOOKUP(C308,Sheet1!$U$4:$V$14,2,FALSE)</f>
        <v>BH Y tế</v>
      </c>
      <c r="Q308" s="88">
        <f t="shared" si="4"/>
        <v>570812814.89686728</v>
      </c>
    </row>
    <row r="309" spans="1:17" x14ac:dyDescent="0.25">
      <c r="A309" s="85" t="s">
        <v>308</v>
      </c>
      <c r="B309" s="65" t="s">
        <v>166</v>
      </c>
      <c r="C309" s="65" t="s">
        <v>397</v>
      </c>
      <c r="D309" s="66">
        <v>23195500</v>
      </c>
      <c r="E309" s="65">
        <v>1128250000</v>
      </c>
      <c r="F309" s="67">
        <v>1230219.6701813934</v>
      </c>
      <c r="G309" s="68">
        <v>0</v>
      </c>
      <c r="H309" s="68">
        <v>1230219.6701813934</v>
      </c>
      <c r="I309" s="68">
        <v>0</v>
      </c>
      <c r="J309" s="68">
        <v>4639100</v>
      </c>
      <c r="K309" s="68">
        <v>4639100</v>
      </c>
      <c r="L309" s="68">
        <v>0</v>
      </c>
      <c r="M309" s="68">
        <v>1855640</v>
      </c>
      <c r="N309" s="69">
        <v>12364059.670181394</v>
      </c>
      <c r="O309" s="65" t="str">
        <f>VLOOKUP(A309,Report_HQ1!$A$7:$C$95,3,FALSE)</f>
        <v>BV Đồng Tháp</v>
      </c>
      <c r="P309" s="40" t="str">
        <f>VLOOKUP(C309,Sheet1!$U$4:$V$14,2,FALSE)</f>
        <v>BH Du lịch</v>
      </c>
      <c r="Q309" s="88">
        <f t="shared" si="4"/>
        <v>12364059.670181394</v>
      </c>
    </row>
    <row r="310" spans="1:17" x14ac:dyDescent="0.25">
      <c r="A310" s="85" t="s">
        <v>310</v>
      </c>
      <c r="B310" s="65" t="s">
        <v>168</v>
      </c>
      <c r="C310" s="65" t="s">
        <v>387</v>
      </c>
      <c r="D310" s="66">
        <v>86020813</v>
      </c>
      <c r="E310" s="65">
        <v>805000000</v>
      </c>
      <c r="F310" s="67">
        <v>4021953.3797056153</v>
      </c>
      <c r="G310" s="68">
        <v>0</v>
      </c>
      <c r="H310" s="68">
        <v>4021953.3797056153</v>
      </c>
      <c r="I310" s="68">
        <v>0</v>
      </c>
      <c r="J310" s="68">
        <v>0</v>
      </c>
      <c r="K310" s="68">
        <v>0</v>
      </c>
      <c r="L310" s="68">
        <v>16343954</v>
      </c>
      <c r="M310" s="68">
        <v>6881665</v>
      </c>
      <c r="N310" s="69">
        <v>27247572.379705615</v>
      </c>
      <c r="O310" s="65" t="str">
        <f>VLOOKUP(A310,Report_HQ1!$A$7:$C$95,3,FALSE)</f>
        <v>BV Gia Lai</v>
      </c>
      <c r="P310" s="40" t="str">
        <f>VLOOKUP(C310,Sheet1!$U$4:$V$14,2,FALSE)</f>
        <v>BH Hàng hóa</v>
      </c>
      <c r="Q310" s="88">
        <f t="shared" si="4"/>
        <v>27247572.379705615</v>
      </c>
    </row>
    <row r="311" spans="1:17" x14ac:dyDescent="0.25">
      <c r="A311" s="85" t="s">
        <v>310</v>
      </c>
      <c r="B311" s="65" t="s">
        <v>168</v>
      </c>
      <c r="C311" s="65" t="s">
        <v>272</v>
      </c>
      <c r="D311" s="66">
        <v>20397300</v>
      </c>
      <c r="E311" s="65">
        <v>805000000</v>
      </c>
      <c r="F311" s="67">
        <v>953687.6810484149</v>
      </c>
      <c r="G311" s="68">
        <v>0</v>
      </c>
      <c r="H311" s="68">
        <v>953687.6810484149</v>
      </c>
      <c r="I311" s="68">
        <v>68250</v>
      </c>
      <c r="J311" s="68">
        <v>0</v>
      </c>
      <c r="K311" s="68">
        <v>0</v>
      </c>
      <c r="L311" s="68">
        <v>4691379</v>
      </c>
      <c r="M311" s="68">
        <v>1223838</v>
      </c>
      <c r="N311" s="69">
        <v>6937154.6810484147</v>
      </c>
      <c r="O311" s="65" t="str">
        <f>VLOOKUP(A311,Report_HQ1!$A$7:$C$95,3,FALSE)</f>
        <v>BV Gia Lai</v>
      </c>
      <c r="P311" s="40" t="str">
        <f>VLOOKUP(C311,Sheet1!$U$4:$V$14,2,FALSE)</f>
        <v>Tàu khác</v>
      </c>
      <c r="Q311" s="88">
        <f t="shared" si="4"/>
        <v>6937154.6810484147</v>
      </c>
    </row>
    <row r="312" spans="1:17" x14ac:dyDescent="0.25">
      <c r="A312" s="85" t="s">
        <v>310</v>
      </c>
      <c r="B312" s="65" t="s">
        <v>168</v>
      </c>
      <c r="C312" s="65" t="s">
        <v>388</v>
      </c>
      <c r="D312" s="66">
        <v>0</v>
      </c>
      <c r="E312" s="65">
        <v>805000000</v>
      </c>
      <c r="F312" s="67">
        <v>0</v>
      </c>
      <c r="G312" s="68">
        <v>0</v>
      </c>
      <c r="H312" s="68">
        <v>0</v>
      </c>
      <c r="I312" s="68">
        <v>0</v>
      </c>
      <c r="J312" s="68">
        <v>0</v>
      </c>
      <c r="K312" s="68">
        <v>0</v>
      </c>
      <c r="L312" s="68">
        <v>0</v>
      </c>
      <c r="M312" s="68">
        <v>0</v>
      </c>
      <c r="N312" s="69">
        <v>0</v>
      </c>
      <c r="O312" s="65" t="str">
        <f>VLOOKUP(A312,Report_HQ1!$A$7:$C$95,3,FALSE)</f>
        <v>BV Gia Lai</v>
      </c>
      <c r="P312" s="40" t="str">
        <f>VLOOKUP(C312,Sheet1!$U$4:$V$14,2,FALSE)</f>
        <v>Hull (Thân tàu biển)</v>
      </c>
      <c r="Q312" s="88">
        <f t="shared" si="4"/>
        <v>0</v>
      </c>
    </row>
    <row r="313" spans="1:17" x14ac:dyDescent="0.25">
      <c r="A313" s="85" t="s">
        <v>310</v>
      </c>
      <c r="B313" s="65" t="s">
        <v>168</v>
      </c>
      <c r="C313" s="65" t="s">
        <v>23</v>
      </c>
      <c r="D313" s="66">
        <v>0</v>
      </c>
      <c r="E313" s="65">
        <v>805000000</v>
      </c>
      <c r="F313" s="67">
        <v>0</v>
      </c>
      <c r="G313" s="68">
        <v>0</v>
      </c>
      <c r="H313" s="68">
        <v>0</v>
      </c>
      <c r="I313" s="68">
        <v>0</v>
      </c>
      <c r="J313" s="68">
        <v>0</v>
      </c>
      <c r="K313" s="68">
        <v>0</v>
      </c>
      <c r="L313" s="68">
        <v>0</v>
      </c>
      <c r="M313" s="68">
        <v>0</v>
      </c>
      <c r="N313" s="69">
        <v>0</v>
      </c>
      <c r="O313" s="65" t="str">
        <f>VLOOKUP(A313,Report_HQ1!$A$7:$C$95,3,FALSE)</f>
        <v>BV Gia Lai</v>
      </c>
      <c r="P313" s="40" t="str">
        <f>VLOOKUP(C313,Sheet1!$U$4:$V$14,2,FALSE)</f>
        <v>P&amp;I</v>
      </c>
      <c r="Q313" s="88">
        <f t="shared" si="4"/>
        <v>0</v>
      </c>
    </row>
    <row r="314" spans="1:17" x14ac:dyDescent="0.25">
      <c r="A314" s="85" t="s">
        <v>310</v>
      </c>
      <c r="B314" s="65" t="s">
        <v>168</v>
      </c>
      <c r="C314" s="65" t="s">
        <v>389</v>
      </c>
      <c r="D314" s="66">
        <v>244237000</v>
      </c>
      <c r="E314" s="65">
        <v>805000000</v>
      </c>
      <c r="F314" s="67">
        <v>11419443.659514824</v>
      </c>
      <c r="G314" s="68">
        <v>0</v>
      </c>
      <c r="H314" s="68">
        <v>11419443.659514824</v>
      </c>
      <c r="I314" s="68">
        <v>0</v>
      </c>
      <c r="J314" s="68">
        <v>12211850</v>
      </c>
      <c r="K314" s="68">
        <v>6105925</v>
      </c>
      <c r="L314" s="68">
        <v>18317775</v>
      </c>
      <c r="M314" s="68">
        <v>19538960</v>
      </c>
      <c r="N314" s="69">
        <v>67593953.659514815</v>
      </c>
      <c r="O314" s="65" t="str">
        <f>VLOOKUP(A314,Report_HQ1!$A$7:$C$95,3,FALSE)</f>
        <v>BV Gia Lai</v>
      </c>
      <c r="P314" s="40" t="str">
        <f>VLOOKUP(C314,Sheet1!$U$4:$V$14,2,FALSE)</f>
        <v>BH Trách nhiệm</v>
      </c>
      <c r="Q314" s="88">
        <f t="shared" si="4"/>
        <v>67593953.659514815</v>
      </c>
    </row>
    <row r="315" spans="1:17" x14ac:dyDescent="0.25">
      <c r="A315" s="85" t="s">
        <v>310</v>
      </c>
      <c r="B315" s="65" t="s">
        <v>168</v>
      </c>
      <c r="C315" s="65" t="s">
        <v>390</v>
      </c>
      <c r="D315" s="66">
        <v>2032974804</v>
      </c>
      <c r="E315" s="65">
        <v>805000000</v>
      </c>
      <c r="F315" s="67">
        <v>95052924.968334824</v>
      </c>
      <c r="G315" s="68">
        <v>0</v>
      </c>
      <c r="H315" s="68">
        <v>95052924.968334824</v>
      </c>
      <c r="I315" s="68">
        <v>0</v>
      </c>
      <c r="J315" s="68">
        <v>0</v>
      </c>
      <c r="K315" s="68">
        <v>0</v>
      </c>
      <c r="L315" s="68">
        <v>243347085</v>
      </c>
      <c r="M315" s="68">
        <v>51434263</v>
      </c>
      <c r="N315" s="69">
        <v>389834272.96833479</v>
      </c>
      <c r="O315" s="65" t="str">
        <f>VLOOKUP(A315,Report_HQ1!$A$7:$C$95,3,FALSE)</f>
        <v>BV Gia Lai</v>
      </c>
      <c r="P315" s="40" t="e">
        <f>VLOOKUP(C315,Sheet1!$U$4:$V$14,2,FALSE)</f>
        <v>#N/A</v>
      </c>
      <c r="Q315" s="88">
        <f t="shared" si="4"/>
        <v>389834272.96833479</v>
      </c>
    </row>
    <row r="316" spans="1:17" x14ac:dyDescent="0.25">
      <c r="A316" s="85" t="s">
        <v>310</v>
      </c>
      <c r="B316" s="65" t="s">
        <v>168</v>
      </c>
      <c r="C316" s="65" t="s">
        <v>391</v>
      </c>
      <c r="D316" s="66">
        <v>85518034</v>
      </c>
      <c r="E316" s="65">
        <v>805000000</v>
      </c>
      <c r="F316" s="67">
        <v>3998445.6537521882</v>
      </c>
      <c r="G316" s="68">
        <v>0</v>
      </c>
      <c r="H316" s="68">
        <v>3998445.6537521882</v>
      </c>
      <c r="I316" s="68">
        <v>0</v>
      </c>
      <c r="J316" s="68">
        <v>0</v>
      </c>
      <c r="K316" s="68">
        <v>0</v>
      </c>
      <c r="L316" s="68">
        <v>10309091</v>
      </c>
      <c r="M316" s="68">
        <v>3436364</v>
      </c>
      <c r="N316" s="69">
        <v>17743900.653752189</v>
      </c>
      <c r="O316" s="65" t="str">
        <f>VLOOKUP(A316,Report_HQ1!$A$7:$C$95,3,FALSE)</f>
        <v>BV Gia Lai</v>
      </c>
      <c r="P316" s="40" t="str">
        <f>VLOOKUP(C316,Sheet1!$U$4:$V$14,2,FALSE)</f>
        <v>BH Kỹ thuật</v>
      </c>
      <c r="Q316" s="88">
        <f t="shared" si="4"/>
        <v>17743900.653752189</v>
      </c>
    </row>
    <row r="317" spans="1:17" x14ac:dyDescent="0.25">
      <c r="A317" s="85" t="s">
        <v>310</v>
      </c>
      <c r="B317" s="65" t="s">
        <v>168</v>
      </c>
      <c r="C317" s="65" t="s">
        <v>392</v>
      </c>
      <c r="D317" s="66">
        <v>2419643954</v>
      </c>
      <c r="E317" s="65">
        <v>805000000</v>
      </c>
      <c r="F317" s="67">
        <v>113131867.034023</v>
      </c>
      <c r="G317" s="68">
        <v>0</v>
      </c>
      <c r="H317" s="68">
        <v>113131867.034023</v>
      </c>
      <c r="I317" s="68">
        <v>0</v>
      </c>
      <c r="J317" s="68">
        <v>40564672</v>
      </c>
      <c r="K317" s="68">
        <v>20282337</v>
      </c>
      <c r="L317" s="68">
        <v>330502384</v>
      </c>
      <c r="M317" s="68">
        <v>82157620</v>
      </c>
      <c r="N317" s="69">
        <v>586638880.03402305</v>
      </c>
      <c r="O317" s="65" t="str">
        <f>VLOOKUP(A317,Report_HQ1!$A$7:$C$95,3,FALSE)</f>
        <v>BV Gia Lai</v>
      </c>
      <c r="P317" s="40" t="str">
        <f>VLOOKUP(C317,Sheet1!$U$4:$V$14,2,FALSE)</f>
        <v>BH Tài sản</v>
      </c>
      <c r="Q317" s="88">
        <f t="shared" si="4"/>
        <v>586638880.03402305</v>
      </c>
    </row>
    <row r="318" spans="1:17" x14ac:dyDescent="0.25">
      <c r="A318" s="85" t="s">
        <v>310</v>
      </c>
      <c r="B318" s="65" t="s">
        <v>168</v>
      </c>
      <c r="C318" s="65" t="s">
        <v>393</v>
      </c>
      <c r="D318" s="66">
        <v>7536849637</v>
      </c>
      <c r="E318" s="65">
        <v>805000000</v>
      </c>
      <c r="F318" s="67">
        <v>352389809.0787074</v>
      </c>
      <c r="G318" s="68">
        <v>0</v>
      </c>
      <c r="H318" s="68">
        <v>352389809.0787074</v>
      </c>
      <c r="I318" s="68">
        <v>0</v>
      </c>
      <c r="J318" s="68">
        <v>642370377</v>
      </c>
      <c r="K318" s="68">
        <v>321185189</v>
      </c>
      <c r="L318" s="68">
        <v>807496854</v>
      </c>
      <c r="M318" s="68">
        <v>449617382</v>
      </c>
      <c r="N318" s="69">
        <v>2573059611.0787077</v>
      </c>
      <c r="O318" s="65" t="str">
        <f>VLOOKUP(A318,Report_HQ1!$A$7:$C$95,3,FALSE)</f>
        <v>BV Gia Lai</v>
      </c>
      <c r="P318" s="40" t="str">
        <f>VLOOKUP(C318,Sheet1!$U$4:$V$14,2,FALSE)</f>
        <v>BH Xe cơ giới</v>
      </c>
      <c r="Q318" s="88">
        <f t="shared" si="4"/>
        <v>2573059611.0787077</v>
      </c>
    </row>
    <row r="319" spans="1:17" x14ac:dyDescent="0.25">
      <c r="A319" s="85" t="s">
        <v>310</v>
      </c>
      <c r="B319" s="65" t="s">
        <v>168</v>
      </c>
      <c r="C319" s="65" t="s">
        <v>394</v>
      </c>
      <c r="D319" s="66">
        <v>2025962300</v>
      </c>
      <c r="E319" s="65">
        <v>805000000</v>
      </c>
      <c r="F319" s="67">
        <v>94725051.245925352</v>
      </c>
      <c r="G319" s="68">
        <v>0</v>
      </c>
      <c r="H319" s="68">
        <v>94725051.245925352</v>
      </c>
      <c r="I319" s="68">
        <v>605000</v>
      </c>
      <c r="J319" s="68">
        <v>306792807</v>
      </c>
      <c r="K319" s="68">
        <v>2482550</v>
      </c>
      <c r="L319" s="68">
        <v>61952969</v>
      </c>
      <c r="M319" s="68">
        <v>95534572</v>
      </c>
      <c r="N319" s="69">
        <v>562092949.24592543</v>
      </c>
      <c r="O319" s="65" t="str">
        <f>VLOOKUP(A319,Report_HQ1!$A$7:$C$95,3,FALSE)</f>
        <v>BV Gia Lai</v>
      </c>
      <c r="P319" s="40" t="str">
        <f>VLOOKUP(C319,Sheet1!$U$4:$V$14,2,FALSE)</f>
        <v>BH Con người</v>
      </c>
      <c r="Q319" s="88">
        <f t="shared" si="4"/>
        <v>562092949.24592543</v>
      </c>
    </row>
    <row r="320" spans="1:17" x14ac:dyDescent="0.25">
      <c r="A320" s="85" t="s">
        <v>310</v>
      </c>
      <c r="B320" s="65" t="s">
        <v>168</v>
      </c>
      <c r="C320" s="65" t="s">
        <v>395</v>
      </c>
      <c r="D320" s="66">
        <v>0</v>
      </c>
      <c r="E320" s="65">
        <v>805000000</v>
      </c>
      <c r="F320" s="67">
        <v>0</v>
      </c>
      <c r="G320" s="68">
        <v>0</v>
      </c>
      <c r="H320" s="68">
        <v>0</v>
      </c>
      <c r="I320" s="68">
        <v>0</v>
      </c>
      <c r="J320" s="68">
        <v>0</v>
      </c>
      <c r="K320" s="68">
        <v>0</v>
      </c>
      <c r="L320" s="68">
        <v>0</v>
      </c>
      <c r="M320" s="68">
        <v>0</v>
      </c>
      <c r="N320" s="69">
        <v>0</v>
      </c>
      <c r="O320" s="65" t="str">
        <f>VLOOKUP(A320,Report_HQ1!$A$7:$C$95,3,FALSE)</f>
        <v>BV Gia Lai</v>
      </c>
      <c r="P320" s="40" t="e">
        <f>VLOOKUP(C320,Sheet1!$U$4:$V$14,2,FALSE)</f>
        <v>#N/A</v>
      </c>
      <c r="Q320" s="88">
        <f t="shared" si="4"/>
        <v>0</v>
      </c>
    </row>
    <row r="321" spans="1:17" x14ac:dyDescent="0.25">
      <c r="A321" s="85" t="s">
        <v>310</v>
      </c>
      <c r="B321" s="65" t="s">
        <v>168</v>
      </c>
      <c r="C321" s="65" t="s">
        <v>396</v>
      </c>
      <c r="D321" s="66">
        <v>2763596871</v>
      </c>
      <c r="E321" s="65">
        <v>805000000</v>
      </c>
      <c r="F321" s="67">
        <v>129213586.66375674</v>
      </c>
      <c r="G321" s="68">
        <v>0</v>
      </c>
      <c r="H321" s="68">
        <v>129213586.66375674</v>
      </c>
      <c r="I321" s="68">
        <v>0</v>
      </c>
      <c r="J321" s="68">
        <v>415545412</v>
      </c>
      <c r="K321" s="68">
        <v>88760022</v>
      </c>
      <c r="L321" s="68">
        <v>68809189</v>
      </c>
      <c r="M321" s="68">
        <v>184513898</v>
      </c>
      <c r="N321" s="69">
        <v>886842107.66375673</v>
      </c>
      <c r="O321" s="65" t="str">
        <f>VLOOKUP(A321,Report_HQ1!$A$7:$C$95,3,FALSE)</f>
        <v>BV Gia Lai</v>
      </c>
      <c r="P321" s="40" t="str">
        <f>VLOOKUP(C321,Sheet1!$U$4:$V$14,2,FALSE)</f>
        <v>BH Y tế</v>
      </c>
      <c r="Q321" s="88">
        <f t="shared" si="4"/>
        <v>886842107.66375673</v>
      </c>
    </row>
    <row r="322" spans="1:17" x14ac:dyDescent="0.25">
      <c r="A322" s="85" t="s">
        <v>310</v>
      </c>
      <c r="B322" s="65" t="s">
        <v>168</v>
      </c>
      <c r="C322" s="65" t="s">
        <v>397</v>
      </c>
      <c r="D322" s="66">
        <v>1994000</v>
      </c>
      <c r="E322" s="65">
        <v>805000000</v>
      </c>
      <c r="F322" s="67">
        <v>93230.635231650231</v>
      </c>
      <c r="G322" s="68">
        <v>0</v>
      </c>
      <c r="H322" s="68">
        <v>93230.635231650231</v>
      </c>
      <c r="I322" s="68">
        <v>0</v>
      </c>
      <c r="J322" s="68">
        <v>398800</v>
      </c>
      <c r="K322" s="68">
        <v>398800</v>
      </c>
      <c r="L322" s="68">
        <v>0</v>
      </c>
      <c r="M322" s="68">
        <v>159520</v>
      </c>
      <c r="N322" s="69">
        <v>1050350.6352316502</v>
      </c>
      <c r="O322" s="65" t="str">
        <f>VLOOKUP(A322,Report_HQ1!$A$7:$C$95,3,FALSE)</f>
        <v>BV Gia Lai</v>
      </c>
      <c r="P322" s="40" t="str">
        <f>VLOOKUP(C322,Sheet1!$U$4:$V$14,2,FALSE)</f>
        <v>BH Du lịch</v>
      </c>
      <c r="Q322" s="88">
        <f t="shared" si="4"/>
        <v>1050350.6352316502</v>
      </c>
    </row>
    <row r="323" spans="1:17" x14ac:dyDescent="0.25">
      <c r="A323" s="85" t="s">
        <v>311</v>
      </c>
      <c r="B323" s="65" t="s">
        <v>169</v>
      </c>
      <c r="C323" s="65" t="s">
        <v>387</v>
      </c>
      <c r="D323" s="66">
        <v>0</v>
      </c>
      <c r="E323" s="65">
        <v>259750000</v>
      </c>
      <c r="F323" s="67">
        <v>0</v>
      </c>
      <c r="G323" s="68">
        <v>0</v>
      </c>
      <c r="H323" s="68">
        <v>0</v>
      </c>
      <c r="I323" s="68">
        <v>0</v>
      </c>
      <c r="J323" s="68">
        <v>0</v>
      </c>
      <c r="K323" s="68">
        <v>0</v>
      </c>
      <c r="L323" s="68">
        <v>0</v>
      </c>
      <c r="M323" s="68">
        <v>0</v>
      </c>
      <c r="N323" s="69">
        <v>0</v>
      </c>
      <c r="O323" s="65" t="str">
        <f>VLOOKUP(A323,Report_HQ1!$A$7:$C$95,3,FALSE)</f>
        <v>BV Hà Giang</v>
      </c>
      <c r="P323" s="40" t="str">
        <f>VLOOKUP(C323,Sheet1!$U$4:$V$14,2,FALSE)</f>
        <v>BH Hàng hóa</v>
      </c>
      <c r="Q323" s="88">
        <f t="shared" si="4"/>
        <v>0</v>
      </c>
    </row>
    <row r="324" spans="1:17" x14ac:dyDescent="0.25">
      <c r="A324" s="85" t="s">
        <v>311</v>
      </c>
      <c r="B324" s="65" t="s">
        <v>169</v>
      </c>
      <c r="C324" s="65" t="s">
        <v>272</v>
      </c>
      <c r="D324" s="66">
        <v>0</v>
      </c>
      <c r="E324" s="65">
        <v>259750000</v>
      </c>
      <c r="F324" s="67">
        <v>0</v>
      </c>
      <c r="G324" s="68">
        <v>0</v>
      </c>
      <c r="H324" s="68">
        <v>0</v>
      </c>
      <c r="I324" s="68">
        <v>0</v>
      </c>
      <c r="J324" s="68">
        <v>0</v>
      </c>
      <c r="K324" s="68">
        <v>0</v>
      </c>
      <c r="L324" s="68">
        <v>0</v>
      </c>
      <c r="M324" s="68">
        <v>0</v>
      </c>
      <c r="N324" s="69">
        <v>0</v>
      </c>
      <c r="O324" s="65" t="str">
        <f>VLOOKUP(A324,Report_HQ1!$A$7:$C$95,3,FALSE)</f>
        <v>BV Hà Giang</v>
      </c>
      <c r="P324" s="40" t="str">
        <f>VLOOKUP(C324,Sheet1!$U$4:$V$14,2,FALSE)</f>
        <v>Tàu khác</v>
      </c>
      <c r="Q324" s="88">
        <f t="shared" si="4"/>
        <v>0</v>
      </c>
    </row>
    <row r="325" spans="1:17" x14ac:dyDescent="0.25">
      <c r="A325" s="85" t="s">
        <v>311</v>
      </c>
      <c r="B325" s="65" t="s">
        <v>169</v>
      </c>
      <c r="C325" s="65" t="s">
        <v>388</v>
      </c>
      <c r="D325" s="66">
        <v>0</v>
      </c>
      <c r="E325" s="65">
        <v>259750000</v>
      </c>
      <c r="F325" s="67">
        <v>0</v>
      </c>
      <c r="G325" s="68">
        <v>0</v>
      </c>
      <c r="H325" s="68">
        <v>0</v>
      </c>
      <c r="I325" s="68">
        <v>0</v>
      </c>
      <c r="J325" s="68">
        <v>0</v>
      </c>
      <c r="K325" s="68">
        <v>0</v>
      </c>
      <c r="L325" s="68">
        <v>0</v>
      </c>
      <c r="M325" s="68">
        <v>0</v>
      </c>
      <c r="N325" s="69">
        <v>0</v>
      </c>
      <c r="O325" s="65" t="str">
        <f>VLOOKUP(A325,Report_HQ1!$A$7:$C$95,3,FALSE)</f>
        <v>BV Hà Giang</v>
      </c>
      <c r="P325" s="40" t="str">
        <f>VLOOKUP(C325,Sheet1!$U$4:$V$14,2,FALSE)</f>
        <v>Hull (Thân tàu biển)</v>
      </c>
      <c r="Q325" s="88">
        <f t="shared" si="4"/>
        <v>0</v>
      </c>
    </row>
    <row r="326" spans="1:17" x14ac:dyDescent="0.25">
      <c r="A326" s="85" t="s">
        <v>311</v>
      </c>
      <c r="B326" s="65" t="s">
        <v>169</v>
      </c>
      <c r="C326" s="65" t="s">
        <v>23</v>
      </c>
      <c r="D326" s="66">
        <v>0</v>
      </c>
      <c r="E326" s="65">
        <v>259750000</v>
      </c>
      <c r="F326" s="67">
        <v>0</v>
      </c>
      <c r="G326" s="68">
        <v>0</v>
      </c>
      <c r="H326" s="68">
        <v>0</v>
      </c>
      <c r="I326" s="68">
        <v>0</v>
      </c>
      <c r="J326" s="68">
        <v>0</v>
      </c>
      <c r="K326" s="68">
        <v>0</v>
      </c>
      <c r="L326" s="68">
        <v>0</v>
      </c>
      <c r="M326" s="68">
        <v>0</v>
      </c>
      <c r="N326" s="69">
        <v>0</v>
      </c>
      <c r="O326" s="65" t="str">
        <f>VLOOKUP(A326,Report_HQ1!$A$7:$C$95,3,FALSE)</f>
        <v>BV Hà Giang</v>
      </c>
      <c r="P326" s="40" t="str">
        <f>VLOOKUP(C326,Sheet1!$U$4:$V$14,2,FALSE)</f>
        <v>P&amp;I</v>
      </c>
      <c r="Q326" s="88">
        <f t="shared" si="4"/>
        <v>0</v>
      </c>
    </row>
    <row r="327" spans="1:17" x14ac:dyDescent="0.25">
      <c r="A327" s="85" t="s">
        <v>311</v>
      </c>
      <c r="B327" s="65" t="s">
        <v>169</v>
      </c>
      <c r="C327" s="65" t="s">
        <v>389</v>
      </c>
      <c r="D327" s="66">
        <v>0</v>
      </c>
      <c r="E327" s="65">
        <v>259750000</v>
      </c>
      <c r="F327" s="67">
        <v>0</v>
      </c>
      <c r="G327" s="68">
        <v>0</v>
      </c>
      <c r="H327" s="68">
        <v>0</v>
      </c>
      <c r="I327" s="68">
        <v>0</v>
      </c>
      <c r="J327" s="68">
        <v>0</v>
      </c>
      <c r="K327" s="68">
        <v>0</v>
      </c>
      <c r="L327" s="68">
        <v>0</v>
      </c>
      <c r="M327" s="68">
        <v>0</v>
      </c>
      <c r="N327" s="69">
        <v>0</v>
      </c>
      <c r="O327" s="65" t="str">
        <f>VLOOKUP(A327,Report_HQ1!$A$7:$C$95,3,FALSE)</f>
        <v>BV Hà Giang</v>
      </c>
      <c r="P327" s="40" t="str">
        <f>VLOOKUP(C327,Sheet1!$U$4:$V$14,2,FALSE)</f>
        <v>BH Trách nhiệm</v>
      </c>
      <c r="Q327" s="88">
        <f t="shared" si="4"/>
        <v>0</v>
      </c>
    </row>
    <row r="328" spans="1:17" x14ac:dyDescent="0.25">
      <c r="A328" s="85" t="s">
        <v>311</v>
      </c>
      <c r="B328" s="65" t="s">
        <v>169</v>
      </c>
      <c r="C328" s="65" t="s">
        <v>390</v>
      </c>
      <c r="D328" s="66">
        <v>0</v>
      </c>
      <c r="E328" s="65">
        <v>259750000</v>
      </c>
      <c r="F328" s="67">
        <v>0</v>
      </c>
      <c r="G328" s="68">
        <v>0</v>
      </c>
      <c r="H328" s="68">
        <v>0</v>
      </c>
      <c r="I328" s="68">
        <v>0</v>
      </c>
      <c r="J328" s="68">
        <v>0</v>
      </c>
      <c r="K328" s="68">
        <v>0</v>
      </c>
      <c r="L328" s="68">
        <v>0</v>
      </c>
      <c r="M328" s="68">
        <v>0</v>
      </c>
      <c r="N328" s="69">
        <v>0</v>
      </c>
      <c r="O328" s="65" t="str">
        <f>VLOOKUP(A328,Report_HQ1!$A$7:$C$95,3,FALSE)</f>
        <v>BV Hà Giang</v>
      </c>
      <c r="P328" s="40" t="e">
        <f>VLOOKUP(C328,Sheet1!$U$4:$V$14,2,FALSE)</f>
        <v>#N/A</v>
      </c>
      <c r="Q328" s="88">
        <f t="shared" si="4"/>
        <v>0</v>
      </c>
    </row>
    <row r="329" spans="1:17" x14ac:dyDescent="0.25">
      <c r="A329" s="85" t="s">
        <v>311</v>
      </c>
      <c r="B329" s="65" t="s">
        <v>169</v>
      </c>
      <c r="C329" s="65" t="s">
        <v>391</v>
      </c>
      <c r="D329" s="66">
        <v>409128464</v>
      </c>
      <c r="E329" s="65">
        <v>259750000</v>
      </c>
      <c r="F329" s="67">
        <v>19584790.188375425</v>
      </c>
      <c r="G329" s="68">
        <v>0</v>
      </c>
      <c r="H329" s="68">
        <v>19584790.188375425</v>
      </c>
      <c r="I329" s="68">
        <v>0</v>
      </c>
      <c r="J329" s="68">
        <v>0</v>
      </c>
      <c r="K329" s="68">
        <v>0</v>
      </c>
      <c r="L329" s="68">
        <v>0</v>
      </c>
      <c r="M329" s="68">
        <v>0</v>
      </c>
      <c r="N329" s="69">
        <v>19584790.188375425</v>
      </c>
      <c r="O329" s="65" t="str">
        <f>VLOOKUP(A329,Report_HQ1!$A$7:$C$95,3,FALSE)</f>
        <v>BV Hà Giang</v>
      </c>
      <c r="P329" s="40" t="str">
        <f>VLOOKUP(C329,Sheet1!$U$4:$V$14,2,FALSE)</f>
        <v>BH Kỹ thuật</v>
      </c>
      <c r="Q329" s="88">
        <f t="shared" si="4"/>
        <v>19584790.188375425</v>
      </c>
    </row>
    <row r="330" spans="1:17" x14ac:dyDescent="0.25">
      <c r="A330" s="85" t="s">
        <v>311</v>
      </c>
      <c r="B330" s="65" t="s">
        <v>169</v>
      </c>
      <c r="C330" s="65" t="s">
        <v>392</v>
      </c>
      <c r="D330" s="66">
        <v>38496977</v>
      </c>
      <c r="E330" s="65">
        <v>259750000</v>
      </c>
      <c r="F330" s="67">
        <v>1842832.4689521343</v>
      </c>
      <c r="G330" s="68">
        <v>0</v>
      </c>
      <c r="H330" s="68">
        <v>1842832.4689521343</v>
      </c>
      <c r="I330" s="68">
        <v>0</v>
      </c>
      <c r="J330" s="68">
        <v>0</v>
      </c>
      <c r="K330" s="68">
        <v>0</v>
      </c>
      <c r="L330" s="68">
        <v>0</v>
      </c>
      <c r="M330" s="68">
        <v>0</v>
      </c>
      <c r="N330" s="69">
        <v>1842832.4689521343</v>
      </c>
      <c r="O330" s="65" t="str">
        <f>VLOOKUP(A330,Report_HQ1!$A$7:$C$95,3,FALSE)</f>
        <v>BV Hà Giang</v>
      </c>
      <c r="P330" s="40" t="str">
        <f>VLOOKUP(C330,Sheet1!$U$4:$V$14,2,FALSE)</f>
        <v>BH Tài sản</v>
      </c>
      <c r="Q330" s="88">
        <f t="shared" si="4"/>
        <v>1842832.4689521343</v>
      </c>
    </row>
    <row r="331" spans="1:17" x14ac:dyDescent="0.25">
      <c r="A331" s="85" t="s">
        <v>311</v>
      </c>
      <c r="B331" s="65" t="s">
        <v>169</v>
      </c>
      <c r="C331" s="65" t="s">
        <v>393</v>
      </c>
      <c r="D331" s="66">
        <v>4255567192</v>
      </c>
      <c r="E331" s="65">
        <v>259750000</v>
      </c>
      <c r="F331" s="67">
        <v>203712031.60250896</v>
      </c>
      <c r="G331" s="68">
        <v>0</v>
      </c>
      <c r="H331" s="68">
        <v>203712031.60250896</v>
      </c>
      <c r="I331" s="68">
        <v>0</v>
      </c>
      <c r="J331" s="68">
        <v>363813920</v>
      </c>
      <c r="K331" s="68">
        <v>196776234</v>
      </c>
      <c r="L331" s="68">
        <v>525242074</v>
      </c>
      <c r="M331" s="68">
        <v>254234138</v>
      </c>
      <c r="N331" s="69">
        <v>1543778397.602509</v>
      </c>
      <c r="O331" s="65" t="str">
        <f>VLOOKUP(A331,Report_HQ1!$A$7:$C$95,3,FALSE)</f>
        <v>BV Hà Giang</v>
      </c>
      <c r="P331" s="40" t="str">
        <f>VLOOKUP(C331,Sheet1!$U$4:$V$14,2,FALSE)</f>
        <v>BH Xe cơ giới</v>
      </c>
      <c r="Q331" s="88">
        <f t="shared" si="4"/>
        <v>1543778397.602509</v>
      </c>
    </row>
    <row r="332" spans="1:17" x14ac:dyDescent="0.25">
      <c r="A332" s="85" t="s">
        <v>311</v>
      </c>
      <c r="B332" s="65" t="s">
        <v>169</v>
      </c>
      <c r="C332" s="65" t="s">
        <v>394</v>
      </c>
      <c r="D332" s="66">
        <v>423185189</v>
      </c>
      <c r="E332" s="65">
        <v>259750000</v>
      </c>
      <c r="F332" s="67">
        <v>20257679.107345119</v>
      </c>
      <c r="G332" s="68">
        <v>0</v>
      </c>
      <c r="H332" s="68">
        <v>20257679.107345119</v>
      </c>
      <c r="I332" s="68">
        <v>392400</v>
      </c>
      <c r="J332" s="68">
        <v>61972828</v>
      </c>
      <c r="K332" s="68">
        <v>1663100</v>
      </c>
      <c r="L332" s="68">
        <v>15563735</v>
      </c>
      <c r="M332" s="68">
        <v>20158236</v>
      </c>
      <c r="N332" s="69">
        <v>120007978.10734512</v>
      </c>
      <c r="O332" s="65" t="str">
        <f>VLOOKUP(A332,Report_HQ1!$A$7:$C$95,3,FALSE)</f>
        <v>BV Hà Giang</v>
      </c>
      <c r="P332" s="40" t="str">
        <f>VLOOKUP(C332,Sheet1!$U$4:$V$14,2,FALSE)</f>
        <v>BH Con người</v>
      </c>
      <c r="Q332" s="88">
        <f t="shared" ref="Q332:Q395" si="5">N332</f>
        <v>120007978.10734512</v>
      </c>
    </row>
    <row r="333" spans="1:17" x14ac:dyDescent="0.25">
      <c r="A333" s="85" t="s">
        <v>311</v>
      </c>
      <c r="B333" s="65" t="s">
        <v>169</v>
      </c>
      <c r="C333" s="65" t="s">
        <v>395</v>
      </c>
      <c r="D333" s="66">
        <v>0</v>
      </c>
      <c r="E333" s="65">
        <v>259750000</v>
      </c>
      <c r="F333" s="67">
        <v>0</v>
      </c>
      <c r="G333" s="68">
        <v>0</v>
      </c>
      <c r="H333" s="68">
        <v>0</v>
      </c>
      <c r="I333" s="68">
        <v>0</v>
      </c>
      <c r="J333" s="68">
        <v>0</v>
      </c>
      <c r="K333" s="68">
        <v>0</v>
      </c>
      <c r="L333" s="68">
        <v>0</v>
      </c>
      <c r="M333" s="68">
        <v>0</v>
      </c>
      <c r="N333" s="69">
        <v>0</v>
      </c>
      <c r="O333" s="65" t="str">
        <f>VLOOKUP(A333,Report_HQ1!$A$7:$C$95,3,FALSE)</f>
        <v>BV Hà Giang</v>
      </c>
      <c r="P333" s="40" t="e">
        <f>VLOOKUP(C333,Sheet1!$U$4:$V$14,2,FALSE)</f>
        <v>#N/A</v>
      </c>
      <c r="Q333" s="88">
        <f t="shared" si="5"/>
        <v>0</v>
      </c>
    </row>
    <row r="334" spans="1:17" x14ac:dyDescent="0.25">
      <c r="A334" s="85" t="s">
        <v>311</v>
      </c>
      <c r="B334" s="65" t="s">
        <v>169</v>
      </c>
      <c r="C334" s="65" t="s">
        <v>396</v>
      </c>
      <c r="D334" s="66">
        <v>194872816</v>
      </c>
      <c r="E334" s="65">
        <v>259750000</v>
      </c>
      <c r="F334" s="67">
        <v>9328471.4963706098</v>
      </c>
      <c r="G334" s="68">
        <v>0</v>
      </c>
      <c r="H334" s="68">
        <v>9328471.4963706098</v>
      </c>
      <c r="I334" s="68">
        <v>0</v>
      </c>
      <c r="J334" s="68">
        <v>38974563</v>
      </c>
      <c r="K334" s="68">
        <v>55783243</v>
      </c>
      <c r="L334" s="68">
        <v>893503</v>
      </c>
      <c r="M334" s="68">
        <v>12367901</v>
      </c>
      <c r="N334" s="69">
        <v>117347681.49637061</v>
      </c>
      <c r="O334" s="65" t="str">
        <f>VLOOKUP(A334,Report_HQ1!$A$7:$C$95,3,FALSE)</f>
        <v>BV Hà Giang</v>
      </c>
      <c r="P334" s="40" t="str">
        <f>VLOOKUP(C334,Sheet1!$U$4:$V$14,2,FALSE)</f>
        <v>BH Y tế</v>
      </c>
      <c r="Q334" s="88">
        <f t="shared" si="5"/>
        <v>117347681.49637061</v>
      </c>
    </row>
    <row r="335" spans="1:17" x14ac:dyDescent="0.25">
      <c r="A335" s="85" t="s">
        <v>311</v>
      </c>
      <c r="B335" s="65" t="s">
        <v>169</v>
      </c>
      <c r="C335" s="65" t="s">
        <v>397</v>
      </c>
      <c r="D335" s="66">
        <v>104956000</v>
      </c>
      <c r="E335" s="65">
        <v>259750000</v>
      </c>
      <c r="F335" s="67">
        <v>5024195.1364477323</v>
      </c>
      <c r="G335" s="68">
        <v>0</v>
      </c>
      <c r="H335" s="68">
        <v>5024195.1364477323</v>
      </c>
      <c r="I335" s="68">
        <v>0</v>
      </c>
      <c r="J335" s="68">
        <v>20959200</v>
      </c>
      <c r="K335" s="68">
        <v>20959200</v>
      </c>
      <c r="L335" s="68">
        <v>48000</v>
      </c>
      <c r="M335" s="68">
        <v>8396480</v>
      </c>
      <c r="N335" s="69">
        <v>55387075.136447728</v>
      </c>
      <c r="O335" s="65" t="str">
        <f>VLOOKUP(A335,Report_HQ1!$A$7:$C$95,3,FALSE)</f>
        <v>BV Hà Giang</v>
      </c>
      <c r="P335" s="40" t="str">
        <f>VLOOKUP(C335,Sheet1!$U$4:$V$14,2,FALSE)</f>
        <v>BH Du lịch</v>
      </c>
      <c r="Q335" s="88">
        <f t="shared" si="5"/>
        <v>55387075.136447728</v>
      </c>
    </row>
    <row r="336" spans="1:17" x14ac:dyDescent="0.25">
      <c r="A336" s="85" t="s">
        <v>312</v>
      </c>
      <c r="B336" s="65" t="s">
        <v>170</v>
      </c>
      <c r="C336" s="65" t="s">
        <v>387</v>
      </c>
      <c r="D336" s="66">
        <v>64252703</v>
      </c>
      <c r="E336" s="65">
        <v>864000000</v>
      </c>
      <c r="F336" s="67">
        <v>9639828.5020656064</v>
      </c>
      <c r="G336" s="68">
        <v>0</v>
      </c>
      <c r="H336" s="68">
        <v>9639828.5020656064</v>
      </c>
      <c r="I336" s="68">
        <v>0</v>
      </c>
      <c r="J336" s="68">
        <v>6425271</v>
      </c>
      <c r="K336" s="68">
        <v>3212635</v>
      </c>
      <c r="L336" s="68">
        <v>2570108</v>
      </c>
      <c r="M336" s="68">
        <v>5140216</v>
      </c>
      <c r="N336" s="69">
        <v>26988058.502065606</v>
      </c>
      <c r="O336" s="65" t="str">
        <f>VLOOKUP(A336,Report_HQ1!$A$7:$C$95,3,FALSE)</f>
        <v>BV Hà Nam</v>
      </c>
      <c r="P336" s="40" t="str">
        <f>VLOOKUP(C336,Sheet1!$U$4:$V$14,2,FALSE)</f>
        <v>BH Hàng hóa</v>
      </c>
      <c r="Q336" s="88">
        <f t="shared" si="5"/>
        <v>26988058.502065606</v>
      </c>
    </row>
    <row r="337" spans="1:17" x14ac:dyDescent="0.25">
      <c r="A337" s="85" t="s">
        <v>312</v>
      </c>
      <c r="B337" s="65" t="s">
        <v>170</v>
      </c>
      <c r="C337" s="65" t="s">
        <v>272</v>
      </c>
      <c r="D337" s="66">
        <v>0</v>
      </c>
      <c r="E337" s="65">
        <v>864000000</v>
      </c>
      <c r="F337" s="67">
        <v>0</v>
      </c>
      <c r="G337" s="68">
        <v>0</v>
      </c>
      <c r="H337" s="68">
        <v>0</v>
      </c>
      <c r="I337" s="68">
        <v>0</v>
      </c>
      <c r="J337" s="68">
        <v>0</v>
      </c>
      <c r="K337" s="68">
        <v>0</v>
      </c>
      <c r="L337" s="68">
        <v>0</v>
      </c>
      <c r="M337" s="68">
        <v>0</v>
      </c>
      <c r="N337" s="69">
        <v>0</v>
      </c>
      <c r="O337" s="65" t="str">
        <f>VLOOKUP(A337,Report_HQ1!$A$7:$C$95,3,FALSE)</f>
        <v>BV Hà Nam</v>
      </c>
      <c r="P337" s="40" t="str">
        <f>VLOOKUP(C337,Sheet1!$U$4:$V$14,2,FALSE)</f>
        <v>Tàu khác</v>
      </c>
      <c r="Q337" s="88">
        <f t="shared" si="5"/>
        <v>0</v>
      </c>
    </row>
    <row r="338" spans="1:17" x14ac:dyDescent="0.25">
      <c r="A338" s="85" t="s">
        <v>312</v>
      </c>
      <c r="B338" s="65" t="s">
        <v>170</v>
      </c>
      <c r="C338" s="65" t="s">
        <v>388</v>
      </c>
      <c r="D338" s="66">
        <v>0</v>
      </c>
      <c r="E338" s="65">
        <v>864000000</v>
      </c>
      <c r="F338" s="67">
        <v>0</v>
      </c>
      <c r="G338" s="68">
        <v>0</v>
      </c>
      <c r="H338" s="68">
        <v>0</v>
      </c>
      <c r="I338" s="68">
        <v>0</v>
      </c>
      <c r="J338" s="68">
        <v>0</v>
      </c>
      <c r="K338" s="68">
        <v>0</v>
      </c>
      <c r="L338" s="68">
        <v>0</v>
      </c>
      <c r="M338" s="68">
        <v>0</v>
      </c>
      <c r="N338" s="69">
        <v>0</v>
      </c>
      <c r="O338" s="65" t="str">
        <f>VLOOKUP(A338,Report_HQ1!$A$7:$C$95,3,FALSE)</f>
        <v>BV Hà Nam</v>
      </c>
      <c r="P338" s="40" t="str">
        <f>VLOOKUP(C338,Sheet1!$U$4:$V$14,2,FALSE)</f>
        <v>Hull (Thân tàu biển)</v>
      </c>
      <c r="Q338" s="88">
        <f t="shared" si="5"/>
        <v>0</v>
      </c>
    </row>
    <row r="339" spans="1:17" x14ac:dyDescent="0.25">
      <c r="A339" s="85" t="s">
        <v>312</v>
      </c>
      <c r="B339" s="65" t="s">
        <v>170</v>
      </c>
      <c r="C339" s="65" t="s">
        <v>23</v>
      </c>
      <c r="D339" s="66">
        <v>0</v>
      </c>
      <c r="E339" s="65">
        <v>864000000</v>
      </c>
      <c r="F339" s="67">
        <v>0</v>
      </c>
      <c r="G339" s="68">
        <v>0</v>
      </c>
      <c r="H339" s="68">
        <v>0</v>
      </c>
      <c r="I339" s="68">
        <v>0</v>
      </c>
      <c r="J339" s="68">
        <v>0</v>
      </c>
      <c r="K339" s="68">
        <v>0</v>
      </c>
      <c r="L339" s="68">
        <v>0</v>
      </c>
      <c r="M339" s="68">
        <v>0</v>
      </c>
      <c r="N339" s="69">
        <v>0</v>
      </c>
      <c r="O339" s="65" t="str">
        <f>VLOOKUP(A339,Report_HQ1!$A$7:$C$95,3,FALSE)</f>
        <v>BV Hà Nam</v>
      </c>
      <c r="P339" s="40" t="str">
        <f>VLOOKUP(C339,Sheet1!$U$4:$V$14,2,FALSE)</f>
        <v>P&amp;I</v>
      </c>
      <c r="Q339" s="88">
        <f t="shared" si="5"/>
        <v>0</v>
      </c>
    </row>
    <row r="340" spans="1:17" x14ac:dyDescent="0.25">
      <c r="A340" s="85" t="s">
        <v>312</v>
      </c>
      <c r="B340" s="65" t="s">
        <v>170</v>
      </c>
      <c r="C340" s="65" t="s">
        <v>389</v>
      </c>
      <c r="D340" s="66">
        <v>0</v>
      </c>
      <c r="E340" s="65">
        <v>864000000</v>
      </c>
      <c r="F340" s="67">
        <v>0</v>
      </c>
      <c r="G340" s="68">
        <v>0</v>
      </c>
      <c r="H340" s="68">
        <v>0</v>
      </c>
      <c r="I340" s="68">
        <v>0</v>
      </c>
      <c r="J340" s="68">
        <v>0</v>
      </c>
      <c r="K340" s="68">
        <v>0</v>
      </c>
      <c r="L340" s="68">
        <v>0</v>
      </c>
      <c r="M340" s="68">
        <v>0</v>
      </c>
      <c r="N340" s="69">
        <v>0</v>
      </c>
      <c r="O340" s="65" t="str">
        <f>VLOOKUP(A340,Report_HQ1!$A$7:$C$95,3,FALSE)</f>
        <v>BV Hà Nam</v>
      </c>
      <c r="P340" s="40" t="str">
        <f>VLOOKUP(C340,Sheet1!$U$4:$V$14,2,FALSE)</f>
        <v>BH Trách nhiệm</v>
      </c>
      <c r="Q340" s="88">
        <f t="shared" si="5"/>
        <v>0</v>
      </c>
    </row>
    <row r="341" spans="1:17" x14ac:dyDescent="0.25">
      <c r="A341" s="85" t="s">
        <v>312</v>
      </c>
      <c r="B341" s="65" t="s">
        <v>170</v>
      </c>
      <c r="C341" s="65" t="s">
        <v>390</v>
      </c>
      <c r="D341" s="66">
        <v>0</v>
      </c>
      <c r="E341" s="65">
        <v>864000000</v>
      </c>
      <c r="F341" s="67">
        <v>0</v>
      </c>
      <c r="G341" s="68">
        <v>0</v>
      </c>
      <c r="H341" s="68">
        <v>0</v>
      </c>
      <c r="I341" s="68">
        <v>0</v>
      </c>
      <c r="J341" s="68">
        <v>0</v>
      </c>
      <c r="K341" s="68">
        <v>0</v>
      </c>
      <c r="L341" s="68">
        <v>0</v>
      </c>
      <c r="M341" s="68">
        <v>0</v>
      </c>
      <c r="N341" s="69">
        <v>0</v>
      </c>
      <c r="O341" s="65" t="str">
        <f>VLOOKUP(A341,Report_HQ1!$A$7:$C$95,3,FALSE)</f>
        <v>BV Hà Nam</v>
      </c>
      <c r="P341" s="40" t="e">
        <f>VLOOKUP(C341,Sheet1!$U$4:$V$14,2,FALSE)</f>
        <v>#N/A</v>
      </c>
      <c r="Q341" s="88">
        <f t="shared" si="5"/>
        <v>0</v>
      </c>
    </row>
    <row r="342" spans="1:17" x14ac:dyDescent="0.25">
      <c r="A342" s="85" t="s">
        <v>312</v>
      </c>
      <c r="B342" s="65" t="s">
        <v>170</v>
      </c>
      <c r="C342" s="65" t="s">
        <v>391</v>
      </c>
      <c r="D342" s="66">
        <v>264919257</v>
      </c>
      <c r="E342" s="65">
        <v>864000000</v>
      </c>
      <c r="F342" s="67">
        <v>39745817.454164438</v>
      </c>
      <c r="G342" s="68">
        <v>0</v>
      </c>
      <c r="H342" s="68">
        <v>39745817.454164438</v>
      </c>
      <c r="I342" s="68">
        <v>0</v>
      </c>
      <c r="J342" s="68">
        <v>11763363</v>
      </c>
      <c r="K342" s="68">
        <v>5881681</v>
      </c>
      <c r="L342" s="68">
        <v>17165044</v>
      </c>
      <c r="M342" s="68">
        <v>13828035</v>
      </c>
      <c r="N342" s="69">
        <v>88383940.454164445</v>
      </c>
      <c r="O342" s="65" t="str">
        <f>VLOOKUP(A342,Report_HQ1!$A$7:$C$95,3,FALSE)</f>
        <v>BV Hà Nam</v>
      </c>
      <c r="P342" s="40" t="str">
        <f>VLOOKUP(C342,Sheet1!$U$4:$V$14,2,FALSE)</f>
        <v>BH Kỹ thuật</v>
      </c>
      <c r="Q342" s="88">
        <f t="shared" si="5"/>
        <v>88383940.454164445</v>
      </c>
    </row>
    <row r="343" spans="1:17" x14ac:dyDescent="0.25">
      <c r="A343" s="85" t="s">
        <v>312</v>
      </c>
      <c r="B343" s="65" t="s">
        <v>170</v>
      </c>
      <c r="C343" s="65" t="s">
        <v>392</v>
      </c>
      <c r="D343" s="66">
        <v>1344617671</v>
      </c>
      <c r="E343" s="65">
        <v>864000000</v>
      </c>
      <c r="F343" s="67">
        <v>201732894.40114102</v>
      </c>
      <c r="G343" s="68">
        <v>0</v>
      </c>
      <c r="H343" s="68">
        <v>201732894.40114102</v>
      </c>
      <c r="I343" s="68">
        <v>0</v>
      </c>
      <c r="J343" s="68">
        <v>39699551</v>
      </c>
      <c r="K343" s="68">
        <v>19849776</v>
      </c>
      <c r="L343" s="68">
        <v>164258229</v>
      </c>
      <c r="M343" s="68">
        <v>64013579</v>
      </c>
      <c r="N343" s="69">
        <v>489554029.40114105</v>
      </c>
      <c r="O343" s="65" t="str">
        <f>VLOOKUP(A343,Report_HQ1!$A$7:$C$95,3,FALSE)</f>
        <v>BV Hà Nam</v>
      </c>
      <c r="P343" s="40" t="str">
        <f>VLOOKUP(C343,Sheet1!$U$4:$V$14,2,FALSE)</f>
        <v>BH Tài sản</v>
      </c>
      <c r="Q343" s="88">
        <f t="shared" si="5"/>
        <v>489554029.40114105</v>
      </c>
    </row>
    <row r="344" spans="1:17" x14ac:dyDescent="0.25">
      <c r="A344" s="85" t="s">
        <v>312</v>
      </c>
      <c r="B344" s="65" t="s">
        <v>170</v>
      </c>
      <c r="C344" s="65" t="s">
        <v>393</v>
      </c>
      <c r="D344" s="66">
        <v>2327560754</v>
      </c>
      <c r="E344" s="65">
        <v>864000000</v>
      </c>
      <c r="F344" s="67">
        <v>349203775.85824698</v>
      </c>
      <c r="G344" s="68">
        <v>0</v>
      </c>
      <c r="H344" s="68">
        <v>349203775.85824698</v>
      </c>
      <c r="I344" s="68">
        <v>0</v>
      </c>
      <c r="J344" s="68">
        <v>210100769</v>
      </c>
      <c r="K344" s="68">
        <v>123541247</v>
      </c>
      <c r="L344" s="68">
        <v>179604365</v>
      </c>
      <c r="M344" s="68">
        <v>139109156</v>
      </c>
      <c r="N344" s="69">
        <v>1001559312.858247</v>
      </c>
      <c r="O344" s="65" t="str">
        <f>VLOOKUP(A344,Report_HQ1!$A$7:$C$95,3,FALSE)</f>
        <v>BV Hà Nam</v>
      </c>
      <c r="P344" s="40" t="str">
        <f>VLOOKUP(C344,Sheet1!$U$4:$V$14,2,FALSE)</f>
        <v>BH Xe cơ giới</v>
      </c>
      <c r="Q344" s="88">
        <f t="shared" si="5"/>
        <v>1001559312.858247</v>
      </c>
    </row>
    <row r="345" spans="1:17" x14ac:dyDescent="0.25">
      <c r="A345" s="85" t="s">
        <v>312</v>
      </c>
      <c r="B345" s="65" t="s">
        <v>170</v>
      </c>
      <c r="C345" s="65" t="s">
        <v>394</v>
      </c>
      <c r="D345" s="66">
        <v>1453737701</v>
      </c>
      <c r="E345" s="65">
        <v>864000000</v>
      </c>
      <c r="F345" s="67">
        <v>218104164.81042254</v>
      </c>
      <c r="G345" s="68">
        <v>0</v>
      </c>
      <c r="H345" s="68">
        <v>218104164.81042254</v>
      </c>
      <c r="I345" s="68">
        <v>507750</v>
      </c>
      <c r="J345" s="68">
        <v>180409292</v>
      </c>
      <c r="K345" s="68">
        <v>3069983</v>
      </c>
      <c r="L345" s="68">
        <v>63700577</v>
      </c>
      <c r="M345" s="68">
        <v>65449068</v>
      </c>
      <c r="N345" s="69">
        <v>531240834.81042254</v>
      </c>
      <c r="O345" s="65" t="str">
        <f>VLOOKUP(A345,Report_HQ1!$A$7:$C$95,3,FALSE)</f>
        <v>BV Hà Nam</v>
      </c>
      <c r="P345" s="40" t="str">
        <f>VLOOKUP(C345,Sheet1!$U$4:$V$14,2,FALSE)</f>
        <v>BH Con người</v>
      </c>
      <c r="Q345" s="88">
        <f t="shared" si="5"/>
        <v>531240834.81042254</v>
      </c>
    </row>
    <row r="346" spans="1:17" x14ac:dyDescent="0.25">
      <c r="A346" s="85" t="s">
        <v>312</v>
      </c>
      <c r="B346" s="65" t="s">
        <v>170</v>
      </c>
      <c r="C346" s="65" t="s">
        <v>395</v>
      </c>
      <c r="D346" s="66">
        <v>0</v>
      </c>
      <c r="E346" s="65">
        <v>864000000</v>
      </c>
      <c r="F346" s="67">
        <v>0</v>
      </c>
      <c r="G346" s="68">
        <v>0</v>
      </c>
      <c r="H346" s="68">
        <v>0</v>
      </c>
      <c r="I346" s="68">
        <v>0</v>
      </c>
      <c r="J346" s="68">
        <v>0</v>
      </c>
      <c r="K346" s="68">
        <v>0</v>
      </c>
      <c r="L346" s="68">
        <v>0</v>
      </c>
      <c r="M346" s="68">
        <v>0</v>
      </c>
      <c r="N346" s="69">
        <v>0</v>
      </c>
      <c r="O346" s="65" t="str">
        <f>VLOOKUP(A346,Report_HQ1!$A$7:$C$95,3,FALSE)</f>
        <v>BV Hà Nam</v>
      </c>
      <c r="P346" s="40" t="e">
        <f>VLOOKUP(C346,Sheet1!$U$4:$V$14,2,FALSE)</f>
        <v>#N/A</v>
      </c>
      <c r="Q346" s="88">
        <f t="shared" si="5"/>
        <v>0</v>
      </c>
    </row>
    <row r="347" spans="1:17" x14ac:dyDescent="0.25">
      <c r="A347" s="85" t="s">
        <v>312</v>
      </c>
      <c r="B347" s="65" t="s">
        <v>170</v>
      </c>
      <c r="C347" s="65" t="s">
        <v>396</v>
      </c>
      <c r="D347" s="66">
        <v>296393650</v>
      </c>
      <c r="E347" s="65">
        <v>864000000</v>
      </c>
      <c r="F347" s="67">
        <v>44467918.417397283</v>
      </c>
      <c r="G347" s="68">
        <v>0</v>
      </c>
      <c r="H347" s="68">
        <v>44467918.417397283</v>
      </c>
      <c r="I347" s="68">
        <v>0</v>
      </c>
      <c r="J347" s="68">
        <v>43247930</v>
      </c>
      <c r="K347" s="68">
        <v>18892245</v>
      </c>
      <c r="L347" s="68">
        <v>16737833</v>
      </c>
      <c r="M347" s="68">
        <v>18413071</v>
      </c>
      <c r="N347" s="69">
        <v>141758997.41739729</v>
      </c>
      <c r="O347" s="65" t="str">
        <f>VLOOKUP(A347,Report_HQ1!$A$7:$C$95,3,FALSE)</f>
        <v>BV Hà Nam</v>
      </c>
      <c r="P347" s="40" t="str">
        <f>VLOOKUP(C347,Sheet1!$U$4:$V$14,2,FALSE)</f>
        <v>BH Y tế</v>
      </c>
      <c r="Q347" s="88">
        <f t="shared" si="5"/>
        <v>141758997.41739729</v>
      </c>
    </row>
    <row r="348" spans="1:17" x14ac:dyDescent="0.25">
      <c r="A348" s="85" t="s">
        <v>312</v>
      </c>
      <c r="B348" s="65" t="s">
        <v>170</v>
      </c>
      <c r="C348" s="65" t="s">
        <v>397</v>
      </c>
      <c r="D348" s="66">
        <v>7369200</v>
      </c>
      <c r="E348" s="65">
        <v>864000000</v>
      </c>
      <c r="F348" s="67">
        <v>1105600.5565621399</v>
      </c>
      <c r="G348" s="68">
        <v>0</v>
      </c>
      <c r="H348" s="68">
        <v>1105600.5565621399</v>
      </c>
      <c r="I348" s="68">
        <v>0</v>
      </c>
      <c r="J348" s="68">
        <v>1473840</v>
      </c>
      <c r="K348" s="68">
        <v>1473840</v>
      </c>
      <c r="L348" s="68">
        <v>0</v>
      </c>
      <c r="M348" s="68">
        <v>589536</v>
      </c>
      <c r="N348" s="69">
        <v>4642816.5565621397</v>
      </c>
      <c r="O348" s="65" t="str">
        <f>VLOOKUP(A348,Report_HQ1!$A$7:$C$95,3,FALSE)</f>
        <v>BV Hà Nam</v>
      </c>
      <c r="P348" s="40" t="str">
        <f>VLOOKUP(C348,Sheet1!$U$4:$V$14,2,FALSE)</f>
        <v>BH Du lịch</v>
      </c>
      <c r="Q348" s="88">
        <f t="shared" si="5"/>
        <v>4642816.5565621397</v>
      </c>
    </row>
    <row r="349" spans="1:17" x14ac:dyDescent="0.25">
      <c r="A349" s="85" t="s">
        <v>313</v>
      </c>
      <c r="B349" s="65" t="s">
        <v>171</v>
      </c>
      <c r="C349" s="65" t="s">
        <v>387</v>
      </c>
      <c r="D349" s="66">
        <v>2982924424</v>
      </c>
      <c r="E349" s="65">
        <v>4355903260</v>
      </c>
      <c r="F349" s="67">
        <v>91142634.926401079</v>
      </c>
      <c r="G349" s="68">
        <v>0</v>
      </c>
      <c r="H349" s="68">
        <v>91142634.926401079</v>
      </c>
      <c r="I349" s="68">
        <v>0</v>
      </c>
      <c r="J349" s="68">
        <v>292324970</v>
      </c>
      <c r="K349" s="68">
        <v>146162485</v>
      </c>
      <c r="L349" s="68">
        <v>128268185</v>
      </c>
      <c r="M349" s="68">
        <v>238633955</v>
      </c>
      <c r="N349" s="69">
        <v>896532229.92640114</v>
      </c>
      <c r="O349" s="65" t="str">
        <f>VLOOKUP(A349,Report_HQ1!$A$7:$C$95,3,FALSE)</f>
        <v>BV Hà Nội</v>
      </c>
      <c r="P349" s="40" t="str">
        <f>VLOOKUP(C349,Sheet1!$U$4:$V$14,2,FALSE)</f>
        <v>BH Hàng hóa</v>
      </c>
      <c r="Q349" s="88">
        <f t="shared" si="5"/>
        <v>896532229.92640114</v>
      </c>
    </row>
    <row r="350" spans="1:17" x14ac:dyDescent="0.25">
      <c r="A350" s="85" t="s">
        <v>313</v>
      </c>
      <c r="B350" s="65" t="s">
        <v>171</v>
      </c>
      <c r="C350" s="65" t="s">
        <v>272</v>
      </c>
      <c r="D350" s="66">
        <v>0</v>
      </c>
      <c r="E350" s="65">
        <v>4355903260</v>
      </c>
      <c r="F350" s="67">
        <v>0</v>
      </c>
      <c r="G350" s="68">
        <v>0</v>
      </c>
      <c r="H350" s="68">
        <v>0</v>
      </c>
      <c r="I350" s="68">
        <v>0</v>
      </c>
      <c r="J350" s="68">
        <v>0</v>
      </c>
      <c r="K350" s="68">
        <v>0</v>
      </c>
      <c r="L350" s="68">
        <v>0</v>
      </c>
      <c r="M350" s="68">
        <v>0</v>
      </c>
      <c r="N350" s="69">
        <v>0</v>
      </c>
      <c r="O350" s="65" t="str">
        <f>VLOOKUP(A350,Report_HQ1!$A$7:$C$95,3,FALSE)</f>
        <v>BV Hà Nội</v>
      </c>
      <c r="P350" s="40" t="str">
        <f>VLOOKUP(C350,Sheet1!$U$4:$V$14,2,FALSE)</f>
        <v>Tàu khác</v>
      </c>
      <c r="Q350" s="88">
        <f t="shared" si="5"/>
        <v>0</v>
      </c>
    </row>
    <row r="351" spans="1:17" x14ac:dyDescent="0.25">
      <c r="A351" s="85" t="s">
        <v>313</v>
      </c>
      <c r="B351" s="65" t="s">
        <v>171</v>
      </c>
      <c r="C351" s="65" t="s">
        <v>388</v>
      </c>
      <c r="D351" s="66">
        <v>158980801</v>
      </c>
      <c r="E351" s="65">
        <v>4355903260</v>
      </c>
      <c r="F351" s="67">
        <v>4857625.2851955667</v>
      </c>
      <c r="G351" s="68">
        <v>0</v>
      </c>
      <c r="H351" s="68">
        <v>4857625.2851955667</v>
      </c>
      <c r="I351" s="68">
        <v>794904</v>
      </c>
      <c r="J351" s="68">
        <v>7949040</v>
      </c>
      <c r="K351" s="68">
        <v>3974520</v>
      </c>
      <c r="L351" s="68">
        <v>0</v>
      </c>
      <c r="M351" s="68">
        <v>4769424</v>
      </c>
      <c r="N351" s="69">
        <v>22345513.285195567</v>
      </c>
      <c r="O351" s="65" t="str">
        <f>VLOOKUP(A351,Report_HQ1!$A$7:$C$95,3,FALSE)</f>
        <v>BV Hà Nội</v>
      </c>
      <c r="P351" s="40" t="str">
        <f>VLOOKUP(C351,Sheet1!$U$4:$V$14,2,FALSE)</f>
        <v>Hull (Thân tàu biển)</v>
      </c>
      <c r="Q351" s="88">
        <f t="shared" si="5"/>
        <v>22345513.285195567</v>
      </c>
    </row>
    <row r="352" spans="1:17" x14ac:dyDescent="0.25">
      <c r="A352" s="85" t="s">
        <v>313</v>
      </c>
      <c r="B352" s="65" t="s">
        <v>171</v>
      </c>
      <c r="C352" s="65" t="s">
        <v>23</v>
      </c>
      <c r="D352" s="66">
        <v>681611013</v>
      </c>
      <c r="E352" s="65">
        <v>4355903260</v>
      </c>
      <c r="F352" s="67">
        <v>20826482.635576632</v>
      </c>
      <c r="G352" s="68">
        <v>0</v>
      </c>
      <c r="H352" s="68">
        <v>20826482.635576632</v>
      </c>
      <c r="I352" s="68">
        <v>0</v>
      </c>
      <c r="J352" s="68">
        <v>34080551</v>
      </c>
      <c r="K352" s="68">
        <v>17040275</v>
      </c>
      <c r="L352" s="68">
        <v>0</v>
      </c>
      <c r="M352" s="68">
        <v>20448330</v>
      </c>
      <c r="N352" s="69">
        <v>92395638.635576636</v>
      </c>
      <c r="O352" s="65" t="str">
        <f>VLOOKUP(A352,Report_HQ1!$A$7:$C$95,3,FALSE)</f>
        <v>BV Hà Nội</v>
      </c>
      <c r="P352" s="40" t="str">
        <f>VLOOKUP(C352,Sheet1!$U$4:$V$14,2,FALSE)</f>
        <v>P&amp;I</v>
      </c>
      <c r="Q352" s="88">
        <f t="shared" si="5"/>
        <v>92395638.635576636</v>
      </c>
    </row>
    <row r="353" spans="1:17" x14ac:dyDescent="0.25">
      <c r="A353" s="85" t="s">
        <v>313</v>
      </c>
      <c r="B353" s="65" t="s">
        <v>171</v>
      </c>
      <c r="C353" s="65" t="s">
        <v>389</v>
      </c>
      <c r="D353" s="66">
        <v>2907848627</v>
      </c>
      <c r="E353" s="65">
        <v>4355903260</v>
      </c>
      <c r="F353" s="67">
        <v>88848709.574915335</v>
      </c>
      <c r="G353" s="68">
        <v>0</v>
      </c>
      <c r="H353" s="68">
        <v>88848709.574915335</v>
      </c>
      <c r="I353" s="68">
        <v>0</v>
      </c>
      <c r="J353" s="68">
        <v>155831717</v>
      </c>
      <c r="K353" s="68">
        <v>66361661</v>
      </c>
      <c r="L353" s="68">
        <v>257132155</v>
      </c>
      <c r="M353" s="68">
        <v>216649228</v>
      </c>
      <c r="N353" s="69">
        <v>784823470.57491541</v>
      </c>
      <c r="O353" s="65" t="str">
        <f>VLOOKUP(A353,Report_HQ1!$A$7:$C$95,3,FALSE)</f>
        <v>BV Hà Nội</v>
      </c>
      <c r="P353" s="40" t="str">
        <f>VLOOKUP(C353,Sheet1!$U$4:$V$14,2,FALSE)</f>
        <v>BH Trách nhiệm</v>
      </c>
      <c r="Q353" s="88">
        <f t="shared" si="5"/>
        <v>784823470.57491541</v>
      </c>
    </row>
    <row r="354" spans="1:17" x14ac:dyDescent="0.25">
      <c r="A354" s="85" t="s">
        <v>313</v>
      </c>
      <c r="B354" s="65" t="s">
        <v>171</v>
      </c>
      <c r="C354" s="65" t="s">
        <v>390</v>
      </c>
      <c r="D354" s="66">
        <v>14951596837</v>
      </c>
      <c r="E354" s="65">
        <v>4355903260</v>
      </c>
      <c r="F354" s="67">
        <v>456842929.41423321</v>
      </c>
      <c r="G354" s="68">
        <v>0</v>
      </c>
      <c r="H354" s="68">
        <v>456842929.41423321</v>
      </c>
      <c r="I354" s="68">
        <v>0</v>
      </c>
      <c r="J354" s="68">
        <v>0</v>
      </c>
      <c r="K354" s="68">
        <v>0</v>
      </c>
      <c r="L354" s="68">
        <v>1789706142</v>
      </c>
      <c r="M354" s="68">
        <v>378275400</v>
      </c>
      <c r="N354" s="69">
        <v>2624824471.4142332</v>
      </c>
      <c r="O354" s="65" t="str">
        <f>VLOOKUP(A354,Report_HQ1!$A$7:$C$95,3,FALSE)</f>
        <v>BV Hà Nội</v>
      </c>
      <c r="P354" s="40" t="e">
        <f>VLOOKUP(C354,Sheet1!$U$4:$V$14,2,FALSE)</f>
        <v>#N/A</v>
      </c>
      <c r="Q354" s="88">
        <f t="shared" si="5"/>
        <v>2624824471.4142332</v>
      </c>
    </row>
    <row r="355" spans="1:17" x14ac:dyDescent="0.25">
      <c r="A355" s="85" t="s">
        <v>313</v>
      </c>
      <c r="B355" s="65" t="s">
        <v>171</v>
      </c>
      <c r="C355" s="65" t="s">
        <v>391</v>
      </c>
      <c r="D355" s="66">
        <v>13324504439</v>
      </c>
      <c r="E355" s="65">
        <v>4355903260</v>
      </c>
      <c r="F355" s="67">
        <v>407127459.84709793</v>
      </c>
      <c r="G355" s="68">
        <v>0</v>
      </c>
      <c r="H355" s="68">
        <v>407127459.84709793</v>
      </c>
      <c r="I355" s="68">
        <v>0</v>
      </c>
      <c r="J355" s="68">
        <v>555119372</v>
      </c>
      <c r="K355" s="68">
        <v>31410342</v>
      </c>
      <c r="L355" s="68">
        <v>1935878869</v>
      </c>
      <c r="M355" s="68">
        <v>483968730</v>
      </c>
      <c r="N355" s="69">
        <v>3413504772.8470979</v>
      </c>
      <c r="O355" s="65" t="str">
        <f>VLOOKUP(A355,Report_HQ1!$A$7:$C$95,3,FALSE)</f>
        <v>BV Hà Nội</v>
      </c>
      <c r="P355" s="40" t="str">
        <f>VLOOKUP(C355,Sheet1!$U$4:$V$14,2,FALSE)</f>
        <v>BH Kỹ thuật</v>
      </c>
      <c r="Q355" s="88">
        <f t="shared" si="5"/>
        <v>3413504772.8470979</v>
      </c>
    </row>
    <row r="356" spans="1:17" x14ac:dyDescent="0.25">
      <c r="A356" s="85" t="s">
        <v>313</v>
      </c>
      <c r="B356" s="65" t="s">
        <v>171</v>
      </c>
      <c r="C356" s="65" t="s">
        <v>392</v>
      </c>
      <c r="D356" s="66">
        <v>12315686985</v>
      </c>
      <c r="E356" s="65">
        <v>4355903260</v>
      </c>
      <c r="F356" s="67">
        <v>376303252.50965333</v>
      </c>
      <c r="G356" s="68">
        <v>0</v>
      </c>
      <c r="H356" s="68">
        <v>376303252.50965333</v>
      </c>
      <c r="I356" s="68">
        <v>0</v>
      </c>
      <c r="J356" s="68">
        <v>771631609</v>
      </c>
      <c r="K356" s="68">
        <v>198095598</v>
      </c>
      <c r="L356" s="68">
        <v>926046712</v>
      </c>
      <c r="M356" s="68">
        <v>543702176</v>
      </c>
      <c r="N356" s="69">
        <v>2815779347.5096531</v>
      </c>
      <c r="O356" s="65" t="str">
        <f>VLOOKUP(A356,Report_HQ1!$A$7:$C$95,3,FALSE)</f>
        <v>BV Hà Nội</v>
      </c>
      <c r="P356" s="40" t="str">
        <f>VLOOKUP(C356,Sheet1!$U$4:$V$14,2,FALSE)</f>
        <v>BH Tài sản</v>
      </c>
      <c r="Q356" s="88">
        <f t="shared" si="5"/>
        <v>2815779347.5096531</v>
      </c>
    </row>
    <row r="357" spans="1:17" x14ac:dyDescent="0.25">
      <c r="A357" s="85" t="s">
        <v>313</v>
      </c>
      <c r="B357" s="65" t="s">
        <v>171</v>
      </c>
      <c r="C357" s="65" t="s">
        <v>393</v>
      </c>
      <c r="D357" s="66">
        <v>19176240510</v>
      </c>
      <c r="E357" s="65">
        <v>4355903260</v>
      </c>
      <c r="F357" s="67">
        <v>585926037.54944921</v>
      </c>
      <c r="G357" s="68">
        <v>0</v>
      </c>
      <c r="H357" s="68">
        <v>585926037.54944921</v>
      </c>
      <c r="I357" s="68">
        <v>0</v>
      </c>
      <c r="J357" s="68">
        <v>1665244000</v>
      </c>
      <c r="K357" s="68">
        <v>831337670</v>
      </c>
      <c r="L357" s="68">
        <v>2436068351</v>
      </c>
      <c r="M357" s="68">
        <v>1053258017</v>
      </c>
      <c r="N357" s="69">
        <v>6571834075.549449</v>
      </c>
      <c r="O357" s="65" t="str">
        <f>VLOOKUP(A357,Report_HQ1!$A$7:$C$95,3,FALSE)</f>
        <v>BV Hà Nội</v>
      </c>
      <c r="P357" s="40" t="str">
        <f>VLOOKUP(C357,Sheet1!$U$4:$V$14,2,FALSE)</f>
        <v>BH Xe cơ giới</v>
      </c>
      <c r="Q357" s="88">
        <f t="shared" si="5"/>
        <v>6571834075.549449</v>
      </c>
    </row>
    <row r="358" spans="1:17" x14ac:dyDescent="0.25">
      <c r="A358" s="85" t="s">
        <v>313</v>
      </c>
      <c r="B358" s="65" t="s">
        <v>171</v>
      </c>
      <c r="C358" s="65" t="s">
        <v>394</v>
      </c>
      <c r="D358" s="66">
        <v>6730322323</v>
      </c>
      <c r="E358" s="65">
        <v>4355903260</v>
      </c>
      <c r="F358" s="67">
        <v>205643597.76826736</v>
      </c>
      <c r="G358" s="68">
        <v>0</v>
      </c>
      <c r="H358" s="68">
        <v>205643597.76826736</v>
      </c>
      <c r="I358" s="68">
        <v>11466500</v>
      </c>
      <c r="J358" s="68">
        <v>1241054451</v>
      </c>
      <c r="K358" s="68">
        <v>163469685</v>
      </c>
      <c r="L358" s="68">
        <v>184622279</v>
      </c>
      <c r="M358" s="68">
        <v>383131777</v>
      </c>
      <c r="N358" s="69">
        <v>2189388289.7682676</v>
      </c>
      <c r="O358" s="65" t="str">
        <f>VLOOKUP(A358,Report_HQ1!$A$7:$C$95,3,FALSE)</f>
        <v>BV Hà Nội</v>
      </c>
      <c r="P358" s="40" t="str">
        <f>VLOOKUP(C358,Sheet1!$U$4:$V$14,2,FALSE)</f>
        <v>BH Con người</v>
      </c>
      <c r="Q358" s="88">
        <f t="shared" si="5"/>
        <v>2189388289.7682676</v>
      </c>
    </row>
    <row r="359" spans="1:17" x14ac:dyDescent="0.25">
      <c r="A359" s="85" t="s">
        <v>313</v>
      </c>
      <c r="B359" s="65" t="s">
        <v>171</v>
      </c>
      <c r="C359" s="65" t="s">
        <v>395</v>
      </c>
      <c r="D359" s="66">
        <v>0</v>
      </c>
      <c r="E359" s="65">
        <v>4355903260</v>
      </c>
      <c r="F359" s="67">
        <v>0</v>
      </c>
      <c r="G359" s="68">
        <v>0</v>
      </c>
      <c r="H359" s="68">
        <v>0</v>
      </c>
      <c r="I359" s="68">
        <v>0</v>
      </c>
      <c r="J359" s="68">
        <v>0</v>
      </c>
      <c r="K359" s="68">
        <v>0</v>
      </c>
      <c r="L359" s="68">
        <v>0</v>
      </c>
      <c r="M359" s="68">
        <v>0</v>
      </c>
      <c r="N359" s="69">
        <v>0</v>
      </c>
      <c r="O359" s="65" t="str">
        <f>VLOOKUP(A359,Report_HQ1!$A$7:$C$95,3,FALSE)</f>
        <v>BV Hà Nội</v>
      </c>
      <c r="P359" s="40" t="e">
        <f>VLOOKUP(C359,Sheet1!$U$4:$V$14,2,FALSE)</f>
        <v>#N/A</v>
      </c>
      <c r="Q359" s="88">
        <f t="shared" si="5"/>
        <v>0</v>
      </c>
    </row>
    <row r="360" spans="1:17" x14ac:dyDescent="0.25">
      <c r="A360" s="85" t="s">
        <v>313</v>
      </c>
      <c r="B360" s="65" t="s">
        <v>171</v>
      </c>
      <c r="C360" s="65" t="s">
        <v>396</v>
      </c>
      <c r="D360" s="66">
        <v>67009805194</v>
      </c>
      <c r="E360" s="65">
        <v>4355903260</v>
      </c>
      <c r="F360" s="67">
        <v>2047470650.6630545</v>
      </c>
      <c r="G360" s="68">
        <v>0</v>
      </c>
      <c r="H360" s="68">
        <v>2047470650.6630545</v>
      </c>
      <c r="I360" s="68">
        <v>0</v>
      </c>
      <c r="J360" s="68">
        <v>5497540993</v>
      </c>
      <c r="K360" s="68">
        <v>1087178218</v>
      </c>
      <c r="L360" s="68">
        <v>120340498</v>
      </c>
      <c r="M360" s="68">
        <v>1990597329</v>
      </c>
      <c r="N360" s="69">
        <v>10743127688.663055</v>
      </c>
      <c r="O360" s="65" t="str">
        <f>VLOOKUP(A360,Report_HQ1!$A$7:$C$95,3,FALSE)</f>
        <v>BV Hà Nội</v>
      </c>
      <c r="P360" s="40" t="str">
        <f>VLOOKUP(C360,Sheet1!$U$4:$V$14,2,FALSE)</f>
        <v>BH Y tế</v>
      </c>
      <c r="Q360" s="88">
        <f t="shared" si="5"/>
        <v>10743127688.663055</v>
      </c>
    </row>
    <row r="361" spans="1:17" x14ac:dyDescent="0.25">
      <c r="A361" s="85" t="s">
        <v>313</v>
      </c>
      <c r="B361" s="65" t="s">
        <v>171</v>
      </c>
      <c r="C361" s="65" t="s">
        <v>397</v>
      </c>
      <c r="D361" s="66">
        <v>2320875892</v>
      </c>
      <c r="E361" s="65">
        <v>4355903260</v>
      </c>
      <c r="F361" s="67">
        <v>70913879.826155946</v>
      </c>
      <c r="G361" s="68">
        <v>0</v>
      </c>
      <c r="H361" s="68">
        <v>70913879.826155946</v>
      </c>
      <c r="I361" s="68">
        <v>0</v>
      </c>
      <c r="J361" s="68">
        <v>464175178</v>
      </c>
      <c r="K361" s="68">
        <v>464175178</v>
      </c>
      <c r="L361" s="68">
        <v>0</v>
      </c>
      <c r="M361" s="68">
        <v>185670072</v>
      </c>
      <c r="N361" s="69">
        <v>1184934307.8261559</v>
      </c>
      <c r="O361" s="65" t="str">
        <f>VLOOKUP(A361,Report_HQ1!$A$7:$C$95,3,FALSE)</f>
        <v>BV Hà Nội</v>
      </c>
      <c r="P361" s="40" t="str">
        <f>VLOOKUP(C361,Sheet1!$U$4:$V$14,2,FALSE)</f>
        <v>BH Du lịch</v>
      </c>
      <c r="Q361" s="88">
        <f t="shared" si="5"/>
        <v>1184934307.8261559</v>
      </c>
    </row>
    <row r="362" spans="1:17" x14ac:dyDescent="0.25">
      <c r="A362" s="85" t="s">
        <v>306</v>
      </c>
      <c r="B362" s="65" t="s">
        <v>164</v>
      </c>
      <c r="C362" s="65" t="s">
        <v>387</v>
      </c>
      <c r="D362" s="66">
        <v>216572855</v>
      </c>
      <c r="E362" s="65">
        <v>2520902221</v>
      </c>
      <c r="F362" s="67">
        <v>10563414.652257709</v>
      </c>
      <c r="G362" s="68">
        <v>0</v>
      </c>
      <c r="H362" s="68">
        <v>10563414.652257709</v>
      </c>
      <c r="I362" s="68">
        <v>0</v>
      </c>
      <c r="J362" s="68">
        <v>5984173</v>
      </c>
      <c r="K362" s="68">
        <v>2992086</v>
      </c>
      <c r="L362" s="68">
        <v>32172584</v>
      </c>
      <c r="M362" s="68">
        <v>17325828</v>
      </c>
      <c r="N362" s="69">
        <v>69038085.652257711</v>
      </c>
      <c r="O362" s="65" t="str">
        <f>VLOOKUP(A362,Report_HQ1!$A$7:$C$95,3,FALSE)</f>
        <v>BV Đông Đô</v>
      </c>
      <c r="P362" s="40" t="str">
        <f>VLOOKUP(C362,Sheet1!$U$4:$V$14,2,FALSE)</f>
        <v>BH Hàng hóa</v>
      </c>
      <c r="Q362" s="88">
        <f t="shared" si="5"/>
        <v>69038085.652257711</v>
      </c>
    </row>
    <row r="363" spans="1:17" x14ac:dyDescent="0.25">
      <c r="A363" s="85" t="s">
        <v>306</v>
      </c>
      <c r="B363" s="65" t="s">
        <v>164</v>
      </c>
      <c r="C363" s="65" t="s">
        <v>272</v>
      </c>
      <c r="D363" s="66">
        <v>0</v>
      </c>
      <c r="E363" s="65">
        <v>2520902221</v>
      </c>
      <c r="F363" s="67">
        <v>0</v>
      </c>
      <c r="G363" s="68">
        <v>0</v>
      </c>
      <c r="H363" s="68">
        <v>0</v>
      </c>
      <c r="I363" s="68">
        <v>0</v>
      </c>
      <c r="J363" s="68">
        <v>0</v>
      </c>
      <c r="K363" s="68">
        <v>0</v>
      </c>
      <c r="L363" s="68">
        <v>0</v>
      </c>
      <c r="M363" s="68">
        <v>0</v>
      </c>
      <c r="N363" s="69">
        <v>0</v>
      </c>
      <c r="O363" s="65" t="str">
        <f>VLOOKUP(A363,Report_HQ1!$A$7:$C$95,3,FALSE)</f>
        <v>BV Đông Đô</v>
      </c>
      <c r="P363" s="40" t="str">
        <f>VLOOKUP(C363,Sheet1!$U$4:$V$14,2,FALSE)</f>
        <v>Tàu khác</v>
      </c>
      <c r="Q363" s="88">
        <f t="shared" si="5"/>
        <v>0</v>
      </c>
    </row>
    <row r="364" spans="1:17" x14ac:dyDescent="0.25">
      <c r="A364" s="85" t="s">
        <v>306</v>
      </c>
      <c r="B364" s="65" t="s">
        <v>164</v>
      </c>
      <c r="C364" s="65" t="s">
        <v>388</v>
      </c>
      <c r="D364" s="66">
        <v>0</v>
      </c>
      <c r="E364" s="65">
        <v>2520902221</v>
      </c>
      <c r="F364" s="67">
        <v>0</v>
      </c>
      <c r="G364" s="68">
        <v>0</v>
      </c>
      <c r="H364" s="68">
        <v>0</v>
      </c>
      <c r="I364" s="68">
        <v>0</v>
      </c>
      <c r="J364" s="68">
        <v>0</v>
      </c>
      <c r="K364" s="68">
        <v>0</v>
      </c>
      <c r="L364" s="68">
        <v>0</v>
      </c>
      <c r="M364" s="68">
        <v>0</v>
      </c>
      <c r="N364" s="69">
        <v>0</v>
      </c>
      <c r="O364" s="65" t="str">
        <f>VLOOKUP(A364,Report_HQ1!$A$7:$C$95,3,FALSE)</f>
        <v>BV Đông Đô</v>
      </c>
      <c r="P364" s="40" t="str">
        <f>VLOOKUP(C364,Sheet1!$U$4:$V$14,2,FALSE)</f>
        <v>Hull (Thân tàu biển)</v>
      </c>
      <c r="Q364" s="88">
        <f t="shared" si="5"/>
        <v>0</v>
      </c>
    </row>
    <row r="365" spans="1:17" x14ac:dyDescent="0.25">
      <c r="A365" s="85" t="s">
        <v>306</v>
      </c>
      <c r="B365" s="65" t="s">
        <v>164</v>
      </c>
      <c r="C365" s="65" t="s">
        <v>23</v>
      </c>
      <c r="D365" s="66">
        <v>0</v>
      </c>
      <c r="E365" s="65">
        <v>2520902221</v>
      </c>
      <c r="F365" s="67">
        <v>0</v>
      </c>
      <c r="G365" s="68">
        <v>0</v>
      </c>
      <c r="H365" s="68">
        <v>0</v>
      </c>
      <c r="I365" s="68">
        <v>0</v>
      </c>
      <c r="J365" s="68">
        <v>0</v>
      </c>
      <c r="K365" s="68">
        <v>0</v>
      </c>
      <c r="L365" s="68">
        <v>0</v>
      </c>
      <c r="M365" s="68">
        <v>0</v>
      </c>
      <c r="N365" s="69">
        <v>0</v>
      </c>
      <c r="O365" s="65" t="str">
        <f>VLOOKUP(A365,Report_HQ1!$A$7:$C$95,3,FALSE)</f>
        <v>BV Đông Đô</v>
      </c>
      <c r="P365" s="40" t="str">
        <f>VLOOKUP(C365,Sheet1!$U$4:$V$14,2,FALSE)</f>
        <v>P&amp;I</v>
      </c>
      <c r="Q365" s="88">
        <f t="shared" si="5"/>
        <v>0</v>
      </c>
    </row>
    <row r="366" spans="1:17" x14ac:dyDescent="0.25">
      <c r="A366" s="85" t="s">
        <v>306</v>
      </c>
      <c r="B366" s="65" t="s">
        <v>164</v>
      </c>
      <c r="C366" s="65" t="s">
        <v>389</v>
      </c>
      <c r="D366" s="66">
        <v>380272394</v>
      </c>
      <c r="E366" s="65">
        <v>2520902221</v>
      </c>
      <c r="F366" s="67">
        <v>18547915.336059622</v>
      </c>
      <c r="G366" s="68">
        <v>0</v>
      </c>
      <c r="H366" s="68">
        <v>18547915.336059622</v>
      </c>
      <c r="I366" s="68">
        <v>0</v>
      </c>
      <c r="J366" s="68">
        <v>15456936</v>
      </c>
      <c r="K366" s="68">
        <v>10049555</v>
      </c>
      <c r="L366" s="68">
        <v>95420</v>
      </c>
      <c r="M366" s="68">
        <v>10556485</v>
      </c>
      <c r="N366" s="69">
        <v>54706311.336059622</v>
      </c>
      <c r="O366" s="65" t="str">
        <f>VLOOKUP(A366,Report_HQ1!$A$7:$C$95,3,FALSE)</f>
        <v>BV Đông Đô</v>
      </c>
      <c r="P366" s="40" t="str">
        <f>VLOOKUP(C366,Sheet1!$U$4:$V$14,2,FALSE)</f>
        <v>BH Trách nhiệm</v>
      </c>
      <c r="Q366" s="88">
        <f t="shared" si="5"/>
        <v>54706311.336059622</v>
      </c>
    </row>
    <row r="367" spans="1:17" x14ac:dyDescent="0.25">
      <c r="A367" s="85" t="s">
        <v>306</v>
      </c>
      <c r="B367" s="65" t="s">
        <v>164</v>
      </c>
      <c r="C367" s="65" t="s">
        <v>390</v>
      </c>
      <c r="D367" s="66">
        <v>0</v>
      </c>
      <c r="E367" s="65">
        <v>2520902221</v>
      </c>
      <c r="F367" s="67">
        <v>0</v>
      </c>
      <c r="G367" s="68">
        <v>0</v>
      </c>
      <c r="H367" s="68">
        <v>0</v>
      </c>
      <c r="I367" s="68">
        <v>0</v>
      </c>
      <c r="J367" s="68">
        <v>0</v>
      </c>
      <c r="K367" s="68">
        <v>0</v>
      </c>
      <c r="L367" s="68">
        <v>0</v>
      </c>
      <c r="M367" s="68">
        <v>0</v>
      </c>
      <c r="N367" s="69">
        <v>0</v>
      </c>
      <c r="O367" s="65" t="str">
        <f>VLOOKUP(A367,Report_HQ1!$A$7:$C$95,3,FALSE)</f>
        <v>BV Đông Đô</v>
      </c>
      <c r="P367" s="40" t="e">
        <f>VLOOKUP(C367,Sheet1!$U$4:$V$14,2,FALSE)</f>
        <v>#N/A</v>
      </c>
      <c r="Q367" s="88">
        <f t="shared" si="5"/>
        <v>0</v>
      </c>
    </row>
    <row r="368" spans="1:17" x14ac:dyDescent="0.25">
      <c r="A368" s="85" t="s">
        <v>306</v>
      </c>
      <c r="B368" s="65" t="s">
        <v>164</v>
      </c>
      <c r="C368" s="65" t="s">
        <v>391</v>
      </c>
      <c r="D368" s="66">
        <v>2656775572</v>
      </c>
      <c r="E368" s="65">
        <v>2520902221</v>
      </c>
      <c r="F368" s="67">
        <v>129585132.01031201</v>
      </c>
      <c r="G368" s="68">
        <v>0</v>
      </c>
      <c r="H368" s="68">
        <v>129585132.01031201</v>
      </c>
      <c r="I368" s="68">
        <v>0</v>
      </c>
      <c r="J368" s="68">
        <v>61863466</v>
      </c>
      <c r="K368" s="68">
        <v>30931733</v>
      </c>
      <c r="L368" s="68">
        <v>19853545</v>
      </c>
      <c r="M368" s="68">
        <v>37563373</v>
      </c>
      <c r="N368" s="69">
        <v>279797249.01031202</v>
      </c>
      <c r="O368" s="65" t="str">
        <f>VLOOKUP(A368,Report_HQ1!$A$7:$C$95,3,FALSE)</f>
        <v>BV Đông Đô</v>
      </c>
      <c r="P368" s="40" t="str">
        <f>VLOOKUP(C368,Sheet1!$U$4:$V$14,2,FALSE)</f>
        <v>BH Kỹ thuật</v>
      </c>
      <c r="Q368" s="88">
        <f t="shared" si="5"/>
        <v>279797249.01031202</v>
      </c>
    </row>
    <row r="369" spans="1:17" x14ac:dyDescent="0.25">
      <c r="A369" s="85" t="s">
        <v>306</v>
      </c>
      <c r="B369" s="65" t="s">
        <v>164</v>
      </c>
      <c r="C369" s="65" t="s">
        <v>392</v>
      </c>
      <c r="D369" s="66">
        <v>3771338371</v>
      </c>
      <c r="E369" s="65">
        <v>2520902221</v>
      </c>
      <c r="F369" s="67">
        <v>183948311.55937397</v>
      </c>
      <c r="G369" s="68">
        <v>0</v>
      </c>
      <c r="H369" s="68">
        <v>183948311.55937397</v>
      </c>
      <c r="I369" s="68">
        <v>0</v>
      </c>
      <c r="J369" s="68">
        <v>3504599</v>
      </c>
      <c r="K369" s="68">
        <v>1752299</v>
      </c>
      <c r="L369" s="68">
        <v>476418454</v>
      </c>
      <c r="M369" s="68">
        <v>151685615</v>
      </c>
      <c r="N369" s="69">
        <v>817309278.55937397</v>
      </c>
      <c r="O369" s="65" t="str">
        <f>VLOOKUP(A369,Report_HQ1!$A$7:$C$95,3,FALSE)</f>
        <v>BV Đông Đô</v>
      </c>
      <c r="P369" s="40" t="str">
        <f>VLOOKUP(C369,Sheet1!$U$4:$V$14,2,FALSE)</f>
        <v>BH Tài sản</v>
      </c>
      <c r="Q369" s="88">
        <f t="shared" si="5"/>
        <v>817309278.55937397</v>
      </c>
    </row>
    <row r="370" spans="1:17" x14ac:dyDescent="0.25">
      <c r="A370" s="85" t="s">
        <v>306</v>
      </c>
      <c r="B370" s="65" t="s">
        <v>164</v>
      </c>
      <c r="C370" s="65" t="s">
        <v>393</v>
      </c>
      <c r="D370" s="66">
        <v>21682611873</v>
      </c>
      <c r="E370" s="65">
        <v>2520902221</v>
      </c>
      <c r="F370" s="67">
        <v>1057576767.6815507</v>
      </c>
      <c r="G370" s="68">
        <v>0</v>
      </c>
      <c r="H370" s="68">
        <v>1057576767.6815507</v>
      </c>
      <c r="I370" s="68">
        <v>0</v>
      </c>
      <c r="J370" s="68">
        <v>2014125247</v>
      </c>
      <c r="K370" s="68">
        <v>1009221953</v>
      </c>
      <c r="L370" s="68">
        <v>2056398715</v>
      </c>
      <c r="M370" s="68">
        <v>1218395574</v>
      </c>
      <c r="N370" s="69">
        <v>7355718256.681551</v>
      </c>
      <c r="O370" s="65" t="str">
        <f>VLOOKUP(A370,Report_HQ1!$A$7:$C$95,3,FALSE)</f>
        <v>BV Đông Đô</v>
      </c>
      <c r="P370" s="40" t="str">
        <f>VLOOKUP(C370,Sheet1!$U$4:$V$14,2,FALSE)</f>
        <v>BH Xe cơ giới</v>
      </c>
      <c r="Q370" s="88">
        <f t="shared" si="5"/>
        <v>7355718256.681551</v>
      </c>
    </row>
    <row r="371" spans="1:17" x14ac:dyDescent="0.25">
      <c r="A371" s="85" t="s">
        <v>306</v>
      </c>
      <c r="B371" s="65" t="s">
        <v>164</v>
      </c>
      <c r="C371" s="65" t="s">
        <v>394</v>
      </c>
      <c r="D371" s="66">
        <v>4212969063</v>
      </c>
      <c r="E371" s="65">
        <v>2520902221</v>
      </c>
      <c r="F371" s="67">
        <v>205488998.74641553</v>
      </c>
      <c r="G371" s="68">
        <v>0</v>
      </c>
      <c r="H371" s="68">
        <v>205488998.74641553</v>
      </c>
      <c r="I371" s="68">
        <v>1665000</v>
      </c>
      <c r="J371" s="68">
        <v>595602962</v>
      </c>
      <c r="K371" s="68">
        <v>14901424</v>
      </c>
      <c r="L371" s="68">
        <v>137915882</v>
      </c>
      <c r="M371" s="68">
        <v>211334411</v>
      </c>
      <c r="N371" s="69">
        <v>1166908677.7464156</v>
      </c>
      <c r="O371" s="65" t="str">
        <f>VLOOKUP(A371,Report_HQ1!$A$7:$C$95,3,FALSE)</f>
        <v>BV Đông Đô</v>
      </c>
      <c r="P371" s="40" t="str">
        <f>VLOOKUP(C371,Sheet1!$U$4:$V$14,2,FALSE)</f>
        <v>BH Con người</v>
      </c>
      <c r="Q371" s="88">
        <f t="shared" si="5"/>
        <v>1166908677.7464156</v>
      </c>
    </row>
    <row r="372" spans="1:17" x14ac:dyDescent="0.25">
      <c r="A372" s="85" t="s">
        <v>306</v>
      </c>
      <c r="B372" s="65" t="s">
        <v>164</v>
      </c>
      <c r="C372" s="65" t="s">
        <v>395</v>
      </c>
      <c r="D372" s="66">
        <v>0</v>
      </c>
      <c r="E372" s="65">
        <v>2520902221</v>
      </c>
      <c r="F372" s="67">
        <v>0</v>
      </c>
      <c r="G372" s="68">
        <v>0</v>
      </c>
      <c r="H372" s="68">
        <v>0</v>
      </c>
      <c r="I372" s="68">
        <v>0</v>
      </c>
      <c r="J372" s="68">
        <v>0</v>
      </c>
      <c r="K372" s="68">
        <v>0</v>
      </c>
      <c r="L372" s="68">
        <v>0</v>
      </c>
      <c r="M372" s="68">
        <v>0</v>
      </c>
      <c r="N372" s="69">
        <v>0</v>
      </c>
      <c r="O372" s="65" t="str">
        <f>VLOOKUP(A372,Report_HQ1!$A$7:$C$95,3,FALSE)</f>
        <v>BV Đông Đô</v>
      </c>
      <c r="P372" s="40" t="e">
        <f>VLOOKUP(C372,Sheet1!$U$4:$V$14,2,FALSE)</f>
        <v>#N/A</v>
      </c>
      <c r="Q372" s="88">
        <f t="shared" si="5"/>
        <v>0</v>
      </c>
    </row>
    <row r="373" spans="1:17" x14ac:dyDescent="0.25">
      <c r="A373" s="85" t="s">
        <v>306</v>
      </c>
      <c r="B373" s="65" t="s">
        <v>164</v>
      </c>
      <c r="C373" s="65" t="s">
        <v>396</v>
      </c>
      <c r="D373" s="66">
        <v>17009299137</v>
      </c>
      <c r="E373" s="65">
        <v>2520902221</v>
      </c>
      <c r="F373" s="67">
        <v>829634349.73612094</v>
      </c>
      <c r="G373" s="68">
        <v>0</v>
      </c>
      <c r="H373" s="68">
        <v>829634349.73612094</v>
      </c>
      <c r="I373" s="68">
        <v>0</v>
      </c>
      <c r="J373" s="68">
        <v>2287218279</v>
      </c>
      <c r="K373" s="68">
        <v>507535141</v>
      </c>
      <c r="L373" s="68">
        <v>15571500</v>
      </c>
      <c r="M373" s="68">
        <v>811459525</v>
      </c>
      <c r="N373" s="69">
        <v>4451418794.7361212</v>
      </c>
      <c r="O373" s="65" t="str">
        <f>VLOOKUP(A373,Report_HQ1!$A$7:$C$95,3,FALSE)</f>
        <v>BV Đông Đô</v>
      </c>
      <c r="P373" s="40" t="str">
        <f>VLOOKUP(C373,Sheet1!$U$4:$V$14,2,FALSE)</f>
        <v>BH Y tế</v>
      </c>
      <c r="Q373" s="88">
        <f t="shared" si="5"/>
        <v>4451418794.7361212</v>
      </c>
    </row>
    <row r="374" spans="1:17" x14ac:dyDescent="0.25">
      <c r="A374" s="85" t="s">
        <v>306</v>
      </c>
      <c r="B374" s="65" t="s">
        <v>164</v>
      </c>
      <c r="C374" s="65" t="s">
        <v>397</v>
      </c>
      <c r="D374" s="66">
        <v>1754110400</v>
      </c>
      <c r="E374" s="65">
        <v>2520902221</v>
      </c>
      <c r="F374" s="67">
        <v>85557331.277909368</v>
      </c>
      <c r="G374" s="68">
        <v>0</v>
      </c>
      <c r="H374" s="68">
        <v>85557331.277909368</v>
      </c>
      <c r="I374" s="68">
        <v>0</v>
      </c>
      <c r="J374" s="68">
        <v>350176960</v>
      </c>
      <c r="K374" s="68">
        <v>350176960</v>
      </c>
      <c r="L374" s="68">
        <v>967680</v>
      </c>
      <c r="M374" s="68">
        <v>140328832</v>
      </c>
      <c r="N374" s="69">
        <v>927207763.2779094</v>
      </c>
      <c r="O374" s="65" t="str">
        <f>VLOOKUP(A374,Report_HQ1!$A$7:$C$95,3,FALSE)</f>
        <v>BV Đông Đô</v>
      </c>
      <c r="P374" s="40" t="str">
        <f>VLOOKUP(C374,Sheet1!$U$4:$V$14,2,FALSE)</f>
        <v>BH Du lịch</v>
      </c>
      <c r="Q374" s="88">
        <f t="shared" si="5"/>
        <v>927207763.2779094</v>
      </c>
    </row>
    <row r="375" spans="1:17" x14ac:dyDescent="0.25">
      <c r="A375" s="85" t="s">
        <v>315</v>
      </c>
      <c r="B375" s="65" t="s">
        <v>173</v>
      </c>
      <c r="C375" s="65" t="s">
        <v>387</v>
      </c>
      <c r="D375" s="66">
        <v>43206409</v>
      </c>
      <c r="E375" s="65">
        <v>708750000</v>
      </c>
      <c r="F375" s="67">
        <v>2330848.6241851253</v>
      </c>
      <c r="G375" s="68">
        <v>0</v>
      </c>
      <c r="H375" s="68">
        <v>2330848.6241851253</v>
      </c>
      <c r="I375" s="68">
        <v>0</v>
      </c>
      <c r="J375" s="68">
        <v>4320641</v>
      </c>
      <c r="K375" s="68">
        <v>2160320</v>
      </c>
      <c r="L375" s="68">
        <v>1728256</v>
      </c>
      <c r="M375" s="68">
        <v>3456513</v>
      </c>
      <c r="N375" s="69">
        <v>13996578.624185126</v>
      </c>
      <c r="O375" s="65" t="str">
        <f>VLOOKUP(A375,Report_HQ1!$A$7:$C$95,3,FALSE)</f>
        <v>BV Hà Tĩnh</v>
      </c>
      <c r="P375" s="40" t="str">
        <f>VLOOKUP(C375,Sheet1!$U$4:$V$14,2,FALSE)</f>
        <v>BH Hàng hóa</v>
      </c>
      <c r="Q375" s="88">
        <f t="shared" si="5"/>
        <v>13996578.624185126</v>
      </c>
    </row>
    <row r="376" spans="1:17" x14ac:dyDescent="0.25">
      <c r="A376" s="85" t="s">
        <v>315</v>
      </c>
      <c r="B376" s="65" t="s">
        <v>173</v>
      </c>
      <c r="C376" s="65" t="s">
        <v>272</v>
      </c>
      <c r="D376" s="66">
        <v>103300000</v>
      </c>
      <c r="E376" s="65">
        <v>708750000</v>
      </c>
      <c r="F376" s="67">
        <v>5572707.1157041406</v>
      </c>
      <c r="G376" s="68">
        <v>0</v>
      </c>
      <c r="H376" s="68">
        <v>5572707.1157041406</v>
      </c>
      <c r="I376" s="68">
        <v>516500</v>
      </c>
      <c r="J376" s="68">
        <v>15495000</v>
      </c>
      <c r="K376" s="68">
        <v>7231000</v>
      </c>
      <c r="L376" s="68">
        <v>1033000</v>
      </c>
      <c r="M376" s="68">
        <v>8264000</v>
      </c>
      <c r="N376" s="69">
        <v>38112207.115704142</v>
      </c>
      <c r="O376" s="65" t="str">
        <f>VLOOKUP(A376,Report_HQ1!$A$7:$C$95,3,FALSE)</f>
        <v>BV Hà Tĩnh</v>
      </c>
      <c r="P376" s="40" t="str">
        <f>VLOOKUP(C376,Sheet1!$U$4:$V$14,2,FALSE)</f>
        <v>Tàu khác</v>
      </c>
      <c r="Q376" s="88">
        <f t="shared" si="5"/>
        <v>38112207.115704142</v>
      </c>
    </row>
    <row r="377" spans="1:17" x14ac:dyDescent="0.25">
      <c r="A377" s="85" t="s">
        <v>315</v>
      </c>
      <c r="B377" s="65" t="s">
        <v>173</v>
      </c>
      <c r="C377" s="65" t="s">
        <v>388</v>
      </c>
      <c r="D377" s="66">
        <v>0</v>
      </c>
      <c r="E377" s="65">
        <v>708750000</v>
      </c>
      <c r="F377" s="67">
        <v>0</v>
      </c>
      <c r="G377" s="68">
        <v>0</v>
      </c>
      <c r="H377" s="68">
        <v>0</v>
      </c>
      <c r="I377" s="68">
        <v>0</v>
      </c>
      <c r="J377" s="68">
        <v>0</v>
      </c>
      <c r="K377" s="68">
        <v>0</v>
      </c>
      <c r="L377" s="68">
        <v>0</v>
      </c>
      <c r="M377" s="68">
        <v>0</v>
      </c>
      <c r="N377" s="69">
        <v>0</v>
      </c>
      <c r="O377" s="65" t="str">
        <f>VLOOKUP(A377,Report_HQ1!$A$7:$C$95,3,FALSE)</f>
        <v>BV Hà Tĩnh</v>
      </c>
      <c r="P377" s="40" t="str">
        <f>VLOOKUP(C377,Sheet1!$U$4:$V$14,2,FALSE)</f>
        <v>Hull (Thân tàu biển)</v>
      </c>
      <c r="Q377" s="88">
        <f t="shared" si="5"/>
        <v>0</v>
      </c>
    </row>
    <row r="378" spans="1:17" x14ac:dyDescent="0.25">
      <c r="A378" s="85" t="s">
        <v>315</v>
      </c>
      <c r="B378" s="65" t="s">
        <v>173</v>
      </c>
      <c r="C378" s="65" t="s">
        <v>23</v>
      </c>
      <c r="D378" s="66">
        <v>0</v>
      </c>
      <c r="E378" s="65">
        <v>708750000</v>
      </c>
      <c r="F378" s="67">
        <v>0</v>
      </c>
      <c r="G378" s="68">
        <v>0</v>
      </c>
      <c r="H378" s="68">
        <v>0</v>
      </c>
      <c r="I378" s="68">
        <v>0</v>
      </c>
      <c r="J378" s="68">
        <v>0</v>
      </c>
      <c r="K378" s="68">
        <v>0</v>
      </c>
      <c r="L378" s="68">
        <v>0</v>
      </c>
      <c r="M378" s="68">
        <v>0</v>
      </c>
      <c r="N378" s="69">
        <v>0</v>
      </c>
      <c r="O378" s="65" t="str">
        <f>VLOOKUP(A378,Report_HQ1!$A$7:$C$95,3,FALSE)</f>
        <v>BV Hà Tĩnh</v>
      </c>
      <c r="P378" s="40" t="str">
        <f>VLOOKUP(C378,Sheet1!$U$4:$V$14,2,FALSE)</f>
        <v>P&amp;I</v>
      </c>
      <c r="Q378" s="88">
        <f t="shared" si="5"/>
        <v>0</v>
      </c>
    </row>
    <row r="379" spans="1:17" x14ac:dyDescent="0.25">
      <c r="A379" s="85" t="s">
        <v>315</v>
      </c>
      <c r="B379" s="65" t="s">
        <v>173</v>
      </c>
      <c r="C379" s="65" t="s">
        <v>389</v>
      </c>
      <c r="D379" s="66">
        <v>496558000</v>
      </c>
      <c r="E379" s="65">
        <v>708750000</v>
      </c>
      <c r="F379" s="67">
        <v>26787727.9763777</v>
      </c>
      <c r="G379" s="68">
        <v>0</v>
      </c>
      <c r="H379" s="68">
        <v>26787727.9763777</v>
      </c>
      <c r="I379" s="68">
        <v>0</v>
      </c>
      <c r="J379" s="68">
        <v>23769900</v>
      </c>
      <c r="K379" s="68">
        <v>11884950</v>
      </c>
      <c r="L379" s="68">
        <v>35654850</v>
      </c>
      <c r="M379" s="68">
        <v>38031840</v>
      </c>
      <c r="N379" s="69">
        <v>136129267.9763777</v>
      </c>
      <c r="O379" s="65" t="str">
        <f>VLOOKUP(A379,Report_HQ1!$A$7:$C$95,3,FALSE)</f>
        <v>BV Hà Tĩnh</v>
      </c>
      <c r="P379" s="40" t="str">
        <f>VLOOKUP(C379,Sheet1!$U$4:$V$14,2,FALSE)</f>
        <v>BH Trách nhiệm</v>
      </c>
      <c r="Q379" s="88">
        <f t="shared" si="5"/>
        <v>136129267.9763777</v>
      </c>
    </row>
    <row r="380" spans="1:17" x14ac:dyDescent="0.25">
      <c r="A380" s="85" t="s">
        <v>315</v>
      </c>
      <c r="B380" s="65" t="s">
        <v>173</v>
      </c>
      <c r="C380" s="65" t="s">
        <v>390</v>
      </c>
      <c r="D380" s="66">
        <v>0</v>
      </c>
      <c r="E380" s="65">
        <v>708750000</v>
      </c>
      <c r="F380" s="67">
        <v>0</v>
      </c>
      <c r="G380" s="68">
        <v>0</v>
      </c>
      <c r="H380" s="68">
        <v>0</v>
      </c>
      <c r="I380" s="68">
        <v>0</v>
      </c>
      <c r="J380" s="68">
        <v>0</v>
      </c>
      <c r="K380" s="68">
        <v>0</v>
      </c>
      <c r="L380" s="68">
        <v>0</v>
      </c>
      <c r="M380" s="68">
        <v>0</v>
      </c>
      <c r="N380" s="69">
        <v>0</v>
      </c>
      <c r="O380" s="65" t="str">
        <f>VLOOKUP(A380,Report_HQ1!$A$7:$C$95,3,FALSE)</f>
        <v>BV Hà Tĩnh</v>
      </c>
      <c r="P380" s="40" t="e">
        <f>VLOOKUP(C380,Sheet1!$U$4:$V$14,2,FALSE)</f>
        <v>#N/A</v>
      </c>
      <c r="Q380" s="88">
        <f t="shared" si="5"/>
        <v>0</v>
      </c>
    </row>
    <row r="381" spans="1:17" x14ac:dyDescent="0.25">
      <c r="A381" s="85" t="s">
        <v>315</v>
      </c>
      <c r="B381" s="65" t="s">
        <v>173</v>
      </c>
      <c r="C381" s="65" t="s">
        <v>391</v>
      </c>
      <c r="D381" s="66">
        <v>3150389918</v>
      </c>
      <c r="E381" s="65">
        <v>708750000</v>
      </c>
      <c r="F381" s="67">
        <v>169953536.43060195</v>
      </c>
      <c r="G381" s="68">
        <v>0</v>
      </c>
      <c r="H381" s="68">
        <v>169953536.43060195</v>
      </c>
      <c r="I381" s="68">
        <v>0</v>
      </c>
      <c r="J381" s="68">
        <v>4397134</v>
      </c>
      <c r="K381" s="68">
        <v>2198567</v>
      </c>
      <c r="L381" s="68">
        <v>550241166</v>
      </c>
      <c r="M381" s="68">
        <v>88088960</v>
      </c>
      <c r="N381" s="69">
        <v>814879363.43060195</v>
      </c>
      <c r="O381" s="65" t="str">
        <f>VLOOKUP(A381,Report_HQ1!$A$7:$C$95,3,FALSE)</f>
        <v>BV Hà Tĩnh</v>
      </c>
      <c r="P381" s="40" t="str">
        <f>VLOOKUP(C381,Sheet1!$U$4:$V$14,2,FALSE)</f>
        <v>BH Kỹ thuật</v>
      </c>
      <c r="Q381" s="88">
        <f t="shared" si="5"/>
        <v>814879363.43060195</v>
      </c>
    </row>
    <row r="382" spans="1:17" x14ac:dyDescent="0.25">
      <c r="A382" s="85" t="s">
        <v>315</v>
      </c>
      <c r="B382" s="65" t="s">
        <v>173</v>
      </c>
      <c r="C382" s="65" t="s">
        <v>392</v>
      </c>
      <c r="D382" s="66">
        <v>936442758</v>
      </c>
      <c r="E382" s="65">
        <v>708750000</v>
      </c>
      <c r="F382" s="67">
        <v>50518114.433264382</v>
      </c>
      <c r="G382" s="68">
        <v>0</v>
      </c>
      <c r="H382" s="68">
        <v>50518114.433264382</v>
      </c>
      <c r="I382" s="68">
        <v>0</v>
      </c>
      <c r="J382" s="68">
        <v>2281698</v>
      </c>
      <c r="K382" s="68">
        <v>1140849</v>
      </c>
      <c r="L382" s="68">
        <v>101806718</v>
      </c>
      <c r="M382" s="68">
        <v>39444937</v>
      </c>
      <c r="N382" s="69">
        <v>195192316.43326437</v>
      </c>
      <c r="O382" s="65" t="str">
        <f>VLOOKUP(A382,Report_HQ1!$A$7:$C$95,3,FALSE)</f>
        <v>BV Hà Tĩnh</v>
      </c>
      <c r="P382" s="40" t="str">
        <f>VLOOKUP(C382,Sheet1!$U$4:$V$14,2,FALSE)</f>
        <v>BH Tài sản</v>
      </c>
      <c r="Q382" s="88">
        <f t="shared" si="5"/>
        <v>195192316.43326437</v>
      </c>
    </row>
    <row r="383" spans="1:17" x14ac:dyDescent="0.25">
      <c r="A383" s="85" t="s">
        <v>315</v>
      </c>
      <c r="B383" s="65" t="s">
        <v>173</v>
      </c>
      <c r="C383" s="65" t="s">
        <v>393</v>
      </c>
      <c r="D383" s="66">
        <v>4986817678</v>
      </c>
      <c r="E383" s="65">
        <v>708750000</v>
      </c>
      <c r="F383" s="67">
        <v>269022985.08141142</v>
      </c>
      <c r="G383" s="68">
        <v>0</v>
      </c>
      <c r="H383" s="68">
        <v>269022985.08141142</v>
      </c>
      <c r="I383" s="68">
        <v>0</v>
      </c>
      <c r="J383" s="68">
        <v>422632499</v>
      </c>
      <c r="K383" s="68">
        <v>211748110</v>
      </c>
      <c r="L383" s="68">
        <v>685409233</v>
      </c>
      <c r="M383" s="68">
        <v>298748414</v>
      </c>
      <c r="N383" s="69">
        <v>1887561241.0814114</v>
      </c>
      <c r="O383" s="65" t="str">
        <f>VLOOKUP(A383,Report_HQ1!$A$7:$C$95,3,FALSE)</f>
        <v>BV Hà Tĩnh</v>
      </c>
      <c r="P383" s="40" t="str">
        <f>VLOOKUP(C383,Sheet1!$U$4:$V$14,2,FALSE)</f>
        <v>BH Xe cơ giới</v>
      </c>
      <c r="Q383" s="88">
        <f t="shared" si="5"/>
        <v>1887561241.0814114</v>
      </c>
    </row>
    <row r="384" spans="1:17" x14ac:dyDescent="0.25">
      <c r="A384" s="85" t="s">
        <v>315</v>
      </c>
      <c r="B384" s="65" t="s">
        <v>173</v>
      </c>
      <c r="C384" s="65" t="s">
        <v>394</v>
      </c>
      <c r="D384" s="66">
        <v>3128517386</v>
      </c>
      <c r="E384" s="65">
        <v>708750000</v>
      </c>
      <c r="F384" s="67">
        <v>168773582.75475621</v>
      </c>
      <c r="G384" s="68">
        <v>0</v>
      </c>
      <c r="H384" s="68">
        <v>168773582.75475621</v>
      </c>
      <c r="I384" s="68">
        <v>755500</v>
      </c>
      <c r="J384" s="68">
        <v>443818321</v>
      </c>
      <c r="K384" s="68">
        <v>16724275</v>
      </c>
      <c r="L384" s="68">
        <v>129331977</v>
      </c>
      <c r="M384" s="68">
        <v>148960181</v>
      </c>
      <c r="N384" s="69">
        <v>908363836.75475621</v>
      </c>
      <c r="O384" s="65" t="str">
        <f>VLOOKUP(A384,Report_HQ1!$A$7:$C$95,3,FALSE)</f>
        <v>BV Hà Tĩnh</v>
      </c>
      <c r="P384" s="40" t="str">
        <f>VLOOKUP(C384,Sheet1!$U$4:$V$14,2,FALSE)</f>
        <v>BH Con người</v>
      </c>
      <c r="Q384" s="88">
        <f t="shared" si="5"/>
        <v>908363836.75475621</v>
      </c>
    </row>
    <row r="385" spans="1:17" x14ac:dyDescent="0.25">
      <c r="A385" s="85" t="s">
        <v>315</v>
      </c>
      <c r="B385" s="65" t="s">
        <v>173</v>
      </c>
      <c r="C385" s="65" t="s">
        <v>395</v>
      </c>
      <c r="D385" s="66">
        <v>0</v>
      </c>
      <c r="E385" s="65">
        <v>708750000</v>
      </c>
      <c r="F385" s="67">
        <v>0</v>
      </c>
      <c r="G385" s="68">
        <v>0</v>
      </c>
      <c r="H385" s="68">
        <v>0</v>
      </c>
      <c r="I385" s="68">
        <v>0</v>
      </c>
      <c r="J385" s="68">
        <v>0</v>
      </c>
      <c r="K385" s="68">
        <v>0</v>
      </c>
      <c r="L385" s="68">
        <v>0</v>
      </c>
      <c r="M385" s="68">
        <v>0</v>
      </c>
      <c r="N385" s="69">
        <v>0</v>
      </c>
      <c r="O385" s="65" t="str">
        <f>VLOOKUP(A385,Report_HQ1!$A$7:$C$95,3,FALSE)</f>
        <v>BV Hà Tĩnh</v>
      </c>
      <c r="P385" s="40" t="e">
        <f>VLOOKUP(C385,Sheet1!$U$4:$V$14,2,FALSE)</f>
        <v>#N/A</v>
      </c>
      <c r="Q385" s="88">
        <f t="shared" si="5"/>
        <v>0</v>
      </c>
    </row>
    <row r="386" spans="1:17" x14ac:dyDescent="0.25">
      <c r="A386" s="85" t="s">
        <v>315</v>
      </c>
      <c r="B386" s="65" t="s">
        <v>173</v>
      </c>
      <c r="C386" s="65" t="s">
        <v>396</v>
      </c>
      <c r="D386" s="66">
        <v>242658950</v>
      </c>
      <c r="E386" s="65">
        <v>708750000</v>
      </c>
      <c r="F386" s="67">
        <v>13090680.129276816</v>
      </c>
      <c r="G386" s="68">
        <v>0</v>
      </c>
      <c r="H386" s="68">
        <v>13090680.129276816</v>
      </c>
      <c r="I386" s="68">
        <v>0</v>
      </c>
      <c r="J386" s="68">
        <v>48531790</v>
      </c>
      <c r="K386" s="68">
        <v>18509598</v>
      </c>
      <c r="L386" s="68">
        <v>603309</v>
      </c>
      <c r="M386" s="68">
        <v>17261844</v>
      </c>
      <c r="N386" s="69">
        <v>97997221.129276812</v>
      </c>
      <c r="O386" s="65" t="str">
        <f>VLOOKUP(A386,Report_HQ1!$A$7:$C$95,3,FALSE)</f>
        <v>BV Hà Tĩnh</v>
      </c>
      <c r="P386" s="40" t="str">
        <f>VLOOKUP(C386,Sheet1!$U$4:$V$14,2,FALSE)</f>
        <v>BH Y tế</v>
      </c>
      <c r="Q386" s="88">
        <f t="shared" si="5"/>
        <v>97997221.129276812</v>
      </c>
    </row>
    <row r="387" spans="1:17" x14ac:dyDescent="0.25">
      <c r="A387" s="85" t="s">
        <v>315</v>
      </c>
      <c r="B387" s="65" t="s">
        <v>173</v>
      </c>
      <c r="C387" s="65" t="s">
        <v>397</v>
      </c>
      <c r="D387" s="66">
        <v>50045900</v>
      </c>
      <c r="E387" s="65">
        <v>708750000</v>
      </c>
      <c r="F387" s="67">
        <v>2699817.4544222443</v>
      </c>
      <c r="G387" s="68">
        <v>0</v>
      </c>
      <c r="H387" s="68">
        <v>2699817.4544222443</v>
      </c>
      <c r="I387" s="68">
        <v>0</v>
      </c>
      <c r="J387" s="68">
        <v>10009180</v>
      </c>
      <c r="K387" s="68">
        <v>10009180</v>
      </c>
      <c r="L387" s="68">
        <v>0</v>
      </c>
      <c r="M387" s="68">
        <v>4003672</v>
      </c>
      <c r="N387" s="69">
        <v>26721849.454422243</v>
      </c>
      <c r="O387" s="65" t="str">
        <f>VLOOKUP(A387,Report_HQ1!$A$7:$C$95,3,FALSE)</f>
        <v>BV Hà Tĩnh</v>
      </c>
      <c r="P387" s="40" t="str">
        <f>VLOOKUP(C387,Sheet1!$U$4:$V$14,2,FALSE)</f>
        <v>BH Du lịch</v>
      </c>
      <c r="Q387" s="88">
        <f t="shared" si="5"/>
        <v>26721849.454422243</v>
      </c>
    </row>
    <row r="388" spans="1:17" x14ac:dyDescent="0.25">
      <c r="A388" s="85" t="s">
        <v>316</v>
      </c>
      <c r="B388" s="65" t="s">
        <v>174</v>
      </c>
      <c r="C388" s="65" t="s">
        <v>387</v>
      </c>
      <c r="D388" s="66">
        <v>400548531</v>
      </c>
      <c r="E388" s="65">
        <v>1358250000</v>
      </c>
      <c r="F388" s="67">
        <v>40580349.967962436</v>
      </c>
      <c r="G388" s="68">
        <v>0</v>
      </c>
      <c r="H388" s="68">
        <v>40580349.967962436</v>
      </c>
      <c r="I388" s="68">
        <v>0</v>
      </c>
      <c r="J388" s="68">
        <v>40054853</v>
      </c>
      <c r="K388" s="68">
        <v>20027426</v>
      </c>
      <c r="L388" s="68">
        <v>16021941</v>
      </c>
      <c r="M388" s="68">
        <v>32043882</v>
      </c>
      <c r="N388" s="69">
        <v>148728451.96796244</v>
      </c>
      <c r="O388" s="65" t="str">
        <f>VLOOKUP(A388,Report_HQ1!$A$7:$C$95,3,FALSE)</f>
        <v>BV Hải Dương</v>
      </c>
      <c r="P388" s="40" t="str">
        <f>VLOOKUP(C388,Sheet1!$U$4:$V$14,2,FALSE)</f>
        <v>BH Hàng hóa</v>
      </c>
      <c r="Q388" s="88">
        <f t="shared" si="5"/>
        <v>148728451.96796244</v>
      </c>
    </row>
    <row r="389" spans="1:17" x14ac:dyDescent="0.25">
      <c r="A389" s="85" t="s">
        <v>316</v>
      </c>
      <c r="B389" s="65" t="s">
        <v>174</v>
      </c>
      <c r="C389" s="65" t="s">
        <v>272</v>
      </c>
      <c r="D389" s="66">
        <v>183453706</v>
      </c>
      <c r="E389" s="65">
        <v>1358250000</v>
      </c>
      <c r="F389" s="67">
        <v>18586051.417573892</v>
      </c>
      <c r="G389" s="68">
        <v>0</v>
      </c>
      <c r="H389" s="68">
        <v>18586051.417573892</v>
      </c>
      <c r="I389" s="68">
        <v>636450</v>
      </c>
      <c r="J389" s="68">
        <v>27518056</v>
      </c>
      <c r="K389" s="68">
        <v>12841759</v>
      </c>
      <c r="L389" s="68">
        <v>1834537</v>
      </c>
      <c r="M389" s="68">
        <v>14676296</v>
      </c>
      <c r="N389" s="69">
        <v>76093149.417573899</v>
      </c>
      <c r="O389" s="65" t="str">
        <f>VLOOKUP(A389,Report_HQ1!$A$7:$C$95,3,FALSE)</f>
        <v>BV Hải Dương</v>
      </c>
      <c r="P389" s="40" t="str">
        <f>VLOOKUP(C389,Sheet1!$U$4:$V$14,2,FALSE)</f>
        <v>Tàu khác</v>
      </c>
      <c r="Q389" s="88">
        <f t="shared" si="5"/>
        <v>76093149.417573899</v>
      </c>
    </row>
    <row r="390" spans="1:17" x14ac:dyDescent="0.25">
      <c r="A390" s="85" t="s">
        <v>316</v>
      </c>
      <c r="B390" s="65" t="s">
        <v>174</v>
      </c>
      <c r="C390" s="65" t="s">
        <v>388</v>
      </c>
      <c r="D390" s="66">
        <v>0</v>
      </c>
      <c r="E390" s="65">
        <v>1358250000</v>
      </c>
      <c r="F390" s="67">
        <v>0</v>
      </c>
      <c r="G390" s="68">
        <v>0</v>
      </c>
      <c r="H390" s="68">
        <v>0</v>
      </c>
      <c r="I390" s="68">
        <v>0</v>
      </c>
      <c r="J390" s="68">
        <v>0</v>
      </c>
      <c r="K390" s="68">
        <v>0</v>
      </c>
      <c r="L390" s="68">
        <v>0</v>
      </c>
      <c r="M390" s="68">
        <v>0</v>
      </c>
      <c r="N390" s="69">
        <v>0</v>
      </c>
      <c r="O390" s="65" t="str">
        <f>VLOOKUP(A390,Report_HQ1!$A$7:$C$95,3,FALSE)</f>
        <v>BV Hải Dương</v>
      </c>
      <c r="P390" s="40" t="str">
        <f>VLOOKUP(C390,Sheet1!$U$4:$V$14,2,FALSE)</f>
        <v>Hull (Thân tàu biển)</v>
      </c>
      <c r="Q390" s="88">
        <f t="shared" si="5"/>
        <v>0</v>
      </c>
    </row>
    <row r="391" spans="1:17" x14ac:dyDescent="0.25">
      <c r="A391" s="85" t="s">
        <v>316</v>
      </c>
      <c r="B391" s="65" t="s">
        <v>174</v>
      </c>
      <c r="C391" s="65" t="s">
        <v>23</v>
      </c>
      <c r="D391" s="66">
        <v>0</v>
      </c>
      <c r="E391" s="65">
        <v>1358250000</v>
      </c>
      <c r="F391" s="67">
        <v>0</v>
      </c>
      <c r="G391" s="68">
        <v>0</v>
      </c>
      <c r="H391" s="68">
        <v>0</v>
      </c>
      <c r="I391" s="68">
        <v>0</v>
      </c>
      <c r="J391" s="68">
        <v>0</v>
      </c>
      <c r="K391" s="68">
        <v>0</v>
      </c>
      <c r="L391" s="68">
        <v>0</v>
      </c>
      <c r="M391" s="68">
        <v>0</v>
      </c>
      <c r="N391" s="69">
        <v>0</v>
      </c>
      <c r="O391" s="65" t="str">
        <f>VLOOKUP(A391,Report_HQ1!$A$7:$C$95,3,FALSE)</f>
        <v>BV Hải Dương</v>
      </c>
      <c r="P391" s="40" t="str">
        <f>VLOOKUP(C391,Sheet1!$U$4:$V$14,2,FALSE)</f>
        <v>P&amp;I</v>
      </c>
      <c r="Q391" s="88">
        <f t="shared" si="5"/>
        <v>0</v>
      </c>
    </row>
    <row r="392" spans="1:17" x14ac:dyDescent="0.25">
      <c r="A392" s="85" t="s">
        <v>316</v>
      </c>
      <c r="B392" s="65" t="s">
        <v>174</v>
      </c>
      <c r="C392" s="65" t="s">
        <v>389</v>
      </c>
      <c r="D392" s="66">
        <v>91354545</v>
      </c>
      <c r="E392" s="65">
        <v>1358250000</v>
      </c>
      <c r="F392" s="67">
        <v>9255306.4618878178</v>
      </c>
      <c r="G392" s="68">
        <v>0</v>
      </c>
      <c r="H392" s="68">
        <v>9255306.4618878178</v>
      </c>
      <c r="I392" s="68">
        <v>0</v>
      </c>
      <c r="J392" s="68">
        <v>4567727</v>
      </c>
      <c r="K392" s="68">
        <v>2283864</v>
      </c>
      <c r="L392" s="68">
        <v>6851591</v>
      </c>
      <c r="M392" s="68">
        <v>7308364</v>
      </c>
      <c r="N392" s="69">
        <v>30266852.461887818</v>
      </c>
      <c r="O392" s="65" t="str">
        <f>VLOOKUP(A392,Report_HQ1!$A$7:$C$95,3,FALSE)</f>
        <v>BV Hải Dương</v>
      </c>
      <c r="P392" s="40" t="str">
        <f>VLOOKUP(C392,Sheet1!$U$4:$V$14,2,FALSE)</f>
        <v>BH Trách nhiệm</v>
      </c>
      <c r="Q392" s="88">
        <f t="shared" si="5"/>
        <v>30266852.461887818</v>
      </c>
    </row>
    <row r="393" spans="1:17" x14ac:dyDescent="0.25">
      <c r="A393" s="85" t="s">
        <v>316</v>
      </c>
      <c r="B393" s="65" t="s">
        <v>174</v>
      </c>
      <c r="C393" s="65" t="s">
        <v>390</v>
      </c>
      <c r="D393" s="66">
        <v>0</v>
      </c>
      <c r="E393" s="65">
        <v>1358250000</v>
      </c>
      <c r="F393" s="67">
        <v>0</v>
      </c>
      <c r="G393" s="68">
        <v>0</v>
      </c>
      <c r="H393" s="68">
        <v>0</v>
      </c>
      <c r="I393" s="68">
        <v>0</v>
      </c>
      <c r="J393" s="68">
        <v>0</v>
      </c>
      <c r="K393" s="68">
        <v>0</v>
      </c>
      <c r="L393" s="68">
        <v>0</v>
      </c>
      <c r="M393" s="68">
        <v>0</v>
      </c>
      <c r="N393" s="69">
        <v>0</v>
      </c>
      <c r="O393" s="65" t="str">
        <f>VLOOKUP(A393,Report_HQ1!$A$7:$C$95,3,FALSE)</f>
        <v>BV Hải Dương</v>
      </c>
      <c r="P393" s="40" t="e">
        <f>VLOOKUP(C393,Sheet1!$U$4:$V$14,2,FALSE)</f>
        <v>#N/A</v>
      </c>
      <c r="Q393" s="88">
        <f t="shared" si="5"/>
        <v>0</v>
      </c>
    </row>
    <row r="394" spans="1:17" x14ac:dyDescent="0.25">
      <c r="A394" s="85" t="s">
        <v>316</v>
      </c>
      <c r="B394" s="65" t="s">
        <v>174</v>
      </c>
      <c r="C394" s="65" t="s">
        <v>391</v>
      </c>
      <c r="D394" s="66">
        <v>299306143</v>
      </c>
      <c r="E394" s="65">
        <v>1358250000</v>
      </c>
      <c r="F394" s="67">
        <v>30323286.919010099</v>
      </c>
      <c r="G394" s="68">
        <v>0</v>
      </c>
      <c r="H394" s="68">
        <v>30323286.919010099</v>
      </c>
      <c r="I394" s="68">
        <v>0</v>
      </c>
      <c r="J394" s="68">
        <v>3522153</v>
      </c>
      <c r="K394" s="68">
        <v>1761076</v>
      </c>
      <c r="L394" s="68">
        <v>5629403</v>
      </c>
      <c r="M394" s="68">
        <v>4434288</v>
      </c>
      <c r="N394" s="69">
        <v>45670206.919010103</v>
      </c>
      <c r="O394" s="65" t="str">
        <f>VLOOKUP(A394,Report_HQ1!$A$7:$C$95,3,FALSE)</f>
        <v>BV Hải Dương</v>
      </c>
      <c r="P394" s="40" t="str">
        <f>VLOOKUP(C394,Sheet1!$U$4:$V$14,2,FALSE)</f>
        <v>BH Kỹ thuật</v>
      </c>
      <c r="Q394" s="88">
        <f t="shared" si="5"/>
        <v>45670206.919010103</v>
      </c>
    </row>
    <row r="395" spans="1:17" x14ac:dyDescent="0.25">
      <c r="A395" s="85" t="s">
        <v>316</v>
      </c>
      <c r="B395" s="65" t="s">
        <v>174</v>
      </c>
      <c r="C395" s="65" t="s">
        <v>392</v>
      </c>
      <c r="D395" s="66">
        <v>2018298140</v>
      </c>
      <c r="E395" s="65">
        <v>1358250000</v>
      </c>
      <c r="F395" s="67">
        <v>204477706.25050089</v>
      </c>
      <c r="G395" s="68">
        <v>0</v>
      </c>
      <c r="H395" s="68">
        <v>204477706.25050089</v>
      </c>
      <c r="I395" s="68">
        <v>0</v>
      </c>
      <c r="J395" s="68">
        <v>98423527</v>
      </c>
      <c r="K395" s="68">
        <v>49211763</v>
      </c>
      <c r="L395" s="68">
        <v>146659786</v>
      </c>
      <c r="M395" s="68">
        <v>118018955</v>
      </c>
      <c r="N395" s="69">
        <v>616791737.25050092</v>
      </c>
      <c r="O395" s="65" t="str">
        <f>VLOOKUP(A395,Report_HQ1!$A$7:$C$95,3,FALSE)</f>
        <v>BV Hải Dương</v>
      </c>
      <c r="P395" s="40" t="str">
        <f>VLOOKUP(C395,Sheet1!$U$4:$V$14,2,FALSE)</f>
        <v>BH Tài sản</v>
      </c>
      <c r="Q395" s="88">
        <f t="shared" si="5"/>
        <v>616791737.25050092</v>
      </c>
    </row>
    <row r="396" spans="1:17" x14ac:dyDescent="0.25">
      <c r="A396" s="85" t="s">
        <v>316</v>
      </c>
      <c r="B396" s="65" t="s">
        <v>174</v>
      </c>
      <c r="C396" s="65" t="s">
        <v>393</v>
      </c>
      <c r="D396" s="66">
        <v>5414758525</v>
      </c>
      <c r="E396" s="65">
        <v>1358250000</v>
      </c>
      <c r="F396" s="67">
        <v>548579707.40256703</v>
      </c>
      <c r="G396" s="68">
        <v>0</v>
      </c>
      <c r="H396" s="68">
        <v>548579707.40256703</v>
      </c>
      <c r="I396" s="68">
        <v>0</v>
      </c>
      <c r="J396" s="68">
        <v>456205793</v>
      </c>
      <c r="K396" s="68">
        <v>228323975</v>
      </c>
      <c r="L396" s="68">
        <v>593218043</v>
      </c>
      <c r="M396" s="68">
        <v>323706338</v>
      </c>
      <c r="N396" s="69">
        <v>2150033856.4025669</v>
      </c>
      <c r="O396" s="65" t="str">
        <f>VLOOKUP(A396,Report_HQ1!$A$7:$C$95,3,FALSE)</f>
        <v>BV Hải Dương</v>
      </c>
      <c r="P396" s="40" t="str">
        <f>VLOOKUP(C396,Sheet1!$U$4:$V$14,2,FALSE)</f>
        <v>BH Xe cơ giới</v>
      </c>
      <c r="Q396" s="88">
        <f t="shared" ref="Q396:Q459" si="6">N396</f>
        <v>2150033856.4025669</v>
      </c>
    </row>
    <row r="397" spans="1:17" x14ac:dyDescent="0.25">
      <c r="A397" s="85" t="s">
        <v>316</v>
      </c>
      <c r="B397" s="65" t="s">
        <v>174</v>
      </c>
      <c r="C397" s="65" t="s">
        <v>394</v>
      </c>
      <c r="D397" s="66">
        <v>4244307400</v>
      </c>
      <c r="E397" s="65">
        <v>1358250000</v>
      </c>
      <c r="F397" s="67">
        <v>429999029.66467935</v>
      </c>
      <c r="G397" s="68">
        <v>0</v>
      </c>
      <c r="H397" s="68">
        <v>429999029.66467935</v>
      </c>
      <c r="I397" s="68">
        <v>0</v>
      </c>
      <c r="J397" s="68">
        <v>609240501</v>
      </c>
      <c r="K397" s="68">
        <v>9867035</v>
      </c>
      <c r="L397" s="68">
        <v>163266886</v>
      </c>
      <c r="M397" s="68">
        <v>209559378</v>
      </c>
      <c r="N397" s="69">
        <v>1421932829.6646793</v>
      </c>
      <c r="O397" s="65" t="str">
        <f>VLOOKUP(A397,Report_HQ1!$A$7:$C$95,3,FALSE)</f>
        <v>BV Hải Dương</v>
      </c>
      <c r="P397" s="40" t="str">
        <f>VLOOKUP(C397,Sheet1!$U$4:$V$14,2,FALSE)</f>
        <v>BH Con người</v>
      </c>
      <c r="Q397" s="88">
        <f t="shared" si="6"/>
        <v>1421932829.6646793</v>
      </c>
    </row>
    <row r="398" spans="1:17" x14ac:dyDescent="0.25">
      <c r="A398" s="85" t="s">
        <v>316</v>
      </c>
      <c r="B398" s="65" t="s">
        <v>174</v>
      </c>
      <c r="C398" s="65" t="s">
        <v>395</v>
      </c>
      <c r="D398" s="66">
        <v>0</v>
      </c>
      <c r="E398" s="65">
        <v>1358250000</v>
      </c>
      <c r="F398" s="67">
        <v>0</v>
      </c>
      <c r="G398" s="68">
        <v>0</v>
      </c>
      <c r="H398" s="68">
        <v>0</v>
      </c>
      <c r="I398" s="68">
        <v>0</v>
      </c>
      <c r="J398" s="68">
        <v>0</v>
      </c>
      <c r="K398" s="68">
        <v>0</v>
      </c>
      <c r="L398" s="68">
        <v>0</v>
      </c>
      <c r="M398" s="68">
        <v>0</v>
      </c>
      <c r="N398" s="69">
        <v>0</v>
      </c>
      <c r="O398" s="65" t="str">
        <f>VLOOKUP(A398,Report_HQ1!$A$7:$C$95,3,FALSE)</f>
        <v>BV Hải Dương</v>
      </c>
      <c r="P398" s="40" t="e">
        <f>VLOOKUP(C398,Sheet1!$U$4:$V$14,2,FALSE)</f>
        <v>#N/A</v>
      </c>
      <c r="Q398" s="88">
        <f t="shared" si="6"/>
        <v>0</v>
      </c>
    </row>
    <row r="399" spans="1:17" x14ac:dyDescent="0.25">
      <c r="A399" s="85" t="s">
        <v>316</v>
      </c>
      <c r="B399" s="65" t="s">
        <v>174</v>
      </c>
      <c r="C399" s="65" t="s">
        <v>396</v>
      </c>
      <c r="D399" s="66">
        <v>585602482</v>
      </c>
      <c r="E399" s="65">
        <v>1358250000</v>
      </c>
      <c r="F399" s="67">
        <v>59328525.31586846</v>
      </c>
      <c r="G399" s="68">
        <v>0</v>
      </c>
      <c r="H399" s="68">
        <v>59328525.31586846</v>
      </c>
      <c r="I399" s="68">
        <v>0</v>
      </c>
      <c r="J399" s="68">
        <v>105083076</v>
      </c>
      <c r="K399" s="68">
        <v>54959399</v>
      </c>
      <c r="L399" s="68">
        <v>155549</v>
      </c>
      <c r="M399" s="68">
        <v>37742007</v>
      </c>
      <c r="N399" s="69">
        <v>257268556.31586847</v>
      </c>
      <c r="O399" s="65" t="str">
        <f>VLOOKUP(A399,Report_HQ1!$A$7:$C$95,3,FALSE)</f>
        <v>BV Hải Dương</v>
      </c>
      <c r="P399" s="40" t="str">
        <f>VLOOKUP(C399,Sheet1!$U$4:$V$14,2,FALSE)</f>
        <v>BH Y tế</v>
      </c>
      <c r="Q399" s="88">
        <f t="shared" si="6"/>
        <v>257268556.31586847</v>
      </c>
    </row>
    <row r="400" spans="1:17" x14ac:dyDescent="0.25">
      <c r="A400" s="85" t="s">
        <v>316</v>
      </c>
      <c r="B400" s="65" t="s">
        <v>174</v>
      </c>
      <c r="C400" s="65" t="s">
        <v>397</v>
      </c>
      <c r="D400" s="66">
        <v>168983400</v>
      </c>
      <c r="E400" s="65">
        <v>1358250000</v>
      </c>
      <c r="F400" s="67">
        <v>17120036.599949941</v>
      </c>
      <c r="G400" s="68">
        <v>0</v>
      </c>
      <c r="H400" s="68">
        <v>17120036.599949941</v>
      </c>
      <c r="I400" s="68">
        <v>0</v>
      </c>
      <c r="J400" s="68">
        <v>33796680</v>
      </c>
      <c r="K400" s="68">
        <v>33796680</v>
      </c>
      <c r="L400" s="68">
        <v>0</v>
      </c>
      <c r="M400" s="68">
        <v>13518672</v>
      </c>
      <c r="N400" s="69">
        <v>98232068.599949941</v>
      </c>
      <c r="O400" s="65" t="str">
        <f>VLOOKUP(A400,Report_HQ1!$A$7:$C$95,3,FALSE)</f>
        <v>BV Hải Dương</v>
      </c>
      <c r="P400" s="40" t="str">
        <f>VLOOKUP(C400,Sheet1!$U$4:$V$14,2,FALSE)</f>
        <v>BH Du lịch</v>
      </c>
      <c r="Q400" s="88">
        <f t="shared" si="6"/>
        <v>98232068.599949941</v>
      </c>
    </row>
    <row r="401" spans="1:17" x14ac:dyDescent="0.25">
      <c r="A401" s="85" t="s">
        <v>317</v>
      </c>
      <c r="B401" s="65" t="s">
        <v>175</v>
      </c>
      <c r="C401" s="65" t="s">
        <v>387</v>
      </c>
      <c r="D401" s="66">
        <v>7000484971</v>
      </c>
      <c r="E401" s="65">
        <v>3184276840</v>
      </c>
      <c r="F401" s="67">
        <v>192466519.10198104</v>
      </c>
      <c r="G401" s="68">
        <v>0</v>
      </c>
      <c r="H401" s="68">
        <v>192466519.10198104</v>
      </c>
      <c r="I401" s="68">
        <v>0</v>
      </c>
      <c r="J401" s="68">
        <v>700048497</v>
      </c>
      <c r="K401" s="68">
        <v>350024248</v>
      </c>
      <c r="L401" s="68">
        <v>280019398</v>
      </c>
      <c r="M401" s="68">
        <v>560038798</v>
      </c>
      <c r="N401" s="69">
        <v>2082597460.1019812</v>
      </c>
      <c r="O401" s="65" t="str">
        <f>VLOOKUP(A401,Report_HQ1!$A$7:$C$95,3,FALSE)</f>
        <v>BV Hải Phòng</v>
      </c>
      <c r="P401" s="40" t="str">
        <f>VLOOKUP(C401,Sheet1!$U$4:$V$14,2,FALSE)</f>
        <v>BH Hàng hóa</v>
      </c>
      <c r="Q401" s="88">
        <f t="shared" si="6"/>
        <v>2082597460.1019812</v>
      </c>
    </row>
    <row r="402" spans="1:17" x14ac:dyDescent="0.25">
      <c r="A402" s="85" t="s">
        <v>317</v>
      </c>
      <c r="B402" s="65" t="s">
        <v>175</v>
      </c>
      <c r="C402" s="65" t="s">
        <v>272</v>
      </c>
      <c r="D402" s="66">
        <v>2322594861</v>
      </c>
      <c r="E402" s="65">
        <v>3184276840</v>
      </c>
      <c r="F402" s="67">
        <v>63855825.708167143</v>
      </c>
      <c r="G402" s="68">
        <v>0</v>
      </c>
      <c r="H402" s="68">
        <v>63855825.708167143</v>
      </c>
      <c r="I402" s="68">
        <v>7057495</v>
      </c>
      <c r="J402" s="68">
        <v>348389229</v>
      </c>
      <c r="K402" s="68">
        <v>161784117</v>
      </c>
      <c r="L402" s="68">
        <v>23225949</v>
      </c>
      <c r="M402" s="68">
        <v>185579724</v>
      </c>
      <c r="N402" s="69">
        <v>789892339.70816708</v>
      </c>
      <c r="O402" s="65" t="str">
        <f>VLOOKUP(A402,Report_HQ1!$A$7:$C$95,3,FALSE)</f>
        <v>BV Hải Phòng</v>
      </c>
      <c r="P402" s="40" t="str">
        <f>VLOOKUP(C402,Sheet1!$U$4:$V$14,2,FALSE)</f>
        <v>Tàu khác</v>
      </c>
      <c r="Q402" s="88">
        <f t="shared" si="6"/>
        <v>789892339.70816708</v>
      </c>
    </row>
    <row r="403" spans="1:17" x14ac:dyDescent="0.25">
      <c r="A403" s="85" t="s">
        <v>317</v>
      </c>
      <c r="B403" s="65" t="s">
        <v>175</v>
      </c>
      <c r="C403" s="65" t="s">
        <v>388</v>
      </c>
      <c r="D403" s="66">
        <v>17468397553</v>
      </c>
      <c r="E403" s="65">
        <v>3184276840</v>
      </c>
      <c r="F403" s="67">
        <v>480264108.1643818</v>
      </c>
      <c r="G403" s="68">
        <v>0</v>
      </c>
      <c r="H403" s="68">
        <v>480264108.1643818</v>
      </c>
      <c r="I403" s="68">
        <v>87001298</v>
      </c>
      <c r="J403" s="68">
        <v>1228506878</v>
      </c>
      <c r="K403" s="68">
        <v>315374611</v>
      </c>
      <c r="L403" s="68">
        <v>30800174</v>
      </c>
      <c r="M403" s="68">
        <v>510321134</v>
      </c>
      <c r="N403" s="69">
        <v>2652268203.164382</v>
      </c>
      <c r="O403" s="65" t="str">
        <f>VLOOKUP(A403,Report_HQ1!$A$7:$C$95,3,FALSE)</f>
        <v>BV Hải Phòng</v>
      </c>
      <c r="P403" s="40" t="str">
        <f>VLOOKUP(C403,Sheet1!$U$4:$V$14,2,FALSE)</f>
        <v>Hull (Thân tàu biển)</v>
      </c>
      <c r="Q403" s="88">
        <f t="shared" si="6"/>
        <v>2652268203.164382</v>
      </c>
    </row>
    <row r="404" spans="1:17" x14ac:dyDescent="0.25">
      <c r="A404" s="85" t="s">
        <v>317</v>
      </c>
      <c r="B404" s="65" t="s">
        <v>175</v>
      </c>
      <c r="C404" s="65" t="s">
        <v>23</v>
      </c>
      <c r="D404" s="66">
        <v>62969260228</v>
      </c>
      <c r="E404" s="65">
        <v>3184276840</v>
      </c>
      <c r="F404" s="67">
        <v>1731233532.63606</v>
      </c>
      <c r="G404" s="68">
        <v>0</v>
      </c>
      <c r="H404" s="68">
        <v>1731233532.63606</v>
      </c>
      <c r="I404" s="68">
        <v>0</v>
      </c>
      <c r="J404" s="68">
        <v>3308777646</v>
      </c>
      <c r="K404" s="68">
        <v>631136474</v>
      </c>
      <c r="L404" s="68">
        <v>317746297</v>
      </c>
      <c r="M404" s="68">
        <v>1658810843</v>
      </c>
      <c r="N404" s="69">
        <v>7647704792.6360598</v>
      </c>
      <c r="O404" s="65" t="str">
        <f>VLOOKUP(A404,Report_HQ1!$A$7:$C$95,3,FALSE)</f>
        <v>BV Hải Phòng</v>
      </c>
      <c r="P404" s="40" t="str">
        <f>VLOOKUP(C404,Sheet1!$U$4:$V$14,2,FALSE)</f>
        <v>P&amp;I</v>
      </c>
      <c r="Q404" s="88">
        <f t="shared" si="6"/>
        <v>7647704792.6360598</v>
      </c>
    </row>
    <row r="405" spans="1:17" x14ac:dyDescent="0.25">
      <c r="A405" s="85" t="s">
        <v>317</v>
      </c>
      <c r="B405" s="65" t="s">
        <v>175</v>
      </c>
      <c r="C405" s="65" t="s">
        <v>389</v>
      </c>
      <c r="D405" s="66">
        <v>550837724</v>
      </c>
      <c r="E405" s="65">
        <v>3184276840</v>
      </c>
      <c r="F405" s="67">
        <v>15144353.536579825</v>
      </c>
      <c r="G405" s="68">
        <v>0</v>
      </c>
      <c r="H405" s="68">
        <v>15144353.536579825</v>
      </c>
      <c r="I405" s="68">
        <v>0</v>
      </c>
      <c r="J405" s="68">
        <v>27541886</v>
      </c>
      <c r="K405" s="68">
        <v>13770943</v>
      </c>
      <c r="L405" s="68">
        <v>41312829</v>
      </c>
      <c r="M405" s="68">
        <v>44067018</v>
      </c>
      <c r="N405" s="69">
        <v>141837029.53657982</v>
      </c>
      <c r="O405" s="65" t="str">
        <f>VLOOKUP(A405,Report_HQ1!$A$7:$C$95,3,FALSE)</f>
        <v>BV Hải Phòng</v>
      </c>
      <c r="P405" s="40" t="str">
        <f>VLOOKUP(C405,Sheet1!$U$4:$V$14,2,FALSE)</f>
        <v>BH Trách nhiệm</v>
      </c>
      <c r="Q405" s="88">
        <f t="shared" si="6"/>
        <v>141837029.53657982</v>
      </c>
    </row>
    <row r="406" spans="1:17" x14ac:dyDescent="0.25">
      <c r="A406" s="85" t="s">
        <v>317</v>
      </c>
      <c r="B406" s="65" t="s">
        <v>175</v>
      </c>
      <c r="C406" s="65" t="s">
        <v>390</v>
      </c>
      <c r="D406" s="66">
        <v>0</v>
      </c>
      <c r="E406" s="65">
        <v>3184276840</v>
      </c>
      <c r="F406" s="67">
        <v>0</v>
      </c>
      <c r="G406" s="68">
        <v>0</v>
      </c>
      <c r="H406" s="68">
        <v>0</v>
      </c>
      <c r="I406" s="68">
        <v>0</v>
      </c>
      <c r="J406" s="68">
        <v>0</v>
      </c>
      <c r="K406" s="68">
        <v>0</v>
      </c>
      <c r="L406" s="68">
        <v>0</v>
      </c>
      <c r="M406" s="68">
        <v>0</v>
      </c>
      <c r="N406" s="69">
        <v>0</v>
      </c>
      <c r="O406" s="65" t="str">
        <f>VLOOKUP(A406,Report_HQ1!$A$7:$C$95,3,FALSE)</f>
        <v>BV Hải Phòng</v>
      </c>
      <c r="P406" s="40" t="e">
        <f>VLOOKUP(C406,Sheet1!$U$4:$V$14,2,FALSE)</f>
        <v>#N/A</v>
      </c>
      <c r="Q406" s="88">
        <f t="shared" si="6"/>
        <v>0</v>
      </c>
    </row>
    <row r="407" spans="1:17" x14ac:dyDescent="0.25">
      <c r="A407" s="85" t="s">
        <v>317</v>
      </c>
      <c r="B407" s="65" t="s">
        <v>175</v>
      </c>
      <c r="C407" s="65" t="s">
        <v>391</v>
      </c>
      <c r="D407" s="66">
        <v>3208131722</v>
      </c>
      <c r="E407" s="65">
        <v>3184276840</v>
      </c>
      <c r="F407" s="67">
        <v>88202167.122970358</v>
      </c>
      <c r="G407" s="68">
        <v>0</v>
      </c>
      <c r="H407" s="68">
        <v>88202167.122970358</v>
      </c>
      <c r="I407" s="68">
        <v>0</v>
      </c>
      <c r="J407" s="68">
        <v>27910297</v>
      </c>
      <c r="K407" s="68">
        <v>13955148</v>
      </c>
      <c r="L407" s="68">
        <v>74790600</v>
      </c>
      <c r="M407" s="68">
        <v>38431130</v>
      </c>
      <c r="N407" s="69">
        <v>243289342.12297034</v>
      </c>
      <c r="O407" s="65" t="str">
        <f>VLOOKUP(A407,Report_HQ1!$A$7:$C$95,3,FALSE)</f>
        <v>BV Hải Phòng</v>
      </c>
      <c r="P407" s="40" t="str">
        <f>VLOOKUP(C407,Sheet1!$U$4:$V$14,2,FALSE)</f>
        <v>BH Kỹ thuật</v>
      </c>
      <c r="Q407" s="88">
        <f t="shared" si="6"/>
        <v>243289342.12297034</v>
      </c>
    </row>
    <row r="408" spans="1:17" x14ac:dyDescent="0.25">
      <c r="A408" s="85" t="s">
        <v>317</v>
      </c>
      <c r="B408" s="65" t="s">
        <v>175</v>
      </c>
      <c r="C408" s="65" t="s">
        <v>392</v>
      </c>
      <c r="D408" s="66">
        <v>3729054586</v>
      </c>
      <c r="E408" s="65">
        <v>3184276840</v>
      </c>
      <c r="F408" s="67">
        <v>102524062.07311304</v>
      </c>
      <c r="G408" s="68">
        <v>0</v>
      </c>
      <c r="H408" s="68">
        <v>102524062.07311304</v>
      </c>
      <c r="I408" s="68">
        <v>0</v>
      </c>
      <c r="J408" s="68">
        <v>61179147</v>
      </c>
      <c r="K408" s="68">
        <v>30589575</v>
      </c>
      <c r="L408" s="68">
        <v>172381932</v>
      </c>
      <c r="M408" s="68">
        <v>67601666</v>
      </c>
      <c r="N408" s="69">
        <v>434276382.07311302</v>
      </c>
      <c r="O408" s="65" t="str">
        <f>VLOOKUP(A408,Report_HQ1!$A$7:$C$95,3,FALSE)</f>
        <v>BV Hải Phòng</v>
      </c>
      <c r="P408" s="40" t="str">
        <f>VLOOKUP(C408,Sheet1!$U$4:$V$14,2,FALSE)</f>
        <v>BH Tài sản</v>
      </c>
      <c r="Q408" s="88">
        <f t="shared" si="6"/>
        <v>434276382.07311302</v>
      </c>
    </row>
    <row r="409" spans="1:17" x14ac:dyDescent="0.25">
      <c r="A409" s="85" t="s">
        <v>317</v>
      </c>
      <c r="B409" s="65" t="s">
        <v>175</v>
      </c>
      <c r="C409" s="65" t="s">
        <v>393</v>
      </c>
      <c r="D409" s="66">
        <v>5741747963</v>
      </c>
      <c r="E409" s="65">
        <v>3184276840</v>
      </c>
      <c r="F409" s="67">
        <v>157859669.51967335</v>
      </c>
      <c r="G409" s="68">
        <v>0</v>
      </c>
      <c r="H409" s="68">
        <v>157859669.51967335</v>
      </c>
      <c r="I409" s="68">
        <v>0</v>
      </c>
      <c r="J409" s="68">
        <v>500851381</v>
      </c>
      <c r="K409" s="68">
        <v>250425691</v>
      </c>
      <c r="L409" s="68">
        <v>593437370</v>
      </c>
      <c r="M409" s="68">
        <v>343254547</v>
      </c>
      <c r="N409" s="69">
        <v>1845828658.5196733</v>
      </c>
      <c r="O409" s="65" t="str">
        <f>VLOOKUP(A409,Report_HQ1!$A$7:$C$95,3,FALSE)</f>
        <v>BV Hải Phòng</v>
      </c>
      <c r="P409" s="40" t="str">
        <f>VLOOKUP(C409,Sheet1!$U$4:$V$14,2,FALSE)</f>
        <v>BH Xe cơ giới</v>
      </c>
      <c r="Q409" s="88">
        <f t="shared" si="6"/>
        <v>1845828658.5196733</v>
      </c>
    </row>
    <row r="410" spans="1:17" x14ac:dyDescent="0.25">
      <c r="A410" s="85" t="s">
        <v>317</v>
      </c>
      <c r="B410" s="65" t="s">
        <v>175</v>
      </c>
      <c r="C410" s="65" t="s">
        <v>394</v>
      </c>
      <c r="D410" s="66">
        <v>4873658856</v>
      </c>
      <c r="E410" s="65">
        <v>3184276840</v>
      </c>
      <c r="F410" s="67">
        <v>133993024.65338627</v>
      </c>
      <c r="G410" s="68">
        <v>0</v>
      </c>
      <c r="H410" s="68">
        <v>133993024.65338627</v>
      </c>
      <c r="I410" s="68">
        <v>863550</v>
      </c>
      <c r="J410" s="68">
        <v>851618169</v>
      </c>
      <c r="K410" s="68">
        <v>188590722</v>
      </c>
      <c r="L410" s="68">
        <v>236689555</v>
      </c>
      <c r="M410" s="68">
        <v>284180450</v>
      </c>
      <c r="N410" s="69">
        <v>1695935470.6533861</v>
      </c>
      <c r="O410" s="65" t="str">
        <f>VLOOKUP(A410,Report_HQ1!$A$7:$C$95,3,FALSE)</f>
        <v>BV Hải Phòng</v>
      </c>
      <c r="P410" s="40" t="str">
        <f>VLOOKUP(C410,Sheet1!$U$4:$V$14,2,FALSE)</f>
        <v>BH Con người</v>
      </c>
      <c r="Q410" s="88">
        <f t="shared" si="6"/>
        <v>1695935470.6533861</v>
      </c>
    </row>
    <row r="411" spans="1:17" x14ac:dyDescent="0.25">
      <c r="A411" s="85" t="s">
        <v>317</v>
      </c>
      <c r="B411" s="65" t="s">
        <v>175</v>
      </c>
      <c r="C411" s="65" t="s">
        <v>395</v>
      </c>
      <c r="D411" s="66">
        <v>0</v>
      </c>
      <c r="E411" s="65">
        <v>3184276840</v>
      </c>
      <c r="F411" s="67">
        <v>0</v>
      </c>
      <c r="G411" s="68">
        <v>0</v>
      </c>
      <c r="H411" s="68">
        <v>0</v>
      </c>
      <c r="I411" s="68">
        <v>0</v>
      </c>
      <c r="J411" s="68">
        <v>0</v>
      </c>
      <c r="K411" s="68">
        <v>0</v>
      </c>
      <c r="L411" s="68">
        <v>0</v>
      </c>
      <c r="M411" s="68">
        <v>0</v>
      </c>
      <c r="N411" s="69">
        <v>0</v>
      </c>
      <c r="O411" s="65" t="str">
        <f>VLOOKUP(A411,Report_HQ1!$A$7:$C$95,3,FALSE)</f>
        <v>BV Hải Phòng</v>
      </c>
      <c r="P411" s="40" t="e">
        <f>VLOOKUP(C411,Sheet1!$U$4:$V$14,2,FALSE)</f>
        <v>#N/A</v>
      </c>
      <c r="Q411" s="88">
        <f t="shared" si="6"/>
        <v>0</v>
      </c>
    </row>
    <row r="412" spans="1:17" x14ac:dyDescent="0.25">
      <c r="A412" s="85" t="s">
        <v>317</v>
      </c>
      <c r="B412" s="65" t="s">
        <v>175</v>
      </c>
      <c r="C412" s="65" t="s">
        <v>396</v>
      </c>
      <c r="D412" s="66">
        <v>7823964935</v>
      </c>
      <c r="E412" s="65">
        <v>3184276840</v>
      </c>
      <c r="F412" s="67">
        <v>215106710.87124705</v>
      </c>
      <c r="G412" s="68">
        <v>0</v>
      </c>
      <c r="H412" s="68">
        <v>215106710.87124705</v>
      </c>
      <c r="I412" s="68">
        <v>0</v>
      </c>
      <c r="J412" s="68">
        <v>1026928970</v>
      </c>
      <c r="K412" s="68">
        <v>289291132</v>
      </c>
      <c r="L412" s="68">
        <v>29235510</v>
      </c>
      <c r="M412" s="68">
        <v>410362750</v>
      </c>
      <c r="N412" s="69">
        <v>1970925072.8712471</v>
      </c>
      <c r="O412" s="65" t="str">
        <f>VLOOKUP(A412,Report_HQ1!$A$7:$C$95,3,FALSE)</f>
        <v>BV Hải Phòng</v>
      </c>
      <c r="P412" s="40" t="str">
        <f>VLOOKUP(C412,Sheet1!$U$4:$V$14,2,FALSE)</f>
        <v>BH Y tế</v>
      </c>
      <c r="Q412" s="88">
        <f t="shared" si="6"/>
        <v>1970925072.8712471</v>
      </c>
    </row>
    <row r="413" spans="1:17" x14ac:dyDescent="0.25">
      <c r="A413" s="85" t="s">
        <v>317</v>
      </c>
      <c r="B413" s="65" t="s">
        <v>175</v>
      </c>
      <c r="C413" s="65" t="s">
        <v>397</v>
      </c>
      <c r="D413" s="66">
        <v>131918140</v>
      </c>
      <c r="E413" s="65">
        <v>3184276840</v>
      </c>
      <c r="F413" s="67">
        <v>3626866.6124399868</v>
      </c>
      <c r="G413" s="68">
        <v>0</v>
      </c>
      <c r="H413" s="68">
        <v>3626866.6124399868</v>
      </c>
      <c r="I413" s="68">
        <v>0</v>
      </c>
      <c r="J413" s="68">
        <v>26383628</v>
      </c>
      <c r="K413" s="68">
        <v>26383628</v>
      </c>
      <c r="L413" s="68">
        <v>0</v>
      </c>
      <c r="M413" s="68">
        <v>10553451</v>
      </c>
      <c r="N413" s="69">
        <v>66947573.61243999</v>
      </c>
      <c r="O413" s="65" t="str">
        <f>VLOOKUP(A413,Report_HQ1!$A$7:$C$95,3,FALSE)</f>
        <v>BV Hải Phòng</v>
      </c>
      <c r="P413" s="40" t="str">
        <f>VLOOKUP(C413,Sheet1!$U$4:$V$14,2,FALSE)</f>
        <v>BH Du lịch</v>
      </c>
      <c r="Q413" s="88">
        <f t="shared" si="6"/>
        <v>66947573.61243999</v>
      </c>
    </row>
    <row r="414" spans="1:17" x14ac:dyDescent="0.25">
      <c r="A414" s="85" t="s">
        <v>320</v>
      </c>
      <c r="B414" s="65" t="s">
        <v>178</v>
      </c>
      <c r="C414" s="65" t="s">
        <v>387</v>
      </c>
      <c r="D414" s="66">
        <v>65063238</v>
      </c>
      <c r="E414" s="65">
        <v>1268750000</v>
      </c>
      <c r="F414" s="67">
        <v>3706725.3888168894</v>
      </c>
      <c r="G414" s="68">
        <v>0</v>
      </c>
      <c r="H414" s="68">
        <v>3706725.3888168894</v>
      </c>
      <c r="I414" s="68">
        <v>0</v>
      </c>
      <c r="J414" s="68">
        <v>0</v>
      </c>
      <c r="K414" s="68">
        <v>0</v>
      </c>
      <c r="L414" s="68">
        <v>12362015</v>
      </c>
      <c r="M414" s="68">
        <v>5205059</v>
      </c>
      <c r="N414" s="69">
        <v>21273799.388816889</v>
      </c>
      <c r="O414" s="65" t="str">
        <f>VLOOKUP(A414,Report_HQ1!$A$7:$C$95,3,FALSE)</f>
        <v>BV Hưng Yên</v>
      </c>
      <c r="P414" s="40" t="str">
        <f>VLOOKUP(C414,Sheet1!$U$4:$V$14,2,FALSE)</f>
        <v>BH Hàng hóa</v>
      </c>
      <c r="Q414" s="88">
        <f t="shared" si="6"/>
        <v>21273799.388816889</v>
      </c>
    </row>
    <row r="415" spans="1:17" x14ac:dyDescent="0.25">
      <c r="A415" s="85" t="s">
        <v>320</v>
      </c>
      <c r="B415" s="65" t="s">
        <v>178</v>
      </c>
      <c r="C415" s="65" t="s">
        <v>272</v>
      </c>
      <c r="D415" s="66">
        <v>0</v>
      </c>
      <c r="E415" s="65">
        <v>1268750000</v>
      </c>
      <c r="F415" s="67">
        <v>0</v>
      </c>
      <c r="G415" s="68">
        <v>0</v>
      </c>
      <c r="H415" s="68">
        <v>0</v>
      </c>
      <c r="I415" s="68">
        <v>0</v>
      </c>
      <c r="J415" s="68">
        <v>0</v>
      </c>
      <c r="K415" s="68">
        <v>0</v>
      </c>
      <c r="L415" s="68">
        <v>0</v>
      </c>
      <c r="M415" s="68">
        <v>0</v>
      </c>
      <c r="N415" s="69">
        <v>0</v>
      </c>
      <c r="O415" s="65" t="str">
        <f>VLOOKUP(A415,Report_HQ1!$A$7:$C$95,3,FALSE)</f>
        <v>BV Hưng Yên</v>
      </c>
      <c r="P415" s="40" t="str">
        <f>VLOOKUP(C415,Sheet1!$U$4:$V$14,2,FALSE)</f>
        <v>Tàu khác</v>
      </c>
      <c r="Q415" s="88">
        <f t="shared" si="6"/>
        <v>0</v>
      </c>
    </row>
    <row r="416" spans="1:17" x14ac:dyDescent="0.25">
      <c r="A416" s="85" t="s">
        <v>320</v>
      </c>
      <c r="B416" s="65" t="s">
        <v>178</v>
      </c>
      <c r="C416" s="65" t="s">
        <v>388</v>
      </c>
      <c r="D416" s="66">
        <v>0</v>
      </c>
      <c r="E416" s="65">
        <v>1268750000</v>
      </c>
      <c r="F416" s="67">
        <v>0</v>
      </c>
      <c r="G416" s="68">
        <v>0</v>
      </c>
      <c r="H416" s="68">
        <v>0</v>
      </c>
      <c r="I416" s="68">
        <v>0</v>
      </c>
      <c r="J416" s="68">
        <v>0</v>
      </c>
      <c r="K416" s="68">
        <v>0</v>
      </c>
      <c r="L416" s="68">
        <v>0</v>
      </c>
      <c r="M416" s="68">
        <v>0</v>
      </c>
      <c r="N416" s="69">
        <v>0</v>
      </c>
      <c r="O416" s="65" t="str">
        <f>VLOOKUP(A416,Report_HQ1!$A$7:$C$95,3,FALSE)</f>
        <v>BV Hưng Yên</v>
      </c>
      <c r="P416" s="40" t="str">
        <f>VLOOKUP(C416,Sheet1!$U$4:$V$14,2,FALSE)</f>
        <v>Hull (Thân tàu biển)</v>
      </c>
      <c r="Q416" s="88">
        <f t="shared" si="6"/>
        <v>0</v>
      </c>
    </row>
    <row r="417" spans="1:17" x14ac:dyDescent="0.25">
      <c r="A417" s="85" t="s">
        <v>320</v>
      </c>
      <c r="B417" s="65" t="s">
        <v>178</v>
      </c>
      <c r="C417" s="65" t="s">
        <v>23</v>
      </c>
      <c r="D417" s="66">
        <v>0</v>
      </c>
      <c r="E417" s="65">
        <v>1268750000</v>
      </c>
      <c r="F417" s="67">
        <v>0</v>
      </c>
      <c r="G417" s="68">
        <v>0</v>
      </c>
      <c r="H417" s="68">
        <v>0</v>
      </c>
      <c r="I417" s="68">
        <v>0</v>
      </c>
      <c r="J417" s="68">
        <v>0</v>
      </c>
      <c r="K417" s="68">
        <v>0</v>
      </c>
      <c r="L417" s="68">
        <v>0</v>
      </c>
      <c r="M417" s="68">
        <v>0</v>
      </c>
      <c r="N417" s="69">
        <v>0</v>
      </c>
      <c r="O417" s="65" t="str">
        <f>VLOOKUP(A417,Report_HQ1!$A$7:$C$95,3,FALSE)</f>
        <v>BV Hưng Yên</v>
      </c>
      <c r="P417" s="40" t="str">
        <f>VLOOKUP(C417,Sheet1!$U$4:$V$14,2,FALSE)</f>
        <v>P&amp;I</v>
      </c>
      <c r="Q417" s="88">
        <f t="shared" si="6"/>
        <v>0</v>
      </c>
    </row>
    <row r="418" spans="1:17" x14ac:dyDescent="0.25">
      <c r="A418" s="85" t="s">
        <v>320</v>
      </c>
      <c r="B418" s="65" t="s">
        <v>178</v>
      </c>
      <c r="C418" s="65" t="s">
        <v>389</v>
      </c>
      <c r="D418" s="66">
        <v>0</v>
      </c>
      <c r="E418" s="65">
        <v>1268750000</v>
      </c>
      <c r="F418" s="67">
        <v>0</v>
      </c>
      <c r="G418" s="68">
        <v>0</v>
      </c>
      <c r="H418" s="68">
        <v>0</v>
      </c>
      <c r="I418" s="68">
        <v>0</v>
      </c>
      <c r="J418" s="68">
        <v>0</v>
      </c>
      <c r="K418" s="68">
        <v>0</v>
      </c>
      <c r="L418" s="68">
        <v>0</v>
      </c>
      <c r="M418" s="68">
        <v>0</v>
      </c>
      <c r="N418" s="69">
        <v>0</v>
      </c>
      <c r="O418" s="65" t="str">
        <f>VLOOKUP(A418,Report_HQ1!$A$7:$C$95,3,FALSE)</f>
        <v>BV Hưng Yên</v>
      </c>
      <c r="P418" s="40" t="str">
        <f>VLOOKUP(C418,Sheet1!$U$4:$V$14,2,FALSE)</f>
        <v>BH Trách nhiệm</v>
      </c>
      <c r="Q418" s="88">
        <f t="shared" si="6"/>
        <v>0</v>
      </c>
    </row>
    <row r="419" spans="1:17" x14ac:dyDescent="0.25">
      <c r="A419" s="85" t="s">
        <v>320</v>
      </c>
      <c r="B419" s="65" t="s">
        <v>178</v>
      </c>
      <c r="C419" s="65" t="s">
        <v>390</v>
      </c>
      <c r="D419" s="66">
        <v>0</v>
      </c>
      <c r="E419" s="65">
        <v>1268750000</v>
      </c>
      <c r="F419" s="67">
        <v>0</v>
      </c>
      <c r="G419" s="68">
        <v>0</v>
      </c>
      <c r="H419" s="68">
        <v>0</v>
      </c>
      <c r="I419" s="68">
        <v>0</v>
      </c>
      <c r="J419" s="68">
        <v>0</v>
      </c>
      <c r="K419" s="68">
        <v>0</v>
      </c>
      <c r="L419" s="68">
        <v>0</v>
      </c>
      <c r="M419" s="68">
        <v>0</v>
      </c>
      <c r="N419" s="69">
        <v>0</v>
      </c>
      <c r="O419" s="65" t="str">
        <f>VLOOKUP(A419,Report_HQ1!$A$7:$C$95,3,FALSE)</f>
        <v>BV Hưng Yên</v>
      </c>
      <c r="P419" s="40" t="e">
        <f>VLOOKUP(C419,Sheet1!$U$4:$V$14,2,FALSE)</f>
        <v>#N/A</v>
      </c>
      <c r="Q419" s="88">
        <f t="shared" si="6"/>
        <v>0</v>
      </c>
    </row>
    <row r="420" spans="1:17" x14ac:dyDescent="0.25">
      <c r="A420" s="85" t="s">
        <v>320</v>
      </c>
      <c r="B420" s="65" t="s">
        <v>178</v>
      </c>
      <c r="C420" s="65" t="s">
        <v>391</v>
      </c>
      <c r="D420" s="66">
        <v>1452727001</v>
      </c>
      <c r="E420" s="65">
        <v>1268750000</v>
      </c>
      <c r="F420" s="67">
        <v>82763480.932604656</v>
      </c>
      <c r="G420" s="68">
        <v>0</v>
      </c>
      <c r="H420" s="68">
        <v>82763480.932604656</v>
      </c>
      <c r="I420" s="68">
        <v>0</v>
      </c>
      <c r="J420" s="68">
        <v>0</v>
      </c>
      <c r="K420" s="68">
        <v>0</v>
      </c>
      <c r="L420" s="68">
        <v>247615086</v>
      </c>
      <c r="M420" s="68">
        <v>82538362</v>
      </c>
      <c r="N420" s="69">
        <v>412916928.93260467</v>
      </c>
      <c r="O420" s="65" t="str">
        <f>VLOOKUP(A420,Report_HQ1!$A$7:$C$95,3,FALSE)</f>
        <v>BV Hưng Yên</v>
      </c>
      <c r="P420" s="40" t="str">
        <f>VLOOKUP(C420,Sheet1!$U$4:$V$14,2,FALSE)</f>
        <v>BH Kỹ thuật</v>
      </c>
      <c r="Q420" s="88">
        <f t="shared" si="6"/>
        <v>412916928.93260467</v>
      </c>
    </row>
    <row r="421" spans="1:17" x14ac:dyDescent="0.25">
      <c r="A421" s="85" t="s">
        <v>320</v>
      </c>
      <c r="B421" s="65" t="s">
        <v>178</v>
      </c>
      <c r="C421" s="65" t="s">
        <v>392</v>
      </c>
      <c r="D421" s="66">
        <v>9867259938</v>
      </c>
      <c r="E421" s="65">
        <v>1268750000</v>
      </c>
      <c r="F421" s="67">
        <v>562148827.11863136</v>
      </c>
      <c r="G421" s="68">
        <v>0</v>
      </c>
      <c r="H421" s="68">
        <v>562148827.11863136</v>
      </c>
      <c r="I421" s="68">
        <v>0</v>
      </c>
      <c r="J421" s="68">
        <v>449547404</v>
      </c>
      <c r="K421" s="68">
        <v>224773704</v>
      </c>
      <c r="L421" s="68">
        <v>293706955</v>
      </c>
      <c r="M421" s="68">
        <v>537341700</v>
      </c>
      <c r="N421" s="69">
        <v>2067518590.1186314</v>
      </c>
      <c r="O421" s="65" t="str">
        <f>VLOOKUP(A421,Report_HQ1!$A$7:$C$95,3,FALSE)</f>
        <v>BV Hưng Yên</v>
      </c>
      <c r="P421" s="40" t="str">
        <f>VLOOKUP(C421,Sheet1!$U$4:$V$14,2,FALSE)</f>
        <v>BH Tài sản</v>
      </c>
      <c r="Q421" s="88">
        <f t="shared" si="6"/>
        <v>2067518590.1186314</v>
      </c>
    </row>
    <row r="422" spans="1:17" x14ac:dyDescent="0.25">
      <c r="A422" s="85" t="s">
        <v>320</v>
      </c>
      <c r="B422" s="65" t="s">
        <v>178</v>
      </c>
      <c r="C422" s="65" t="s">
        <v>393</v>
      </c>
      <c r="D422" s="66">
        <v>6221670004</v>
      </c>
      <c r="E422" s="65">
        <v>1268750000</v>
      </c>
      <c r="F422" s="67">
        <v>354455493.97137713</v>
      </c>
      <c r="G422" s="68">
        <v>0</v>
      </c>
      <c r="H422" s="68">
        <v>354455493.97137713</v>
      </c>
      <c r="I422" s="68">
        <v>0</v>
      </c>
      <c r="J422" s="68">
        <v>547256544</v>
      </c>
      <c r="K422" s="68">
        <v>273628272</v>
      </c>
      <c r="L422" s="68">
        <v>515815244</v>
      </c>
      <c r="M422" s="68">
        <v>372692031</v>
      </c>
      <c r="N422" s="69">
        <v>2063847584.9713771</v>
      </c>
      <c r="O422" s="65" t="str">
        <f>VLOOKUP(A422,Report_HQ1!$A$7:$C$95,3,FALSE)</f>
        <v>BV Hưng Yên</v>
      </c>
      <c r="P422" s="40" t="str">
        <f>VLOOKUP(C422,Sheet1!$U$4:$V$14,2,FALSE)</f>
        <v>BH Xe cơ giới</v>
      </c>
      <c r="Q422" s="88">
        <f t="shared" si="6"/>
        <v>2063847584.9713771</v>
      </c>
    </row>
    <row r="423" spans="1:17" x14ac:dyDescent="0.25">
      <c r="A423" s="85" t="s">
        <v>320</v>
      </c>
      <c r="B423" s="65" t="s">
        <v>178</v>
      </c>
      <c r="C423" s="65" t="s">
        <v>394</v>
      </c>
      <c r="D423" s="66">
        <v>3791483460</v>
      </c>
      <c r="E423" s="65">
        <v>1268750000</v>
      </c>
      <c r="F423" s="67">
        <v>216005050.38592309</v>
      </c>
      <c r="G423" s="68">
        <v>0</v>
      </c>
      <c r="H423" s="68">
        <v>216005050.38592309</v>
      </c>
      <c r="I423" s="68">
        <v>-120000</v>
      </c>
      <c r="J423" s="68">
        <v>539670363</v>
      </c>
      <c r="K423" s="68">
        <v>58500</v>
      </c>
      <c r="L423" s="68">
        <v>179815920</v>
      </c>
      <c r="M423" s="68">
        <v>185843584</v>
      </c>
      <c r="N423" s="69">
        <v>1121273417.3859231</v>
      </c>
      <c r="O423" s="65" t="str">
        <f>VLOOKUP(A423,Report_HQ1!$A$7:$C$95,3,FALSE)</f>
        <v>BV Hưng Yên</v>
      </c>
      <c r="P423" s="40" t="str">
        <f>VLOOKUP(C423,Sheet1!$U$4:$V$14,2,FALSE)</f>
        <v>BH Con người</v>
      </c>
      <c r="Q423" s="88">
        <f t="shared" si="6"/>
        <v>1121273417.3859231</v>
      </c>
    </row>
    <row r="424" spans="1:17" x14ac:dyDescent="0.25">
      <c r="A424" s="85" t="s">
        <v>320</v>
      </c>
      <c r="B424" s="65" t="s">
        <v>178</v>
      </c>
      <c r="C424" s="65" t="s">
        <v>395</v>
      </c>
      <c r="D424" s="66">
        <v>0</v>
      </c>
      <c r="E424" s="65">
        <v>1268750000</v>
      </c>
      <c r="F424" s="67">
        <v>0</v>
      </c>
      <c r="G424" s="68">
        <v>0</v>
      </c>
      <c r="H424" s="68">
        <v>0</v>
      </c>
      <c r="I424" s="68">
        <v>0</v>
      </c>
      <c r="J424" s="68">
        <v>0</v>
      </c>
      <c r="K424" s="68">
        <v>0</v>
      </c>
      <c r="L424" s="68">
        <v>0</v>
      </c>
      <c r="M424" s="68">
        <v>0</v>
      </c>
      <c r="N424" s="69">
        <v>0</v>
      </c>
      <c r="O424" s="65" t="str">
        <f>VLOOKUP(A424,Report_HQ1!$A$7:$C$95,3,FALSE)</f>
        <v>BV Hưng Yên</v>
      </c>
      <c r="P424" s="40" t="e">
        <f>VLOOKUP(C424,Sheet1!$U$4:$V$14,2,FALSE)</f>
        <v>#N/A</v>
      </c>
      <c r="Q424" s="88">
        <f t="shared" si="6"/>
        <v>0</v>
      </c>
    </row>
    <row r="425" spans="1:17" x14ac:dyDescent="0.25">
      <c r="A425" s="85" t="s">
        <v>320</v>
      </c>
      <c r="B425" s="65" t="s">
        <v>178</v>
      </c>
      <c r="C425" s="65" t="s">
        <v>396</v>
      </c>
      <c r="D425" s="66">
        <v>856148090</v>
      </c>
      <c r="E425" s="65">
        <v>1268750000</v>
      </c>
      <c r="F425" s="67">
        <v>48775713.587910995</v>
      </c>
      <c r="G425" s="68">
        <v>0</v>
      </c>
      <c r="H425" s="68">
        <v>48775713.587910995</v>
      </c>
      <c r="I425" s="68">
        <v>0</v>
      </c>
      <c r="J425" s="68">
        <v>171229618</v>
      </c>
      <c r="K425" s="68">
        <v>33801507</v>
      </c>
      <c r="L425" s="68">
        <v>1175094</v>
      </c>
      <c r="M425" s="68">
        <v>65193869</v>
      </c>
      <c r="N425" s="69">
        <v>320175801.58791101</v>
      </c>
      <c r="O425" s="65" t="str">
        <f>VLOOKUP(A425,Report_HQ1!$A$7:$C$95,3,FALSE)</f>
        <v>BV Hưng Yên</v>
      </c>
      <c r="P425" s="40" t="str">
        <f>VLOOKUP(C425,Sheet1!$U$4:$V$14,2,FALSE)</f>
        <v>BH Y tế</v>
      </c>
      <c r="Q425" s="88">
        <f t="shared" si="6"/>
        <v>320175801.58791101</v>
      </c>
    </row>
    <row r="426" spans="1:17" x14ac:dyDescent="0.25">
      <c r="A426" s="85" t="s">
        <v>320</v>
      </c>
      <c r="B426" s="65" t="s">
        <v>178</v>
      </c>
      <c r="C426" s="65" t="s">
        <v>397</v>
      </c>
      <c r="D426" s="66">
        <v>15704600</v>
      </c>
      <c r="E426" s="65">
        <v>1268750000</v>
      </c>
      <c r="F426" s="67">
        <v>894708.61473592382</v>
      </c>
      <c r="G426" s="68">
        <v>0</v>
      </c>
      <c r="H426" s="68">
        <v>894708.61473592382</v>
      </c>
      <c r="I426" s="68">
        <v>0</v>
      </c>
      <c r="J426" s="68">
        <v>3140920</v>
      </c>
      <c r="K426" s="68">
        <v>3140920</v>
      </c>
      <c r="L426" s="68">
        <v>0</v>
      </c>
      <c r="M426" s="68">
        <v>1256368</v>
      </c>
      <c r="N426" s="69">
        <v>8432916.6147359237</v>
      </c>
      <c r="O426" s="65" t="str">
        <f>VLOOKUP(A426,Report_HQ1!$A$7:$C$95,3,FALSE)</f>
        <v>BV Hưng Yên</v>
      </c>
      <c r="P426" s="40" t="str">
        <f>VLOOKUP(C426,Sheet1!$U$4:$V$14,2,FALSE)</f>
        <v>BH Du lịch</v>
      </c>
      <c r="Q426" s="88">
        <f t="shared" si="6"/>
        <v>8432916.6147359237</v>
      </c>
    </row>
    <row r="427" spans="1:17" x14ac:dyDescent="0.25">
      <c r="A427" s="85" t="s">
        <v>319</v>
      </c>
      <c r="B427" s="65" t="s">
        <v>177</v>
      </c>
      <c r="C427" s="65" t="s">
        <v>387</v>
      </c>
      <c r="D427" s="66">
        <v>14804100</v>
      </c>
      <c r="E427" s="65">
        <v>368750000</v>
      </c>
      <c r="F427" s="67">
        <v>924186.13581319223</v>
      </c>
      <c r="G427" s="68">
        <v>0</v>
      </c>
      <c r="H427" s="68">
        <v>924186.13581319223</v>
      </c>
      <c r="I427" s="68">
        <v>0</v>
      </c>
      <c r="J427" s="68">
        <v>1480410</v>
      </c>
      <c r="K427" s="68">
        <v>740205</v>
      </c>
      <c r="L427" s="68">
        <v>592164</v>
      </c>
      <c r="M427" s="68">
        <v>1184328</v>
      </c>
      <c r="N427" s="69">
        <v>4921293.1358131925</v>
      </c>
      <c r="O427" s="65" t="str">
        <f>VLOOKUP(A427,Report_HQ1!$A$7:$C$95,3,FALSE)</f>
        <v>BV Hòa Bình</v>
      </c>
      <c r="P427" s="40" t="str">
        <f>VLOOKUP(C427,Sheet1!$U$4:$V$14,2,FALSE)</f>
        <v>BH Hàng hóa</v>
      </c>
      <c r="Q427" s="88">
        <f t="shared" si="6"/>
        <v>4921293.1358131925</v>
      </c>
    </row>
    <row r="428" spans="1:17" x14ac:dyDescent="0.25">
      <c r="A428" s="85" t="s">
        <v>319</v>
      </c>
      <c r="B428" s="65" t="s">
        <v>177</v>
      </c>
      <c r="C428" s="65" t="s">
        <v>272</v>
      </c>
      <c r="D428" s="66">
        <v>6653600</v>
      </c>
      <c r="E428" s="65">
        <v>368750000</v>
      </c>
      <c r="F428" s="67">
        <v>415369.04460566031</v>
      </c>
      <c r="G428" s="68">
        <v>0</v>
      </c>
      <c r="H428" s="68">
        <v>415369.04460566031</v>
      </c>
      <c r="I428" s="68">
        <v>0</v>
      </c>
      <c r="J428" s="68">
        <v>998040</v>
      </c>
      <c r="K428" s="68">
        <v>465752</v>
      </c>
      <c r="L428" s="68">
        <v>66536</v>
      </c>
      <c r="M428" s="68">
        <v>532288</v>
      </c>
      <c r="N428" s="69">
        <v>2477985.0446056603</v>
      </c>
      <c r="O428" s="65" t="str">
        <f>VLOOKUP(A428,Report_HQ1!$A$7:$C$95,3,FALSE)</f>
        <v>BV Hòa Bình</v>
      </c>
      <c r="P428" s="40" t="str">
        <f>VLOOKUP(C428,Sheet1!$U$4:$V$14,2,FALSE)</f>
        <v>Tàu khác</v>
      </c>
      <c r="Q428" s="88">
        <f t="shared" si="6"/>
        <v>2477985.0446056603</v>
      </c>
    </row>
    <row r="429" spans="1:17" x14ac:dyDescent="0.25">
      <c r="A429" s="85" t="s">
        <v>319</v>
      </c>
      <c r="B429" s="65" t="s">
        <v>177</v>
      </c>
      <c r="C429" s="65" t="s">
        <v>388</v>
      </c>
      <c r="D429" s="66">
        <v>0</v>
      </c>
      <c r="E429" s="65">
        <v>368750000</v>
      </c>
      <c r="F429" s="67">
        <v>0</v>
      </c>
      <c r="G429" s="68">
        <v>0</v>
      </c>
      <c r="H429" s="68">
        <v>0</v>
      </c>
      <c r="I429" s="68">
        <v>0</v>
      </c>
      <c r="J429" s="68">
        <v>0</v>
      </c>
      <c r="K429" s="68">
        <v>0</v>
      </c>
      <c r="L429" s="68">
        <v>0</v>
      </c>
      <c r="M429" s="68">
        <v>0</v>
      </c>
      <c r="N429" s="69">
        <v>0</v>
      </c>
      <c r="O429" s="65" t="str">
        <f>VLOOKUP(A429,Report_HQ1!$A$7:$C$95,3,FALSE)</f>
        <v>BV Hòa Bình</v>
      </c>
      <c r="P429" s="40" t="str">
        <f>VLOOKUP(C429,Sheet1!$U$4:$V$14,2,FALSE)</f>
        <v>Hull (Thân tàu biển)</v>
      </c>
      <c r="Q429" s="88">
        <f t="shared" si="6"/>
        <v>0</v>
      </c>
    </row>
    <row r="430" spans="1:17" x14ac:dyDescent="0.25">
      <c r="A430" s="85" t="s">
        <v>319</v>
      </c>
      <c r="B430" s="65" t="s">
        <v>177</v>
      </c>
      <c r="C430" s="65" t="s">
        <v>23</v>
      </c>
      <c r="D430" s="66">
        <v>0</v>
      </c>
      <c r="E430" s="65">
        <v>368750000</v>
      </c>
      <c r="F430" s="67">
        <v>0</v>
      </c>
      <c r="G430" s="68">
        <v>0</v>
      </c>
      <c r="H430" s="68">
        <v>0</v>
      </c>
      <c r="I430" s="68">
        <v>0</v>
      </c>
      <c r="J430" s="68">
        <v>0</v>
      </c>
      <c r="K430" s="68">
        <v>0</v>
      </c>
      <c r="L430" s="68">
        <v>0</v>
      </c>
      <c r="M430" s="68">
        <v>0</v>
      </c>
      <c r="N430" s="69">
        <v>0</v>
      </c>
      <c r="O430" s="65" t="str">
        <f>VLOOKUP(A430,Report_HQ1!$A$7:$C$95,3,FALSE)</f>
        <v>BV Hòa Bình</v>
      </c>
      <c r="P430" s="40" t="str">
        <f>VLOOKUP(C430,Sheet1!$U$4:$V$14,2,FALSE)</f>
        <v>P&amp;I</v>
      </c>
      <c r="Q430" s="88">
        <f t="shared" si="6"/>
        <v>0</v>
      </c>
    </row>
    <row r="431" spans="1:17" x14ac:dyDescent="0.25">
      <c r="A431" s="85" t="s">
        <v>319</v>
      </c>
      <c r="B431" s="65" t="s">
        <v>177</v>
      </c>
      <c r="C431" s="65" t="s">
        <v>389</v>
      </c>
      <c r="D431" s="66">
        <v>0</v>
      </c>
      <c r="E431" s="65">
        <v>368750000</v>
      </c>
      <c r="F431" s="67">
        <v>0</v>
      </c>
      <c r="G431" s="68">
        <v>0</v>
      </c>
      <c r="H431" s="68">
        <v>0</v>
      </c>
      <c r="I431" s="68">
        <v>0</v>
      </c>
      <c r="J431" s="68">
        <v>0</v>
      </c>
      <c r="K431" s="68">
        <v>0</v>
      </c>
      <c r="L431" s="68">
        <v>0</v>
      </c>
      <c r="M431" s="68">
        <v>0</v>
      </c>
      <c r="N431" s="69">
        <v>0</v>
      </c>
      <c r="O431" s="65" t="str">
        <f>VLOOKUP(A431,Report_HQ1!$A$7:$C$95,3,FALSE)</f>
        <v>BV Hòa Bình</v>
      </c>
      <c r="P431" s="40" t="str">
        <f>VLOOKUP(C431,Sheet1!$U$4:$V$14,2,FALSE)</f>
        <v>BH Trách nhiệm</v>
      </c>
      <c r="Q431" s="88">
        <f t="shared" si="6"/>
        <v>0</v>
      </c>
    </row>
    <row r="432" spans="1:17" x14ac:dyDescent="0.25">
      <c r="A432" s="85" t="s">
        <v>319</v>
      </c>
      <c r="B432" s="65" t="s">
        <v>177</v>
      </c>
      <c r="C432" s="65" t="s">
        <v>390</v>
      </c>
      <c r="D432" s="66">
        <v>0</v>
      </c>
      <c r="E432" s="65">
        <v>368750000</v>
      </c>
      <c r="F432" s="67">
        <v>0</v>
      </c>
      <c r="G432" s="68">
        <v>0</v>
      </c>
      <c r="H432" s="68">
        <v>0</v>
      </c>
      <c r="I432" s="68">
        <v>0</v>
      </c>
      <c r="J432" s="68">
        <v>0</v>
      </c>
      <c r="K432" s="68">
        <v>0</v>
      </c>
      <c r="L432" s="68">
        <v>0</v>
      </c>
      <c r="M432" s="68">
        <v>0</v>
      </c>
      <c r="N432" s="69">
        <v>0</v>
      </c>
      <c r="O432" s="65" t="str">
        <f>VLOOKUP(A432,Report_HQ1!$A$7:$C$95,3,FALSE)</f>
        <v>BV Hòa Bình</v>
      </c>
      <c r="P432" s="40" t="e">
        <f>VLOOKUP(C432,Sheet1!$U$4:$V$14,2,FALSE)</f>
        <v>#N/A</v>
      </c>
      <c r="Q432" s="88">
        <f t="shared" si="6"/>
        <v>0</v>
      </c>
    </row>
    <row r="433" spans="1:17" x14ac:dyDescent="0.25">
      <c r="A433" s="85" t="s">
        <v>319</v>
      </c>
      <c r="B433" s="65" t="s">
        <v>177</v>
      </c>
      <c r="C433" s="65" t="s">
        <v>391</v>
      </c>
      <c r="D433" s="66">
        <v>937812726</v>
      </c>
      <c r="E433" s="65">
        <v>368750000</v>
      </c>
      <c r="F433" s="67">
        <v>58545505.593610957</v>
      </c>
      <c r="G433" s="68">
        <v>0</v>
      </c>
      <c r="H433" s="68">
        <v>58545505.593610957</v>
      </c>
      <c r="I433" s="68">
        <v>0</v>
      </c>
      <c r="J433" s="68">
        <v>720000</v>
      </c>
      <c r="K433" s="68">
        <v>360000</v>
      </c>
      <c r="L433" s="68">
        <v>232766691</v>
      </c>
      <c r="M433" s="68">
        <v>56268764</v>
      </c>
      <c r="N433" s="69">
        <v>348660960.59361094</v>
      </c>
      <c r="O433" s="65" t="str">
        <f>VLOOKUP(A433,Report_HQ1!$A$7:$C$95,3,FALSE)</f>
        <v>BV Hòa Bình</v>
      </c>
      <c r="P433" s="40" t="str">
        <f>VLOOKUP(C433,Sheet1!$U$4:$V$14,2,FALSE)</f>
        <v>BH Kỹ thuật</v>
      </c>
      <c r="Q433" s="88">
        <f t="shared" si="6"/>
        <v>348660960.59361094</v>
      </c>
    </row>
    <row r="434" spans="1:17" x14ac:dyDescent="0.25">
      <c r="A434" s="85" t="s">
        <v>319</v>
      </c>
      <c r="B434" s="65" t="s">
        <v>177</v>
      </c>
      <c r="C434" s="65" t="s">
        <v>392</v>
      </c>
      <c r="D434" s="66">
        <v>614790885</v>
      </c>
      <c r="E434" s="65">
        <v>368750000</v>
      </c>
      <c r="F434" s="67">
        <v>38379990.160923161</v>
      </c>
      <c r="G434" s="68">
        <v>0</v>
      </c>
      <c r="H434" s="68">
        <v>38379990.160923161</v>
      </c>
      <c r="I434" s="68">
        <v>0</v>
      </c>
      <c r="J434" s="68">
        <v>17468853</v>
      </c>
      <c r="K434" s="68">
        <v>8734427</v>
      </c>
      <c r="L434" s="68">
        <v>98381455</v>
      </c>
      <c r="M434" s="68">
        <v>27887454</v>
      </c>
      <c r="N434" s="69">
        <v>190852179.16092315</v>
      </c>
      <c r="O434" s="65" t="str">
        <f>VLOOKUP(A434,Report_HQ1!$A$7:$C$95,3,FALSE)</f>
        <v>BV Hòa Bình</v>
      </c>
      <c r="P434" s="40" t="str">
        <f>VLOOKUP(C434,Sheet1!$U$4:$V$14,2,FALSE)</f>
        <v>BH Tài sản</v>
      </c>
      <c r="Q434" s="88">
        <f t="shared" si="6"/>
        <v>190852179.16092315</v>
      </c>
    </row>
    <row r="435" spans="1:17" x14ac:dyDescent="0.25">
      <c r="A435" s="85" t="s">
        <v>319</v>
      </c>
      <c r="B435" s="65" t="s">
        <v>177</v>
      </c>
      <c r="C435" s="65" t="s">
        <v>393</v>
      </c>
      <c r="D435" s="66">
        <v>2638395351</v>
      </c>
      <c r="E435" s="65">
        <v>368750000</v>
      </c>
      <c r="F435" s="67">
        <v>164708993.06193426</v>
      </c>
      <c r="G435" s="68">
        <v>0</v>
      </c>
      <c r="H435" s="68">
        <v>164708993.06193426</v>
      </c>
      <c r="I435" s="68">
        <v>0</v>
      </c>
      <c r="J435" s="68">
        <v>235329043</v>
      </c>
      <c r="K435" s="68">
        <v>118164768</v>
      </c>
      <c r="L435" s="68">
        <v>407072199</v>
      </c>
      <c r="M435" s="68">
        <v>157048170</v>
      </c>
      <c r="N435" s="69">
        <v>1082323173.0619342</v>
      </c>
      <c r="O435" s="65" t="str">
        <f>VLOOKUP(A435,Report_HQ1!$A$7:$C$95,3,FALSE)</f>
        <v>BV Hòa Bình</v>
      </c>
      <c r="P435" s="40" t="str">
        <f>VLOOKUP(C435,Sheet1!$U$4:$V$14,2,FALSE)</f>
        <v>BH Xe cơ giới</v>
      </c>
      <c r="Q435" s="88">
        <f t="shared" si="6"/>
        <v>1082323173.0619342</v>
      </c>
    </row>
    <row r="436" spans="1:17" x14ac:dyDescent="0.25">
      <c r="A436" s="85" t="s">
        <v>319</v>
      </c>
      <c r="B436" s="65" t="s">
        <v>177</v>
      </c>
      <c r="C436" s="65" t="s">
        <v>394</v>
      </c>
      <c r="D436" s="66">
        <v>960943260</v>
      </c>
      <c r="E436" s="65">
        <v>368750000</v>
      </c>
      <c r="F436" s="67">
        <v>59989491.978244655</v>
      </c>
      <c r="G436" s="68">
        <v>0</v>
      </c>
      <c r="H436" s="68">
        <v>59989491.978244655</v>
      </c>
      <c r="I436" s="68">
        <v>311500</v>
      </c>
      <c r="J436" s="68">
        <v>133279149</v>
      </c>
      <c r="K436" s="68">
        <v>4112143</v>
      </c>
      <c r="L436" s="68">
        <v>37995810</v>
      </c>
      <c r="M436" s="68">
        <v>49787848</v>
      </c>
      <c r="N436" s="69">
        <v>285475941.97824466</v>
      </c>
      <c r="O436" s="65" t="str">
        <f>VLOOKUP(A436,Report_HQ1!$A$7:$C$95,3,FALSE)</f>
        <v>BV Hòa Bình</v>
      </c>
      <c r="P436" s="40" t="str">
        <f>VLOOKUP(C436,Sheet1!$U$4:$V$14,2,FALSE)</f>
        <v>BH Con người</v>
      </c>
      <c r="Q436" s="88">
        <f t="shared" si="6"/>
        <v>285475941.97824466</v>
      </c>
    </row>
    <row r="437" spans="1:17" x14ac:dyDescent="0.25">
      <c r="A437" s="85" t="s">
        <v>319</v>
      </c>
      <c r="B437" s="65" t="s">
        <v>177</v>
      </c>
      <c r="C437" s="65" t="s">
        <v>395</v>
      </c>
      <c r="D437" s="66">
        <v>0</v>
      </c>
      <c r="E437" s="65">
        <v>368750000</v>
      </c>
      <c r="F437" s="67">
        <v>0</v>
      </c>
      <c r="G437" s="68">
        <v>0</v>
      </c>
      <c r="H437" s="68">
        <v>0</v>
      </c>
      <c r="I437" s="68">
        <v>0</v>
      </c>
      <c r="J437" s="68">
        <v>0</v>
      </c>
      <c r="K437" s="68">
        <v>0</v>
      </c>
      <c r="L437" s="68">
        <v>0</v>
      </c>
      <c r="M437" s="68">
        <v>0</v>
      </c>
      <c r="N437" s="69">
        <v>0</v>
      </c>
      <c r="O437" s="65" t="str">
        <f>VLOOKUP(A437,Report_HQ1!$A$7:$C$95,3,FALSE)</f>
        <v>BV Hòa Bình</v>
      </c>
      <c r="P437" s="40" t="e">
        <f>VLOOKUP(C437,Sheet1!$U$4:$V$14,2,FALSE)</f>
        <v>#N/A</v>
      </c>
      <c r="Q437" s="88">
        <f t="shared" si="6"/>
        <v>0</v>
      </c>
    </row>
    <row r="438" spans="1:17" x14ac:dyDescent="0.25">
      <c r="A438" s="85" t="s">
        <v>319</v>
      </c>
      <c r="B438" s="65" t="s">
        <v>177</v>
      </c>
      <c r="C438" s="65" t="s">
        <v>396</v>
      </c>
      <c r="D438" s="66">
        <v>397167182</v>
      </c>
      <c r="E438" s="65">
        <v>368750000</v>
      </c>
      <c r="F438" s="67">
        <v>24794239.6501236</v>
      </c>
      <c r="G438" s="68">
        <v>0</v>
      </c>
      <c r="H438" s="68">
        <v>24794239.6501236</v>
      </c>
      <c r="I438" s="68">
        <v>0</v>
      </c>
      <c r="J438" s="68">
        <v>67805036</v>
      </c>
      <c r="K438" s="68">
        <v>73354848</v>
      </c>
      <c r="L438" s="68">
        <v>14715493</v>
      </c>
      <c r="M438" s="68">
        <v>24583521</v>
      </c>
      <c r="N438" s="69">
        <v>205253137.6501236</v>
      </c>
      <c r="O438" s="65" t="str">
        <f>VLOOKUP(A438,Report_HQ1!$A$7:$C$95,3,FALSE)</f>
        <v>BV Hòa Bình</v>
      </c>
      <c r="P438" s="40" t="str">
        <f>VLOOKUP(C438,Sheet1!$U$4:$V$14,2,FALSE)</f>
        <v>BH Y tế</v>
      </c>
      <c r="Q438" s="88">
        <f t="shared" si="6"/>
        <v>205253137.6501236</v>
      </c>
    </row>
    <row r="439" spans="1:17" x14ac:dyDescent="0.25">
      <c r="A439" s="85" t="s">
        <v>319</v>
      </c>
      <c r="B439" s="65" t="s">
        <v>177</v>
      </c>
      <c r="C439" s="65" t="s">
        <v>397</v>
      </c>
      <c r="D439" s="66">
        <v>336264500</v>
      </c>
      <c r="E439" s="65">
        <v>368750000</v>
      </c>
      <c r="F439" s="67">
        <v>20992224.374744508</v>
      </c>
      <c r="G439" s="68">
        <v>0</v>
      </c>
      <c r="H439" s="68">
        <v>20992224.374744508</v>
      </c>
      <c r="I439" s="68">
        <v>0</v>
      </c>
      <c r="J439" s="68">
        <v>67252900</v>
      </c>
      <c r="K439" s="68">
        <v>67252900</v>
      </c>
      <c r="L439" s="68">
        <v>0</v>
      </c>
      <c r="M439" s="68">
        <v>26901160</v>
      </c>
      <c r="N439" s="69">
        <v>182399184.3747445</v>
      </c>
      <c r="O439" s="65" t="str">
        <f>VLOOKUP(A439,Report_HQ1!$A$7:$C$95,3,FALSE)</f>
        <v>BV Hòa Bình</v>
      </c>
      <c r="P439" s="40" t="str">
        <f>VLOOKUP(C439,Sheet1!$U$4:$V$14,2,FALSE)</f>
        <v>BH Du lịch</v>
      </c>
      <c r="Q439" s="88">
        <f t="shared" si="6"/>
        <v>182399184.3747445</v>
      </c>
    </row>
    <row r="440" spans="1:17" x14ac:dyDescent="0.25">
      <c r="A440" s="85" t="s">
        <v>321</v>
      </c>
      <c r="B440" s="65" t="s">
        <v>179</v>
      </c>
      <c r="C440" s="65" t="s">
        <v>387</v>
      </c>
      <c r="D440" s="66">
        <v>2745334655</v>
      </c>
      <c r="E440" s="65">
        <v>1396250000</v>
      </c>
      <c r="F440" s="67">
        <v>96071851.334136903</v>
      </c>
      <c r="G440" s="68">
        <v>0</v>
      </c>
      <c r="H440" s="68">
        <v>96071851.334136903</v>
      </c>
      <c r="I440" s="68">
        <v>0</v>
      </c>
      <c r="J440" s="68">
        <v>53241616</v>
      </c>
      <c r="K440" s="68">
        <v>26620808</v>
      </c>
      <c r="L440" s="68">
        <v>441751159</v>
      </c>
      <c r="M440" s="68">
        <v>219626772</v>
      </c>
      <c r="N440" s="69">
        <v>837312206.33413696</v>
      </c>
      <c r="O440" s="65" t="str">
        <f>VLOOKUP(A440,Report_HQ1!$A$7:$C$95,3,FALSE)</f>
        <v>BV Khánh Hòa</v>
      </c>
      <c r="P440" s="40" t="str">
        <f>VLOOKUP(C440,Sheet1!$U$4:$V$14,2,FALSE)</f>
        <v>BH Hàng hóa</v>
      </c>
      <c r="Q440" s="88">
        <f t="shared" si="6"/>
        <v>837312206.33413696</v>
      </c>
    </row>
    <row r="441" spans="1:17" x14ac:dyDescent="0.25">
      <c r="A441" s="85" t="s">
        <v>321</v>
      </c>
      <c r="B441" s="65" t="s">
        <v>179</v>
      </c>
      <c r="C441" s="65" t="s">
        <v>272</v>
      </c>
      <c r="D441" s="66">
        <v>1878952434</v>
      </c>
      <c r="E441" s="65">
        <v>1396250000</v>
      </c>
      <c r="F441" s="67">
        <v>65753163.671466015</v>
      </c>
      <c r="G441" s="68">
        <v>0</v>
      </c>
      <c r="H441" s="68">
        <v>65753163.671466015</v>
      </c>
      <c r="I441" s="68">
        <v>9182216</v>
      </c>
      <c r="J441" s="68">
        <v>281842865</v>
      </c>
      <c r="K441" s="68">
        <v>131526671</v>
      </c>
      <c r="L441" s="68">
        <v>18789524</v>
      </c>
      <c r="M441" s="68">
        <v>150316195</v>
      </c>
      <c r="N441" s="69">
        <v>657410634.67146599</v>
      </c>
      <c r="O441" s="65" t="str">
        <f>VLOOKUP(A441,Report_HQ1!$A$7:$C$95,3,FALSE)</f>
        <v>BV Khánh Hòa</v>
      </c>
      <c r="P441" s="40" t="str">
        <f>VLOOKUP(C441,Sheet1!$U$4:$V$14,2,FALSE)</f>
        <v>Tàu khác</v>
      </c>
      <c r="Q441" s="88">
        <f t="shared" si="6"/>
        <v>657410634.67146599</v>
      </c>
    </row>
    <row r="442" spans="1:17" x14ac:dyDescent="0.25">
      <c r="A442" s="85" t="s">
        <v>321</v>
      </c>
      <c r="B442" s="65" t="s">
        <v>179</v>
      </c>
      <c r="C442" s="65" t="s">
        <v>388</v>
      </c>
      <c r="D442" s="66">
        <v>0</v>
      </c>
      <c r="E442" s="65">
        <v>1396250000</v>
      </c>
      <c r="F442" s="67">
        <v>0</v>
      </c>
      <c r="G442" s="68">
        <v>0</v>
      </c>
      <c r="H442" s="68">
        <v>0</v>
      </c>
      <c r="I442" s="68">
        <v>0</v>
      </c>
      <c r="J442" s="68">
        <v>0</v>
      </c>
      <c r="K442" s="68">
        <v>0</v>
      </c>
      <c r="L442" s="68">
        <v>0</v>
      </c>
      <c r="M442" s="68">
        <v>0</v>
      </c>
      <c r="N442" s="69">
        <v>0</v>
      </c>
      <c r="O442" s="65" t="str">
        <f>VLOOKUP(A442,Report_HQ1!$A$7:$C$95,3,FALSE)</f>
        <v>BV Khánh Hòa</v>
      </c>
      <c r="P442" s="40" t="str">
        <f>VLOOKUP(C442,Sheet1!$U$4:$V$14,2,FALSE)</f>
        <v>Hull (Thân tàu biển)</v>
      </c>
      <c r="Q442" s="88">
        <f t="shared" si="6"/>
        <v>0</v>
      </c>
    </row>
    <row r="443" spans="1:17" x14ac:dyDescent="0.25">
      <c r="A443" s="85" t="s">
        <v>321</v>
      </c>
      <c r="B443" s="65" t="s">
        <v>179</v>
      </c>
      <c r="C443" s="65" t="s">
        <v>23</v>
      </c>
      <c r="D443" s="66">
        <v>0</v>
      </c>
      <c r="E443" s="65">
        <v>1396250000</v>
      </c>
      <c r="F443" s="67">
        <v>0</v>
      </c>
      <c r="G443" s="68">
        <v>0</v>
      </c>
      <c r="H443" s="68">
        <v>0</v>
      </c>
      <c r="I443" s="68">
        <v>0</v>
      </c>
      <c r="J443" s="68">
        <v>0</v>
      </c>
      <c r="K443" s="68">
        <v>0</v>
      </c>
      <c r="L443" s="68">
        <v>0</v>
      </c>
      <c r="M443" s="68">
        <v>0</v>
      </c>
      <c r="N443" s="69">
        <v>0</v>
      </c>
      <c r="O443" s="65" t="str">
        <f>VLOOKUP(A443,Report_HQ1!$A$7:$C$95,3,FALSE)</f>
        <v>BV Khánh Hòa</v>
      </c>
      <c r="P443" s="40" t="str">
        <f>VLOOKUP(C443,Sheet1!$U$4:$V$14,2,FALSE)</f>
        <v>P&amp;I</v>
      </c>
      <c r="Q443" s="88">
        <f t="shared" si="6"/>
        <v>0</v>
      </c>
    </row>
    <row r="444" spans="1:17" x14ac:dyDescent="0.25">
      <c r="A444" s="85" t="s">
        <v>321</v>
      </c>
      <c r="B444" s="65" t="s">
        <v>179</v>
      </c>
      <c r="C444" s="65" t="s">
        <v>389</v>
      </c>
      <c r="D444" s="66">
        <v>527997622</v>
      </c>
      <c r="E444" s="65">
        <v>1396250000</v>
      </c>
      <c r="F444" s="67">
        <v>18477058.508395877</v>
      </c>
      <c r="G444" s="68">
        <v>0</v>
      </c>
      <c r="H444" s="68">
        <v>18477058.508395877</v>
      </c>
      <c r="I444" s="68">
        <v>0</v>
      </c>
      <c r="J444" s="68">
        <v>59668171</v>
      </c>
      <c r="K444" s="68">
        <v>9271060</v>
      </c>
      <c r="L444" s="68">
        <v>32760177</v>
      </c>
      <c r="M444" s="68">
        <v>55617678</v>
      </c>
      <c r="N444" s="69">
        <v>175794144.50839588</v>
      </c>
      <c r="O444" s="65" t="str">
        <f>VLOOKUP(A444,Report_HQ1!$A$7:$C$95,3,FALSE)</f>
        <v>BV Khánh Hòa</v>
      </c>
      <c r="P444" s="40" t="str">
        <f>VLOOKUP(C444,Sheet1!$U$4:$V$14,2,FALSE)</f>
        <v>BH Trách nhiệm</v>
      </c>
      <c r="Q444" s="88">
        <f t="shared" si="6"/>
        <v>175794144.50839588</v>
      </c>
    </row>
    <row r="445" spans="1:17" x14ac:dyDescent="0.25">
      <c r="A445" s="85" t="s">
        <v>321</v>
      </c>
      <c r="B445" s="65" t="s">
        <v>179</v>
      </c>
      <c r="C445" s="65" t="s">
        <v>390</v>
      </c>
      <c r="D445" s="66">
        <v>4065949653</v>
      </c>
      <c r="E445" s="65">
        <v>1396250000</v>
      </c>
      <c r="F445" s="67">
        <v>142286227.24871463</v>
      </c>
      <c r="G445" s="68">
        <v>0</v>
      </c>
      <c r="H445" s="68">
        <v>142286227.24871463</v>
      </c>
      <c r="I445" s="68">
        <v>0</v>
      </c>
      <c r="J445" s="68">
        <v>0</v>
      </c>
      <c r="K445" s="68">
        <v>0</v>
      </c>
      <c r="L445" s="68">
        <v>486694173</v>
      </c>
      <c r="M445" s="68">
        <v>102868526</v>
      </c>
      <c r="N445" s="69">
        <v>731848926.24871469</v>
      </c>
      <c r="O445" s="65" t="str">
        <f>VLOOKUP(A445,Report_HQ1!$A$7:$C$95,3,FALSE)</f>
        <v>BV Khánh Hòa</v>
      </c>
      <c r="P445" s="40" t="e">
        <f>VLOOKUP(C445,Sheet1!$U$4:$V$14,2,FALSE)</f>
        <v>#N/A</v>
      </c>
      <c r="Q445" s="88">
        <f t="shared" si="6"/>
        <v>731848926.24871469</v>
      </c>
    </row>
    <row r="446" spans="1:17" x14ac:dyDescent="0.25">
      <c r="A446" s="85" t="s">
        <v>321</v>
      </c>
      <c r="B446" s="65" t="s">
        <v>179</v>
      </c>
      <c r="C446" s="65" t="s">
        <v>391</v>
      </c>
      <c r="D446" s="66">
        <v>3068558587</v>
      </c>
      <c r="E446" s="65">
        <v>1396250000</v>
      </c>
      <c r="F446" s="67">
        <v>107382939.2141459</v>
      </c>
      <c r="G446" s="68">
        <v>0</v>
      </c>
      <c r="H446" s="68">
        <v>107382939.2141459</v>
      </c>
      <c r="I446" s="68">
        <v>0</v>
      </c>
      <c r="J446" s="68">
        <v>2514501</v>
      </c>
      <c r="K446" s="68">
        <v>1257250</v>
      </c>
      <c r="L446" s="68">
        <v>437793451</v>
      </c>
      <c r="M446" s="68">
        <v>107107318</v>
      </c>
      <c r="N446" s="69">
        <v>656055459.2141459</v>
      </c>
      <c r="O446" s="65" t="str">
        <f>VLOOKUP(A446,Report_HQ1!$A$7:$C$95,3,FALSE)</f>
        <v>BV Khánh Hòa</v>
      </c>
      <c r="P446" s="40" t="str">
        <f>VLOOKUP(C446,Sheet1!$U$4:$V$14,2,FALSE)</f>
        <v>BH Kỹ thuật</v>
      </c>
      <c r="Q446" s="88">
        <f t="shared" si="6"/>
        <v>656055459.2141459</v>
      </c>
    </row>
    <row r="447" spans="1:17" x14ac:dyDescent="0.25">
      <c r="A447" s="85" t="s">
        <v>321</v>
      </c>
      <c r="B447" s="65" t="s">
        <v>179</v>
      </c>
      <c r="C447" s="65" t="s">
        <v>392</v>
      </c>
      <c r="D447" s="66">
        <v>7356913387</v>
      </c>
      <c r="E447" s="65">
        <v>1396250000</v>
      </c>
      <c r="F447" s="67">
        <v>257452142.6401422</v>
      </c>
      <c r="G447" s="68">
        <v>0</v>
      </c>
      <c r="H447" s="68">
        <v>257452142.6401422</v>
      </c>
      <c r="I447" s="68">
        <v>0</v>
      </c>
      <c r="J447" s="68">
        <v>72110210</v>
      </c>
      <c r="K447" s="68">
        <v>36055106</v>
      </c>
      <c r="L447" s="68">
        <v>507331676</v>
      </c>
      <c r="M447" s="68">
        <v>194672114</v>
      </c>
      <c r="N447" s="69">
        <v>1067621248.6401422</v>
      </c>
      <c r="O447" s="65" t="str">
        <f>VLOOKUP(A447,Report_HQ1!$A$7:$C$95,3,FALSE)</f>
        <v>BV Khánh Hòa</v>
      </c>
      <c r="P447" s="40" t="str">
        <f>VLOOKUP(C447,Sheet1!$U$4:$V$14,2,FALSE)</f>
        <v>BH Tài sản</v>
      </c>
      <c r="Q447" s="88">
        <f t="shared" si="6"/>
        <v>1067621248.6401422</v>
      </c>
    </row>
    <row r="448" spans="1:17" x14ac:dyDescent="0.25">
      <c r="A448" s="85" t="s">
        <v>321</v>
      </c>
      <c r="B448" s="65" t="s">
        <v>179</v>
      </c>
      <c r="C448" s="65" t="s">
        <v>393</v>
      </c>
      <c r="D448" s="66">
        <v>13263587316</v>
      </c>
      <c r="E448" s="65">
        <v>1396250000</v>
      </c>
      <c r="F448" s="67">
        <v>464153754.974581</v>
      </c>
      <c r="G448" s="68">
        <v>0</v>
      </c>
      <c r="H448" s="68">
        <v>464153754.974581</v>
      </c>
      <c r="I448" s="68">
        <v>0</v>
      </c>
      <c r="J448" s="68">
        <v>1216278698</v>
      </c>
      <c r="K448" s="68">
        <v>608139349</v>
      </c>
      <c r="L448" s="68">
        <v>1064174547</v>
      </c>
      <c r="M448" s="68">
        <v>792809892</v>
      </c>
      <c r="N448" s="69">
        <v>4145556240.9745808</v>
      </c>
      <c r="O448" s="65" t="str">
        <f>VLOOKUP(A448,Report_HQ1!$A$7:$C$95,3,FALSE)</f>
        <v>BV Khánh Hòa</v>
      </c>
      <c r="P448" s="40" t="str">
        <f>VLOOKUP(C448,Sheet1!$U$4:$V$14,2,FALSE)</f>
        <v>BH Xe cơ giới</v>
      </c>
      <c r="Q448" s="88">
        <f t="shared" si="6"/>
        <v>4145556240.9745808</v>
      </c>
    </row>
    <row r="449" spans="1:17" x14ac:dyDescent="0.25">
      <c r="A449" s="85" t="s">
        <v>321</v>
      </c>
      <c r="B449" s="65" t="s">
        <v>179</v>
      </c>
      <c r="C449" s="65" t="s">
        <v>394</v>
      </c>
      <c r="D449" s="66">
        <v>2595587675</v>
      </c>
      <c r="E449" s="65">
        <v>1396250000</v>
      </c>
      <c r="F449" s="67">
        <v>90831517.674233437</v>
      </c>
      <c r="G449" s="68">
        <v>0</v>
      </c>
      <c r="H449" s="68">
        <v>90831517.674233437</v>
      </c>
      <c r="I449" s="68">
        <v>703735</v>
      </c>
      <c r="J449" s="68">
        <v>396169632</v>
      </c>
      <c r="K449" s="68">
        <v>35320778</v>
      </c>
      <c r="L449" s="68">
        <v>69720332</v>
      </c>
      <c r="M449" s="68">
        <v>147377620</v>
      </c>
      <c r="N449" s="69">
        <v>740123614.67423344</v>
      </c>
      <c r="O449" s="65" t="str">
        <f>VLOOKUP(A449,Report_HQ1!$A$7:$C$95,3,FALSE)</f>
        <v>BV Khánh Hòa</v>
      </c>
      <c r="P449" s="40" t="str">
        <f>VLOOKUP(C449,Sheet1!$U$4:$V$14,2,FALSE)</f>
        <v>BH Con người</v>
      </c>
      <c r="Q449" s="88">
        <f t="shared" si="6"/>
        <v>740123614.67423344</v>
      </c>
    </row>
    <row r="450" spans="1:17" x14ac:dyDescent="0.25">
      <c r="A450" s="85" t="s">
        <v>321</v>
      </c>
      <c r="B450" s="65" t="s">
        <v>179</v>
      </c>
      <c r="C450" s="65" t="s">
        <v>395</v>
      </c>
      <c r="D450" s="66">
        <v>0</v>
      </c>
      <c r="E450" s="65">
        <v>1396250000</v>
      </c>
      <c r="F450" s="67">
        <v>0</v>
      </c>
      <c r="G450" s="68">
        <v>0</v>
      </c>
      <c r="H450" s="68">
        <v>0</v>
      </c>
      <c r="I450" s="68">
        <v>0</v>
      </c>
      <c r="J450" s="68">
        <v>0</v>
      </c>
      <c r="K450" s="68">
        <v>0</v>
      </c>
      <c r="L450" s="68">
        <v>0</v>
      </c>
      <c r="M450" s="68">
        <v>0</v>
      </c>
      <c r="N450" s="69">
        <v>0</v>
      </c>
      <c r="O450" s="65" t="str">
        <f>VLOOKUP(A450,Report_HQ1!$A$7:$C$95,3,FALSE)</f>
        <v>BV Khánh Hòa</v>
      </c>
      <c r="P450" s="40" t="e">
        <f>VLOOKUP(C450,Sheet1!$U$4:$V$14,2,FALSE)</f>
        <v>#N/A</v>
      </c>
      <c r="Q450" s="88">
        <f t="shared" si="6"/>
        <v>0</v>
      </c>
    </row>
    <row r="451" spans="1:17" x14ac:dyDescent="0.25">
      <c r="A451" s="85" t="s">
        <v>321</v>
      </c>
      <c r="B451" s="65" t="s">
        <v>179</v>
      </c>
      <c r="C451" s="65" t="s">
        <v>396</v>
      </c>
      <c r="D451" s="66">
        <v>4189560938</v>
      </c>
      <c r="E451" s="65">
        <v>1396250000</v>
      </c>
      <c r="F451" s="67">
        <v>146611953.06655362</v>
      </c>
      <c r="G451" s="68">
        <v>0</v>
      </c>
      <c r="H451" s="68">
        <v>146611953.06655362</v>
      </c>
      <c r="I451" s="68">
        <v>0</v>
      </c>
      <c r="J451" s="68">
        <v>232888622</v>
      </c>
      <c r="K451" s="68">
        <v>65480589</v>
      </c>
      <c r="L451" s="68">
        <v>3801760</v>
      </c>
      <c r="M451" s="68">
        <v>135141667</v>
      </c>
      <c r="N451" s="69">
        <v>583924591.06655359</v>
      </c>
      <c r="O451" s="65" t="str">
        <f>VLOOKUP(A451,Report_HQ1!$A$7:$C$95,3,FALSE)</f>
        <v>BV Khánh Hòa</v>
      </c>
      <c r="P451" s="40" t="str">
        <f>VLOOKUP(C451,Sheet1!$U$4:$V$14,2,FALSE)</f>
        <v>BH Y tế</v>
      </c>
      <c r="Q451" s="88">
        <f t="shared" si="6"/>
        <v>583924591.06655359</v>
      </c>
    </row>
    <row r="452" spans="1:17" x14ac:dyDescent="0.25">
      <c r="A452" s="85" t="s">
        <v>321</v>
      </c>
      <c r="B452" s="65" t="s">
        <v>179</v>
      </c>
      <c r="C452" s="65" t="s">
        <v>397</v>
      </c>
      <c r="D452" s="66">
        <v>206586000</v>
      </c>
      <c r="E452" s="65">
        <v>1396250000</v>
      </c>
      <c r="F452" s="67">
        <v>7229391.6676304108</v>
      </c>
      <c r="G452" s="68">
        <v>0</v>
      </c>
      <c r="H452" s="68">
        <v>7229391.6676304108</v>
      </c>
      <c r="I452" s="68">
        <v>0</v>
      </c>
      <c r="J452" s="68">
        <v>40847200</v>
      </c>
      <c r="K452" s="68">
        <v>40847200</v>
      </c>
      <c r="L452" s="68">
        <v>705000</v>
      </c>
      <c r="M452" s="68">
        <v>16526880</v>
      </c>
      <c r="N452" s="69">
        <v>106155671.6676304</v>
      </c>
      <c r="O452" s="65" t="str">
        <f>VLOOKUP(A452,Report_HQ1!$A$7:$C$95,3,FALSE)</f>
        <v>BV Khánh Hòa</v>
      </c>
      <c r="P452" s="40" t="str">
        <f>VLOOKUP(C452,Sheet1!$U$4:$V$14,2,FALSE)</f>
        <v>BH Du lịch</v>
      </c>
      <c r="Q452" s="88">
        <f t="shared" si="6"/>
        <v>106155671.6676304</v>
      </c>
    </row>
    <row r="453" spans="1:17" x14ac:dyDescent="0.25">
      <c r="A453" s="85" t="s">
        <v>322</v>
      </c>
      <c r="B453" s="65" t="s">
        <v>180</v>
      </c>
      <c r="C453" s="65" t="s">
        <v>387</v>
      </c>
      <c r="D453" s="66">
        <v>417209686</v>
      </c>
      <c r="E453" s="65">
        <v>1403750000</v>
      </c>
      <c r="F453" s="67">
        <v>16122085.17935502</v>
      </c>
      <c r="G453" s="68">
        <v>0</v>
      </c>
      <c r="H453" s="68">
        <v>16122085.17935502</v>
      </c>
      <c r="I453" s="68">
        <v>0</v>
      </c>
      <c r="J453" s="68">
        <v>41720968</v>
      </c>
      <c r="K453" s="68">
        <v>20860485</v>
      </c>
      <c r="L453" s="68">
        <v>16688388</v>
      </c>
      <c r="M453" s="68">
        <v>33376775</v>
      </c>
      <c r="N453" s="69">
        <v>128768701.17935503</v>
      </c>
      <c r="O453" s="65" t="str">
        <f>VLOOKUP(A453,Report_HQ1!$A$7:$C$95,3,FALSE)</f>
        <v>BV Kiên Giang</v>
      </c>
      <c r="P453" s="40" t="str">
        <f>VLOOKUP(C453,Sheet1!$U$4:$V$14,2,FALSE)</f>
        <v>BH Hàng hóa</v>
      </c>
      <c r="Q453" s="88">
        <f t="shared" si="6"/>
        <v>128768701.17935503</v>
      </c>
    </row>
    <row r="454" spans="1:17" x14ac:dyDescent="0.25">
      <c r="A454" s="85" t="s">
        <v>322</v>
      </c>
      <c r="B454" s="65" t="s">
        <v>180</v>
      </c>
      <c r="C454" s="65" t="s">
        <v>272</v>
      </c>
      <c r="D454" s="66">
        <v>3350645769</v>
      </c>
      <c r="E454" s="65">
        <v>1403750000</v>
      </c>
      <c r="F454" s="67">
        <v>129477810.09490633</v>
      </c>
      <c r="G454" s="68">
        <v>0</v>
      </c>
      <c r="H454" s="68">
        <v>129477810.09490633</v>
      </c>
      <c r="I454" s="68">
        <v>6273294</v>
      </c>
      <c r="J454" s="68">
        <v>502596866</v>
      </c>
      <c r="K454" s="68">
        <v>234545203</v>
      </c>
      <c r="L454" s="68">
        <v>33506457</v>
      </c>
      <c r="M454" s="68">
        <v>268051661</v>
      </c>
      <c r="N454" s="69">
        <v>1174451291.0949063</v>
      </c>
      <c r="O454" s="65" t="str">
        <f>VLOOKUP(A454,Report_HQ1!$A$7:$C$95,3,FALSE)</f>
        <v>BV Kiên Giang</v>
      </c>
      <c r="P454" s="40" t="str">
        <f>VLOOKUP(C454,Sheet1!$U$4:$V$14,2,FALSE)</f>
        <v>Tàu khác</v>
      </c>
      <c r="Q454" s="88">
        <f t="shared" si="6"/>
        <v>1174451291.0949063</v>
      </c>
    </row>
    <row r="455" spans="1:17" x14ac:dyDescent="0.25">
      <c r="A455" s="85" t="s">
        <v>322</v>
      </c>
      <c r="B455" s="65" t="s">
        <v>180</v>
      </c>
      <c r="C455" s="65" t="s">
        <v>388</v>
      </c>
      <c r="D455" s="66">
        <v>93775000</v>
      </c>
      <c r="E455" s="65">
        <v>1403750000</v>
      </c>
      <c r="F455" s="67">
        <v>3623713.8983729561</v>
      </c>
      <c r="G455" s="68">
        <v>0</v>
      </c>
      <c r="H455" s="68">
        <v>3623713.8983729561</v>
      </c>
      <c r="I455" s="68">
        <v>468875</v>
      </c>
      <c r="J455" s="68">
        <v>4688750</v>
      </c>
      <c r="K455" s="68">
        <v>2344375</v>
      </c>
      <c r="L455" s="68">
        <v>0</v>
      </c>
      <c r="M455" s="68">
        <v>2813250</v>
      </c>
      <c r="N455" s="69">
        <v>13938963.898372956</v>
      </c>
      <c r="O455" s="65" t="str">
        <f>VLOOKUP(A455,Report_HQ1!$A$7:$C$95,3,FALSE)</f>
        <v>BV Kiên Giang</v>
      </c>
      <c r="P455" s="40" t="str">
        <f>VLOOKUP(C455,Sheet1!$U$4:$V$14,2,FALSE)</f>
        <v>Hull (Thân tàu biển)</v>
      </c>
      <c r="Q455" s="88">
        <f t="shared" si="6"/>
        <v>13938963.898372956</v>
      </c>
    </row>
    <row r="456" spans="1:17" x14ac:dyDescent="0.25">
      <c r="A456" s="85" t="s">
        <v>322</v>
      </c>
      <c r="B456" s="65" t="s">
        <v>180</v>
      </c>
      <c r="C456" s="65" t="s">
        <v>23</v>
      </c>
      <c r="D456" s="66">
        <v>0</v>
      </c>
      <c r="E456" s="65">
        <v>1403750000</v>
      </c>
      <c r="F456" s="67">
        <v>0</v>
      </c>
      <c r="G456" s="68">
        <v>0</v>
      </c>
      <c r="H456" s="68">
        <v>0</v>
      </c>
      <c r="I456" s="68">
        <v>0</v>
      </c>
      <c r="J456" s="68">
        <v>0</v>
      </c>
      <c r="K456" s="68">
        <v>0</v>
      </c>
      <c r="L456" s="68">
        <v>0</v>
      </c>
      <c r="M456" s="68">
        <v>0</v>
      </c>
      <c r="N456" s="69">
        <v>0</v>
      </c>
      <c r="O456" s="65" t="str">
        <f>VLOOKUP(A456,Report_HQ1!$A$7:$C$95,3,FALSE)</f>
        <v>BV Kiên Giang</v>
      </c>
      <c r="P456" s="40" t="str">
        <f>VLOOKUP(C456,Sheet1!$U$4:$V$14,2,FALSE)</f>
        <v>P&amp;I</v>
      </c>
      <c r="Q456" s="88">
        <f t="shared" si="6"/>
        <v>0</v>
      </c>
    </row>
    <row r="457" spans="1:17" x14ac:dyDescent="0.25">
      <c r="A457" s="85" t="s">
        <v>322</v>
      </c>
      <c r="B457" s="65" t="s">
        <v>180</v>
      </c>
      <c r="C457" s="65" t="s">
        <v>389</v>
      </c>
      <c r="D457" s="66">
        <v>18000000</v>
      </c>
      <c r="E457" s="65">
        <v>1403750000</v>
      </c>
      <c r="F457" s="67">
        <v>695567.58379859466</v>
      </c>
      <c r="G457" s="68">
        <v>0</v>
      </c>
      <c r="H457" s="68">
        <v>695567.58379859466</v>
      </c>
      <c r="I457" s="68">
        <v>0</v>
      </c>
      <c r="J457" s="68">
        <v>650000</v>
      </c>
      <c r="K457" s="68">
        <v>325000</v>
      </c>
      <c r="L457" s="68">
        <v>1725000</v>
      </c>
      <c r="M457" s="68">
        <v>1290000</v>
      </c>
      <c r="N457" s="69">
        <v>4685567.5837985948</v>
      </c>
      <c r="O457" s="65" t="str">
        <f>VLOOKUP(A457,Report_HQ1!$A$7:$C$95,3,FALSE)</f>
        <v>BV Kiên Giang</v>
      </c>
      <c r="P457" s="40" t="str">
        <f>VLOOKUP(C457,Sheet1!$U$4:$V$14,2,FALSE)</f>
        <v>BH Trách nhiệm</v>
      </c>
      <c r="Q457" s="88">
        <f t="shared" si="6"/>
        <v>4685567.5837985948</v>
      </c>
    </row>
    <row r="458" spans="1:17" x14ac:dyDescent="0.25">
      <c r="A458" s="85" t="s">
        <v>322</v>
      </c>
      <c r="B458" s="65" t="s">
        <v>180</v>
      </c>
      <c r="C458" s="65" t="s">
        <v>390</v>
      </c>
      <c r="D458" s="66">
        <v>0</v>
      </c>
      <c r="E458" s="65">
        <v>1403750000</v>
      </c>
      <c r="F458" s="67">
        <v>0</v>
      </c>
      <c r="G458" s="68">
        <v>0</v>
      </c>
      <c r="H458" s="68">
        <v>0</v>
      </c>
      <c r="I458" s="68">
        <v>0</v>
      </c>
      <c r="J458" s="68">
        <v>0</v>
      </c>
      <c r="K458" s="68">
        <v>0</v>
      </c>
      <c r="L458" s="68">
        <v>0</v>
      </c>
      <c r="M458" s="68">
        <v>0</v>
      </c>
      <c r="N458" s="69">
        <v>0</v>
      </c>
      <c r="O458" s="65" t="str">
        <f>VLOOKUP(A458,Report_HQ1!$A$7:$C$95,3,FALSE)</f>
        <v>BV Kiên Giang</v>
      </c>
      <c r="P458" s="40" t="e">
        <f>VLOOKUP(C458,Sheet1!$U$4:$V$14,2,FALSE)</f>
        <v>#N/A</v>
      </c>
      <c r="Q458" s="88">
        <f t="shared" si="6"/>
        <v>0</v>
      </c>
    </row>
    <row r="459" spans="1:17" x14ac:dyDescent="0.25">
      <c r="A459" s="85" t="s">
        <v>322</v>
      </c>
      <c r="B459" s="65" t="s">
        <v>180</v>
      </c>
      <c r="C459" s="65" t="s">
        <v>391</v>
      </c>
      <c r="D459" s="66">
        <v>1363369575</v>
      </c>
      <c r="E459" s="65">
        <v>1403750000</v>
      </c>
      <c r="F459" s="67">
        <v>52684204.505959272</v>
      </c>
      <c r="G459" s="68">
        <v>0</v>
      </c>
      <c r="H459" s="68">
        <v>52684204.505959272</v>
      </c>
      <c r="I459" s="68">
        <v>0</v>
      </c>
      <c r="J459" s="68">
        <v>108143438</v>
      </c>
      <c r="K459" s="68">
        <v>54071720</v>
      </c>
      <c r="L459" s="68">
        <v>89858001</v>
      </c>
      <c r="M459" s="68">
        <v>75912756</v>
      </c>
      <c r="N459" s="69">
        <v>380670119.50595927</v>
      </c>
      <c r="O459" s="65" t="str">
        <f>VLOOKUP(A459,Report_HQ1!$A$7:$C$95,3,FALSE)</f>
        <v>BV Kiên Giang</v>
      </c>
      <c r="P459" s="40" t="str">
        <f>VLOOKUP(C459,Sheet1!$U$4:$V$14,2,FALSE)</f>
        <v>BH Kỹ thuật</v>
      </c>
      <c r="Q459" s="88">
        <f t="shared" si="6"/>
        <v>380670119.50595927</v>
      </c>
    </row>
    <row r="460" spans="1:17" x14ac:dyDescent="0.25">
      <c r="A460" s="85" t="s">
        <v>322</v>
      </c>
      <c r="B460" s="65" t="s">
        <v>180</v>
      </c>
      <c r="C460" s="65" t="s">
        <v>392</v>
      </c>
      <c r="D460" s="66">
        <v>2446879039</v>
      </c>
      <c r="E460" s="65">
        <v>1403750000</v>
      </c>
      <c r="F460" s="67">
        <v>94553874.500258729</v>
      </c>
      <c r="G460" s="68">
        <v>0</v>
      </c>
      <c r="H460" s="68">
        <v>94553874.500258729</v>
      </c>
      <c r="I460" s="68">
        <v>0</v>
      </c>
      <c r="J460" s="68">
        <v>107272552</v>
      </c>
      <c r="K460" s="68">
        <v>53636278</v>
      </c>
      <c r="L460" s="68">
        <v>188129189</v>
      </c>
      <c r="M460" s="68">
        <v>98900905</v>
      </c>
      <c r="N460" s="69">
        <v>542492798.50025868</v>
      </c>
      <c r="O460" s="65" t="str">
        <f>VLOOKUP(A460,Report_HQ1!$A$7:$C$95,3,FALSE)</f>
        <v>BV Kiên Giang</v>
      </c>
      <c r="P460" s="40" t="str">
        <f>VLOOKUP(C460,Sheet1!$U$4:$V$14,2,FALSE)</f>
        <v>BH Tài sản</v>
      </c>
      <c r="Q460" s="88">
        <f t="shared" ref="Q460:Q523" si="7">N460</f>
        <v>542492798.50025868</v>
      </c>
    </row>
    <row r="461" spans="1:17" x14ac:dyDescent="0.25">
      <c r="A461" s="85" t="s">
        <v>322</v>
      </c>
      <c r="B461" s="65" t="s">
        <v>180</v>
      </c>
      <c r="C461" s="65" t="s">
        <v>393</v>
      </c>
      <c r="D461" s="66">
        <v>10718826865</v>
      </c>
      <c r="E461" s="65">
        <v>1403750000</v>
      </c>
      <c r="F461" s="67">
        <v>414203805.75797302</v>
      </c>
      <c r="G461" s="68">
        <v>0</v>
      </c>
      <c r="H461" s="68">
        <v>414203805.75797302</v>
      </c>
      <c r="I461" s="68">
        <v>0</v>
      </c>
      <c r="J461" s="68">
        <v>987831791</v>
      </c>
      <c r="K461" s="68">
        <v>493915897</v>
      </c>
      <c r="L461" s="68">
        <v>1171450767</v>
      </c>
      <c r="M461" s="68">
        <v>640256234</v>
      </c>
      <c r="N461" s="69">
        <v>3707658494.7579727</v>
      </c>
      <c r="O461" s="65" t="str">
        <f>VLOOKUP(A461,Report_HQ1!$A$7:$C$95,3,FALSE)</f>
        <v>BV Kiên Giang</v>
      </c>
      <c r="P461" s="40" t="str">
        <f>VLOOKUP(C461,Sheet1!$U$4:$V$14,2,FALSE)</f>
        <v>BH Xe cơ giới</v>
      </c>
      <c r="Q461" s="88">
        <f t="shared" si="7"/>
        <v>3707658494.7579727</v>
      </c>
    </row>
    <row r="462" spans="1:17" x14ac:dyDescent="0.25">
      <c r="A462" s="85" t="s">
        <v>322</v>
      </c>
      <c r="B462" s="65" t="s">
        <v>180</v>
      </c>
      <c r="C462" s="65" t="s">
        <v>394</v>
      </c>
      <c r="D462" s="66">
        <v>16146066735</v>
      </c>
      <c r="E462" s="65">
        <v>1403750000</v>
      </c>
      <c r="F462" s="67">
        <v>623926701.48415637</v>
      </c>
      <c r="G462" s="68">
        <v>0</v>
      </c>
      <c r="H462" s="68">
        <v>623926701.48415637</v>
      </c>
      <c r="I462" s="68">
        <v>3458250</v>
      </c>
      <c r="J462" s="68">
        <v>3207881313</v>
      </c>
      <c r="K462" s="68">
        <v>131041457</v>
      </c>
      <c r="L462" s="68">
        <v>65124274</v>
      </c>
      <c r="M462" s="68">
        <v>948662231</v>
      </c>
      <c r="N462" s="69">
        <v>4980094226.4841566</v>
      </c>
      <c r="O462" s="65" t="str">
        <f>VLOOKUP(A462,Report_HQ1!$A$7:$C$95,3,FALSE)</f>
        <v>BV Kiên Giang</v>
      </c>
      <c r="P462" s="40" t="str">
        <f>VLOOKUP(C462,Sheet1!$U$4:$V$14,2,FALSE)</f>
        <v>BH Con người</v>
      </c>
      <c r="Q462" s="88">
        <f t="shared" si="7"/>
        <v>4980094226.4841566</v>
      </c>
    </row>
    <row r="463" spans="1:17" x14ac:dyDescent="0.25">
      <c r="A463" s="85" t="s">
        <v>322</v>
      </c>
      <c r="B463" s="65" t="s">
        <v>180</v>
      </c>
      <c r="C463" s="65" t="s">
        <v>395</v>
      </c>
      <c r="D463" s="66">
        <v>0</v>
      </c>
      <c r="E463" s="65">
        <v>1403750000</v>
      </c>
      <c r="F463" s="67">
        <v>0</v>
      </c>
      <c r="G463" s="68">
        <v>0</v>
      </c>
      <c r="H463" s="68">
        <v>0</v>
      </c>
      <c r="I463" s="68">
        <v>0</v>
      </c>
      <c r="J463" s="68">
        <v>0</v>
      </c>
      <c r="K463" s="68">
        <v>0</v>
      </c>
      <c r="L463" s="68">
        <v>0</v>
      </c>
      <c r="M463" s="68">
        <v>0</v>
      </c>
      <c r="N463" s="69">
        <v>0</v>
      </c>
      <c r="O463" s="65" t="str">
        <f>VLOOKUP(A463,Report_HQ1!$A$7:$C$95,3,FALSE)</f>
        <v>BV Kiên Giang</v>
      </c>
      <c r="P463" s="40" t="e">
        <f>VLOOKUP(C463,Sheet1!$U$4:$V$14,2,FALSE)</f>
        <v>#N/A</v>
      </c>
      <c r="Q463" s="88">
        <f t="shared" si="7"/>
        <v>0</v>
      </c>
    </row>
    <row r="464" spans="1:17" x14ac:dyDescent="0.25">
      <c r="A464" s="85" t="s">
        <v>322</v>
      </c>
      <c r="B464" s="65" t="s">
        <v>180</v>
      </c>
      <c r="C464" s="65" t="s">
        <v>396</v>
      </c>
      <c r="D464" s="66">
        <v>1310474615</v>
      </c>
      <c r="E464" s="65">
        <v>1403750000</v>
      </c>
      <c r="F464" s="67">
        <v>50640203.42138575</v>
      </c>
      <c r="G464" s="68">
        <v>0</v>
      </c>
      <c r="H464" s="68">
        <v>50640203.42138575</v>
      </c>
      <c r="I464" s="68">
        <v>0</v>
      </c>
      <c r="J464" s="68">
        <v>262094923</v>
      </c>
      <c r="K464" s="68">
        <v>327029333</v>
      </c>
      <c r="L464" s="68">
        <v>14016833</v>
      </c>
      <c r="M464" s="68">
        <v>85704127</v>
      </c>
      <c r="N464" s="69">
        <v>739485419.42138577</v>
      </c>
      <c r="O464" s="65" t="str">
        <f>VLOOKUP(A464,Report_HQ1!$A$7:$C$95,3,FALSE)</f>
        <v>BV Kiên Giang</v>
      </c>
      <c r="P464" s="40" t="str">
        <f>VLOOKUP(C464,Sheet1!$U$4:$V$14,2,FALSE)</f>
        <v>BH Y tế</v>
      </c>
      <c r="Q464" s="88">
        <f t="shared" si="7"/>
        <v>739485419.42138577</v>
      </c>
    </row>
    <row r="465" spans="1:17" x14ac:dyDescent="0.25">
      <c r="A465" s="85" t="s">
        <v>322</v>
      </c>
      <c r="B465" s="65" t="s">
        <v>180</v>
      </c>
      <c r="C465" s="65" t="s">
        <v>397</v>
      </c>
      <c r="D465" s="66">
        <v>461201200</v>
      </c>
      <c r="E465" s="65">
        <v>1403750000</v>
      </c>
      <c r="F465" s="67">
        <v>17822033.573834021</v>
      </c>
      <c r="G465" s="68">
        <v>0</v>
      </c>
      <c r="H465" s="68">
        <v>17822033.573834021</v>
      </c>
      <c r="I465" s="68">
        <v>0</v>
      </c>
      <c r="J465" s="68">
        <v>88240240</v>
      </c>
      <c r="K465" s="68">
        <v>88240240</v>
      </c>
      <c r="L465" s="68">
        <v>6000000</v>
      </c>
      <c r="M465" s="68">
        <v>36896096</v>
      </c>
      <c r="N465" s="69">
        <v>237198609.573834</v>
      </c>
      <c r="O465" s="65" t="str">
        <f>VLOOKUP(A465,Report_HQ1!$A$7:$C$95,3,FALSE)</f>
        <v>BV Kiên Giang</v>
      </c>
      <c r="P465" s="40" t="str">
        <f>VLOOKUP(C465,Sheet1!$U$4:$V$14,2,FALSE)</f>
        <v>BH Du lịch</v>
      </c>
      <c r="Q465" s="88">
        <f t="shared" si="7"/>
        <v>237198609.573834</v>
      </c>
    </row>
    <row r="466" spans="1:17" x14ac:dyDescent="0.25">
      <c r="A466" s="85" t="s">
        <v>323</v>
      </c>
      <c r="B466" s="65" t="s">
        <v>181</v>
      </c>
      <c r="C466" s="65" t="s">
        <v>387</v>
      </c>
      <c r="D466" s="66">
        <v>0</v>
      </c>
      <c r="E466" s="65">
        <v>336750000</v>
      </c>
      <c r="F466" s="67">
        <v>0</v>
      </c>
      <c r="G466" s="68">
        <v>0</v>
      </c>
      <c r="H466" s="68">
        <v>0</v>
      </c>
      <c r="I466" s="68">
        <v>0</v>
      </c>
      <c r="J466" s="68">
        <v>0</v>
      </c>
      <c r="K466" s="68">
        <v>0</v>
      </c>
      <c r="L466" s="68">
        <v>0</v>
      </c>
      <c r="M466" s="68">
        <v>0</v>
      </c>
      <c r="N466" s="69">
        <v>0</v>
      </c>
      <c r="O466" s="65" t="str">
        <f>VLOOKUP(A466,Report_HQ1!$A$7:$C$95,3,FALSE)</f>
        <v>BV Kon Tum</v>
      </c>
      <c r="P466" s="40" t="str">
        <f>VLOOKUP(C466,Sheet1!$U$4:$V$14,2,FALSE)</f>
        <v>BH Hàng hóa</v>
      </c>
      <c r="Q466" s="88">
        <f t="shared" si="7"/>
        <v>0</v>
      </c>
    </row>
    <row r="467" spans="1:17" x14ac:dyDescent="0.25">
      <c r="A467" s="85" t="s">
        <v>323</v>
      </c>
      <c r="B467" s="65" t="s">
        <v>181</v>
      </c>
      <c r="C467" s="65" t="s">
        <v>272</v>
      </c>
      <c r="D467" s="66">
        <v>0</v>
      </c>
      <c r="E467" s="65">
        <v>336750000</v>
      </c>
      <c r="F467" s="67">
        <v>0</v>
      </c>
      <c r="G467" s="68">
        <v>0</v>
      </c>
      <c r="H467" s="68">
        <v>0</v>
      </c>
      <c r="I467" s="68">
        <v>0</v>
      </c>
      <c r="J467" s="68">
        <v>0</v>
      </c>
      <c r="K467" s="68">
        <v>0</v>
      </c>
      <c r="L467" s="68">
        <v>0</v>
      </c>
      <c r="M467" s="68">
        <v>0</v>
      </c>
      <c r="N467" s="69">
        <v>0</v>
      </c>
      <c r="O467" s="65" t="str">
        <f>VLOOKUP(A467,Report_HQ1!$A$7:$C$95,3,FALSE)</f>
        <v>BV Kon Tum</v>
      </c>
      <c r="P467" s="40" t="str">
        <f>VLOOKUP(C467,Sheet1!$U$4:$V$14,2,FALSE)</f>
        <v>Tàu khác</v>
      </c>
      <c r="Q467" s="88">
        <f t="shared" si="7"/>
        <v>0</v>
      </c>
    </row>
    <row r="468" spans="1:17" x14ac:dyDescent="0.25">
      <c r="A468" s="85" t="s">
        <v>323</v>
      </c>
      <c r="B468" s="65" t="s">
        <v>181</v>
      </c>
      <c r="C468" s="65" t="s">
        <v>388</v>
      </c>
      <c r="D468" s="66">
        <v>0</v>
      </c>
      <c r="E468" s="65">
        <v>336750000</v>
      </c>
      <c r="F468" s="67">
        <v>0</v>
      </c>
      <c r="G468" s="68">
        <v>0</v>
      </c>
      <c r="H468" s="68">
        <v>0</v>
      </c>
      <c r="I468" s="68">
        <v>0</v>
      </c>
      <c r="J468" s="68">
        <v>0</v>
      </c>
      <c r="K468" s="68">
        <v>0</v>
      </c>
      <c r="L468" s="68">
        <v>0</v>
      </c>
      <c r="M468" s="68">
        <v>0</v>
      </c>
      <c r="N468" s="69">
        <v>0</v>
      </c>
      <c r="O468" s="65" t="str">
        <f>VLOOKUP(A468,Report_HQ1!$A$7:$C$95,3,FALSE)</f>
        <v>BV Kon Tum</v>
      </c>
      <c r="P468" s="40" t="str">
        <f>VLOOKUP(C468,Sheet1!$U$4:$V$14,2,FALSE)</f>
        <v>Hull (Thân tàu biển)</v>
      </c>
      <c r="Q468" s="88">
        <f t="shared" si="7"/>
        <v>0</v>
      </c>
    </row>
    <row r="469" spans="1:17" x14ac:dyDescent="0.25">
      <c r="A469" s="85" t="s">
        <v>323</v>
      </c>
      <c r="B469" s="65" t="s">
        <v>181</v>
      </c>
      <c r="C469" s="65" t="s">
        <v>23</v>
      </c>
      <c r="D469" s="66">
        <v>0</v>
      </c>
      <c r="E469" s="65">
        <v>336750000</v>
      </c>
      <c r="F469" s="67">
        <v>0</v>
      </c>
      <c r="G469" s="68">
        <v>0</v>
      </c>
      <c r="H469" s="68">
        <v>0</v>
      </c>
      <c r="I469" s="68">
        <v>0</v>
      </c>
      <c r="J469" s="68">
        <v>0</v>
      </c>
      <c r="K469" s="68">
        <v>0</v>
      </c>
      <c r="L469" s="68">
        <v>0</v>
      </c>
      <c r="M469" s="68">
        <v>0</v>
      </c>
      <c r="N469" s="69">
        <v>0</v>
      </c>
      <c r="O469" s="65" t="str">
        <f>VLOOKUP(A469,Report_HQ1!$A$7:$C$95,3,FALSE)</f>
        <v>BV Kon Tum</v>
      </c>
      <c r="P469" s="40" t="str">
        <f>VLOOKUP(C469,Sheet1!$U$4:$V$14,2,FALSE)</f>
        <v>P&amp;I</v>
      </c>
      <c r="Q469" s="88">
        <f t="shared" si="7"/>
        <v>0</v>
      </c>
    </row>
    <row r="470" spans="1:17" x14ac:dyDescent="0.25">
      <c r="A470" s="85" t="s">
        <v>323</v>
      </c>
      <c r="B470" s="65" t="s">
        <v>181</v>
      </c>
      <c r="C470" s="65" t="s">
        <v>389</v>
      </c>
      <c r="D470" s="66">
        <v>0</v>
      </c>
      <c r="E470" s="65">
        <v>336750000</v>
      </c>
      <c r="F470" s="67">
        <v>0</v>
      </c>
      <c r="G470" s="68">
        <v>0</v>
      </c>
      <c r="H470" s="68">
        <v>0</v>
      </c>
      <c r="I470" s="68">
        <v>0</v>
      </c>
      <c r="J470" s="68">
        <v>0</v>
      </c>
      <c r="K470" s="68">
        <v>0</v>
      </c>
      <c r="L470" s="68">
        <v>0</v>
      </c>
      <c r="M470" s="68">
        <v>0</v>
      </c>
      <c r="N470" s="69">
        <v>0</v>
      </c>
      <c r="O470" s="65" t="str">
        <f>VLOOKUP(A470,Report_HQ1!$A$7:$C$95,3,FALSE)</f>
        <v>BV Kon Tum</v>
      </c>
      <c r="P470" s="40" t="str">
        <f>VLOOKUP(C470,Sheet1!$U$4:$V$14,2,FALSE)</f>
        <v>BH Trách nhiệm</v>
      </c>
      <c r="Q470" s="88">
        <f t="shared" si="7"/>
        <v>0</v>
      </c>
    </row>
    <row r="471" spans="1:17" x14ac:dyDescent="0.25">
      <c r="A471" s="85" t="s">
        <v>323</v>
      </c>
      <c r="B471" s="65" t="s">
        <v>181</v>
      </c>
      <c r="C471" s="65" t="s">
        <v>390</v>
      </c>
      <c r="D471" s="66">
        <v>0</v>
      </c>
      <c r="E471" s="65">
        <v>336750000</v>
      </c>
      <c r="F471" s="67">
        <v>0</v>
      </c>
      <c r="G471" s="68">
        <v>0</v>
      </c>
      <c r="H471" s="68">
        <v>0</v>
      </c>
      <c r="I471" s="68">
        <v>0</v>
      </c>
      <c r="J471" s="68">
        <v>0</v>
      </c>
      <c r="K471" s="68">
        <v>0</v>
      </c>
      <c r="L471" s="68">
        <v>0</v>
      </c>
      <c r="M471" s="68">
        <v>0</v>
      </c>
      <c r="N471" s="69">
        <v>0</v>
      </c>
      <c r="O471" s="65" t="str">
        <f>VLOOKUP(A471,Report_HQ1!$A$7:$C$95,3,FALSE)</f>
        <v>BV Kon Tum</v>
      </c>
      <c r="P471" s="40" t="e">
        <f>VLOOKUP(C471,Sheet1!$U$4:$V$14,2,FALSE)</f>
        <v>#N/A</v>
      </c>
      <c r="Q471" s="88">
        <f t="shared" si="7"/>
        <v>0</v>
      </c>
    </row>
    <row r="472" spans="1:17" x14ac:dyDescent="0.25">
      <c r="A472" s="85" t="s">
        <v>323</v>
      </c>
      <c r="B472" s="65" t="s">
        <v>181</v>
      </c>
      <c r="C472" s="65" t="s">
        <v>391</v>
      </c>
      <c r="D472" s="66">
        <v>9366692</v>
      </c>
      <c r="E472" s="65">
        <v>336750000</v>
      </c>
      <c r="F472" s="67">
        <v>627431.7617665804</v>
      </c>
      <c r="G472" s="68">
        <v>0</v>
      </c>
      <c r="H472" s="68">
        <v>627431.7617665804</v>
      </c>
      <c r="I472" s="68">
        <v>0</v>
      </c>
      <c r="J472" s="68">
        <v>0</v>
      </c>
      <c r="K472" s="68">
        <v>0</v>
      </c>
      <c r="L472" s="68">
        <v>0</v>
      </c>
      <c r="M472" s="68">
        <v>0</v>
      </c>
      <c r="N472" s="69">
        <v>627431.7617665804</v>
      </c>
      <c r="O472" s="65" t="str">
        <f>VLOOKUP(A472,Report_HQ1!$A$7:$C$95,3,FALSE)</f>
        <v>BV Kon Tum</v>
      </c>
      <c r="P472" s="40" t="str">
        <f>VLOOKUP(C472,Sheet1!$U$4:$V$14,2,FALSE)</f>
        <v>BH Kỹ thuật</v>
      </c>
      <c r="Q472" s="88">
        <f t="shared" si="7"/>
        <v>627431.7617665804</v>
      </c>
    </row>
    <row r="473" spans="1:17" x14ac:dyDescent="0.25">
      <c r="A473" s="85" t="s">
        <v>323</v>
      </c>
      <c r="B473" s="65" t="s">
        <v>181</v>
      </c>
      <c r="C473" s="65" t="s">
        <v>392</v>
      </c>
      <c r="D473" s="66">
        <v>577907239</v>
      </c>
      <c r="E473" s="65">
        <v>336750000</v>
      </c>
      <c r="F473" s="67">
        <v>38711356.912710518</v>
      </c>
      <c r="G473" s="68">
        <v>0</v>
      </c>
      <c r="H473" s="68">
        <v>38711356.912710518</v>
      </c>
      <c r="I473" s="68">
        <v>0</v>
      </c>
      <c r="J473" s="68">
        <v>2363644</v>
      </c>
      <c r="K473" s="68">
        <v>1181822</v>
      </c>
      <c r="L473" s="68">
        <v>77337796</v>
      </c>
      <c r="M473" s="68">
        <v>15991062</v>
      </c>
      <c r="N473" s="69">
        <v>135585680.91271052</v>
      </c>
      <c r="O473" s="65" t="str">
        <f>VLOOKUP(A473,Report_HQ1!$A$7:$C$95,3,FALSE)</f>
        <v>BV Kon Tum</v>
      </c>
      <c r="P473" s="40" t="str">
        <f>VLOOKUP(C473,Sheet1!$U$4:$V$14,2,FALSE)</f>
        <v>BH Tài sản</v>
      </c>
      <c r="Q473" s="88">
        <f t="shared" si="7"/>
        <v>135585680.91271052</v>
      </c>
    </row>
    <row r="474" spans="1:17" x14ac:dyDescent="0.25">
      <c r="A474" s="85" t="s">
        <v>323</v>
      </c>
      <c r="B474" s="65" t="s">
        <v>181</v>
      </c>
      <c r="C474" s="65" t="s">
        <v>393</v>
      </c>
      <c r="D474" s="66">
        <v>3749387541</v>
      </c>
      <c r="E474" s="65">
        <v>336750000</v>
      </c>
      <c r="F474" s="67">
        <v>251154284.82064924</v>
      </c>
      <c r="G474" s="68">
        <v>0</v>
      </c>
      <c r="H474" s="68">
        <v>251154284.82064924</v>
      </c>
      <c r="I474" s="68">
        <v>0</v>
      </c>
      <c r="J474" s="68">
        <v>339421145</v>
      </c>
      <c r="K474" s="68">
        <v>170070055</v>
      </c>
      <c r="L474" s="68">
        <v>311116584</v>
      </c>
      <c r="M474" s="68">
        <v>224159654</v>
      </c>
      <c r="N474" s="69">
        <v>1295921722.8206491</v>
      </c>
      <c r="O474" s="65" t="str">
        <f>VLOOKUP(A474,Report_HQ1!$A$7:$C$95,3,FALSE)</f>
        <v>BV Kon Tum</v>
      </c>
      <c r="P474" s="40" t="str">
        <f>VLOOKUP(C474,Sheet1!$U$4:$V$14,2,FALSE)</f>
        <v>BH Xe cơ giới</v>
      </c>
      <c r="Q474" s="88">
        <f t="shared" si="7"/>
        <v>1295921722.8206491</v>
      </c>
    </row>
    <row r="475" spans="1:17" x14ac:dyDescent="0.25">
      <c r="A475" s="85" t="s">
        <v>323</v>
      </c>
      <c r="B475" s="65" t="s">
        <v>181</v>
      </c>
      <c r="C475" s="65" t="s">
        <v>394</v>
      </c>
      <c r="D475" s="66">
        <v>383877600</v>
      </c>
      <c r="E475" s="65">
        <v>336750000</v>
      </c>
      <c r="F475" s="67">
        <v>25714200.794765819</v>
      </c>
      <c r="G475" s="68">
        <v>0</v>
      </c>
      <c r="H475" s="68">
        <v>25714200.794765819</v>
      </c>
      <c r="I475" s="68">
        <v>43750</v>
      </c>
      <c r="J475" s="68">
        <v>56609242</v>
      </c>
      <c r="K475" s="68">
        <v>156000</v>
      </c>
      <c r="L475" s="68">
        <v>19227435</v>
      </c>
      <c r="M475" s="68">
        <v>19375396</v>
      </c>
      <c r="N475" s="69">
        <v>121126023.79476582</v>
      </c>
      <c r="O475" s="65" t="str">
        <f>VLOOKUP(A475,Report_HQ1!$A$7:$C$95,3,FALSE)</f>
        <v>BV Kon Tum</v>
      </c>
      <c r="P475" s="40" t="str">
        <f>VLOOKUP(C475,Sheet1!$U$4:$V$14,2,FALSE)</f>
        <v>BH Con người</v>
      </c>
      <c r="Q475" s="88">
        <f t="shared" si="7"/>
        <v>121126023.79476582</v>
      </c>
    </row>
    <row r="476" spans="1:17" x14ac:dyDescent="0.25">
      <c r="A476" s="85" t="s">
        <v>323</v>
      </c>
      <c r="B476" s="65" t="s">
        <v>181</v>
      </c>
      <c r="C476" s="65" t="s">
        <v>395</v>
      </c>
      <c r="D476" s="66">
        <v>0</v>
      </c>
      <c r="E476" s="65">
        <v>336750000</v>
      </c>
      <c r="F476" s="67">
        <v>0</v>
      </c>
      <c r="G476" s="68">
        <v>0</v>
      </c>
      <c r="H476" s="68">
        <v>0</v>
      </c>
      <c r="I476" s="68">
        <v>0</v>
      </c>
      <c r="J476" s="68">
        <v>0</v>
      </c>
      <c r="K476" s="68">
        <v>0</v>
      </c>
      <c r="L476" s="68">
        <v>0</v>
      </c>
      <c r="M476" s="68">
        <v>0</v>
      </c>
      <c r="N476" s="69">
        <v>0</v>
      </c>
      <c r="O476" s="65" t="str">
        <f>VLOOKUP(A476,Report_HQ1!$A$7:$C$95,3,FALSE)</f>
        <v>BV Kon Tum</v>
      </c>
      <c r="P476" s="40" t="e">
        <f>VLOOKUP(C476,Sheet1!$U$4:$V$14,2,FALSE)</f>
        <v>#N/A</v>
      </c>
      <c r="Q476" s="88">
        <f t="shared" si="7"/>
        <v>0</v>
      </c>
    </row>
    <row r="477" spans="1:17" x14ac:dyDescent="0.25">
      <c r="A477" s="85" t="s">
        <v>323</v>
      </c>
      <c r="B477" s="65" t="s">
        <v>181</v>
      </c>
      <c r="C477" s="65" t="s">
        <v>396</v>
      </c>
      <c r="D477" s="66">
        <v>306098600</v>
      </c>
      <c r="E477" s="65">
        <v>336750000</v>
      </c>
      <c r="F477" s="67">
        <v>20504142.110393275</v>
      </c>
      <c r="G477" s="68">
        <v>0</v>
      </c>
      <c r="H477" s="68">
        <v>20504142.110393275</v>
      </c>
      <c r="I477" s="68">
        <v>0</v>
      </c>
      <c r="J477" s="68">
        <v>61219720</v>
      </c>
      <c r="K477" s="68">
        <v>30676406</v>
      </c>
      <c r="L477" s="68">
        <v>3412717</v>
      </c>
      <c r="M477" s="68">
        <v>23702314</v>
      </c>
      <c r="N477" s="69">
        <v>139515299.11039329</v>
      </c>
      <c r="O477" s="65" t="str">
        <f>VLOOKUP(A477,Report_HQ1!$A$7:$C$95,3,FALSE)</f>
        <v>BV Kon Tum</v>
      </c>
      <c r="P477" s="40" t="str">
        <f>VLOOKUP(C477,Sheet1!$U$4:$V$14,2,FALSE)</f>
        <v>BH Y tế</v>
      </c>
      <c r="Q477" s="88">
        <f t="shared" si="7"/>
        <v>139515299.11039329</v>
      </c>
    </row>
    <row r="478" spans="1:17" x14ac:dyDescent="0.25">
      <c r="A478" s="85" t="s">
        <v>323</v>
      </c>
      <c r="B478" s="65" t="s">
        <v>181</v>
      </c>
      <c r="C478" s="65" t="s">
        <v>397</v>
      </c>
      <c r="D478" s="66">
        <v>576000</v>
      </c>
      <c r="E478" s="65">
        <v>336750000</v>
      </c>
      <c r="F478" s="67">
        <v>38583.599714557742</v>
      </c>
      <c r="G478" s="68">
        <v>0</v>
      </c>
      <c r="H478" s="68">
        <v>38583.599714557742</v>
      </c>
      <c r="I478" s="68">
        <v>0</v>
      </c>
      <c r="J478" s="68">
        <v>115200</v>
      </c>
      <c r="K478" s="68">
        <v>115200</v>
      </c>
      <c r="L478" s="68">
        <v>0</v>
      </c>
      <c r="M478" s="68">
        <v>46080</v>
      </c>
      <c r="N478" s="69">
        <v>315063.59971455776</v>
      </c>
      <c r="O478" s="65" t="str">
        <f>VLOOKUP(A478,Report_HQ1!$A$7:$C$95,3,FALSE)</f>
        <v>BV Kon Tum</v>
      </c>
      <c r="P478" s="40" t="str">
        <f>VLOOKUP(C478,Sheet1!$U$4:$V$14,2,FALSE)</f>
        <v>BH Du lịch</v>
      </c>
      <c r="Q478" s="88">
        <f t="shared" si="7"/>
        <v>315063.59971455776</v>
      </c>
    </row>
    <row r="479" spans="1:17" x14ac:dyDescent="0.25">
      <c r="A479" s="85" t="s">
        <v>325</v>
      </c>
      <c r="B479" s="65" t="s">
        <v>183</v>
      </c>
      <c r="C479" s="65" t="s">
        <v>387</v>
      </c>
      <c r="D479" s="66">
        <v>930033</v>
      </c>
      <c r="E479" s="65">
        <v>698750000</v>
      </c>
      <c r="F479" s="67">
        <v>47500.058033039655</v>
      </c>
      <c r="G479" s="68">
        <v>0</v>
      </c>
      <c r="H479" s="68">
        <v>47500.058033039655</v>
      </c>
      <c r="I479" s="68">
        <v>0</v>
      </c>
      <c r="J479" s="68">
        <v>93003</v>
      </c>
      <c r="K479" s="68">
        <v>46502</v>
      </c>
      <c r="L479" s="68">
        <v>37201</v>
      </c>
      <c r="M479" s="68">
        <v>74403</v>
      </c>
      <c r="N479" s="69">
        <v>298609.05803303968</v>
      </c>
      <c r="O479" s="65" t="str">
        <f>VLOOKUP(A479,Report_HQ1!$A$7:$C$95,3,FALSE)</f>
        <v>BV Lâm Đồng</v>
      </c>
      <c r="P479" s="40" t="str">
        <f>VLOOKUP(C479,Sheet1!$U$4:$V$14,2,FALSE)</f>
        <v>BH Hàng hóa</v>
      </c>
      <c r="Q479" s="88">
        <f t="shared" si="7"/>
        <v>298609.05803303968</v>
      </c>
    </row>
    <row r="480" spans="1:17" x14ac:dyDescent="0.25">
      <c r="A480" s="85" t="s">
        <v>325</v>
      </c>
      <c r="B480" s="65" t="s">
        <v>183</v>
      </c>
      <c r="C480" s="65" t="s">
        <v>272</v>
      </c>
      <c r="D480" s="66">
        <v>9497000</v>
      </c>
      <c r="E480" s="65">
        <v>698750000</v>
      </c>
      <c r="F480" s="67">
        <v>485045.20929878578</v>
      </c>
      <c r="G480" s="68">
        <v>0</v>
      </c>
      <c r="H480" s="68">
        <v>485045.20929878578</v>
      </c>
      <c r="I480" s="68">
        <v>41535</v>
      </c>
      <c r="J480" s="68">
        <v>1424550</v>
      </c>
      <c r="K480" s="68">
        <v>664790</v>
      </c>
      <c r="L480" s="68">
        <v>94970</v>
      </c>
      <c r="M480" s="68">
        <v>759760</v>
      </c>
      <c r="N480" s="69">
        <v>3470650.2092987858</v>
      </c>
      <c r="O480" s="65" t="str">
        <f>VLOOKUP(A480,Report_HQ1!$A$7:$C$95,3,FALSE)</f>
        <v>BV Lâm Đồng</v>
      </c>
      <c r="P480" s="40" t="str">
        <f>VLOOKUP(C480,Sheet1!$U$4:$V$14,2,FALSE)</f>
        <v>Tàu khác</v>
      </c>
      <c r="Q480" s="88">
        <f t="shared" si="7"/>
        <v>3470650.2092987858</v>
      </c>
    </row>
    <row r="481" spans="1:17" x14ac:dyDescent="0.25">
      <c r="A481" s="85" t="s">
        <v>325</v>
      </c>
      <c r="B481" s="65" t="s">
        <v>183</v>
      </c>
      <c r="C481" s="65" t="s">
        <v>388</v>
      </c>
      <c r="D481" s="66">
        <v>0</v>
      </c>
      <c r="E481" s="65">
        <v>698750000</v>
      </c>
      <c r="F481" s="67">
        <v>0</v>
      </c>
      <c r="G481" s="68">
        <v>0</v>
      </c>
      <c r="H481" s="68">
        <v>0</v>
      </c>
      <c r="I481" s="68">
        <v>0</v>
      </c>
      <c r="J481" s="68">
        <v>0</v>
      </c>
      <c r="K481" s="68">
        <v>0</v>
      </c>
      <c r="L481" s="68">
        <v>0</v>
      </c>
      <c r="M481" s="68">
        <v>0</v>
      </c>
      <c r="N481" s="69">
        <v>0</v>
      </c>
      <c r="O481" s="65" t="str">
        <f>VLOOKUP(A481,Report_HQ1!$A$7:$C$95,3,FALSE)</f>
        <v>BV Lâm Đồng</v>
      </c>
      <c r="P481" s="40" t="str">
        <f>VLOOKUP(C481,Sheet1!$U$4:$V$14,2,FALSE)</f>
        <v>Hull (Thân tàu biển)</v>
      </c>
      <c r="Q481" s="88">
        <f t="shared" si="7"/>
        <v>0</v>
      </c>
    </row>
    <row r="482" spans="1:17" x14ac:dyDescent="0.25">
      <c r="A482" s="85" t="s">
        <v>325</v>
      </c>
      <c r="B482" s="65" t="s">
        <v>183</v>
      </c>
      <c r="C482" s="65" t="s">
        <v>23</v>
      </c>
      <c r="D482" s="66">
        <v>160055775</v>
      </c>
      <c r="E482" s="65">
        <v>698750000</v>
      </c>
      <c r="F482" s="67">
        <v>8174611.6546650901</v>
      </c>
      <c r="G482" s="68">
        <v>0</v>
      </c>
      <c r="H482" s="68">
        <v>8174611.6546650901</v>
      </c>
      <c r="I482" s="68">
        <v>0</v>
      </c>
      <c r="J482" s="68">
        <v>8002789</v>
      </c>
      <c r="K482" s="68">
        <v>4001394</v>
      </c>
      <c r="L482" s="68">
        <v>0</v>
      </c>
      <c r="M482" s="68">
        <v>4801673</v>
      </c>
      <c r="N482" s="69">
        <v>24980467.65466509</v>
      </c>
      <c r="O482" s="65" t="str">
        <f>VLOOKUP(A482,Report_HQ1!$A$7:$C$95,3,FALSE)</f>
        <v>BV Lâm Đồng</v>
      </c>
      <c r="P482" s="40" t="str">
        <f>VLOOKUP(C482,Sheet1!$U$4:$V$14,2,FALSE)</f>
        <v>P&amp;I</v>
      </c>
      <c r="Q482" s="88">
        <f t="shared" si="7"/>
        <v>24980467.65466509</v>
      </c>
    </row>
    <row r="483" spans="1:17" x14ac:dyDescent="0.25">
      <c r="A483" s="85" t="s">
        <v>325</v>
      </c>
      <c r="B483" s="65" t="s">
        <v>183</v>
      </c>
      <c r="C483" s="65" t="s">
        <v>389</v>
      </c>
      <c r="D483" s="66">
        <v>6000000</v>
      </c>
      <c r="E483" s="65">
        <v>698750000</v>
      </c>
      <c r="F483" s="67">
        <v>306441.11359299929</v>
      </c>
      <c r="G483" s="68">
        <v>0</v>
      </c>
      <c r="H483" s="68">
        <v>306441.11359299929</v>
      </c>
      <c r="I483" s="68">
        <v>0</v>
      </c>
      <c r="J483" s="68">
        <v>300000</v>
      </c>
      <c r="K483" s="68">
        <v>150000</v>
      </c>
      <c r="L483" s="68">
        <v>450000</v>
      </c>
      <c r="M483" s="68">
        <v>480000</v>
      </c>
      <c r="N483" s="69">
        <v>1686441.1135929993</v>
      </c>
      <c r="O483" s="65" t="str">
        <f>VLOOKUP(A483,Report_HQ1!$A$7:$C$95,3,FALSE)</f>
        <v>BV Lâm Đồng</v>
      </c>
      <c r="P483" s="40" t="str">
        <f>VLOOKUP(C483,Sheet1!$U$4:$V$14,2,FALSE)</f>
        <v>BH Trách nhiệm</v>
      </c>
      <c r="Q483" s="88">
        <f t="shared" si="7"/>
        <v>1686441.1135929993</v>
      </c>
    </row>
    <row r="484" spans="1:17" x14ac:dyDescent="0.25">
      <c r="A484" s="85" t="s">
        <v>325</v>
      </c>
      <c r="B484" s="65" t="s">
        <v>183</v>
      </c>
      <c r="C484" s="65" t="s">
        <v>390</v>
      </c>
      <c r="D484" s="66">
        <v>1175675684</v>
      </c>
      <c r="E484" s="65">
        <v>698750000</v>
      </c>
      <c r="F484" s="67">
        <v>60045894.304861866</v>
      </c>
      <c r="G484" s="68">
        <v>0</v>
      </c>
      <c r="H484" s="68">
        <v>60045894.304861866</v>
      </c>
      <c r="I484" s="68">
        <v>0</v>
      </c>
      <c r="J484" s="68">
        <v>0</v>
      </c>
      <c r="K484" s="68">
        <v>0</v>
      </c>
      <c r="L484" s="68">
        <v>140728379</v>
      </c>
      <c r="M484" s="68">
        <v>29744595</v>
      </c>
      <c r="N484" s="69">
        <v>230518868.30486187</v>
      </c>
      <c r="O484" s="65" t="str">
        <f>VLOOKUP(A484,Report_HQ1!$A$7:$C$95,3,FALSE)</f>
        <v>BV Lâm Đồng</v>
      </c>
      <c r="P484" s="40" t="e">
        <f>VLOOKUP(C484,Sheet1!$U$4:$V$14,2,FALSE)</f>
        <v>#N/A</v>
      </c>
      <c r="Q484" s="88">
        <f t="shared" si="7"/>
        <v>230518868.30486187</v>
      </c>
    </row>
    <row r="485" spans="1:17" x14ac:dyDescent="0.25">
      <c r="A485" s="85" t="s">
        <v>325</v>
      </c>
      <c r="B485" s="65" t="s">
        <v>183</v>
      </c>
      <c r="C485" s="65" t="s">
        <v>391</v>
      </c>
      <c r="D485" s="66">
        <v>54507596</v>
      </c>
      <c r="E485" s="65">
        <v>698750000</v>
      </c>
      <c r="F485" s="67">
        <v>2783894.7362528862</v>
      </c>
      <c r="G485" s="68">
        <v>0</v>
      </c>
      <c r="H485" s="68">
        <v>2783894.7362528862</v>
      </c>
      <c r="I485" s="68">
        <v>0</v>
      </c>
      <c r="J485" s="68">
        <v>5450760</v>
      </c>
      <c r="K485" s="68">
        <v>2725380</v>
      </c>
      <c r="L485" s="68">
        <v>2725380</v>
      </c>
      <c r="M485" s="68">
        <v>3270456</v>
      </c>
      <c r="N485" s="69">
        <v>16955870.736252885</v>
      </c>
      <c r="O485" s="65" t="str">
        <f>VLOOKUP(A485,Report_HQ1!$A$7:$C$95,3,FALSE)</f>
        <v>BV Lâm Đồng</v>
      </c>
      <c r="P485" s="40" t="str">
        <f>VLOOKUP(C485,Sheet1!$U$4:$V$14,2,FALSE)</f>
        <v>BH Kỹ thuật</v>
      </c>
      <c r="Q485" s="88">
        <f t="shared" si="7"/>
        <v>16955870.736252885</v>
      </c>
    </row>
    <row r="486" spans="1:17" x14ac:dyDescent="0.25">
      <c r="A486" s="85" t="s">
        <v>325</v>
      </c>
      <c r="B486" s="65" t="s">
        <v>183</v>
      </c>
      <c r="C486" s="65" t="s">
        <v>392</v>
      </c>
      <c r="D486" s="66">
        <v>341323737</v>
      </c>
      <c r="E486" s="65">
        <v>698750000</v>
      </c>
      <c r="F486" s="67">
        <v>17432604.343667336</v>
      </c>
      <c r="G486" s="68">
        <v>0</v>
      </c>
      <c r="H486" s="68">
        <v>17432604.343667336</v>
      </c>
      <c r="I486" s="68">
        <v>0</v>
      </c>
      <c r="J486" s="68">
        <v>14767680</v>
      </c>
      <c r="K486" s="68">
        <v>7383838</v>
      </c>
      <c r="L486" s="68">
        <v>41807316</v>
      </c>
      <c r="M486" s="68">
        <v>20479423</v>
      </c>
      <c r="N486" s="69">
        <v>101870861.34366733</v>
      </c>
      <c r="O486" s="65" t="str">
        <f>VLOOKUP(A486,Report_HQ1!$A$7:$C$95,3,FALSE)</f>
        <v>BV Lâm Đồng</v>
      </c>
      <c r="P486" s="40" t="str">
        <f>VLOOKUP(C486,Sheet1!$U$4:$V$14,2,FALSE)</f>
        <v>BH Tài sản</v>
      </c>
      <c r="Q486" s="88">
        <f t="shared" si="7"/>
        <v>101870861.34366733</v>
      </c>
    </row>
    <row r="487" spans="1:17" x14ac:dyDescent="0.25">
      <c r="A487" s="85" t="s">
        <v>325</v>
      </c>
      <c r="B487" s="65" t="s">
        <v>183</v>
      </c>
      <c r="C487" s="65" t="s">
        <v>393</v>
      </c>
      <c r="D487" s="66">
        <v>10324886714</v>
      </c>
      <c r="E487" s="65">
        <v>698750000</v>
      </c>
      <c r="F487" s="67">
        <v>527328297.05995387</v>
      </c>
      <c r="G487" s="68">
        <v>0</v>
      </c>
      <c r="H487" s="68">
        <v>527328297.05995387</v>
      </c>
      <c r="I487" s="68">
        <v>0</v>
      </c>
      <c r="J487" s="68">
        <v>911462345</v>
      </c>
      <c r="K487" s="68">
        <v>455731172</v>
      </c>
      <c r="L487" s="68">
        <v>886170533</v>
      </c>
      <c r="M487" s="68">
        <v>618050716</v>
      </c>
      <c r="N487" s="69">
        <v>3398743063.0599537</v>
      </c>
      <c r="O487" s="65" t="str">
        <f>VLOOKUP(A487,Report_HQ1!$A$7:$C$95,3,FALSE)</f>
        <v>BV Lâm Đồng</v>
      </c>
      <c r="P487" s="40" t="str">
        <f>VLOOKUP(C487,Sheet1!$U$4:$V$14,2,FALSE)</f>
        <v>BH Xe cơ giới</v>
      </c>
      <c r="Q487" s="88">
        <f t="shared" si="7"/>
        <v>3398743063.0599537</v>
      </c>
    </row>
    <row r="488" spans="1:17" x14ac:dyDescent="0.25">
      <c r="A488" s="85" t="s">
        <v>325</v>
      </c>
      <c r="B488" s="65" t="s">
        <v>183</v>
      </c>
      <c r="C488" s="65" t="s">
        <v>394</v>
      </c>
      <c r="D488" s="66">
        <v>608582300</v>
      </c>
      <c r="E488" s="65">
        <v>698750000</v>
      </c>
      <c r="F488" s="67">
        <v>31082439.620831467</v>
      </c>
      <c r="G488" s="68">
        <v>0</v>
      </c>
      <c r="H488" s="68">
        <v>31082439.620831467</v>
      </c>
      <c r="I488" s="68">
        <v>1355150</v>
      </c>
      <c r="J488" s="68">
        <v>92744303</v>
      </c>
      <c r="K488" s="68">
        <v>5566240</v>
      </c>
      <c r="L488" s="68">
        <v>9441813</v>
      </c>
      <c r="M488" s="68">
        <v>31522126</v>
      </c>
      <c r="N488" s="69">
        <v>171712071.62083146</v>
      </c>
      <c r="O488" s="65" t="str">
        <f>VLOOKUP(A488,Report_HQ1!$A$7:$C$95,3,FALSE)</f>
        <v>BV Lâm Đồng</v>
      </c>
      <c r="P488" s="40" t="str">
        <f>VLOOKUP(C488,Sheet1!$U$4:$V$14,2,FALSE)</f>
        <v>BH Con người</v>
      </c>
      <c r="Q488" s="88">
        <f t="shared" si="7"/>
        <v>171712071.62083146</v>
      </c>
    </row>
    <row r="489" spans="1:17" x14ac:dyDescent="0.25">
      <c r="A489" s="85" t="s">
        <v>325</v>
      </c>
      <c r="B489" s="65" t="s">
        <v>183</v>
      </c>
      <c r="C489" s="65" t="s">
        <v>395</v>
      </c>
      <c r="D489" s="66">
        <v>0</v>
      </c>
      <c r="E489" s="65">
        <v>698750000</v>
      </c>
      <c r="F489" s="67">
        <v>0</v>
      </c>
      <c r="G489" s="68">
        <v>0</v>
      </c>
      <c r="H489" s="68">
        <v>0</v>
      </c>
      <c r="I489" s="68">
        <v>0</v>
      </c>
      <c r="J489" s="68">
        <v>0</v>
      </c>
      <c r="K489" s="68">
        <v>0</v>
      </c>
      <c r="L489" s="68">
        <v>0</v>
      </c>
      <c r="M489" s="68">
        <v>0</v>
      </c>
      <c r="N489" s="69">
        <v>0</v>
      </c>
      <c r="O489" s="65" t="str">
        <f>VLOOKUP(A489,Report_HQ1!$A$7:$C$95,3,FALSE)</f>
        <v>BV Lâm Đồng</v>
      </c>
      <c r="P489" s="40" t="e">
        <f>VLOOKUP(C489,Sheet1!$U$4:$V$14,2,FALSE)</f>
        <v>#N/A</v>
      </c>
      <c r="Q489" s="88">
        <f t="shared" si="7"/>
        <v>0</v>
      </c>
    </row>
    <row r="490" spans="1:17" x14ac:dyDescent="0.25">
      <c r="A490" s="85" t="s">
        <v>325</v>
      </c>
      <c r="B490" s="65" t="s">
        <v>183</v>
      </c>
      <c r="C490" s="65" t="s">
        <v>396</v>
      </c>
      <c r="D490" s="66">
        <v>928085867</v>
      </c>
      <c r="E490" s="65">
        <v>698750000</v>
      </c>
      <c r="F490" s="67">
        <v>47400611.098900706</v>
      </c>
      <c r="G490" s="68">
        <v>0</v>
      </c>
      <c r="H490" s="68">
        <v>47400611.098900706</v>
      </c>
      <c r="I490" s="68">
        <v>0</v>
      </c>
      <c r="J490" s="68">
        <v>185617173</v>
      </c>
      <c r="K490" s="68">
        <v>37123434</v>
      </c>
      <c r="L490" s="68">
        <v>4016231</v>
      </c>
      <c r="M490" s="68">
        <v>76074166</v>
      </c>
      <c r="N490" s="69">
        <v>350231615.09890068</v>
      </c>
      <c r="O490" s="65" t="str">
        <f>VLOOKUP(A490,Report_HQ1!$A$7:$C$95,3,FALSE)</f>
        <v>BV Lâm Đồng</v>
      </c>
      <c r="P490" s="40" t="str">
        <f>VLOOKUP(C490,Sheet1!$U$4:$V$14,2,FALSE)</f>
        <v>BH Y tế</v>
      </c>
      <c r="Q490" s="88">
        <f t="shared" si="7"/>
        <v>350231615.09890068</v>
      </c>
    </row>
    <row r="491" spans="1:17" x14ac:dyDescent="0.25">
      <c r="A491" s="85" t="s">
        <v>325</v>
      </c>
      <c r="B491" s="65" t="s">
        <v>183</v>
      </c>
      <c r="C491" s="65" t="s">
        <v>397</v>
      </c>
      <c r="D491" s="66">
        <v>71713500</v>
      </c>
      <c r="E491" s="65">
        <v>698750000</v>
      </c>
      <c r="F491" s="67">
        <v>3662660.7999419263</v>
      </c>
      <c r="G491" s="68">
        <v>0</v>
      </c>
      <c r="H491" s="68">
        <v>3662660.7999419263</v>
      </c>
      <c r="I491" s="68">
        <v>0</v>
      </c>
      <c r="J491" s="68">
        <v>14342700</v>
      </c>
      <c r="K491" s="68">
        <v>14342700</v>
      </c>
      <c r="L491" s="68">
        <v>0</v>
      </c>
      <c r="M491" s="68">
        <v>5737080</v>
      </c>
      <c r="N491" s="69">
        <v>38085140.799941927</v>
      </c>
      <c r="O491" s="65" t="str">
        <f>VLOOKUP(A491,Report_HQ1!$A$7:$C$95,3,FALSE)</f>
        <v>BV Lâm Đồng</v>
      </c>
      <c r="P491" s="40" t="str">
        <f>VLOOKUP(C491,Sheet1!$U$4:$V$14,2,FALSE)</f>
        <v>BH Du lịch</v>
      </c>
      <c r="Q491" s="88">
        <f t="shared" si="7"/>
        <v>38085140.799941927</v>
      </c>
    </row>
    <row r="492" spans="1:17" x14ac:dyDescent="0.25">
      <c r="A492" s="85" t="s">
        <v>327</v>
      </c>
      <c r="B492" s="65" t="s">
        <v>185</v>
      </c>
      <c r="C492" s="65" t="s">
        <v>387</v>
      </c>
      <c r="D492" s="66">
        <v>226924441</v>
      </c>
      <c r="E492" s="65">
        <v>545653000</v>
      </c>
      <c r="F492" s="67">
        <v>18714486.814313538</v>
      </c>
      <c r="G492" s="68">
        <v>0</v>
      </c>
      <c r="H492" s="68">
        <v>18714486.814313538</v>
      </c>
      <c r="I492" s="68">
        <v>0</v>
      </c>
      <c r="J492" s="68">
        <v>22692444</v>
      </c>
      <c r="K492" s="68">
        <v>11346222</v>
      </c>
      <c r="L492" s="68">
        <v>9076977</v>
      </c>
      <c r="M492" s="68">
        <v>18153955</v>
      </c>
      <c r="N492" s="69">
        <v>79984084.814313531</v>
      </c>
      <c r="O492" s="65" t="str">
        <f>VLOOKUP(A492,Report_HQ1!$A$7:$C$95,3,FALSE)</f>
        <v>BV Lào Cai</v>
      </c>
      <c r="P492" s="40" t="str">
        <f>VLOOKUP(C492,Sheet1!$U$4:$V$14,2,FALSE)</f>
        <v>BH Hàng hóa</v>
      </c>
      <c r="Q492" s="88">
        <f t="shared" si="7"/>
        <v>79984084.814313531</v>
      </c>
    </row>
    <row r="493" spans="1:17" x14ac:dyDescent="0.25">
      <c r="A493" s="85" t="s">
        <v>327</v>
      </c>
      <c r="B493" s="65" t="s">
        <v>185</v>
      </c>
      <c r="C493" s="65" t="s">
        <v>272</v>
      </c>
      <c r="D493" s="66">
        <v>0</v>
      </c>
      <c r="E493" s="65">
        <v>545653000</v>
      </c>
      <c r="F493" s="67">
        <v>0</v>
      </c>
      <c r="G493" s="68">
        <v>0</v>
      </c>
      <c r="H493" s="68">
        <v>0</v>
      </c>
      <c r="I493" s="68">
        <v>0</v>
      </c>
      <c r="J493" s="68">
        <v>0</v>
      </c>
      <c r="K493" s="68">
        <v>0</v>
      </c>
      <c r="L493" s="68">
        <v>0</v>
      </c>
      <c r="M493" s="68">
        <v>0</v>
      </c>
      <c r="N493" s="69">
        <v>0</v>
      </c>
      <c r="O493" s="65" t="str">
        <f>VLOOKUP(A493,Report_HQ1!$A$7:$C$95,3,FALSE)</f>
        <v>BV Lào Cai</v>
      </c>
      <c r="P493" s="40" t="str">
        <f>VLOOKUP(C493,Sheet1!$U$4:$V$14,2,FALSE)</f>
        <v>Tàu khác</v>
      </c>
      <c r="Q493" s="88">
        <f t="shared" si="7"/>
        <v>0</v>
      </c>
    </row>
    <row r="494" spans="1:17" x14ac:dyDescent="0.25">
      <c r="A494" s="85" t="s">
        <v>327</v>
      </c>
      <c r="B494" s="65" t="s">
        <v>185</v>
      </c>
      <c r="C494" s="65" t="s">
        <v>388</v>
      </c>
      <c r="D494" s="66">
        <v>0</v>
      </c>
      <c r="E494" s="65">
        <v>545653000</v>
      </c>
      <c r="F494" s="67">
        <v>0</v>
      </c>
      <c r="G494" s="68">
        <v>0</v>
      </c>
      <c r="H494" s="68">
        <v>0</v>
      </c>
      <c r="I494" s="68">
        <v>0</v>
      </c>
      <c r="J494" s="68">
        <v>0</v>
      </c>
      <c r="K494" s="68">
        <v>0</v>
      </c>
      <c r="L494" s="68">
        <v>0</v>
      </c>
      <c r="M494" s="68">
        <v>0</v>
      </c>
      <c r="N494" s="69">
        <v>0</v>
      </c>
      <c r="O494" s="65" t="str">
        <f>VLOOKUP(A494,Report_HQ1!$A$7:$C$95,3,FALSE)</f>
        <v>BV Lào Cai</v>
      </c>
      <c r="P494" s="40" t="str">
        <f>VLOOKUP(C494,Sheet1!$U$4:$V$14,2,FALSE)</f>
        <v>Hull (Thân tàu biển)</v>
      </c>
      <c r="Q494" s="88">
        <f t="shared" si="7"/>
        <v>0</v>
      </c>
    </row>
    <row r="495" spans="1:17" x14ac:dyDescent="0.25">
      <c r="A495" s="85" t="s">
        <v>327</v>
      </c>
      <c r="B495" s="65" t="s">
        <v>185</v>
      </c>
      <c r="C495" s="65" t="s">
        <v>23</v>
      </c>
      <c r="D495" s="66">
        <v>0</v>
      </c>
      <c r="E495" s="65">
        <v>545653000</v>
      </c>
      <c r="F495" s="67">
        <v>0</v>
      </c>
      <c r="G495" s="68">
        <v>0</v>
      </c>
      <c r="H495" s="68">
        <v>0</v>
      </c>
      <c r="I495" s="68">
        <v>0</v>
      </c>
      <c r="J495" s="68">
        <v>0</v>
      </c>
      <c r="K495" s="68">
        <v>0</v>
      </c>
      <c r="L495" s="68">
        <v>0</v>
      </c>
      <c r="M495" s="68">
        <v>0</v>
      </c>
      <c r="N495" s="69">
        <v>0</v>
      </c>
      <c r="O495" s="65" t="str">
        <f>VLOOKUP(A495,Report_HQ1!$A$7:$C$95,3,FALSE)</f>
        <v>BV Lào Cai</v>
      </c>
      <c r="P495" s="40" t="str">
        <f>VLOOKUP(C495,Sheet1!$U$4:$V$14,2,FALSE)</f>
        <v>P&amp;I</v>
      </c>
      <c r="Q495" s="88">
        <f t="shared" si="7"/>
        <v>0</v>
      </c>
    </row>
    <row r="496" spans="1:17" x14ac:dyDescent="0.25">
      <c r="A496" s="85" t="s">
        <v>327</v>
      </c>
      <c r="B496" s="65" t="s">
        <v>185</v>
      </c>
      <c r="C496" s="65" t="s">
        <v>389</v>
      </c>
      <c r="D496" s="66">
        <v>54828900</v>
      </c>
      <c r="E496" s="65">
        <v>545653000</v>
      </c>
      <c r="F496" s="67">
        <v>4521746.1881654067</v>
      </c>
      <c r="G496" s="68">
        <v>0</v>
      </c>
      <c r="H496" s="68">
        <v>4521746.1881654067</v>
      </c>
      <c r="I496" s="68">
        <v>0</v>
      </c>
      <c r="J496" s="68">
        <v>16448670</v>
      </c>
      <c r="K496" s="68">
        <v>0</v>
      </c>
      <c r="L496" s="68">
        <v>4934601</v>
      </c>
      <c r="M496" s="68">
        <v>6031179</v>
      </c>
      <c r="N496" s="69">
        <v>31936196.188165408</v>
      </c>
      <c r="O496" s="65" t="str">
        <f>VLOOKUP(A496,Report_HQ1!$A$7:$C$95,3,FALSE)</f>
        <v>BV Lào Cai</v>
      </c>
      <c r="P496" s="40" t="str">
        <f>VLOOKUP(C496,Sheet1!$U$4:$V$14,2,FALSE)</f>
        <v>BH Trách nhiệm</v>
      </c>
      <c r="Q496" s="88">
        <f t="shared" si="7"/>
        <v>31936196.188165408</v>
      </c>
    </row>
    <row r="497" spans="1:17" x14ac:dyDescent="0.25">
      <c r="A497" s="85" t="s">
        <v>327</v>
      </c>
      <c r="B497" s="65" t="s">
        <v>185</v>
      </c>
      <c r="C497" s="65" t="s">
        <v>390</v>
      </c>
      <c r="D497" s="66">
        <v>0</v>
      </c>
      <c r="E497" s="65">
        <v>545653000</v>
      </c>
      <c r="F497" s="67">
        <v>0</v>
      </c>
      <c r="G497" s="68">
        <v>0</v>
      </c>
      <c r="H497" s="68">
        <v>0</v>
      </c>
      <c r="I497" s="68">
        <v>0</v>
      </c>
      <c r="J497" s="68">
        <v>0</v>
      </c>
      <c r="K497" s="68">
        <v>0</v>
      </c>
      <c r="L497" s="68">
        <v>0</v>
      </c>
      <c r="M497" s="68">
        <v>0</v>
      </c>
      <c r="N497" s="69">
        <v>0</v>
      </c>
      <c r="O497" s="65" t="str">
        <f>VLOOKUP(A497,Report_HQ1!$A$7:$C$95,3,FALSE)</f>
        <v>BV Lào Cai</v>
      </c>
      <c r="P497" s="40" t="e">
        <f>VLOOKUP(C497,Sheet1!$U$4:$V$14,2,FALSE)</f>
        <v>#N/A</v>
      </c>
      <c r="Q497" s="88">
        <f t="shared" si="7"/>
        <v>0</v>
      </c>
    </row>
    <row r="498" spans="1:17" x14ac:dyDescent="0.25">
      <c r="A498" s="85" t="s">
        <v>327</v>
      </c>
      <c r="B498" s="65" t="s">
        <v>185</v>
      </c>
      <c r="C498" s="65" t="s">
        <v>391</v>
      </c>
      <c r="D498" s="66">
        <v>589831503</v>
      </c>
      <c r="E498" s="65">
        <v>545653000</v>
      </c>
      <c r="F498" s="67">
        <v>48643477.260169774</v>
      </c>
      <c r="G498" s="68">
        <v>0</v>
      </c>
      <c r="H498" s="68">
        <v>48643477.260169774</v>
      </c>
      <c r="I498" s="68">
        <v>0</v>
      </c>
      <c r="J498" s="68">
        <v>5861607</v>
      </c>
      <c r="K498" s="68">
        <v>2930804</v>
      </c>
      <c r="L498" s="68">
        <v>8792411</v>
      </c>
      <c r="M498" s="68">
        <v>7033929</v>
      </c>
      <c r="N498" s="69">
        <v>73262228.260169774</v>
      </c>
      <c r="O498" s="65" t="str">
        <f>VLOOKUP(A498,Report_HQ1!$A$7:$C$95,3,FALSE)</f>
        <v>BV Lào Cai</v>
      </c>
      <c r="P498" s="40" t="str">
        <f>VLOOKUP(C498,Sheet1!$U$4:$V$14,2,FALSE)</f>
        <v>BH Kỹ thuật</v>
      </c>
      <c r="Q498" s="88">
        <f t="shared" si="7"/>
        <v>73262228.260169774</v>
      </c>
    </row>
    <row r="499" spans="1:17" x14ac:dyDescent="0.25">
      <c r="A499" s="85" t="s">
        <v>327</v>
      </c>
      <c r="B499" s="65" t="s">
        <v>185</v>
      </c>
      <c r="C499" s="65" t="s">
        <v>392</v>
      </c>
      <c r="D499" s="66">
        <v>1467964914</v>
      </c>
      <c r="E499" s="65">
        <v>545653000</v>
      </c>
      <c r="F499" s="67">
        <v>121063248.65609302</v>
      </c>
      <c r="G499" s="68">
        <v>0</v>
      </c>
      <c r="H499" s="68">
        <v>121063248.65609302</v>
      </c>
      <c r="I499" s="68">
        <v>0</v>
      </c>
      <c r="J499" s="68">
        <v>82275344</v>
      </c>
      <c r="K499" s="68">
        <v>176537</v>
      </c>
      <c r="L499" s="68">
        <v>44715791</v>
      </c>
      <c r="M499" s="68">
        <v>16596297</v>
      </c>
      <c r="N499" s="69">
        <v>264827217.656093</v>
      </c>
      <c r="O499" s="65" t="str">
        <f>VLOOKUP(A499,Report_HQ1!$A$7:$C$95,3,FALSE)</f>
        <v>BV Lào Cai</v>
      </c>
      <c r="P499" s="40" t="str">
        <f>VLOOKUP(C499,Sheet1!$U$4:$V$14,2,FALSE)</f>
        <v>BH Tài sản</v>
      </c>
      <c r="Q499" s="88">
        <f t="shared" si="7"/>
        <v>264827217.656093</v>
      </c>
    </row>
    <row r="500" spans="1:17" x14ac:dyDescent="0.25">
      <c r="A500" s="85" t="s">
        <v>327</v>
      </c>
      <c r="B500" s="65" t="s">
        <v>185</v>
      </c>
      <c r="C500" s="65" t="s">
        <v>393</v>
      </c>
      <c r="D500" s="66">
        <v>2668061101</v>
      </c>
      <c r="E500" s="65">
        <v>545653000</v>
      </c>
      <c r="F500" s="67">
        <v>220035330.14959529</v>
      </c>
      <c r="G500" s="68">
        <v>0</v>
      </c>
      <c r="H500" s="68">
        <v>220035330.14959529</v>
      </c>
      <c r="I500" s="68">
        <v>0</v>
      </c>
      <c r="J500" s="68">
        <v>233724646</v>
      </c>
      <c r="K500" s="68">
        <v>116862323</v>
      </c>
      <c r="L500" s="68">
        <v>227538208</v>
      </c>
      <c r="M500" s="68">
        <v>159175577</v>
      </c>
      <c r="N500" s="69">
        <v>957336084.14959526</v>
      </c>
      <c r="O500" s="65" t="str">
        <f>VLOOKUP(A500,Report_HQ1!$A$7:$C$95,3,FALSE)</f>
        <v>BV Lào Cai</v>
      </c>
      <c r="P500" s="40" t="str">
        <f>VLOOKUP(C500,Sheet1!$U$4:$V$14,2,FALSE)</f>
        <v>BH Xe cơ giới</v>
      </c>
      <c r="Q500" s="88">
        <f t="shared" si="7"/>
        <v>957336084.14959526</v>
      </c>
    </row>
    <row r="501" spans="1:17" x14ac:dyDescent="0.25">
      <c r="A501" s="85" t="s">
        <v>327</v>
      </c>
      <c r="B501" s="65" t="s">
        <v>185</v>
      </c>
      <c r="C501" s="65" t="s">
        <v>394</v>
      </c>
      <c r="D501" s="66">
        <v>1215220298</v>
      </c>
      <c r="E501" s="65">
        <v>545653000</v>
      </c>
      <c r="F501" s="67">
        <v>100219368.80482243</v>
      </c>
      <c r="G501" s="68">
        <v>0</v>
      </c>
      <c r="H501" s="68">
        <v>100219368.80482243</v>
      </c>
      <c r="I501" s="68">
        <v>490000</v>
      </c>
      <c r="J501" s="68">
        <v>156558450</v>
      </c>
      <c r="K501" s="68">
        <v>1984990</v>
      </c>
      <c r="L501" s="68">
        <v>50974449</v>
      </c>
      <c r="M501" s="68">
        <v>54695039</v>
      </c>
      <c r="N501" s="69">
        <v>364922296.80482244</v>
      </c>
      <c r="O501" s="65" t="str">
        <f>VLOOKUP(A501,Report_HQ1!$A$7:$C$95,3,FALSE)</f>
        <v>BV Lào Cai</v>
      </c>
      <c r="P501" s="40" t="str">
        <f>VLOOKUP(C501,Sheet1!$U$4:$V$14,2,FALSE)</f>
        <v>BH Con người</v>
      </c>
      <c r="Q501" s="88">
        <f t="shared" si="7"/>
        <v>364922296.80482244</v>
      </c>
    </row>
    <row r="502" spans="1:17" x14ac:dyDescent="0.25">
      <c r="A502" s="85" t="s">
        <v>327</v>
      </c>
      <c r="B502" s="65" t="s">
        <v>185</v>
      </c>
      <c r="C502" s="65" t="s">
        <v>395</v>
      </c>
      <c r="D502" s="66">
        <v>0</v>
      </c>
      <c r="E502" s="65">
        <v>545653000</v>
      </c>
      <c r="F502" s="67">
        <v>0</v>
      </c>
      <c r="G502" s="68">
        <v>0</v>
      </c>
      <c r="H502" s="68">
        <v>0</v>
      </c>
      <c r="I502" s="68">
        <v>0</v>
      </c>
      <c r="J502" s="68">
        <v>0</v>
      </c>
      <c r="K502" s="68">
        <v>0</v>
      </c>
      <c r="L502" s="68">
        <v>0</v>
      </c>
      <c r="M502" s="68">
        <v>0</v>
      </c>
      <c r="N502" s="69">
        <v>0</v>
      </c>
      <c r="O502" s="65" t="str">
        <f>VLOOKUP(A502,Report_HQ1!$A$7:$C$95,3,FALSE)</f>
        <v>BV Lào Cai</v>
      </c>
      <c r="P502" s="40" t="e">
        <f>VLOOKUP(C502,Sheet1!$U$4:$V$14,2,FALSE)</f>
        <v>#N/A</v>
      </c>
      <c r="Q502" s="88">
        <f t="shared" si="7"/>
        <v>0</v>
      </c>
    </row>
    <row r="503" spans="1:17" x14ac:dyDescent="0.25">
      <c r="A503" s="85" t="s">
        <v>327</v>
      </c>
      <c r="B503" s="65" t="s">
        <v>185</v>
      </c>
      <c r="C503" s="65" t="s">
        <v>396</v>
      </c>
      <c r="D503" s="66">
        <v>393540600</v>
      </c>
      <c r="E503" s="65">
        <v>545653000</v>
      </c>
      <c r="F503" s="67">
        <v>32455342.126840528</v>
      </c>
      <c r="G503" s="68">
        <v>0</v>
      </c>
      <c r="H503" s="68">
        <v>32455342.126840528</v>
      </c>
      <c r="I503" s="68">
        <v>0</v>
      </c>
      <c r="J503" s="68">
        <v>42318520</v>
      </c>
      <c r="K503" s="68">
        <v>8463704</v>
      </c>
      <c r="L503" s="68">
        <v>1534214</v>
      </c>
      <c r="M503" s="68">
        <v>17552455</v>
      </c>
      <c r="N503" s="69">
        <v>102324235.12684053</v>
      </c>
      <c r="O503" s="65" t="str">
        <f>VLOOKUP(A503,Report_HQ1!$A$7:$C$95,3,FALSE)</f>
        <v>BV Lào Cai</v>
      </c>
      <c r="P503" s="40" t="str">
        <f>VLOOKUP(C503,Sheet1!$U$4:$V$14,2,FALSE)</f>
        <v>BH Y tế</v>
      </c>
      <c r="Q503" s="88">
        <f t="shared" si="7"/>
        <v>102324235.12684053</v>
      </c>
    </row>
    <row r="504" spans="1:17" x14ac:dyDescent="0.25">
      <c r="A504" s="85" t="s">
        <v>327</v>
      </c>
      <c r="B504" s="65" t="s">
        <v>185</v>
      </c>
      <c r="C504" s="65" t="s">
        <v>397</v>
      </c>
      <c r="D504" s="66">
        <v>0</v>
      </c>
      <c r="E504" s="65">
        <v>545653000</v>
      </c>
      <c r="F504" s="67">
        <v>0</v>
      </c>
      <c r="G504" s="68">
        <v>0</v>
      </c>
      <c r="H504" s="68">
        <v>0</v>
      </c>
      <c r="I504" s="68">
        <v>0</v>
      </c>
      <c r="J504" s="68">
        <v>0</v>
      </c>
      <c r="K504" s="68">
        <v>0</v>
      </c>
      <c r="L504" s="68">
        <v>0</v>
      </c>
      <c r="M504" s="68">
        <v>0</v>
      </c>
      <c r="N504" s="69">
        <v>0</v>
      </c>
      <c r="O504" s="65" t="str">
        <f>VLOOKUP(A504,Report_HQ1!$A$7:$C$95,3,FALSE)</f>
        <v>BV Lào Cai</v>
      </c>
      <c r="P504" s="40" t="str">
        <f>VLOOKUP(C504,Sheet1!$U$4:$V$14,2,FALSE)</f>
        <v>BH Du lịch</v>
      </c>
      <c r="Q504" s="88">
        <f t="shared" si="7"/>
        <v>0</v>
      </c>
    </row>
    <row r="505" spans="1:17" x14ac:dyDescent="0.25">
      <c r="A505" s="85" t="s">
        <v>326</v>
      </c>
      <c r="B505" s="65" t="s">
        <v>184</v>
      </c>
      <c r="C505" s="65" t="s">
        <v>387</v>
      </c>
      <c r="D505" s="66">
        <v>0</v>
      </c>
      <c r="E505" s="65">
        <v>294000000</v>
      </c>
      <c r="F505" s="67">
        <v>0</v>
      </c>
      <c r="G505" s="68">
        <v>0</v>
      </c>
      <c r="H505" s="68">
        <v>0</v>
      </c>
      <c r="I505" s="68">
        <v>0</v>
      </c>
      <c r="J505" s="68">
        <v>0</v>
      </c>
      <c r="K505" s="68">
        <v>0</v>
      </c>
      <c r="L505" s="68">
        <v>0</v>
      </c>
      <c r="M505" s="68">
        <v>0</v>
      </c>
      <c r="N505" s="69">
        <v>0</v>
      </c>
      <c r="O505" s="65" t="str">
        <f>VLOOKUP(A505,Report_HQ1!$A$7:$C$95,3,FALSE)</f>
        <v>BV Lạng Sơn</v>
      </c>
      <c r="P505" s="40" t="str">
        <f>VLOOKUP(C505,Sheet1!$U$4:$V$14,2,FALSE)</f>
        <v>BH Hàng hóa</v>
      </c>
      <c r="Q505" s="88">
        <f t="shared" si="7"/>
        <v>0</v>
      </c>
    </row>
    <row r="506" spans="1:17" x14ac:dyDescent="0.25">
      <c r="A506" s="85" t="s">
        <v>326</v>
      </c>
      <c r="B506" s="65" t="s">
        <v>184</v>
      </c>
      <c r="C506" s="65" t="s">
        <v>272</v>
      </c>
      <c r="D506" s="66">
        <v>0</v>
      </c>
      <c r="E506" s="65">
        <v>294000000</v>
      </c>
      <c r="F506" s="67">
        <v>0</v>
      </c>
      <c r="G506" s="68">
        <v>0</v>
      </c>
      <c r="H506" s="68">
        <v>0</v>
      </c>
      <c r="I506" s="68">
        <v>0</v>
      </c>
      <c r="J506" s="68">
        <v>0</v>
      </c>
      <c r="K506" s="68">
        <v>0</v>
      </c>
      <c r="L506" s="68">
        <v>0</v>
      </c>
      <c r="M506" s="68">
        <v>0</v>
      </c>
      <c r="N506" s="69">
        <v>0</v>
      </c>
      <c r="O506" s="65" t="str">
        <f>VLOOKUP(A506,Report_HQ1!$A$7:$C$95,3,FALSE)</f>
        <v>BV Lạng Sơn</v>
      </c>
      <c r="P506" s="40" t="str">
        <f>VLOOKUP(C506,Sheet1!$U$4:$V$14,2,FALSE)</f>
        <v>Tàu khác</v>
      </c>
      <c r="Q506" s="88">
        <f t="shared" si="7"/>
        <v>0</v>
      </c>
    </row>
    <row r="507" spans="1:17" x14ac:dyDescent="0.25">
      <c r="A507" s="85" t="s">
        <v>326</v>
      </c>
      <c r="B507" s="65" t="s">
        <v>184</v>
      </c>
      <c r="C507" s="65" t="s">
        <v>388</v>
      </c>
      <c r="D507" s="66">
        <v>0</v>
      </c>
      <c r="E507" s="65">
        <v>294000000</v>
      </c>
      <c r="F507" s="67">
        <v>0</v>
      </c>
      <c r="G507" s="68">
        <v>0</v>
      </c>
      <c r="H507" s="68">
        <v>0</v>
      </c>
      <c r="I507" s="68">
        <v>0</v>
      </c>
      <c r="J507" s="68">
        <v>0</v>
      </c>
      <c r="K507" s="68">
        <v>0</v>
      </c>
      <c r="L507" s="68">
        <v>0</v>
      </c>
      <c r="M507" s="68">
        <v>0</v>
      </c>
      <c r="N507" s="69">
        <v>0</v>
      </c>
      <c r="O507" s="65" t="str">
        <f>VLOOKUP(A507,Report_HQ1!$A$7:$C$95,3,FALSE)</f>
        <v>BV Lạng Sơn</v>
      </c>
      <c r="P507" s="40" t="str">
        <f>VLOOKUP(C507,Sheet1!$U$4:$V$14,2,FALSE)</f>
        <v>Hull (Thân tàu biển)</v>
      </c>
      <c r="Q507" s="88">
        <f t="shared" si="7"/>
        <v>0</v>
      </c>
    </row>
    <row r="508" spans="1:17" x14ac:dyDescent="0.25">
      <c r="A508" s="85" t="s">
        <v>326</v>
      </c>
      <c r="B508" s="65" t="s">
        <v>184</v>
      </c>
      <c r="C508" s="65" t="s">
        <v>23</v>
      </c>
      <c r="D508" s="66">
        <v>0</v>
      </c>
      <c r="E508" s="65">
        <v>294000000</v>
      </c>
      <c r="F508" s="67">
        <v>0</v>
      </c>
      <c r="G508" s="68">
        <v>0</v>
      </c>
      <c r="H508" s="68">
        <v>0</v>
      </c>
      <c r="I508" s="68">
        <v>0</v>
      </c>
      <c r="J508" s="68">
        <v>0</v>
      </c>
      <c r="K508" s="68">
        <v>0</v>
      </c>
      <c r="L508" s="68">
        <v>0</v>
      </c>
      <c r="M508" s="68">
        <v>0</v>
      </c>
      <c r="N508" s="69">
        <v>0</v>
      </c>
      <c r="O508" s="65" t="str">
        <f>VLOOKUP(A508,Report_HQ1!$A$7:$C$95,3,FALSE)</f>
        <v>BV Lạng Sơn</v>
      </c>
      <c r="P508" s="40" t="str">
        <f>VLOOKUP(C508,Sheet1!$U$4:$V$14,2,FALSE)</f>
        <v>P&amp;I</v>
      </c>
      <c r="Q508" s="88">
        <f t="shared" si="7"/>
        <v>0</v>
      </c>
    </row>
    <row r="509" spans="1:17" x14ac:dyDescent="0.25">
      <c r="A509" s="85" t="s">
        <v>326</v>
      </c>
      <c r="B509" s="65" t="s">
        <v>184</v>
      </c>
      <c r="C509" s="65" t="s">
        <v>389</v>
      </c>
      <c r="D509" s="66">
        <v>0</v>
      </c>
      <c r="E509" s="65">
        <v>294000000</v>
      </c>
      <c r="F509" s="67">
        <v>0</v>
      </c>
      <c r="G509" s="68">
        <v>0</v>
      </c>
      <c r="H509" s="68">
        <v>0</v>
      </c>
      <c r="I509" s="68">
        <v>0</v>
      </c>
      <c r="J509" s="68">
        <v>0</v>
      </c>
      <c r="K509" s="68">
        <v>0</v>
      </c>
      <c r="L509" s="68">
        <v>0</v>
      </c>
      <c r="M509" s="68">
        <v>0</v>
      </c>
      <c r="N509" s="69">
        <v>0</v>
      </c>
      <c r="O509" s="65" t="str">
        <f>VLOOKUP(A509,Report_HQ1!$A$7:$C$95,3,FALSE)</f>
        <v>BV Lạng Sơn</v>
      </c>
      <c r="P509" s="40" t="str">
        <f>VLOOKUP(C509,Sheet1!$U$4:$V$14,2,FALSE)</f>
        <v>BH Trách nhiệm</v>
      </c>
      <c r="Q509" s="88">
        <f t="shared" si="7"/>
        <v>0</v>
      </c>
    </row>
    <row r="510" spans="1:17" x14ac:dyDescent="0.25">
      <c r="A510" s="85" t="s">
        <v>326</v>
      </c>
      <c r="B510" s="65" t="s">
        <v>184</v>
      </c>
      <c r="C510" s="65" t="s">
        <v>390</v>
      </c>
      <c r="D510" s="66">
        <v>0</v>
      </c>
      <c r="E510" s="65">
        <v>294000000</v>
      </c>
      <c r="F510" s="67">
        <v>0</v>
      </c>
      <c r="G510" s="68">
        <v>0</v>
      </c>
      <c r="H510" s="68">
        <v>0</v>
      </c>
      <c r="I510" s="68">
        <v>0</v>
      </c>
      <c r="J510" s="68">
        <v>0</v>
      </c>
      <c r="K510" s="68">
        <v>0</v>
      </c>
      <c r="L510" s="68">
        <v>0</v>
      </c>
      <c r="M510" s="68">
        <v>0</v>
      </c>
      <c r="N510" s="69">
        <v>0</v>
      </c>
      <c r="O510" s="65" t="str">
        <f>VLOOKUP(A510,Report_HQ1!$A$7:$C$95,3,FALSE)</f>
        <v>BV Lạng Sơn</v>
      </c>
      <c r="P510" s="40" t="e">
        <f>VLOOKUP(C510,Sheet1!$U$4:$V$14,2,FALSE)</f>
        <v>#N/A</v>
      </c>
      <c r="Q510" s="88">
        <f t="shared" si="7"/>
        <v>0</v>
      </c>
    </row>
    <row r="511" spans="1:17" x14ac:dyDescent="0.25">
      <c r="A511" s="85" t="s">
        <v>326</v>
      </c>
      <c r="B511" s="65" t="s">
        <v>184</v>
      </c>
      <c r="C511" s="65" t="s">
        <v>391</v>
      </c>
      <c r="D511" s="66">
        <v>30411000</v>
      </c>
      <c r="E511" s="65">
        <v>294000000</v>
      </c>
      <c r="F511" s="67">
        <v>2220825.4935839539</v>
      </c>
      <c r="G511" s="68">
        <v>0</v>
      </c>
      <c r="H511" s="68">
        <v>2220825.4935839539</v>
      </c>
      <c r="I511" s="68">
        <v>0</v>
      </c>
      <c r="J511" s="68">
        <v>1520550</v>
      </c>
      <c r="K511" s="68">
        <v>760275</v>
      </c>
      <c r="L511" s="68">
        <v>2280825</v>
      </c>
      <c r="M511" s="68">
        <v>1824660</v>
      </c>
      <c r="N511" s="69">
        <v>8607135.4935839549</v>
      </c>
      <c r="O511" s="65" t="str">
        <f>VLOOKUP(A511,Report_HQ1!$A$7:$C$95,3,FALSE)</f>
        <v>BV Lạng Sơn</v>
      </c>
      <c r="P511" s="40" t="str">
        <f>VLOOKUP(C511,Sheet1!$U$4:$V$14,2,FALSE)</f>
        <v>BH Kỹ thuật</v>
      </c>
      <c r="Q511" s="88">
        <f t="shared" si="7"/>
        <v>8607135.4935839549</v>
      </c>
    </row>
    <row r="512" spans="1:17" x14ac:dyDescent="0.25">
      <c r="A512" s="85" t="s">
        <v>326</v>
      </c>
      <c r="B512" s="65" t="s">
        <v>184</v>
      </c>
      <c r="C512" s="65" t="s">
        <v>392</v>
      </c>
      <c r="D512" s="66">
        <v>56693569</v>
      </c>
      <c r="E512" s="65">
        <v>294000000</v>
      </c>
      <c r="F512" s="67">
        <v>4140163.8669383097</v>
      </c>
      <c r="G512" s="68">
        <v>0</v>
      </c>
      <c r="H512" s="68">
        <v>4140163.8669383097</v>
      </c>
      <c r="I512" s="68">
        <v>0</v>
      </c>
      <c r="J512" s="68">
        <v>116160</v>
      </c>
      <c r="K512" s="68">
        <v>58080</v>
      </c>
      <c r="L512" s="68">
        <v>776865</v>
      </c>
      <c r="M512" s="68">
        <v>129696</v>
      </c>
      <c r="N512" s="69">
        <v>5220964.8669383097</v>
      </c>
      <c r="O512" s="65" t="str">
        <f>VLOOKUP(A512,Report_HQ1!$A$7:$C$95,3,FALSE)</f>
        <v>BV Lạng Sơn</v>
      </c>
      <c r="P512" s="40" t="str">
        <f>VLOOKUP(C512,Sheet1!$U$4:$V$14,2,FALSE)</f>
        <v>BH Tài sản</v>
      </c>
      <c r="Q512" s="88">
        <f t="shared" si="7"/>
        <v>5220964.8669383097</v>
      </c>
    </row>
    <row r="513" spans="1:17" x14ac:dyDescent="0.25">
      <c r="A513" s="85" t="s">
        <v>326</v>
      </c>
      <c r="B513" s="65" t="s">
        <v>184</v>
      </c>
      <c r="C513" s="65" t="s">
        <v>393</v>
      </c>
      <c r="D513" s="66">
        <v>2390353545</v>
      </c>
      <c r="E513" s="65">
        <v>294000000</v>
      </c>
      <c r="F513" s="67">
        <v>174560458.10446149</v>
      </c>
      <c r="G513" s="68">
        <v>0</v>
      </c>
      <c r="H513" s="68">
        <v>174560458.10446149</v>
      </c>
      <c r="I513" s="68">
        <v>0</v>
      </c>
      <c r="J513" s="68">
        <v>175923205</v>
      </c>
      <c r="K513" s="68">
        <v>87961603</v>
      </c>
      <c r="L513" s="68">
        <v>608469139</v>
      </c>
      <c r="M513" s="68">
        <v>142033563</v>
      </c>
      <c r="N513" s="69">
        <v>1188947968.1044614</v>
      </c>
      <c r="O513" s="65" t="str">
        <f>VLOOKUP(A513,Report_HQ1!$A$7:$C$95,3,FALSE)</f>
        <v>BV Lạng Sơn</v>
      </c>
      <c r="P513" s="40" t="str">
        <f>VLOOKUP(C513,Sheet1!$U$4:$V$14,2,FALSE)</f>
        <v>BH Xe cơ giới</v>
      </c>
      <c r="Q513" s="88">
        <f t="shared" si="7"/>
        <v>1188947968.1044614</v>
      </c>
    </row>
    <row r="514" spans="1:17" x14ac:dyDescent="0.25">
      <c r="A514" s="85" t="s">
        <v>326</v>
      </c>
      <c r="B514" s="65" t="s">
        <v>184</v>
      </c>
      <c r="C514" s="65" t="s">
        <v>394</v>
      </c>
      <c r="D514" s="66">
        <v>1000984900</v>
      </c>
      <c r="E514" s="65">
        <v>294000000</v>
      </c>
      <c r="F514" s="67">
        <v>73098970.261174724</v>
      </c>
      <c r="G514" s="68">
        <v>0</v>
      </c>
      <c r="H514" s="68">
        <v>73098970.261174724</v>
      </c>
      <c r="I514" s="68">
        <v>541000</v>
      </c>
      <c r="J514" s="68">
        <v>152794937</v>
      </c>
      <c r="K514" s="68">
        <v>2164000</v>
      </c>
      <c r="L514" s="68">
        <v>28595990</v>
      </c>
      <c r="M514" s="68">
        <v>49311704</v>
      </c>
      <c r="N514" s="69">
        <v>306506601.26117474</v>
      </c>
      <c r="O514" s="65" t="str">
        <f>VLOOKUP(A514,Report_HQ1!$A$7:$C$95,3,FALSE)</f>
        <v>BV Lạng Sơn</v>
      </c>
      <c r="P514" s="40" t="str">
        <f>VLOOKUP(C514,Sheet1!$U$4:$V$14,2,FALSE)</f>
        <v>BH Con người</v>
      </c>
      <c r="Q514" s="88">
        <f t="shared" si="7"/>
        <v>306506601.26117474</v>
      </c>
    </row>
    <row r="515" spans="1:17" x14ac:dyDescent="0.25">
      <c r="A515" s="85" t="s">
        <v>326</v>
      </c>
      <c r="B515" s="65" t="s">
        <v>184</v>
      </c>
      <c r="C515" s="65" t="s">
        <v>395</v>
      </c>
      <c r="D515" s="66">
        <v>0</v>
      </c>
      <c r="E515" s="65">
        <v>294000000</v>
      </c>
      <c r="F515" s="67">
        <v>0</v>
      </c>
      <c r="G515" s="68">
        <v>0</v>
      </c>
      <c r="H515" s="68">
        <v>0</v>
      </c>
      <c r="I515" s="68">
        <v>0</v>
      </c>
      <c r="J515" s="68">
        <v>0</v>
      </c>
      <c r="K515" s="68">
        <v>0</v>
      </c>
      <c r="L515" s="68">
        <v>0</v>
      </c>
      <c r="M515" s="68">
        <v>0</v>
      </c>
      <c r="N515" s="69">
        <v>0</v>
      </c>
      <c r="O515" s="65" t="str">
        <f>VLOOKUP(A515,Report_HQ1!$A$7:$C$95,3,FALSE)</f>
        <v>BV Lạng Sơn</v>
      </c>
      <c r="P515" s="40" t="e">
        <f>VLOOKUP(C515,Sheet1!$U$4:$V$14,2,FALSE)</f>
        <v>#N/A</v>
      </c>
      <c r="Q515" s="88">
        <f t="shared" si="7"/>
        <v>0</v>
      </c>
    </row>
    <row r="516" spans="1:17" x14ac:dyDescent="0.25">
      <c r="A516" s="85" t="s">
        <v>326</v>
      </c>
      <c r="B516" s="65" t="s">
        <v>184</v>
      </c>
      <c r="C516" s="65" t="s">
        <v>396</v>
      </c>
      <c r="D516" s="66">
        <v>545857680</v>
      </c>
      <c r="E516" s="65">
        <v>294000000</v>
      </c>
      <c r="F516" s="67">
        <v>39862373.86513406</v>
      </c>
      <c r="G516" s="68">
        <v>0</v>
      </c>
      <c r="H516" s="68">
        <v>39862373.86513406</v>
      </c>
      <c r="I516" s="68">
        <v>0</v>
      </c>
      <c r="J516" s="68">
        <v>109171536</v>
      </c>
      <c r="K516" s="68">
        <v>29396031</v>
      </c>
      <c r="L516" s="68">
        <v>5131187</v>
      </c>
      <c r="M516" s="68">
        <v>44850030</v>
      </c>
      <c r="N516" s="69">
        <v>228411157.86513406</v>
      </c>
      <c r="O516" s="65" t="str">
        <f>VLOOKUP(A516,Report_HQ1!$A$7:$C$95,3,FALSE)</f>
        <v>BV Lạng Sơn</v>
      </c>
      <c r="P516" s="40" t="str">
        <f>VLOOKUP(C516,Sheet1!$U$4:$V$14,2,FALSE)</f>
        <v>BH Y tế</v>
      </c>
      <c r="Q516" s="88">
        <f t="shared" si="7"/>
        <v>228411157.86513406</v>
      </c>
    </row>
    <row r="517" spans="1:17" x14ac:dyDescent="0.25">
      <c r="A517" s="85" t="s">
        <v>326</v>
      </c>
      <c r="B517" s="65" t="s">
        <v>184</v>
      </c>
      <c r="C517" s="65" t="s">
        <v>397</v>
      </c>
      <c r="D517" s="66">
        <v>1605000</v>
      </c>
      <c r="E517" s="65">
        <v>294000000</v>
      </c>
      <c r="F517" s="67">
        <v>117208.40870744947</v>
      </c>
      <c r="G517" s="68">
        <v>0</v>
      </c>
      <c r="H517" s="68">
        <v>117208.40870744947</v>
      </c>
      <c r="I517" s="68">
        <v>0</v>
      </c>
      <c r="J517" s="68">
        <v>321000</v>
      </c>
      <c r="K517" s="68">
        <v>321000</v>
      </c>
      <c r="L517" s="68">
        <v>0</v>
      </c>
      <c r="M517" s="68">
        <v>128400</v>
      </c>
      <c r="N517" s="69">
        <v>887608.40870744945</v>
      </c>
      <c r="O517" s="65" t="str">
        <f>VLOOKUP(A517,Report_HQ1!$A$7:$C$95,3,FALSE)</f>
        <v>BV Lạng Sơn</v>
      </c>
      <c r="P517" s="40" t="str">
        <f>VLOOKUP(C517,Sheet1!$U$4:$V$14,2,FALSE)</f>
        <v>BH Du lịch</v>
      </c>
      <c r="Q517" s="88">
        <f t="shared" si="7"/>
        <v>887608.40870744945</v>
      </c>
    </row>
    <row r="518" spans="1:17" x14ac:dyDescent="0.25">
      <c r="A518" s="85" t="s">
        <v>303</v>
      </c>
      <c r="B518" s="65" t="s">
        <v>161</v>
      </c>
      <c r="C518" s="65" t="s">
        <v>387</v>
      </c>
      <c r="D518" s="66">
        <v>0</v>
      </c>
      <c r="E518" s="65">
        <v>456000000</v>
      </c>
      <c r="F518" s="67">
        <v>0</v>
      </c>
      <c r="G518" s="68">
        <v>0</v>
      </c>
      <c r="H518" s="68">
        <v>0</v>
      </c>
      <c r="I518" s="68">
        <v>0</v>
      </c>
      <c r="J518" s="68">
        <v>0</v>
      </c>
      <c r="K518" s="68">
        <v>0</v>
      </c>
      <c r="L518" s="68">
        <v>0</v>
      </c>
      <c r="M518" s="68">
        <v>0</v>
      </c>
      <c r="N518" s="69">
        <v>0</v>
      </c>
      <c r="O518" s="65" t="str">
        <f>VLOOKUP(A518,Report_HQ1!$A$7:$C$95,3,FALSE)</f>
        <v>BV Điện Biên</v>
      </c>
      <c r="P518" s="40" t="str">
        <f>VLOOKUP(C518,Sheet1!$U$4:$V$14,2,FALSE)</f>
        <v>BH Hàng hóa</v>
      </c>
      <c r="Q518" s="88">
        <f t="shared" si="7"/>
        <v>0</v>
      </c>
    </row>
    <row r="519" spans="1:17" x14ac:dyDescent="0.25">
      <c r="A519" s="85" t="s">
        <v>303</v>
      </c>
      <c r="B519" s="65" t="s">
        <v>161</v>
      </c>
      <c r="C519" s="65" t="s">
        <v>272</v>
      </c>
      <c r="D519" s="66">
        <v>0</v>
      </c>
      <c r="E519" s="65">
        <v>456000000</v>
      </c>
      <c r="F519" s="67">
        <v>0</v>
      </c>
      <c r="G519" s="68">
        <v>0</v>
      </c>
      <c r="H519" s="68">
        <v>0</v>
      </c>
      <c r="I519" s="68">
        <v>0</v>
      </c>
      <c r="J519" s="68">
        <v>0</v>
      </c>
      <c r="K519" s="68">
        <v>0</v>
      </c>
      <c r="L519" s="68">
        <v>0</v>
      </c>
      <c r="M519" s="68">
        <v>0</v>
      </c>
      <c r="N519" s="69">
        <v>0</v>
      </c>
      <c r="O519" s="65" t="str">
        <f>VLOOKUP(A519,Report_HQ1!$A$7:$C$95,3,FALSE)</f>
        <v>BV Điện Biên</v>
      </c>
      <c r="P519" s="40" t="str">
        <f>VLOOKUP(C519,Sheet1!$U$4:$V$14,2,FALSE)</f>
        <v>Tàu khác</v>
      </c>
      <c r="Q519" s="88">
        <f t="shared" si="7"/>
        <v>0</v>
      </c>
    </row>
    <row r="520" spans="1:17" x14ac:dyDescent="0.25">
      <c r="A520" s="85" t="s">
        <v>303</v>
      </c>
      <c r="B520" s="65" t="s">
        <v>161</v>
      </c>
      <c r="C520" s="65" t="s">
        <v>388</v>
      </c>
      <c r="D520" s="66">
        <v>0</v>
      </c>
      <c r="E520" s="65">
        <v>456000000</v>
      </c>
      <c r="F520" s="67">
        <v>0</v>
      </c>
      <c r="G520" s="68">
        <v>0</v>
      </c>
      <c r="H520" s="68">
        <v>0</v>
      </c>
      <c r="I520" s="68">
        <v>0</v>
      </c>
      <c r="J520" s="68">
        <v>0</v>
      </c>
      <c r="K520" s="68">
        <v>0</v>
      </c>
      <c r="L520" s="68">
        <v>0</v>
      </c>
      <c r="M520" s="68">
        <v>0</v>
      </c>
      <c r="N520" s="69">
        <v>0</v>
      </c>
      <c r="O520" s="65" t="str">
        <f>VLOOKUP(A520,Report_HQ1!$A$7:$C$95,3,FALSE)</f>
        <v>BV Điện Biên</v>
      </c>
      <c r="P520" s="40" t="str">
        <f>VLOOKUP(C520,Sheet1!$U$4:$V$14,2,FALSE)</f>
        <v>Hull (Thân tàu biển)</v>
      </c>
      <c r="Q520" s="88">
        <f t="shared" si="7"/>
        <v>0</v>
      </c>
    </row>
    <row r="521" spans="1:17" x14ac:dyDescent="0.25">
      <c r="A521" s="85" t="s">
        <v>303</v>
      </c>
      <c r="B521" s="65" t="s">
        <v>161</v>
      </c>
      <c r="C521" s="65" t="s">
        <v>23</v>
      </c>
      <c r="D521" s="66">
        <v>0</v>
      </c>
      <c r="E521" s="65">
        <v>456000000</v>
      </c>
      <c r="F521" s="67">
        <v>0</v>
      </c>
      <c r="G521" s="68">
        <v>0</v>
      </c>
      <c r="H521" s="68">
        <v>0</v>
      </c>
      <c r="I521" s="68">
        <v>0</v>
      </c>
      <c r="J521" s="68">
        <v>0</v>
      </c>
      <c r="K521" s="68">
        <v>0</v>
      </c>
      <c r="L521" s="68">
        <v>0</v>
      </c>
      <c r="M521" s="68">
        <v>0</v>
      </c>
      <c r="N521" s="69">
        <v>0</v>
      </c>
      <c r="O521" s="65" t="str">
        <f>VLOOKUP(A521,Report_HQ1!$A$7:$C$95,3,FALSE)</f>
        <v>BV Điện Biên</v>
      </c>
      <c r="P521" s="40" t="str">
        <f>VLOOKUP(C521,Sheet1!$U$4:$V$14,2,FALSE)</f>
        <v>P&amp;I</v>
      </c>
      <c r="Q521" s="88">
        <f t="shared" si="7"/>
        <v>0</v>
      </c>
    </row>
    <row r="522" spans="1:17" x14ac:dyDescent="0.25">
      <c r="A522" s="85" t="s">
        <v>303</v>
      </c>
      <c r="B522" s="65" t="s">
        <v>161</v>
      </c>
      <c r="C522" s="65" t="s">
        <v>389</v>
      </c>
      <c r="D522" s="66">
        <v>0</v>
      </c>
      <c r="E522" s="65">
        <v>456000000</v>
      </c>
      <c r="F522" s="67">
        <v>0</v>
      </c>
      <c r="G522" s="68">
        <v>0</v>
      </c>
      <c r="H522" s="68">
        <v>0</v>
      </c>
      <c r="I522" s="68">
        <v>0</v>
      </c>
      <c r="J522" s="68">
        <v>0</v>
      </c>
      <c r="K522" s="68">
        <v>0</v>
      </c>
      <c r="L522" s="68">
        <v>0</v>
      </c>
      <c r="M522" s="68">
        <v>0</v>
      </c>
      <c r="N522" s="69">
        <v>0</v>
      </c>
      <c r="O522" s="65" t="str">
        <f>VLOOKUP(A522,Report_HQ1!$A$7:$C$95,3,FALSE)</f>
        <v>BV Điện Biên</v>
      </c>
      <c r="P522" s="40" t="str">
        <f>VLOOKUP(C522,Sheet1!$U$4:$V$14,2,FALSE)</f>
        <v>BH Trách nhiệm</v>
      </c>
      <c r="Q522" s="88">
        <f t="shared" si="7"/>
        <v>0</v>
      </c>
    </row>
    <row r="523" spans="1:17" x14ac:dyDescent="0.25">
      <c r="A523" s="85" t="s">
        <v>303</v>
      </c>
      <c r="B523" s="65" t="s">
        <v>161</v>
      </c>
      <c r="C523" s="65" t="s">
        <v>390</v>
      </c>
      <c r="D523" s="66">
        <v>0</v>
      </c>
      <c r="E523" s="65">
        <v>456000000</v>
      </c>
      <c r="F523" s="67">
        <v>0</v>
      </c>
      <c r="G523" s="68">
        <v>0</v>
      </c>
      <c r="H523" s="68">
        <v>0</v>
      </c>
      <c r="I523" s="68">
        <v>0</v>
      </c>
      <c r="J523" s="68">
        <v>0</v>
      </c>
      <c r="K523" s="68">
        <v>0</v>
      </c>
      <c r="L523" s="68">
        <v>0</v>
      </c>
      <c r="M523" s="68">
        <v>0</v>
      </c>
      <c r="N523" s="69">
        <v>0</v>
      </c>
      <c r="O523" s="65" t="str">
        <f>VLOOKUP(A523,Report_HQ1!$A$7:$C$95,3,FALSE)</f>
        <v>BV Điện Biên</v>
      </c>
      <c r="P523" s="40" t="e">
        <f>VLOOKUP(C523,Sheet1!$U$4:$V$14,2,FALSE)</f>
        <v>#N/A</v>
      </c>
      <c r="Q523" s="88">
        <f t="shared" si="7"/>
        <v>0</v>
      </c>
    </row>
    <row r="524" spans="1:17" x14ac:dyDescent="0.25">
      <c r="A524" s="85" t="s">
        <v>303</v>
      </c>
      <c r="B524" s="65" t="s">
        <v>161</v>
      </c>
      <c r="C524" s="65" t="s">
        <v>391</v>
      </c>
      <c r="D524" s="66">
        <v>733609787</v>
      </c>
      <c r="E524" s="65">
        <v>456000000</v>
      </c>
      <c r="F524" s="67">
        <v>37127703.295905299</v>
      </c>
      <c r="G524" s="68">
        <v>0</v>
      </c>
      <c r="H524" s="68">
        <v>37127703.295905299</v>
      </c>
      <c r="I524" s="68">
        <v>0</v>
      </c>
      <c r="J524" s="68">
        <v>0</v>
      </c>
      <c r="K524" s="68">
        <v>0</v>
      </c>
      <c r="L524" s="68">
        <v>0</v>
      </c>
      <c r="M524" s="68">
        <v>0</v>
      </c>
      <c r="N524" s="69">
        <v>37127703.295905299</v>
      </c>
      <c r="O524" s="65" t="str">
        <f>VLOOKUP(A524,Report_HQ1!$A$7:$C$95,3,FALSE)</f>
        <v>BV Điện Biên</v>
      </c>
      <c r="P524" s="40" t="str">
        <f>VLOOKUP(C524,Sheet1!$U$4:$V$14,2,FALSE)</f>
        <v>BH Kỹ thuật</v>
      </c>
      <c r="Q524" s="88">
        <f t="shared" ref="Q524:Q587" si="8">N524</f>
        <v>37127703.295905299</v>
      </c>
    </row>
    <row r="525" spans="1:17" x14ac:dyDescent="0.25">
      <c r="A525" s="85" t="s">
        <v>303</v>
      </c>
      <c r="B525" s="65" t="s">
        <v>161</v>
      </c>
      <c r="C525" s="65" t="s">
        <v>392</v>
      </c>
      <c r="D525" s="66">
        <v>400068206</v>
      </c>
      <c r="E525" s="65">
        <v>456000000</v>
      </c>
      <c r="F525" s="67">
        <v>20247294.833994795</v>
      </c>
      <c r="G525" s="68">
        <v>0</v>
      </c>
      <c r="H525" s="68">
        <v>20247294.833994795</v>
      </c>
      <c r="I525" s="68">
        <v>0</v>
      </c>
      <c r="J525" s="68">
        <v>1733000</v>
      </c>
      <c r="K525" s="68">
        <v>866500</v>
      </c>
      <c r="L525" s="68">
        <v>3655300</v>
      </c>
      <c r="M525" s="68">
        <v>1905600</v>
      </c>
      <c r="N525" s="69">
        <v>28407694.833994795</v>
      </c>
      <c r="O525" s="65" t="str">
        <f>VLOOKUP(A525,Report_HQ1!$A$7:$C$95,3,FALSE)</f>
        <v>BV Điện Biên</v>
      </c>
      <c r="P525" s="40" t="str">
        <f>VLOOKUP(C525,Sheet1!$U$4:$V$14,2,FALSE)</f>
        <v>BH Tài sản</v>
      </c>
      <c r="Q525" s="88">
        <f t="shared" si="8"/>
        <v>28407694.833994795</v>
      </c>
    </row>
    <row r="526" spans="1:17" x14ac:dyDescent="0.25">
      <c r="A526" s="85" t="s">
        <v>303</v>
      </c>
      <c r="B526" s="65" t="s">
        <v>161</v>
      </c>
      <c r="C526" s="65" t="s">
        <v>393</v>
      </c>
      <c r="D526" s="66">
        <v>4653700914</v>
      </c>
      <c r="E526" s="65">
        <v>456000000</v>
      </c>
      <c r="F526" s="67">
        <v>235521976.15770808</v>
      </c>
      <c r="G526" s="68">
        <v>0</v>
      </c>
      <c r="H526" s="68">
        <v>235521976.15770808</v>
      </c>
      <c r="I526" s="68">
        <v>0</v>
      </c>
      <c r="J526" s="68">
        <v>437388416</v>
      </c>
      <c r="K526" s="68">
        <v>218694206</v>
      </c>
      <c r="L526" s="68">
        <v>635735559</v>
      </c>
      <c r="M526" s="68">
        <v>277358665</v>
      </c>
      <c r="N526" s="69">
        <v>1804698822.1577082</v>
      </c>
      <c r="O526" s="65" t="str">
        <f>VLOOKUP(A526,Report_HQ1!$A$7:$C$95,3,FALSE)</f>
        <v>BV Điện Biên</v>
      </c>
      <c r="P526" s="40" t="str">
        <f>VLOOKUP(C526,Sheet1!$U$4:$V$14,2,FALSE)</f>
        <v>BH Xe cơ giới</v>
      </c>
      <c r="Q526" s="88">
        <f t="shared" si="8"/>
        <v>1804698822.1577082</v>
      </c>
    </row>
    <row r="527" spans="1:17" x14ac:dyDescent="0.25">
      <c r="A527" s="85" t="s">
        <v>303</v>
      </c>
      <c r="B527" s="65" t="s">
        <v>161</v>
      </c>
      <c r="C527" s="65" t="s">
        <v>394</v>
      </c>
      <c r="D527" s="66">
        <v>3218245900</v>
      </c>
      <c r="E527" s="65">
        <v>456000000</v>
      </c>
      <c r="F527" s="67">
        <v>162874161.47634318</v>
      </c>
      <c r="G527" s="68">
        <v>0</v>
      </c>
      <c r="H527" s="68">
        <v>162874161.47634318</v>
      </c>
      <c r="I527" s="68">
        <v>107479250</v>
      </c>
      <c r="J527" s="68">
        <v>587882158</v>
      </c>
      <c r="K527" s="68">
        <v>430385475</v>
      </c>
      <c r="L527" s="68">
        <v>25660265</v>
      </c>
      <c r="M527" s="68">
        <v>179245390</v>
      </c>
      <c r="N527" s="69">
        <v>1493526699.4763432</v>
      </c>
      <c r="O527" s="65" t="str">
        <f>VLOOKUP(A527,Report_HQ1!$A$7:$C$95,3,FALSE)</f>
        <v>BV Điện Biên</v>
      </c>
      <c r="P527" s="40" t="str">
        <f>VLOOKUP(C527,Sheet1!$U$4:$V$14,2,FALSE)</f>
        <v>BH Con người</v>
      </c>
      <c r="Q527" s="88">
        <f t="shared" si="8"/>
        <v>1493526699.4763432</v>
      </c>
    </row>
    <row r="528" spans="1:17" x14ac:dyDescent="0.25">
      <c r="A528" s="85" t="s">
        <v>303</v>
      </c>
      <c r="B528" s="65" t="s">
        <v>161</v>
      </c>
      <c r="C528" s="65" t="s">
        <v>395</v>
      </c>
      <c r="D528" s="66">
        <v>0</v>
      </c>
      <c r="E528" s="65">
        <v>456000000</v>
      </c>
      <c r="F528" s="67">
        <v>0</v>
      </c>
      <c r="G528" s="68">
        <v>0</v>
      </c>
      <c r="H528" s="68">
        <v>0</v>
      </c>
      <c r="I528" s="68">
        <v>0</v>
      </c>
      <c r="J528" s="68">
        <v>0</v>
      </c>
      <c r="K528" s="68">
        <v>0</v>
      </c>
      <c r="L528" s="68">
        <v>0</v>
      </c>
      <c r="M528" s="68">
        <v>0</v>
      </c>
      <c r="N528" s="69">
        <v>0</v>
      </c>
      <c r="O528" s="65" t="str">
        <f>VLOOKUP(A528,Report_HQ1!$A$7:$C$95,3,FALSE)</f>
        <v>BV Điện Biên</v>
      </c>
      <c r="P528" s="40" t="e">
        <f>VLOOKUP(C528,Sheet1!$U$4:$V$14,2,FALSE)</f>
        <v>#N/A</v>
      </c>
      <c r="Q528" s="88">
        <f t="shared" si="8"/>
        <v>0</v>
      </c>
    </row>
    <row r="529" spans="1:17" x14ac:dyDescent="0.25">
      <c r="A529" s="85" t="s">
        <v>303</v>
      </c>
      <c r="B529" s="65" t="s">
        <v>161</v>
      </c>
      <c r="C529" s="65" t="s">
        <v>396</v>
      </c>
      <c r="D529" s="66">
        <v>4126150</v>
      </c>
      <c r="E529" s="65">
        <v>456000000</v>
      </c>
      <c r="F529" s="67">
        <v>208822.83152310186</v>
      </c>
      <c r="G529" s="68">
        <v>0</v>
      </c>
      <c r="H529" s="68">
        <v>208822.83152310186</v>
      </c>
      <c r="I529" s="68">
        <v>0</v>
      </c>
      <c r="J529" s="68">
        <v>825230</v>
      </c>
      <c r="K529" s="68">
        <v>165046</v>
      </c>
      <c r="L529" s="68">
        <v>289109</v>
      </c>
      <c r="M529" s="68">
        <v>330092</v>
      </c>
      <c r="N529" s="69">
        <v>1818299.8315231018</v>
      </c>
      <c r="O529" s="65" t="str">
        <f>VLOOKUP(A529,Report_HQ1!$A$7:$C$95,3,FALSE)</f>
        <v>BV Điện Biên</v>
      </c>
      <c r="P529" s="40" t="str">
        <f>VLOOKUP(C529,Sheet1!$U$4:$V$14,2,FALSE)</f>
        <v>BH Y tế</v>
      </c>
      <c r="Q529" s="88">
        <f t="shared" si="8"/>
        <v>1818299.8315231018</v>
      </c>
    </row>
    <row r="530" spans="1:17" x14ac:dyDescent="0.25">
      <c r="A530" s="85" t="s">
        <v>303</v>
      </c>
      <c r="B530" s="65" t="s">
        <v>161</v>
      </c>
      <c r="C530" s="65" t="s">
        <v>397</v>
      </c>
      <c r="D530" s="66">
        <v>396000</v>
      </c>
      <c r="E530" s="65">
        <v>456000000</v>
      </c>
      <c r="F530" s="67">
        <v>20041.404525562171</v>
      </c>
      <c r="G530" s="68">
        <v>0</v>
      </c>
      <c r="H530" s="68">
        <v>20041.404525562171</v>
      </c>
      <c r="I530" s="68">
        <v>0</v>
      </c>
      <c r="J530" s="68">
        <v>79200</v>
      </c>
      <c r="K530" s="68">
        <v>79200</v>
      </c>
      <c r="L530" s="68">
        <v>0</v>
      </c>
      <c r="M530" s="68">
        <v>31680</v>
      </c>
      <c r="N530" s="69">
        <v>210121.40452556219</v>
      </c>
      <c r="O530" s="65" t="str">
        <f>VLOOKUP(A530,Report_HQ1!$A$7:$C$95,3,FALSE)</f>
        <v>BV Điện Biên</v>
      </c>
      <c r="P530" s="40" t="str">
        <f>VLOOKUP(C530,Sheet1!$U$4:$V$14,2,FALSE)</f>
        <v>BH Du lịch</v>
      </c>
      <c r="Q530" s="88">
        <f t="shared" si="8"/>
        <v>210121.40452556219</v>
      </c>
    </row>
    <row r="531" spans="1:17" x14ac:dyDescent="0.25">
      <c r="A531" s="85" t="s">
        <v>328</v>
      </c>
      <c r="B531" s="65" t="s">
        <v>186</v>
      </c>
      <c r="C531" s="65" t="s">
        <v>387</v>
      </c>
      <c r="D531" s="66">
        <v>720997750</v>
      </c>
      <c r="E531" s="65">
        <v>673652088</v>
      </c>
      <c r="F531" s="67">
        <v>39555272.506003164</v>
      </c>
      <c r="G531" s="68">
        <v>0</v>
      </c>
      <c r="H531" s="68">
        <v>39555272.506003164</v>
      </c>
      <c r="I531" s="68">
        <v>0</v>
      </c>
      <c r="J531" s="68">
        <v>34602739</v>
      </c>
      <c r="K531" s="68">
        <v>17301370</v>
      </c>
      <c r="L531" s="68">
        <v>85085463</v>
      </c>
      <c r="M531" s="68">
        <v>57679820</v>
      </c>
      <c r="N531" s="69">
        <v>234224664.50600317</v>
      </c>
      <c r="O531" s="65" t="str">
        <f>VLOOKUP(A531,Report_HQ1!$A$7:$C$95,3,FALSE)</f>
        <v>BV Long An</v>
      </c>
      <c r="P531" s="40" t="str">
        <f>VLOOKUP(C531,Sheet1!$U$4:$V$14,2,FALSE)</f>
        <v>BH Hàng hóa</v>
      </c>
      <c r="Q531" s="88">
        <f t="shared" si="8"/>
        <v>234224664.50600317</v>
      </c>
    </row>
    <row r="532" spans="1:17" x14ac:dyDescent="0.25">
      <c r="A532" s="85" t="s">
        <v>328</v>
      </c>
      <c r="B532" s="65" t="s">
        <v>186</v>
      </c>
      <c r="C532" s="65" t="s">
        <v>272</v>
      </c>
      <c r="D532" s="66">
        <v>356805944</v>
      </c>
      <c r="E532" s="65">
        <v>673652088</v>
      </c>
      <c r="F532" s="67">
        <v>19575035.215687849</v>
      </c>
      <c r="G532" s="68">
        <v>0</v>
      </c>
      <c r="H532" s="68">
        <v>19575035.215687849</v>
      </c>
      <c r="I532" s="68">
        <v>280559</v>
      </c>
      <c r="J532" s="68">
        <v>53520892</v>
      </c>
      <c r="K532" s="68">
        <v>24976416</v>
      </c>
      <c r="L532" s="68">
        <v>3568059</v>
      </c>
      <c r="M532" s="68">
        <v>28544475</v>
      </c>
      <c r="N532" s="69">
        <v>130465436.21568784</v>
      </c>
      <c r="O532" s="65" t="str">
        <f>VLOOKUP(A532,Report_HQ1!$A$7:$C$95,3,FALSE)</f>
        <v>BV Long An</v>
      </c>
      <c r="P532" s="40" t="str">
        <f>VLOOKUP(C532,Sheet1!$U$4:$V$14,2,FALSE)</f>
        <v>Tàu khác</v>
      </c>
      <c r="Q532" s="88">
        <f t="shared" si="8"/>
        <v>130465436.21568784</v>
      </c>
    </row>
    <row r="533" spans="1:17" x14ac:dyDescent="0.25">
      <c r="A533" s="85" t="s">
        <v>328</v>
      </c>
      <c r="B533" s="65" t="s">
        <v>186</v>
      </c>
      <c r="C533" s="65" t="s">
        <v>388</v>
      </c>
      <c r="D533" s="66">
        <v>0</v>
      </c>
      <c r="E533" s="65">
        <v>673652088</v>
      </c>
      <c r="F533" s="67">
        <v>0</v>
      </c>
      <c r="G533" s="68">
        <v>0</v>
      </c>
      <c r="H533" s="68">
        <v>0</v>
      </c>
      <c r="I533" s="68">
        <v>0</v>
      </c>
      <c r="J533" s="68">
        <v>0</v>
      </c>
      <c r="K533" s="68">
        <v>0</v>
      </c>
      <c r="L533" s="68">
        <v>0</v>
      </c>
      <c r="M533" s="68">
        <v>0</v>
      </c>
      <c r="N533" s="69">
        <v>0</v>
      </c>
      <c r="O533" s="65" t="str">
        <f>VLOOKUP(A533,Report_HQ1!$A$7:$C$95,3,FALSE)</f>
        <v>BV Long An</v>
      </c>
      <c r="P533" s="40" t="str">
        <f>VLOOKUP(C533,Sheet1!$U$4:$V$14,2,FALSE)</f>
        <v>Hull (Thân tàu biển)</v>
      </c>
      <c r="Q533" s="88">
        <f t="shared" si="8"/>
        <v>0</v>
      </c>
    </row>
    <row r="534" spans="1:17" x14ac:dyDescent="0.25">
      <c r="A534" s="85" t="s">
        <v>328</v>
      </c>
      <c r="B534" s="65" t="s">
        <v>186</v>
      </c>
      <c r="C534" s="65" t="s">
        <v>23</v>
      </c>
      <c r="D534" s="66">
        <v>0</v>
      </c>
      <c r="E534" s="65">
        <v>673652088</v>
      </c>
      <c r="F534" s="67">
        <v>0</v>
      </c>
      <c r="G534" s="68">
        <v>0</v>
      </c>
      <c r="H534" s="68">
        <v>0</v>
      </c>
      <c r="I534" s="68">
        <v>0</v>
      </c>
      <c r="J534" s="68">
        <v>0</v>
      </c>
      <c r="K534" s="68">
        <v>0</v>
      </c>
      <c r="L534" s="68">
        <v>0</v>
      </c>
      <c r="M534" s="68">
        <v>0</v>
      </c>
      <c r="N534" s="69">
        <v>0</v>
      </c>
      <c r="O534" s="65" t="str">
        <f>VLOOKUP(A534,Report_HQ1!$A$7:$C$95,3,FALSE)</f>
        <v>BV Long An</v>
      </c>
      <c r="P534" s="40" t="str">
        <f>VLOOKUP(C534,Sheet1!$U$4:$V$14,2,FALSE)</f>
        <v>P&amp;I</v>
      </c>
      <c r="Q534" s="88">
        <f t="shared" si="8"/>
        <v>0</v>
      </c>
    </row>
    <row r="535" spans="1:17" x14ac:dyDescent="0.25">
      <c r="A535" s="85" t="s">
        <v>328</v>
      </c>
      <c r="B535" s="65" t="s">
        <v>186</v>
      </c>
      <c r="C535" s="65" t="s">
        <v>389</v>
      </c>
      <c r="D535" s="66">
        <v>61972728</v>
      </c>
      <c r="E535" s="65">
        <v>673652088</v>
      </c>
      <c r="F535" s="67">
        <v>3399938.6877149227</v>
      </c>
      <c r="G535" s="68">
        <v>0</v>
      </c>
      <c r="H535" s="68">
        <v>3399938.6877149227</v>
      </c>
      <c r="I535" s="68">
        <v>0</v>
      </c>
      <c r="J535" s="68">
        <v>3098636</v>
      </c>
      <c r="K535" s="68">
        <v>1549318</v>
      </c>
      <c r="L535" s="68">
        <v>4647955</v>
      </c>
      <c r="M535" s="68">
        <v>4957818</v>
      </c>
      <c r="N535" s="69">
        <v>17653665.687714923</v>
      </c>
      <c r="O535" s="65" t="str">
        <f>VLOOKUP(A535,Report_HQ1!$A$7:$C$95,3,FALSE)</f>
        <v>BV Long An</v>
      </c>
      <c r="P535" s="40" t="str">
        <f>VLOOKUP(C535,Sheet1!$U$4:$V$14,2,FALSE)</f>
        <v>BH Trách nhiệm</v>
      </c>
      <c r="Q535" s="88">
        <f t="shared" si="8"/>
        <v>17653665.687714923</v>
      </c>
    </row>
    <row r="536" spans="1:17" x14ac:dyDescent="0.25">
      <c r="A536" s="85" t="s">
        <v>328</v>
      </c>
      <c r="B536" s="65" t="s">
        <v>186</v>
      </c>
      <c r="C536" s="65" t="s">
        <v>390</v>
      </c>
      <c r="D536" s="66">
        <v>0</v>
      </c>
      <c r="E536" s="65">
        <v>673652088</v>
      </c>
      <c r="F536" s="67">
        <v>0</v>
      </c>
      <c r="G536" s="68">
        <v>0</v>
      </c>
      <c r="H536" s="68">
        <v>0</v>
      </c>
      <c r="I536" s="68">
        <v>0</v>
      </c>
      <c r="J536" s="68">
        <v>0</v>
      </c>
      <c r="K536" s="68">
        <v>0</v>
      </c>
      <c r="L536" s="68">
        <v>0</v>
      </c>
      <c r="M536" s="68">
        <v>0</v>
      </c>
      <c r="N536" s="69">
        <v>0</v>
      </c>
      <c r="O536" s="65" t="str">
        <f>VLOOKUP(A536,Report_HQ1!$A$7:$C$95,3,FALSE)</f>
        <v>BV Long An</v>
      </c>
      <c r="P536" s="40" t="e">
        <f>VLOOKUP(C536,Sheet1!$U$4:$V$14,2,FALSE)</f>
        <v>#N/A</v>
      </c>
      <c r="Q536" s="88">
        <f t="shared" si="8"/>
        <v>0</v>
      </c>
    </row>
    <row r="537" spans="1:17" x14ac:dyDescent="0.25">
      <c r="A537" s="85" t="s">
        <v>328</v>
      </c>
      <c r="B537" s="65" t="s">
        <v>186</v>
      </c>
      <c r="C537" s="65" t="s">
        <v>391</v>
      </c>
      <c r="D537" s="66">
        <v>505313500</v>
      </c>
      <c r="E537" s="65">
        <v>673652088</v>
      </c>
      <c r="F537" s="67">
        <v>27722434.908378322</v>
      </c>
      <c r="G537" s="68">
        <v>0</v>
      </c>
      <c r="H537" s="68">
        <v>27722434.908378322</v>
      </c>
      <c r="I537" s="68">
        <v>0</v>
      </c>
      <c r="J537" s="68">
        <v>20311546</v>
      </c>
      <c r="K537" s="68">
        <v>10155773</v>
      </c>
      <c r="L537" s="68">
        <v>15710446</v>
      </c>
      <c r="M537" s="68">
        <v>12186927</v>
      </c>
      <c r="N537" s="69">
        <v>86087126.908378318</v>
      </c>
      <c r="O537" s="65" t="str">
        <f>VLOOKUP(A537,Report_HQ1!$A$7:$C$95,3,FALSE)</f>
        <v>BV Long An</v>
      </c>
      <c r="P537" s="40" t="str">
        <f>VLOOKUP(C537,Sheet1!$U$4:$V$14,2,FALSE)</f>
        <v>BH Kỹ thuật</v>
      </c>
      <c r="Q537" s="88">
        <f t="shared" si="8"/>
        <v>86087126.908378318</v>
      </c>
    </row>
    <row r="538" spans="1:17" x14ac:dyDescent="0.25">
      <c r="A538" s="85" t="s">
        <v>328</v>
      </c>
      <c r="B538" s="65" t="s">
        <v>186</v>
      </c>
      <c r="C538" s="65" t="s">
        <v>392</v>
      </c>
      <c r="D538" s="66">
        <v>3220044695</v>
      </c>
      <c r="E538" s="65">
        <v>673652088</v>
      </c>
      <c r="F538" s="67">
        <v>176657618.40759534</v>
      </c>
      <c r="G538" s="68">
        <v>0</v>
      </c>
      <c r="H538" s="68">
        <v>176657618.40759534</v>
      </c>
      <c r="I538" s="68">
        <v>0</v>
      </c>
      <c r="J538" s="68">
        <v>95939372</v>
      </c>
      <c r="K538" s="68">
        <v>47969686</v>
      </c>
      <c r="L538" s="68">
        <v>149369392</v>
      </c>
      <c r="M538" s="68">
        <v>99219782</v>
      </c>
      <c r="N538" s="69">
        <v>569155850.4075954</v>
      </c>
      <c r="O538" s="65" t="str">
        <f>VLOOKUP(A538,Report_HQ1!$A$7:$C$95,3,FALSE)</f>
        <v>BV Long An</v>
      </c>
      <c r="P538" s="40" t="str">
        <f>VLOOKUP(C538,Sheet1!$U$4:$V$14,2,FALSE)</f>
        <v>BH Tài sản</v>
      </c>
      <c r="Q538" s="88">
        <f t="shared" si="8"/>
        <v>569155850.4075954</v>
      </c>
    </row>
    <row r="539" spans="1:17" x14ac:dyDescent="0.25">
      <c r="A539" s="85" t="s">
        <v>328</v>
      </c>
      <c r="B539" s="65" t="s">
        <v>186</v>
      </c>
      <c r="C539" s="65" t="s">
        <v>393</v>
      </c>
      <c r="D539" s="66">
        <v>3863218865</v>
      </c>
      <c r="E539" s="65">
        <v>673652088</v>
      </c>
      <c r="F539" s="67">
        <v>211943345.11502597</v>
      </c>
      <c r="G539" s="68">
        <v>0</v>
      </c>
      <c r="H539" s="68">
        <v>211943345.11502597</v>
      </c>
      <c r="I539" s="68">
        <v>0</v>
      </c>
      <c r="J539" s="68">
        <v>352170824</v>
      </c>
      <c r="K539" s="68">
        <v>176085413</v>
      </c>
      <c r="L539" s="68">
        <v>430447833</v>
      </c>
      <c r="M539" s="68">
        <v>227604338</v>
      </c>
      <c r="N539" s="69">
        <v>1398251753.115026</v>
      </c>
      <c r="O539" s="65" t="str">
        <f>VLOOKUP(A539,Report_HQ1!$A$7:$C$95,3,FALSE)</f>
        <v>BV Long An</v>
      </c>
      <c r="P539" s="40" t="str">
        <f>VLOOKUP(C539,Sheet1!$U$4:$V$14,2,FALSE)</f>
        <v>BH Xe cơ giới</v>
      </c>
      <c r="Q539" s="88">
        <f t="shared" si="8"/>
        <v>1398251753.115026</v>
      </c>
    </row>
    <row r="540" spans="1:17" x14ac:dyDescent="0.25">
      <c r="A540" s="85" t="s">
        <v>328</v>
      </c>
      <c r="B540" s="65" t="s">
        <v>186</v>
      </c>
      <c r="C540" s="65" t="s">
        <v>394</v>
      </c>
      <c r="D540" s="66">
        <v>2494537662</v>
      </c>
      <c r="E540" s="65">
        <v>673652088</v>
      </c>
      <c r="F540" s="67">
        <v>136854958.28093502</v>
      </c>
      <c r="G540" s="68">
        <v>0</v>
      </c>
      <c r="H540" s="68">
        <v>136854958.28093502</v>
      </c>
      <c r="I540" s="68">
        <v>665000</v>
      </c>
      <c r="J540" s="68">
        <v>398280984</v>
      </c>
      <c r="K540" s="68">
        <v>7216788</v>
      </c>
      <c r="L540" s="68">
        <v>109474994</v>
      </c>
      <c r="M540" s="68">
        <v>132393415</v>
      </c>
      <c r="N540" s="69">
        <v>784886139.28093505</v>
      </c>
      <c r="O540" s="65" t="str">
        <f>VLOOKUP(A540,Report_HQ1!$A$7:$C$95,3,FALSE)</f>
        <v>BV Long An</v>
      </c>
      <c r="P540" s="40" t="str">
        <f>VLOOKUP(C540,Sheet1!$U$4:$V$14,2,FALSE)</f>
        <v>BH Con người</v>
      </c>
      <c r="Q540" s="88">
        <f t="shared" si="8"/>
        <v>784886139.28093505</v>
      </c>
    </row>
    <row r="541" spans="1:17" x14ac:dyDescent="0.25">
      <c r="A541" s="85" t="s">
        <v>328</v>
      </c>
      <c r="B541" s="65" t="s">
        <v>186</v>
      </c>
      <c r="C541" s="65" t="s">
        <v>395</v>
      </c>
      <c r="D541" s="66">
        <v>0</v>
      </c>
      <c r="E541" s="65">
        <v>673652088</v>
      </c>
      <c r="F541" s="67">
        <v>0</v>
      </c>
      <c r="G541" s="68">
        <v>0</v>
      </c>
      <c r="H541" s="68">
        <v>0</v>
      </c>
      <c r="I541" s="68">
        <v>0</v>
      </c>
      <c r="J541" s="68">
        <v>0</v>
      </c>
      <c r="K541" s="68">
        <v>0</v>
      </c>
      <c r="L541" s="68">
        <v>0</v>
      </c>
      <c r="M541" s="68">
        <v>0</v>
      </c>
      <c r="N541" s="69">
        <v>0</v>
      </c>
      <c r="O541" s="65" t="str">
        <f>VLOOKUP(A541,Report_HQ1!$A$7:$C$95,3,FALSE)</f>
        <v>BV Long An</v>
      </c>
      <c r="P541" s="40" t="e">
        <f>VLOOKUP(C541,Sheet1!$U$4:$V$14,2,FALSE)</f>
        <v>#N/A</v>
      </c>
      <c r="Q541" s="88">
        <f t="shared" si="8"/>
        <v>0</v>
      </c>
    </row>
    <row r="542" spans="1:17" x14ac:dyDescent="0.25">
      <c r="A542" s="85" t="s">
        <v>328</v>
      </c>
      <c r="B542" s="65" t="s">
        <v>186</v>
      </c>
      <c r="C542" s="65" t="s">
        <v>396</v>
      </c>
      <c r="D542" s="66">
        <v>1041862160</v>
      </c>
      <c r="E542" s="65">
        <v>673652088</v>
      </c>
      <c r="F542" s="67">
        <v>57158488.570169687</v>
      </c>
      <c r="G542" s="68">
        <v>0</v>
      </c>
      <c r="H542" s="68">
        <v>57158488.570169687</v>
      </c>
      <c r="I542" s="68">
        <v>0</v>
      </c>
      <c r="J542" s="68">
        <v>158359232</v>
      </c>
      <c r="K542" s="68">
        <v>164086687</v>
      </c>
      <c r="L542" s="68">
        <v>24519884</v>
      </c>
      <c r="M542" s="68">
        <v>57536575</v>
      </c>
      <c r="N542" s="69">
        <v>461660866.57016969</v>
      </c>
      <c r="O542" s="65" t="str">
        <f>VLOOKUP(A542,Report_HQ1!$A$7:$C$95,3,FALSE)</f>
        <v>BV Long An</v>
      </c>
      <c r="P542" s="40" t="str">
        <f>VLOOKUP(C542,Sheet1!$U$4:$V$14,2,FALSE)</f>
        <v>BH Y tế</v>
      </c>
      <c r="Q542" s="88">
        <f t="shared" si="8"/>
        <v>461660866.57016969</v>
      </c>
    </row>
    <row r="543" spans="1:17" x14ac:dyDescent="0.25">
      <c r="A543" s="85" t="s">
        <v>328</v>
      </c>
      <c r="B543" s="65" t="s">
        <v>186</v>
      </c>
      <c r="C543" s="65" t="s">
        <v>397</v>
      </c>
      <c r="D543" s="66">
        <v>14308600</v>
      </c>
      <c r="E543" s="65">
        <v>673652088</v>
      </c>
      <c r="F543" s="67">
        <v>784996.30848972395</v>
      </c>
      <c r="G543" s="68">
        <v>0</v>
      </c>
      <c r="H543" s="68">
        <v>784996.30848972395</v>
      </c>
      <c r="I543" s="68">
        <v>0</v>
      </c>
      <c r="J543" s="68">
        <v>2861720</v>
      </c>
      <c r="K543" s="68">
        <v>2861720</v>
      </c>
      <c r="L543" s="68">
        <v>0</v>
      </c>
      <c r="M543" s="68">
        <v>1144688</v>
      </c>
      <c r="N543" s="69">
        <v>7653124.3084897241</v>
      </c>
      <c r="O543" s="65" t="str">
        <f>VLOOKUP(A543,Report_HQ1!$A$7:$C$95,3,FALSE)</f>
        <v>BV Long An</v>
      </c>
      <c r="P543" s="40" t="str">
        <f>VLOOKUP(C543,Sheet1!$U$4:$V$14,2,FALSE)</f>
        <v>BH Du lịch</v>
      </c>
      <c r="Q543" s="88">
        <f t="shared" si="8"/>
        <v>7653124.3084897241</v>
      </c>
    </row>
    <row r="544" spans="1:17" x14ac:dyDescent="0.25">
      <c r="A544" s="85" t="s">
        <v>332</v>
      </c>
      <c r="B544" s="65" t="s">
        <v>190</v>
      </c>
      <c r="C544" s="65" t="s">
        <v>387</v>
      </c>
      <c r="D544" s="66">
        <v>0</v>
      </c>
      <c r="E544" s="65">
        <v>496500000</v>
      </c>
      <c r="F544" s="67">
        <v>0</v>
      </c>
      <c r="G544" s="68">
        <v>0</v>
      </c>
      <c r="H544" s="68">
        <v>0</v>
      </c>
      <c r="I544" s="68">
        <v>0</v>
      </c>
      <c r="J544" s="68">
        <v>0</v>
      </c>
      <c r="K544" s="68">
        <v>0</v>
      </c>
      <c r="L544" s="68">
        <v>0</v>
      </c>
      <c r="M544" s="68">
        <v>0</v>
      </c>
      <c r="N544" s="69">
        <v>0</v>
      </c>
      <c r="O544" s="65" t="str">
        <f>VLOOKUP(A544,Report_HQ1!$A$7:$C$95,3,FALSE)</f>
        <v>BV Nam Định</v>
      </c>
      <c r="P544" s="40" t="str">
        <f>VLOOKUP(C544,Sheet1!$U$4:$V$14,2,FALSE)</f>
        <v>BH Hàng hóa</v>
      </c>
      <c r="Q544" s="88">
        <f t="shared" si="8"/>
        <v>0</v>
      </c>
    </row>
    <row r="545" spans="1:17" x14ac:dyDescent="0.25">
      <c r="A545" s="85" t="s">
        <v>332</v>
      </c>
      <c r="B545" s="65" t="s">
        <v>190</v>
      </c>
      <c r="C545" s="65" t="s">
        <v>272</v>
      </c>
      <c r="D545" s="66">
        <v>172478240</v>
      </c>
      <c r="E545" s="65">
        <v>496500000</v>
      </c>
      <c r="F545" s="67">
        <v>9999428.4959670715</v>
      </c>
      <c r="G545" s="68">
        <v>0</v>
      </c>
      <c r="H545" s="68">
        <v>9999428.4959670715</v>
      </c>
      <c r="I545" s="68">
        <v>537500</v>
      </c>
      <c r="J545" s="68">
        <v>25871736</v>
      </c>
      <c r="K545" s="68">
        <v>12073477</v>
      </c>
      <c r="L545" s="68">
        <v>1724782</v>
      </c>
      <c r="M545" s="68">
        <v>13798259</v>
      </c>
      <c r="N545" s="69">
        <v>64005182.495967075</v>
      </c>
      <c r="O545" s="65" t="str">
        <f>VLOOKUP(A545,Report_HQ1!$A$7:$C$95,3,FALSE)</f>
        <v>BV Nam Định</v>
      </c>
      <c r="P545" s="40" t="str">
        <f>VLOOKUP(C545,Sheet1!$U$4:$V$14,2,FALSE)</f>
        <v>Tàu khác</v>
      </c>
      <c r="Q545" s="88">
        <f t="shared" si="8"/>
        <v>64005182.495967075</v>
      </c>
    </row>
    <row r="546" spans="1:17" x14ac:dyDescent="0.25">
      <c r="A546" s="85" t="s">
        <v>332</v>
      </c>
      <c r="B546" s="65" t="s">
        <v>190</v>
      </c>
      <c r="C546" s="65" t="s">
        <v>388</v>
      </c>
      <c r="D546" s="66">
        <v>530493751</v>
      </c>
      <c r="E546" s="65">
        <v>496500000</v>
      </c>
      <c r="F546" s="67">
        <v>30755383.001831766</v>
      </c>
      <c r="G546" s="68">
        <v>0</v>
      </c>
      <c r="H546" s="68">
        <v>30755383.001831766</v>
      </c>
      <c r="I546" s="68">
        <v>2652469</v>
      </c>
      <c r="J546" s="68">
        <v>8720224</v>
      </c>
      <c r="K546" s="68">
        <v>4360112</v>
      </c>
      <c r="L546" s="68">
        <v>26706696</v>
      </c>
      <c r="M546" s="68">
        <v>15914812</v>
      </c>
      <c r="N546" s="69">
        <v>89109696.00183177</v>
      </c>
      <c r="O546" s="65" t="str">
        <f>VLOOKUP(A546,Report_HQ1!$A$7:$C$95,3,FALSE)</f>
        <v>BV Nam Định</v>
      </c>
      <c r="P546" s="40" t="str">
        <f>VLOOKUP(C546,Sheet1!$U$4:$V$14,2,FALSE)</f>
        <v>Hull (Thân tàu biển)</v>
      </c>
      <c r="Q546" s="88">
        <f t="shared" si="8"/>
        <v>89109696.00183177</v>
      </c>
    </row>
    <row r="547" spans="1:17" x14ac:dyDescent="0.25">
      <c r="A547" s="85" t="s">
        <v>332</v>
      </c>
      <c r="B547" s="65" t="s">
        <v>190</v>
      </c>
      <c r="C547" s="65" t="s">
        <v>23</v>
      </c>
      <c r="D547" s="66">
        <v>1594211997</v>
      </c>
      <c r="E547" s="65">
        <v>496500000</v>
      </c>
      <c r="F547" s="67">
        <v>92424463.928982407</v>
      </c>
      <c r="G547" s="68">
        <v>0</v>
      </c>
      <c r="H547" s="68">
        <v>92424463.928982407</v>
      </c>
      <c r="I547" s="68">
        <v>0</v>
      </c>
      <c r="J547" s="68">
        <v>0</v>
      </c>
      <c r="K547" s="68">
        <v>0</v>
      </c>
      <c r="L547" s="68">
        <v>119565900</v>
      </c>
      <c r="M547" s="68">
        <v>47826360</v>
      </c>
      <c r="N547" s="69">
        <v>259816723.92898241</v>
      </c>
      <c r="O547" s="65" t="str">
        <f>VLOOKUP(A547,Report_HQ1!$A$7:$C$95,3,FALSE)</f>
        <v>BV Nam Định</v>
      </c>
      <c r="P547" s="40" t="str">
        <f>VLOOKUP(C547,Sheet1!$U$4:$V$14,2,FALSE)</f>
        <v>P&amp;I</v>
      </c>
      <c r="Q547" s="88">
        <f t="shared" si="8"/>
        <v>259816723.92898241</v>
      </c>
    </row>
    <row r="548" spans="1:17" x14ac:dyDescent="0.25">
      <c r="A548" s="85" t="s">
        <v>332</v>
      </c>
      <c r="B548" s="65" t="s">
        <v>190</v>
      </c>
      <c r="C548" s="65" t="s">
        <v>389</v>
      </c>
      <c r="D548" s="66">
        <v>16000000</v>
      </c>
      <c r="E548" s="65">
        <v>496500000</v>
      </c>
      <c r="F548" s="67">
        <v>927600.23487874842</v>
      </c>
      <c r="G548" s="68">
        <v>0</v>
      </c>
      <c r="H548" s="68">
        <v>927600.23487874842</v>
      </c>
      <c r="I548" s="68">
        <v>0</v>
      </c>
      <c r="J548" s="68">
        <v>750000</v>
      </c>
      <c r="K548" s="68">
        <v>375000</v>
      </c>
      <c r="L548" s="68">
        <v>1125000</v>
      </c>
      <c r="M548" s="68">
        <v>1200000</v>
      </c>
      <c r="N548" s="69">
        <v>4377600.2348787487</v>
      </c>
      <c r="O548" s="65" t="str">
        <f>VLOOKUP(A548,Report_HQ1!$A$7:$C$95,3,FALSE)</f>
        <v>BV Nam Định</v>
      </c>
      <c r="P548" s="40" t="str">
        <f>VLOOKUP(C548,Sheet1!$U$4:$V$14,2,FALSE)</f>
        <v>BH Trách nhiệm</v>
      </c>
      <c r="Q548" s="88">
        <f t="shared" si="8"/>
        <v>4377600.2348787487</v>
      </c>
    </row>
    <row r="549" spans="1:17" x14ac:dyDescent="0.25">
      <c r="A549" s="85" t="s">
        <v>332</v>
      </c>
      <c r="B549" s="65" t="s">
        <v>190</v>
      </c>
      <c r="C549" s="65" t="s">
        <v>390</v>
      </c>
      <c r="D549" s="66">
        <v>0</v>
      </c>
      <c r="E549" s="65">
        <v>496500000</v>
      </c>
      <c r="F549" s="67">
        <v>0</v>
      </c>
      <c r="G549" s="68">
        <v>0</v>
      </c>
      <c r="H549" s="68">
        <v>0</v>
      </c>
      <c r="I549" s="68">
        <v>0</v>
      </c>
      <c r="J549" s="68">
        <v>0</v>
      </c>
      <c r="K549" s="68">
        <v>0</v>
      </c>
      <c r="L549" s="68">
        <v>0</v>
      </c>
      <c r="M549" s="68">
        <v>0</v>
      </c>
      <c r="N549" s="69">
        <v>0</v>
      </c>
      <c r="O549" s="65" t="str">
        <f>VLOOKUP(A549,Report_HQ1!$A$7:$C$95,3,FALSE)</f>
        <v>BV Nam Định</v>
      </c>
      <c r="P549" s="40" t="e">
        <f>VLOOKUP(C549,Sheet1!$U$4:$V$14,2,FALSE)</f>
        <v>#N/A</v>
      </c>
      <c r="Q549" s="88">
        <f t="shared" si="8"/>
        <v>0</v>
      </c>
    </row>
    <row r="550" spans="1:17" x14ac:dyDescent="0.25">
      <c r="A550" s="85" t="s">
        <v>332</v>
      </c>
      <c r="B550" s="65" t="s">
        <v>190</v>
      </c>
      <c r="C550" s="65" t="s">
        <v>391</v>
      </c>
      <c r="D550" s="66">
        <v>441243805</v>
      </c>
      <c r="E550" s="65">
        <v>496500000</v>
      </c>
      <c r="F550" s="67">
        <v>25581116.072299544</v>
      </c>
      <c r="G550" s="68">
        <v>0</v>
      </c>
      <c r="H550" s="68">
        <v>25581116.072299544</v>
      </c>
      <c r="I550" s="68">
        <v>0</v>
      </c>
      <c r="J550" s="68">
        <v>0</v>
      </c>
      <c r="K550" s="68">
        <v>0</v>
      </c>
      <c r="L550" s="68">
        <v>62736712</v>
      </c>
      <c r="M550" s="68">
        <v>20781417</v>
      </c>
      <c r="N550" s="69">
        <v>109099245.07229954</v>
      </c>
      <c r="O550" s="65" t="str">
        <f>VLOOKUP(A550,Report_HQ1!$A$7:$C$95,3,FALSE)</f>
        <v>BV Nam Định</v>
      </c>
      <c r="P550" s="40" t="str">
        <f>VLOOKUP(C550,Sheet1!$U$4:$V$14,2,FALSE)</f>
        <v>BH Kỹ thuật</v>
      </c>
      <c r="Q550" s="88">
        <f t="shared" si="8"/>
        <v>109099245.07229954</v>
      </c>
    </row>
    <row r="551" spans="1:17" x14ac:dyDescent="0.25">
      <c r="A551" s="85" t="s">
        <v>332</v>
      </c>
      <c r="B551" s="65" t="s">
        <v>190</v>
      </c>
      <c r="C551" s="65" t="s">
        <v>392</v>
      </c>
      <c r="D551" s="66">
        <v>934035757</v>
      </c>
      <c r="E551" s="65">
        <v>496500000</v>
      </c>
      <c r="F551" s="67">
        <v>54150736.723646849</v>
      </c>
      <c r="G551" s="68">
        <v>0</v>
      </c>
      <c r="H551" s="68">
        <v>54150736.723646849</v>
      </c>
      <c r="I551" s="68">
        <v>0</v>
      </c>
      <c r="J551" s="68">
        <v>10227830</v>
      </c>
      <c r="K551" s="68">
        <v>5113914</v>
      </c>
      <c r="L551" s="68">
        <v>127644749</v>
      </c>
      <c r="M551" s="68">
        <v>42068936</v>
      </c>
      <c r="N551" s="69">
        <v>239206165.72364685</v>
      </c>
      <c r="O551" s="65" t="str">
        <f>VLOOKUP(A551,Report_HQ1!$A$7:$C$95,3,FALSE)</f>
        <v>BV Nam Định</v>
      </c>
      <c r="P551" s="40" t="str">
        <f>VLOOKUP(C551,Sheet1!$U$4:$V$14,2,FALSE)</f>
        <v>BH Tài sản</v>
      </c>
      <c r="Q551" s="88">
        <f t="shared" si="8"/>
        <v>239206165.72364685</v>
      </c>
    </row>
    <row r="552" spans="1:17" x14ac:dyDescent="0.25">
      <c r="A552" s="85" t="s">
        <v>332</v>
      </c>
      <c r="B552" s="65" t="s">
        <v>190</v>
      </c>
      <c r="C552" s="65" t="s">
        <v>393</v>
      </c>
      <c r="D552" s="66">
        <v>1100780454</v>
      </c>
      <c r="E552" s="65">
        <v>496500000</v>
      </c>
      <c r="F552" s="67">
        <v>63817762.980020955</v>
      </c>
      <c r="G552" s="68">
        <v>0</v>
      </c>
      <c r="H552" s="68">
        <v>63817762.980020955</v>
      </c>
      <c r="I552" s="68">
        <v>0</v>
      </c>
      <c r="J552" s="68">
        <v>98396899</v>
      </c>
      <c r="K552" s="68">
        <v>49198449</v>
      </c>
      <c r="L552" s="68">
        <v>119388795</v>
      </c>
      <c r="M552" s="68">
        <v>65861838</v>
      </c>
      <c r="N552" s="69">
        <v>396663743.98002094</v>
      </c>
      <c r="O552" s="65" t="str">
        <f>VLOOKUP(A552,Report_HQ1!$A$7:$C$95,3,FALSE)</f>
        <v>BV Nam Định</v>
      </c>
      <c r="P552" s="40" t="str">
        <f>VLOOKUP(C552,Sheet1!$U$4:$V$14,2,FALSE)</f>
        <v>BH Xe cơ giới</v>
      </c>
      <c r="Q552" s="88">
        <f t="shared" si="8"/>
        <v>396663743.98002094</v>
      </c>
    </row>
    <row r="553" spans="1:17" x14ac:dyDescent="0.25">
      <c r="A553" s="85" t="s">
        <v>332</v>
      </c>
      <c r="B553" s="65" t="s">
        <v>190</v>
      </c>
      <c r="C553" s="65" t="s">
        <v>394</v>
      </c>
      <c r="D553" s="66">
        <v>3018435000</v>
      </c>
      <c r="E553" s="65">
        <v>496500000</v>
      </c>
      <c r="F553" s="67">
        <v>174993813.43538967</v>
      </c>
      <c r="G553" s="68">
        <v>0</v>
      </c>
      <c r="H553" s="68">
        <v>174993813.43538967</v>
      </c>
      <c r="I553" s="68">
        <v>1134750</v>
      </c>
      <c r="J553" s="68">
        <v>444102831</v>
      </c>
      <c r="K553" s="68">
        <v>7089225</v>
      </c>
      <c r="L553" s="68">
        <v>142823819</v>
      </c>
      <c r="M553" s="68">
        <v>153432166</v>
      </c>
      <c r="N553" s="69">
        <v>923576604.43538964</v>
      </c>
      <c r="O553" s="65" t="str">
        <f>VLOOKUP(A553,Report_HQ1!$A$7:$C$95,3,FALSE)</f>
        <v>BV Nam Định</v>
      </c>
      <c r="P553" s="40" t="str">
        <f>VLOOKUP(C553,Sheet1!$U$4:$V$14,2,FALSE)</f>
        <v>BH Con người</v>
      </c>
      <c r="Q553" s="88">
        <f t="shared" si="8"/>
        <v>923576604.43538964</v>
      </c>
    </row>
    <row r="554" spans="1:17" x14ac:dyDescent="0.25">
      <c r="A554" s="85" t="s">
        <v>332</v>
      </c>
      <c r="B554" s="65" t="s">
        <v>190</v>
      </c>
      <c r="C554" s="65" t="s">
        <v>395</v>
      </c>
      <c r="D554" s="66">
        <v>0</v>
      </c>
      <c r="E554" s="65">
        <v>496500000</v>
      </c>
      <c r="F554" s="67">
        <v>0</v>
      </c>
      <c r="G554" s="68">
        <v>0</v>
      </c>
      <c r="H554" s="68">
        <v>0</v>
      </c>
      <c r="I554" s="68">
        <v>0</v>
      </c>
      <c r="J554" s="68">
        <v>0</v>
      </c>
      <c r="K554" s="68">
        <v>0</v>
      </c>
      <c r="L554" s="68">
        <v>0</v>
      </c>
      <c r="M554" s="68">
        <v>0</v>
      </c>
      <c r="N554" s="69">
        <v>0</v>
      </c>
      <c r="O554" s="65" t="str">
        <f>VLOOKUP(A554,Report_HQ1!$A$7:$C$95,3,FALSE)</f>
        <v>BV Nam Định</v>
      </c>
      <c r="P554" s="40" t="e">
        <f>VLOOKUP(C554,Sheet1!$U$4:$V$14,2,FALSE)</f>
        <v>#N/A</v>
      </c>
      <c r="Q554" s="88">
        <f t="shared" si="8"/>
        <v>0</v>
      </c>
    </row>
    <row r="555" spans="1:17" x14ac:dyDescent="0.25">
      <c r="A555" s="85" t="s">
        <v>332</v>
      </c>
      <c r="B555" s="65" t="s">
        <v>190</v>
      </c>
      <c r="C555" s="65" t="s">
        <v>396</v>
      </c>
      <c r="D555" s="66">
        <v>737063750</v>
      </c>
      <c r="E555" s="65">
        <v>496500000</v>
      </c>
      <c r="F555" s="67">
        <v>42731281.726288192</v>
      </c>
      <c r="G555" s="68">
        <v>0</v>
      </c>
      <c r="H555" s="68">
        <v>42731281.726288192</v>
      </c>
      <c r="I555" s="68">
        <v>0</v>
      </c>
      <c r="J555" s="68">
        <v>147412750</v>
      </c>
      <c r="K555" s="68">
        <v>136773520</v>
      </c>
      <c r="L555" s="68">
        <v>1726654</v>
      </c>
      <c r="M555" s="68">
        <v>49637929</v>
      </c>
      <c r="N555" s="69">
        <v>378282134.7262882</v>
      </c>
      <c r="O555" s="65" t="str">
        <f>VLOOKUP(A555,Report_HQ1!$A$7:$C$95,3,FALSE)</f>
        <v>BV Nam Định</v>
      </c>
      <c r="P555" s="40" t="str">
        <f>VLOOKUP(C555,Sheet1!$U$4:$V$14,2,FALSE)</f>
        <v>BH Y tế</v>
      </c>
      <c r="Q555" s="88">
        <f t="shared" si="8"/>
        <v>378282134.7262882</v>
      </c>
    </row>
    <row r="556" spans="1:17" x14ac:dyDescent="0.25">
      <c r="A556" s="85" t="s">
        <v>332</v>
      </c>
      <c r="B556" s="65" t="s">
        <v>190</v>
      </c>
      <c r="C556" s="65" t="s">
        <v>397</v>
      </c>
      <c r="D556" s="66">
        <v>19291300</v>
      </c>
      <c r="E556" s="65">
        <v>496500000</v>
      </c>
      <c r="F556" s="67">
        <v>1118413.4006947749</v>
      </c>
      <c r="G556" s="68">
        <v>0</v>
      </c>
      <c r="H556" s="68">
        <v>1118413.4006947749</v>
      </c>
      <c r="I556" s="68">
        <v>0</v>
      </c>
      <c r="J556" s="68">
        <v>3858260</v>
      </c>
      <c r="K556" s="68">
        <v>3858260</v>
      </c>
      <c r="L556" s="68">
        <v>0</v>
      </c>
      <c r="M556" s="68">
        <v>1543304</v>
      </c>
      <c r="N556" s="69">
        <v>10378237.400694774</v>
      </c>
      <c r="O556" s="65" t="str">
        <f>VLOOKUP(A556,Report_HQ1!$A$7:$C$95,3,FALSE)</f>
        <v>BV Nam Định</v>
      </c>
      <c r="P556" s="40" t="str">
        <f>VLOOKUP(C556,Sheet1!$U$4:$V$14,2,FALSE)</f>
        <v>BH Du lịch</v>
      </c>
      <c r="Q556" s="88">
        <f t="shared" si="8"/>
        <v>10378237.400694774</v>
      </c>
    </row>
    <row r="557" spans="1:17" x14ac:dyDescent="0.25">
      <c r="A557" s="85" t="s">
        <v>333</v>
      </c>
      <c r="B557" s="65" t="s">
        <v>191</v>
      </c>
      <c r="C557" s="65" t="s">
        <v>387</v>
      </c>
      <c r="D557" s="66">
        <v>23290000</v>
      </c>
      <c r="E557" s="65">
        <v>2016589127</v>
      </c>
      <c r="F557" s="67">
        <v>909529.4634512458</v>
      </c>
      <c r="G557" s="68">
        <v>0</v>
      </c>
      <c r="H557" s="68">
        <v>909529.4634512458</v>
      </c>
      <c r="I557" s="68">
        <v>0</v>
      </c>
      <c r="J557" s="68">
        <v>1355200</v>
      </c>
      <c r="K557" s="68">
        <v>677600</v>
      </c>
      <c r="L557" s="68">
        <v>2392300</v>
      </c>
      <c r="M557" s="68">
        <v>1863200</v>
      </c>
      <c r="N557" s="69">
        <v>7197829.4634512458</v>
      </c>
      <c r="O557" s="65" t="str">
        <f>VLOOKUP(A557,Report_HQ1!$A$7:$C$95,3,FALSE)</f>
        <v>BV Nghệ An</v>
      </c>
      <c r="P557" s="40" t="str">
        <f>VLOOKUP(C557,Sheet1!$U$4:$V$14,2,FALSE)</f>
        <v>BH Hàng hóa</v>
      </c>
      <c r="Q557" s="88">
        <f t="shared" si="8"/>
        <v>7197829.4634512458</v>
      </c>
    </row>
    <row r="558" spans="1:17" x14ac:dyDescent="0.25">
      <c r="A558" s="85" t="s">
        <v>333</v>
      </c>
      <c r="B558" s="65" t="s">
        <v>191</v>
      </c>
      <c r="C558" s="65" t="s">
        <v>272</v>
      </c>
      <c r="D558" s="66">
        <v>27750000</v>
      </c>
      <c r="E558" s="65">
        <v>2016589127</v>
      </c>
      <c r="F558" s="67">
        <v>1083702.9888695606</v>
      </c>
      <c r="G558" s="68">
        <v>0</v>
      </c>
      <c r="H558" s="68">
        <v>1083702.9888695606</v>
      </c>
      <c r="I558" s="68">
        <v>95000</v>
      </c>
      <c r="J558" s="68">
        <v>0</v>
      </c>
      <c r="K558" s="68">
        <v>0</v>
      </c>
      <c r="L558" s="68">
        <v>6382500</v>
      </c>
      <c r="M558" s="68">
        <v>1665000</v>
      </c>
      <c r="N558" s="69">
        <v>9226202.9888695609</v>
      </c>
      <c r="O558" s="65" t="str">
        <f>VLOOKUP(A558,Report_HQ1!$A$7:$C$95,3,FALSE)</f>
        <v>BV Nghệ An</v>
      </c>
      <c r="P558" s="40" t="str">
        <f>VLOOKUP(C558,Sheet1!$U$4:$V$14,2,FALSE)</f>
        <v>Tàu khác</v>
      </c>
      <c r="Q558" s="88">
        <f t="shared" si="8"/>
        <v>9226202.9888695609</v>
      </c>
    </row>
    <row r="559" spans="1:17" x14ac:dyDescent="0.25">
      <c r="A559" s="85" t="s">
        <v>333</v>
      </c>
      <c r="B559" s="65" t="s">
        <v>191</v>
      </c>
      <c r="C559" s="65" t="s">
        <v>388</v>
      </c>
      <c r="D559" s="66">
        <v>1927696497</v>
      </c>
      <c r="E559" s="65">
        <v>2016589127</v>
      </c>
      <c r="F559" s="67">
        <v>75281097.493055224</v>
      </c>
      <c r="G559" s="68">
        <v>0</v>
      </c>
      <c r="H559" s="68">
        <v>75281097.493055224</v>
      </c>
      <c r="I559" s="68">
        <v>4296227</v>
      </c>
      <c r="J559" s="68">
        <v>42962269</v>
      </c>
      <c r="K559" s="68">
        <v>21481134</v>
      </c>
      <c r="L559" s="68">
        <v>0</v>
      </c>
      <c r="M559" s="68">
        <v>25777361</v>
      </c>
      <c r="N559" s="69">
        <v>169798088.49305522</v>
      </c>
      <c r="O559" s="65" t="str">
        <f>VLOOKUP(A559,Report_HQ1!$A$7:$C$95,3,FALSE)</f>
        <v>BV Nghệ An</v>
      </c>
      <c r="P559" s="40" t="str">
        <f>VLOOKUP(C559,Sheet1!$U$4:$V$14,2,FALSE)</f>
        <v>Hull (Thân tàu biển)</v>
      </c>
      <c r="Q559" s="88">
        <f t="shared" si="8"/>
        <v>169798088.49305522</v>
      </c>
    </row>
    <row r="560" spans="1:17" x14ac:dyDescent="0.25">
      <c r="A560" s="85" t="s">
        <v>333</v>
      </c>
      <c r="B560" s="65" t="s">
        <v>191</v>
      </c>
      <c r="C560" s="65" t="s">
        <v>23</v>
      </c>
      <c r="D560" s="66">
        <v>7666562325</v>
      </c>
      <c r="E560" s="65">
        <v>2016589127</v>
      </c>
      <c r="F560" s="67">
        <v>299397351.56602776</v>
      </c>
      <c r="G560" s="68">
        <v>0</v>
      </c>
      <c r="H560" s="68">
        <v>299397351.56602776</v>
      </c>
      <c r="I560" s="68">
        <v>0</v>
      </c>
      <c r="J560" s="68">
        <v>306662493</v>
      </c>
      <c r="K560" s="68">
        <v>-1</v>
      </c>
      <c r="L560" s="68">
        <v>0</v>
      </c>
      <c r="M560" s="68">
        <v>76665622</v>
      </c>
      <c r="N560" s="69">
        <v>682725465.56602776</v>
      </c>
      <c r="O560" s="65" t="str">
        <f>VLOOKUP(A560,Report_HQ1!$A$7:$C$95,3,FALSE)</f>
        <v>BV Nghệ An</v>
      </c>
      <c r="P560" s="40" t="str">
        <f>VLOOKUP(C560,Sheet1!$U$4:$V$14,2,FALSE)</f>
        <v>P&amp;I</v>
      </c>
      <c r="Q560" s="88">
        <f t="shared" si="8"/>
        <v>682725465.56602776</v>
      </c>
    </row>
    <row r="561" spans="1:17" x14ac:dyDescent="0.25">
      <c r="A561" s="85" t="s">
        <v>333</v>
      </c>
      <c r="B561" s="65" t="s">
        <v>191</v>
      </c>
      <c r="C561" s="65" t="s">
        <v>389</v>
      </c>
      <c r="D561" s="66">
        <v>881000000</v>
      </c>
      <c r="E561" s="65">
        <v>2016589127</v>
      </c>
      <c r="F561" s="67">
        <v>34405129.124111101</v>
      </c>
      <c r="G561" s="68">
        <v>0</v>
      </c>
      <c r="H561" s="68">
        <v>34405129.124111101</v>
      </c>
      <c r="I561" s="68">
        <v>0</v>
      </c>
      <c r="J561" s="68">
        <v>0</v>
      </c>
      <c r="K561" s="68">
        <v>0</v>
      </c>
      <c r="L561" s="68">
        <v>132150000</v>
      </c>
      <c r="M561" s="68">
        <v>70480000</v>
      </c>
      <c r="N561" s="69">
        <v>237035129.12411112</v>
      </c>
      <c r="O561" s="65" t="str">
        <f>VLOOKUP(A561,Report_HQ1!$A$7:$C$95,3,FALSE)</f>
        <v>BV Nghệ An</v>
      </c>
      <c r="P561" s="40" t="str">
        <f>VLOOKUP(C561,Sheet1!$U$4:$V$14,2,FALSE)</f>
        <v>BH Trách nhiệm</v>
      </c>
      <c r="Q561" s="88">
        <f t="shared" si="8"/>
        <v>237035129.12411112</v>
      </c>
    </row>
    <row r="562" spans="1:17" x14ac:dyDescent="0.25">
      <c r="A562" s="85" t="s">
        <v>333</v>
      </c>
      <c r="B562" s="65" t="s">
        <v>191</v>
      </c>
      <c r="C562" s="65" t="s">
        <v>390</v>
      </c>
      <c r="D562" s="66">
        <v>0</v>
      </c>
      <c r="E562" s="65">
        <v>2016589127</v>
      </c>
      <c r="F562" s="67">
        <v>0</v>
      </c>
      <c r="G562" s="68">
        <v>0</v>
      </c>
      <c r="H562" s="68">
        <v>0</v>
      </c>
      <c r="I562" s="68">
        <v>0</v>
      </c>
      <c r="J562" s="68">
        <v>0</v>
      </c>
      <c r="K562" s="68">
        <v>0</v>
      </c>
      <c r="L562" s="68">
        <v>0</v>
      </c>
      <c r="M562" s="68">
        <v>0</v>
      </c>
      <c r="N562" s="69">
        <v>0</v>
      </c>
      <c r="O562" s="65" t="str">
        <f>VLOOKUP(A562,Report_HQ1!$A$7:$C$95,3,FALSE)</f>
        <v>BV Nghệ An</v>
      </c>
      <c r="P562" s="40" t="e">
        <f>VLOOKUP(C562,Sheet1!$U$4:$V$14,2,FALSE)</f>
        <v>#N/A</v>
      </c>
      <c r="Q562" s="88">
        <f t="shared" si="8"/>
        <v>0</v>
      </c>
    </row>
    <row r="563" spans="1:17" x14ac:dyDescent="0.25">
      <c r="A563" s="85" t="s">
        <v>333</v>
      </c>
      <c r="B563" s="65" t="s">
        <v>191</v>
      </c>
      <c r="C563" s="65" t="s">
        <v>391</v>
      </c>
      <c r="D563" s="66">
        <v>6227773515</v>
      </c>
      <c r="E563" s="65">
        <v>2016589127</v>
      </c>
      <c r="F563" s="67">
        <v>243209253.0525474</v>
      </c>
      <c r="G563" s="68">
        <v>0</v>
      </c>
      <c r="H563" s="68">
        <v>243209253.0525474</v>
      </c>
      <c r="I563" s="68">
        <v>0</v>
      </c>
      <c r="J563" s="68">
        <v>0</v>
      </c>
      <c r="K563" s="68">
        <v>0</v>
      </c>
      <c r="L563" s="68">
        <v>964363058</v>
      </c>
      <c r="M563" s="68">
        <v>136230183</v>
      </c>
      <c r="N563" s="69">
        <v>1343802494.0525475</v>
      </c>
      <c r="O563" s="65" t="str">
        <f>VLOOKUP(A563,Report_HQ1!$A$7:$C$95,3,FALSE)</f>
        <v>BV Nghệ An</v>
      </c>
      <c r="P563" s="40" t="str">
        <f>VLOOKUP(C563,Sheet1!$U$4:$V$14,2,FALSE)</f>
        <v>BH Kỹ thuật</v>
      </c>
      <c r="Q563" s="88">
        <f t="shared" si="8"/>
        <v>1343802494.0525475</v>
      </c>
    </row>
    <row r="564" spans="1:17" x14ac:dyDescent="0.25">
      <c r="A564" s="85" t="s">
        <v>333</v>
      </c>
      <c r="B564" s="65" t="s">
        <v>191</v>
      </c>
      <c r="C564" s="65" t="s">
        <v>392</v>
      </c>
      <c r="D564" s="66">
        <v>2706699887</v>
      </c>
      <c r="E564" s="65">
        <v>2016589127</v>
      </c>
      <c r="F564" s="67">
        <v>105703018.28882171</v>
      </c>
      <c r="G564" s="68">
        <v>0</v>
      </c>
      <c r="H564" s="68">
        <v>105703018.28882171</v>
      </c>
      <c r="I564" s="68">
        <v>0</v>
      </c>
      <c r="J564" s="68">
        <v>20803173</v>
      </c>
      <c r="K564" s="68">
        <v>10401587</v>
      </c>
      <c r="L564" s="68">
        <v>398813789</v>
      </c>
      <c r="M564" s="68">
        <v>135298398</v>
      </c>
      <c r="N564" s="69">
        <v>671019965.2888217</v>
      </c>
      <c r="O564" s="65" t="str">
        <f>VLOOKUP(A564,Report_HQ1!$A$7:$C$95,3,FALSE)</f>
        <v>BV Nghệ An</v>
      </c>
      <c r="P564" s="40" t="str">
        <f>VLOOKUP(C564,Sheet1!$U$4:$V$14,2,FALSE)</f>
        <v>BH Tài sản</v>
      </c>
      <c r="Q564" s="88">
        <f t="shared" si="8"/>
        <v>671019965.2888217</v>
      </c>
    </row>
    <row r="565" spans="1:17" x14ac:dyDescent="0.25">
      <c r="A565" s="85" t="s">
        <v>333</v>
      </c>
      <c r="B565" s="65" t="s">
        <v>191</v>
      </c>
      <c r="C565" s="65" t="s">
        <v>393</v>
      </c>
      <c r="D565" s="66">
        <v>10930530962</v>
      </c>
      <c r="E565" s="65">
        <v>2016589127</v>
      </c>
      <c r="F565" s="67">
        <v>426863029.67389822</v>
      </c>
      <c r="G565" s="68">
        <v>0</v>
      </c>
      <c r="H565" s="68">
        <v>426863029.67389822</v>
      </c>
      <c r="I565" s="68">
        <v>0</v>
      </c>
      <c r="J565" s="68">
        <v>1006743299</v>
      </c>
      <c r="K565" s="68">
        <v>503371650</v>
      </c>
      <c r="L565" s="68">
        <v>948576665</v>
      </c>
      <c r="M565" s="68">
        <v>654330824</v>
      </c>
      <c r="N565" s="69">
        <v>3539885467.6738982</v>
      </c>
      <c r="O565" s="65" t="str">
        <f>VLOOKUP(A565,Report_HQ1!$A$7:$C$95,3,FALSE)</f>
        <v>BV Nghệ An</v>
      </c>
      <c r="P565" s="40" t="str">
        <f>VLOOKUP(C565,Sheet1!$U$4:$V$14,2,FALSE)</f>
        <v>BH Xe cơ giới</v>
      </c>
      <c r="Q565" s="88">
        <f t="shared" si="8"/>
        <v>3539885467.6738982</v>
      </c>
    </row>
    <row r="566" spans="1:17" x14ac:dyDescent="0.25">
      <c r="A566" s="85" t="s">
        <v>333</v>
      </c>
      <c r="B566" s="65" t="s">
        <v>191</v>
      </c>
      <c r="C566" s="65" t="s">
        <v>394</v>
      </c>
      <c r="D566" s="66">
        <v>20526909200</v>
      </c>
      <c r="E566" s="65">
        <v>2016589127</v>
      </c>
      <c r="F566" s="67">
        <v>801624246.92951655</v>
      </c>
      <c r="G566" s="68">
        <v>0</v>
      </c>
      <c r="H566" s="68">
        <v>801624246.92951655</v>
      </c>
      <c r="I566" s="68">
        <v>11100500</v>
      </c>
      <c r="J566" s="68">
        <v>2651176896</v>
      </c>
      <c r="K566" s="68">
        <v>46987620</v>
      </c>
      <c r="L566" s="68">
        <v>816894674</v>
      </c>
      <c r="M566" s="68">
        <v>948973983</v>
      </c>
      <c r="N566" s="69">
        <v>5276757919.9295168</v>
      </c>
      <c r="O566" s="65" t="str">
        <f>VLOOKUP(A566,Report_HQ1!$A$7:$C$95,3,FALSE)</f>
        <v>BV Nghệ An</v>
      </c>
      <c r="P566" s="40" t="str">
        <f>VLOOKUP(C566,Sheet1!$U$4:$V$14,2,FALSE)</f>
        <v>BH Con người</v>
      </c>
      <c r="Q566" s="88">
        <f t="shared" si="8"/>
        <v>5276757919.9295168</v>
      </c>
    </row>
    <row r="567" spans="1:17" x14ac:dyDescent="0.25">
      <c r="A567" s="85" t="s">
        <v>333</v>
      </c>
      <c r="B567" s="65" t="s">
        <v>191</v>
      </c>
      <c r="C567" s="65" t="s">
        <v>395</v>
      </c>
      <c r="D567" s="66">
        <v>0</v>
      </c>
      <c r="E567" s="65">
        <v>2016589127</v>
      </c>
      <c r="F567" s="67">
        <v>0</v>
      </c>
      <c r="G567" s="68">
        <v>0</v>
      </c>
      <c r="H567" s="68">
        <v>0</v>
      </c>
      <c r="I567" s="68">
        <v>0</v>
      </c>
      <c r="J567" s="68">
        <v>0</v>
      </c>
      <c r="K567" s="68">
        <v>0</v>
      </c>
      <c r="L567" s="68">
        <v>0</v>
      </c>
      <c r="M567" s="68">
        <v>0</v>
      </c>
      <c r="N567" s="69">
        <v>0</v>
      </c>
      <c r="O567" s="65" t="str">
        <f>VLOOKUP(A567,Report_HQ1!$A$7:$C$95,3,FALSE)</f>
        <v>BV Nghệ An</v>
      </c>
      <c r="P567" s="40" t="e">
        <f>VLOOKUP(C567,Sheet1!$U$4:$V$14,2,FALSE)</f>
        <v>#N/A</v>
      </c>
      <c r="Q567" s="88">
        <f t="shared" si="8"/>
        <v>0</v>
      </c>
    </row>
    <row r="568" spans="1:17" x14ac:dyDescent="0.25">
      <c r="A568" s="85" t="s">
        <v>333</v>
      </c>
      <c r="B568" s="65" t="s">
        <v>191</v>
      </c>
      <c r="C568" s="65" t="s">
        <v>396</v>
      </c>
      <c r="D568" s="66">
        <v>547852740</v>
      </c>
      <c r="E568" s="65">
        <v>2016589127</v>
      </c>
      <c r="F568" s="67">
        <v>21394942.407148771</v>
      </c>
      <c r="G568" s="68">
        <v>0</v>
      </c>
      <c r="H568" s="68">
        <v>21394942.407148771</v>
      </c>
      <c r="I568" s="68">
        <v>0</v>
      </c>
      <c r="J568" s="68">
        <v>109570548</v>
      </c>
      <c r="K568" s="68">
        <v>67931613</v>
      </c>
      <c r="L568" s="68">
        <v>-10718</v>
      </c>
      <c r="M568" s="68">
        <v>37289354</v>
      </c>
      <c r="N568" s="69">
        <v>236175739.40714878</v>
      </c>
      <c r="O568" s="65" t="str">
        <f>VLOOKUP(A568,Report_HQ1!$A$7:$C$95,3,FALSE)</f>
        <v>BV Nghệ An</v>
      </c>
      <c r="P568" s="40" t="str">
        <f>VLOOKUP(C568,Sheet1!$U$4:$V$14,2,FALSE)</f>
        <v>BH Y tế</v>
      </c>
      <c r="Q568" s="88">
        <f t="shared" si="8"/>
        <v>236175739.40714878</v>
      </c>
    </row>
    <row r="569" spans="1:17" x14ac:dyDescent="0.25">
      <c r="A569" s="85" t="s">
        <v>333</v>
      </c>
      <c r="B569" s="65" t="s">
        <v>191</v>
      </c>
      <c r="C569" s="65" t="s">
        <v>397</v>
      </c>
      <c r="D569" s="66">
        <v>172021000</v>
      </c>
      <c r="E569" s="65">
        <v>2016589127</v>
      </c>
      <c r="F569" s="67">
        <v>6717826.0125524588</v>
      </c>
      <c r="G569" s="68">
        <v>0</v>
      </c>
      <c r="H569" s="68">
        <v>6717826.0125524588</v>
      </c>
      <c r="I569" s="68">
        <v>0</v>
      </c>
      <c r="J569" s="68">
        <v>33587600</v>
      </c>
      <c r="K569" s="68">
        <v>33587600</v>
      </c>
      <c r="L569" s="68">
        <v>1224900</v>
      </c>
      <c r="M569" s="68">
        <v>13761680</v>
      </c>
      <c r="N569" s="69">
        <v>88879606.012552455</v>
      </c>
      <c r="O569" s="65" t="str">
        <f>VLOOKUP(A569,Report_HQ1!$A$7:$C$95,3,FALSE)</f>
        <v>BV Nghệ An</v>
      </c>
      <c r="P569" s="40" t="str">
        <f>VLOOKUP(C569,Sheet1!$U$4:$V$14,2,FALSE)</f>
        <v>BH Du lịch</v>
      </c>
      <c r="Q569" s="88">
        <f t="shared" si="8"/>
        <v>88879606.012552455</v>
      </c>
    </row>
    <row r="570" spans="1:17" x14ac:dyDescent="0.25">
      <c r="A570" s="85" t="s">
        <v>334</v>
      </c>
      <c r="B570" s="65" t="s">
        <v>192</v>
      </c>
      <c r="C570" s="65" t="s">
        <v>387</v>
      </c>
      <c r="D570" s="66">
        <v>742334930</v>
      </c>
      <c r="E570" s="65">
        <v>823445134</v>
      </c>
      <c r="F570" s="67">
        <v>70843601.204655573</v>
      </c>
      <c r="G570" s="68">
        <v>0</v>
      </c>
      <c r="H570" s="68">
        <v>70843601.204655573</v>
      </c>
      <c r="I570" s="68">
        <v>0</v>
      </c>
      <c r="J570" s="68">
        <v>74233493</v>
      </c>
      <c r="K570" s="68">
        <v>37116747</v>
      </c>
      <c r="L570" s="68">
        <v>29693397</v>
      </c>
      <c r="M570" s="68">
        <v>59386794</v>
      </c>
      <c r="N570" s="69">
        <v>271274032.20465559</v>
      </c>
      <c r="O570" s="65" t="str">
        <f>VLOOKUP(A570,Report_HQ1!$A$7:$C$95,3,FALSE)</f>
        <v>BV Ninh Bình</v>
      </c>
      <c r="P570" s="40" t="str">
        <f>VLOOKUP(C570,Sheet1!$U$4:$V$14,2,FALSE)</f>
        <v>BH Hàng hóa</v>
      </c>
      <c r="Q570" s="88">
        <f t="shared" si="8"/>
        <v>271274032.20465559</v>
      </c>
    </row>
    <row r="571" spans="1:17" x14ac:dyDescent="0.25">
      <c r="A571" s="85" t="s">
        <v>334</v>
      </c>
      <c r="B571" s="65" t="s">
        <v>192</v>
      </c>
      <c r="C571" s="65" t="s">
        <v>272</v>
      </c>
      <c r="D571" s="66">
        <v>577708100</v>
      </c>
      <c r="E571" s="65">
        <v>823445134</v>
      </c>
      <c r="F571" s="67">
        <v>55132690.912307307</v>
      </c>
      <c r="G571" s="68">
        <v>0</v>
      </c>
      <c r="H571" s="68">
        <v>55132690.912307307</v>
      </c>
      <c r="I571" s="68">
        <v>2135782</v>
      </c>
      <c r="J571" s="68">
        <v>86656215</v>
      </c>
      <c r="K571" s="68">
        <v>40439567</v>
      </c>
      <c r="L571" s="68">
        <v>5777081</v>
      </c>
      <c r="M571" s="68">
        <v>46216648</v>
      </c>
      <c r="N571" s="69">
        <v>236357983.91230732</v>
      </c>
      <c r="O571" s="65" t="str">
        <f>VLOOKUP(A571,Report_HQ1!$A$7:$C$95,3,FALSE)</f>
        <v>BV Ninh Bình</v>
      </c>
      <c r="P571" s="40" t="str">
        <f>VLOOKUP(C571,Sheet1!$U$4:$V$14,2,FALSE)</f>
        <v>Tàu khác</v>
      </c>
      <c r="Q571" s="88">
        <f t="shared" si="8"/>
        <v>236357983.91230732</v>
      </c>
    </row>
    <row r="572" spans="1:17" x14ac:dyDescent="0.25">
      <c r="A572" s="85" t="s">
        <v>334</v>
      </c>
      <c r="B572" s="65" t="s">
        <v>192</v>
      </c>
      <c r="C572" s="65" t="s">
        <v>388</v>
      </c>
      <c r="D572" s="66">
        <v>459317720</v>
      </c>
      <c r="E572" s="65">
        <v>823445134</v>
      </c>
      <c r="F572" s="67">
        <v>43834285.666594796</v>
      </c>
      <c r="G572" s="68">
        <v>0</v>
      </c>
      <c r="H572" s="68">
        <v>43834285.666594796</v>
      </c>
      <c r="I572" s="68">
        <v>1604974</v>
      </c>
      <c r="J572" s="68">
        <v>16049740</v>
      </c>
      <c r="K572" s="68">
        <v>8024870</v>
      </c>
      <c r="L572" s="68">
        <v>0</v>
      </c>
      <c r="M572" s="68">
        <v>9629844</v>
      </c>
      <c r="N572" s="69">
        <v>79143713.666594803</v>
      </c>
      <c r="O572" s="65" t="str">
        <f>VLOOKUP(A572,Report_HQ1!$A$7:$C$95,3,FALSE)</f>
        <v>BV Ninh Bình</v>
      </c>
      <c r="P572" s="40" t="str">
        <f>VLOOKUP(C572,Sheet1!$U$4:$V$14,2,FALSE)</f>
        <v>Hull (Thân tàu biển)</v>
      </c>
      <c r="Q572" s="88">
        <f t="shared" si="8"/>
        <v>79143713.666594803</v>
      </c>
    </row>
    <row r="573" spans="1:17" x14ac:dyDescent="0.25">
      <c r="A573" s="85" t="s">
        <v>334</v>
      </c>
      <c r="B573" s="65" t="s">
        <v>192</v>
      </c>
      <c r="C573" s="65" t="s">
        <v>23</v>
      </c>
      <c r="D573" s="66">
        <v>0</v>
      </c>
      <c r="E573" s="65">
        <v>823445134</v>
      </c>
      <c r="F573" s="67">
        <v>0</v>
      </c>
      <c r="G573" s="68">
        <v>0</v>
      </c>
      <c r="H573" s="68">
        <v>0</v>
      </c>
      <c r="I573" s="68">
        <v>0</v>
      </c>
      <c r="J573" s="68">
        <v>0</v>
      </c>
      <c r="K573" s="68">
        <v>0</v>
      </c>
      <c r="L573" s="68">
        <v>0</v>
      </c>
      <c r="M573" s="68">
        <v>0</v>
      </c>
      <c r="N573" s="69">
        <v>0</v>
      </c>
      <c r="O573" s="65" t="str">
        <f>VLOOKUP(A573,Report_HQ1!$A$7:$C$95,3,FALSE)</f>
        <v>BV Ninh Bình</v>
      </c>
      <c r="P573" s="40" t="str">
        <f>VLOOKUP(C573,Sheet1!$U$4:$V$14,2,FALSE)</f>
        <v>P&amp;I</v>
      </c>
      <c r="Q573" s="88">
        <f t="shared" si="8"/>
        <v>0</v>
      </c>
    </row>
    <row r="574" spans="1:17" x14ac:dyDescent="0.25">
      <c r="A574" s="85" t="s">
        <v>334</v>
      </c>
      <c r="B574" s="65" t="s">
        <v>192</v>
      </c>
      <c r="C574" s="65" t="s">
        <v>389</v>
      </c>
      <c r="D574" s="66">
        <v>0</v>
      </c>
      <c r="E574" s="65">
        <v>823445134</v>
      </c>
      <c r="F574" s="67">
        <v>0</v>
      </c>
      <c r="G574" s="68">
        <v>0</v>
      </c>
      <c r="H574" s="68">
        <v>0</v>
      </c>
      <c r="I574" s="68">
        <v>0</v>
      </c>
      <c r="J574" s="68">
        <v>0</v>
      </c>
      <c r="K574" s="68">
        <v>0</v>
      </c>
      <c r="L574" s="68">
        <v>0</v>
      </c>
      <c r="M574" s="68">
        <v>0</v>
      </c>
      <c r="N574" s="69">
        <v>0</v>
      </c>
      <c r="O574" s="65" t="str">
        <f>VLOOKUP(A574,Report_HQ1!$A$7:$C$95,3,FALSE)</f>
        <v>BV Ninh Bình</v>
      </c>
      <c r="P574" s="40" t="str">
        <f>VLOOKUP(C574,Sheet1!$U$4:$V$14,2,FALSE)</f>
        <v>BH Trách nhiệm</v>
      </c>
      <c r="Q574" s="88">
        <f t="shared" si="8"/>
        <v>0</v>
      </c>
    </row>
    <row r="575" spans="1:17" x14ac:dyDescent="0.25">
      <c r="A575" s="85" t="s">
        <v>334</v>
      </c>
      <c r="B575" s="65" t="s">
        <v>192</v>
      </c>
      <c r="C575" s="65" t="s">
        <v>390</v>
      </c>
      <c r="D575" s="66">
        <v>0</v>
      </c>
      <c r="E575" s="65">
        <v>823445134</v>
      </c>
      <c r="F575" s="67">
        <v>0</v>
      </c>
      <c r="G575" s="68">
        <v>0</v>
      </c>
      <c r="H575" s="68">
        <v>0</v>
      </c>
      <c r="I575" s="68">
        <v>0</v>
      </c>
      <c r="J575" s="68">
        <v>0</v>
      </c>
      <c r="K575" s="68">
        <v>0</v>
      </c>
      <c r="L575" s="68">
        <v>0</v>
      </c>
      <c r="M575" s="68">
        <v>0</v>
      </c>
      <c r="N575" s="69">
        <v>0</v>
      </c>
      <c r="O575" s="65" t="str">
        <f>VLOOKUP(A575,Report_HQ1!$A$7:$C$95,3,FALSE)</f>
        <v>BV Ninh Bình</v>
      </c>
      <c r="P575" s="40" t="e">
        <f>VLOOKUP(C575,Sheet1!$U$4:$V$14,2,FALSE)</f>
        <v>#N/A</v>
      </c>
      <c r="Q575" s="88">
        <f t="shared" si="8"/>
        <v>0</v>
      </c>
    </row>
    <row r="576" spans="1:17" x14ac:dyDescent="0.25">
      <c r="A576" s="85" t="s">
        <v>334</v>
      </c>
      <c r="B576" s="65" t="s">
        <v>192</v>
      </c>
      <c r="C576" s="65" t="s">
        <v>391</v>
      </c>
      <c r="D576" s="66">
        <v>765873290</v>
      </c>
      <c r="E576" s="65">
        <v>823445134</v>
      </c>
      <c r="F576" s="67">
        <v>73089948.670551613</v>
      </c>
      <c r="G576" s="68">
        <v>0</v>
      </c>
      <c r="H576" s="68">
        <v>73089948.670551613</v>
      </c>
      <c r="I576" s="68">
        <v>0</v>
      </c>
      <c r="J576" s="68">
        <v>5652131</v>
      </c>
      <c r="K576" s="68">
        <v>2826065</v>
      </c>
      <c r="L576" s="68">
        <v>156425997</v>
      </c>
      <c r="M576" s="68">
        <v>45952397</v>
      </c>
      <c r="N576" s="69">
        <v>283946538.6705516</v>
      </c>
      <c r="O576" s="65" t="str">
        <f>VLOOKUP(A576,Report_HQ1!$A$7:$C$95,3,FALSE)</f>
        <v>BV Ninh Bình</v>
      </c>
      <c r="P576" s="40" t="str">
        <f>VLOOKUP(C576,Sheet1!$U$4:$V$14,2,FALSE)</f>
        <v>BH Kỹ thuật</v>
      </c>
      <c r="Q576" s="88">
        <f t="shared" si="8"/>
        <v>283946538.6705516</v>
      </c>
    </row>
    <row r="577" spans="1:17" x14ac:dyDescent="0.25">
      <c r="A577" s="85" t="s">
        <v>334</v>
      </c>
      <c r="B577" s="65" t="s">
        <v>192</v>
      </c>
      <c r="C577" s="65" t="s">
        <v>392</v>
      </c>
      <c r="D577" s="66">
        <v>1330302230</v>
      </c>
      <c r="E577" s="65">
        <v>823445134</v>
      </c>
      <c r="F577" s="67">
        <v>126955363.21291523</v>
      </c>
      <c r="G577" s="68">
        <v>0</v>
      </c>
      <c r="H577" s="68">
        <v>126955363.21291523</v>
      </c>
      <c r="I577" s="68">
        <v>0</v>
      </c>
      <c r="J577" s="68">
        <v>5233558</v>
      </c>
      <c r="K577" s="68">
        <v>2616779</v>
      </c>
      <c r="L577" s="68">
        <v>212972387</v>
      </c>
      <c r="M577" s="68">
        <v>79899952</v>
      </c>
      <c r="N577" s="69">
        <v>427678039.21291524</v>
      </c>
      <c r="O577" s="65" t="str">
        <f>VLOOKUP(A577,Report_HQ1!$A$7:$C$95,3,FALSE)</f>
        <v>BV Ninh Bình</v>
      </c>
      <c r="P577" s="40" t="str">
        <f>VLOOKUP(C577,Sheet1!$U$4:$V$14,2,FALSE)</f>
        <v>BH Tài sản</v>
      </c>
      <c r="Q577" s="88">
        <f t="shared" si="8"/>
        <v>427678039.21291524</v>
      </c>
    </row>
    <row r="578" spans="1:17" x14ac:dyDescent="0.25">
      <c r="A578" s="85" t="s">
        <v>334</v>
      </c>
      <c r="B578" s="65" t="s">
        <v>192</v>
      </c>
      <c r="C578" s="65" t="s">
        <v>393</v>
      </c>
      <c r="D578" s="66">
        <v>1845612502</v>
      </c>
      <c r="E578" s="65">
        <v>823445134</v>
      </c>
      <c r="F578" s="67">
        <v>176133212.63222057</v>
      </c>
      <c r="G578" s="68">
        <v>0</v>
      </c>
      <c r="H578" s="68">
        <v>176133212.63222057</v>
      </c>
      <c r="I578" s="68">
        <v>0</v>
      </c>
      <c r="J578" s="68">
        <v>152482178</v>
      </c>
      <c r="K578" s="68">
        <v>76241089</v>
      </c>
      <c r="L578" s="68">
        <v>207712969</v>
      </c>
      <c r="M578" s="68">
        <v>110438110</v>
      </c>
      <c r="N578" s="69">
        <v>723007558.63222051</v>
      </c>
      <c r="O578" s="65" t="str">
        <f>VLOOKUP(A578,Report_HQ1!$A$7:$C$95,3,FALSE)</f>
        <v>BV Ninh Bình</v>
      </c>
      <c r="P578" s="40" t="str">
        <f>VLOOKUP(C578,Sheet1!$U$4:$V$14,2,FALSE)</f>
        <v>BH Xe cơ giới</v>
      </c>
      <c r="Q578" s="88">
        <f t="shared" si="8"/>
        <v>723007558.63222051</v>
      </c>
    </row>
    <row r="579" spans="1:17" x14ac:dyDescent="0.25">
      <c r="A579" s="85" t="s">
        <v>334</v>
      </c>
      <c r="B579" s="65" t="s">
        <v>192</v>
      </c>
      <c r="C579" s="65" t="s">
        <v>394</v>
      </c>
      <c r="D579" s="66">
        <v>2398285765</v>
      </c>
      <c r="E579" s="65">
        <v>823445134</v>
      </c>
      <c r="F579" s="67">
        <v>228876742.07983491</v>
      </c>
      <c r="G579" s="68">
        <v>0</v>
      </c>
      <c r="H579" s="68">
        <v>228876742.07983491</v>
      </c>
      <c r="I579" s="68">
        <v>203000</v>
      </c>
      <c r="J579" s="68">
        <v>322300432</v>
      </c>
      <c r="K579" s="68">
        <v>1899302</v>
      </c>
      <c r="L579" s="68">
        <v>100492229</v>
      </c>
      <c r="M579" s="68">
        <v>112957488</v>
      </c>
      <c r="N579" s="69">
        <v>766729193.07983494</v>
      </c>
      <c r="O579" s="65" t="str">
        <f>VLOOKUP(A579,Report_HQ1!$A$7:$C$95,3,FALSE)</f>
        <v>BV Ninh Bình</v>
      </c>
      <c r="P579" s="40" t="str">
        <f>VLOOKUP(C579,Sheet1!$U$4:$V$14,2,FALSE)</f>
        <v>BH Con người</v>
      </c>
      <c r="Q579" s="88">
        <f t="shared" si="8"/>
        <v>766729193.07983494</v>
      </c>
    </row>
    <row r="580" spans="1:17" x14ac:dyDescent="0.25">
      <c r="A580" s="85" t="s">
        <v>334</v>
      </c>
      <c r="B580" s="65" t="s">
        <v>192</v>
      </c>
      <c r="C580" s="65" t="s">
        <v>395</v>
      </c>
      <c r="D580" s="66">
        <v>0</v>
      </c>
      <c r="E580" s="65">
        <v>823445134</v>
      </c>
      <c r="F580" s="67">
        <v>0</v>
      </c>
      <c r="G580" s="68">
        <v>0</v>
      </c>
      <c r="H580" s="68">
        <v>0</v>
      </c>
      <c r="I580" s="68">
        <v>0</v>
      </c>
      <c r="J580" s="68">
        <v>0</v>
      </c>
      <c r="K580" s="68">
        <v>0</v>
      </c>
      <c r="L580" s="68">
        <v>0</v>
      </c>
      <c r="M580" s="68">
        <v>0</v>
      </c>
      <c r="N580" s="69">
        <v>0</v>
      </c>
      <c r="O580" s="65" t="str">
        <f>VLOOKUP(A580,Report_HQ1!$A$7:$C$95,3,FALSE)</f>
        <v>BV Ninh Bình</v>
      </c>
      <c r="P580" s="40" t="e">
        <f>VLOOKUP(C580,Sheet1!$U$4:$V$14,2,FALSE)</f>
        <v>#N/A</v>
      </c>
      <c r="Q580" s="88">
        <f t="shared" si="8"/>
        <v>0</v>
      </c>
    </row>
    <row r="581" spans="1:17" x14ac:dyDescent="0.25">
      <c r="A581" s="85" t="s">
        <v>334</v>
      </c>
      <c r="B581" s="65" t="s">
        <v>192</v>
      </c>
      <c r="C581" s="65" t="s">
        <v>396</v>
      </c>
      <c r="D581" s="66">
        <v>443778021</v>
      </c>
      <c r="E581" s="65">
        <v>823445134</v>
      </c>
      <c r="F581" s="67">
        <v>42351278.206880637</v>
      </c>
      <c r="G581" s="68">
        <v>0</v>
      </c>
      <c r="H581" s="68">
        <v>42351278.206880637</v>
      </c>
      <c r="I581" s="68">
        <v>0</v>
      </c>
      <c r="J581" s="68">
        <v>89464233</v>
      </c>
      <c r="K581" s="68">
        <v>44282562</v>
      </c>
      <c r="L581" s="68">
        <v>-837681</v>
      </c>
      <c r="M581" s="68">
        <v>30008396</v>
      </c>
      <c r="N581" s="69">
        <v>205268788.20688063</v>
      </c>
      <c r="O581" s="65" t="str">
        <f>VLOOKUP(A581,Report_HQ1!$A$7:$C$95,3,FALSE)</f>
        <v>BV Ninh Bình</v>
      </c>
      <c r="P581" s="40" t="str">
        <f>VLOOKUP(C581,Sheet1!$U$4:$V$14,2,FALSE)</f>
        <v>BH Y tế</v>
      </c>
      <c r="Q581" s="88">
        <f t="shared" si="8"/>
        <v>205268788.20688063</v>
      </c>
    </row>
    <row r="582" spans="1:17" x14ac:dyDescent="0.25">
      <c r="A582" s="85" t="s">
        <v>334</v>
      </c>
      <c r="B582" s="65" t="s">
        <v>192</v>
      </c>
      <c r="C582" s="65" t="s">
        <v>397</v>
      </c>
      <c r="D582" s="66">
        <v>65260240</v>
      </c>
      <c r="E582" s="65">
        <v>823445134</v>
      </c>
      <c r="F582" s="67">
        <v>6228011.4140393632</v>
      </c>
      <c r="G582" s="68">
        <v>0</v>
      </c>
      <c r="H582" s="68">
        <v>6228011.4140393632</v>
      </c>
      <c r="I582" s="68">
        <v>0</v>
      </c>
      <c r="J582" s="68">
        <v>13052048</v>
      </c>
      <c r="K582" s="68">
        <v>13052048</v>
      </c>
      <c r="L582" s="68">
        <v>0</v>
      </c>
      <c r="M582" s="68">
        <v>5220819</v>
      </c>
      <c r="N582" s="69">
        <v>37552926.414039358</v>
      </c>
      <c r="O582" s="65" t="str">
        <f>VLOOKUP(A582,Report_HQ1!$A$7:$C$95,3,FALSE)</f>
        <v>BV Ninh Bình</v>
      </c>
      <c r="P582" s="40" t="str">
        <f>VLOOKUP(C582,Sheet1!$U$4:$V$14,2,FALSE)</f>
        <v>BH Du lịch</v>
      </c>
      <c r="Q582" s="88">
        <f t="shared" si="8"/>
        <v>37552926.414039358</v>
      </c>
    </row>
    <row r="583" spans="1:17" x14ac:dyDescent="0.25">
      <c r="A583" s="85" t="s">
        <v>335</v>
      </c>
      <c r="B583" s="65" t="s">
        <v>193</v>
      </c>
      <c r="C583" s="65" t="s">
        <v>387</v>
      </c>
      <c r="D583" s="66">
        <v>0</v>
      </c>
      <c r="E583" s="65">
        <v>411000000</v>
      </c>
      <c r="F583" s="67">
        <v>0</v>
      </c>
      <c r="G583" s="68">
        <v>0</v>
      </c>
      <c r="H583" s="68">
        <v>0</v>
      </c>
      <c r="I583" s="68">
        <v>0</v>
      </c>
      <c r="J583" s="68">
        <v>0</v>
      </c>
      <c r="K583" s="68">
        <v>0</v>
      </c>
      <c r="L583" s="68">
        <v>0</v>
      </c>
      <c r="M583" s="68">
        <v>0</v>
      </c>
      <c r="N583" s="69">
        <v>0</v>
      </c>
      <c r="O583" s="65" t="str">
        <f>VLOOKUP(A583,Report_HQ1!$A$7:$C$95,3,FALSE)</f>
        <v>BV Ninh Thuận</v>
      </c>
      <c r="P583" s="40" t="str">
        <f>VLOOKUP(C583,Sheet1!$U$4:$V$14,2,FALSE)</f>
        <v>BH Hàng hóa</v>
      </c>
      <c r="Q583" s="88">
        <f t="shared" si="8"/>
        <v>0</v>
      </c>
    </row>
    <row r="584" spans="1:17" x14ac:dyDescent="0.25">
      <c r="A584" s="85" t="s">
        <v>335</v>
      </c>
      <c r="B584" s="65" t="s">
        <v>193</v>
      </c>
      <c r="C584" s="65" t="s">
        <v>272</v>
      </c>
      <c r="D584" s="66">
        <v>2143568745</v>
      </c>
      <c r="E584" s="65">
        <v>411000000</v>
      </c>
      <c r="F584" s="67">
        <v>93338727.350276917</v>
      </c>
      <c r="G584" s="68">
        <v>0</v>
      </c>
      <c r="H584" s="68">
        <v>93338727.350276917</v>
      </c>
      <c r="I584" s="68">
        <v>8074986</v>
      </c>
      <c r="J584" s="68">
        <v>321535312</v>
      </c>
      <c r="K584" s="68">
        <v>150049812</v>
      </c>
      <c r="L584" s="68">
        <v>21435688</v>
      </c>
      <c r="M584" s="68">
        <v>171485500</v>
      </c>
      <c r="N584" s="69">
        <v>765920025.35027695</v>
      </c>
      <c r="O584" s="65" t="str">
        <f>VLOOKUP(A584,Report_HQ1!$A$7:$C$95,3,FALSE)</f>
        <v>BV Ninh Thuận</v>
      </c>
      <c r="P584" s="40" t="str">
        <f>VLOOKUP(C584,Sheet1!$U$4:$V$14,2,FALSE)</f>
        <v>Tàu khác</v>
      </c>
      <c r="Q584" s="88">
        <f t="shared" si="8"/>
        <v>765920025.35027695</v>
      </c>
    </row>
    <row r="585" spans="1:17" x14ac:dyDescent="0.25">
      <c r="A585" s="85" t="s">
        <v>335</v>
      </c>
      <c r="B585" s="65" t="s">
        <v>193</v>
      </c>
      <c r="C585" s="65" t="s">
        <v>388</v>
      </c>
      <c r="D585" s="66">
        <v>0</v>
      </c>
      <c r="E585" s="65">
        <v>411000000</v>
      </c>
      <c r="F585" s="67">
        <v>0</v>
      </c>
      <c r="G585" s="68">
        <v>0</v>
      </c>
      <c r="H585" s="68">
        <v>0</v>
      </c>
      <c r="I585" s="68">
        <v>0</v>
      </c>
      <c r="J585" s="68">
        <v>0</v>
      </c>
      <c r="K585" s="68">
        <v>0</v>
      </c>
      <c r="L585" s="68">
        <v>0</v>
      </c>
      <c r="M585" s="68">
        <v>0</v>
      </c>
      <c r="N585" s="69">
        <v>0</v>
      </c>
      <c r="O585" s="65" t="str">
        <f>VLOOKUP(A585,Report_HQ1!$A$7:$C$95,3,FALSE)</f>
        <v>BV Ninh Thuận</v>
      </c>
      <c r="P585" s="40" t="str">
        <f>VLOOKUP(C585,Sheet1!$U$4:$V$14,2,FALSE)</f>
        <v>Hull (Thân tàu biển)</v>
      </c>
      <c r="Q585" s="88">
        <f t="shared" si="8"/>
        <v>0</v>
      </c>
    </row>
    <row r="586" spans="1:17" x14ac:dyDescent="0.25">
      <c r="A586" s="85" t="s">
        <v>335</v>
      </c>
      <c r="B586" s="65" t="s">
        <v>193</v>
      </c>
      <c r="C586" s="65" t="s">
        <v>23</v>
      </c>
      <c r="D586" s="66">
        <v>0</v>
      </c>
      <c r="E586" s="65">
        <v>411000000</v>
      </c>
      <c r="F586" s="67">
        <v>0</v>
      </c>
      <c r="G586" s="68">
        <v>0</v>
      </c>
      <c r="H586" s="68">
        <v>0</v>
      </c>
      <c r="I586" s="68">
        <v>0</v>
      </c>
      <c r="J586" s="68">
        <v>0</v>
      </c>
      <c r="K586" s="68">
        <v>0</v>
      </c>
      <c r="L586" s="68">
        <v>0</v>
      </c>
      <c r="M586" s="68">
        <v>0</v>
      </c>
      <c r="N586" s="69">
        <v>0</v>
      </c>
      <c r="O586" s="65" t="str">
        <f>VLOOKUP(A586,Report_HQ1!$A$7:$C$95,3,FALSE)</f>
        <v>BV Ninh Thuận</v>
      </c>
      <c r="P586" s="40" t="str">
        <f>VLOOKUP(C586,Sheet1!$U$4:$V$14,2,FALSE)</f>
        <v>P&amp;I</v>
      </c>
      <c r="Q586" s="88">
        <f t="shared" si="8"/>
        <v>0</v>
      </c>
    </row>
    <row r="587" spans="1:17" x14ac:dyDescent="0.25">
      <c r="A587" s="85" t="s">
        <v>335</v>
      </c>
      <c r="B587" s="65" t="s">
        <v>193</v>
      </c>
      <c r="C587" s="65" t="s">
        <v>389</v>
      </c>
      <c r="D587" s="66">
        <v>0</v>
      </c>
      <c r="E587" s="65">
        <v>411000000</v>
      </c>
      <c r="F587" s="67">
        <v>0</v>
      </c>
      <c r="G587" s="68">
        <v>0</v>
      </c>
      <c r="H587" s="68">
        <v>0</v>
      </c>
      <c r="I587" s="68">
        <v>0</v>
      </c>
      <c r="J587" s="68">
        <v>0</v>
      </c>
      <c r="K587" s="68">
        <v>0</v>
      </c>
      <c r="L587" s="68">
        <v>0</v>
      </c>
      <c r="M587" s="68">
        <v>0</v>
      </c>
      <c r="N587" s="69">
        <v>0</v>
      </c>
      <c r="O587" s="65" t="str">
        <f>VLOOKUP(A587,Report_HQ1!$A$7:$C$95,3,FALSE)</f>
        <v>BV Ninh Thuận</v>
      </c>
      <c r="P587" s="40" t="str">
        <f>VLOOKUP(C587,Sheet1!$U$4:$V$14,2,FALSE)</f>
        <v>BH Trách nhiệm</v>
      </c>
      <c r="Q587" s="88">
        <f t="shared" si="8"/>
        <v>0</v>
      </c>
    </row>
    <row r="588" spans="1:17" x14ac:dyDescent="0.25">
      <c r="A588" s="85" t="s">
        <v>335</v>
      </c>
      <c r="B588" s="65" t="s">
        <v>193</v>
      </c>
      <c r="C588" s="65" t="s">
        <v>390</v>
      </c>
      <c r="D588" s="66">
        <v>0</v>
      </c>
      <c r="E588" s="65">
        <v>411000000</v>
      </c>
      <c r="F588" s="67">
        <v>0</v>
      </c>
      <c r="G588" s="68">
        <v>0</v>
      </c>
      <c r="H588" s="68">
        <v>0</v>
      </c>
      <c r="I588" s="68">
        <v>0</v>
      </c>
      <c r="J588" s="68">
        <v>0</v>
      </c>
      <c r="K588" s="68">
        <v>0</v>
      </c>
      <c r="L588" s="68">
        <v>0</v>
      </c>
      <c r="M588" s="68">
        <v>0</v>
      </c>
      <c r="N588" s="69">
        <v>0</v>
      </c>
      <c r="O588" s="65" t="str">
        <f>VLOOKUP(A588,Report_HQ1!$A$7:$C$95,3,FALSE)</f>
        <v>BV Ninh Thuận</v>
      </c>
      <c r="P588" s="40" t="e">
        <f>VLOOKUP(C588,Sheet1!$U$4:$V$14,2,FALSE)</f>
        <v>#N/A</v>
      </c>
      <c r="Q588" s="88">
        <f t="shared" ref="Q588:Q651" si="9">N588</f>
        <v>0</v>
      </c>
    </row>
    <row r="589" spans="1:17" x14ac:dyDescent="0.25">
      <c r="A589" s="85" t="s">
        <v>335</v>
      </c>
      <c r="B589" s="65" t="s">
        <v>193</v>
      </c>
      <c r="C589" s="65" t="s">
        <v>391</v>
      </c>
      <c r="D589" s="66">
        <v>108545921</v>
      </c>
      <c r="E589" s="65">
        <v>411000000</v>
      </c>
      <c r="F589" s="67">
        <v>4726481.5503753284</v>
      </c>
      <c r="G589" s="68">
        <v>0</v>
      </c>
      <c r="H589" s="68">
        <v>4726481.5503753284</v>
      </c>
      <c r="I589" s="68">
        <v>0</v>
      </c>
      <c r="J589" s="68">
        <v>10854593</v>
      </c>
      <c r="K589" s="68">
        <v>5427296</v>
      </c>
      <c r="L589" s="68">
        <v>9863543</v>
      </c>
      <c r="M589" s="68">
        <v>6512755</v>
      </c>
      <c r="N589" s="69">
        <v>37384668.550375327</v>
      </c>
      <c r="O589" s="65" t="str">
        <f>VLOOKUP(A589,Report_HQ1!$A$7:$C$95,3,FALSE)</f>
        <v>BV Ninh Thuận</v>
      </c>
      <c r="P589" s="40" t="str">
        <f>VLOOKUP(C589,Sheet1!$U$4:$V$14,2,FALSE)</f>
        <v>BH Kỹ thuật</v>
      </c>
      <c r="Q589" s="88">
        <f t="shared" si="9"/>
        <v>37384668.550375327</v>
      </c>
    </row>
    <row r="590" spans="1:17" x14ac:dyDescent="0.25">
      <c r="A590" s="85" t="s">
        <v>335</v>
      </c>
      <c r="B590" s="65" t="s">
        <v>193</v>
      </c>
      <c r="C590" s="65" t="s">
        <v>392</v>
      </c>
      <c r="D590" s="66">
        <v>554070273</v>
      </c>
      <c r="E590" s="65">
        <v>411000000</v>
      </c>
      <c r="F590" s="67">
        <v>24126221.407674283</v>
      </c>
      <c r="G590" s="68">
        <v>0</v>
      </c>
      <c r="H590" s="68">
        <v>24126221.407674283</v>
      </c>
      <c r="I590" s="68">
        <v>0</v>
      </c>
      <c r="J590" s="68">
        <v>47744246</v>
      </c>
      <c r="K590" s="68">
        <v>23872123</v>
      </c>
      <c r="L590" s="68">
        <v>41990001</v>
      </c>
      <c r="M590" s="68">
        <v>33244217</v>
      </c>
      <c r="N590" s="69">
        <v>170976808.40767428</v>
      </c>
      <c r="O590" s="65" t="str">
        <f>VLOOKUP(A590,Report_HQ1!$A$7:$C$95,3,FALSE)</f>
        <v>BV Ninh Thuận</v>
      </c>
      <c r="P590" s="40" t="str">
        <f>VLOOKUP(C590,Sheet1!$U$4:$V$14,2,FALSE)</f>
        <v>BH Tài sản</v>
      </c>
      <c r="Q590" s="88">
        <f t="shared" si="9"/>
        <v>170976808.40767428</v>
      </c>
    </row>
    <row r="591" spans="1:17" x14ac:dyDescent="0.25">
      <c r="A591" s="85" t="s">
        <v>335</v>
      </c>
      <c r="B591" s="65" t="s">
        <v>193</v>
      </c>
      <c r="C591" s="65" t="s">
        <v>393</v>
      </c>
      <c r="D591" s="66">
        <v>1557155669</v>
      </c>
      <c r="E591" s="65">
        <v>411000000</v>
      </c>
      <c r="F591" s="67">
        <v>67804183.453294873</v>
      </c>
      <c r="G591" s="68">
        <v>0</v>
      </c>
      <c r="H591" s="68">
        <v>67804183.453294873</v>
      </c>
      <c r="I591" s="68">
        <v>0</v>
      </c>
      <c r="J591" s="68">
        <v>141624943</v>
      </c>
      <c r="K591" s="68">
        <v>70812471</v>
      </c>
      <c r="L591" s="68">
        <v>183410948</v>
      </c>
      <c r="M591" s="68">
        <v>92310066</v>
      </c>
      <c r="N591" s="69">
        <v>555962611.45329487</v>
      </c>
      <c r="O591" s="65" t="str">
        <f>VLOOKUP(A591,Report_HQ1!$A$7:$C$95,3,FALSE)</f>
        <v>BV Ninh Thuận</v>
      </c>
      <c r="P591" s="40" t="str">
        <f>VLOOKUP(C591,Sheet1!$U$4:$V$14,2,FALSE)</f>
        <v>BH Xe cơ giới</v>
      </c>
      <c r="Q591" s="88">
        <f t="shared" si="9"/>
        <v>555962611.45329487</v>
      </c>
    </row>
    <row r="592" spans="1:17" x14ac:dyDescent="0.25">
      <c r="A592" s="85" t="s">
        <v>335</v>
      </c>
      <c r="B592" s="65" t="s">
        <v>193</v>
      </c>
      <c r="C592" s="65" t="s">
        <v>394</v>
      </c>
      <c r="D592" s="66">
        <v>4756639550</v>
      </c>
      <c r="E592" s="65">
        <v>411000000</v>
      </c>
      <c r="F592" s="67">
        <v>207121270.58980507</v>
      </c>
      <c r="G592" s="68">
        <v>0</v>
      </c>
      <c r="H592" s="68">
        <v>207121270.58980507</v>
      </c>
      <c r="I592" s="68">
        <v>1740000</v>
      </c>
      <c r="J592" s="68">
        <v>775553598</v>
      </c>
      <c r="K592" s="68">
        <v>82360000</v>
      </c>
      <c r="L592" s="68">
        <v>67315411</v>
      </c>
      <c r="M592" s="68">
        <v>276337825</v>
      </c>
      <c r="N592" s="69">
        <v>1410428104.5898051</v>
      </c>
      <c r="O592" s="65" t="str">
        <f>VLOOKUP(A592,Report_HQ1!$A$7:$C$95,3,FALSE)</f>
        <v>BV Ninh Thuận</v>
      </c>
      <c r="P592" s="40" t="str">
        <f>VLOOKUP(C592,Sheet1!$U$4:$V$14,2,FALSE)</f>
        <v>BH Con người</v>
      </c>
      <c r="Q592" s="88">
        <f t="shared" si="9"/>
        <v>1410428104.5898051</v>
      </c>
    </row>
    <row r="593" spans="1:17" x14ac:dyDescent="0.25">
      <c r="A593" s="85" t="s">
        <v>335</v>
      </c>
      <c r="B593" s="65" t="s">
        <v>193</v>
      </c>
      <c r="C593" s="65" t="s">
        <v>395</v>
      </c>
      <c r="D593" s="66">
        <v>0</v>
      </c>
      <c r="E593" s="65">
        <v>411000000</v>
      </c>
      <c r="F593" s="67">
        <v>0</v>
      </c>
      <c r="G593" s="68">
        <v>0</v>
      </c>
      <c r="H593" s="68">
        <v>0</v>
      </c>
      <c r="I593" s="68">
        <v>0</v>
      </c>
      <c r="J593" s="68">
        <v>0</v>
      </c>
      <c r="K593" s="68">
        <v>0</v>
      </c>
      <c r="L593" s="68">
        <v>0</v>
      </c>
      <c r="M593" s="68">
        <v>0</v>
      </c>
      <c r="N593" s="69">
        <v>0</v>
      </c>
      <c r="O593" s="65" t="str">
        <f>VLOOKUP(A593,Report_HQ1!$A$7:$C$95,3,FALSE)</f>
        <v>BV Ninh Thuận</v>
      </c>
      <c r="P593" s="40" t="e">
        <f>VLOOKUP(C593,Sheet1!$U$4:$V$14,2,FALSE)</f>
        <v>#N/A</v>
      </c>
      <c r="Q593" s="88">
        <f t="shared" si="9"/>
        <v>0</v>
      </c>
    </row>
    <row r="594" spans="1:17" x14ac:dyDescent="0.25">
      <c r="A594" s="85" t="s">
        <v>335</v>
      </c>
      <c r="B594" s="65" t="s">
        <v>193</v>
      </c>
      <c r="C594" s="65" t="s">
        <v>396</v>
      </c>
      <c r="D594" s="66">
        <v>294285675</v>
      </c>
      <c r="E594" s="65">
        <v>411000000</v>
      </c>
      <c r="F594" s="67">
        <v>12814261.472130768</v>
      </c>
      <c r="G594" s="68">
        <v>0</v>
      </c>
      <c r="H594" s="68">
        <v>12814261.472130768</v>
      </c>
      <c r="I594" s="68">
        <v>0</v>
      </c>
      <c r="J594" s="68">
        <v>58857135</v>
      </c>
      <c r="K594" s="68">
        <v>11771427</v>
      </c>
      <c r="L594" s="68">
        <v>-827824</v>
      </c>
      <c r="M594" s="68">
        <v>21986273</v>
      </c>
      <c r="N594" s="69">
        <v>104601272.47213078</v>
      </c>
      <c r="O594" s="65" t="str">
        <f>VLOOKUP(A594,Report_HQ1!$A$7:$C$95,3,FALSE)</f>
        <v>BV Ninh Thuận</v>
      </c>
      <c r="P594" s="40" t="str">
        <f>VLOOKUP(C594,Sheet1!$U$4:$V$14,2,FALSE)</f>
        <v>BH Y tế</v>
      </c>
      <c r="Q594" s="88">
        <f t="shared" si="9"/>
        <v>104601272.47213078</v>
      </c>
    </row>
    <row r="595" spans="1:17" x14ac:dyDescent="0.25">
      <c r="A595" s="85" t="s">
        <v>335</v>
      </c>
      <c r="B595" s="65" t="s">
        <v>193</v>
      </c>
      <c r="C595" s="65" t="s">
        <v>397</v>
      </c>
      <c r="D595" s="66">
        <v>24546750</v>
      </c>
      <c r="E595" s="65">
        <v>411000000</v>
      </c>
      <c r="F595" s="67">
        <v>1068854.1764427572</v>
      </c>
      <c r="G595" s="68">
        <v>0</v>
      </c>
      <c r="H595" s="68">
        <v>1068854.1764427572</v>
      </c>
      <c r="I595" s="68">
        <v>0</v>
      </c>
      <c r="J595" s="68">
        <v>4909350</v>
      </c>
      <c r="K595" s="68">
        <v>4909350</v>
      </c>
      <c r="L595" s="68">
        <v>0</v>
      </c>
      <c r="M595" s="68">
        <v>1963740</v>
      </c>
      <c r="N595" s="69">
        <v>12851294.176442757</v>
      </c>
      <c r="O595" s="65" t="str">
        <f>VLOOKUP(A595,Report_HQ1!$A$7:$C$95,3,FALSE)</f>
        <v>BV Ninh Thuận</v>
      </c>
      <c r="P595" s="40" t="str">
        <f>VLOOKUP(C595,Sheet1!$U$4:$V$14,2,FALSE)</f>
        <v>BH Du lịch</v>
      </c>
      <c r="Q595" s="88">
        <f t="shared" si="9"/>
        <v>12851294.176442757</v>
      </c>
    </row>
    <row r="596" spans="1:17" x14ac:dyDescent="0.25">
      <c r="A596" s="85" t="s">
        <v>338</v>
      </c>
      <c r="B596" s="65" t="s">
        <v>196</v>
      </c>
      <c r="C596" s="65" t="s">
        <v>387</v>
      </c>
      <c r="D596" s="66">
        <v>401670092</v>
      </c>
      <c r="E596" s="65">
        <v>1234997062</v>
      </c>
      <c r="F596" s="67">
        <v>27622376.210063055</v>
      </c>
      <c r="G596" s="68">
        <v>0</v>
      </c>
      <c r="H596" s="68">
        <v>27622376.210063055</v>
      </c>
      <c r="I596" s="68">
        <v>0</v>
      </c>
      <c r="J596" s="68">
        <v>40167009</v>
      </c>
      <c r="K596" s="68">
        <v>20083504</v>
      </c>
      <c r="L596" s="68">
        <v>16066803</v>
      </c>
      <c r="M596" s="68">
        <v>32133608</v>
      </c>
      <c r="N596" s="69">
        <v>136073300.21006304</v>
      </c>
      <c r="O596" s="65" t="str">
        <f>VLOOKUP(A596,Report_HQ1!$A$7:$C$95,3,FALSE)</f>
        <v>BV Phú Thọ</v>
      </c>
      <c r="P596" s="40" t="str">
        <f>VLOOKUP(C596,Sheet1!$U$4:$V$14,2,FALSE)</f>
        <v>BH Hàng hóa</v>
      </c>
      <c r="Q596" s="88">
        <f t="shared" si="9"/>
        <v>136073300.21006304</v>
      </c>
    </row>
    <row r="597" spans="1:17" x14ac:dyDescent="0.25">
      <c r="A597" s="85" t="s">
        <v>338</v>
      </c>
      <c r="B597" s="65" t="s">
        <v>196</v>
      </c>
      <c r="C597" s="65" t="s">
        <v>272</v>
      </c>
      <c r="D597" s="66">
        <v>0</v>
      </c>
      <c r="E597" s="65">
        <v>1234997062</v>
      </c>
      <c r="F597" s="67">
        <v>0</v>
      </c>
      <c r="G597" s="68">
        <v>0</v>
      </c>
      <c r="H597" s="68">
        <v>0</v>
      </c>
      <c r="I597" s="68">
        <v>0</v>
      </c>
      <c r="J597" s="68">
        <v>0</v>
      </c>
      <c r="K597" s="68">
        <v>0</v>
      </c>
      <c r="L597" s="68">
        <v>0</v>
      </c>
      <c r="M597" s="68">
        <v>0</v>
      </c>
      <c r="N597" s="69">
        <v>0</v>
      </c>
      <c r="O597" s="65" t="str">
        <f>VLOOKUP(A597,Report_HQ1!$A$7:$C$95,3,FALSE)</f>
        <v>BV Phú Thọ</v>
      </c>
      <c r="P597" s="40" t="str">
        <f>VLOOKUP(C597,Sheet1!$U$4:$V$14,2,FALSE)</f>
        <v>Tàu khác</v>
      </c>
      <c r="Q597" s="88">
        <f t="shared" si="9"/>
        <v>0</v>
      </c>
    </row>
    <row r="598" spans="1:17" x14ac:dyDescent="0.25">
      <c r="A598" s="85" t="s">
        <v>338</v>
      </c>
      <c r="B598" s="65" t="s">
        <v>196</v>
      </c>
      <c r="C598" s="65" t="s">
        <v>388</v>
      </c>
      <c r="D598" s="66">
        <v>0</v>
      </c>
      <c r="E598" s="65">
        <v>1234997062</v>
      </c>
      <c r="F598" s="67">
        <v>0</v>
      </c>
      <c r="G598" s="68">
        <v>0</v>
      </c>
      <c r="H598" s="68">
        <v>0</v>
      </c>
      <c r="I598" s="68">
        <v>0</v>
      </c>
      <c r="J598" s="68">
        <v>0</v>
      </c>
      <c r="K598" s="68">
        <v>0</v>
      </c>
      <c r="L598" s="68">
        <v>0</v>
      </c>
      <c r="M598" s="68">
        <v>0</v>
      </c>
      <c r="N598" s="69">
        <v>0</v>
      </c>
      <c r="O598" s="65" t="str">
        <f>VLOOKUP(A598,Report_HQ1!$A$7:$C$95,3,FALSE)</f>
        <v>BV Phú Thọ</v>
      </c>
      <c r="P598" s="40" t="str">
        <f>VLOOKUP(C598,Sheet1!$U$4:$V$14,2,FALSE)</f>
        <v>Hull (Thân tàu biển)</v>
      </c>
      <c r="Q598" s="88">
        <f t="shared" si="9"/>
        <v>0</v>
      </c>
    </row>
    <row r="599" spans="1:17" x14ac:dyDescent="0.25">
      <c r="A599" s="85" t="s">
        <v>338</v>
      </c>
      <c r="B599" s="65" t="s">
        <v>196</v>
      </c>
      <c r="C599" s="65" t="s">
        <v>23</v>
      </c>
      <c r="D599" s="66">
        <v>1415561479</v>
      </c>
      <c r="E599" s="65">
        <v>1234997062</v>
      </c>
      <c r="F599" s="67">
        <v>97346485.337552279</v>
      </c>
      <c r="G599" s="68">
        <v>0</v>
      </c>
      <c r="H599" s="68">
        <v>97346485.337552279</v>
      </c>
      <c r="I599" s="68">
        <v>0</v>
      </c>
      <c r="J599" s="68">
        <v>70778074</v>
      </c>
      <c r="K599" s="68">
        <v>35389037</v>
      </c>
      <c r="L599" s="68">
        <v>0</v>
      </c>
      <c r="M599" s="68">
        <v>42466844</v>
      </c>
      <c r="N599" s="69">
        <v>245980440.33755228</v>
      </c>
      <c r="O599" s="65" t="str">
        <f>VLOOKUP(A599,Report_HQ1!$A$7:$C$95,3,FALSE)</f>
        <v>BV Phú Thọ</v>
      </c>
      <c r="P599" s="40" t="str">
        <f>VLOOKUP(C599,Sheet1!$U$4:$V$14,2,FALSE)</f>
        <v>P&amp;I</v>
      </c>
      <c r="Q599" s="88">
        <f t="shared" si="9"/>
        <v>245980440.33755228</v>
      </c>
    </row>
    <row r="600" spans="1:17" x14ac:dyDescent="0.25">
      <c r="A600" s="85" t="s">
        <v>338</v>
      </c>
      <c r="B600" s="65" t="s">
        <v>196</v>
      </c>
      <c r="C600" s="65" t="s">
        <v>389</v>
      </c>
      <c r="D600" s="66">
        <v>303486460</v>
      </c>
      <c r="E600" s="65">
        <v>1234997062</v>
      </c>
      <c r="F600" s="67">
        <v>20870404.194246687</v>
      </c>
      <c r="G600" s="68">
        <v>0</v>
      </c>
      <c r="H600" s="68">
        <v>20870404.194246687</v>
      </c>
      <c r="I600" s="68">
        <v>0</v>
      </c>
      <c r="J600" s="68">
        <v>15174323</v>
      </c>
      <c r="K600" s="68">
        <v>7674323</v>
      </c>
      <c r="L600" s="68">
        <v>23057834</v>
      </c>
      <c r="M600" s="68">
        <v>24209188</v>
      </c>
      <c r="N600" s="69">
        <v>90986072.19424668</v>
      </c>
      <c r="O600" s="65" t="str">
        <f>VLOOKUP(A600,Report_HQ1!$A$7:$C$95,3,FALSE)</f>
        <v>BV Phú Thọ</v>
      </c>
      <c r="P600" s="40" t="str">
        <f>VLOOKUP(C600,Sheet1!$U$4:$V$14,2,FALSE)</f>
        <v>BH Trách nhiệm</v>
      </c>
      <c r="Q600" s="88">
        <f t="shared" si="9"/>
        <v>90986072.19424668</v>
      </c>
    </row>
    <row r="601" spans="1:17" x14ac:dyDescent="0.25">
      <c r="A601" s="85" t="s">
        <v>338</v>
      </c>
      <c r="B601" s="65" t="s">
        <v>196</v>
      </c>
      <c r="C601" s="65" t="s">
        <v>390</v>
      </c>
      <c r="D601" s="66">
        <v>0</v>
      </c>
      <c r="E601" s="65">
        <v>1234997062</v>
      </c>
      <c r="F601" s="67">
        <v>0</v>
      </c>
      <c r="G601" s="68">
        <v>0</v>
      </c>
      <c r="H601" s="68">
        <v>0</v>
      </c>
      <c r="I601" s="68">
        <v>0</v>
      </c>
      <c r="J601" s="68">
        <v>0</v>
      </c>
      <c r="K601" s="68">
        <v>0</v>
      </c>
      <c r="L601" s="68">
        <v>0</v>
      </c>
      <c r="M601" s="68">
        <v>0</v>
      </c>
      <c r="N601" s="69">
        <v>0</v>
      </c>
      <c r="O601" s="65" t="str">
        <f>VLOOKUP(A601,Report_HQ1!$A$7:$C$95,3,FALSE)</f>
        <v>BV Phú Thọ</v>
      </c>
      <c r="P601" s="40" t="e">
        <f>VLOOKUP(C601,Sheet1!$U$4:$V$14,2,FALSE)</f>
        <v>#N/A</v>
      </c>
      <c r="Q601" s="88">
        <f t="shared" si="9"/>
        <v>0</v>
      </c>
    </row>
    <row r="602" spans="1:17" x14ac:dyDescent="0.25">
      <c r="A602" s="85" t="s">
        <v>338</v>
      </c>
      <c r="B602" s="65" t="s">
        <v>196</v>
      </c>
      <c r="C602" s="65" t="s">
        <v>391</v>
      </c>
      <c r="D602" s="66">
        <v>839402128</v>
      </c>
      <c r="E602" s="65">
        <v>1234997062</v>
      </c>
      <c r="F602" s="67">
        <v>57724689.572216161</v>
      </c>
      <c r="G602" s="68">
        <v>0</v>
      </c>
      <c r="H602" s="68">
        <v>57724689.572216161</v>
      </c>
      <c r="I602" s="68">
        <v>0</v>
      </c>
      <c r="J602" s="68">
        <v>49660860</v>
      </c>
      <c r="K602" s="68">
        <v>24830431</v>
      </c>
      <c r="L602" s="68">
        <v>41138790</v>
      </c>
      <c r="M602" s="68">
        <v>37000492</v>
      </c>
      <c r="N602" s="69">
        <v>210355262.57221615</v>
      </c>
      <c r="O602" s="65" t="str">
        <f>VLOOKUP(A602,Report_HQ1!$A$7:$C$95,3,FALSE)</f>
        <v>BV Phú Thọ</v>
      </c>
      <c r="P602" s="40" t="str">
        <f>VLOOKUP(C602,Sheet1!$U$4:$V$14,2,FALSE)</f>
        <v>BH Kỹ thuật</v>
      </c>
      <c r="Q602" s="88">
        <f t="shared" si="9"/>
        <v>210355262.57221615</v>
      </c>
    </row>
    <row r="603" spans="1:17" x14ac:dyDescent="0.25">
      <c r="A603" s="85" t="s">
        <v>338</v>
      </c>
      <c r="B603" s="65" t="s">
        <v>196</v>
      </c>
      <c r="C603" s="65" t="s">
        <v>392</v>
      </c>
      <c r="D603" s="66">
        <v>4050679984</v>
      </c>
      <c r="E603" s="65">
        <v>1234997062</v>
      </c>
      <c r="F603" s="67">
        <v>278560462.06352901</v>
      </c>
      <c r="G603" s="68">
        <v>0</v>
      </c>
      <c r="H603" s="68">
        <v>278560462.06352901</v>
      </c>
      <c r="I603" s="68">
        <v>0</v>
      </c>
      <c r="J603" s="68">
        <v>170096893</v>
      </c>
      <c r="K603" s="68">
        <v>85048446</v>
      </c>
      <c r="L603" s="68">
        <v>282819011</v>
      </c>
      <c r="M603" s="68">
        <v>202468425</v>
      </c>
      <c r="N603" s="69">
        <v>1018993237.063529</v>
      </c>
      <c r="O603" s="65" t="str">
        <f>VLOOKUP(A603,Report_HQ1!$A$7:$C$95,3,FALSE)</f>
        <v>BV Phú Thọ</v>
      </c>
      <c r="P603" s="40" t="str">
        <f>VLOOKUP(C603,Sheet1!$U$4:$V$14,2,FALSE)</f>
        <v>BH Tài sản</v>
      </c>
      <c r="Q603" s="88">
        <f t="shared" si="9"/>
        <v>1018993237.063529</v>
      </c>
    </row>
    <row r="604" spans="1:17" x14ac:dyDescent="0.25">
      <c r="A604" s="85" t="s">
        <v>338</v>
      </c>
      <c r="B604" s="65" t="s">
        <v>196</v>
      </c>
      <c r="C604" s="65" t="s">
        <v>393</v>
      </c>
      <c r="D604" s="66">
        <v>4600375259</v>
      </c>
      <c r="E604" s="65">
        <v>1234997062</v>
      </c>
      <c r="F604" s="67">
        <v>316362354.68476021</v>
      </c>
      <c r="G604" s="68">
        <v>0</v>
      </c>
      <c r="H604" s="68">
        <v>316362354.68476021</v>
      </c>
      <c r="I604" s="68">
        <v>0</v>
      </c>
      <c r="J604" s="68">
        <v>416536433</v>
      </c>
      <c r="K604" s="68">
        <v>208268217</v>
      </c>
      <c r="L604" s="68">
        <v>366383770</v>
      </c>
      <c r="M604" s="68">
        <v>272981400</v>
      </c>
      <c r="N604" s="69">
        <v>1580532174.6847601</v>
      </c>
      <c r="O604" s="65" t="str">
        <f>VLOOKUP(A604,Report_HQ1!$A$7:$C$95,3,FALSE)</f>
        <v>BV Phú Thọ</v>
      </c>
      <c r="P604" s="40" t="str">
        <f>VLOOKUP(C604,Sheet1!$U$4:$V$14,2,FALSE)</f>
        <v>BH Xe cơ giới</v>
      </c>
      <c r="Q604" s="88">
        <f t="shared" si="9"/>
        <v>1580532174.6847601</v>
      </c>
    </row>
    <row r="605" spans="1:17" x14ac:dyDescent="0.25">
      <c r="A605" s="85" t="s">
        <v>338</v>
      </c>
      <c r="B605" s="65" t="s">
        <v>196</v>
      </c>
      <c r="C605" s="65" t="s">
        <v>394</v>
      </c>
      <c r="D605" s="66">
        <v>1543239304</v>
      </c>
      <c r="E605" s="65">
        <v>1234997062</v>
      </c>
      <c r="F605" s="67">
        <v>106126738.05259037</v>
      </c>
      <c r="G605" s="68">
        <v>0</v>
      </c>
      <c r="H605" s="68">
        <v>106126738.05259037</v>
      </c>
      <c r="I605" s="68">
        <v>66850</v>
      </c>
      <c r="J605" s="68">
        <v>228125406</v>
      </c>
      <c r="K605" s="68">
        <v>1087500</v>
      </c>
      <c r="L605" s="68">
        <v>38983986</v>
      </c>
      <c r="M605" s="68">
        <v>73922456</v>
      </c>
      <c r="N605" s="69">
        <v>448312936.05259037</v>
      </c>
      <c r="O605" s="65" t="str">
        <f>VLOOKUP(A605,Report_HQ1!$A$7:$C$95,3,FALSE)</f>
        <v>BV Phú Thọ</v>
      </c>
      <c r="P605" s="40" t="str">
        <f>VLOOKUP(C605,Sheet1!$U$4:$V$14,2,FALSE)</f>
        <v>BH Con người</v>
      </c>
      <c r="Q605" s="88">
        <f t="shared" si="9"/>
        <v>448312936.05259037</v>
      </c>
    </row>
    <row r="606" spans="1:17" x14ac:dyDescent="0.25">
      <c r="A606" s="85" t="s">
        <v>338</v>
      </c>
      <c r="B606" s="65" t="s">
        <v>196</v>
      </c>
      <c r="C606" s="65" t="s">
        <v>395</v>
      </c>
      <c r="D606" s="66">
        <v>0</v>
      </c>
      <c r="E606" s="65">
        <v>1234997062</v>
      </c>
      <c r="F606" s="67">
        <v>0</v>
      </c>
      <c r="G606" s="68">
        <v>0</v>
      </c>
      <c r="H606" s="68">
        <v>0</v>
      </c>
      <c r="I606" s="68">
        <v>0</v>
      </c>
      <c r="J606" s="68">
        <v>0</v>
      </c>
      <c r="K606" s="68">
        <v>0</v>
      </c>
      <c r="L606" s="68">
        <v>0</v>
      </c>
      <c r="M606" s="68">
        <v>0</v>
      </c>
      <c r="N606" s="69">
        <v>0</v>
      </c>
      <c r="O606" s="65" t="str">
        <f>VLOOKUP(A606,Report_HQ1!$A$7:$C$95,3,FALSE)</f>
        <v>BV Phú Thọ</v>
      </c>
      <c r="P606" s="40" t="e">
        <f>VLOOKUP(C606,Sheet1!$U$4:$V$14,2,FALSE)</f>
        <v>#N/A</v>
      </c>
      <c r="Q606" s="88">
        <f t="shared" si="9"/>
        <v>0</v>
      </c>
    </row>
    <row r="607" spans="1:17" x14ac:dyDescent="0.25">
      <c r="A607" s="85" t="s">
        <v>338</v>
      </c>
      <c r="B607" s="65" t="s">
        <v>196</v>
      </c>
      <c r="C607" s="65" t="s">
        <v>396</v>
      </c>
      <c r="D607" s="66">
        <v>4780763747</v>
      </c>
      <c r="E607" s="65">
        <v>1234997062</v>
      </c>
      <c r="F607" s="67">
        <v>328767457.22722298</v>
      </c>
      <c r="G607" s="68">
        <v>0</v>
      </c>
      <c r="H607" s="68">
        <v>328767457.22722298</v>
      </c>
      <c r="I607" s="68">
        <v>0</v>
      </c>
      <c r="J607" s="68">
        <v>409482149</v>
      </c>
      <c r="K607" s="68">
        <v>91276930</v>
      </c>
      <c r="L607" s="68">
        <v>19494816</v>
      </c>
      <c r="M607" s="68">
        <v>169047520</v>
      </c>
      <c r="N607" s="69">
        <v>1018068872.2272229</v>
      </c>
      <c r="O607" s="65" t="str">
        <f>VLOOKUP(A607,Report_HQ1!$A$7:$C$95,3,FALSE)</f>
        <v>BV Phú Thọ</v>
      </c>
      <c r="P607" s="40" t="str">
        <f>VLOOKUP(C607,Sheet1!$U$4:$V$14,2,FALSE)</f>
        <v>BH Y tế</v>
      </c>
      <c r="Q607" s="88">
        <f t="shared" si="9"/>
        <v>1018068872.2272229</v>
      </c>
    </row>
    <row r="608" spans="1:17" x14ac:dyDescent="0.25">
      <c r="A608" s="85" t="s">
        <v>338</v>
      </c>
      <c r="B608" s="65" t="s">
        <v>196</v>
      </c>
      <c r="C608" s="65" t="s">
        <v>397</v>
      </c>
      <c r="D608" s="66">
        <v>23500400</v>
      </c>
      <c r="E608" s="65">
        <v>1234997062</v>
      </c>
      <c r="F608" s="67">
        <v>1616094.657819248</v>
      </c>
      <c r="G608" s="68">
        <v>0</v>
      </c>
      <c r="H608" s="68">
        <v>1616094.657819248</v>
      </c>
      <c r="I608" s="68">
        <v>0</v>
      </c>
      <c r="J608" s="68">
        <v>4700080</v>
      </c>
      <c r="K608" s="68">
        <v>4700080</v>
      </c>
      <c r="L608" s="68">
        <v>0</v>
      </c>
      <c r="M608" s="68">
        <v>1880032</v>
      </c>
      <c r="N608" s="69">
        <v>12896286.657819249</v>
      </c>
      <c r="O608" s="65" t="str">
        <f>VLOOKUP(A608,Report_HQ1!$A$7:$C$95,3,FALSE)</f>
        <v>BV Phú Thọ</v>
      </c>
      <c r="P608" s="40" t="str">
        <f>VLOOKUP(C608,Sheet1!$U$4:$V$14,2,FALSE)</f>
        <v>BH Du lịch</v>
      </c>
      <c r="Q608" s="88">
        <f t="shared" si="9"/>
        <v>12896286.657819249</v>
      </c>
    </row>
    <row r="609" spans="1:17" x14ac:dyDescent="0.25">
      <c r="A609" s="85" t="s">
        <v>339</v>
      </c>
      <c r="B609" s="65" t="s">
        <v>197</v>
      </c>
      <c r="C609" s="65" t="s">
        <v>387</v>
      </c>
      <c r="D609" s="66">
        <v>101866691</v>
      </c>
      <c r="E609" s="65">
        <v>548750000</v>
      </c>
      <c r="F609" s="67">
        <v>7614818.7361898301</v>
      </c>
      <c r="G609" s="68">
        <v>0</v>
      </c>
      <c r="H609" s="68">
        <v>7614818.7361898301</v>
      </c>
      <c r="I609" s="68">
        <v>0</v>
      </c>
      <c r="J609" s="68">
        <v>15280004</v>
      </c>
      <c r="K609" s="68">
        <v>0</v>
      </c>
      <c r="L609" s="68">
        <v>2546667</v>
      </c>
      <c r="M609" s="68">
        <v>8149335</v>
      </c>
      <c r="N609" s="69">
        <v>33590824.736189827</v>
      </c>
      <c r="O609" s="65" t="str">
        <f>VLOOKUP(A609,Report_HQ1!$A$7:$C$95,3,FALSE)</f>
        <v>BV Phú Yên</v>
      </c>
      <c r="P609" s="40" t="str">
        <f>VLOOKUP(C609,Sheet1!$U$4:$V$14,2,FALSE)</f>
        <v>BH Hàng hóa</v>
      </c>
      <c r="Q609" s="88">
        <f t="shared" si="9"/>
        <v>33590824.736189827</v>
      </c>
    </row>
    <row r="610" spans="1:17" x14ac:dyDescent="0.25">
      <c r="A610" s="85" t="s">
        <v>339</v>
      </c>
      <c r="B610" s="65" t="s">
        <v>197</v>
      </c>
      <c r="C610" s="65" t="s">
        <v>272</v>
      </c>
      <c r="D610" s="66">
        <v>696299200</v>
      </c>
      <c r="E610" s="65">
        <v>548750000</v>
      </c>
      <c r="F610" s="67">
        <v>52050303.608605385</v>
      </c>
      <c r="G610" s="68">
        <v>0</v>
      </c>
      <c r="H610" s="68">
        <v>52050303.608605385</v>
      </c>
      <c r="I610" s="68">
        <v>3009081</v>
      </c>
      <c r="J610" s="68">
        <v>104444880</v>
      </c>
      <c r="K610" s="68">
        <v>48740944</v>
      </c>
      <c r="L610" s="68">
        <v>6962992</v>
      </c>
      <c r="M610" s="68">
        <v>55703936</v>
      </c>
      <c r="N610" s="69">
        <v>270912136.60860538</v>
      </c>
      <c r="O610" s="65" t="str">
        <f>VLOOKUP(A610,Report_HQ1!$A$7:$C$95,3,FALSE)</f>
        <v>BV Phú Yên</v>
      </c>
      <c r="P610" s="40" t="str">
        <f>VLOOKUP(C610,Sheet1!$U$4:$V$14,2,FALSE)</f>
        <v>Tàu khác</v>
      </c>
      <c r="Q610" s="88">
        <f t="shared" si="9"/>
        <v>270912136.60860538</v>
      </c>
    </row>
    <row r="611" spans="1:17" x14ac:dyDescent="0.25">
      <c r="A611" s="85" t="s">
        <v>339</v>
      </c>
      <c r="B611" s="65" t="s">
        <v>197</v>
      </c>
      <c r="C611" s="65" t="s">
        <v>388</v>
      </c>
      <c r="D611" s="66">
        <v>0</v>
      </c>
      <c r="E611" s="65">
        <v>548750000</v>
      </c>
      <c r="F611" s="67">
        <v>0</v>
      </c>
      <c r="G611" s="68">
        <v>0</v>
      </c>
      <c r="H611" s="68">
        <v>0</v>
      </c>
      <c r="I611" s="68">
        <v>0</v>
      </c>
      <c r="J611" s="68">
        <v>0</v>
      </c>
      <c r="K611" s="68">
        <v>0</v>
      </c>
      <c r="L611" s="68">
        <v>0</v>
      </c>
      <c r="M611" s="68">
        <v>0</v>
      </c>
      <c r="N611" s="69">
        <v>0</v>
      </c>
      <c r="O611" s="65" t="str">
        <f>VLOOKUP(A611,Report_HQ1!$A$7:$C$95,3,FALSE)</f>
        <v>BV Phú Yên</v>
      </c>
      <c r="P611" s="40" t="str">
        <f>VLOOKUP(C611,Sheet1!$U$4:$V$14,2,FALSE)</f>
        <v>Hull (Thân tàu biển)</v>
      </c>
      <c r="Q611" s="88">
        <f t="shared" si="9"/>
        <v>0</v>
      </c>
    </row>
    <row r="612" spans="1:17" x14ac:dyDescent="0.25">
      <c r="A612" s="85" t="s">
        <v>339</v>
      </c>
      <c r="B612" s="65" t="s">
        <v>197</v>
      </c>
      <c r="C612" s="65" t="s">
        <v>23</v>
      </c>
      <c r="D612" s="66">
        <v>0</v>
      </c>
      <c r="E612" s="65">
        <v>548750000</v>
      </c>
      <c r="F612" s="67">
        <v>0</v>
      </c>
      <c r="G612" s="68">
        <v>0</v>
      </c>
      <c r="H612" s="68">
        <v>0</v>
      </c>
      <c r="I612" s="68">
        <v>0</v>
      </c>
      <c r="J612" s="68">
        <v>0</v>
      </c>
      <c r="K612" s="68">
        <v>0</v>
      </c>
      <c r="L612" s="68">
        <v>0</v>
      </c>
      <c r="M612" s="68">
        <v>0</v>
      </c>
      <c r="N612" s="69">
        <v>0</v>
      </c>
      <c r="O612" s="65" t="str">
        <f>VLOOKUP(A612,Report_HQ1!$A$7:$C$95,3,FALSE)</f>
        <v>BV Phú Yên</v>
      </c>
      <c r="P612" s="40" t="str">
        <f>VLOOKUP(C612,Sheet1!$U$4:$V$14,2,FALSE)</f>
        <v>P&amp;I</v>
      </c>
      <c r="Q612" s="88">
        <f t="shared" si="9"/>
        <v>0</v>
      </c>
    </row>
    <row r="613" spans="1:17" x14ac:dyDescent="0.25">
      <c r="A613" s="85" t="s">
        <v>339</v>
      </c>
      <c r="B613" s="65" t="s">
        <v>197</v>
      </c>
      <c r="C613" s="65" t="s">
        <v>389</v>
      </c>
      <c r="D613" s="66">
        <v>2562500</v>
      </c>
      <c r="E613" s="65">
        <v>548750000</v>
      </c>
      <c r="F613" s="67">
        <v>191554.00867479283</v>
      </c>
      <c r="G613" s="68">
        <v>0</v>
      </c>
      <c r="H613" s="68">
        <v>191554.00867479283</v>
      </c>
      <c r="I613" s="68">
        <v>0</v>
      </c>
      <c r="J613" s="68">
        <v>128125</v>
      </c>
      <c r="K613" s="68">
        <v>64063</v>
      </c>
      <c r="L613" s="68">
        <v>192188</v>
      </c>
      <c r="M613" s="68">
        <v>205000</v>
      </c>
      <c r="N613" s="69">
        <v>780930.00867479283</v>
      </c>
      <c r="O613" s="65" t="str">
        <f>VLOOKUP(A613,Report_HQ1!$A$7:$C$95,3,FALSE)</f>
        <v>BV Phú Yên</v>
      </c>
      <c r="P613" s="40" t="str">
        <f>VLOOKUP(C613,Sheet1!$U$4:$V$14,2,FALSE)</f>
        <v>BH Trách nhiệm</v>
      </c>
      <c r="Q613" s="88">
        <f t="shared" si="9"/>
        <v>780930.00867479283</v>
      </c>
    </row>
    <row r="614" spans="1:17" x14ac:dyDescent="0.25">
      <c r="A614" s="85" t="s">
        <v>339</v>
      </c>
      <c r="B614" s="65" t="s">
        <v>197</v>
      </c>
      <c r="C614" s="65" t="s">
        <v>390</v>
      </c>
      <c r="D614" s="66">
        <v>0</v>
      </c>
      <c r="E614" s="65">
        <v>548750000</v>
      </c>
      <c r="F614" s="67">
        <v>0</v>
      </c>
      <c r="G614" s="68">
        <v>0</v>
      </c>
      <c r="H614" s="68">
        <v>0</v>
      </c>
      <c r="I614" s="68">
        <v>0</v>
      </c>
      <c r="J614" s="68">
        <v>0</v>
      </c>
      <c r="K614" s="68">
        <v>0</v>
      </c>
      <c r="L614" s="68">
        <v>0</v>
      </c>
      <c r="M614" s="68">
        <v>0</v>
      </c>
      <c r="N614" s="69">
        <v>0</v>
      </c>
      <c r="O614" s="65" t="str">
        <f>VLOOKUP(A614,Report_HQ1!$A$7:$C$95,3,FALSE)</f>
        <v>BV Phú Yên</v>
      </c>
      <c r="P614" s="40" t="e">
        <f>VLOOKUP(C614,Sheet1!$U$4:$V$14,2,FALSE)</f>
        <v>#N/A</v>
      </c>
      <c r="Q614" s="88">
        <f t="shared" si="9"/>
        <v>0</v>
      </c>
    </row>
    <row r="615" spans="1:17" x14ac:dyDescent="0.25">
      <c r="A615" s="85" t="s">
        <v>339</v>
      </c>
      <c r="B615" s="65" t="s">
        <v>197</v>
      </c>
      <c r="C615" s="65" t="s">
        <v>391</v>
      </c>
      <c r="D615" s="66">
        <v>81955454</v>
      </c>
      <c r="E615" s="65">
        <v>548750000</v>
      </c>
      <c r="F615" s="67">
        <v>6126398.3400829593</v>
      </c>
      <c r="G615" s="68">
        <v>0</v>
      </c>
      <c r="H615" s="68">
        <v>6126398.3400829593</v>
      </c>
      <c r="I615" s="68">
        <v>0</v>
      </c>
      <c r="J615" s="68">
        <v>0</v>
      </c>
      <c r="K615" s="68">
        <v>0</v>
      </c>
      <c r="L615" s="68">
        <v>20488864</v>
      </c>
      <c r="M615" s="68">
        <v>4917327</v>
      </c>
      <c r="N615" s="69">
        <v>31532589.340082958</v>
      </c>
      <c r="O615" s="65" t="str">
        <f>VLOOKUP(A615,Report_HQ1!$A$7:$C$95,3,FALSE)</f>
        <v>BV Phú Yên</v>
      </c>
      <c r="P615" s="40" t="str">
        <f>VLOOKUP(C615,Sheet1!$U$4:$V$14,2,FALSE)</f>
        <v>BH Kỹ thuật</v>
      </c>
      <c r="Q615" s="88">
        <f t="shared" si="9"/>
        <v>31532589.340082958</v>
      </c>
    </row>
    <row r="616" spans="1:17" x14ac:dyDescent="0.25">
      <c r="A616" s="85" t="s">
        <v>339</v>
      </c>
      <c r="B616" s="65" t="s">
        <v>197</v>
      </c>
      <c r="C616" s="65" t="s">
        <v>392</v>
      </c>
      <c r="D616" s="66">
        <v>617606190</v>
      </c>
      <c r="E616" s="65">
        <v>548750000</v>
      </c>
      <c r="F616" s="67">
        <v>46167782.039752491</v>
      </c>
      <c r="G616" s="68">
        <v>0</v>
      </c>
      <c r="H616" s="68">
        <v>46167782.039752491</v>
      </c>
      <c r="I616" s="68">
        <v>0</v>
      </c>
      <c r="J616" s="68">
        <v>54987550</v>
      </c>
      <c r="K616" s="68">
        <v>9623783</v>
      </c>
      <c r="L616" s="68">
        <v>54157674</v>
      </c>
      <c r="M616" s="68">
        <v>29246523</v>
      </c>
      <c r="N616" s="69">
        <v>194183312.03975248</v>
      </c>
      <c r="O616" s="65" t="str">
        <f>VLOOKUP(A616,Report_HQ1!$A$7:$C$95,3,FALSE)</f>
        <v>BV Phú Yên</v>
      </c>
      <c r="P616" s="40" t="str">
        <f>VLOOKUP(C616,Sheet1!$U$4:$V$14,2,FALSE)</f>
        <v>BH Tài sản</v>
      </c>
      <c r="Q616" s="88">
        <f t="shared" si="9"/>
        <v>194183312.03975248</v>
      </c>
    </row>
    <row r="617" spans="1:17" x14ac:dyDescent="0.25">
      <c r="A617" s="85" t="s">
        <v>339</v>
      </c>
      <c r="B617" s="65" t="s">
        <v>197</v>
      </c>
      <c r="C617" s="65" t="s">
        <v>393</v>
      </c>
      <c r="D617" s="66">
        <v>2603471447</v>
      </c>
      <c r="E617" s="65">
        <v>548750000</v>
      </c>
      <c r="F617" s="67">
        <v>194616738.39735156</v>
      </c>
      <c r="G617" s="68">
        <v>0</v>
      </c>
      <c r="H617" s="68">
        <v>194616738.39735156</v>
      </c>
      <c r="I617" s="68">
        <v>0</v>
      </c>
      <c r="J617" s="68">
        <v>246010327</v>
      </c>
      <c r="K617" s="68">
        <v>123005163</v>
      </c>
      <c r="L617" s="68">
        <v>302773568</v>
      </c>
      <c r="M617" s="68">
        <v>154611865</v>
      </c>
      <c r="N617" s="69">
        <v>1021017661.3973515</v>
      </c>
      <c r="O617" s="65" t="str">
        <f>VLOOKUP(A617,Report_HQ1!$A$7:$C$95,3,FALSE)</f>
        <v>BV Phú Yên</v>
      </c>
      <c r="P617" s="40" t="str">
        <f>VLOOKUP(C617,Sheet1!$U$4:$V$14,2,FALSE)</f>
        <v>BH Xe cơ giới</v>
      </c>
      <c r="Q617" s="88">
        <f t="shared" si="9"/>
        <v>1021017661.3973515</v>
      </c>
    </row>
    <row r="618" spans="1:17" x14ac:dyDescent="0.25">
      <c r="A618" s="85" t="s">
        <v>339</v>
      </c>
      <c r="B618" s="65" t="s">
        <v>197</v>
      </c>
      <c r="C618" s="65" t="s">
        <v>394</v>
      </c>
      <c r="D618" s="66">
        <v>2538919500</v>
      </c>
      <c r="E618" s="65">
        <v>548750000</v>
      </c>
      <c r="F618" s="67">
        <v>189791300.65467343</v>
      </c>
      <c r="G618" s="68">
        <v>0</v>
      </c>
      <c r="H618" s="68">
        <v>189791300.65467343</v>
      </c>
      <c r="I618" s="68">
        <v>0</v>
      </c>
      <c r="J618" s="68">
        <v>383786833</v>
      </c>
      <c r="K618" s="68">
        <v>4218303</v>
      </c>
      <c r="L618" s="68">
        <v>115100760</v>
      </c>
      <c r="M618" s="68">
        <v>130058212</v>
      </c>
      <c r="N618" s="69">
        <v>822955408.65467346</v>
      </c>
      <c r="O618" s="65" t="str">
        <f>VLOOKUP(A618,Report_HQ1!$A$7:$C$95,3,FALSE)</f>
        <v>BV Phú Yên</v>
      </c>
      <c r="P618" s="40" t="str">
        <f>VLOOKUP(C618,Sheet1!$U$4:$V$14,2,FALSE)</f>
        <v>BH Con người</v>
      </c>
      <c r="Q618" s="88">
        <f t="shared" si="9"/>
        <v>822955408.65467346</v>
      </c>
    </row>
    <row r="619" spans="1:17" x14ac:dyDescent="0.25">
      <c r="A619" s="85" t="s">
        <v>339</v>
      </c>
      <c r="B619" s="65" t="s">
        <v>197</v>
      </c>
      <c r="C619" s="65" t="s">
        <v>395</v>
      </c>
      <c r="D619" s="66">
        <v>0</v>
      </c>
      <c r="E619" s="65">
        <v>548750000</v>
      </c>
      <c r="F619" s="67">
        <v>0</v>
      </c>
      <c r="G619" s="68">
        <v>0</v>
      </c>
      <c r="H619" s="68">
        <v>0</v>
      </c>
      <c r="I619" s="68">
        <v>0</v>
      </c>
      <c r="J619" s="68">
        <v>0</v>
      </c>
      <c r="K619" s="68">
        <v>0</v>
      </c>
      <c r="L619" s="68">
        <v>0</v>
      </c>
      <c r="M619" s="68">
        <v>0</v>
      </c>
      <c r="N619" s="69">
        <v>0</v>
      </c>
      <c r="O619" s="65" t="str">
        <f>VLOOKUP(A619,Report_HQ1!$A$7:$C$95,3,FALSE)</f>
        <v>BV Phú Yên</v>
      </c>
      <c r="P619" s="40" t="e">
        <f>VLOOKUP(C619,Sheet1!$U$4:$V$14,2,FALSE)</f>
        <v>#N/A</v>
      </c>
      <c r="Q619" s="88">
        <f t="shared" si="9"/>
        <v>0</v>
      </c>
    </row>
    <row r="620" spans="1:17" x14ac:dyDescent="0.25">
      <c r="A620" s="85" t="s">
        <v>339</v>
      </c>
      <c r="B620" s="65" t="s">
        <v>197</v>
      </c>
      <c r="C620" s="65" t="s">
        <v>396</v>
      </c>
      <c r="D620" s="66">
        <v>690859950</v>
      </c>
      <c r="E620" s="65">
        <v>548750000</v>
      </c>
      <c r="F620" s="67">
        <v>51643704.528923683</v>
      </c>
      <c r="G620" s="68">
        <v>0</v>
      </c>
      <c r="H620" s="68">
        <v>51643704.528923683</v>
      </c>
      <c r="I620" s="68">
        <v>0</v>
      </c>
      <c r="J620" s="68">
        <v>138171990</v>
      </c>
      <c r="K620" s="68">
        <v>125358642</v>
      </c>
      <c r="L620" s="68">
        <v>-5174831</v>
      </c>
      <c r="M620" s="68">
        <v>41156950</v>
      </c>
      <c r="N620" s="69">
        <v>351156455.52892369</v>
      </c>
      <c r="O620" s="65" t="str">
        <f>VLOOKUP(A620,Report_HQ1!$A$7:$C$95,3,FALSE)</f>
        <v>BV Phú Yên</v>
      </c>
      <c r="P620" s="40" t="str">
        <f>VLOOKUP(C620,Sheet1!$U$4:$V$14,2,FALSE)</f>
        <v>BH Y tế</v>
      </c>
      <c r="Q620" s="88">
        <f t="shared" si="9"/>
        <v>351156455.52892369</v>
      </c>
    </row>
    <row r="621" spans="1:17" x14ac:dyDescent="0.25">
      <c r="A621" s="85" t="s">
        <v>339</v>
      </c>
      <c r="B621" s="65" t="s">
        <v>197</v>
      </c>
      <c r="C621" s="65" t="s">
        <v>397</v>
      </c>
      <c r="D621" s="66">
        <v>7322800</v>
      </c>
      <c r="E621" s="65">
        <v>548750000</v>
      </c>
      <c r="F621" s="67">
        <v>547399.68574586266</v>
      </c>
      <c r="G621" s="68">
        <v>0</v>
      </c>
      <c r="H621" s="68">
        <v>547399.68574586266</v>
      </c>
      <c r="I621" s="68">
        <v>0</v>
      </c>
      <c r="J621" s="68">
        <v>1464560</v>
      </c>
      <c r="K621" s="68">
        <v>1464560</v>
      </c>
      <c r="L621" s="68">
        <v>0</v>
      </c>
      <c r="M621" s="68">
        <v>585824</v>
      </c>
      <c r="N621" s="69">
        <v>4062343.6857458628</v>
      </c>
      <c r="O621" s="65" t="str">
        <f>VLOOKUP(A621,Report_HQ1!$A$7:$C$95,3,FALSE)</f>
        <v>BV Phú Yên</v>
      </c>
      <c r="P621" s="40" t="str">
        <f>VLOOKUP(C621,Sheet1!$U$4:$V$14,2,FALSE)</f>
        <v>BH Du lịch</v>
      </c>
      <c r="Q621" s="88">
        <f t="shared" si="9"/>
        <v>4062343.6857458628</v>
      </c>
    </row>
    <row r="622" spans="1:17" x14ac:dyDescent="0.25">
      <c r="A622" s="85" t="s">
        <v>340</v>
      </c>
      <c r="B622" s="65" t="s">
        <v>198</v>
      </c>
      <c r="C622" s="65" t="s">
        <v>387</v>
      </c>
      <c r="D622" s="66">
        <v>0</v>
      </c>
      <c r="E622" s="65">
        <v>639000000</v>
      </c>
      <c r="F622" s="67">
        <v>0</v>
      </c>
      <c r="G622" s="68">
        <v>0</v>
      </c>
      <c r="H622" s="68">
        <v>0</v>
      </c>
      <c r="I622" s="68">
        <v>0</v>
      </c>
      <c r="J622" s="68">
        <v>0</v>
      </c>
      <c r="K622" s="68">
        <v>0</v>
      </c>
      <c r="L622" s="68">
        <v>0</v>
      </c>
      <c r="M622" s="68">
        <v>0</v>
      </c>
      <c r="N622" s="69">
        <v>0</v>
      </c>
      <c r="O622" s="65" t="str">
        <f>VLOOKUP(A622,Report_HQ1!$A$7:$C$95,3,FALSE)</f>
        <v>BV Quảng Bình</v>
      </c>
      <c r="P622" s="40" t="str">
        <f>VLOOKUP(C622,Sheet1!$U$4:$V$14,2,FALSE)</f>
        <v>BH Hàng hóa</v>
      </c>
      <c r="Q622" s="88">
        <f t="shared" si="9"/>
        <v>0</v>
      </c>
    </row>
    <row r="623" spans="1:17" x14ac:dyDescent="0.25">
      <c r="A623" s="85" t="s">
        <v>340</v>
      </c>
      <c r="B623" s="65" t="s">
        <v>198</v>
      </c>
      <c r="C623" s="65" t="s">
        <v>272</v>
      </c>
      <c r="D623" s="66">
        <v>1922049136</v>
      </c>
      <c r="E623" s="65">
        <v>639000000</v>
      </c>
      <c r="F623" s="67">
        <v>62736064.131757468</v>
      </c>
      <c r="G623" s="68">
        <v>0</v>
      </c>
      <c r="H623" s="68">
        <v>62736064.131757468</v>
      </c>
      <c r="I623" s="68">
        <v>9610246</v>
      </c>
      <c r="J623" s="68">
        <v>263827370</v>
      </c>
      <c r="K623" s="68">
        <v>123119440</v>
      </c>
      <c r="L623" s="68">
        <v>55124491</v>
      </c>
      <c r="M623" s="68">
        <v>150499931</v>
      </c>
      <c r="N623" s="69">
        <v>664917542.1317575</v>
      </c>
      <c r="O623" s="65" t="str">
        <f>VLOOKUP(A623,Report_HQ1!$A$7:$C$95,3,FALSE)</f>
        <v>BV Quảng Bình</v>
      </c>
      <c r="P623" s="40" t="str">
        <f>VLOOKUP(C623,Sheet1!$U$4:$V$14,2,FALSE)</f>
        <v>Tàu khác</v>
      </c>
      <c r="Q623" s="88">
        <f t="shared" si="9"/>
        <v>664917542.1317575</v>
      </c>
    </row>
    <row r="624" spans="1:17" x14ac:dyDescent="0.25">
      <c r="A624" s="85" t="s">
        <v>340</v>
      </c>
      <c r="B624" s="65" t="s">
        <v>198</v>
      </c>
      <c r="C624" s="65" t="s">
        <v>388</v>
      </c>
      <c r="D624" s="66">
        <v>0</v>
      </c>
      <c r="E624" s="65">
        <v>639000000</v>
      </c>
      <c r="F624" s="67">
        <v>0</v>
      </c>
      <c r="G624" s="68">
        <v>0</v>
      </c>
      <c r="H624" s="68">
        <v>0</v>
      </c>
      <c r="I624" s="68">
        <v>0</v>
      </c>
      <c r="J624" s="68">
        <v>0</v>
      </c>
      <c r="K624" s="68">
        <v>0</v>
      </c>
      <c r="L624" s="68">
        <v>0</v>
      </c>
      <c r="M624" s="68">
        <v>0</v>
      </c>
      <c r="N624" s="69">
        <v>0</v>
      </c>
      <c r="O624" s="65" t="str">
        <f>VLOOKUP(A624,Report_HQ1!$A$7:$C$95,3,FALSE)</f>
        <v>BV Quảng Bình</v>
      </c>
      <c r="P624" s="40" t="str">
        <f>VLOOKUP(C624,Sheet1!$U$4:$V$14,2,FALSE)</f>
        <v>Hull (Thân tàu biển)</v>
      </c>
      <c r="Q624" s="88">
        <f t="shared" si="9"/>
        <v>0</v>
      </c>
    </row>
    <row r="625" spans="1:17" x14ac:dyDescent="0.25">
      <c r="A625" s="85" t="s">
        <v>340</v>
      </c>
      <c r="B625" s="65" t="s">
        <v>198</v>
      </c>
      <c r="C625" s="65" t="s">
        <v>23</v>
      </c>
      <c r="D625" s="66">
        <v>0</v>
      </c>
      <c r="E625" s="65">
        <v>639000000</v>
      </c>
      <c r="F625" s="67">
        <v>0</v>
      </c>
      <c r="G625" s="68">
        <v>0</v>
      </c>
      <c r="H625" s="68">
        <v>0</v>
      </c>
      <c r="I625" s="68">
        <v>0</v>
      </c>
      <c r="J625" s="68">
        <v>0</v>
      </c>
      <c r="K625" s="68">
        <v>0</v>
      </c>
      <c r="L625" s="68">
        <v>0</v>
      </c>
      <c r="M625" s="68">
        <v>0</v>
      </c>
      <c r="N625" s="69">
        <v>0</v>
      </c>
      <c r="O625" s="65" t="str">
        <f>VLOOKUP(A625,Report_HQ1!$A$7:$C$95,3,FALSE)</f>
        <v>BV Quảng Bình</v>
      </c>
      <c r="P625" s="40" t="str">
        <f>VLOOKUP(C625,Sheet1!$U$4:$V$14,2,FALSE)</f>
        <v>P&amp;I</v>
      </c>
      <c r="Q625" s="88">
        <f t="shared" si="9"/>
        <v>0</v>
      </c>
    </row>
    <row r="626" spans="1:17" x14ac:dyDescent="0.25">
      <c r="A626" s="85" t="s">
        <v>340</v>
      </c>
      <c r="B626" s="65" t="s">
        <v>198</v>
      </c>
      <c r="C626" s="65" t="s">
        <v>389</v>
      </c>
      <c r="D626" s="66">
        <v>0</v>
      </c>
      <c r="E626" s="65">
        <v>639000000</v>
      </c>
      <c r="F626" s="67">
        <v>0</v>
      </c>
      <c r="G626" s="68">
        <v>0</v>
      </c>
      <c r="H626" s="68">
        <v>0</v>
      </c>
      <c r="I626" s="68">
        <v>0</v>
      </c>
      <c r="J626" s="68">
        <v>0</v>
      </c>
      <c r="K626" s="68">
        <v>0</v>
      </c>
      <c r="L626" s="68">
        <v>0</v>
      </c>
      <c r="M626" s="68">
        <v>0</v>
      </c>
      <c r="N626" s="69">
        <v>0</v>
      </c>
      <c r="O626" s="65" t="str">
        <f>VLOOKUP(A626,Report_HQ1!$A$7:$C$95,3,FALSE)</f>
        <v>BV Quảng Bình</v>
      </c>
      <c r="P626" s="40" t="str">
        <f>VLOOKUP(C626,Sheet1!$U$4:$V$14,2,FALSE)</f>
        <v>BH Trách nhiệm</v>
      </c>
      <c r="Q626" s="88">
        <f t="shared" si="9"/>
        <v>0</v>
      </c>
    </row>
    <row r="627" spans="1:17" x14ac:dyDescent="0.25">
      <c r="A627" s="85" t="s">
        <v>340</v>
      </c>
      <c r="B627" s="65" t="s">
        <v>198</v>
      </c>
      <c r="C627" s="65" t="s">
        <v>390</v>
      </c>
      <c r="D627" s="66">
        <v>2032974804</v>
      </c>
      <c r="E627" s="65">
        <v>639000000</v>
      </c>
      <c r="F627" s="67">
        <v>66356699.885112129</v>
      </c>
      <c r="G627" s="68">
        <v>0</v>
      </c>
      <c r="H627" s="68">
        <v>66356699.885112129</v>
      </c>
      <c r="I627" s="68">
        <v>0</v>
      </c>
      <c r="J627" s="68">
        <v>0</v>
      </c>
      <c r="K627" s="68">
        <v>0</v>
      </c>
      <c r="L627" s="68">
        <v>243347085</v>
      </c>
      <c r="M627" s="68">
        <v>51434263</v>
      </c>
      <c r="N627" s="69">
        <v>361138047.88511211</v>
      </c>
      <c r="O627" s="65" t="str">
        <f>VLOOKUP(A627,Report_HQ1!$A$7:$C$95,3,FALSE)</f>
        <v>BV Quảng Bình</v>
      </c>
      <c r="P627" s="40" t="e">
        <f>VLOOKUP(C627,Sheet1!$U$4:$V$14,2,FALSE)</f>
        <v>#N/A</v>
      </c>
      <c r="Q627" s="88">
        <f t="shared" si="9"/>
        <v>361138047.88511211</v>
      </c>
    </row>
    <row r="628" spans="1:17" x14ac:dyDescent="0.25">
      <c r="A628" s="85" t="s">
        <v>340</v>
      </c>
      <c r="B628" s="65" t="s">
        <v>198</v>
      </c>
      <c r="C628" s="65" t="s">
        <v>391</v>
      </c>
      <c r="D628" s="66">
        <v>8347276598</v>
      </c>
      <c r="E628" s="65">
        <v>639000000</v>
      </c>
      <c r="F628" s="67">
        <v>272456759.90753978</v>
      </c>
      <c r="G628" s="68">
        <v>0</v>
      </c>
      <c r="H628" s="68">
        <v>272456759.90753978</v>
      </c>
      <c r="I628" s="68">
        <v>0</v>
      </c>
      <c r="J628" s="68">
        <v>416532700</v>
      </c>
      <c r="K628" s="68">
        <v>208266350</v>
      </c>
      <c r="L628" s="68">
        <v>1133403341</v>
      </c>
      <c r="M628" s="68">
        <v>386894893</v>
      </c>
      <c r="N628" s="69">
        <v>2417554043.9075398</v>
      </c>
      <c r="O628" s="65" t="str">
        <f>VLOOKUP(A628,Report_HQ1!$A$7:$C$95,3,FALSE)</f>
        <v>BV Quảng Bình</v>
      </c>
      <c r="P628" s="40" t="str">
        <f>VLOOKUP(C628,Sheet1!$U$4:$V$14,2,FALSE)</f>
        <v>BH Kỹ thuật</v>
      </c>
      <c r="Q628" s="88">
        <f t="shared" si="9"/>
        <v>2417554043.9075398</v>
      </c>
    </row>
    <row r="629" spans="1:17" x14ac:dyDescent="0.25">
      <c r="A629" s="85" t="s">
        <v>340</v>
      </c>
      <c r="B629" s="65" t="s">
        <v>198</v>
      </c>
      <c r="C629" s="65" t="s">
        <v>392</v>
      </c>
      <c r="D629" s="66">
        <v>78580510</v>
      </c>
      <c r="E629" s="65">
        <v>639000000</v>
      </c>
      <c r="F629" s="67">
        <v>2564883.3958146055</v>
      </c>
      <c r="G629" s="68">
        <v>0</v>
      </c>
      <c r="H629" s="68">
        <v>2564883.3958146055</v>
      </c>
      <c r="I629" s="68">
        <v>0</v>
      </c>
      <c r="J629" s="68">
        <v>5045303</v>
      </c>
      <c r="K629" s="68">
        <v>2522652</v>
      </c>
      <c r="L629" s="68">
        <v>10370983</v>
      </c>
      <c r="M629" s="68">
        <v>4624830</v>
      </c>
      <c r="N629" s="69">
        <v>25128651.395814605</v>
      </c>
      <c r="O629" s="65" t="str">
        <f>VLOOKUP(A629,Report_HQ1!$A$7:$C$95,3,FALSE)</f>
        <v>BV Quảng Bình</v>
      </c>
      <c r="P629" s="40" t="str">
        <f>VLOOKUP(C629,Sheet1!$U$4:$V$14,2,FALSE)</f>
        <v>BH Tài sản</v>
      </c>
      <c r="Q629" s="88">
        <f t="shared" si="9"/>
        <v>25128651.395814605</v>
      </c>
    </row>
    <row r="630" spans="1:17" x14ac:dyDescent="0.25">
      <c r="A630" s="85" t="s">
        <v>340</v>
      </c>
      <c r="B630" s="65" t="s">
        <v>198</v>
      </c>
      <c r="C630" s="65" t="s">
        <v>393</v>
      </c>
      <c r="D630" s="66">
        <v>2339420382</v>
      </c>
      <c r="E630" s="65">
        <v>639000000</v>
      </c>
      <c r="F630" s="67">
        <v>76359144.190105945</v>
      </c>
      <c r="G630" s="68">
        <v>0</v>
      </c>
      <c r="H630" s="68">
        <v>76359144.190105945</v>
      </c>
      <c r="I630" s="68">
        <v>0</v>
      </c>
      <c r="J630" s="68">
        <v>209408862</v>
      </c>
      <c r="K630" s="68">
        <v>104704431</v>
      </c>
      <c r="L630" s="68">
        <v>191929161</v>
      </c>
      <c r="M630" s="68">
        <v>140056890</v>
      </c>
      <c r="N630" s="69">
        <v>722458488.19010592</v>
      </c>
      <c r="O630" s="65" t="str">
        <f>VLOOKUP(A630,Report_HQ1!$A$7:$C$95,3,FALSE)</f>
        <v>BV Quảng Bình</v>
      </c>
      <c r="P630" s="40" t="str">
        <f>VLOOKUP(C630,Sheet1!$U$4:$V$14,2,FALSE)</f>
        <v>BH Xe cơ giới</v>
      </c>
      <c r="Q630" s="88">
        <f t="shared" si="9"/>
        <v>722458488.19010592</v>
      </c>
    </row>
    <row r="631" spans="1:17" x14ac:dyDescent="0.25">
      <c r="A631" s="85" t="s">
        <v>340</v>
      </c>
      <c r="B631" s="65" t="s">
        <v>198</v>
      </c>
      <c r="C631" s="65" t="s">
        <v>394</v>
      </c>
      <c r="D631" s="66">
        <v>4537733077</v>
      </c>
      <c r="E631" s="65">
        <v>639000000</v>
      </c>
      <c r="F631" s="67">
        <v>148112505.55431646</v>
      </c>
      <c r="G631" s="68">
        <v>0</v>
      </c>
      <c r="H631" s="68">
        <v>148112505.55431646</v>
      </c>
      <c r="I631" s="68">
        <v>148000</v>
      </c>
      <c r="J631" s="68">
        <v>659898423</v>
      </c>
      <c r="K631" s="68">
        <v>63020911</v>
      </c>
      <c r="L631" s="68">
        <v>170020291</v>
      </c>
      <c r="M631" s="68">
        <v>222821973</v>
      </c>
      <c r="N631" s="69">
        <v>1264022103.5543165</v>
      </c>
      <c r="O631" s="65" t="str">
        <f>VLOOKUP(A631,Report_HQ1!$A$7:$C$95,3,FALSE)</f>
        <v>BV Quảng Bình</v>
      </c>
      <c r="P631" s="40" t="str">
        <f>VLOOKUP(C631,Sheet1!$U$4:$V$14,2,FALSE)</f>
        <v>BH Con người</v>
      </c>
      <c r="Q631" s="88">
        <f t="shared" si="9"/>
        <v>1264022103.5543165</v>
      </c>
    </row>
    <row r="632" spans="1:17" x14ac:dyDescent="0.25">
      <c r="A632" s="85" t="s">
        <v>340</v>
      </c>
      <c r="B632" s="65" t="s">
        <v>198</v>
      </c>
      <c r="C632" s="65" t="s">
        <v>395</v>
      </c>
      <c r="D632" s="66">
        <v>0</v>
      </c>
      <c r="E632" s="65">
        <v>639000000</v>
      </c>
      <c r="F632" s="67">
        <v>0</v>
      </c>
      <c r="G632" s="68">
        <v>0</v>
      </c>
      <c r="H632" s="68">
        <v>0</v>
      </c>
      <c r="I632" s="68">
        <v>0</v>
      </c>
      <c r="J632" s="68">
        <v>0</v>
      </c>
      <c r="K632" s="68">
        <v>0</v>
      </c>
      <c r="L632" s="68">
        <v>0</v>
      </c>
      <c r="M632" s="68">
        <v>0</v>
      </c>
      <c r="N632" s="69">
        <v>0</v>
      </c>
      <c r="O632" s="65" t="str">
        <f>VLOOKUP(A632,Report_HQ1!$A$7:$C$95,3,FALSE)</f>
        <v>BV Quảng Bình</v>
      </c>
      <c r="P632" s="40" t="e">
        <f>VLOOKUP(C632,Sheet1!$U$4:$V$14,2,FALSE)</f>
        <v>#N/A</v>
      </c>
      <c r="Q632" s="88">
        <f t="shared" si="9"/>
        <v>0</v>
      </c>
    </row>
    <row r="633" spans="1:17" x14ac:dyDescent="0.25">
      <c r="A633" s="85" t="s">
        <v>340</v>
      </c>
      <c r="B633" s="65" t="s">
        <v>198</v>
      </c>
      <c r="C633" s="65" t="s">
        <v>396</v>
      </c>
      <c r="D633" s="66">
        <v>127315950</v>
      </c>
      <c r="E633" s="65">
        <v>639000000</v>
      </c>
      <c r="F633" s="67">
        <v>4155617.8011234915</v>
      </c>
      <c r="G633" s="68">
        <v>0</v>
      </c>
      <c r="H633" s="68">
        <v>4155617.8011234915</v>
      </c>
      <c r="I633" s="68">
        <v>0</v>
      </c>
      <c r="J633" s="68">
        <v>25463190</v>
      </c>
      <c r="K633" s="68">
        <v>7667548</v>
      </c>
      <c r="L633" s="68">
        <v>-543622</v>
      </c>
      <c r="M633" s="68">
        <v>9105780</v>
      </c>
      <c r="N633" s="69">
        <v>45848513.801123492</v>
      </c>
      <c r="O633" s="65" t="str">
        <f>VLOOKUP(A633,Report_HQ1!$A$7:$C$95,3,FALSE)</f>
        <v>BV Quảng Bình</v>
      </c>
      <c r="P633" s="40" t="str">
        <f>VLOOKUP(C633,Sheet1!$U$4:$V$14,2,FALSE)</f>
        <v>BH Y tế</v>
      </c>
      <c r="Q633" s="88">
        <f t="shared" si="9"/>
        <v>45848513.801123492</v>
      </c>
    </row>
    <row r="634" spans="1:17" x14ac:dyDescent="0.25">
      <c r="A634" s="85" t="s">
        <v>340</v>
      </c>
      <c r="B634" s="65" t="s">
        <v>198</v>
      </c>
      <c r="C634" s="65" t="s">
        <v>397</v>
      </c>
      <c r="D634" s="66">
        <v>191736740</v>
      </c>
      <c r="E634" s="65">
        <v>639000000</v>
      </c>
      <c r="F634" s="67">
        <v>6258325.1342301304</v>
      </c>
      <c r="G634" s="68">
        <v>0</v>
      </c>
      <c r="H634" s="68">
        <v>6258325.1342301304</v>
      </c>
      <c r="I634" s="68">
        <v>0</v>
      </c>
      <c r="J634" s="68">
        <v>38347348</v>
      </c>
      <c r="K634" s="68">
        <v>38347348</v>
      </c>
      <c r="L634" s="68">
        <v>0</v>
      </c>
      <c r="M634" s="68">
        <v>15338939</v>
      </c>
      <c r="N634" s="69">
        <v>98291960.134230137</v>
      </c>
      <c r="O634" s="65" t="str">
        <f>VLOOKUP(A634,Report_HQ1!$A$7:$C$95,3,FALSE)</f>
        <v>BV Quảng Bình</v>
      </c>
      <c r="P634" s="40" t="str">
        <f>VLOOKUP(C634,Sheet1!$U$4:$V$14,2,FALSE)</f>
        <v>BH Du lịch</v>
      </c>
      <c r="Q634" s="88">
        <f t="shared" si="9"/>
        <v>98291960.134230137</v>
      </c>
    </row>
    <row r="635" spans="1:17" x14ac:dyDescent="0.25">
      <c r="A635" s="85" t="s">
        <v>341</v>
      </c>
      <c r="B635" s="65" t="s">
        <v>199</v>
      </c>
      <c r="C635" s="65" t="s">
        <v>387</v>
      </c>
      <c r="D635" s="66">
        <v>432909087</v>
      </c>
      <c r="E635" s="65">
        <v>845750000</v>
      </c>
      <c r="F635" s="67">
        <v>21393839.230119482</v>
      </c>
      <c r="G635" s="68">
        <v>0</v>
      </c>
      <c r="H635" s="68">
        <v>21393839.230119482</v>
      </c>
      <c r="I635" s="68">
        <v>0</v>
      </c>
      <c r="J635" s="68">
        <v>43290908</v>
      </c>
      <c r="K635" s="68">
        <v>21645454</v>
      </c>
      <c r="L635" s="68">
        <v>17316363</v>
      </c>
      <c r="M635" s="68">
        <v>34632727</v>
      </c>
      <c r="N635" s="69">
        <v>138279291.23011947</v>
      </c>
      <c r="O635" s="65" t="str">
        <f>VLOOKUP(A635,Report_HQ1!$A$7:$C$95,3,FALSE)</f>
        <v>BV Quảng Nam</v>
      </c>
      <c r="P635" s="40" t="str">
        <f>VLOOKUP(C635,Sheet1!$U$4:$V$14,2,FALSE)</f>
        <v>BH Hàng hóa</v>
      </c>
      <c r="Q635" s="88">
        <f t="shared" si="9"/>
        <v>138279291.23011947</v>
      </c>
    </row>
    <row r="636" spans="1:17" x14ac:dyDescent="0.25">
      <c r="A636" s="85" t="s">
        <v>341</v>
      </c>
      <c r="B636" s="65" t="s">
        <v>199</v>
      </c>
      <c r="C636" s="65" t="s">
        <v>272</v>
      </c>
      <c r="D636" s="66">
        <v>355063451</v>
      </c>
      <c r="E636" s="65">
        <v>845750000</v>
      </c>
      <c r="F636" s="67">
        <v>17546802.816789582</v>
      </c>
      <c r="G636" s="68">
        <v>0</v>
      </c>
      <c r="H636" s="68">
        <v>17546802.816789582</v>
      </c>
      <c r="I636" s="68">
        <v>1461070</v>
      </c>
      <c r="J636" s="68">
        <v>18636518</v>
      </c>
      <c r="K636" s="68">
        <v>8697041</v>
      </c>
      <c r="L636" s="68">
        <v>54331035</v>
      </c>
      <c r="M636" s="68">
        <v>23788676</v>
      </c>
      <c r="N636" s="69">
        <v>124461142.81678958</v>
      </c>
      <c r="O636" s="65" t="str">
        <f>VLOOKUP(A636,Report_HQ1!$A$7:$C$95,3,FALSE)</f>
        <v>BV Quảng Nam</v>
      </c>
      <c r="P636" s="40" t="str">
        <f>VLOOKUP(C636,Sheet1!$U$4:$V$14,2,FALSE)</f>
        <v>Tàu khác</v>
      </c>
      <c r="Q636" s="88">
        <f t="shared" si="9"/>
        <v>124461142.81678958</v>
      </c>
    </row>
    <row r="637" spans="1:17" x14ac:dyDescent="0.25">
      <c r="A637" s="85" t="s">
        <v>341</v>
      </c>
      <c r="B637" s="65" t="s">
        <v>199</v>
      </c>
      <c r="C637" s="65" t="s">
        <v>388</v>
      </c>
      <c r="D637" s="66">
        <v>0</v>
      </c>
      <c r="E637" s="65">
        <v>845750000</v>
      </c>
      <c r="F637" s="67">
        <v>0</v>
      </c>
      <c r="G637" s="68">
        <v>0</v>
      </c>
      <c r="H637" s="68">
        <v>0</v>
      </c>
      <c r="I637" s="68">
        <v>0</v>
      </c>
      <c r="J637" s="68">
        <v>0</v>
      </c>
      <c r="K637" s="68">
        <v>0</v>
      </c>
      <c r="L637" s="68">
        <v>0</v>
      </c>
      <c r="M637" s="68">
        <v>0</v>
      </c>
      <c r="N637" s="69">
        <v>0</v>
      </c>
      <c r="O637" s="65" t="str">
        <f>VLOOKUP(A637,Report_HQ1!$A$7:$C$95,3,FALSE)</f>
        <v>BV Quảng Nam</v>
      </c>
      <c r="P637" s="40" t="str">
        <f>VLOOKUP(C637,Sheet1!$U$4:$V$14,2,FALSE)</f>
        <v>Hull (Thân tàu biển)</v>
      </c>
      <c r="Q637" s="88">
        <f t="shared" si="9"/>
        <v>0</v>
      </c>
    </row>
    <row r="638" spans="1:17" x14ac:dyDescent="0.25">
      <c r="A638" s="85" t="s">
        <v>341</v>
      </c>
      <c r="B638" s="65" t="s">
        <v>199</v>
      </c>
      <c r="C638" s="65" t="s">
        <v>23</v>
      </c>
      <c r="D638" s="66">
        <v>0</v>
      </c>
      <c r="E638" s="65">
        <v>845750000</v>
      </c>
      <c r="F638" s="67">
        <v>0</v>
      </c>
      <c r="G638" s="68">
        <v>0</v>
      </c>
      <c r="H638" s="68">
        <v>0</v>
      </c>
      <c r="I638" s="68">
        <v>0</v>
      </c>
      <c r="J638" s="68">
        <v>0</v>
      </c>
      <c r="K638" s="68">
        <v>0</v>
      </c>
      <c r="L638" s="68">
        <v>0</v>
      </c>
      <c r="M638" s="68">
        <v>0</v>
      </c>
      <c r="N638" s="69">
        <v>0</v>
      </c>
      <c r="O638" s="65" t="str">
        <f>VLOOKUP(A638,Report_HQ1!$A$7:$C$95,3,FALSE)</f>
        <v>BV Quảng Nam</v>
      </c>
      <c r="P638" s="40" t="str">
        <f>VLOOKUP(C638,Sheet1!$U$4:$V$14,2,FALSE)</f>
        <v>P&amp;I</v>
      </c>
      <c r="Q638" s="88">
        <f t="shared" si="9"/>
        <v>0</v>
      </c>
    </row>
    <row r="639" spans="1:17" x14ac:dyDescent="0.25">
      <c r="A639" s="85" t="s">
        <v>341</v>
      </c>
      <c r="B639" s="65" t="s">
        <v>199</v>
      </c>
      <c r="C639" s="65" t="s">
        <v>389</v>
      </c>
      <c r="D639" s="66">
        <v>23051283</v>
      </c>
      <c r="E639" s="65">
        <v>845750000</v>
      </c>
      <c r="F639" s="67">
        <v>1139166.299251155</v>
      </c>
      <c r="G639" s="68">
        <v>0</v>
      </c>
      <c r="H639" s="68">
        <v>1139166.299251155</v>
      </c>
      <c r="I639" s="68">
        <v>0</v>
      </c>
      <c r="J639" s="68">
        <v>265909</v>
      </c>
      <c r="K639" s="68">
        <v>132955</v>
      </c>
      <c r="L639" s="68">
        <v>3590822</v>
      </c>
      <c r="M639" s="68">
        <v>957448</v>
      </c>
      <c r="N639" s="69">
        <v>6086300.299251155</v>
      </c>
      <c r="O639" s="65" t="str">
        <f>VLOOKUP(A639,Report_HQ1!$A$7:$C$95,3,FALSE)</f>
        <v>BV Quảng Nam</v>
      </c>
      <c r="P639" s="40" t="str">
        <f>VLOOKUP(C639,Sheet1!$U$4:$V$14,2,FALSE)</f>
        <v>BH Trách nhiệm</v>
      </c>
      <c r="Q639" s="88">
        <f t="shared" si="9"/>
        <v>6086300.299251155</v>
      </c>
    </row>
    <row r="640" spans="1:17" x14ac:dyDescent="0.25">
      <c r="A640" s="85" t="s">
        <v>341</v>
      </c>
      <c r="B640" s="65" t="s">
        <v>199</v>
      </c>
      <c r="C640" s="65" t="s">
        <v>390</v>
      </c>
      <c r="D640" s="66">
        <v>0</v>
      </c>
      <c r="E640" s="65">
        <v>845750000</v>
      </c>
      <c r="F640" s="67">
        <v>0</v>
      </c>
      <c r="G640" s="68">
        <v>0</v>
      </c>
      <c r="H640" s="68">
        <v>0</v>
      </c>
      <c r="I640" s="68">
        <v>0</v>
      </c>
      <c r="J640" s="68">
        <v>0</v>
      </c>
      <c r="K640" s="68">
        <v>0</v>
      </c>
      <c r="L640" s="68">
        <v>0</v>
      </c>
      <c r="M640" s="68">
        <v>0</v>
      </c>
      <c r="N640" s="69">
        <v>0</v>
      </c>
      <c r="O640" s="65" t="str">
        <f>VLOOKUP(A640,Report_HQ1!$A$7:$C$95,3,FALSE)</f>
        <v>BV Quảng Nam</v>
      </c>
      <c r="P640" s="40" t="e">
        <f>VLOOKUP(C640,Sheet1!$U$4:$V$14,2,FALSE)</f>
        <v>#N/A</v>
      </c>
      <c r="Q640" s="88">
        <f t="shared" si="9"/>
        <v>0</v>
      </c>
    </row>
    <row r="641" spans="1:17" x14ac:dyDescent="0.25">
      <c r="A641" s="85" t="s">
        <v>341</v>
      </c>
      <c r="B641" s="65" t="s">
        <v>199</v>
      </c>
      <c r="C641" s="65" t="s">
        <v>391</v>
      </c>
      <c r="D641" s="66">
        <v>221489455</v>
      </c>
      <c r="E641" s="65">
        <v>845750000</v>
      </c>
      <c r="F641" s="67">
        <v>10945738.802282946</v>
      </c>
      <c r="G641" s="68">
        <v>0</v>
      </c>
      <c r="H641" s="68">
        <v>10945738.802282946</v>
      </c>
      <c r="I641" s="68">
        <v>0</v>
      </c>
      <c r="J641" s="68">
        <v>11192607</v>
      </c>
      <c r="K641" s="68">
        <v>5596304</v>
      </c>
      <c r="L641" s="68">
        <v>25803657</v>
      </c>
      <c r="M641" s="68">
        <v>10222216</v>
      </c>
      <c r="N641" s="69">
        <v>63760522.802282944</v>
      </c>
      <c r="O641" s="65" t="str">
        <f>VLOOKUP(A641,Report_HQ1!$A$7:$C$95,3,FALSE)</f>
        <v>BV Quảng Nam</v>
      </c>
      <c r="P641" s="40" t="str">
        <f>VLOOKUP(C641,Sheet1!$U$4:$V$14,2,FALSE)</f>
        <v>BH Kỹ thuật</v>
      </c>
      <c r="Q641" s="88">
        <f t="shared" si="9"/>
        <v>63760522.802282944</v>
      </c>
    </row>
    <row r="642" spans="1:17" x14ac:dyDescent="0.25">
      <c r="A642" s="85" t="s">
        <v>341</v>
      </c>
      <c r="B642" s="65" t="s">
        <v>199</v>
      </c>
      <c r="C642" s="65" t="s">
        <v>392</v>
      </c>
      <c r="D642" s="66">
        <v>1835513129</v>
      </c>
      <c r="E642" s="65">
        <v>845750000</v>
      </c>
      <c r="F642" s="67">
        <v>90708820.779730052</v>
      </c>
      <c r="G642" s="68">
        <v>0</v>
      </c>
      <c r="H642" s="68">
        <v>90708820.779730052</v>
      </c>
      <c r="I642" s="68">
        <v>0</v>
      </c>
      <c r="J642" s="68">
        <v>42999337</v>
      </c>
      <c r="K642" s="68">
        <v>21499670</v>
      </c>
      <c r="L642" s="68">
        <v>323955172</v>
      </c>
      <c r="M642" s="68">
        <v>112494698</v>
      </c>
      <c r="N642" s="69">
        <v>591657697.77973008</v>
      </c>
      <c r="O642" s="65" t="str">
        <f>VLOOKUP(A642,Report_HQ1!$A$7:$C$95,3,FALSE)</f>
        <v>BV Quảng Nam</v>
      </c>
      <c r="P642" s="40" t="str">
        <f>VLOOKUP(C642,Sheet1!$U$4:$V$14,2,FALSE)</f>
        <v>BH Tài sản</v>
      </c>
      <c r="Q642" s="88">
        <f t="shared" si="9"/>
        <v>591657697.77973008</v>
      </c>
    </row>
    <row r="643" spans="1:17" x14ac:dyDescent="0.25">
      <c r="A643" s="85" t="s">
        <v>341</v>
      </c>
      <c r="B643" s="65" t="s">
        <v>199</v>
      </c>
      <c r="C643" s="65" t="s">
        <v>393</v>
      </c>
      <c r="D643" s="66">
        <v>4826785143</v>
      </c>
      <c r="E643" s="65">
        <v>845750000</v>
      </c>
      <c r="F643" s="67">
        <v>238533836.4303526</v>
      </c>
      <c r="G643" s="68">
        <v>0</v>
      </c>
      <c r="H643" s="68">
        <v>238533836.4303526</v>
      </c>
      <c r="I643" s="68">
        <v>0</v>
      </c>
      <c r="J643" s="68">
        <v>435683597</v>
      </c>
      <c r="K643" s="68">
        <v>217841798</v>
      </c>
      <c r="L643" s="68">
        <v>458775197</v>
      </c>
      <c r="M643" s="68">
        <v>287827947</v>
      </c>
      <c r="N643" s="69">
        <v>1638662375.4303527</v>
      </c>
      <c r="O643" s="65" t="str">
        <f>VLOOKUP(A643,Report_HQ1!$A$7:$C$95,3,FALSE)</f>
        <v>BV Quảng Nam</v>
      </c>
      <c r="P643" s="40" t="str">
        <f>VLOOKUP(C643,Sheet1!$U$4:$V$14,2,FALSE)</f>
        <v>BH Xe cơ giới</v>
      </c>
      <c r="Q643" s="88">
        <f t="shared" si="9"/>
        <v>1638662375.4303527</v>
      </c>
    </row>
    <row r="644" spans="1:17" x14ac:dyDescent="0.25">
      <c r="A644" s="85" t="s">
        <v>341</v>
      </c>
      <c r="B644" s="65" t="s">
        <v>199</v>
      </c>
      <c r="C644" s="65" t="s">
        <v>394</v>
      </c>
      <c r="D644" s="66">
        <v>8237002613</v>
      </c>
      <c r="E644" s="65">
        <v>845750000</v>
      </c>
      <c r="F644" s="67">
        <v>407062625.69303858</v>
      </c>
      <c r="G644" s="68">
        <v>0</v>
      </c>
      <c r="H644" s="68">
        <v>407062625.69303858</v>
      </c>
      <c r="I644" s="68">
        <v>2374700</v>
      </c>
      <c r="J644" s="68">
        <v>1065274447</v>
      </c>
      <c r="K644" s="68">
        <v>10539238</v>
      </c>
      <c r="L644" s="68">
        <v>304441009</v>
      </c>
      <c r="M644" s="68">
        <v>364924430</v>
      </c>
      <c r="N644" s="69">
        <v>2154616449.6930385</v>
      </c>
      <c r="O644" s="65" t="str">
        <f>VLOOKUP(A644,Report_HQ1!$A$7:$C$95,3,FALSE)</f>
        <v>BV Quảng Nam</v>
      </c>
      <c r="P644" s="40" t="str">
        <f>VLOOKUP(C644,Sheet1!$U$4:$V$14,2,FALSE)</f>
        <v>BH Con người</v>
      </c>
      <c r="Q644" s="88">
        <f t="shared" si="9"/>
        <v>2154616449.6930385</v>
      </c>
    </row>
    <row r="645" spans="1:17" x14ac:dyDescent="0.25">
      <c r="A645" s="85" t="s">
        <v>341</v>
      </c>
      <c r="B645" s="65" t="s">
        <v>199</v>
      </c>
      <c r="C645" s="65" t="s">
        <v>395</v>
      </c>
      <c r="D645" s="66">
        <v>0</v>
      </c>
      <c r="E645" s="65">
        <v>845750000</v>
      </c>
      <c r="F645" s="67">
        <v>0</v>
      </c>
      <c r="G645" s="68">
        <v>0</v>
      </c>
      <c r="H645" s="68">
        <v>0</v>
      </c>
      <c r="I645" s="68">
        <v>0</v>
      </c>
      <c r="J645" s="68">
        <v>0</v>
      </c>
      <c r="K645" s="68">
        <v>0</v>
      </c>
      <c r="L645" s="68">
        <v>0</v>
      </c>
      <c r="M645" s="68">
        <v>0</v>
      </c>
      <c r="N645" s="69">
        <v>0</v>
      </c>
      <c r="O645" s="65" t="str">
        <f>VLOOKUP(A645,Report_HQ1!$A$7:$C$95,3,FALSE)</f>
        <v>BV Quảng Nam</v>
      </c>
      <c r="P645" s="40" t="e">
        <f>VLOOKUP(C645,Sheet1!$U$4:$V$14,2,FALSE)</f>
        <v>#N/A</v>
      </c>
      <c r="Q645" s="88">
        <f t="shared" si="9"/>
        <v>0</v>
      </c>
    </row>
    <row r="646" spans="1:17" x14ac:dyDescent="0.25">
      <c r="A646" s="85" t="s">
        <v>341</v>
      </c>
      <c r="B646" s="65" t="s">
        <v>199</v>
      </c>
      <c r="C646" s="65" t="s">
        <v>396</v>
      </c>
      <c r="D646" s="66">
        <v>1174291475</v>
      </c>
      <c r="E646" s="65">
        <v>845750000</v>
      </c>
      <c r="F646" s="67">
        <v>58032052.871761203</v>
      </c>
      <c r="G646" s="68">
        <v>0</v>
      </c>
      <c r="H646" s="68">
        <v>58032052.871761203</v>
      </c>
      <c r="I646" s="68">
        <v>0</v>
      </c>
      <c r="J646" s="68">
        <v>224412925</v>
      </c>
      <c r="K646" s="68">
        <v>87461905</v>
      </c>
      <c r="L646" s="68">
        <v>-778273</v>
      </c>
      <c r="M646" s="68">
        <v>73567191</v>
      </c>
      <c r="N646" s="69">
        <v>442695800.8717612</v>
      </c>
      <c r="O646" s="65" t="str">
        <f>VLOOKUP(A646,Report_HQ1!$A$7:$C$95,3,FALSE)</f>
        <v>BV Quảng Nam</v>
      </c>
      <c r="P646" s="40" t="str">
        <f>VLOOKUP(C646,Sheet1!$U$4:$V$14,2,FALSE)</f>
        <v>BH Y tế</v>
      </c>
      <c r="Q646" s="88">
        <f t="shared" si="9"/>
        <v>442695800.8717612</v>
      </c>
    </row>
    <row r="647" spans="1:17" x14ac:dyDescent="0.25">
      <c r="A647" s="85" t="s">
        <v>341</v>
      </c>
      <c r="B647" s="65" t="s">
        <v>199</v>
      </c>
      <c r="C647" s="65" t="s">
        <v>397</v>
      </c>
      <c r="D647" s="66">
        <v>7833400</v>
      </c>
      <c r="E647" s="65">
        <v>845750000</v>
      </c>
      <c r="F647" s="67">
        <v>387117.07667438715</v>
      </c>
      <c r="G647" s="68">
        <v>0</v>
      </c>
      <c r="H647" s="68">
        <v>387117.07667438715</v>
      </c>
      <c r="I647" s="68">
        <v>0</v>
      </c>
      <c r="J647" s="68">
        <v>1566680</v>
      </c>
      <c r="K647" s="68">
        <v>1566680</v>
      </c>
      <c r="L647" s="68">
        <v>0</v>
      </c>
      <c r="M647" s="68">
        <v>626672</v>
      </c>
      <c r="N647" s="69">
        <v>4147149.0766743869</v>
      </c>
      <c r="O647" s="65" t="str">
        <f>VLOOKUP(A647,Report_HQ1!$A$7:$C$95,3,FALSE)</f>
        <v>BV Quảng Nam</v>
      </c>
      <c r="P647" s="40" t="str">
        <f>VLOOKUP(C647,Sheet1!$U$4:$V$14,2,FALSE)</f>
        <v>BH Du lịch</v>
      </c>
      <c r="Q647" s="88">
        <f t="shared" si="9"/>
        <v>4147149.0766743869</v>
      </c>
    </row>
    <row r="648" spans="1:17" x14ac:dyDescent="0.25">
      <c r="A648" s="85" t="s">
        <v>342</v>
      </c>
      <c r="B648" s="65" t="s">
        <v>200</v>
      </c>
      <c r="C648" s="65" t="s">
        <v>387</v>
      </c>
      <c r="D648" s="66">
        <v>926659851</v>
      </c>
      <c r="E648" s="65">
        <v>400000000</v>
      </c>
      <c r="F648" s="67">
        <v>35765574.815578796</v>
      </c>
      <c r="G648" s="68">
        <v>0</v>
      </c>
      <c r="H648" s="68">
        <v>35765574.815578796</v>
      </c>
      <c r="I648" s="68">
        <v>0</v>
      </c>
      <c r="J648" s="68">
        <v>92665985</v>
      </c>
      <c r="K648" s="68">
        <v>46332993</v>
      </c>
      <c r="L648" s="68">
        <v>37066394</v>
      </c>
      <c r="M648" s="68">
        <v>74132788</v>
      </c>
      <c r="N648" s="69">
        <v>285963734.81557882</v>
      </c>
      <c r="O648" s="65" t="str">
        <f>VLOOKUP(A648,Report_HQ1!$A$7:$C$95,3,FALSE)</f>
        <v>BV Quảng Ngãi</v>
      </c>
      <c r="P648" s="40" t="str">
        <f>VLOOKUP(C648,Sheet1!$U$4:$V$14,2,FALSE)</f>
        <v>BH Hàng hóa</v>
      </c>
      <c r="Q648" s="88">
        <f t="shared" si="9"/>
        <v>285963734.81557882</v>
      </c>
    </row>
    <row r="649" spans="1:17" x14ac:dyDescent="0.25">
      <c r="A649" s="85" t="s">
        <v>342</v>
      </c>
      <c r="B649" s="65" t="s">
        <v>200</v>
      </c>
      <c r="C649" s="65" t="s">
        <v>272</v>
      </c>
      <c r="D649" s="66">
        <v>41400000</v>
      </c>
      <c r="E649" s="65">
        <v>400000000</v>
      </c>
      <c r="F649" s="67">
        <v>1597883.8359804605</v>
      </c>
      <c r="G649" s="68">
        <v>0</v>
      </c>
      <c r="H649" s="68">
        <v>1597883.8359804605</v>
      </c>
      <c r="I649" s="68">
        <v>207000</v>
      </c>
      <c r="J649" s="68">
        <v>6210000</v>
      </c>
      <c r="K649" s="68">
        <v>2898000</v>
      </c>
      <c r="L649" s="68">
        <v>414000</v>
      </c>
      <c r="M649" s="68">
        <v>3312000</v>
      </c>
      <c r="N649" s="69">
        <v>14638883.83598046</v>
      </c>
      <c r="O649" s="65" t="str">
        <f>VLOOKUP(A649,Report_HQ1!$A$7:$C$95,3,FALSE)</f>
        <v>BV Quảng Ngãi</v>
      </c>
      <c r="P649" s="40" t="str">
        <f>VLOOKUP(C649,Sheet1!$U$4:$V$14,2,FALSE)</f>
        <v>Tàu khác</v>
      </c>
      <c r="Q649" s="88">
        <f t="shared" si="9"/>
        <v>14638883.83598046</v>
      </c>
    </row>
    <row r="650" spans="1:17" x14ac:dyDescent="0.25">
      <c r="A650" s="85" t="s">
        <v>342</v>
      </c>
      <c r="B650" s="65" t="s">
        <v>200</v>
      </c>
      <c r="C650" s="65" t="s">
        <v>388</v>
      </c>
      <c r="D650" s="66">
        <v>0</v>
      </c>
      <c r="E650" s="65">
        <v>400000000</v>
      </c>
      <c r="F650" s="67">
        <v>0</v>
      </c>
      <c r="G650" s="68">
        <v>0</v>
      </c>
      <c r="H650" s="68">
        <v>0</v>
      </c>
      <c r="I650" s="68">
        <v>0</v>
      </c>
      <c r="J650" s="68">
        <v>0</v>
      </c>
      <c r="K650" s="68">
        <v>0</v>
      </c>
      <c r="L650" s="68">
        <v>0</v>
      </c>
      <c r="M650" s="68">
        <v>0</v>
      </c>
      <c r="N650" s="69">
        <v>0</v>
      </c>
      <c r="O650" s="65" t="str">
        <f>VLOOKUP(A650,Report_HQ1!$A$7:$C$95,3,FALSE)</f>
        <v>BV Quảng Ngãi</v>
      </c>
      <c r="P650" s="40" t="str">
        <f>VLOOKUP(C650,Sheet1!$U$4:$V$14,2,FALSE)</f>
        <v>Hull (Thân tàu biển)</v>
      </c>
      <c r="Q650" s="88">
        <f t="shared" si="9"/>
        <v>0</v>
      </c>
    </row>
    <row r="651" spans="1:17" x14ac:dyDescent="0.25">
      <c r="A651" s="85" t="s">
        <v>342</v>
      </c>
      <c r="B651" s="65" t="s">
        <v>200</v>
      </c>
      <c r="C651" s="65" t="s">
        <v>23</v>
      </c>
      <c r="D651" s="66">
        <v>0</v>
      </c>
      <c r="E651" s="65">
        <v>400000000</v>
      </c>
      <c r="F651" s="67">
        <v>0</v>
      </c>
      <c r="G651" s="68">
        <v>0</v>
      </c>
      <c r="H651" s="68">
        <v>0</v>
      </c>
      <c r="I651" s="68">
        <v>0</v>
      </c>
      <c r="J651" s="68">
        <v>0</v>
      </c>
      <c r="K651" s="68">
        <v>0</v>
      </c>
      <c r="L651" s="68">
        <v>0</v>
      </c>
      <c r="M651" s="68">
        <v>0</v>
      </c>
      <c r="N651" s="69">
        <v>0</v>
      </c>
      <c r="O651" s="65" t="str">
        <f>VLOOKUP(A651,Report_HQ1!$A$7:$C$95,3,FALSE)</f>
        <v>BV Quảng Ngãi</v>
      </c>
      <c r="P651" s="40" t="str">
        <f>VLOOKUP(C651,Sheet1!$U$4:$V$14,2,FALSE)</f>
        <v>P&amp;I</v>
      </c>
      <c r="Q651" s="88">
        <f t="shared" si="9"/>
        <v>0</v>
      </c>
    </row>
    <row r="652" spans="1:17" x14ac:dyDescent="0.25">
      <c r="A652" s="85" t="s">
        <v>342</v>
      </c>
      <c r="B652" s="65" t="s">
        <v>200</v>
      </c>
      <c r="C652" s="65" t="s">
        <v>389</v>
      </c>
      <c r="D652" s="66">
        <v>0</v>
      </c>
      <c r="E652" s="65">
        <v>400000000</v>
      </c>
      <c r="F652" s="67">
        <v>0</v>
      </c>
      <c r="G652" s="68">
        <v>0</v>
      </c>
      <c r="H652" s="68">
        <v>0</v>
      </c>
      <c r="I652" s="68">
        <v>0</v>
      </c>
      <c r="J652" s="68">
        <v>0</v>
      </c>
      <c r="K652" s="68">
        <v>0</v>
      </c>
      <c r="L652" s="68">
        <v>0</v>
      </c>
      <c r="M652" s="68">
        <v>0</v>
      </c>
      <c r="N652" s="69">
        <v>0</v>
      </c>
      <c r="O652" s="65" t="str">
        <f>VLOOKUP(A652,Report_HQ1!$A$7:$C$95,3,FALSE)</f>
        <v>BV Quảng Ngãi</v>
      </c>
      <c r="P652" s="40" t="str">
        <f>VLOOKUP(C652,Sheet1!$U$4:$V$14,2,FALSE)</f>
        <v>BH Trách nhiệm</v>
      </c>
      <c r="Q652" s="88">
        <f t="shared" ref="Q652:Q715" si="10">N652</f>
        <v>0</v>
      </c>
    </row>
    <row r="653" spans="1:17" x14ac:dyDescent="0.25">
      <c r="A653" s="85" t="s">
        <v>342</v>
      </c>
      <c r="B653" s="65" t="s">
        <v>200</v>
      </c>
      <c r="C653" s="65" t="s">
        <v>390</v>
      </c>
      <c r="D653" s="66">
        <v>1016487426</v>
      </c>
      <c r="E653" s="65">
        <v>400000000</v>
      </c>
      <c r="F653" s="67">
        <v>39232580.373980306</v>
      </c>
      <c r="G653" s="68">
        <v>0</v>
      </c>
      <c r="H653" s="68">
        <v>39232580.373980306</v>
      </c>
      <c r="I653" s="68">
        <v>0</v>
      </c>
      <c r="J653" s="68">
        <v>0</v>
      </c>
      <c r="K653" s="68">
        <v>0</v>
      </c>
      <c r="L653" s="68">
        <v>121673545</v>
      </c>
      <c r="M653" s="68">
        <v>25717132</v>
      </c>
      <c r="N653" s="69">
        <v>186623257.37398031</v>
      </c>
      <c r="O653" s="65" t="str">
        <f>VLOOKUP(A653,Report_HQ1!$A$7:$C$95,3,FALSE)</f>
        <v>BV Quảng Ngãi</v>
      </c>
      <c r="P653" s="40" t="e">
        <f>VLOOKUP(C653,Sheet1!$U$4:$V$14,2,FALSE)</f>
        <v>#N/A</v>
      </c>
      <c r="Q653" s="88">
        <f t="shared" si="10"/>
        <v>186623257.37398031</v>
      </c>
    </row>
    <row r="654" spans="1:17" x14ac:dyDescent="0.25">
      <c r="A654" s="85" t="s">
        <v>342</v>
      </c>
      <c r="B654" s="65" t="s">
        <v>200</v>
      </c>
      <c r="C654" s="65" t="s">
        <v>391</v>
      </c>
      <c r="D654" s="66">
        <v>22077273</v>
      </c>
      <c r="E654" s="65">
        <v>400000000</v>
      </c>
      <c r="F654" s="67">
        <v>852099.46060936828</v>
      </c>
      <c r="G654" s="68">
        <v>0</v>
      </c>
      <c r="H654" s="68">
        <v>852099.46060936828</v>
      </c>
      <c r="I654" s="68">
        <v>0</v>
      </c>
      <c r="J654" s="68">
        <v>2207727</v>
      </c>
      <c r="K654" s="68">
        <v>1103864</v>
      </c>
      <c r="L654" s="68">
        <v>1205227</v>
      </c>
      <c r="M654" s="68">
        <v>1324636</v>
      </c>
      <c r="N654" s="69">
        <v>6693553.460609368</v>
      </c>
      <c r="O654" s="65" t="str">
        <f>VLOOKUP(A654,Report_HQ1!$A$7:$C$95,3,FALSE)</f>
        <v>BV Quảng Ngãi</v>
      </c>
      <c r="P654" s="40" t="str">
        <f>VLOOKUP(C654,Sheet1!$U$4:$V$14,2,FALSE)</f>
        <v>BH Kỹ thuật</v>
      </c>
      <c r="Q654" s="88">
        <f t="shared" si="10"/>
        <v>6693553.460609368</v>
      </c>
    </row>
    <row r="655" spans="1:17" x14ac:dyDescent="0.25">
      <c r="A655" s="85" t="s">
        <v>342</v>
      </c>
      <c r="B655" s="65" t="s">
        <v>200</v>
      </c>
      <c r="C655" s="65" t="s">
        <v>392</v>
      </c>
      <c r="D655" s="66">
        <v>1912868007</v>
      </c>
      <c r="E655" s="65">
        <v>400000000</v>
      </c>
      <c r="F655" s="67">
        <v>73829489.583320245</v>
      </c>
      <c r="G655" s="68">
        <v>0</v>
      </c>
      <c r="H655" s="68">
        <v>73829489.583320245</v>
      </c>
      <c r="I655" s="68">
        <v>0</v>
      </c>
      <c r="J655" s="68">
        <v>26437892</v>
      </c>
      <c r="K655" s="68">
        <v>13218945</v>
      </c>
      <c r="L655" s="68">
        <v>292063381</v>
      </c>
      <c r="M655" s="68">
        <v>68140841</v>
      </c>
      <c r="N655" s="69">
        <v>473690548.58332026</v>
      </c>
      <c r="O655" s="65" t="str">
        <f>VLOOKUP(A655,Report_HQ1!$A$7:$C$95,3,FALSE)</f>
        <v>BV Quảng Ngãi</v>
      </c>
      <c r="P655" s="40" t="str">
        <f>VLOOKUP(C655,Sheet1!$U$4:$V$14,2,FALSE)</f>
        <v>BH Tài sản</v>
      </c>
      <c r="Q655" s="88">
        <f t="shared" si="10"/>
        <v>473690548.58332026</v>
      </c>
    </row>
    <row r="656" spans="1:17" x14ac:dyDescent="0.25">
      <c r="A656" s="85" t="s">
        <v>342</v>
      </c>
      <c r="B656" s="65" t="s">
        <v>200</v>
      </c>
      <c r="C656" s="65" t="s">
        <v>393</v>
      </c>
      <c r="D656" s="66">
        <v>2790242493</v>
      </c>
      <c r="E656" s="65">
        <v>400000000</v>
      </c>
      <c r="F656" s="67">
        <v>107692835.21812858</v>
      </c>
      <c r="G656" s="68">
        <v>0</v>
      </c>
      <c r="H656" s="68">
        <v>107692835.21812858</v>
      </c>
      <c r="I656" s="68">
        <v>0</v>
      </c>
      <c r="J656" s="68">
        <v>255838714</v>
      </c>
      <c r="K656" s="68">
        <v>127919357</v>
      </c>
      <c r="L656" s="68">
        <v>292862175</v>
      </c>
      <c r="M656" s="68">
        <v>166340199</v>
      </c>
      <c r="N656" s="69">
        <v>950653280.21812856</v>
      </c>
      <c r="O656" s="65" t="str">
        <f>VLOOKUP(A656,Report_HQ1!$A$7:$C$95,3,FALSE)</f>
        <v>BV Quảng Ngãi</v>
      </c>
      <c r="P656" s="40" t="str">
        <f>VLOOKUP(C656,Sheet1!$U$4:$V$14,2,FALSE)</f>
        <v>BH Xe cơ giới</v>
      </c>
      <c r="Q656" s="88">
        <f t="shared" si="10"/>
        <v>950653280.21812856</v>
      </c>
    </row>
    <row r="657" spans="1:17" x14ac:dyDescent="0.25">
      <c r="A657" s="85" t="s">
        <v>342</v>
      </c>
      <c r="B657" s="65" t="s">
        <v>200</v>
      </c>
      <c r="C657" s="65" t="s">
        <v>394</v>
      </c>
      <c r="D657" s="66">
        <v>3122298945</v>
      </c>
      <c r="E657" s="65">
        <v>400000000</v>
      </c>
      <c r="F657" s="67">
        <v>120508961.72256871</v>
      </c>
      <c r="G657" s="68">
        <v>0</v>
      </c>
      <c r="H657" s="68">
        <v>120508961.72256871</v>
      </c>
      <c r="I657" s="68">
        <v>350000</v>
      </c>
      <c r="J657" s="68">
        <v>424208547</v>
      </c>
      <c r="K657" s="68">
        <v>2614657</v>
      </c>
      <c r="L657" s="68">
        <v>121162016</v>
      </c>
      <c r="M657" s="68">
        <v>143868797</v>
      </c>
      <c r="N657" s="69">
        <v>812712978.72256875</v>
      </c>
      <c r="O657" s="65" t="str">
        <f>VLOOKUP(A657,Report_HQ1!$A$7:$C$95,3,FALSE)</f>
        <v>BV Quảng Ngãi</v>
      </c>
      <c r="P657" s="40" t="str">
        <f>VLOOKUP(C657,Sheet1!$U$4:$V$14,2,FALSE)</f>
        <v>BH Con người</v>
      </c>
      <c r="Q657" s="88">
        <f t="shared" si="10"/>
        <v>812712978.72256875</v>
      </c>
    </row>
    <row r="658" spans="1:17" x14ac:dyDescent="0.25">
      <c r="A658" s="85" t="s">
        <v>342</v>
      </c>
      <c r="B658" s="65" t="s">
        <v>200</v>
      </c>
      <c r="C658" s="65" t="s">
        <v>395</v>
      </c>
      <c r="D658" s="66">
        <v>0</v>
      </c>
      <c r="E658" s="65">
        <v>400000000</v>
      </c>
      <c r="F658" s="67">
        <v>0</v>
      </c>
      <c r="G658" s="68">
        <v>0</v>
      </c>
      <c r="H658" s="68">
        <v>0</v>
      </c>
      <c r="I658" s="68">
        <v>0</v>
      </c>
      <c r="J658" s="68">
        <v>0</v>
      </c>
      <c r="K658" s="68">
        <v>0</v>
      </c>
      <c r="L658" s="68">
        <v>0</v>
      </c>
      <c r="M658" s="68">
        <v>0</v>
      </c>
      <c r="N658" s="69">
        <v>0</v>
      </c>
      <c r="O658" s="65" t="str">
        <f>VLOOKUP(A658,Report_HQ1!$A$7:$C$95,3,FALSE)</f>
        <v>BV Quảng Ngãi</v>
      </c>
      <c r="P658" s="40" t="e">
        <f>VLOOKUP(C658,Sheet1!$U$4:$V$14,2,FALSE)</f>
        <v>#N/A</v>
      </c>
      <c r="Q658" s="88">
        <f t="shared" si="10"/>
        <v>0</v>
      </c>
    </row>
    <row r="659" spans="1:17" x14ac:dyDescent="0.25">
      <c r="A659" s="85" t="s">
        <v>342</v>
      </c>
      <c r="B659" s="65" t="s">
        <v>200</v>
      </c>
      <c r="C659" s="65" t="s">
        <v>396</v>
      </c>
      <c r="D659" s="66">
        <v>525763070</v>
      </c>
      <c r="E659" s="65">
        <v>400000000</v>
      </c>
      <c r="F659" s="67">
        <v>20292471.282813128</v>
      </c>
      <c r="G659" s="68">
        <v>0</v>
      </c>
      <c r="H659" s="68">
        <v>20292471.282813128</v>
      </c>
      <c r="I659" s="68">
        <v>0</v>
      </c>
      <c r="J659" s="68">
        <v>105152614</v>
      </c>
      <c r="K659" s="68">
        <v>21030523</v>
      </c>
      <c r="L659" s="68">
        <v>4302040</v>
      </c>
      <c r="M659" s="68">
        <v>44269796</v>
      </c>
      <c r="N659" s="69">
        <v>195047444.28281313</v>
      </c>
      <c r="O659" s="65" t="str">
        <f>VLOOKUP(A659,Report_HQ1!$A$7:$C$95,3,FALSE)</f>
        <v>BV Quảng Ngãi</v>
      </c>
      <c r="P659" s="40" t="str">
        <f>VLOOKUP(C659,Sheet1!$U$4:$V$14,2,FALSE)</f>
        <v>BH Y tế</v>
      </c>
      <c r="Q659" s="88">
        <f t="shared" si="10"/>
        <v>195047444.28281313</v>
      </c>
    </row>
    <row r="660" spans="1:17" x14ac:dyDescent="0.25">
      <c r="A660" s="85" t="s">
        <v>342</v>
      </c>
      <c r="B660" s="65" t="s">
        <v>200</v>
      </c>
      <c r="C660" s="65" t="s">
        <v>397</v>
      </c>
      <c r="D660" s="66">
        <v>5910000</v>
      </c>
      <c r="E660" s="65">
        <v>400000000</v>
      </c>
      <c r="F660" s="67">
        <v>228103.70702039907</v>
      </c>
      <c r="G660" s="68">
        <v>0</v>
      </c>
      <c r="H660" s="68">
        <v>228103.70702039907</v>
      </c>
      <c r="I660" s="68">
        <v>0</v>
      </c>
      <c r="J660" s="68">
        <v>1182000</v>
      </c>
      <c r="K660" s="68">
        <v>1182000</v>
      </c>
      <c r="L660" s="68">
        <v>0</v>
      </c>
      <c r="M660" s="68">
        <v>472800</v>
      </c>
      <c r="N660" s="69">
        <v>3064903.7070203992</v>
      </c>
      <c r="O660" s="65" t="str">
        <f>VLOOKUP(A660,Report_HQ1!$A$7:$C$95,3,FALSE)</f>
        <v>BV Quảng Ngãi</v>
      </c>
      <c r="P660" s="40" t="str">
        <f>VLOOKUP(C660,Sheet1!$U$4:$V$14,2,FALSE)</f>
        <v>BH Du lịch</v>
      </c>
      <c r="Q660" s="88">
        <f t="shared" si="10"/>
        <v>3064903.7070203992</v>
      </c>
    </row>
    <row r="661" spans="1:17" x14ac:dyDescent="0.25">
      <c r="A661" s="85" t="s">
        <v>343</v>
      </c>
      <c r="B661" s="65" t="s">
        <v>201</v>
      </c>
      <c r="C661" s="65" t="s">
        <v>387</v>
      </c>
      <c r="D661" s="66">
        <v>1223073441</v>
      </c>
      <c r="E661" s="65">
        <v>1013000000</v>
      </c>
      <c r="F661" s="67">
        <v>43208859.876383238</v>
      </c>
      <c r="G661" s="68">
        <v>0</v>
      </c>
      <c r="H661" s="68">
        <v>43208859.876383238</v>
      </c>
      <c r="I661" s="68">
        <v>0</v>
      </c>
      <c r="J661" s="68">
        <v>29965239</v>
      </c>
      <c r="K661" s="68">
        <v>14982619</v>
      </c>
      <c r="L661" s="68">
        <v>395771023</v>
      </c>
      <c r="M661" s="68">
        <v>125019997</v>
      </c>
      <c r="N661" s="69">
        <v>608947737.8763833</v>
      </c>
      <c r="O661" s="65" t="str">
        <f>VLOOKUP(A661,Report_HQ1!$A$7:$C$95,3,FALSE)</f>
        <v>BV Quảng Ninh</v>
      </c>
      <c r="P661" s="40" t="str">
        <f>VLOOKUP(C661,Sheet1!$U$4:$V$14,2,FALSE)</f>
        <v>BH Hàng hóa</v>
      </c>
      <c r="Q661" s="88">
        <f t="shared" si="10"/>
        <v>608947737.8763833</v>
      </c>
    </row>
    <row r="662" spans="1:17" x14ac:dyDescent="0.25">
      <c r="A662" s="85" t="s">
        <v>343</v>
      </c>
      <c r="B662" s="65" t="s">
        <v>201</v>
      </c>
      <c r="C662" s="65" t="s">
        <v>272</v>
      </c>
      <c r="D662" s="66">
        <v>2584438355</v>
      </c>
      <c r="E662" s="65">
        <v>1013000000</v>
      </c>
      <c r="F662" s="67">
        <v>91303294.632121265</v>
      </c>
      <c r="G662" s="68">
        <v>0</v>
      </c>
      <c r="H662" s="68">
        <v>91303294.632121265</v>
      </c>
      <c r="I662" s="68">
        <v>6325431</v>
      </c>
      <c r="J662" s="68">
        <v>387665753</v>
      </c>
      <c r="K662" s="68">
        <v>180910685</v>
      </c>
      <c r="L662" s="68">
        <v>25844383</v>
      </c>
      <c r="M662" s="68">
        <v>206755068</v>
      </c>
      <c r="N662" s="69">
        <v>898804614.63212132</v>
      </c>
      <c r="O662" s="65" t="str">
        <f>VLOOKUP(A662,Report_HQ1!$A$7:$C$95,3,FALSE)</f>
        <v>BV Quảng Ninh</v>
      </c>
      <c r="P662" s="40" t="str">
        <f>VLOOKUP(C662,Sheet1!$U$4:$V$14,2,FALSE)</f>
        <v>Tàu khác</v>
      </c>
      <c r="Q662" s="88">
        <f t="shared" si="10"/>
        <v>898804614.63212132</v>
      </c>
    </row>
    <row r="663" spans="1:17" x14ac:dyDescent="0.25">
      <c r="A663" s="85" t="s">
        <v>343</v>
      </c>
      <c r="B663" s="65" t="s">
        <v>201</v>
      </c>
      <c r="C663" s="65" t="s">
        <v>388</v>
      </c>
      <c r="D663" s="66">
        <v>533230545</v>
      </c>
      <c r="E663" s="65">
        <v>1013000000</v>
      </c>
      <c r="F663" s="67">
        <v>18838021.600628041</v>
      </c>
      <c r="G663" s="68">
        <v>0</v>
      </c>
      <c r="H663" s="68">
        <v>18838021.600628041</v>
      </c>
      <c r="I663" s="68">
        <v>2666153</v>
      </c>
      <c r="J663" s="68">
        <v>26661527</v>
      </c>
      <c r="K663" s="68">
        <v>13330763</v>
      </c>
      <c r="L663" s="68">
        <v>0</v>
      </c>
      <c r="M663" s="68">
        <v>15996917</v>
      </c>
      <c r="N663" s="69">
        <v>77493381.600628048</v>
      </c>
      <c r="O663" s="65" t="str">
        <f>VLOOKUP(A663,Report_HQ1!$A$7:$C$95,3,FALSE)</f>
        <v>BV Quảng Ninh</v>
      </c>
      <c r="P663" s="40" t="str">
        <f>VLOOKUP(C663,Sheet1!$U$4:$V$14,2,FALSE)</f>
        <v>Hull (Thân tàu biển)</v>
      </c>
      <c r="Q663" s="88">
        <f t="shared" si="10"/>
        <v>77493381.600628048</v>
      </c>
    </row>
    <row r="664" spans="1:17" x14ac:dyDescent="0.25">
      <c r="A664" s="85" t="s">
        <v>343</v>
      </c>
      <c r="B664" s="65" t="s">
        <v>201</v>
      </c>
      <c r="C664" s="65" t="s">
        <v>23</v>
      </c>
      <c r="D664" s="66">
        <v>1426524472</v>
      </c>
      <c r="E664" s="65">
        <v>1013000000</v>
      </c>
      <c r="F664" s="67">
        <v>50396398.085860796</v>
      </c>
      <c r="G664" s="68">
        <v>0</v>
      </c>
      <c r="H664" s="68">
        <v>50396398.085860796</v>
      </c>
      <c r="I664" s="68">
        <v>0</v>
      </c>
      <c r="J664" s="68">
        <v>104833949</v>
      </c>
      <c r="K664" s="68">
        <v>2155386</v>
      </c>
      <c r="L664" s="68">
        <v>0</v>
      </c>
      <c r="M664" s="68">
        <v>43657889</v>
      </c>
      <c r="N664" s="69">
        <v>201043622.08586079</v>
      </c>
      <c r="O664" s="65" t="str">
        <f>VLOOKUP(A664,Report_HQ1!$A$7:$C$95,3,FALSE)</f>
        <v>BV Quảng Ninh</v>
      </c>
      <c r="P664" s="40" t="str">
        <f>VLOOKUP(C664,Sheet1!$U$4:$V$14,2,FALSE)</f>
        <v>P&amp;I</v>
      </c>
      <c r="Q664" s="88">
        <f t="shared" si="10"/>
        <v>201043622.08586079</v>
      </c>
    </row>
    <row r="665" spans="1:17" x14ac:dyDescent="0.25">
      <c r="A665" s="85" t="s">
        <v>343</v>
      </c>
      <c r="B665" s="65" t="s">
        <v>201</v>
      </c>
      <c r="C665" s="65" t="s">
        <v>389</v>
      </c>
      <c r="D665" s="66">
        <v>75652400</v>
      </c>
      <c r="E665" s="65">
        <v>1013000000</v>
      </c>
      <c r="F665" s="67">
        <v>2672655.4933932987</v>
      </c>
      <c r="G665" s="68">
        <v>0</v>
      </c>
      <c r="H665" s="68">
        <v>2672655.4933932987</v>
      </c>
      <c r="I665" s="68">
        <v>0</v>
      </c>
      <c r="J665" s="68">
        <v>2995000</v>
      </c>
      <c r="K665" s="68">
        <v>1497500</v>
      </c>
      <c r="L665" s="68">
        <v>8502412</v>
      </c>
      <c r="M665" s="68">
        <v>5952764</v>
      </c>
      <c r="N665" s="69">
        <v>21620331.493393298</v>
      </c>
      <c r="O665" s="65" t="str">
        <f>VLOOKUP(A665,Report_HQ1!$A$7:$C$95,3,FALSE)</f>
        <v>BV Quảng Ninh</v>
      </c>
      <c r="P665" s="40" t="str">
        <f>VLOOKUP(C665,Sheet1!$U$4:$V$14,2,FALSE)</f>
        <v>BH Trách nhiệm</v>
      </c>
      <c r="Q665" s="88">
        <f t="shared" si="10"/>
        <v>21620331.493393298</v>
      </c>
    </row>
    <row r="666" spans="1:17" x14ac:dyDescent="0.25">
      <c r="A666" s="85" t="s">
        <v>343</v>
      </c>
      <c r="B666" s="65" t="s">
        <v>201</v>
      </c>
      <c r="C666" s="65" t="s">
        <v>390</v>
      </c>
      <c r="D666" s="66">
        <v>2032974804</v>
      </c>
      <c r="E666" s="65">
        <v>1013000000</v>
      </c>
      <c r="F666" s="67">
        <v>71821135.586455494</v>
      </c>
      <c r="G666" s="68">
        <v>0</v>
      </c>
      <c r="H666" s="68">
        <v>71821135.586455494</v>
      </c>
      <c r="I666" s="68">
        <v>0</v>
      </c>
      <c r="J666" s="68">
        <v>0</v>
      </c>
      <c r="K666" s="68">
        <v>0</v>
      </c>
      <c r="L666" s="68">
        <v>243347085</v>
      </c>
      <c r="M666" s="68">
        <v>51434263</v>
      </c>
      <c r="N666" s="69">
        <v>366602483.58645546</v>
      </c>
      <c r="O666" s="65" t="str">
        <f>VLOOKUP(A666,Report_HQ1!$A$7:$C$95,3,FALSE)</f>
        <v>BV Quảng Ninh</v>
      </c>
      <c r="P666" s="40" t="e">
        <f>VLOOKUP(C666,Sheet1!$U$4:$V$14,2,FALSE)</f>
        <v>#N/A</v>
      </c>
      <c r="Q666" s="88">
        <f t="shared" si="10"/>
        <v>366602483.58645546</v>
      </c>
    </row>
    <row r="667" spans="1:17" x14ac:dyDescent="0.25">
      <c r="A667" s="85" t="s">
        <v>343</v>
      </c>
      <c r="B667" s="65" t="s">
        <v>201</v>
      </c>
      <c r="C667" s="65" t="s">
        <v>391</v>
      </c>
      <c r="D667" s="66">
        <v>1496617395</v>
      </c>
      <c r="E667" s="65">
        <v>1013000000</v>
      </c>
      <c r="F667" s="67">
        <v>52872647.824189566</v>
      </c>
      <c r="G667" s="68">
        <v>0</v>
      </c>
      <c r="H667" s="68">
        <v>52872647.824189566</v>
      </c>
      <c r="I667" s="68">
        <v>0</v>
      </c>
      <c r="J667" s="68">
        <v>0</v>
      </c>
      <c r="K667" s="68">
        <v>0</v>
      </c>
      <c r="L667" s="68">
        <v>521289</v>
      </c>
      <c r="M667" s="68">
        <v>123463</v>
      </c>
      <c r="N667" s="69">
        <v>53517399.824189566</v>
      </c>
      <c r="O667" s="65" t="str">
        <f>VLOOKUP(A667,Report_HQ1!$A$7:$C$95,3,FALSE)</f>
        <v>BV Quảng Ninh</v>
      </c>
      <c r="P667" s="40" t="str">
        <f>VLOOKUP(C667,Sheet1!$U$4:$V$14,2,FALSE)</f>
        <v>BH Kỹ thuật</v>
      </c>
      <c r="Q667" s="88">
        <f t="shared" si="10"/>
        <v>53517399.824189566</v>
      </c>
    </row>
    <row r="668" spans="1:17" x14ac:dyDescent="0.25">
      <c r="A668" s="85" t="s">
        <v>343</v>
      </c>
      <c r="B668" s="65" t="s">
        <v>201</v>
      </c>
      <c r="C668" s="65" t="s">
        <v>392</v>
      </c>
      <c r="D668" s="66">
        <v>3173380440</v>
      </c>
      <c r="E668" s="65">
        <v>1013000000</v>
      </c>
      <c r="F668" s="67">
        <v>112109499.04554045</v>
      </c>
      <c r="G668" s="68">
        <v>0</v>
      </c>
      <c r="H668" s="68">
        <v>112109499.04554045</v>
      </c>
      <c r="I668" s="68">
        <v>0</v>
      </c>
      <c r="J668" s="68">
        <v>60185990</v>
      </c>
      <c r="K668" s="68">
        <v>30092995</v>
      </c>
      <c r="L668" s="68">
        <v>475746857</v>
      </c>
      <c r="M668" s="68">
        <v>75725187</v>
      </c>
      <c r="N668" s="69">
        <v>753860528.04554045</v>
      </c>
      <c r="O668" s="65" t="str">
        <f>VLOOKUP(A668,Report_HQ1!$A$7:$C$95,3,FALSE)</f>
        <v>BV Quảng Ninh</v>
      </c>
      <c r="P668" s="40" t="str">
        <f>VLOOKUP(C668,Sheet1!$U$4:$V$14,2,FALSE)</f>
        <v>BH Tài sản</v>
      </c>
      <c r="Q668" s="88">
        <f t="shared" si="10"/>
        <v>753860528.04554045</v>
      </c>
    </row>
    <row r="669" spans="1:17" x14ac:dyDescent="0.25">
      <c r="A669" s="85" t="s">
        <v>343</v>
      </c>
      <c r="B669" s="65" t="s">
        <v>201</v>
      </c>
      <c r="C669" s="65" t="s">
        <v>393</v>
      </c>
      <c r="D669" s="66">
        <v>7544916720</v>
      </c>
      <c r="E669" s="65">
        <v>1013000000</v>
      </c>
      <c r="F669" s="67">
        <v>266547566.48702419</v>
      </c>
      <c r="G669" s="68">
        <v>0</v>
      </c>
      <c r="H669" s="68">
        <v>266547566.48702419</v>
      </c>
      <c r="I669" s="68">
        <v>0</v>
      </c>
      <c r="J669" s="68">
        <v>703506952</v>
      </c>
      <c r="K669" s="68">
        <v>352000257</v>
      </c>
      <c r="L669" s="68">
        <v>511416315</v>
      </c>
      <c r="M669" s="68">
        <v>452040934</v>
      </c>
      <c r="N669" s="69">
        <v>2285512024.4870243</v>
      </c>
      <c r="O669" s="65" t="str">
        <f>VLOOKUP(A669,Report_HQ1!$A$7:$C$95,3,FALSE)</f>
        <v>BV Quảng Ninh</v>
      </c>
      <c r="P669" s="40" t="str">
        <f>VLOOKUP(C669,Sheet1!$U$4:$V$14,2,FALSE)</f>
        <v>BH Xe cơ giới</v>
      </c>
      <c r="Q669" s="88">
        <f t="shared" si="10"/>
        <v>2285512024.4870243</v>
      </c>
    </row>
    <row r="670" spans="1:17" x14ac:dyDescent="0.25">
      <c r="A670" s="85" t="s">
        <v>343</v>
      </c>
      <c r="B670" s="65" t="s">
        <v>201</v>
      </c>
      <c r="C670" s="65" t="s">
        <v>394</v>
      </c>
      <c r="D670" s="66">
        <v>3744105288</v>
      </c>
      <c r="E670" s="65">
        <v>1013000000</v>
      </c>
      <c r="F670" s="67">
        <v>132272123.10271849</v>
      </c>
      <c r="G670" s="68">
        <v>0</v>
      </c>
      <c r="H670" s="68">
        <v>132272123.10271849</v>
      </c>
      <c r="I670" s="68">
        <v>4438000</v>
      </c>
      <c r="J670" s="68">
        <v>538482970</v>
      </c>
      <c r="K670" s="68">
        <v>25854330</v>
      </c>
      <c r="L670" s="68">
        <v>100966522</v>
      </c>
      <c r="M670" s="68">
        <v>192149731</v>
      </c>
      <c r="N670" s="69">
        <v>994163676.10271847</v>
      </c>
      <c r="O670" s="65" t="str">
        <f>VLOOKUP(A670,Report_HQ1!$A$7:$C$95,3,FALSE)</f>
        <v>BV Quảng Ninh</v>
      </c>
      <c r="P670" s="40" t="str">
        <f>VLOOKUP(C670,Sheet1!$U$4:$V$14,2,FALSE)</f>
        <v>BH Con người</v>
      </c>
      <c r="Q670" s="88">
        <f t="shared" si="10"/>
        <v>994163676.10271847</v>
      </c>
    </row>
    <row r="671" spans="1:17" x14ac:dyDescent="0.25">
      <c r="A671" s="85" t="s">
        <v>343</v>
      </c>
      <c r="B671" s="65" t="s">
        <v>201</v>
      </c>
      <c r="C671" s="65" t="s">
        <v>395</v>
      </c>
      <c r="D671" s="66">
        <v>0</v>
      </c>
      <c r="E671" s="65">
        <v>1013000000</v>
      </c>
      <c r="F671" s="67">
        <v>0</v>
      </c>
      <c r="G671" s="68">
        <v>0</v>
      </c>
      <c r="H671" s="68">
        <v>0</v>
      </c>
      <c r="I671" s="68">
        <v>0</v>
      </c>
      <c r="J671" s="68">
        <v>0</v>
      </c>
      <c r="K671" s="68">
        <v>0</v>
      </c>
      <c r="L671" s="68">
        <v>0</v>
      </c>
      <c r="M671" s="68">
        <v>0</v>
      </c>
      <c r="N671" s="69">
        <v>0</v>
      </c>
      <c r="O671" s="65" t="str">
        <f>VLOOKUP(A671,Report_HQ1!$A$7:$C$95,3,FALSE)</f>
        <v>BV Quảng Ninh</v>
      </c>
      <c r="P671" s="40" t="e">
        <f>VLOOKUP(C671,Sheet1!$U$4:$V$14,2,FALSE)</f>
        <v>#N/A</v>
      </c>
      <c r="Q671" s="88">
        <f t="shared" si="10"/>
        <v>0</v>
      </c>
    </row>
    <row r="672" spans="1:17" x14ac:dyDescent="0.25">
      <c r="A672" s="85" t="s">
        <v>343</v>
      </c>
      <c r="B672" s="65" t="s">
        <v>201</v>
      </c>
      <c r="C672" s="65" t="s">
        <v>396</v>
      </c>
      <c r="D672" s="66">
        <v>4634040283</v>
      </c>
      <c r="E672" s="65">
        <v>1013000000</v>
      </c>
      <c r="F672" s="67">
        <v>163711834.9049837</v>
      </c>
      <c r="G672" s="68">
        <v>0</v>
      </c>
      <c r="H672" s="68">
        <v>163711834.9049837</v>
      </c>
      <c r="I672" s="68">
        <v>0</v>
      </c>
      <c r="J672" s="68">
        <v>820727095</v>
      </c>
      <c r="K672" s="68">
        <v>161443088</v>
      </c>
      <c r="L672" s="68">
        <v>16615459</v>
      </c>
      <c r="M672" s="68">
        <v>269944024</v>
      </c>
      <c r="N672" s="69">
        <v>1432441500.9049838</v>
      </c>
      <c r="O672" s="65" t="str">
        <f>VLOOKUP(A672,Report_HQ1!$A$7:$C$95,3,FALSE)</f>
        <v>BV Quảng Ninh</v>
      </c>
      <c r="P672" s="40" t="str">
        <f>VLOOKUP(C672,Sheet1!$U$4:$V$14,2,FALSE)</f>
        <v>BH Y tế</v>
      </c>
      <c r="Q672" s="88">
        <f t="shared" si="10"/>
        <v>1432441500.9049838</v>
      </c>
    </row>
    <row r="673" spans="1:17" x14ac:dyDescent="0.25">
      <c r="A673" s="85" t="s">
        <v>343</v>
      </c>
      <c r="B673" s="65" t="s">
        <v>201</v>
      </c>
      <c r="C673" s="65" t="s">
        <v>397</v>
      </c>
      <c r="D673" s="66">
        <v>205104818</v>
      </c>
      <c r="E673" s="65">
        <v>1013000000</v>
      </c>
      <c r="F673" s="67">
        <v>7245963.3607014818</v>
      </c>
      <c r="G673" s="68">
        <v>0</v>
      </c>
      <c r="H673" s="68">
        <v>7245963.3607014818</v>
      </c>
      <c r="I673" s="68">
        <v>0</v>
      </c>
      <c r="J673" s="68">
        <v>41020964</v>
      </c>
      <c r="K673" s="68">
        <v>41020964</v>
      </c>
      <c r="L673" s="68">
        <v>0</v>
      </c>
      <c r="M673" s="68">
        <v>16408385</v>
      </c>
      <c r="N673" s="69">
        <v>105696276.36070147</v>
      </c>
      <c r="O673" s="65" t="str">
        <f>VLOOKUP(A673,Report_HQ1!$A$7:$C$95,3,FALSE)</f>
        <v>BV Quảng Ninh</v>
      </c>
      <c r="P673" s="40" t="str">
        <f>VLOOKUP(C673,Sheet1!$U$4:$V$14,2,FALSE)</f>
        <v>BH Du lịch</v>
      </c>
      <c r="Q673" s="88">
        <f t="shared" si="10"/>
        <v>105696276.36070147</v>
      </c>
    </row>
    <row r="674" spans="1:17" x14ac:dyDescent="0.25">
      <c r="A674" s="85" t="s">
        <v>344</v>
      </c>
      <c r="B674" s="65" t="s">
        <v>202</v>
      </c>
      <c r="C674" s="65" t="s">
        <v>387</v>
      </c>
      <c r="D674" s="66">
        <v>0</v>
      </c>
      <c r="E674" s="65">
        <v>853750000</v>
      </c>
      <c r="F674" s="67">
        <v>0</v>
      </c>
      <c r="G674" s="68">
        <v>0</v>
      </c>
      <c r="H674" s="68">
        <v>0</v>
      </c>
      <c r="I674" s="68">
        <v>0</v>
      </c>
      <c r="J674" s="68">
        <v>0</v>
      </c>
      <c r="K674" s="68">
        <v>0</v>
      </c>
      <c r="L674" s="68">
        <v>0</v>
      </c>
      <c r="M674" s="68">
        <v>0</v>
      </c>
      <c r="N674" s="69">
        <v>0</v>
      </c>
      <c r="O674" s="65" t="str">
        <f>VLOOKUP(A674,Report_HQ1!$A$7:$C$95,3,FALSE)</f>
        <v>BV Quảng Trị</v>
      </c>
      <c r="P674" s="40" t="str">
        <f>VLOOKUP(C674,Sheet1!$U$4:$V$14,2,FALSE)</f>
        <v>BH Hàng hóa</v>
      </c>
      <c r="Q674" s="88">
        <f t="shared" si="10"/>
        <v>0</v>
      </c>
    </row>
    <row r="675" spans="1:17" x14ac:dyDescent="0.25">
      <c r="A675" s="85" t="s">
        <v>344</v>
      </c>
      <c r="B675" s="65" t="s">
        <v>202</v>
      </c>
      <c r="C675" s="65" t="s">
        <v>272</v>
      </c>
      <c r="D675" s="66">
        <v>59200000</v>
      </c>
      <c r="E675" s="65">
        <v>853750000</v>
      </c>
      <c r="F675" s="67">
        <v>3770313.8996604756</v>
      </c>
      <c r="G675" s="68">
        <v>0</v>
      </c>
      <c r="H675" s="68">
        <v>3770313.8996604756</v>
      </c>
      <c r="I675" s="68">
        <v>296000</v>
      </c>
      <c r="J675" s="68">
        <v>8880000</v>
      </c>
      <c r="K675" s="68">
        <v>4144000</v>
      </c>
      <c r="L675" s="68">
        <v>592000</v>
      </c>
      <c r="M675" s="68">
        <v>4736000</v>
      </c>
      <c r="N675" s="69">
        <v>22418313.899660476</v>
      </c>
      <c r="O675" s="65" t="str">
        <f>VLOOKUP(A675,Report_HQ1!$A$7:$C$95,3,FALSE)</f>
        <v>BV Quảng Trị</v>
      </c>
      <c r="P675" s="40" t="str">
        <f>VLOOKUP(C675,Sheet1!$U$4:$V$14,2,FALSE)</f>
        <v>Tàu khác</v>
      </c>
      <c r="Q675" s="88">
        <f t="shared" si="10"/>
        <v>22418313.899660476</v>
      </c>
    </row>
    <row r="676" spans="1:17" x14ac:dyDescent="0.25">
      <c r="A676" s="85" t="s">
        <v>344</v>
      </c>
      <c r="B676" s="65" t="s">
        <v>202</v>
      </c>
      <c r="C676" s="65" t="s">
        <v>388</v>
      </c>
      <c r="D676" s="66">
        <v>0</v>
      </c>
      <c r="E676" s="65">
        <v>853750000</v>
      </c>
      <c r="F676" s="67">
        <v>0</v>
      </c>
      <c r="G676" s="68">
        <v>0</v>
      </c>
      <c r="H676" s="68">
        <v>0</v>
      </c>
      <c r="I676" s="68">
        <v>0</v>
      </c>
      <c r="J676" s="68">
        <v>0</v>
      </c>
      <c r="K676" s="68">
        <v>0</v>
      </c>
      <c r="L676" s="68">
        <v>0</v>
      </c>
      <c r="M676" s="68">
        <v>0</v>
      </c>
      <c r="N676" s="69">
        <v>0</v>
      </c>
      <c r="O676" s="65" t="str">
        <f>VLOOKUP(A676,Report_HQ1!$A$7:$C$95,3,FALSE)</f>
        <v>BV Quảng Trị</v>
      </c>
      <c r="P676" s="40" t="str">
        <f>VLOOKUP(C676,Sheet1!$U$4:$V$14,2,FALSE)</f>
        <v>Hull (Thân tàu biển)</v>
      </c>
      <c r="Q676" s="88">
        <f t="shared" si="10"/>
        <v>0</v>
      </c>
    </row>
    <row r="677" spans="1:17" x14ac:dyDescent="0.25">
      <c r="A677" s="85" t="s">
        <v>344</v>
      </c>
      <c r="B677" s="65" t="s">
        <v>202</v>
      </c>
      <c r="C677" s="65" t="s">
        <v>23</v>
      </c>
      <c r="D677" s="66">
        <v>1104019984</v>
      </c>
      <c r="E677" s="65">
        <v>853750000</v>
      </c>
      <c r="F677" s="67">
        <v>70312531.945576608</v>
      </c>
      <c r="G677" s="68">
        <v>0</v>
      </c>
      <c r="H677" s="68">
        <v>70312531.945576608</v>
      </c>
      <c r="I677" s="68">
        <v>0</v>
      </c>
      <c r="J677" s="68">
        <v>30334220</v>
      </c>
      <c r="K677" s="68">
        <v>15167110</v>
      </c>
      <c r="L677" s="68">
        <v>37300169</v>
      </c>
      <c r="M677" s="68">
        <v>33120599</v>
      </c>
      <c r="N677" s="69">
        <v>186234629.94557661</v>
      </c>
      <c r="O677" s="65" t="str">
        <f>VLOOKUP(A677,Report_HQ1!$A$7:$C$95,3,FALSE)</f>
        <v>BV Quảng Trị</v>
      </c>
      <c r="P677" s="40" t="str">
        <f>VLOOKUP(C677,Sheet1!$U$4:$V$14,2,FALSE)</f>
        <v>P&amp;I</v>
      </c>
      <c r="Q677" s="88">
        <f t="shared" si="10"/>
        <v>186234629.94557661</v>
      </c>
    </row>
    <row r="678" spans="1:17" x14ac:dyDescent="0.25">
      <c r="A678" s="85" t="s">
        <v>344</v>
      </c>
      <c r="B678" s="65" t="s">
        <v>202</v>
      </c>
      <c r="C678" s="65" t="s">
        <v>389</v>
      </c>
      <c r="D678" s="66">
        <v>0</v>
      </c>
      <c r="E678" s="65">
        <v>853750000</v>
      </c>
      <c r="F678" s="67">
        <v>0</v>
      </c>
      <c r="G678" s="68">
        <v>0</v>
      </c>
      <c r="H678" s="68">
        <v>0</v>
      </c>
      <c r="I678" s="68">
        <v>0</v>
      </c>
      <c r="J678" s="68">
        <v>0</v>
      </c>
      <c r="K678" s="68">
        <v>0</v>
      </c>
      <c r="L678" s="68">
        <v>0</v>
      </c>
      <c r="M678" s="68">
        <v>0</v>
      </c>
      <c r="N678" s="69">
        <v>0</v>
      </c>
      <c r="O678" s="65" t="str">
        <f>VLOOKUP(A678,Report_HQ1!$A$7:$C$95,3,FALSE)</f>
        <v>BV Quảng Trị</v>
      </c>
      <c r="P678" s="40" t="str">
        <f>VLOOKUP(C678,Sheet1!$U$4:$V$14,2,FALSE)</f>
        <v>BH Trách nhiệm</v>
      </c>
      <c r="Q678" s="88">
        <f t="shared" si="10"/>
        <v>0</v>
      </c>
    </row>
    <row r="679" spans="1:17" x14ac:dyDescent="0.25">
      <c r="A679" s="85" t="s">
        <v>344</v>
      </c>
      <c r="B679" s="65" t="s">
        <v>202</v>
      </c>
      <c r="C679" s="65" t="s">
        <v>390</v>
      </c>
      <c r="D679" s="66">
        <v>0</v>
      </c>
      <c r="E679" s="65">
        <v>853750000</v>
      </c>
      <c r="F679" s="67">
        <v>0</v>
      </c>
      <c r="G679" s="68">
        <v>0</v>
      </c>
      <c r="H679" s="68">
        <v>0</v>
      </c>
      <c r="I679" s="68">
        <v>0</v>
      </c>
      <c r="J679" s="68">
        <v>0</v>
      </c>
      <c r="K679" s="68">
        <v>0</v>
      </c>
      <c r="L679" s="68">
        <v>0</v>
      </c>
      <c r="M679" s="68">
        <v>0</v>
      </c>
      <c r="N679" s="69">
        <v>0</v>
      </c>
      <c r="O679" s="65" t="str">
        <f>VLOOKUP(A679,Report_HQ1!$A$7:$C$95,3,FALSE)</f>
        <v>BV Quảng Trị</v>
      </c>
      <c r="P679" s="40" t="e">
        <f>VLOOKUP(C679,Sheet1!$U$4:$V$14,2,FALSE)</f>
        <v>#N/A</v>
      </c>
      <c r="Q679" s="88">
        <f t="shared" si="10"/>
        <v>0</v>
      </c>
    </row>
    <row r="680" spans="1:17" x14ac:dyDescent="0.25">
      <c r="A680" s="85" t="s">
        <v>344</v>
      </c>
      <c r="B680" s="65" t="s">
        <v>202</v>
      </c>
      <c r="C680" s="65" t="s">
        <v>391</v>
      </c>
      <c r="D680" s="66">
        <v>891181008</v>
      </c>
      <c r="E680" s="65">
        <v>853750000</v>
      </c>
      <c r="F680" s="67">
        <v>56757299.688780963</v>
      </c>
      <c r="G680" s="68">
        <v>0</v>
      </c>
      <c r="H680" s="68">
        <v>56757299.688780963</v>
      </c>
      <c r="I680" s="68">
        <v>0</v>
      </c>
      <c r="J680" s="68">
        <v>82654551</v>
      </c>
      <c r="K680" s="68">
        <v>41327275</v>
      </c>
      <c r="L680" s="68">
        <v>40745540</v>
      </c>
      <c r="M680" s="68">
        <v>53365861</v>
      </c>
      <c r="N680" s="69">
        <v>274850526.68878096</v>
      </c>
      <c r="O680" s="65" t="str">
        <f>VLOOKUP(A680,Report_HQ1!$A$7:$C$95,3,FALSE)</f>
        <v>BV Quảng Trị</v>
      </c>
      <c r="P680" s="40" t="str">
        <f>VLOOKUP(C680,Sheet1!$U$4:$V$14,2,FALSE)</f>
        <v>BH Kỹ thuật</v>
      </c>
      <c r="Q680" s="88">
        <f t="shared" si="10"/>
        <v>274850526.68878096</v>
      </c>
    </row>
    <row r="681" spans="1:17" x14ac:dyDescent="0.25">
      <c r="A681" s="85" t="s">
        <v>344</v>
      </c>
      <c r="B681" s="65" t="s">
        <v>202</v>
      </c>
      <c r="C681" s="65" t="s">
        <v>392</v>
      </c>
      <c r="D681" s="66">
        <v>213737813</v>
      </c>
      <c r="E681" s="65">
        <v>853750000</v>
      </c>
      <c r="F681" s="67">
        <v>13612477.149272492</v>
      </c>
      <c r="G681" s="68">
        <v>0</v>
      </c>
      <c r="H681" s="68">
        <v>13612477.149272492</v>
      </c>
      <c r="I681" s="68">
        <v>0</v>
      </c>
      <c r="J681" s="68">
        <v>9747450</v>
      </c>
      <c r="K681" s="68">
        <v>4873726</v>
      </c>
      <c r="L681" s="68">
        <v>20661497</v>
      </c>
      <c r="M681" s="68">
        <v>10955474</v>
      </c>
      <c r="N681" s="69">
        <v>59850624.149272494</v>
      </c>
      <c r="O681" s="65" t="str">
        <f>VLOOKUP(A681,Report_HQ1!$A$7:$C$95,3,FALSE)</f>
        <v>BV Quảng Trị</v>
      </c>
      <c r="P681" s="40" t="str">
        <f>VLOOKUP(C681,Sheet1!$U$4:$V$14,2,FALSE)</f>
        <v>BH Tài sản</v>
      </c>
      <c r="Q681" s="88">
        <f t="shared" si="10"/>
        <v>59850624.149272494</v>
      </c>
    </row>
    <row r="682" spans="1:17" x14ac:dyDescent="0.25">
      <c r="A682" s="85" t="s">
        <v>344</v>
      </c>
      <c r="B682" s="65" t="s">
        <v>202</v>
      </c>
      <c r="C682" s="65" t="s">
        <v>393</v>
      </c>
      <c r="D682" s="66">
        <v>7867529101</v>
      </c>
      <c r="E682" s="65">
        <v>853750000</v>
      </c>
      <c r="F682" s="67">
        <v>501065106.84938484</v>
      </c>
      <c r="G682" s="68">
        <v>0</v>
      </c>
      <c r="H682" s="68">
        <v>501065106.84938484</v>
      </c>
      <c r="I682" s="68">
        <v>0</v>
      </c>
      <c r="J682" s="68">
        <v>700159136</v>
      </c>
      <c r="K682" s="68">
        <v>353458051</v>
      </c>
      <c r="L682" s="68">
        <v>734512937</v>
      </c>
      <c r="M682" s="68">
        <v>470374124</v>
      </c>
      <c r="N682" s="69">
        <v>2759569354.8493848</v>
      </c>
      <c r="O682" s="65" t="str">
        <f>VLOOKUP(A682,Report_HQ1!$A$7:$C$95,3,FALSE)</f>
        <v>BV Quảng Trị</v>
      </c>
      <c r="P682" s="40" t="str">
        <f>VLOOKUP(C682,Sheet1!$U$4:$V$14,2,FALSE)</f>
        <v>BH Xe cơ giới</v>
      </c>
      <c r="Q682" s="88">
        <f t="shared" si="10"/>
        <v>2759569354.8493848</v>
      </c>
    </row>
    <row r="683" spans="1:17" x14ac:dyDescent="0.25">
      <c r="A683" s="85" t="s">
        <v>344</v>
      </c>
      <c r="B683" s="65" t="s">
        <v>202</v>
      </c>
      <c r="C683" s="65" t="s">
        <v>394</v>
      </c>
      <c r="D683" s="66">
        <v>1916427188</v>
      </c>
      <c r="E683" s="65">
        <v>853750000</v>
      </c>
      <c r="F683" s="67">
        <v>122052906.49668309</v>
      </c>
      <c r="G683" s="68">
        <v>0</v>
      </c>
      <c r="H683" s="68">
        <v>122052906.49668309</v>
      </c>
      <c r="I683" s="68">
        <v>8087000</v>
      </c>
      <c r="J683" s="68">
        <v>294250505</v>
      </c>
      <c r="K683" s="68">
        <v>47367390</v>
      </c>
      <c r="L683" s="68">
        <v>77172754</v>
      </c>
      <c r="M683" s="68">
        <v>99038850</v>
      </c>
      <c r="N683" s="69">
        <v>647969405.49668312</v>
      </c>
      <c r="O683" s="65" t="str">
        <f>VLOOKUP(A683,Report_HQ1!$A$7:$C$95,3,FALSE)</f>
        <v>BV Quảng Trị</v>
      </c>
      <c r="P683" s="40" t="str">
        <f>VLOOKUP(C683,Sheet1!$U$4:$V$14,2,FALSE)</f>
        <v>BH Con người</v>
      </c>
      <c r="Q683" s="88">
        <f t="shared" si="10"/>
        <v>647969405.49668312</v>
      </c>
    </row>
    <row r="684" spans="1:17" x14ac:dyDescent="0.25">
      <c r="A684" s="85" t="s">
        <v>344</v>
      </c>
      <c r="B684" s="65" t="s">
        <v>202</v>
      </c>
      <c r="C684" s="65" t="s">
        <v>395</v>
      </c>
      <c r="D684" s="66">
        <v>0</v>
      </c>
      <c r="E684" s="65">
        <v>853750000</v>
      </c>
      <c r="F684" s="67">
        <v>0</v>
      </c>
      <c r="G684" s="68">
        <v>0</v>
      </c>
      <c r="H684" s="68">
        <v>0</v>
      </c>
      <c r="I684" s="68">
        <v>0</v>
      </c>
      <c r="J684" s="68">
        <v>0</v>
      </c>
      <c r="K684" s="68">
        <v>0</v>
      </c>
      <c r="L684" s="68">
        <v>0</v>
      </c>
      <c r="M684" s="68">
        <v>0</v>
      </c>
      <c r="N684" s="69">
        <v>0</v>
      </c>
      <c r="O684" s="65" t="str">
        <f>VLOOKUP(A684,Report_HQ1!$A$7:$C$95,3,FALSE)</f>
        <v>BV Quảng Trị</v>
      </c>
      <c r="P684" s="40" t="e">
        <f>VLOOKUP(C684,Sheet1!$U$4:$V$14,2,FALSE)</f>
        <v>#N/A</v>
      </c>
      <c r="Q684" s="88">
        <f t="shared" si="10"/>
        <v>0</v>
      </c>
    </row>
    <row r="685" spans="1:17" x14ac:dyDescent="0.25">
      <c r="A685" s="85" t="s">
        <v>344</v>
      </c>
      <c r="B685" s="65" t="s">
        <v>202</v>
      </c>
      <c r="C685" s="65" t="s">
        <v>396</v>
      </c>
      <c r="D685" s="66">
        <v>1329534299</v>
      </c>
      <c r="E685" s="65">
        <v>853750000</v>
      </c>
      <c r="F685" s="67">
        <v>84675027.830997407</v>
      </c>
      <c r="G685" s="68">
        <v>0</v>
      </c>
      <c r="H685" s="68">
        <v>84675027.830997407</v>
      </c>
      <c r="I685" s="68">
        <v>0</v>
      </c>
      <c r="J685" s="68">
        <v>119991751</v>
      </c>
      <c r="K685" s="68">
        <v>43455033</v>
      </c>
      <c r="L685" s="68">
        <v>34173862</v>
      </c>
      <c r="M685" s="68">
        <v>54846684</v>
      </c>
      <c r="N685" s="69">
        <v>337142357.83099741</v>
      </c>
      <c r="O685" s="65" t="str">
        <f>VLOOKUP(A685,Report_HQ1!$A$7:$C$95,3,FALSE)</f>
        <v>BV Quảng Trị</v>
      </c>
      <c r="P685" s="40" t="str">
        <f>VLOOKUP(C685,Sheet1!$U$4:$V$14,2,FALSE)</f>
        <v>BH Y tế</v>
      </c>
      <c r="Q685" s="88">
        <f t="shared" si="10"/>
        <v>337142357.83099741</v>
      </c>
    </row>
    <row r="686" spans="1:17" x14ac:dyDescent="0.25">
      <c r="A686" s="85" t="s">
        <v>344</v>
      </c>
      <c r="B686" s="65" t="s">
        <v>202</v>
      </c>
      <c r="C686" s="65" t="s">
        <v>397</v>
      </c>
      <c r="D686" s="66">
        <v>23620500</v>
      </c>
      <c r="E686" s="65">
        <v>853750000</v>
      </c>
      <c r="F686" s="67">
        <v>1504336.1396440922</v>
      </c>
      <c r="G686" s="68">
        <v>0</v>
      </c>
      <c r="H686" s="68">
        <v>1504336.1396440922</v>
      </c>
      <c r="I686" s="68">
        <v>0</v>
      </c>
      <c r="J686" s="68">
        <v>4724100</v>
      </c>
      <c r="K686" s="68">
        <v>4724100</v>
      </c>
      <c r="L686" s="68">
        <v>0</v>
      </c>
      <c r="M686" s="68">
        <v>1889640</v>
      </c>
      <c r="N686" s="69">
        <v>12842176.139644092</v>
      </c>
      <c r="O686" s="65" t="str">
        <f>VLOOKUP(A686,Report_HQ1!$A$7:$C$95,3,FALSE)</f>
        <v>BV Quảng Trị</v>
      </c>
      <c r="P686" s="40" t="str">
        <f>VLOOKUP(C686,Sheet1!$U$4:$V$14,2,FALSE)</f>
        <v>BH Du lịch</v>
      </c>
      <c r="Q686" s="88">
        <f t="shared" si="10"/>
        <v>12842176.139644092</v>
      </c>
    </row>
    <row r="687" spans="1:17" x14ac:dyDescent="0.25">
      <c r="A687" s="85" t="s">
        <v>347</v>
      </c>
      <c r="B687" s="65" t="s">
        <v>205</v>
      </c>
      <c r="C687" s="65" t="s">
        <v>387</v>
      </c>
      <c r="D687" s="66">
        <v>0</v>
      </c>
      <c r="E687" s="65">
        <v>465000000</v>
      </c>
      <c r="F687" s="67">
        <v>0</v>
      </c>
      <c r="G687" s="68">
        <v>0</v>
      </c>
      <c r="H687" s="68">
        <v>0</v>
      </c>
      <c r="I687" s="68">
        <v>0</v>
      </c>
      <c r="J687" s="68">
        <v>0</v>
      </c>
      <c r="K687" s="68">
        <v>0</v>
      </c>
      <c r="L687" s="68">
        <v>0</v>
      </c>
      <c r="M687" s="68">
        <v>0</v>
      </c>
      <c r="N687" s="69">
        <v>0</v>
      </c>
      <c r="O687" s="65" t="str">
        <f>VLOOKUP(A687,Report_HQ1!$A$7:$C$95,3,FALSE)</f>
        <v>BV Sơn La</v>
      </c>
      <c r="P687" s="40" t="str">
        <f>VLOOKUP(C687,Sheet1!$U$4:$V$14,2,FALSE)</f>
        <v>BH Hàng hóa</v>
      </c>
      <c r="Q687" s="88">
        <f t="shared" si="10"/>
        <v>0</v>
      </c>
    </row>
    <row r="688" spans="1:17" x14ac:dyDescent="0.25">
      <c r="A688" s="85" t="s">
        <v>347</v>
      </c>
      <c r="B688" s="65" t="s">
        <v>205</v>
      </c>
      <c r="C688" s="65" t="s">
        <v>272</v>
      </c>
      <c r="D688" s="66">
        <v>0</v>
      </c>
      <c r="E688" s="65">
        <v>465000000</v>
      </c>
      <c r="F688" s="67">
        <v>0</v>
      </c>
      <c r="G688" s="68">
        <v>0</v>
      </c>
      <c r="H688" s="68">
        <v>0</v>
      </c>
      <c r="I688" s="68">
        <v>0</v>
      </c>
      <c r="J688" s="68">
        <v>0</v>
      </c>
      <c r="K688" s="68">
        <v>0</v>
      </c>
      <c r="L688" s="68">
        <v>0</v>
      </c>
      <c r="M688" s="68">
        <v>0</v>
      </c>
      <c r="N688" s="69">
        <v>0</v>
      </c>
      <c r="O688" s="65" t="str">
        <f>VLOOKUP(A688,Report_HQ1!$A$7:$C$95,3,FALSE)</f>
        <v>BV Sơn La</v>
      </c>
      <c r="P688" s="40" t="str">
        <f>VLOOKUP(C688,Sheet1!$U$4:$V$14,2,FALSE)</f>
        <v>Tàu khác</v>
      </c>
      <c r="Q688" s="88">
        <f t="shared" si="10"/>
        <v>0</v>
      </c>
    </row>
    <row r="689" spans="1:17" x14ac:dyDescent="0.25">
      <c r="A689" s="85" t="s">
        <v>347</v>
      </c>
      <c r="B689" s="65" t="s">
        <v>205</v>
      </c>
      <c r="C689" s="65" t="s">
        <v>388</v>
      </c>
      <c r="D689" s="66">
        <v>0</v>
      </c>
      <c r="E689" s="65">
        <v>465000000</v>
      </c>
      <c r="F689" s="67">
        <v>0</v>
      </c>
      <c r="G689" s="68">
        <v>0</v>
      </c>
      <c r="H689" s="68">
        <v>0</v>
      </c>
      <c r="I689" s="68">
        <v>0</v>
      </c>
      <c r="J689" s="68">
        <v>0</v>
      </c>
      <c r="K689" s="68">
        <v>0</v>
      </c>
      <c r="L689" s="68">
        <v>0</v>
      </c>
      <c r="M689" s="68">
        <v>0</v>
      </c>
      <c r="N689" s="69">
        <v>0</v>
      </c>
      <c r="O689" s="65" t="str">
        <f>VLOOKUP(A689,Report_HQ1!$A$7:$C$95,3,FALSE)</f>
        <v>BV Sơn La</v>
      </c>
      <c r="P689" s="40" t="str">
        <f>VLOOKUP(C689,Sheet1!$U$4:$V$14,2,FALSE)</f>
        <v>Hull (Thân tàu biển)</v>
      </c>
      <c r="Q689" s="88">
        <f t="shared" si="10"/>
        <v>0</v>
      </c>
    </row>
    <row r="690" spans="1:17" x14ac:dyDescent="0.25">
      <c r="A690" s="85" t="s">
        <v>347</v>
      </c>
      <c r="B690" s="65" t="s">
        <v>205</v>
      </c>
      <c r="C690" s="65" t="s">
        <v>23</v>
      </c>
      <c r="D690" s="66">
        <v>0</v>
      </c>
      <c r="E690" s="65">
        <v>465000000</v>
      </c>
      <c r="F690" s="67">
        <v>0</v>
      </c>
      <c r="G690" s="68">
        <v>0</v>
      </c>
      <c r="H690" s="68">
        <v>0</v>
      </c>
      <c r="I690" s="68">
        <v>0</v>
      </c>
      <c r="J690" s="68">
        <v>0</v>
      </c>
      <c r="K690" s="68">
        <v>0</v>
      </c>
      <c r="L690" s="68">
        <v>0</v>
      </c>
      <c r="M690" s="68">
        <v>0</v>
      </c>
      <c r="N690" s="69">
        <v>0</v>
      </c>
      <c r="O690" s="65" t="str">
        <f>VLOOKUP(A690,Report_HQ1!$A$7:$C$95,3,FALSE)</f>
        <v>BV Sơn La</v>
      </c>
      <c r="P690" s="40" t="str">
        <f>VLOOKUP(C690,Sheet1!$U$4:$V$14,2,FALSE)</f>
        <v>P&amp;I</v>
      </c>
      <c r="Q690" s="88">
        <f t="shared" si="10"/>
        <v>0</v>
      </c>
    </row>
    <row r="691" spans="1:17" x14ac:dyDescent="0.25">
      <c r="A691" s="85" t="s">
        <v>347</v>
      </c>
      <c r="B691" s="65" t="s">
        <v>205</v>
      </c>
      <c r="C691" s="65" t="s">
        <v>389</v>
      </c>
      <c r="D691" s="66">
        <v>25680000</v>
      </c>
      <c r="E691" s="65">
        <v>465000000</v>
      </c>
      <c r="F691" s="67">
        <v>1042168.8301235674</v>
      </c>
      <c r="G691" s="68">
        <v>0</v>
      </c>
      <c r="H691" s="68">
        <v>1042168.8301235674</v>
      </c>
      <c r="I691" s="68">
        <v>0</v>
      </c>
      <c r="J691" s="68">
        <v>0</v>
      </c>
      <c r="K691" s="68">
        <v>0</v>
      </c>
      <c r="L691" s="68">
        <v>3852000</v>
      </c>
      <c r="M691" s="68">
        <v>2054400</v>
      </c>
      <c r="N691" s="69">
        <v>6948568.830123567</v>
      </c>
      <c r="O691" s="65" t="str">
        <f>VLOOKUP(A691,Report_HQ1!$A$7:$C$95,3,FALSE)</f>
        <v>BV Sơn La</v>
      </c>
      <c r="P691" s="40" t="str">
        <f>VLOOKUP(C691,Sheet1!$U$4:$V$14,2,FALSE)</f>
        <v>BH Trách nhiệm</v>
      </c>
      <c r="Q691" s="88">
        <f t="shared" si="10"/>
        <v>6948568.830123567</v>
      </c>
    </row>
    <row r="692" spans="1:17" x14ac:dyDescent="0.25">
      <c r="A692" s="85" t="s">
        <v>347</v>
      </c>
      <c r="B692" s="65" t="s">
        <v>205</v>
      </c>
      <c r="C692" s="65" t="s">
        <v>390</v>
      </c>
      <c r="D692" s="66">
        <v>0</v>
      </c>
      <c r="E692" s="65">
        <v>465000000</v>
      </c>
      <c r="F692" s="67">
        <v>0</v>
      </c>
      <c r="G692" s="68">
        <v>0</v>
      </c>
      <c r="H692" s="68">
        <v>0</v>
      </c>
      <c r="I692" s="68">
        <v>0</v>
      </c>
      <c r="J692" s="68">
        <v>0</v>
      </c>
      <c r="K692" s="68">
        <v>0</v>
      </c>
      <c r="L692" s="68">
        <v>0</v>
      </c>
      <c r="M692" s="68">
        <v>0</v>
      </c>
      <c r="N692" s="69">
        <v>0</v>
      </c>
      <c r="O692" s="65" t="str">
        <f>VLOOKUP(A692,Report_HQ1!$A$7:$C$95,3,FALSE)</f>
        <v>BV Sơn La</v>
      </c>
      <c r="P692" s="40" t="e">
        <f>VLOOKUP(C692,Sheet1!$U$4:$V$14,2,FALSE)</f>
        <v>#N/A</v>
      </c>
      <c r="Q692" s="88">
        <f t="shared" si="10"/>
        <v>0</v>
      </c>
    </row>
    <row r="693" spans="1:17" x14ac:dyDescent="0.25">
      <c r="A693" s="85" t="s">
        <v>347</v>
      </c>
      <c r="B693" s="65" t="s">
        <v>205</v>
      </c>
      <c r="C693" s="65" t="s">
        <v>391</v>
      </c>
      <c r="D693" s="66">
        <v>1966453104</v>
      </c>
      <c r="E693" s="65">
        <v>465000000</v>
      </c>
      <c r="F693" s="67">
        <v>79804366.467622176</v>
      </c>
      <c r="G693" s="68">
        <v>0</v>
      </c>
      <c r="H693" s="68">
        <v>79804366.467622176</v>
      </c>
      <c r="I693" s="68">
        <v>0</v>
      </c>
      <c r="J693" s="68">
        <v>34227091</v>
      </c>
      <c r="K693" s="68">
        <v>17113545</v>
      </c>
      <c r="L693" s="68">
        <v>291979457</v>
      </c>
      <c r="M693" s="68">
        <v>117987186</v>
      </c>
      <c r="N693" s="69">
        <v>541111645.46762216</v>
      </c>
      <c r="O693" s="65" t="str">
        <f>VLOOKUP(A693,Report_HQ1!$A$7:$C$95,3,FALSE)</f>
        <v>BV Sơn La</v>
      </c>
      <c r="P693" s="40" t="str">
        <f>VLOOKUP(C693,Sheet1!$U$4:$V$14,2,FALSE)</f>
        <v>BH Kỹ thuật</v>
      </c>
      <c r="Q693" s="88">
        <f t="shared" si="10"/>
        <v>541111645.46762216</v>
      </c>
    </row>
    <row r="694" spans="1:17" x14ac:dyDescent="0.25">
      <c r="A694" s="85" t="s">
        <v>347</v>
      </c>
      <c r="B694" s="65" t="s">
        <v>205</v>
      </c>
      <c r="C694" s="65" t="s">
        <v>392</v>
      </c>
      <c r="D694" s="66">
        <v>1025606827</v>
      </c>
      <c r="E694" s="65">
        <v>465000000</v>
      </c>
      <c r="F694" s="67">
        <v>41622097.626998991</v>
      </c>
      <c r="G694" s="68">
        <v>0</v>
      </c>
      <c r="H694" s="68">
        <v>41622097.626998991</v>
      </c>
      <c r="I694" s="68">
        <v>0</v>
      </c>
      <c r="J694" s="68">
        <v>8976308</v>
      </c>
      <c r="K694" s="68">
        <v>4488154</v>
      </c>
      <c r="L694" s="68">
        <v>178115222</v>
      </c>
      <c r="M694" s="68">
        <v>36153989</v>
      </c>
      <c r="N694" s="69">
        <v>269355770.62699902</v>
      </c>
      <c r="O694" s="65" t="str">
        <f>VLOOKUP(A694,Report_HQ1!$A$7:$C$95,3,FALSE)</f>
        <v>BV Sơn La</v>
      </c>
      <c r="P694" s="40" t="str">
        <f>VLOOKUP(C694,Sheet1!$U$4:$V$14,2,FALSE)</f>
        <v>BH Tài sản</v>
      </c>
      <c r="Q694" s="88">
        <f t="shared" si="10"/>
        <v>269355770.62699902</v>
      </c>
    </row>
    <row r="695" spans="1:17" x14ac:dyDescent="0.25">
      <c r="A695" s="85" t="s">
        <v>347</v>
      </c>
      <c r="B695" s="65" t="s">
        <v>205</v>
      </c>
      <c r="C695" s="65" t="s">
        <v>393</v>
      </c>
      <c r="D695" s="66">
        <v>6521812800</v>
      </c>
      <c r="E695" s="65">
        <v>465000000</v>
      </c>
      <c r="F695" s="67">
        <v>264674066.04598549</v>
      </c>
      <c r="G695" s="68">
        <v>0</v>
      </c>
      <c r="H695" s="68">
        <v>264674066.04598549</v>
      </c>
      <c r="I695" s="68">
        <v>0</v>
      </c>
      <c r="J695" s="68">
        <v>561095385</v>
      </c>
      <c r="K695" s="68">
        <v>280547694</v>
      </c>
      <c r="L695" s="68">
        <v>1232993372</v>
      </c>
      <c r="M695" s="68">
        <v>382953149</v>
      </c>
      <c r="N695" s="69">
        <v>2722263666.0459852</v>
      </c>
      <c r="O695" s="65" t="str">
        <f>VLOOKUP(A695,Report_HQ1!$A$7:$C$95,3,FALSE)</f>
        <v>BV Sơn La</v>
      </c>
      <c r="P695" s="40" t="str">
        <f>VLOOKUP(C695,Sheet1!$U$4:$V$14,2,FALSE)</f>
        <v>BH Xe cơ giới</v>
      </c>
      <c r="Q695" s="88">
        <f t="shared" si="10"/>
        <v>2722263666.0459852</v>
      </c>
    </row>
    <row r="696" spans="1:17" x14ac:dyDescent="0.25">
      <c r="A696" s="85" t="s">
        <v>347</v>
      </c>
      <c r="B696" s="65" t="s">
        <v>205</v>
      </c>
      <c r="C696" s="65" t="s">
        <v>394</v>
      </c>
      <c r="D696" s="66">
        <v>1604530023</v>
      </c>
      <c r="E696" s="65">
        <v>465000000</v>
      </c>
      <c r="F696" s="67">
        <v>65116478.853896052</v>
      </c>
      <c r="G696" s="68">
        <v>0</v>
      </c>
      <c r="H696" s="68">
        <v>65116478.853896052</v>
      </c>
      <c r="I696" s="68">
        <v>1816600</v>
      </c>
      <c r="J696" s="68">
        <v>236730580</v>
      </c>
      <c r="K696" s="68">
        <v>10948400</v>
      </c>
      <c r="L696" s="68">
        <v>52630975</v>
      </c>
      <c r="M696" s="68">
        <v>83656524</v>
      </c>
      <c r="N696" s="69">
        <v>450899557.85389602</v>
      </c>
      <c r="O696" s="65" t="str">
        <f>VLOOKUP(A696,Report_HQ1!$A$7:$C$95,3,FALSE)</f>
        <v>BV Sơn La</v>
      </c>
      <c r="P696" s="40" t="str">
        <f>VLOOKUP(C696,Sheet1!$U$4:$V$14,2,FALSE)</f>
        <v>BH Con người</v>
      </c>
      <c r="Q696" s="88">
        <f t="shared" si="10"/>
        <v>450899557.85389602</v>
      </c>
    </row>
    <row r="697" spans="1:17" x14ac:dyDescent="0.25">
      <c r="A697" s="85" t="s">
        <v>347</v>
      </c>
      <c r="B697" s="65" t="s">
        <v>205</v>
      </c>
      <c r="C697" s="65" t="s">
        <v>395</v>
      </c>
      <c r="D697" s="66">
        <v>0</v>
      </c>
      <c r="E697" s="65">
        <v>465000000</v>
      </c>
      <c r="F697" s="67">
        <v>0</v>
      </c>
      <c r="G697" s="68">
        <v>0</v>
      </c>
      <c r="H697" s="68">
        <v>0</v>
      </c>
      <c r="I697" s="68">
        <v>0</v>
      </c>
      <c r="J697" s="68">
        <v>0</v>
      </c>
      <c r="K697" s="68">
        <v>0</v>
      </c>
      <c r="L697" s="68">
        <v>0</v>
      </c>
      <c r="M697" s="68">
        <v>0</v>
      </c>
      <c r="N697" s="69">
        <v>0</v>
      </c>
      <c r="O697" s="65" t="str">
        <f>VLOOKUP(A697,Report_HQ1!$A$7:$C$95,3,FALSE)</f>
        <v>BV Sơn La</v>
      </c>
      <c r="P697" s="40" t="e">
        <f>VLOOKUP(C697,Sheet1!$U$4:$V$14,2,FALSE)</f>
        <v>#N/A</v>
      </c>
      <c r="Q697" s="88">
        <f t="shared" si="10"/>
        <v>0</v>
      </c>
    </row>
    <row r="698" spans="1:17" x14ac:dyDescent="0.25">
      <c r="A698" s="85" t="s">
        <v>347</v>
      </c>
      <c r="B698" s="65" t="s">
        <v>205</v>
      </c>
      <c r="C698" s="65" t="s">
        <v>396</v>
      </c>
      <c r="D698" s="66">
        <v>302386595</v>
      </c>
      <c r="E698" s="65">
        <v>465000000</v>
      </c>
      <c r="F698" s="67">
        <v>12271724.453123013</v>
      </c>
      <c r="G698" s="68">
        <v>0</v>
      </c>
      <c r="H698" s="68">
        <v>12271724.453123013</v>
      </c>
      <c r="I698" s="68">
        <v>0</v>
      </c>
      <c r="J698" s="68">
        <v>60477319</v>
      </c>
      <c r="K698" s="68">
        <v>12095464</v>
      </c>
      <c r="L698" s="68">
        <v>414155</v>
      </c>
      <c r="M698" s="68">
        <v>23770089</v>
      </c>
      <c r="N698" s="69">
        <v>109028751.45312302</v>
      </c>
      <c r="O698" s="65" t="str">
        <f>VLOOKUP(A698,Report_HQ1!$A$7:$C$95,3,FALSE)</f>
        <v>BV Sơn La</v>
      </c>
      <c r="P698" s="40" t="str">
        <f>VLOOKUP(C698,Sheet1!$U$4:$V$14,2,FALSE)</f>
        <v>BH Y tế</v>
      </c>
      <c r="Q698" s="88">
        <f t="shared" si="10"/>
        <v>109028751.45312302</v>
      </c>
    </row>
    <row r="699" spans="1:17" x14ac:dyDescent="0.25">
      <c r="A699" s="85" t="s">
        <v>347</v>
      </c>
      <c r="B699" s="65" t="s">
        <v>205</v>
      </c>
      <c r="C699" s="65" t="s">
        <v>397</v>
      </c>
      <c r="D699" s="66">
        <v>11559000</v>
      </c>
      <c r="E699" s="65">
        <v>465000000</v>
      </c>
      <c r="F699" s="67">
        <v>469097.72225071321</v>
      </c>
      <c r="G699" s="68">
        <v>0</v>
      </c>
      <c r="H699" s="68">
        <v>469097.72225071321</v>
      </c>
      <c r="I699" s="68">
        <v>0</v>
      </c>
      <c r="J699" s="68">
        <v>2311800</v>
      </c>
      <c r="K699" s="68">
        <v>2311800</v>
      </c>
      <c r="L699" s="68">
        <v>0</v>
      </c>
      <c r="M699" s="68">
        <v>924720</v>
      </c>
      <c r="N699" s="69">
        <v>6017417.722250713</v>
      </c>
      <c r="O699" s="65" t="str">
        <f>VLOOKUP(A699,Report_HQ1!$A$7:$C$95,3,FALSE)</f>
        <v>BV Sơn La</v>
      </c>
      <c r="P699" s="40" t="str">
        <f>VLOOKUP(C699,Sheet1!$U$4:$V$14,2,FALSE)</f>
        <v>BH Du lịch</v>
      </c>
      <c r="Q699" s="88">
        <f t="shared" si="10"/>
        <v>6017417.722250713</v>
      </c>
    </row>
    <row r="700" spans="1:17" x14ac:dyDescent="0.25">
      <c r="A700" s="85" t="s">
        <v>345</v>
      </c>
      <c r="B700" s="65" t="s">
        <v>203</v>
      </c>
      <c r="C700" s="65" t="s">
        <v>387</v>
      </c>
      <c r="D700" s="66">
        <v>22362718511</v>
      </c>
      <c r="E700" s="65">
        <v>4678750000</v>
      </c>
      <c r="F700" s="67">
        <v>601067552.46665609</v>
      </c>
      <c r="G700" s="68">
        <v>0</v>
      </c>
      <c r="H700" s="68">
        <v>601067552.46665609</v>
      </c>
      <c r="I700" s="68">
        <v>0</v>
      </c>
      <c r="J700" s="68">
        <v>1745493821</v>
      </c>
      <c r="K700" s="68">
        <v>716485269</v>
      </c>
      <c r="L700" s="68">
        <v>1755685097</v>
      </c>
      <c r="M700" s="68">
        <v>1789017482</v>
      </c>
      <c r="N700" s="69">
        <v>6607749221.4666557</v>
      </c>
      <c r="O700" s="65" t="str">
        <f>VLOOKUP(A700,Report_HQ1!$A$7:$C$95,3,FALSE)</f>
        <v>BV Sài Gòn</v>
      </c>
      <c r="P700" s="40" t="str">
        <f>VLOOKUP(C700,Sheet1!$U$4:$V$14,2,FALSE)</f>
        <v>BH Hàng hóa</v>
      </c>
      <c r="Q700" s="88">
        <f t="shared" si="10"/>
        <v>6607749221.4666557</v>
      </c>
    </row>
    <row r="701" spans="1:17" s="76" customFormat="1" x14ac:dyDescent="0.25">
      <c r="A701" s="86" t="s">
        <v>345</v>
      </c>
      <c r="B701" s="70" t="s">
        <v>203</v>
      </c>
      <c r="C701" s="70" t="s">
        <v>272</v>
      </c>
      <c r="D701" s="73">
        <v>1847544701</v>
      </c>
      <c r="E701" s="70">
        <v>4678750000</v>
      </c>
      <c r="F701" s="106">
        <v>49658505.112272762</v>
      </c>
      <c r="G701" s="74">
        <v>0</v>
      </c>
      <c r="H701" s="74">
        <v>49658505.112272762</v>
      </c>
      <c r="I701" s="74">
        <v>4496928</v>
      </c>
      <c r="J701" s="74">
        <v>262960469</v>
      </c>
      <c r="K701" s="74">
        <v>122714886</v>
      </c>
      <c r="L701" s="74">
        <v>39259927</v>
      </c>
      <c r="M701" s="74">
        <v>145914078</v>
      </c>
      <c r="N701" s="71">
        <v>625004793.11227274</v>
      </c>
      <c r="O701" s="70" t="str">
        <f>VLOOKUP(A701,Report_HQ1!$A$7:$C$95,3,FALSE)</f>
        <v>BV Sài Gòn</v>
      </c>
      <c r="P701" s="76" t="str">
        <f>VLOOKUP(C701,Sheet1!$U$4:$V$14,2,FALSE)</f>
        <v>Tàu khác</v>
      </c>
      <c r="Q701" s="107">
        <f t="shared" si="10"/>
        <v>625004793.11227274</v>
      </c>
    </row>
    <row r="702" spans="1:17" x14ac:dyDescent="0.25">
      <c r="A702" s="85" t="s">
        <v>345</v>
      </c>
      <c r="B702" s="65" t="s">
        <v>203</v>
      </c>
      <c r="C702" s="65" t="s">
        <v>388</v>
      </c>
      <c r="D702" s="66">
        <v>2613426527</v>
      </c>
      <c r="E702" s="65">
        <v>4678750000</v>
      </c>
      <c r="F702" s="67">
        <v>70243959.175296158</v>
      </c>
      <c r="G702" s="68">
        <v>0</v>
      </c>
      <c r="H702" s="68">
        <v>70243959.175296158</v>
      </c>
      <c r="I702" s="68">
        <v>12383628</v>
      </c>
      <c r="J702" s="68">
        <v>123836282</v>
      </c>
      <c r="K702" s="68">
        <v>61918141</v>
      </c>
      <c r="L702" s="68">
        <v>0</v>
      </c>
      <c r="M702" s="68">
        <v>74301769</v>
      </c>
      <c r="N702" s="69">
        <v>342683779.17529619</v>
      </c>
      <c r="O702" s="65" t="str">
        <f>VLOOKUP(A702,Report_HQ1!$A$7:$C$95,3,FALSE)</f>
        <v>BV Sài Gòn</v>
      </c>
      <c r="P702" s="40" t="str">
        <f>VLOOKUP(C702,Sheet1!$U$4:$V$14,2,FALSE)</f>
        <v>Hull (Thân tàu biển)</v>
      </c>
      <c r="Q702" s="88">
        <f t="shared" si="10"/>
        <v>342683779.17529619</v>
      </c>
    </row>
    <row r="703" spans="1:17" x14ac:dyDescent="0.25">
      <c r="A703" s="85" t="s">
        <v>345</v>
      </c>
      <c r="B703" s="65" t="s">
        <v>203</v>
      </c>
      <c r="C703" s="65" t="s">
        <v>23</v>
      </c>
      <c r="D703" s="66">
        <v>10892041357</v>
      </c>
      <c r="E703" s="65">
        <v>4678750000</v>
      </c>
      <c r="F703" s="67">
        <v>292757458.65142715</v>
      </c>
      <c r="G703" s="68">
        <v>0</v>
      </c>
      <c r="H703" s="68">
        <v>292757458.65142715</v>
      </c>
      <c r="I703" s="68">
        <v>0</v>
      </c>
      <c r="J703" s="68">
        <v>359874004</v>
      </c>
      <c r="K703" s="68">
        <v>95677863</v>
      </c>
      <c r="L703" s="68">
        <v>0</v>
      </c>
      <c r="M703" s="68">
        <v>174794359</v>
      </c>
      <c r="N703" s="69">
        <v>923103684.65142715</v>
      </c>
      <c r="O703" s="65" t="str">
        <f>VLOOKUP(A703,Report_HQ1!$A$7:$C$95,3,FALSE)</f>
        <v>BV Sài Gòn</v>
      </c>
      <c r="P703" s="40" t="str">
        <f>VLOOKUP(C703,Sheet1!$U$4:$V$14,2,FALSE)</f>
        <v>P&amp;I</v>
      </c>
      <c r="Q703" s="88">
        <f t="shared" si="10"/>
        <v>923103684.65142715</v>
      </c>
    </row>
    <row r="704" spans="1:17" s="76" customFormat="1" x14ac:dyDescent="0.25">
      <c r="A704" s="86" t="s">
        <v>345</v>
      </c>
      <c r="B704" s="70" t="s">
        <v>203</v>
      </c>
      <c r="C704" s="70" t="s">
        <v>389</v>
      </c>
      <c r="D704" s="73">
        <v>3725864377</v>
      </c>
      <c r="E704" s="70">
        <v>4678750000</v>
      </c>
      <c r="F704" s="106">
        <v>100144183.31136738</v>
      </c>
      <c r="G704" s="74">
        <v>0</v>
      </c>
      <c r="H704" s="74">
        <v>100144183.31136738</v>
      </c>
      <c r="I704" s="74">
        <v>0</v>
      </c>
      <c r="J704" s="74">
        <v>410518778</v>
      </c>
      <c r="K704" s="74">
        <v>43684377</v>
      </c>
      <c r="L704" s="74">
        <v>142128355</v>
      </c>
      <c r="M704" s="74">
        <v>289595248</v>
      </c>
      <c r="N704" s="71">
        <v>986070941.31136739</v>
      </c>
      <c r="O704" s="70" t="str">
        <f>VLOOKUP(A704,Report_HQ1!$A$7:$C$95,3,FALSE)</f>
        <v>BV Sài Gòn</v>
      </c>
      <c r="P704" s="76" t="str">
        <f>VLOOKUP(C704,Sheet1!$U$4:$V$14,2,FALSE)</f>
        <v>BH Trách nhiệm</v>
      </c>
      <c r="Q704" s="107">
        <f t="shared" si="10"/>
        <v>986070941.31136739</v>
      </c>
    </row>
    <row r="705" spans="1:17" x14ac:dyDescent="0.25">
      <c r="A705" s="85" t="s">
        <v>345</v>
      </c>
      <c r="B705" s="65" t="s">
        <v>203</v>
      </c>
      <c r="C705" s="65" t="s">
        <v>390</v>
      </c>
      <c r="D705" s="66">
        <v>0</v>
      </c>
      <c r="E705" s="65">
        <v>4678750000</v>
      </c>
      <c r="F705" s="67">
        <v>0</v>
      </c>
      <c r="G705" s="68">
        <v>0</v>
      </c>
      <c r="H705" s="68">
        <v>0</v>
      </c>
      <c r="I705" s="68">
        <v>0</v>
      </c>
      <c r="J705" s="68">
        <v>0</v>
      </c>
      <c r="K705" s="68">
        <v>0</v>
      </c>
      <c r="L705" s="68">
        <v>0</v>
      </c>
      <c r="M705" s="68">
        <v>0</v>
      </c>
      <c r="N705" s="69">
        <v>0</v>
      </c>
      <c r="O705" s="65" t="str">
        <f>VLOOKUP(A705,Report_HQ1!$A$7:$C$95,3,FALSE)</f>
        <v>BV Sài Gòn</v>
      </c>
      <c r="P705" s="40" t="e">
        <f>VLOOKUP(C705,Sheet1!$U$4:$V$14,2,FALSE)</f>
        <v>#N/A</v>
      </c>
      <c r="Q705" s="88">
        <f t="shared" si="10"/>
        <v>0</v>
      </c>
    </row>
    <row r="706" spans="1:17" x14ac:dyDescent="0.25">
      <c r="A706" s="85" t="s">
        <v>345</v>
      </c>
      <c r="B706" s="65" t="s">
        <v>203</v>
      </c>
      <c r="C706" s="65" t="s">
        <v>391</v>
      </c>
      <c r="D706" s="66">
        <v>3657795180</v>
      </c>
      <c r="E706" s="65">
        <v>4678750000</v>
      </c>
      <c r="F706" s="67">
        <v>98314612.11594069</v>
      </c>
      <c r="G706" s="68">
        <v>0</v>
      </c>
      <c r="H706" s="68">
        <v>98314612.11594069</v>
      </c>
      <c r="I706" s="68">
        <v>0</v>
      </c>
      <c r="J706" s="68">
        <v>163887211</v>
      </c>
      <c r="K706" s="68">
        <v>76981832</v>
      </c>
      <c r="L706" s="68">
        <v>130031451</v>
      </c>
      <c r="M706" s="68">
        <v>130969582</v>
      </c>
      <c r="N706" s="69">
        <v>600184688.11594069</v>
      </c>
      <c r="O706" s="65" t="str">
        <f>VLOOKUP(A706,Report_HQ1!$A$7:$C$95,3,FALSE)</f>
        <v>BV Sài Gòn</v>
      </c>
      <c r="P706" s="40" t="str">
        <f>VLOOKUP(C706,Sheet1!$U$4:$V$14,2,FALSE)</f>
        <v>BH Kỹ thuật</v>
      </c>
      <c r="Q706" s="88">
        <f t="shared" si="10"/>
        <v>600184688.11594069</v>
      </c>
    </row>
    <row r="707" spans="1:17" x14ac:dyDescent="0.25">
      <c r="A707" s="85" t="s">
        <v>345</v>
      </c>
      <c r="B707" s="65" t="s">
        <v>203</v>
      </c>
      <c r="C707" s="65" t="s">
        <v>392</v>
      </c>
      <c r="D707" s="66">
        <v>24493580250</v>
      </c>
      <c r="E707" s="65">
        <v>4678750000</v>
      </c>
      <c r="F707" s="67">
        <v>658341083.38712835</v>
      </c>
      <c r="G707" s="68">
        <v>-15555713</v>
      </c>
      <c r="H707" s="68">
        <v>642785370.38712835</v>
      </c>
      <c r="I707" s="68">
        <v>-3381677</v>
      </c>
      <c r="J707" s="68">
        <v>2231389889</v>
      </c>
      <c r="K707" s="68">
        <v>345205928</v>
      </c>
      <c r="L707" s="68">
        <v>1341022332</v>
      </c>
      <c r="M707" s="68">
        <v>1273239472</v>
      </c>
      <c r="N707" s="69">
        <v>5830261314.3871288</v>
      </c>
      <c r="O707" s="65" t="str">
        <f>VLOOKUP(A707,Report_HQ1!$A$7:$C$95,3,FALSE)</f>
        <v>BV Sài Gòn</v>
      </c>
      <c r="P707" s="40" t="str">
        <f>VLOOKUP(C707,Sheet1!$U$4:$V$14,2,FALSE)</f>
        <v>BH Tài sản</v>
      </c>
      <c r="Q707" s="88">
        <f t="shared" si="10"/>
        <v>5830261314.3871288</v>
      </c>
    </row>
    <row r="708" spans="1:17" x14ac:dyDescent="0.25">
      <c r="A708" s="85" t="s">
        <v>345</v>
      </c>
      <c r="B708" s="65" t="s">
        <v>203</v>
      </c>
      <c r="C708" s="65" t="s">
        <v>393</v>
      </c>
      <c r="D708" s="66">
        <v>23642610581</v>
      </c>
      <c r="E708" s="65">
        <v>4678750000</v>
      </c>
      <c r="F708" s="67">
        <v>635468629.13173032</v>
      </c>
      <c r="G708" s="68">
        <v>0</v>
      </c>
      <c r="H708" s="68">
        <v>635468629.13173032</v>
      </c>
      <c r="I708" s="68">
        <v>0</v>
      </c>
      <c r="J708" s="68">
        <v>2300131038</v>
      </c>
      <c r="K708" s="68">
        <v>1007304957</v>
      </c>
      <c r="L708" s="68">
        <v>1794229609</v>
      </c>
      <c r="M708" s="68">
        <v>1299334790</v>
      </c>
      <c r="N708" s="69">
        <v>7036469023.1317301</v>
      </c>
      <c r="O708" s="65" t="str">
        <f>VLOOKUP(A708,Report_HQ1!$A$7:$C$95,3,FALSE)</f>
        <v>BV Sài Gòn</v>
      </c>
      <c r="P708" s="40" t="str">
        <f>VLOOKUP(C708,Sheet1!$U$4:$V$14,2,FALSE)</f>
        <v>BH Xe cơ giới</v>
      </c>
      <c r="Q708" s="88">
        <f t="shared" si="10"/>
        <v>7036469023.1317301</v>
      </c>
    </row>
    <row r="709" spans="1:17" x14ac:dyDescent="0.25">
      <c r="A709" s="85" t="s">
        <v>345</v>
      </c>
      <c r="B709" s="65" t="s">
        <v>203</v>
      </c>
      <c r="C709" s="65" t="s">
        <v>394</v>
      </c>
      <c r="D709" s="66">
        <v>4786820714</v>
      </c>
      <c r="E709" s="65">
        <v>4678750000</v>
      </c>
      <c r="F709" s="67">
        <v>128660681.80598901</v>
      </c>
      <c r="G709" s="68">
        <v>0</v>
      </c>
      <c r="H709" s="68">
        <v>128660681.80598901</v>
      </c>
      <c r="I709" s="68">
        <v>346756</v>
      </c>
      <c r="J709" s="68">
        <v>955002826</v>
      </c>
      <c r="K709" s="68">
        <v>329709236</v>
      </c>
      <c r="L709" s="68">
        <v>585519547</v>
      </c>
      <c r="M709" s="68">
        <v>289290613</v>
      </c>
      <c r="N709" s="69">
        <v>2288529659.8059893</v>
      </c>
      <c r="O709" s="65" t="str">
        <f>VLOOKUP(A709,Report_HQ1!$A$7:$C$95,3,FALSE)</f>
        <v>BV Sài Gòn</v>
      </c>
      <c r="P709" s="40" t="str">
        <f>VLOOKUP(C709,Sheet1!$U$4:$V$14,2,FALSE)</f>
        <v>BH Con người</v>
      </c>
      <c r="Q709" s="88">
        <f t="shared" si="10"/>
        <v>2288529659.8059893</v>
      </c>
    </row>
    <row r="710" spans="1:17" x14ac:dyDescent="0.25">
      <c r="A710" s="85" t="s">
        <v>345</v>
      </c>
      <c r="B710" s="65" t="s">
        <v>203</v>
      </c>
      <c r="C710" s="65" t="s">
        <v>395</v>
      </c>
      <c r="D710" s="66">
        <v>0</v>
      </c>
      <c r="E710" s="65">
        <v>4678750000</v>
      </c>
      <c r="F710" s="67">
        <v>0</v>
      </c>
      <c r="G710" s="68">
        <v>0</v>
      </c>
      <c r="H710" s="68">
        <v>0</v>
      </c>
      <c r="I710" s="68">
        <v>0</v>
      </c>
      <c r="J710" s="68">
        <v>0</v>
      </c>
      <c r="K710" s="68">
        <v>0</v>
      </c>
      <c r="L710" s="68">
        <v>0</v>
      </c>
      <c r="M710" s="68">
        <v>0</v>
      </c>
      <c r="N710" s="69">
        <v>0</v>
      </c>
      <c r="O710" s="65" t="str">
        <f>VLOOKUP(A710,Report_HQ1!$A$7:$C$95,3,FALSE)</f>
        <v>BV Sài Gòn</v>
      </c>
      <c r="P710" s="40" t="e">
        <f>VLOOKUP(C710,Sheet1!$U$4:$V$14,2,FALSE)</f>
        <v>#N/A</v>
      </c>
      <c r="Q710" s="88">
        <f t="shared" si="10"/>
        <v>0</v>
      </c>
    </row>
    <row r="711" spans="1:17" x14ac:dyDescent="0.25">
      <c r="A711" s="85" t="s">
        <v>345</v>
      </c>
      <c r="B711" s="65" t="s">
        <v>203</v>
      </c>
      <c r="C711" s="65" t="s">
        <v>396</v>
      </c>
      <c r="D711" s="66">
        <v>74789648414</v>
      </c>
      <c r="E711" s="65">
        <v>4678750000</v>
      </c>
      <c r="F711" s="67">
        <v>2010204211.0816031</v>
      </c>
      <c r="G711" s="68">
        <v>0</v>
      </c>
      <c r="H711" s="68">
        <v>2010204211.0816031</v>
      </c>
      <c r="I711" s="68">
        <v>0</v>
      </c>
      <c r="J711" s="68">
        <v>10371613815</v>
      </c>
      <c r="K711" s="68">
        <v>1557200942</v>
      </c>
      <c r="L711" s="68">
        <v>406126798</v>
      </c>
      <c r="M711" s="68">
        <v>3533559786</v>
      </c>
      <c r="N711" s="69">
        <v>17878705552.081604</v>
      </c>
      <c r="O711" s="65" t="str">
        <f>VLOOKUP(A711,Report_HQ1!$A$7:$C$95,3,FALSE)</f>
        <v>BV Sài Gòn</v>
      </c>
      <c r="P711" s="40" t="str">
        <f>VLOOKUP(C711,Sheet1!$U$4:$V$14,2,FALSE)</f>
        <v>BH Y tế</v>
      </c>
      <c r="Q711" s="88">
        <f t="shared" si="10"/>
        <v>17878705552.081604</v>
      </c>
    </row>
    <row r="712" spans="1:17" x14ac:dyDescent="0.25">
      <c r="A712" s="85" t="s">
        <v>345</v>
      </c>
      <c r="B712" s="65" t="s">
        <v>203</v>
      </c>
      <c r="C712" s="65" t="s">
        <v>397</v>
      </c>
      <c r="D712" s="66">
        <v>1260844862</v>
      </c>
      <c r="E712" s="65">
        <v>4678750000</v>
      </c>
      <c r="F712" s="67">
        <v>33889123.760589242</v>
      </c>
      <c r="G712" s="68">
        <v>0</v>
      </c>
      <c r="H712" s="68">
        <v>33889123.760589242</v>
      </c>
      <c r="I712" s="68">
        <v>0</v>
      </c>
      <c r="J712" s="68">
        <v>252068172</v>
      </c>
      <c r="K712" s="68">
        <v>252068172</v>
      </c>
      <c r="L712" s="68">
        <v>151200</v>
      </c>
      <c r="M712" s="68">
        <v>100867589</v>
      </c>
      <c r="N712" s="69">
        <v>639044256.76058924</v>
      </c>
      <c r="O712" s="65" t="str">
        <f>VLOOKUP(A712,Report_HQ1!$A$7:$C$95,3,FALSE)</f>
        <v>BV Sài Gòn</v>
      </c>
      <c r="P712" s="40" t="str">
        <f>VLOOKUP(C712,Sheet1!$U$4:$V$14,2,FALSE)</f>
        <v>BH Du lịch</v>
      </c>
      <c r="Q712" s="88">
        <f t="shared" si="10"/>
        <v>639044256.76058924</v>
      </c>
    </row>
    <row r="713" spans="1:17" x14ac:dyDescent="0.25">
      <c r="A713" s="85" t="s">
        <v>346</v>
      </c>
      <c r="B713" s="65" t="s">
        <v>204</v>
      </c>
      <c r="C713" s="65" t="s">
        <v>387</v>
      </c>
      <c r="D713" s="66">
        <v>0</v>
      </c>
      <c r="E713" s="65">
        <v>460500000</v>
      </c>
      <c r="F713" s="67">
        <v>0</v>
      </c>
      <c r="G713" s="68">
        <v>0</v>
      </c>
      <c r="H713" s="68">
        <v>0</v>
      </c>
      <c r="I713" s="68">
        <v>0</v>
      </c>
      <c r="J713" s="68">
        <v>0</v>
      </c>
      <c r="K713" s="68">
        <v>0</v>
      </c>
      <c r="L713" s="68">
        <v>0</v>
      </c>
      <c r="M713" s="68">
        <v>0</v>
      </c>
      <c r="N713" s="69">
        <v>0</v>
      </c>
      <c r="O713" s="65" t="str">
        <f>VLOOKUP(A713,Report_HQ1!$A$7:$C$95,3,FALSE)</f>
        <v>BV Sóc Trăng</v>
      </c>
      <c r="P713" s="40" t="str">
        <f>VLOOKUP(C713,Sheet1!$U$4:$V$14,2,FALSE)</f>
        <v>BH Hàng hóa</v>
      </c>
      <c r="Q713" s="88">
        <f t="shared" si="10"/>
        <v>0</v>
      </c>
    </row>
    <row r="714" spans="1:17" x14ac:dyDescent="0.25">
      <c r="A714" s="85" t="s">
        <v>346</v>
      </c>
      <c r="B714" s="65" t="s">
        <v>204</v>
      </c>
      <c r="C714" s="65" t="s">
        <v>272</v>
      </c>
      <c r="D714" s="66">
        <v>38940075</v>
      </c>
      <c r="E714" s="65">
        <v>460500000</v>
      </c>
      <c r="F714" s="67">
        <v>3278138.7177665336</v>
      </c>
      <c r="G714" s="68">
        <v>0</v>
      </c>
      <c r="H714" s="68">
        <v>3278138.7177665336</v>
      </c>
      <c r="I714" s="68">
        <v>144000</v>
      </c>
      <c r="J714" s="68">
        <v>5841011</v>
      </c>
      <c r="K714" s="68">
        <v>2725805</v>
      </c>
      <c r="L714" s="68">
        <v>389401</v>
      </c>
      <c r="M714" s="68">
        <v>3115206</v>
      </c>
      <c r="N714" s="69">
        <v>15493561.717766535</v>
      </c>
      <c r="O714" s="65" t="str">
        <f>VLOOKUP(A714,Report_HQ1!$A$7:$C$95,3,FALSE)</f>
        <v>BV Sóc Trăng</v>
      </c>
      <c r="P714" s="40" t="str">
        <f>VLOOKUP(C714,Sheet1!$U$4:$V$14,2,FALSE)</f>
        <v>Tàu khác</v>
      </c>
      <c r="Q714" s="88">
        <f t="shared" si="10"/>
        <v>15493561.717766535</v>
      </c>
    </row>
    <row r="715" spans="1:17" x14ac:dyDescent="0.25">
      <c r="A715" s="85" t="s">
        <v>346</v>
      </c>
      <c r="B715" s="65" t="s">
        <v>204</v>
      </c>
      <c r="C715" s="65" t="s">
        <v>388</v>
      </c>
      <c r="D715" s="66">
        <v>0</v>
      </c>
      <c r="E715" s="65">
        <v>460500000</v>
      </c>
      <c r="F715" s="67">
        <v>0</v>
      </c>
      <c r="G715" s="68">
        <v>0</v>
      </c>
      <c r="H715" s="68">
        <v>0</v>
      </c>
      <c r="I715" s="68">
        <v>0</v>
      </c>
      <c r="J715" s="68">
        <v>0</v>
      </c>
      <c r="K715" s="68">
        <v>0</v>
      </c>
      <c r="L715" s="68">
        <v>0</v>
      </c>
      <c r="M715" s="68">
        <v>0</v>
      </c>
      <c r="N715" s="69">
        <v>0</v>
      </c>
      <c r="O715" s="65" t="str">
        <f>VLOOKUP(A715,Report_HQ1!$A$7:$C$95,3,FALSE)</f>
        <v>BV Sóc Trăng</v>
      </c>
      <c r="P715" s="40" t="str">
        <f>VLOOKUP(C715,Sheet1!$U$4:$V$14,2,FALSE)</f>
        <v>Hull (Thân tàu biển)</v>
      </c>
      <c r="Q715" s="88">
        <f t="shared" si="10"/>
        <v>0</v>
      </c>
    </row>
    <row r="716" spans="1:17" x14ac:dyDescent="0.25">
      <c r="A716" s="85" t="s">
        <v>346</v>
      </c>
      <c r="B716" s="65" t="s">
        <v>204</v>
      </c>
      <c r="C716" s="65" t="s">
        <v>23</v>
      </c>
      <c r="D716" s="66">
        <v>0</v>
      </c>
      <c r="E716" s="65">
        <v>460500000</v>
      </c>
      <c r="F716" s="67">
        <v>0</v>
      </c>
      <c r="G716" s="68">
        <v>0</v>
      </c>
      <c r="H716" s="68">
        <v>0</v>
      </c>
      <c r="I716" s="68">
        <v>0</v>
      </c>
      <c r="J716" s="68">
        <v>0</v>
      </c>
      <c r="K716" s="68">
        <v>0</v>
      </c>
      <c r="L716" s="68">
        <v>0</v>
      </c>
      <c r="M716" s="68">
        <v>0</v>
      </c>
      <c r="N716" s="69">
        <v>0</v>
      </c>
      <c r="O716" s="65" t="str">
        <f>VLOOKUP(A716,Report_HQ1!$A$7:$C$95,3,FALSE)</f>
        <v>BV Sóc Trăng</v>
      </c>
      <c r="P716" s="40" t="str">
        <f>VLOOKUP(C716,Sheet1!$U$4:$V$14,2,FALSE)</f>
        <v>P&amp;I</v>
      </c>
      <c r="Q716" s="88">
        <f t="shared" ref="Q716:Q779" si="11">N716</f>
        <v>0</v>
      </c>
    </row>
    <row r="717" spans="1:17" x14ac:dyDescent="0.25">
      <c r="A717" s="85" t="s">
        <v>346</v>
      </c>
      <c r="B717" s="65" t="s">
        <v>204</v>
      </c>
      <c r="C717" s="65" t="s">
        <v>389</v>
      </c>
      <c r="D717" s="66">
        <v>480000</v>
      </c>
      <c r="E717" s="65">
        <v>460500000</v>
      </c>
      <c r="F717" s="67">
        <v>40408.411759040944</v>
      </c>
      <c r="G717" s="68">
        <v>0</v>
      </c>
      <c r="H717" s="68">
        <v>40408.411759040944</v>
      </c>
      <c r="I717" s="68">
        <v>0</v>
      </c>
      <c r="J717" s="68">
        <v>24000</v>
      </c>
      <c r="K717" s="68">
        <v>12000</v>
      </c>
      <c r="L717" s="68">
        <v>88800</v>
      </c>
      <c r="M717" s="68">
        <v>28800</v>
      </c>
      <c r="N717" s="69">
        <v>194008.41175904096</v>
      </c>
      <c r="O717" s="65" t="str">
        <f>VLOOKUP(A717,Report_HQ1!$A$7:$C$95,3,FALSE)</f>
        <v>BV Sóc Trăng</v>
      </c>
      <c r="P717" s="40" t="str">
        <f>VLOOKUP(C717,Sheet1!$U$4:$V$14,2,FALSE)</f>
        <v>BH Trách nhiệm</v>
      </c>
      <c r="Q717" s="88">
        <f t="shared" si="11"/>
        <v>194008.41175904096</v>
      </c>
    </row>
    <row r="718" spans="1:17" x14ac:dyDescent="0.25">
      <c r="A718" s="85" t="s">
        <v>346</v>
      </c>
      <c r="B718" s="65" t="s">
        <v>204</v>
      </c>
      <c r="C718" s="65" t="s">
        <v>390</v>
      </c>
      <c r="D718" s="66">
        <v>0</v>
      </c>
      <c r="E718" s="65">
        <v>460500000</v>
      </c>
      <c r="F718" s="67">
        <v>0</v>
      </c>
      <c r="G718" s="68">
        <v>0</v>
      </c>
      <c r="H718" s="68">
        <v>0</v>
      </c>
      <c r="I718" s="68">
        <v>0</v>
      </c>
      <c r="J718" s="68">
        <v>0</v>
      </c>
      <c r="K718" s="68">
        <v>0</v>
      </c>
      <c r="L718" s="68">
        <v>0</v>
      </c>
      <c r="M718" s="68">
        <v>0</v>
      </c>
      <c r="N718" s="69">
        <v>0</v>
      </c>
      <c r="O718" s="65" t="str">
        <f>VLOOKUP(A718,Report_HQ1!$A$7:$C$95,3,FALSE)</f>
        <v>BV Sóc Trăng</v>
      </c>
      <c r="P718" s="40" t="e">
        <f>VLOOKUP(C718,Sheet1!$U$4:$V$14,2,FALSE)</f>
        <v>#N/A</v>
      </c>
      <c r="Q718" s="88">
        <f t="shared" si="11"/>
        <v>0</v>
      </c>
    </row>
    <row r="719" spans="1:17" x14ac:dyDescent="0.25">
      <c r="A719" s="85" t="s">
        <v>346</v>
      </c>
      <c r="B719" s="65" t="s">
        <v>204</v>
      </c>
      <c r="C719" s="65" t="s">
        <v>391</v>
      </c>
      <c r="D719" s="66">
        <v>54780908</v>
      </c>
      <c r="E719" s="65">
        <v>460500000</v>
      </c>
      <c r="F719" s="67">
        <v>4611686.4312461251</v>
      </c>
      <c r="G719" s="68">
        <v>0</v>
      </c>
      <c r="H719" s="68">
        <v>4611686.4312461251</v>
      </c>
      <c r="I719" s="68">
        <v>0</v>
      </c>
      <c r="J719" s="68">
        <v>0</v>
      </c>
      <c r="K719" s="68">
        <v>0</v>
      </c>
      <c r="L719" s="68">
        <v>0</v>
      </c>
      <c r="M719" s="68">
        <v>0</v>
      </c>
      <c r="N719" s="69">
        <v>4611686.4312461251</v>
      </c>
      <c r="O719" s="65" t="str">
        <f>VLOOKUP(A719,Report_HQ1!$A$7:$C$95,3,FALSE)</f>
        <v>BV Sóc Trăng</v>
      </c>
      <c r="P719" s="40" t="str">
        <f>VLOOKUP(C719,Sheet1!$U$4:$V$14,2,FALSE)</f>
        <v>BH Kỹ thuật</v>
      </c>
      <c r="Q719" s="88">
        <f t="shared" si="11"/>
        <v>4611686.4312461251</v>
      </c>
    </row>
    <row r="720" spans="1:17" x14ac:dyDescent="0.25">
      <c r="A720" s="85" t="s">
        <v>346</v>
      </c>
      <c r="B720" s="65" t="s">
        <v>204</v>
      </c>
      <c r="C720" s="65" t="s">
        <v>392</v>
      </c>
      <c r="D720" s="66">
        <v>863193265</v>
      </c>
      <c r="E720" s="65">
        <v>460500000</v>
      </c>
      <c r="F720" s="67">
        <v>72667226.83281447</v>
      </c>
      <c r="G720" s="68">
        <v>0</v>
      </c>
      <c r="H720" s="68">
        <v>72667226.83281447</v>
      </c>
      <c r="I720" s="68">
        <v>0</v>
      </c>
      <c r="J720" s="68">
        <v>36818</v>
      </c>
      <c r="K720" s="68">
        <v>18409</v>
      </c>
      <c r="L720" s="68">
        <v>106773</v>
      </c>
      <c r="M720" s="68">
        <v>22091</v>
      </c>
      <c r="N720" s="69">
        <v>72851317.83281447</v>
      </c>
      <c r="O720" s="65" t="str">
        <f>VLOOKUP(A720,Report_HQ1!$A$7:$C$95,3,FALSE)</f>
        <v>BV Sóc Trăng</v>
      </c>
      <c r="P720" s="40" t="str">
        <f>VLOOKUP(C720,Sheet1!$U$4:$V$14,2,FALSE)</f>
        <v>BH Tài sản</v>
      </c>
      <c r="Q720" s="88">
        <f t="shared" si="11"/>
        <v>72851317.83281447</v>
      </c>
    </row>
    <row r="721" spans="1:17" x14ac:dyDescent="0.25">
      <c r="A721" s="85" t="s">
        <v>346</v>
      </c>
      <c r="B721" s="65" t="s">
        <v>204</v>
      </c>
      <c r="C721" s="65" t="s">
        <v>393</v>
      </c>
      <c r="D721" s="66">
        <v>2701745501</v>
      </c>
      <c r="E721" s="65">
        <v>460500000</v>
      </c>
      <c r="F721" s="67">
        <v>227444259.73446742</v>
      </c>
      <c r="G721" s="68">
        <v>0</v>
      </c>
      <c r="H721" s="68">
        <v>227444259.73446742</v>
      </c>
      <c r="I721" s="68">
        <v>0</v>
      </c>
      <c r="J721" s="68">
        <v>245823103</v>
      </c>
      <c r="K721" s="68">
        <v>122911551</v>
      </c>
      <c r="L721" s="68">
        <v>324402843</v>
      </c>
      <c r="M721" s="68">
        <v>160641322</v>
      </c>
      <c r="N721" s="69">
        <v>1081223078.7344675</v>
      </c>
      <c r="O721" s="65" t="str">
        <f>VLOOKUP(A721,Report_HQ1!$A$7:$C$95,3,FALSE)</f>
        <v>BV Sóc Trăng</v>
      </c>
      <c r="P721" s="40" t="str">
        <f>VLOOKUP(C721,Sheet1!$U$4:$V$14,2,FALSE)</f>
        <v>BH Xe cơ giới</v>
      </c>
      <c r="Q721" s="88">
        <f t="shared" si="11"/>
        <v>1081223078.7344675</v>
      </c>
    </row>
    <row r="722" spans="1:17" x14ac:dyDescent="0.25">
      <c r="A722" s="85" t="s">
        <v>346</v>
      </c>
      <c r="B722" s="65" t="s">
        <v>204</v>
      </c>
      <c r="C722" s="65" t="s">
        <v>394</v>
      </c>
      <c r="D722" s="66">
        <v>1112834420</v>
      </c>
      <c r="E722" s="65">
        <v>460500000</v>
      </c>
      <c r="F722" s="67">
        <v>93683065.547903135</v>
      </c>
      <c r="G722" s="68">
        <v>0</v>
      </c>
      <c r="H722" s="68">
        <v>93683065.547903135</v>
      </c>
      <c r="I722" s="68">
        <v>0</v>
      </c>
      <c r="J722" s="68">
        <v>184492031</v>
      </c>
      <c r="K722" s="68">
        <v>4898515</v>
      </c>
      <c r="L722" s="68">
        <v>23644808</v>
      </c>
      <c r="M722" s="68">
        <v>55439651</v>
      </c>
      <c r="N722" s="69">
        <v>362158070.54790312</v>
      </c>
      <c r="O722" s="65" t="str">
        <f>VLOOKUP(A722,Report_HQ1!$A$7:$C$95,3,FALSE)</f>
        <v>BV Sóc Trăng</v>
      </c>
      <c r="P722" s="40" t="str">
        <f>VLOOKUP(C722,Sheet1!$U$4:$V$14,2,FALSE)</f>
        <v>BH Con người</v>
      </c>
      <c r="Q722" s="88">
        <f t="shared" si="11"/>
        <v>362158070.54790312</v>
      </c>
    </row>
    <row r="723" spans="1:17" x14ac:dyDescent="0.25">
      <c r="A723" s="85" t="s">
        <v>346</v>
      </c>
      <c r="B723" s="65" t="s">
        <v>204</v>
      </c>
      <c r="C723" s="65" t="s">
        <v>395</v>
      </c>
      <c r="D723" s="66">
        <v>0</v>
      </c>
      <c r="E723" s="65">
        <v>460500000</v>
      </c>
      <c r="F723" s="67">
        <v>0</v>
      </c>
      <c r="G723" s="68">
        <v>0</v>
      </c>
      <c r="H723" s="68">
        <v>0</v>
      </c>
      <c r="I723" s="68">
        <v>0</v>
      </c>
      <c r="J723" s="68">
        <v>0</v>
      </c>
      <c r="K723" s="68">
        <v>0</v>
      </c>
      <c r="L723" s="68">
        <v>0</v>
      </c>
      <c r="M723" s="68">
        <v>0</v>
      </c>
      <c r="N723" s="69">
        <v>0</v>
      </c>
      <c r="O723" s="65" t="str">
        <f>VLOOKUP(A723,Report_HQ1!$A$7:$C$95,3,FALSE)</f>
        <v>BV Sóc Trăng</v>
      </c>
      <c r="P723" s="40" t="e">
        <f>VLOOKUP(C723,Sheet1!$U$4:$V$14,2,FALSE)</f>
        <v>#N/A</v>
      </c>
      <c r="Q723" s="88">
        <f t="shared" si="11"/>
        <v>0</v>
      </c>
    </row>
    <row r="724" spans="1:17" x14ac:dyDescent="0.25">
      <c r="A724" s="85" t="s">
        <v>346</v>
      </c>
      <c r="B724" s="65" t="s">
        <v>204</v>
      </c>
      <c r="C724" s="65" t="s">
        <v>396</v>
      </c>
      <c r="D724" s="66">
        <v>682475310</v>
      </c>
      <c r="E724" s="65">
        <v>460500000</v>
      </c>
      <c r="F724" s="67">
        <v>57453631.962206483</v>
      </c>
      <c r="G724" s="68">
        <v>0</v>
      </c>
      <c r="H724" s="68">
        <v>57453631.962206483</v>
      </c>
      <c r="I724" s="68">
        <v>0</v>
      </c>
      <c r="J724" s="68">
        <v>136495062</v>
      </c>
      <c r="K724" s="68">
        <v>96912104</v>
      </c>
      <c r="L724" s="68">
        <v>366592</v>
      </c>
      <c r="M724" s="68">
        <v>45555998</v>
      </c>
      <c r="N724" s="69">
        <v>336783387.96220648</v>
      </c>
      <c r="O724" s="65" t="str">
        <f>VLOOKUP(A724,Report_HQ1!$A$7:$C$95,3,FALSE)</f>
        <v>BV Sóc Trăng</v>
      </c>
      <c r="P724" s="40" t="str">
        <f>VLOOKUP(C724,Sheet1!$U$4:$V$14,2,FALSE)</f>
        <v>BH Y tế</v>
      </c>
      <c r="Q724" s="88">
        <f t="shared" si="11"/>
        <v>336783387.96220648</v>
      </c>
    </row>
    <row r="725" spans="1:17" x14ac:dyDescent="0.25">
      <c r="A725" s="85" t="s">
        <v>346</v>
      </c>
      <c r="B725" s="65" t="s">
        <v>204</v>
      </c>
      <c r="C725" s="65" t="s">
        <v>397</v>
      </c>
      <c r="D725" s="66">
        <v>15698700</v>
      </c>
      <c r="E725" s="65">
        <v>460500000</v>
      </c>
      <c r="F725" s="67">
        <v>1321582.3618367834</v>
      </c>
      <c r="G725" s="68">
        <v>0</v>
      </c>
      <c r="H725" s="68">
        <v>1321582.3618367834</v>
      </c>
      <c r="I725" s="68">
        <v>0</v>
      </c>
      <c r="J725" s="68">
        <v>3139740</v>
      </c>
      <c r="K725" s="68">
        <v>3139740</v>
      </c>
      <c r="L725" s="68">
        <v>0</v>
      </c>
      <c r="M725" s="68">
        <v>1255896</v>
      </c>
      <c r="N725" s="69">
        <v>8856958.3618367836</v>
      </c>
      <c r="O725" s="65" t="str">
        <f>VLOOKUP(A725,Report_HQ1!$A$7:$C$95,3,FALSE)</f>
        <v>BV Sóc Trăng</v>
      </c>
      <c r="P725" s="40" t="str">
        <f>VLOOKUP(C725,Sheet1!$U$4:$V$14,2,FALSE)</f>
        <v>BH Du lịch</v>
      </c>
      <c r="Q725" s="88">
        <f t="shared" si="11"/>
        <v>8856958.3618367836</v>
      </c>
    </row>
    <row r="726" spans="1:17" x14ac:dyDescent="0.25">
      <c r="A726" s="85" t="s">
        <v>349</v>
      </c>
      <c r="B726" s="65" t="s">
        <v>207</v>
      </c>
      <c r="C726" s="65" t="s">
        <v>387</v>
      </c>
      <c r="D726" s="66">
        <v>53064204</v>
      </c>
      <c r="E726" s="65">
        <v>665828000</v>
      </c>
      <c r="F726" s="67">
        <v>4808873.6244489308</v>
      </c>
      <c r="G726" s="68">
        <v>0</v>
      </c>
      <c r="H726" s="68">
        <v>4808873.6244489308</v>
      </c>
      <c r="I726" s="68">
        <v>0</v>
      </c>
      <c r="J726" s="68">
        <v>5306421</v>
      </c>
      <c r="K726" s="68">
        <v>2653210</v>
      </c>
      <c r="L726" s="68">
        <v>2122569</v>
      </c>
      <c r="M726" s="68">
        <v>4245136</v>
      </c>
      <c r="N726" s="69">
        <v>19136209.624448933</v>
      </c>
      <c r="O726" s="65" t="str">
        <f>VLOOKUP(A726,Report_HQ1!$A$7:$C$95,3,FALSE)</f>
        <v>BV Tây Ninh</v>
      </c>
      <c r="P726" s="40" t="str">
        <f>VLOOKUP(C726,Sheet1!$U$4:$V$14,2,FALSE)</f>
        <v>BH Hàng hóa</v>
      </c>
      <c r="Q726" s="88">
        <f t="shared" si="11"/>
        <v>19136209.624448933</v>
      </c>
    </row>
    <row r="727" spans="1:17" x14ac:dyDescent="0.25">
      <c r="A727" s="85" t="s">
        <v>349</v>
      </c>
      <c r="B727" s="65" t="s">
        <v>207</v>
      </c>
      <c r="C727" s="65" t="s">
        <v>272</v>
      </c>
      <c r="D727" s="66">
        <v>0</v>
      </c>
      <c r="E727" s="65">
        <v>665828000</v>
      </c>
      <c r="F727" s="67">
        <v>0</v>
      </c>
      <c r="G727" s="68">
        <v>0</v>
      </c>
      <c r="H727" s="68">
        <v>0</v>
      </c>
      <c r="I727" s="68">
        <v>0</v>
      </c>
      <c r="J727" s="68">
        <v>0</v>
      </c>
      <c r="K727" s="68">
        <v>0</v>
      </c>
      <c r="L727" s="68">
        <v>0</v>
      </c>
      <c r="M727" s="68">
        <v>0</v>
      </c>
      <c r="N727" s="69">
        <v>0</v>
      </c>
      <c r="O727" s="65" t="str">
        <f>VLOOKUP(A727,Report_HQ1!$A$7:$C$95,3,FALSE)</f>
        <v>BV Tây Ninh</v>
      </c>
      <c r="P727" s="40" t="str">
        <f>VLOOKUP(C727,Sheet1!$U$4:$V$14,2,FALSE)</f>
        <v>Tàu khác</v>
      </c>
      <c r="Q727" s="88">
        <f t="shared" si="11"/>
        <v>0</v>
      </c>
    </row>
    <row r="728" spans="1:17" x14ac:dyDescent="0.25">
      <c r="A728" s="85" t="s">
        <v>349</v>
      </c>
      <c r="B728" s="65" t="s">
        <v>207</v>
      </c>
      <c r="C728" s="65" t="s">
        <v>388</v>
      </c>
      <c r="D728" s="66">
        <v>0</v>
      </c>
      <c r="E728" s="65">
        <v>665828000</v>
      </c>
      <c r="F728" s="67">
        <v>0</v>
      </c>
      <c r="G728" s="68">
        <v>0</v>
      </c>
      <c r="H728" s="68">
        <v>0</v>
      </c>
      <c r="I728" s="68">
        <v>0</v>
      </c>
      <c r="J728" s="68">
        <v>0</v>
      </c>
      <c r="K728" s="68">
        <v>0</v>
      </c>
      <c r="L728" s="68">
        <v>0</v>
      </c>
      <c r="M728" s="68">
        <v>0</v>
      </c>
      <c r="N728" s="69">
        <v>0</v>
      </c>
      <c r="O728" s="65" t="str">
        <f>VLOOKUP(A728,Report_HQ1!$A$7:$C$95,3,FALSE)</f>
        <v>BV Tây Ninh</v>
      </c>
      <c r="P728" s="40" t="str">
        <f>VLOOKUP(C728,Sheet1!$U$4:$V$14,2,FALSE)</f>
        <v>Hull (Thân tàu biển)</v>
      </c>
      <c r="Q728" s="88">
        <f t="shared" si="11"/>
        <v>0</v>
      </c>
    </row>
    <row r="729" spans="1:17" x14ac:dyDescent="0.25">
      <c r="A729" s="85" t="s">
        <v>349</v>
      </c>
      <c r="B729" s="65" t="s">
        <v>207</v>
      </c>
      <c r="C729" s="65" t="s">
        <v>23</v>
      </c>
      <c r="D729" s="66">
        <v>0</v>
      </c>
      <c r="E729" s="65">
        <v>665828000</v>
      </c>
      <c r="F729" s="67">
        <v>0</v>
      </c>
      <c r="G729" s="68">
        <v>0</v>
      </c>
      <c r="H729" s="68">
        <v>0</v>
      </c>
      <c r="I729" s="68">
        <v>0</v>
      </c>
      <c r="J729" s="68">
        <v>0</v>
      </c>
      <c r="K729" s="68">
        <v>0</v>
      </c>
      <c r="L729" s="68">
        <v>0</v>
      </c>
      <c r="M729" s="68">
        <v>0</v>
      </c>
      <c r="N729" s="69">
        <v>0</v>
      </c>
      <c r="O729" s="65" t="str">
        <f>VLOOKUP(A729,Report_HQ1!$A$7:$C$95,3,FALSE)</f>
        <v>BV Tây Ninh</v>
      </c>
      <c r="P729" s="40" t="str">
        <f>VLOOKUP(C729,Sheet1!$U$4:$V$14,2,FALSE)</f>
        <v>P&amp;I</v>
      </c>
      <c r="Q729" s="88">
        <f t="shared" si="11"/>
        <v>0</v>
      </c>
    </row>
    <row r="730" spans="1:17" x14ac:dyDescent="0.25">
      <c r="A730" s="85" t="s">
        <v>349</v>
      </c>
      <c r="B730" s="65" t="s">
        <v>207</v>
      </c>
      <c r="C730" s="65" t="s">
        <v>389</v>
      </c>
      <c r="D730" s="66">
        <v>102277970</v>
      </c>
      <c r="E730" s="65">
        <v>665828000</v>
      </c>
      <c r="F730" s="67">
        <v>9268806.3745416589</v>
      </c>
      <c r="G730" s="68">
        <v>0</v>
      </c>
      <c r="H730" s="68">
        <v>9268806.3745416589</v>
      </c>
      <c r="I730" s="68">
        <v>0</v>
      </c>
      <c r="J730" s="68">
        <v>3681399</v>
      </c>
      <c r="K730" s="68">
        <v>1840699</v>
      </c>
      <c r="L730" s="68">
        <v>5522098</v>
      </c>
      <c r="M730" s="68">
        <v>5890238</v>
      </c>
      <c r="N730" s="69">
        <v>26203240.374541659</v>
      </c>
      <c r="O730" s="65" t="str">
        <f>VLOOKUP(A730,Report_HQ1!$A$7:$C$95,3,FALSE)</f>
        <v>BV Tây Ninh</v>
      </c>
      <c r="P730" s="40" t="str">
        <f>VLOOKUP(C730,Sheet1!$U$4:$V$14,2,FALSE)</f>
        <v>BH Trách nhiệm</v>
      </c>
      <c r="Q730" s="88">
        <f t="shared" si="11"/>
        <v>26203240.374541659</v>
      </c>
    </row>
    <row r="731" spans="1:17" x14ac:dyDescent="0.25">
      <c r="A731" s="85" t="s">
        <v>349</v>
      </c>
      <c r="B731" s="65" t="s">
        <v>207</v>
      </c>
      <c r="C731" s="65" t="s">
        <v>390</v>
      </c>
      <c r="D731" s="66">
        <v>0</v>
      </c>
      <c r="E731" s="65">
        <v>665828000</v>
      </c>
      <c r="F731" s="67">
        <v>0</v>
      </c>
      <c r="G731" s="68">
        <v>0</v>
      </c>
      <c r="H731" s="68">
        <v>0</v>
      </c>
      <c r="I731" s="68">
        <v>0</v>
      </c>
      <c r="J731" s="68">
        <v>0</v>
      </c>
      <c r="K731" s="68">
        <v>0</v>
      </c>
      <c r="L731" s="68">
        <v>0</v>
      </c>
      <c r="M731" s="68">
        <v>0</v>
      </c>
      <c r="N731" s="69">
        <v>0</v>
      </c>
      <c r="O731" s="65" t="str">
        <f>VLOOKUP(A731,Report_HQ1!$A$7:$C$95,3,FALSE)</f>
        <v>BV Tây Ninh</v>
      </c>
      <c r="P731" s="40" t="e">
        <f>VLOOKUP(C731,Sheet1!$U$4:$V$14,2,FALSE)</f>
        <v>#N/A</v>
      </c>
      <c r="Q731" s="88">
        <f t="shared" si="11"/>
        <v>0</v>
      </c>
    </row>
    <row r="732" spans="1:17" x14ac:dyDescent="0.25">
      <c r="A732" s="85" t="s">
        <v>349</v>
      </c>
      <c r="B732" s="65" t="s">
        <v>207</v>
      </c>
      <c r="C732" s="65" t="s">
        <v>391</v>
      </c>
      <c r="D732" s="66">
        <v>34838420</v>
      </c>
      <c r="E732" s="65">
        <v>665828000</v>
      </c>
      <c r="F732" s="67">
        <v>3157185.9450765364</v>
      </c>
      <c r="G732" s="68">
        <v>0</v>
      </c>
      <c r="H732" s="68">
        <v>3157185.9450765364</v>
      </c>
      <c r="I732" s="68">
        <v>0</v>
      </c>
      <c r="J732" s="68">
        <v>237655</v>
      </c>
      <c r="K732" s="68">
        <v>118828</v>
      </c>
      <c r="L732" s="68">
        <v>356483</v>
      </c>
      <c r="M732" s="68">
        <v>285186</v>
      </c>
      <c r="N732" s="69">
        <v>4155337.9450765364</v>
      </c>
      <c r="O732" s="65" t="str">
        <f>VLOOKUP(A732,Report_HQ1!$A$7:$C$95,3,FALSE)</f>
        <v>BV Tây Ninh</v>
      </c>
      <c r="P732" s="40" t="str">
        <f>VLOOKUP(C732,Sheet1!$U$4:$V$14,2,FALSE)</f>
        <v>BH Kỹ thuật</v>
      </c>
      <c r="Q732" s="88">
        <f t="shared" si="11"/>
        <v>4155337.9450765364</v>
      </c>
    </row>
    <row r="733" spans="1:17" x14ac:dyDescent="0.25">
      <c r="A733" s="85" t="s">
        <v>349</v>
      </c>
      <c r="B733" s="65" t="s">
        <v>207</v>
      </c>
      <c r="C733" s="65" t="s">
        <v>392</v>
      </c>
      <c r="D733" s="66">
        <v>2157138732</v>
      </c>
      <c r="E733" s="65">
        <v>665828000</v>
      </c>
      <c r="F733" s="67">
        <v>195487857.55067599</v>
      </c>
      <c r="G733" s="68">
        <v>0</v>
      </c>
      <c r="H733" s="68">
        <v>195487857.55067599</v>
      </c>
      <c r="I733" s="68">
        <v>0</v>
      </c>
      <c r="J733" s="68">
        <v>30282106</v>
      </c>
      <c r="K733" s="68">
        <v>15141053</v>
      </c>
      <c r="L733" s="68">
        <v>62818684</v>
      </c>
      <c r="M733" s="68">
        <v>34734733</v>
      </c>
      <c r="N733" s="69">
        <v>338464433.55067599</v>
      </c>
      <c r="O733" s="65" t="str">
        <f>VLOOKUP(A733,Report_HQ1!$A$7:$C$95,3,FALSE)</f>
        <v>BV Tây Ninh</v>
      </c>
      <c r="P733" s="40" t="str">
        <f>VLOOKUP(C733,Sheet1!$U$4:$V$14,2,FALSE)</f>
        <v>BH Tài sản</v>
      </c>
      <c r="Q733" s="88">
        <f t="shared" si="11"/>
        <v>338464433.55067599</v>
      </c>
    </row>
    <row r="734" spans="1:17" x14ac:dyDescent="0.25">
      <c r="A734" s="85" t="s">
        <v>349</v>
      </c>
      <c r="B734" s="65" t="s">
        <v>207</v>
      </c>
      <c r="C734" s="65" t="s">
        <v>393</v>
      </c>
      <c r="D734" s="66">
        <v>3086205910</v>
      </c>
      <c r="E734" s="65">
        <v>665828000</v>
      </c>
      <c r="F734" s="67">
        <v>279683347.36948866</v>
      </c>
      <c r="G734" s="68">
        <v>0</v>
      </c>
      <c r="H734" s="68">
        <v>279683347.36948866</v>
      </c>
      <c r="I734" s="68">
        <v>0</v>
      </c>
      <c r="J734" s="68">
        <v>277857483</v>
      </c>
      <c r="K734" s="68">
        <v>138928742</v>
      </c>
      <c r="L734" s="68">
        <v>264438821</v>
      </c>
      <c r="M734" s="68">
        <v>184678346</v>
      </c>
      <c r="N734" s="69">
        <v>1145586739.3694887</v>
      </c>
      <c r="O734" s="65" t="str">
        <f>VLOOKUP(A734,Report_HQ1!$A$7:$C$95,3,FALSE)</f>
        <v>BV Tây Ninh</v>
      </c>
      <c r="P734" s="40" t="str">
        <f>VLOOKUP(C734,Sheet1!$U$4:$V$14,2,FALSE)</f>
        <v>BH Xe cơ giới</v>
      </c>
      <c r="Q734" s="88">
        <f t="shared" si="11"/>
        <v>1145586739.3694887</v>
      </c>
    </row>
    <row r="735" spans="1:17" x14ac:dyDescent="0.25">
      <c r="A735" s="85" t="s">
        <v>349</v>
      </c>
      <c r="B735" s="65" t="s">
        <v>207</v>
      </c>
      <c r="C735" s="65" t="s">
        <v>394</v>
      </c>
      <c r="D735" s="66">
        <v>1124466600</v>
      </c>
      <c r="E735" s="65">
        <v>665828000</v>
      </c>
      <c r="F735" s="67">
        <v>101903305.17939675</v>
      </c>
      <c r="G735" s="68">
        <v>0</v>
      </c>
      <c r="H735" s="68">
        <v>101903305.17939675</v>
      </c>
      <c r="I735" s="68">
        <v>1180000</v>
      </c>
      <c r="J735" s="68">
        <v>187216319</v>
      </c>
      <c r="K735" s="68">
        <v>10743350</v>
      </c>
      <c r="L735" s="68">
        <v>29003551</v>
      </c>
      <c r="M735" s="68">
        <v>59083876</v>
      </c>
      <c r="N735" s="69">
        <v>389130401.17939675</v>
      </c>
      <c r="O735" s="65" t="str">
        <f>VLOOKUP(A735,Report_HQ1!$A$7:$C$95,3,FALSE)</f>
        <v>BV Tây Ninh</v>
      </c>
      <c r="P735" s="40" t="str">
        <f>VLOOKUP(C735,Sheet1!$U$4:$V$14,2,FALSE)</f>
        <v>BH Con người</v>
      </c>
      <c r="Q735" s="88">
        <f t="shared" si="11"/>
        <v>389130401.17939675</v>
      </c>
    </row>
    <row r="736" spans="1:17" x14ac:dyDescent="0.25">
      <c r="A736" s="85" t="s">
        <v>349</v>
      </c>
      <c r="B736" s="65" t="s">
        <v>207</v>
      </c>
      <c r="C736" s="65" t="s">
        <v>395</v>
      </c>
      <c r="D736" s="66">
        <v>0</v>
      </c>
      <c r="E736" s="65">
        <v>665828000</v>
      </c>
      <c r="F736" s="67">
        <v>0</v>
      </c>
      <c r="G736" s="68">
        <v>0</v>
      </c>
      <c r="H736" s="68">
        <v>0</v>
      </c>
      <c r="I736" s="68">
        <v>0</v>
      </c>
      <c r="J736" s="68">
        <v>0</v>
      </c>
      <c r="K736" s="68">
        <v>0</v>
      </c>
      <c r="L736" s="68">
        <v>0</v>
      </c>
      <c r="M736" s="68">
        <v>0</v>
      </c>
      <c r="N736" s="69">
        <v>0</v>
      </c>
      <c r="O736" s="65" t="str">
        <f>VLOOKUP(A736,Report_HQ1!$A$7:$C$95,3,FALSE)</f>
        <v>BV Tây Ninh</v>
      </c>
      <c r="P736" s="40" t="e">
        <f>VLOOKUP(C736,Sheet1!$U$4:$V$14,2,FALSE)</f>
        <v>#N/A</v>
      </c>
      <c r="Q736" s="88">
        <f t="shared" si="11"/>
        <v>0</v>
      </c>
    </row>
    <row r="737" spans="1:17" x14ac:dyDescent="0.25">
      <c r="A737" s="85" t="s">
        <v>349</v>
      </c>
      <c r="B737" s="65" t="s">
        <v>207</v>
      </c>
      <c r="C737" s="65" t="s">
        <v>396</v>
      </c>
      <c r="D737" s="66">
        <v>782951488</v>
      </c>
      <c r="E737" s="65">
        <v>665828000</v>
      </c>
      <c r="F737" s="67">
        <v>70953947.7849558</v>
      </c>
      <c r="G737" s="68">
        <v>0</v>
      </c>
      <c r="H737" s="68">
        <v>70953947.7849558</v>
      </c>
      <c r="I737" s="68">
        <v>0</v>
      </c>
      <c r="J737" s="68">
        <v>156590298</v>
      </c>
      <c r="K737" s="68">
        <v>31318060</v>
      </c>
      <c r="L737" s="68">
        <v>5562042</v>
      </c>
      <c r="M737" s="68">
        <v>63295811</v>
      </c>
      <c r="N737" s="69">
        <v>327720158.7849558</v>
      </c>
      <c r="O737" s="65" t="str">
        <f>VLOOKUP(A737,Report_HQ1!$A$7:$C$95,3,FALSE)</f>
        <v>BV Tây Ninh</v>
      </c>
      <c r="P737" s="40" t="str">
        <f>VLOOKUP(C737,Sheet1!$U$4:$V$14,2,FALSE)</f>
        <v>BH Y tế</v>
      </c>
      <c r="Q737" s="88">
        <f t="shared" si="11"/>
        <v>327720158.7849558</v>
      </c>
    </row>
    <row r="738" spans="1:17" x14ac:dyDescent="0.25">
      <c r="A738" s="85" t="s">
        <v>349</v>
      </c>
      <c r="B738" s="65" t="s">
        <v>207</v>
      </c>
      <c r="C738" s="65" t="s">
        <v>397</v>
      </c>
      <c r="D738" s="66">
        <v>6231000</v>
      </c>
      <c r="E738" s="65">
        <v>665828000</v>
      </c>
      <c r="F738" s="67">
        <v>564676.17141569266</v>
      </c>
      <c r="G738" s="68">
        <v>0</v>
      </c>
      <c r="H738" s="68">
        <v>564676.17141569266</v>
      </c>
      <c r="I738" s="68">
        <v>0</v>
      </c>
      <c r="J738" s="68">
        <v>1246200</v>
      </c>
      <c r="K738" s="68">
        <v>1246200</v>
      </c>
      <c r="L738" s="68">
        <v>0</v>
      </c>
      <c r="M738" s="68">
        <v>498480</v>
      </c>
      <c r="N738" s="69">
        <v>3555556.1714156927</v>
      </c>
      <c r="O738" s="65" t="str">
        <f>VLOOKUP(A738,Report_HQ1!$A$7:$C$95,3,FALSE)</f>
        <v>BV Tây Ninh</v>
      </c>
      <c r="P738" s="40" t="str">
        <f>VLOOKUP(C738,Sheet1!$U$4:$V$14,2,FALSE)</f>
        <v>BH Du lịch</v>
      </c>
      <c r="Q738" s="88">
        <f t="shared" si="11"/>
        <v>3555556.1714156927</v>
      </c>
    </row>
    <row r="739" spans="1:17" x14ac:dyDescent="0.25">
      <c r="A739" s="85" t="s">
        <v>350</v>
      </c>
      <c r="B739" s="65" t="s">
        <v>208</v>
      </c>
      <c r="C739" s="65" t="s">
        <v>387</v>
      </c>
      <c r="D739" s="66">
        <v>6791298</v>
      </c>
      <c r="E739" s="65">
        <v>749500000</v>
      </c>
      <c r="F739" s="67">
        <v>386731.07728480059</v>
      </c>
      <c r="G739" s="68">
        <v>0</v>
      </c>
      <c r="H739" s="68">
        <v>386731.07728480059</v>
      </c>
      <c r="I739" s="68">
        <v>0</v>
      </c>
      <c r="J739" s="68">
        <v>679130</v>
      </c>
      <c r="K739" s="68">
        <v>339565</v>
      </c>
      <c r="L739" s="68">
        <v>271652</v>
      </c>
      <c r="M739" s="68">
        <v>543303</v>
      </c>
      <c r="N739" s="69">
        <v>2220381.0772848008</v>
      </c>
      <c r="O739" s="65" t="str">
        <f>VLOOKUP(A739,Report_HQ1!$A$7:$C$95,3,FALSE)</f>
        <v>BV Thái Bình</v>
      </c>
      <c r="P739" s="40" t="str">
        <f>VLOOKUP(C739,Sheet1!$U$4:$V$14,2,FALSE)</f>
        <v>BH Hàng hóa</v>
      </c>
      <c r="Q739" s="88">
        <f t="shared" si="11"/>
        <v>2220381.0772848008</v>
      </c>
    </row>
    <row r="740" spans="1:17" x14ac:dyDescent="0.25">
      <c r="A740" s="85" t="s">
        <v>350</v>
      </c>
      <c r="B740" s="65" t="s">
        <v>208</v>
      </c>
      <c r="C740" s="65" t="s">
        <v>272</v>
      </c>
      <c r="D740" s="66">
        <v>0</v>
      </c>
      <c r="E740" s="65">
        <v>749500000</v>
      </c>
      <c r="F740" s="67">
        <v>0</v>
      </c>
      <c r="G740" s="68">
        <v>0</v>
      </c>
      <c r="H740" s="68">
        <v>0</v>
      </c>
      <c r="I740" s="68">
        <v>0</v>
      </c>
      <c r="J740" s="68">
        <v>0</v>
      </c>
      <c r="K740" s="68">
        <v>0</v>
      </c>
      <c r="L740" s="68">
        <v>0</v>
      </c>
      <c r="M740" s="68">
        <v>0</v>
      </c>
      <c r="N740" s="69">
        <v>0</v>
      </c>
      <c r="O740" s="65" t="str">
        <f>VLOOKUP(A740,Report_HQ1!$A$7:$C$95,3,FALSE)</f>
        <v>BV Thái Bình</v>
      </c>
      <c r="P740" s="40" t="str">
        <f>VLOOKUP(C740,Sheet1!$U$4:$V$14,2,FALSE)</f>
        <v>Tàu khác</v>
      </c>
      <c r="Q740" s="88">
        <f t="shared" si="11"/>
        <v>0</v>
      </c>
    </row>
    <row r="741" spans="1:17" x14ac:dyDescent="0.25">
      <c r="A741" s="85" t="s">
        <v>350</v>
      </c>
      <c r="B741" s="65" t="s">
        <v>208</v>
      </c>
      <c r="C741" s="65" t="s">
        <v>388</v>
      </c>
      <c r="D741" s="66">
        <v>149473972</v>
      </c>
      <c r="E741" s="65">
        <v>749500000</v>
      </c>
      <c r="F741" s="67">
        <v>8511808.8202870972</v>
      </c>
      <c r="G741" s="68">
        <v>0</v>
      </c>
      <c r="H741" s="68">
        <v>8511808.8202870972</v>
      </c>
      <c r="I741" s="68">
        <v>747370</v>
      </c>
      <c r="J741" s="68">
        <v>12971096</v>
      </c>
      <c r="K741" s="68">
        <v>2362500</v>
      </c>
      <c r="L741" s="68">
        <v>0</v>
      </c>
      <c r="M741" s="68">
        <v>4484219</v>
      </c>
      <c r="N741" s="69">
        <v>29076993.820287097</v>
      </c>
      <c r="O741" s="65" t="str">
        <f>VLOOKUP(A741,Report_HQ1!$A$7:$C$95,3,FALSE)</f>
        <v>BV Thái Bình</v>
      </c>
      <c r="P741" s="40" t="str">
        <f>VLOOKUP(C741,Sheet1!$U$4:$V$14,2,FALSE)</f>
        <v>Hull (Thân tàu biển)</v>
      </c>
      <c r="Q741" s="88">
        <f t="shared" si="11"/>
        <v>29076993.820287097</v>
      </c>
    </row>
    <row r="742" spans="1:17" x14ac:dyDescent="0.25">
      <c r="A742" s="85" t="s">
        <v>350</v>
      </c>
      <c r="B742" s="65" t="s">
        <v>208</v>
      </c>
      <c r="C742" s="65" t="s">
        <v>23</v>
      </c>
      <c r="D742" s="66">
        <v>0</v>
      </c>
      <c r="E742" s="65">
        <v>749500000</v>
      </c>
      <c r="F742" s="67">
        <v>0</v>
      </c>
      <c r="G742" s="68">
        <v>0</v>
      </c>
      <c r="H742" s="68">
        <v>0</v>
      </c>
      <c r="I742" s="68">
        <v>0</v>
      </c>
      <c r="J742" s="68">
        <v>0</v>
      </c>
      <c r="K742" s="68">
        <v>0</v>
      </c>
      <c r="L742" s="68">
        <v>0</v>
      </c>
      <c r="M742" s="68">
        <v>0</v>
      </c>
      <c r="N742" s="69">
        <v>0</v>
      </c>
      <c r="O742" s="65" t="str">
        <f>VLOOKUP(A742,Report_HQ1!$A$7:$C$95,3,FALSE)</f>
        <v>BV Thái Bình</v>
      </c>
      <c r="P742" s="40" t="str">
        <f>VLOOKUP(C742,Sheet1!$U$4:$V$14,2,FALSE)</f>
        <v>P&amp;I</v>
      </c>
      <c r="Q742" s="88">
        <f t="shared" si="11"/>
        <v>0</v>
      </c>
    </row>
    <row r="743" spans="1:17" x14ac:dyDescent="0.25">
      <c r="A743" s="85" t="s">
        <v>350</v>
      </c>
      <c r="B743" s="65" t="s">
        <v>208</v>
      </c>
      <c r="C743" s="65" t="s">
        <v>389</v>
      </c>
      <c r="D743" s="66">
        <v>408574133</v>
      </c>
      <c r="E743" s="65">
        <v>749500000</v>
      </c>
      <c r="F743" s="67">
        <v>23266290.863071155</v>
      </c>
      <c r="G743" s="68">
        <v>0</v>
      </c>
      <c r="H743" s="68">
        <v>23266290.863071155</v>
      </c>
      <c r="I743" s="68">
        <v>0</v>
      </c>
      <c r="J743" s="68">
        <v>64149768</v>
      </c>
      <c r="K743" s="68">
        <v>9652247</v>
      </c>
      <c r="L743" s="68">
        <v>26130323</v>
      </c>
      <c r="M743" s="68">
        <v>35490458</v>
      </c>
      <c r="N743" s="69">
        <v>158689086.86307114</v>
      </c>
      <c r="O743" s="65" t="str">
        <f>VLOOKUP(A743,Report_HQ1!$A$7:$C$95,3,FALSE)</f>
        <v>BV Thái Bình</v>
      </c>
      <c r="P743" s="40" t="str">
        <f>VLOOKUP(C743,Sheet1!$U$4:$V$14,2,FALSE)</f>
        <v>BH Trách nhiệm</v>
      </c>
      <c r="Q743" s="88">
        <f t="shared" si="11"/>
        <v>158689086.86307114</v>
      </c>
    </row>
    <row r="744" spans="1:17" x14ac:dyDescent="0.25">
      <c r="A744" s="85" t="s">
        <v>350</v>
      </c>
      <c r="B744" s="65" t="s">
        <v>208</v>
      </c>
      <c r="C744" s="65" t="s">
        <v>390</v>
      </c>
      <c r="D744" s="66">
        <v>0</v>
      </c>
      <c r="E744" s="65">
        <v>749500000</v>
      </c>
      <c r="F744" s="67">
        <v>0</v>
      </c>
      <c r="G744" s="68">
        <v>0</v>
      </c>
      <c r="H744" s="68">
        <v>0</v>
      </c>
      <c r="I744" s="68">
        <v>0</v>
      </c>
      <c r="J744" s="68">
        <v>0</v>
      </c>
      <c r="K744" s="68">
        <v>0</v>
      </c>
      <c r="L744" s="68">
        <v>0</v>
      </c>
      <c r="M744" s="68">
        <v>0</v>
      </c>
      <c r="N744" s="69">
        <v>0</v>
      </c>
      <c r="O744" s="65" t="str">
        <f>VLOOKUP(A744,Report_HQ1!$A$7:$C$95,3,FALSE)</f>
        <v>BV Thái Bình</v>
      </c>
      <c r="P744" s="40" t="e">
        <f>VLOOKUP(C744,Sheet1!$U$4:$V$14,2,FALSE)</f>
        <v>#N/A</v>
      </c>
      <c r="Q744" s="88">
        <f t="shared" si="11"/>
        <v>0</v>
      </c>
    </row>
    <row r="745" spans="1:17" x14ac:dyDescent="0.25">
      <c r="A745" s="85" t="s">
        <v>350</v>
      </c>
      <c r="B745" s="65" t="s">
        <v>208</v>
      </c>
      <c r="C745" s="65" t="s">
        <v>391</v>
      </c>
      <c r="D745" s="66">
        <v>420346807</v>
      </c>
      <c r="E745" s="65">
        <v>749500000</v>
      </c>
      <c r="F745" s="67">
        <v>23936686.846069217</v>
      </c>
      <c r="G745" s="68">
        <v>0</v>
      </c>
      <c r="H745" s="68">
        <v>23936686.846069217</v>
      </c>
      <c r="I745" s="68">
        <v>0</v>
      </c>
      <c r="J745" s="68">
        <v>0</v>
      </c>
      <c r="K745" s="68">
        <v>0</v>
      </c>
      <c r="L745" s="68">
        <v>75527034</v>
      </c>
      <c r="M745" s="68">
        <v>20393551</v>
      </c>
      <c r="N745" s="69">
        <v>119857271.84606922</v>
      </c>
      <c r="O745" s="65" t="str">
        <f>VLOOKUP(A745,Report_HQ1!$A$7:$C$95,3,FALSE)</f>
        <v>BV Thái Bình</v>
      </c>
      <c r="P745" s="40" t="str">
        <f>VLOOKUP(C745,Sheet1!$U$4:$V$14,2,FALSE)</f>
        <v>BH Kỹ thuật</v>
      </c>
      <c r="Q745" s="88">
        <f t="shared" si="11"/>
        <v>119857271.84606922</v>
      </c>
    </row>
    <row r="746" spans="1:17" x14ac:dyDescent="0.25">
      <c r="A746" s="85" t="s">
        <v>350</v>
      </c>
      <c r="B746" s="65" t="s">
        <v>208</v>
      </c>
      <c r="C746" s="65" t="s">
        <v>392</v>
      </c>
      <c r="D746" s="66">
        <v>3138915083</v>
      </c>
      <c r="E746" s="65">
        <v>749500000</v>
      </c>
      <c r="F746" s="67">
        <v>178745802.57766619</v>
      </c>
      <c r="G746" s="68">
        <v>0</v>
      </c>
      <c r="H746" s="68">
        <v>178745802.57766619</v>
      </c>
      <c r="I746" s="68">
        <v>0</v>
      </c>
      <c r="J746" s="68">
        <v>312259237</v>
      </c>
      <c r="K746" s="68">
        <v>9856230</v>
      </c>
      <c r="L746" s="68">
        <v>219030555</v>
      </c>
      <c r="M746" s="68">
        <v>70604677</v>
      </c>
      <c r="N746" s="69">
        <v>790496501.57766616</v>
      </c>
      <c r="O746" s="65" t="str">
        <f>VLOOKUP(A746,Report_HQ1!$A$7:$C$95,3,FALSE)</f>
        <v>BV Thái Bình</v>
      </c>
      <c r="P746" s="40" t="str">
        <f>VLOOKUP(C746,Sheet1!$U$4:$V$14,2,FALSE)</f>
        <v>BH Tài sản</v>
      </c>
      <c r="Q746" s="88">
        <f t="shared" si="11"/>
        <v>790496501.57766616</v>
      </c>
    </row>
    <row r="747" spans="1:17" x14ac:dyDescent="0.25">
      <c r="A747" s="85" t="s">
        <v>350</v>
      </c>
      <c r="B747" s="65" t="s">
        <v>208</v>
      </c>
      <c r="C747" s="65" t="s">
        <v>393</v>
      </c>
      <c r="D747" s="66">
        <v>1856873485</v>
      </c>
      <c r="E747" s="65">
        <v>749500000</v>
      </c>
      <c r="F747" s="67">
        <v>105739828.12057902</v>
      </c>
      <c r="G747" s="68">
        <v>0</v>
      </c>
      <c r="H747" s="68">
        <v>105739828.12057902</v>
      </c>
      <c r="I747" s="68">
        <v>0</v>
      </c>
      <c r="J747" s="68">
        <v>166998791</v>
      </c>
      <c r="K747" s="68">
        <v>83499397</v>
      </c>
      <c r="L747" s="68">
        <v>171685278</v>
      </c>
      <c r="M747" s="68">
        <v>111038857</v>
      </c>
      <c r="N747" s="69">
        <v>638962151.120579</v>
      </c>
      <c r="O747" s="65" t="str">
        <f>VLOOKUP(A747,Report_HQ1!$A$7:$C$95,3,FALSE)</f>
        <v>BV Thái Bình</v>
      </c>
      <c r="P747" s="40" t="str">
        <f>VLOOKUP(C747,Sheet1!$U$4:$V$14,2,FALSE)</f>
        <v>BH Xe cơ giới</v>
      </c>
      <c r="Q747" s="88">
        <f t="shared" si="11"/>
        <v>638962151.120579</v>
      </c>
    </row>
    <row r="748" spans="1:17" x14ac:dyDescent="0.25">
      <c r="A748" s="85" t="s">
        <v>350</v>
      </c>
      <c r="B748" s="65" t="s">
        <v>208</v>
      </c>
      <c r="C748" s="65" t="s">
        <v>394</v>
      </c>
      <c r="D748" s="66">
        <v>6392254850</v>
      </c>
      <c r="E748" s="65">
        <v>749500000</v>
      </c>
      <c r="F748" s="67">
        <v>364007529.10849905</v>
      </c>
      <c r="G748" s="68">
        <v>0</v>
      </c>
      <c r="H748" s="68">
        <v>364007529.10849905</v>
      </c>
      <c r="I748" s="68">
        <v>7442500</v>
      </c>
      <c r="J748" s="68">
        <v>1192083773</v>
      </c>
      <c r="K748" s="68">
        <v>30972463</v>
      </c>
      <c r="L748" s="68">
        <v>51299849</v>
      </c>
      <c r="M748" s="68">
        <v>358537219</v>
      </c>
      <c r="N748" s="69">
        <v>2004343333.1084991</v>
      </c>
      <c r="O748" s="65" t="str">
        <f>VLOOKUP(A748,Report_HQ1!$A$7:$C$95,3,FALSE)</f>
        <v>BV Thái Bình</v>
      </c>
      <c r="P748" s="40" t="str">
        <f>VLOOKUP(C748,Sheet1!$U$4:$V$14,2,FALSE)</f>
        <v>BH Con người</v>
      </c>
      <c r="Q748" s="88">
        <f t="shared" si="11"/>
        <v>2004343333.1084991</v>
      </c>
    </row>
    <row r="749" spans="1:17" x14ac:dyDescent="0.25">
      <c r="A749" s="85" t="s">
        <v>350</v>
      </c>
      <c r="B749" s="65" t="s">
        <v>208</v>
      </c>
      <c r="C749" s="65" t="s">
        <v>395</v>
      </c>
      <c r="D749" s="66">
        <v>0</v>
      </c>
      <c r="E749" s="65">
        <v>749500000</v>
      </c>
      <c r="F749" s="67">
        <v>0</v>
      </c>
      <c r="G749" s="68">
        <v>0</v>
      </c>
      <c r="H749" s="68">
        <v>0</v>
      </c>
      <c r="I749" s="68">
        <v>0</v>
      </c>
      <c r="J749" s="68">
        <v>0</v>
      </c>
      <c r="K749" s="68">
        <v>0</v>
      </c>
      <c r="L749" s="68">
        <v>0</v>
      </c>
      <c r="M749" s="68">
        <v>0</v>
      </c>
      <c r="N749" s="69">
        <v>0</v>
      </c>
      <c r="O749" s="65" t="str">
        <f>VLOOKUP(A749,Report_HQ1!$A$7:$C$95,3,FALSE)</f>
        <v>BV Thái Bình</v>
      </c>
      <c r="P749" s="40" t="e">
        <f>VLOOKUP(C749,Sheet1!$U$4:$V$14,2,FALSE)</f>
        <v>#N/A</v>
      </c>
      <c r="Q749" s="88">
        <f t="shared" si="11"/>
        <v>0</v>
      </c>
    </row>
    <row r="750" spans="1:17" x14ac:dyDescent="0.25">
      <c r="A750" s="85" t="s">
        <v>350</v>
      </c>
      <c r="B750" s="65" t="s">
        <v>208</v>
      </c>
      <c r="C750" s="65" t="s">
        <v>396</v>
      </c>
      <c r="D750" s="66">
        <v>779548532</v>
      </c>
      <c r="E750" s="65">
        <v>749500000</v>
      </c>
      <c r="F750" s="67">
        <v>44391461.4814642</v>
      </c>
      <c r="G750" s="68">
        <v>0</v>
      </c>
      <c r="H750" s="68">
        <v>44391461.4814642</v>
      </c>
      <c r="I750" s="68">
        <v>0</v>
      </c>
      <c r="J750" s="68">
        <v>154622766</v>
      </c>
      <c r="K750" s="68">
        <v>91395799</v>
      </c>
      <c r="L750" s="68">
        <v>1674596</v>
      </c>
      <c r="M750" s="68">
        <v>51559163</v>
      </c>
      <c r="N750" s="69">
        <v>343643785.48146421</v>
      </c>
      <c r="O750" s="65" t="str">
        <f>VLOOKUP(A750,Report_HQ1!$A$7:$C$95,3,FALSE)</f>
        <v>BV Thái Bình</v>
      </c>
      <c r="P750" s="40" t="str">
        <f>VLOOKUP(C750,Sheet1!$U$4:$V$14,2,FALSE)</f>
        <v>BH Y tế</v>
      </c>
      <c r="Q750" s="88">
        <f t="shared" si="11"/>
        <v>343643785.48146421</v>
      </c>
    </row>
    <row r="751" spans="1:17" x14ac:dyDescent="0.25">
      <c r="A751" s="85" t="s">
        <v>350</v>
      </c>
      <c r="B751" s="65" t="s">
        <v>208</v>
      </c>
      <c r="C751" s="65" t="s">
        <v>397</v>
      </c>
      <c r="D751" s="66">
        <v>9023800</v>
      </c>
      <c r="E751" s="65">
        <v>749500000</v>
      </c>
      <c r="F751" s="67">
        <v>513861.10507926228</v>
      </c>
      <c r="G751" s="68">
        <v>0</v>
      </c>
      <c r="H751" s="68">
        <v>513861.10507926228</v>
      </c>
      <c r="I751" s="68">
        <v>0</v>
      </c>
      <c r="J751" s="68">
        <v>1804760</v>
      </c>
      <c r="K751" s="68">
        <v>1804760</v>
      </c>
      <c r="L751" s="68">
        <v>0</v>
      </c>
      <c r="M751" s="68">
        <v>721904</v>
      </c>
      <c r="N751" s="69">
        <v>4845285.1050792625</v>
      </c>
      <c r="O751" s="65" t="str">
        <f>VLOOKUP(A751,Report_HQ1!$A$7:$C$95,3,FALSE)</f>
        <v>BV Thái Bình</v>
      </c>
      <c r="P751" s="40" t="str">
        <f>VLOOKUP(C751,Sheet1!$U$4:$V$14,2,FALSE)</f>
        <v>BH Du lịch</v>
      </c>
      <c r="Q751" s="88">
        <f t="shared" si="11"/>
        <v>4845285.1050792625</v>
      </c>
    </row>
    <row r="752" spans="1:17" x14ac:dyDescent="0.25">
      <c r="A752" s="85" t="s">
        <v>351</v>
      </c>
      <c r="B752" s="65" t="s">
        <v>209</v>
      </c>
      <c r="C752" s="65" t="s">
        <v>387</v>
      </c>
      <c r="D752" s="66">
        <v>3048641951</v>
      </c>
      <c r="E752" s="65">
        <v>913623221</v>
      </c>
      <c r="F752" s="67">
        <v>169577386.77925822</v>
      </c>
      <c r="G752" s="68">
        <v>0</v>
      </c>
      <c r="H752" s="68">
        <v>169577386.77925822</v>
      </c>
      <c r="I752" s="68">
        <v>0</v>
      </c>
      <c r="J752" s="68">
        <v>771859345</v>
      </c>
      <c r="K752" s="68">
        <v>35683310</v>
      </c>
      <c r="L752" s="68">
        <v>273719102</v>
      </c>
      <c r="M752" s="68">
        <v>313940629</v>
      </c>
      <c r="N752" s="69">
        <v>1564779772.7792583</v>
      </c>
      <c r="O752" s="65" t="str">
        <f>VLOOKUP(A752,Report_HQ1!$A$7:$C$95,3,FALSE)</f>
        <v>BV Thái Nguyên</v>
      </c>
      <c r="P752" s="40" t="str">
        <f>VLOOKUP(C752,Sheet1!$U$4:$V$14,2,FALSE)</f>
        <v>BH Hàng hóa</v>
      </c>
      <c r="Q752" s="88">
        <f t="shared" si="11"/>
        <v>1564779772.7792583</v>
      </c>
    </row>
    <row r="753" spans="1:17" x14ac:dyDescent="0.25">
      <c r="A753" s="85" t="s">
        <v>351</v>
      </c>
      <c r="B753" s="65" t="s">
        <v>209</v>
      </c>
      <c r="C753" s="65" t="s">
        <v>272</v>
      </c>
      <c r="D753" s="66">
        <v>0</v>
      </c>
      <c r="E753" s="65">
        <v>913623221</v>
      </c>
      <c r="F753" s="67">
        <v>0</v>
      </c>
      <c r="G753" s="68">
        <v>0</v>
      </c>
      <c r="H753" s="68">
        <v>0</v>
      </c>
      <c r="I753" s="68">
        <v>0</v>
      </c>
      <c r="J753" s="68">
        <v>0</v>
      </c>
      <c r="K753" s="68">
        <v>0</v>
      </c>
      <c r="L753" s="68">
        <v>0</v>
      </c>
      <c r="M753" s="68">
        <v>0</v>
      </c>
      <c r="N753" s="69">
        <v>0</v>
      </c>
      <c r="O753" s="65" t="str">
        <f>VLOOKUP(A753,Report_HQ1!$A$7:$C$95,3,FALSE)</f>
        <v>BV Thái Nguyên</v>
      </c>
      <c r="P753" s="40" t="str">
        <f>VLOOKUP(C753,Sheet1!$U$4:$V$14,2,FALSE)</f>
        <v>Tàu khác</v>
      </c>
      <c r="Q753" s="88">
        <f t="shared" si="11"/>
        <v>0</v>
      </c>
    </row>
    <row r="754" spans="1:17" x14ac:dyDescent="0.25">
      <c r="A754" s="85" t="s">
        <v>351</v>
      </c>
      <c r="B754" s="65" t="s">
        <v>209</v>
      </c>
      <c r="C754" s="65" t="s">
        <v>388</v>
      </c>
      <c r="D754" s="66">
        <v>0</v>
      </c>
      <c r="E754" s="65">
        <v>913623221</v>
      </c>
      <c r="F754" s="67">
        <v>0</v>
      </c>
      <c r="G754" s="68">
        <v>0</v>
      </c>
      <c r="H754" s="68">
        <v>0</v>
      </c>
      <c r="I754" s="68">
        <v>0</v>
      </c>
      <c r="J754" s="68">
        <v>0</v>
      </c>
      <c r="K754" s="68">
        <v>0</v>
      </c>
      <c r="L754" s="68">
        <v>0</v>
      </c>
      <c r="M754" s="68">
        <v>0</v>
      </c>
      <c r="N754" s="69">
        <v>0</v>
      </c>
      <c r="O754" s="65" t="str">
        <f>VLOOKUP(A754,Report_HQ1!$A$7:$C$95,3,FALSE)</f>
        <v>BV Thái Nguyên</v>
      </c>
      <c r="P754" s="40" t="str">
        <f>VLOOKUP(C754,Sheet1!$U$4:$V$14,2,FALSE)</f>
        <v>Hull (Thân tàu biển)</v>
      </c>
      <c r="Q754" s="88">
        <f t="shared" si="11"/>
        <v>0</v>
      </c>
    </row>
    <row r="755" spans="1:17" x14ac:dyDescent="0.25">
      <c r="A755" s="85" t="s">
        <v>351</v>
      </c>
      <c r="B755" s="65" t="s">
        <v>209</v>
      </c>
      <c r="C755" s="65" t="s">
        <v>23</v>
      </c>
      <c r="D755" s="66">
        <v>0</v>
      </c>
      <c r="E755" s="65">
        <v>913623221</v>
      </c>
      <c r="F755" s="67">
        <v>0</v>
      </c>
      <c r="G755" s="68">
        <v>0</v>
      </c>
      <c r="H755" s="68">
        <v>0</v>
      </c>
      <c r="I755" s="68">
        <v>0</v>
      </c>
      <c r="J755" s="68">
        <v>0</v>
      </c>
      <c r="K755" s="68">
        <v>0</v>
      </c>
      <c r="L755" s="68">
        <v>0</v>
      </c>
      <c r="M755" s="68">
        <v>0</v>
      </c>
      <c r="N755" s="69">
        <v>0</v>
      </c>
      <c r="O755" s="65" t="str">
        <f>VLOOKUP(A755,Report_HQ1!$A$7:$C$95,3,FALSE)</f>
        <v>BV Thái Nguyên</v>
      </c>
      <c r="P755" s="40" t="str">
        <f>VLOOKUP(C755,Sheet1!$U$4:$V$14,2,FALSE)</f>
        <v>P&amp;I</v>
      </c>
      <c r="Q755" s="88">
        <f t="shared" si="11"/>
        <v>0</v>
      </c>
    </row>
    <row r="756" spans="1:17" x14ac:dyDescent="0.25">
      <c r="A756" s="85" t="s">
        <v>351</v>
      </c>
      <c r="B756" s="65" t="s">
        <v>209</v>
      </c>
      <c r="C756" s="65" t="s">
        <v>389</v>
      </c>
      <c r="D756" s="66">
        <v>86363639</v>
      </c>
      <c r="E756" s="65">
        <v>913623221</v>
      </c>
      <c r="F756" s="67">
        <v>4803883.3191163512</v>
      </c>
      <c r="G756" s="68">
        <v>0</v>
      </c>
      <c r="H756" s="68">
        <v>4803883.3191163512</v>
      </c>
      <c r="I756" s="68">
        <v>0</v>
      </c>
      <c r="J756" s="68">
        <v>4318182</v>
      </c>
      <c r="K756" s="68">
        <v>2159091</v>
      </c>
      <c r="L756" s="68">
        <v>10795455</v>
      </c>
      <c r="M756" s="68">
        <v>6909091</v>
      </c>
      <c r="N756" s="69">
        <v>28985702.31911635</v>
      </c>
      <c r="O756" s="65" t="str">
        <f>VLOOKUP(A756,Report_HQ1!$A$7:$C$95,3,FALSE)</f>
        <v>BV Thái Nguyên</v>
      </c>
      <c r="P756" s="40" t="str">
        <f>VLOOKUP(C756,Sheet1!$U$4:$V$14,2,FALSE)</f>
        <v>BH Trách nhiệm</v>
      </c>
      <c r="Q756" s="88">
        <f t="shared" si="11"/>
        <v>28985702.31911635</v>
      </c>
    </row>
    <row r="757" spans="1:17" x14ac:dyDescent="0.25">
      <c r="A757" s="85" t="s">
        <v>351</v>
      </c>
      <c r="B757" s="65" t="s">
        <v>209</v>
      </c>
      <c r="C757" s="65" t="s">
        <v>390</v>
      </c>
      <c r="D757" s="66">
        <v>0</v>
      </c>
      <c r="E757" s="65">
        <v>913623221</v>
      </c>
      <c r="F757" s="67">
        <v>0</v>
      </c>
      <c r="G757" s="68">
        <v>0</v>
      </c>
      <c r="H757" s="68">
        <v>0</v>
      </c>
      <c r="I757" s="68">
        <v>0</v>
      </c>
      <c r="J757" s="68">
        <v>0</v>
      </c>
      <c r="K757" s="68">
        <v>0</v>
      </c>
      <c r="L757" s="68">
        <v>0</v>
      </c>
      <c r="M757" s="68">
        <v>0</v>
      </c>
      <c r="N757" s="69">
        <v>0</v>
      </c>
      <c r="O757" s="65" t="str">
        <f>VLOOKUP(A757,Report_HQ1!$A$7:$C$95,3,FALSE)</f>
        <v>BV Thái Nguyên</v>
      </c>
      <c r="P757" s="40" t="e">
        <f>VLOOKUP(C757,Sheet1!$U$4:$V$14,2,FALSE)</f>
        <v>#N/A</v>
      </c>
      <c r="Q757" s="88">
        <f t="shared" si="11"/>
        <v>0</v>
      </c>
    </row>
    <row r="758" spans="1:17" x14ac:dyDescent="0.25">
      <c r="A758" s="85" t="s">
        <v>351</v>
      </c>
      <c r="B758" s="65" t="s">
        <v>209</v>
      </c>
      <c r="C758" s="65" t="s">
        <v>391</v>
      </c>
      <c r="D758" s="66">
        <v>2454670748</v>
      </c>
      <c r="E758" s="65">
        <v>913623221</v>
      </c>
      <c r="F758" s="67">
        <v>136538385.79266047</v>
      </c>
      <c r="G758" s="68">
        <v>0</v>
      </c>
      <c r="H758" s="68">
        <v>136538385.79266047</v>
      </c>
      <c r="I758" s="68">
        <v>0</v>
      </c>
      <c r="J758" s="68">
        <v>0</v>
      </c>
      <c r="K758" s="68">
        <v>0</v>
      </c>
      <c r="L758" s="68">
        <v>460000001</v>
      </c>
      <c r="M758" s="68">
        <v>60000000</v>
      </c>
      <c r="N758" s="69">
        <v>656538386.79266047</v>
      </c>
      <c r="O758" s="65" t="str">
        <f>VLOOKUP(A758,Report_HQ1!$A$7:$C$95,3,FALSE)</f>
        <v>BV Thái Nguyên</v>
      </c>
      <c r="P758" s="40" t="str">
        <f>VLOOKUP(C758,Sheet1!$U$4:$V$14,2,FALSE)</f>
        <v>BH Kỹ thuật</v>
      </c>
      <c r="Q758" s="88">
        <f t="shared" si="11"/>
        <v>656538386.79266047</v>
      </c>
    </row>
    <row r="759" spans="1:17" x14ac:dyDescent="0.25">
      <c r="A759" s="85" t="s">
        <v>351</v>
      </c>
      <c r="B759" s="65" t="s">
        <v>209</v>
      </c>
      <c r="C759" s="65" t="s">
        <v>392</v>
      </c>
      <c r="D759" s="66">
        <v>254384465</v>
      </c>
      <c r="E759" s="65">
        <v>913623221</v>
      </c>
      <c r="F759" s="67">
        <v>14149858.692914009</v>
      </c>
      <c r="G759" s="68">
        <v>0</v>
      </c>
      <c r="H759" s="68">
        <v>14149858.692914009</v>
      </c>
      <c r="I759" s="68">
        <v>0</v>
      </c>
      <c r="J759" s="68">
        <v>1584639</v>
      </c>
      <c r="K759" s="68">
        <v>792320</v>
      </c>
      <c r="L759" s="68">
        <v>11567865</v>
      </c>
      <c r="M759" s="68">
        <v>1901567</v>
      </c>
      <c r="N759" s="69">
        <v>29996249.692914009</v>
      </c>
      <c r="O759" s="65" t="str">
        <f>VLOOKUP(A759,Report_HQ1!$A$7:$C$95,3,FALSE)</f>
        <v>BV Thái Nguyên</v>
      </c>
      <c r="P759" s="40" t="str">
        <f>VLOOKUP(C759,Sheet1!$U$4:$V$14,2,FALSE)</f>
        <v>BH Tài sản</v>
      </c>
      <c r="Q759" s="88">
        <f t="shared" si="11"/>
        <v>29996249.692914009</v>
      </c>
    </row>
    <row r="760" spans="1:17" x14ac:dyDescent="0.25">
      <c r="A760" s="85" t="s">
        <v>351</v>
      </c>
      <c r="B760" s="65" t="s">
        <v>209</v>
      </c>
      <c r="C760" s="65" t="s">
        <v>393</v>
      </c>
      <c r="D760" s="66">
        <v>5373520747</v>
      </c>
      <c r="E760" s="65">
        <v>913623221</v>
      </c>
      <c r="F760" s="67">
        <v>298896236.66088152</v>
      </c>
      <c r="G760" s="68">
        <v>0</v>
      </c>
      <c r="H760" s="68">
        <v>298896236.66088152</v>
      </c>
      <c r="I760" s="68">
        <v>0</v>
      </c>
      <c r="J760" s="68">
        <v>442087945</v>
      </c>
      <c r="K760" s="68">
        <v>221043972</v>
      </c>
      <c r="L760" s="68">
        <v>790457720</v>
      </c>
      <c r="M760" s="68">
        <v>321706450</v>
      </c>
      <c r="N760" s="69">
        <v>2074192323.6608815</v>
      </c>
      <c r="O760" s="65" t="str">
        <f>VLOOKUP(A760,Report_HQ1!$A$7:$C$95,3,FALSE)</f>
        <v>BV Thái Nguyên</v>
      </c>
      <c r="P760" s="40" t="str">
        <f>VLOOKUP(C760,Sheet1!$U$4:$V$14,2,FALSE)</f>
        <v>BH Xe cơ giới</v>
      </c>
      <c r="Q760" s="88">
        <f t="shared" si="11"/>
        <v>2074192323.6608815</v>
      </c>
    </row>
    <row r="761" spans="1:17" x14ac:dyDescent="0.25">
      <c r="A761" s="85" t="s">
        <v>351</v>
      </c>
      <c r="B761" s="65" t="s">
        <v>209</v>
      </c>
      <c r="C761" s="65" t="s">
        <v>394</v>
      </c>
      <c r="D761" s="66">
        <v>4203270100</v>
      </c>
      <c r="E761" s="65">
        <v>913623221</v>
      </c>
      <c r="F761" s="67">
        <v>233802319.50544047</v>
      </c>
      <c r="G761" s="68">
        <v>0</v>
      </c>
      <c r="H761" s="68">
        <v>233802319.50544047</v>
      </c>
      <c r="I761" s="68">
        <v>2224000</v>
      </c>
      <c r="J761" s="68">
        <v>689696227</v>
      </c>
      <c r="K761" s="68">
        <v>10809350</v>
      </c>
      <c r="L761" s="68">
        <v>90790841</v>
      </c>
      <c r="M761" s="68">
        <v>212796146</v>
      </c>
      <c r="N761" s="69">
        <v>1240118883.5054405</v>
      </c>
      <c r="O761" s="65" t="str">
        <f>VLOOKUP(A761,Report_HQ1!$A$7:$C$95,3,FALSE)</f>
        <v>BV Thái Nguyên</v>
      </c>
      <c r="P761" s="40" t="str">
        <f>VLOOKUP(C761,Sheet1!$U$4:$V$14,2,FALSE)</f>
        <v>BH Con người</v>
      </c>
      <c r="Q761" s="88">
        <f t="shared" si="11"/>
        <v>1240118883.5054405</v>
      </c>
    </row>
    <row r="762" spans="1:17" x14ac:dyDescent="0.25">
      <c r="A762" s="85" t="s">
        <v>351</v>
      </c>
      <c r="B762" s="65" t="s">
        <v>209</v>
      </c>
      <c r="C762" s="65" t="s">
        <v>395</v>
      </c>
      <c r="D762" s="66">
        <v>0</v>
      </c>
      <c r="E762" s="65">
        <v>913623221</v>
      </c>
      <c r="F762" s="67">
        <v>0</v>
      </c>
      <c r="G762" s="68">
        <v>0</v>
      </c>
      <c r="H762" s="68">
        <v>0</v>
      </c>
      <c r="I762" s="68">
        <v>0</v>
      </c>
      <c r="J762" s="68">
        <v>0</v>
      </c>
      <c r="K762" s="68">
        <v>0</v>
      </c>
      <c r="L762" s="68">
        <v>0</v>
      </c>
      <c r="M762" s="68">
        <v>0</v>
      </c>
      <c r="N762" s="69">
        <v>0</v>
      </c>
      <c r="O762" s="65" t="str">
        <f>VLOOKUP(A762,Report_HQ1!$A$7:$C$95,3,FALSE)</f>
        <v>BV Thái Nguyên</v>
      </c>
      <c r="P762" s="40" t="e">
        <f>VLOOKUP(C762,Sheet1!$U$4:$V$14,2,FALSE)</f>
        <v>#N/A</v>
      </c>
      <c r="Q762" s="88">
        <f t="shared" si="11"/>
        <v>0</v>
      </c>
    </row>
    <row r="763" spans="1:17" x14ac:dyDescent="0.25">
      <c r="A763" s="85" t="s">
        <v>351</v>
      </c>
      <c r="B763" s="65" t="s">
        <v>209</v>
      </c>
      <c r="C763" s="65" t="s">
        <v>396</v>
      </c>
      <c r="D763" s="66">
        <v>968984602</v>
      </c>
      <c r="E763" s="65">
        <v>913623221</v>
      </c>
      <c r="F763" s="67">
        <v>53898712.698157579</v>
      </c>
      <c r="G763" s="68">
        <v>0</v>
      </c>
      <c r="H763" s="68">
        <v>53898712.698157579</v>
      </c>
      <c r="I763" s="68">
        <v>0</v>
      </c>
      <c r="J763" s="68">
        <v>159888720</v>
      </c>
      <c r="K763" s="68">
        <v>31977744</v>
      </c>
      <c r="L763" s="68">
        <v>45371737</v>
      </c>
      <c r="M763" s="68">
        <v>74079775</v>
      </c>
      <c r="N763" s="69">
        <v>365216688.69815755</v>
      </c>
      <c r="O763" s="65" t="str">
        <f>VLOOKUP(A763,Report_HQ1!$A$7:$C$95,3,FALSE)</f>
        <v>BV Thái Nguyên</v>
      </c>
      <c r="P763" s="40" t="str">
        <f>VLOOKUP(C763,Sheet1!$U$4:$V$14,2,FALSE)</f>
        <v>BH Y tế</v>
      </c>
      <c r="Q763" s="88">
        <f t="shared" si="11"/>
        <v>365216688.69815755</v>
      </c>
    </row>
    <row r="764" spans="1:17" x14ac:dyDescent="0.25">
      <c r="A764" s="85" t="s">
        <v>351</v>
      </c>
      <c r="B764" s="65" t="s">
        <v>209</v>
      </c>
      <c r="C764" s="65" t="s">
        <v>397</v>
      </c>
      <c r="D764" s="66">
        <v>35172600</v>
      </c>
      <c r="E764" s="65">
        <v>913623221</v>
      </c>
      <c r="F764" s="67">
        <v>1956437.5515713482</v>
      </c>
      <c r="G764" s="68">
        <v>0</v>
      </c>
      <c r="H764" s="68">
        <v>1956437.5515713482</v>
      </c>
      <c r="I764" s="68">
        <v>0</v>
      </c>
      <c r="J764" s="68">
        <v>7034520</v>
      </c>
      <c r="K764" s="68">
        <v>7034520</v>
      </c>
      <c r="L764" s="68">
        <v>0</v>
      </c>
      <c r="M764" s="68">
        <v>2813808</v>
      </c>
      <c r="N764" s="69">
        <v>18839285.551571347</v>
      </c>
      <c r="O764" s="65" t="str">
        <f>VLOOKUP(A764,Report_HQ1!$A$7:$C$95,3,FALSE)</f>
        <v>BV Thái Nguyên</v>
      </c>
      <c r="P764" s="40" t="str">
        <f>VLOOKUP(C764,Sheet1!$U$4:$V$14,2,FALSE)</f>
        <v>BH Du lịch</v>
      </c>
      <c r="Q764" s="88">
        <f t="shared" si="11"/>
        <v>18839285.551571347</v>
      </c>
    </row>
    <row r="765" spans="1:17" x14ac:dyDescent="0.25">
      <c r="A765" s="85" t="s">
        <v>353</v>
      </c>
      <c r="B765" s="65" t="s">
        <v>211</v>
      </c>
      <c r="C765" s="65" t="s">
        <v>387</v>
      </c>
      <c r="D765" s="66">
        <v>0</v>
      </c>
      <c r="E765" s="65">
        <v>864350000</v>
      </c>
      <c r="F765" s="67">
        <v>0</v>
      </c>
      <c r="G765" s="68">
        <v>0</v>
      </c>
      <c r="H765" s="68">
        <v>0</v>
      </c>
      <c r="I765" s="68">
        <v>0</v>
      </c>
      <c r="J765" s="68">
        <v>0</v>
      </c>
      <c r="K765" s="68">
        <v>0</v>
      </c>
      <c r="L765" s="68">
        <v>0</v>
      </c>
      <c r="M765" s="68">
        <v>0</v>
      </c>
      <c r="N765" s="69">
        <v>0</v>
      </c>
      <c r="O765" s="65" t="str">
        <f>VLOOKUP(A765,Report_HQ1!$A$7:$C$95,3,FALSE)</f>
        <v>BV Thanh Hóa</v>
      </c>
      <c r="P765" s="40" t="str">
        <f>VLOOKUP(C765,Sheet1!$U$4:$V$14,2,FALSE)</f>
        <v>BH Hàng hóa</v>
      </c>
      <c r="Q765" s="88">
        <f t="shared" si="11"/>
        <v>0</v>
      </c>
    </row>
    <row r="766" spans="1:17" x14ac:dyDescent="0.25">
      <c r="A766" s="85" t="s">
        <v>353</v>
      </c>
      <c r="B766" s="65" t="s">
        <v>211</v>
      </c>
      <c r="C766" s="65" t="s">
        <v>272</v>
      </c>
      <c r="D766" s="66">
        <v>104904546</v>
      </c>
      <c r="E766" s="65">
        <v>864350000</v>
      </c>
      <c r="F766" s="67">
        <v>5826276.0794769907</v>
      </c>
      <c r="G766" s="68">
        <v>0</v>
      </c>
      <c r="H766" s="68">
        <v>5826276.0794769907</v>
      </c>
      <c r="I766" s="68">
        <v>524523</v>
      </c>
      <c r="J766" s="68">
        <v>0</v>
      </c>
      <c r="K766" s="68">
        <v>0</v>
      </c>
      <c r="L766" s="68">
        <v>24128046</v>
      </c>
      <c r="M766" s="68">
        <v>6294273</v>
      </c>
      <c r="N766" s="69">
        <v>36773118.07947699</v>
      </c>
      <c r="O766" s="65" t="str">
        <f>VLOOKUP(A766,Report_HQ1!$A$7:$C$95,3,FALSE)</f>
        <v>BV Thanh Hóa</v>
      </c>
      <c r="P766" s="40" t="str">
        <f>VLOOKUP(C766,Sheet1!$U$4:$V$14,2,FALSE)</f>
        <v>Tàu khác</v>
      </c>
      <c r="Q766" s="88">
        <f t="shared" si="11"/>
        <v>36773118.07947699</v>
      </c>
    </row>
    <row r="767" spans="1:17" x14ac:dyDescent="0.25">
      <c r="A767" s="85" t="s">
        <v>353</v>
      </c>
      <c r="B767" s="65" t="s">
        <v>211</v>
      </c>
      <c r="C767" s="65" t="s">
        <v>388</v>
      </c>
      <c r="D767" s="66">
        <v>530493751</v>
      </c>
      <c r="E767" s="65">
        <v>864350000</v>
      </c>
      <c r="F767" s="67">
        <v>29463003.936581768</v>
      </c>
      <c r="G767" s="68">
        <v>0</v>
      </c>
      <c r="H767" s="68">
        <v>29463003.936581768</v>
      </c>
      <c r="I767" s="68">
        <v>2652469</v>
      </c>
      <c r="J767" s="68">
        <v>8720224</v>
      </c>
      <c r="K767" s="68">
        <v>4360112</v>
      </c>
      <c r="L767" s="68">
        <v>26706696</v>
      </c>
      <c r="M767" s="68">
        <v>15914812</v>
      </c>
      <c r="N767" s="69">
        <v>87817316.936581761</v>
      </c>
      <c r="O767" s="65" t="str">
        <f>VLOOKUP(A767,Report_HQ1!$A$7:$C$95,3,FALSE)</f>
        <v>BV Thanh Hóa</v>
      </c>
      <c r="P767" s="40" t="str">
        <f>VLOOKUP(C767,Sheet1!$U$4:$V$14,2,FALSE)</f>
        <v>Hull (Thân tàu biển)</v>
      </c>
      <c r="Q767" s="88">
        <f t="shared" si="11"/>
        <v>87817316.936581761</v>
      </c>
    </row>
    <row r="768" spans="1:17" x14ac:dyDescent="0.25">
      <c r="A768" s="85" t="s">
        <v>353</v>
      </c>
      <c r="B768" s="65" t="s">
        <v>211</v>
      </c>
      <c r="C768" s="65" t="s">
        <v>23</v>
      </c>
      <c r="D768" s="66">
        <v>1329255158</v>
      </c>
      <c r="E768" s="65">
        <v>864350000</v>
      </c>
      <c r="F768" s="67">
        <v>73825280.465698868</v>
      </c>
      <c r="G768" s="68">
        <v>0</v>
      </c>
      <c r="H768" s="68">
        <v>73825280.465698868</v>
      </c>
      <c r="I768" s="68">
        <v>0</v>
      </c>
      <c r="J768" s="68">
        <v>0</v>
      </c>
      <c r="K768" s="68">
        <v>0</v>
      </c>
      <c r="L768" s="68">
        <v>99694137</v>
      </c>
      <c r="M768" s="68">
        <v>39877655</v>
      </c>
      <c r="N768" s="69">
        <v>213397072.46569887</v>
      </c>
      <c r="O768" s="65" t="str">
        <f>VLOOKUP(A768,Report_HQ1!$A$7:$C$95,3,FALSE)</f>
        <v>BV Thanh Hóa</v>
      </c>
      <c r="P768" s="40" t="str">
        <f>VLOOKUP(C768,Sheet1!$U$4:$V$14,2,FALSE)</f>
        <v>P&amp;I</v>
      </c>
      <c r="Q768" s="88">
        <f t="shared" si="11"/>
        <v>213397072.46569887</v>
      </c>
    </row>
    <row r="769" spans="1:17" x14ac:dyDescent="0.25">
      <c r="A769" s="85" t="s">
        <v>353</v>
      </c>
      <c r="B769" s="65" t="s">
        <v>211</v>
      </c>
      <c r="C769" s="65" t="s">
        <v>389</v>
      </c>
      <c r="D769" s="66">
        <v>21000000</v>
      </c>
      <c r="E769" s="65">
        <v>864350000</v>
      </c>
      <c r="F769" s="67">
        <v>1166315.4966517542</v>
      </c>
      <c r="G769" s="68">
        <v>0</v>
      </c>
      <c r="H769" s="68">
        <v>1166315.4966517542</v>
      </c>
      <c r="I769" s="68">
        <v>0</v>
      </c>
      <c r="J769" s="68">
        <v>1050000</v>
      </c>
      <c r="K769" s="68">
        <v>525000</v>
      </c>
      <c r="L769" s="68">
        <v>1575000</v>
      </c>
      <c r="M769" s="68">
        <v>1680000</v>
      </c>
      <c r="N769" s="69">
        <v>5996315.4966517538</v>
      </c>
      <c r="O769" s="65" t="str">
        <f>VLOOKUP(A769,Report_HQ1!$A$7:$C$95,3,FALSE)</f>
        <v>BV Thanh Hóa</v>
      </c>
      <c r="P769" s="40" t="str">
        <f>VLOOKUP(C769,Sheet1!$U$4:$V$14,2,FALSE)</f>
        <v>BH Trách nhiệm</v>
      </c>
      <c r="Q769" s="88">
        <f t="shared" si="11"/>
        <v>5996315.4966517538</v>
      </c>
    </row>
    <row r="770" spans="1:17" x14ac:dyDescent="0.25">
      <c r="A770" s="85" t="s">
        <v>353</v>
      </c>
      <c r="B770" s="65" t="s">
        <v>211</v>
      </c>
      <c r="C770" s="65" t="s">
        <v>390</v>
      </c>
      <c r="D770" s="66">
        <v>0</v>
      </c>
      <c r="E770" s="65">
        <v>864350000</v>
      </c>
      <c r="F770" s="67">
        <v>0</v>
      </c>
      <c r="G770" s="68">
        <v>0</v>
      </c>
      <c r="H770" s="68">
        <v>0</v>
      </c>
      <c r="I770" s="68">
        <v>0</v>
      </c>
      <c r="J770" s="68">
        <v>0</v>
      </c>
      <c r="K770" s="68">
        <v>0</v>
      </c>
      <c r="L770" s="68">
        <v>0</v>
      </c>
      <c r="M770" s="68">
        <v>0</v>
      </c>
      <c r="N770" s="69">
        <v>0</v>
      </c>
      <c r="O770" s="65" t="str">
        <f>VLOOKUP(A770,Report_HQ1!$A$7:$C$95,3,FALSE)</f>
        <v>BV Thanh Hóa</v>
      </c>
      <c r="P770" s="40" t="e">
        <f>VLOOKUP(C770,Sheet1!$U$4:$V$14,2,FALSE)</f>
        <v>#N/A</v>
      </c>
      <c r="Q770" s="88">
        <f t="shared" si="11"/>
        <v>0</v>
      </c>
    </row>
    <row r="771" spans="1:17" x14ac:dyDescent="0.25">
      <c r="A771" s="85" t="s">
        <v>353</v>
      </c>
      <c r="B771" s="65" t="s">
        <v>211</v>
      </c>
      <c r="C771" s="65" t="s">
        <v>391</v>
      </c>
      <c r="D771" s="66">
        <v>106377627</v>
      </c>
      <c r="E771" s="65">
        <v>864350000</v>
      </c>
      <c r="F771" s="67">
        <v>5908089.2793876221</v>
      </c>
      <c r="G771" s="68">
        <v>0</v>
      </c>
      <c r="H771" s="68">
        <v>5908089.2793876221</v>
      </c>
      <c r="I771" s="68">
        <v>0</v>
      </c>
      <c r="J771" s="68">
        <v>4707628</v>
      </c>
      <c r="K771" s="68">
        <v>2353814</v>
      </c>
      <c r="L771" s="68">
        <v>4707628</v>
      </c>
      <c r="M771" s="68">
        <v>2824577</v>
      </c>
      <c r="N771" s="69">
        <v>20501736.279387623</v>
      </c>
      <c r="O771" s="65" t="str">
        <f>VLOOKUP(A771,Report_HQ1!$A$7:$C$95,3,FALSE)</f>
        <v>BV Thanh Hóa</v>
      </c>
      <c r="P771" s="40" t="str">
        <f>VLOOKUP(C771,Sheet1!$U$4:$V$14,2,FALSE)</f>
        <v>BH Kỹ thuật</v>
      </c>
      <c r="Q771" s="88">
        <f t="shared" si="11"/>
        <v>20501736.279387623</v>
      </c>
    </row>
    <row r="772" spans="1:17" x14ac:dyDescent="0.25">
      <c r="A772" s="85" t="s">
        <v>353</v>
      </c>
      <c r="B772" s="65" t="s">
        <v>211</v>
      </c>
      <c r="C772" s="65" t="s">
        <v>392</v>
      </c>
      <c r="D772" s="66">
        <v>1253890968</v>
      </c>
      <c r="E772" s="65">
        <v>864350000</v>
      </c>
      <c r="F772" s="67">
        <v>69639641.290003285</v>
      </c>
      <c r="G772" s="68">
        <v>0</v>
      </c>
      <c r="H772" s="68">
        <v>69639641.290003285</v>
      </c>
      <c r="I772" s="68">
        <v>0</v>
      </c>
      <c r="J772" s="68">
        <v>32051410</v>
      </c>
      <c r="K772" s="68">
        <v>16025705</v>
      </c>
      <c r="L772" s="68">
        <v>113012156</v>
      </c>
      <c r="M772" s="68">
        <v>65970975</v>
      </c>
      <c r="N772" s="69">
        <v>296699887.2900033</v>
      </c>
      <c r="O772" s="65" t="str">
        <f>VLOOKUP(A772,Report_HQ1!$A$7:$C$95,3,FALSE)</f>
        <v>BV Thanh Hóa</v>
      </c>
      <c r="P772" s="40" t="str">
        <f>VLOOKUP(C772,Sheet1!$U$4:$V$14,2,FALSE)</f>
        <v>BH Tài sản</v>
      </c>
      <c r="Q772" s="88">
        <f t="shared" si="11"/>
        <v>296699887.2900033</v>
      </c>
    </row>
    <row r="773" spans="1:17" x14ac:dyDescent="0.25">
      <c r="A773" s="85" t="s">
        <v>353</v>
      </c>
      <c r="B773" s="65" t="s">
        <v>211</v>
      </c>
      <c r="C773" s="65" t="s">
        <v>393</v>
      </c>
      <c r="D773" s="66">
        <v>4352148975</v>
      </c>
      <c r="E773" s="65">
        <v>864350000</v>
      </c>
      <c r="F773" s="67">
        <v>241713275.87045467</v>
      </c>
      <c r="G773" s="68">
        <v>0</v>
      </c>
      <c r="H773" s="68">
        <v>241713275.87045467</v>
      </c>
      <c r="I773" s="68">
        <v>0</v>
      </c>
      <c r="J773" s="68">
        <v>385657229</v>
      </c>
      <c r="K773" s="68">
        <v>192828613</v>
      </c>
      <c r="L773" s="68">
        <v>404973199</v>
      </c>
      <c r="M773" s="68">
        <v>260021854</v>
      </c>
      <c r="N773" s="69">
        <v>1485194170.8704548</v>
      </c>
      <c r="O773" s="65" t="str">
        <f>VLOOKUP(A773,Report_HQ1!$A$7:$C$95,3,FALSE)</f>
        <v>BV Thanh Hóa</v>
      </c>
      <c r="P773" s="40" t="str">
        <f>VLOOKUP(C773,Sheet1!$U$4:$V$14,2,FALSE)</f>
        <v>BH Xe cơ giới</v>
      </c>
      <c r="Q773" s="88">
        <f t="shared" si="11"/>
        <v>1485194170.8704548</v>
      </c>
    </row>
    <row r="774" spans="1:17" x14ac:dyDescent="0.25">
      <c r="A774" s="85" t="s">
        <v>353</v>
      </c>
      <c r="B774" s="65" t="s">
        <v>211</v>
      </c>
      <c r="C774" s="65" t="s">
        <v>394</v>
      </c>
      <c r="D774" s="66">
        <v>3442759254</v>
      </c>
      <c r="E774" s="65">
        <v>864350000</v>
      </c>
      <c r="F774" s="67">
        <v>191206831.86578253</v>
      </c>
      <c r="G774" s="68">
        <v>0</v>
      </c>
      <c r="H774" s="68">
        <v>191206831.86578253</v>
      </c>
      <c r="I774" s="68">
        <v>1916000</v>
      </c>
      <c r="J774" s="68">
        <v>455253225</v>
      </c>
      <c r="K774" s="68">
        <v>9425750</v>
      </c>
      <c r="L774" s="68">
        <v>133471796</v>
      </c>
      <c r="M774" s="68">
        <v>153803780</v>
      </c>
      <c r="N774" s="69">
        <v>945077382.8657825</v>
      </c>
      <c r="O774" s="65" t="str">
        <f>VLOOKUP(A774,Report_HQ1!$A$7:$C$95,3,FALSE)</f>
        <v>BV Thanh Hóa</v>
      </c>
      <c r="P774" s="40" t="str">
        <f>VLOOKUP(C774,Sheet1!$U$4:$V$14,2,FALSE)</f>
        <v>BH Con người</v>
      </c>
      <c r="Q774" s="88">
        <f t="shared" si="11"/>
        <v>945077382.8657825</v>
      </c>
    </row>
    <row r="775" spans="1:17" x14ac:dyDescent="0.25">
      <c r="A775" s="85" t="s">
        <v>353</v>
      </c>
      <c r="B775" s="65" t="s">
        <v>211</v>
      </c>
      <c r="C775" s="65" t="s">
        <v>395</v>
      </c>
      <c r="D775" s="66">
        <v>0</v>
      </c>
      <c r="E775" s="65">
        <v>864350000</v>
      </c>
      <c r="F775" s="67">
        <v>0</v>
      </c>
      <c r="G775" s="68">
        <v>0</v>
      </c>
      <c r="H775" s="68">
        <v>0</v>
      </c>
      <c r="I775" s="68">
        <v>0</v>
      </c>
      <c r="J775" s="68">
        <v>0</v>
      </c>
      <c r="K775" s="68">
        <v>0</v>
      </c>
      <c r="L775" s="68">
        <v>0</v>
      </c>
      <c r="M775" s="68">
        <v>0</v>
      </c>
      <c r="N775" s="69">
        <v>0</v>
      </c>
      <c r="O775" s="65" t="str">
        <f>VLOOKUP(A775,Report_HQ1!$A$7:$C$95,3,FALSE)</f>
        <v>BV Thanh Hóa</v>
      </c>
      <c r="P775" s="40" t="e">
        <f>VLOOKUP(C775,Sheet1!$U$4:$V$14,2,FALSE)</f>
        <v>#N/A</v>
      </c>
      <c r="Q775" s="88">
        <f t="shared" si="11"/>
        <v>0</v>
      </c>
    </row>
    <row r="776" spans="1:17" x14ac:dyDescent="0.25">
      <c r="A776" s="85" t="s">
        <v>353</v>
      </c>
      <c r="B776" s="65" t="s">
        <v>211</v>
      </c>
      <c r="C776" s="65" t="s">
        <v>396</v>
      </c>
      <c r="D776" s="66">
        <v>4403760124</v>
      </c>
      <c r="E776" s="65">
        <v>864350000</v>
      </c>
      <c r="F776" s="67">
        <v>244579698.86467859</v>
      </c>
      <c r="G776" s="68">
        <v>0</v>
      </c>
      <c r="H776" s="68">
        <v>244579698.86467859</v>
      </c>
      <c r="I776" s="68">
        <v>0</v>
      </c>
      <c r="J776" s="68">
        <v>81836260</v>
      </c>
      <c r="K776" s="68">
        <v>20998712</v>
      </c>
      <c r="L776" s="68">
        <v>-2628706</v>
      </c>
      <c r="M776" s="68">
        <v>28902745</v>
      </c>
      <c r="N776" s="69">
        <v>373688709.86467862</v>
      </c>
      <c r="O776" s="65" t="str">
        <f>VLOOKUP(A776,Report_HQ1!$A$7:$C$95,3,FALSE)</f>
        <v>BV Thanh Hóa</v>
      </c>
      <c r="P776" s="40" t="str">
        <f>VLOOKUP(C776,Sheet1!$U$4:$V$14,2,FALSE)</f>
        <v>BH Y tế</v>
      </c>
      <c r="Q776" s="88">
        <f t="shared" si="11"/>
        <v>373688709.86467862</v>
      </c>
    </row>
    <row r="777" spans="1:17" x14ac:dyDescent="0.25">
      <c r="A777" s="85" t="s">
        <v>353</v>
      </c>
      <c r="B777" s="65" t="s">
        <v>211</v>
      </c>
      <c r="C777" s="65" t="s">
        <v>397</v>
      </c>
      <c r="D777" s="66">
        <v>18394100</v>
      </c>
      <c r="E777" s="65">
        <v>864350000</v>
      </c>
      <c r="F777" s="67">
        <v>1021586.8512839063</v>
      </c>
      <c r="G777" s="68">
        <v>0</v>
      </c>
      <c r="H777" s="68">
        <v>1021586.8512839063</v>
      </c>
      <c r="I777" s="68">
        <v>0</v>
      </c>
      <c r="J777" s="68">
        <v>3678820</v>
      </c>
      <c r="K777" s="68">
        <v>3678820</v>
      </c>
      <c r="L777" s="68">
        <v>0</v>
      </c>
      <c r="M777" s="68">
        <v>1471528</v>
      </c>
      <c r="N777" s="69">
        <v>9850754.851283906</v>
      </c>
      <c r="O777" s="65" t="str">
        <f>VLOOKUP(A777,Report_HQ1!$A$7:$C$95,3,FALSE)</f>
        <v>BV Thanh Hóa</v>
      </c>
      <c r="P777" s="40" t="str">
        <f>VLOOKUP(C777,Sheet1!$U$4:$V$14,2,FALSE)</f>
        <v>BH Du lịch</v>
      </c>
      <c r="Q777" s="88">
        <f t="shared" si="11"/>
        <v>9850754.851283906</v>
      </c>
    </row>
    <row r="778" spans="1:17" x14ac:dyDescent="0.25">
      <c r="A778" s="85" t="s">
        <v>355</v>
      </c>
      <c r="B778" s="65" t="s">
        <v>213</v>
      </c>
      <c r="C778" s="65" t="s">
        <v>387</v>
      </c>
      <c r="D778" s="66">
        <v>167569421</v>
      </c>
      <c r="E778" s="65">
        <v>797750000</v>
      </c>
      <c r="F778" s="67">
        <v>6933214.4054045016</v>
      </c>
      <c r="G778" s="68">
        <v>0</v>
      </c>
      <c r="H778" s="68">
        <v>6933214.4054045016</v>
      </c>
      <c r="I778" s="68">
        <v>0</v>
      </c>
      <c r="J778" s="68">
        <v>16756943</v>
      </c>
      <c r="K778" s="68">
        <v>8378471</v>
      </c>
      <c r="L778" s="68">
        <v>6702776</v>
      </c>
      <c r="M778" s="68">
        <v>13405554</v>
      </c>
      <c r="N778" s="69">
        <v>52176958.405404501</v>
      </c>
      <c r="O778" s="65" t="str">
        <f>VLOOKUP(A778,Report_HQ1!$A$7:$C$95,3,FALSE)</f>
        <v>BV Thừa Thiên Huế</v>
      </c>
      <c r="P778" s="40" t="str">
        <f>VLOOKUP(C778,Sheet1!$U$4:$V$14,2,FALSE)</f>
        <v>BH Hàng hóa</v>
      </c>
      <c r="Q778" s="88">
        <f t="shared" si="11"/>
        <v>52176958.405404501</v>
      </c>
    </row>
    <row r="779" spans="1:17" x14ac:dyDescent="0.25">
      <c r="A779" s="85" t="s">
        <v>355</v>
      </c>
      <c r="B779" s="65" t="s">
        <v>213</v>
      </c>
      <c r="C779" s="65" t="s">
        <v>272</v>
      </c>
      <c r="D779" s="66">
        <v>320325503</v>
      </c>
      <c r="E779" s="65">
        <v>797750000</v>
      </c>
      <c r="F779" s="67">
        <v>13253524.291989068</v>
      </c>
      <c r="G779" s="68">
        <v>0</v>
      </c>
      <c r="H779" s="68">
        <v>13253524.291989068</v>
      </c>
      <c r="I779" s="68">
        <v>1522988</v>
      </c>
      <c r="J779" s="68">
        <v>41752125</v>
      </c>
      <c r="K779" s="68">
        <v>19484325</v>
      </c>
      <c r="L779" s="68">
        <v>12438416</v>
      </c>
      <c r="M779" s="68">
        <v>24786480</v>
      </c>
      <c r="N779" s="69">
        <v>113237858.29198906</v>
      </c>
      <c r="O779" s="65" t="str">
        <f>VLOOKUP(A779,Report_HQ1!$A$7:$C$95,3,FALSE)</f>
        <v>BV Thừa Thiên Huế</v>
      </c>
      <c r="P779" s="40" t="str">
        <f>VLOOKUP(C779,Sheet1!$U$4:$V$14,2,FALSE)</f>
        <v>Tàu khác</v>
      </c>
      <c r="Q779" s="88">
        <f t="shared" si="11"/>
        <v>113237858.29198906</v>
      </c>
    </row>
    <row r="780" spans="1:17" x14ac:dyDescent="0.25">
      <c r="A780" s="85" t="s">
        <v>355</v>
      </c>
      <c r="B780" s="65" t="s">
        <v>213</v>
      </c>
      <c r="C780" s="65" t="s">
        <v>388</v>
      </c>
      <c r="D780" s="66">
        <v>0</v>
      </c>
      <c r="E780" s="65">
        <v>797750000</v>
      </c>
      <c r="F780" s="67">
        <v>0</v>
      </c>
      <c r="G780" s="68">
        <v>0</v>
      </c>
      <c r="H780" s="68">
        <v>0</v>
      </c>
      <c r="I780" s="68">
        <v>0</v>
      </c>
      <c r="J780" s="68">
        <v>0</v>
      </c>
      <c r="K780" s="68">
        <v>0</v>
      </c>
      <c r="L780" s="68">
        <v>0</v>
      </c>
      <c r="M780" s="68">
        <v>0</v>
      </c>
      <c r="N780" s="69">
        <v>0</v>
      </c>
      <c r="O780" s="65" t="str">
        <f>VLOOKUP(A780,Report_HQ1!$A$7:$C$95,3,FALSE)</f>
        <v>BV Thừa Thiên Huế</v>
      </c>
      <c r="P780" s="40" t="str">
        <f>VLOOKUP(C780,Sheet1!$U$4:$V$14,2,FALSE)</f>
        <v>Hull (Thân tàu biển)</v>
      </c>
      <c r="Q780" s="88">
        <f t="shared" ref="Q780:Q843" si="12">N780</f>
        <v>0</v>
      </c>
    </row>
    <row r="781" spans="1:17" x14ac:dyDescent="0.25">
      <c r="A781" s="85" t="s">
        <v>355</v>
      </c>
      <c r="B781" s="65" t="s">
        <v>213</v>
      </c>
      <c r="C781" s="65" t="s">
        <v>23</v>
      </c>
      <c r="D781" s="66">
        <v>0</v>
      </c>
      <c r="E781" s="65">
        <v>797750000</v>
      </c>
      <c r="F781" s="67">
        <v>0</v>
      </c>
      <c r="G781" s="68">
        <v>0</v>
      </c>
      <c r="H781" s="68">
        <v>0</v>
      </c>
      <c r="I781" s="68">
        <v>0</v>
      </c>
      <c r="J781" s="68">
        <v>0</v>
      </c>
      <c r="K781" s="68">
        <v>0</v>
      </c>
      <c r="L781" s="68">
        <v>0</v>
      </c>
      <c r="M781" s="68">
        <v>0</v>
      </c>
      <c r="N781" s="69">
        <v>0</v>
      </c>
      <c r="O781" s="65" t="str">
        <f>VLOOKUP(A781,Report_HQ1!$A$7:$C$95,3,FALSE)</f>
        <v>BV Thừa Thiên Huế</v>
      </c>
      <c r="P781" s="40" t="str">
        <f>VLOOKUP(C781,Sheet1!$U$4:$V$14,2,FALSE)</f>
        <v>P&amp;I</v>
      </c>
      <c r="Q781" s="88">
        <f t="shared" si="12"/>
        <v>0</v>
      </c>
    </row>
    <row r="782" spans="1:17" x14ac:dyDescent="0.25">
      <c r="A782" s="85" t="s">
        <v>355</v>
      </c>
      <c r="B782" s="65" t="s">
        <v>213</v>
      </c>
      <c r="C782" s="65" t="s">
        <v>389</v>
      </c>
      <c r="D782" s="66">
        <v>51960000</v>
      </c>
      <c r="E782" s="65">
        <v>797750000</v>
      </c>
      <c r="F782" s="67">
        <v>2149854.1819561333</v>
      </c>
      <c r="G782" s="68">
        <v>0</v>
      </c>
      <c r="H782" s="68">
        <v>2149854.1819561333</v>
      </c>
      <c r="I782" s="68">
        <v>0</v>
      </c>
      <c r="J782" s="68">
        <v>100000</v>
      </c>
      <c r="K782" s="68">
        <v>50000</v>
      </c>
      <c r="L782" s="68">
        <v>7644000</v>
      </c>
      <c r="M782" s="68">
        <v>4156800</v>
      </c>
      <c r="N782" s="69">
        <v>14100654.181956133</v>
      </c>
      <c r="O782" s="65" t="str">
        <f>VLOOKUP(A782,Report_HQ1!$A$7:$C$95,3,FALSE)</f>
        <v>BV Thừa Thiên Huế</v>
      </c>
      <c r="P782" s="40" t="str">
        <f>VLOOKUP(C782,Sheet1!$U$4:$V$14,2,FALSE)</f>
        <v>BH Trách nhiệm</v>
      </c>
      <c r="Q782" s="88">
        <f t="shared" si="12"/>
        <v>14100654.181956133</v>
      </c>
    </row>
    <row r="783" spans="1:17" x14ac:dyDescent="0.25">
      <c r="A783" s="85" t="s">
        <v>355</v>
      </c>
      <c r="B783" s="65" t="s">
        <v>213</v>
      </c>
      <c r="C783" s="65" t="s">
        <v>390</v>
      </c>
      <c r="D783" s="66">
        <v>2032975065</v>
      </c>
      <c r="E783" s="65">
        <v>797750000</v>
      </c>
      <c r="F783" s="67">
        <v>84114702.565488681</v>
      </c>
      <c r="G783" s="68">
        <v>0</v>
      </c>
      <c r="H783" s="68">
        <v>84114702.565488681</v>
      </c>
      <c r="I783" s="68">
        <v>0</v>
      </c>
      <c r="J783" s="68">
        <v>0</v>
      </c>
      <c r="K783" s="68">
        <v>0</v>
      </c>
      <c r="L783" s="68">
        <v>243347116</v>
      </c>
      <c r="M783" s="68">
        <v>51434269</v>
      </c>
      <c r="N783" s="69">
        <v>378896087.5654887</v>
      </c>
      <c r="O783" s="65" t="str">
        <f>VLOOKUP(A783,Report_HQ1!$A$7:$C$95,3,FALSE)</f>
        <v>BV Thừa Thiên Huế</v>
      </c>
      <c r="P783" s="40" t="e">
        <f>VLOOKUP(C783,Sheet1!$U$4:$V$14,2,FALSE)</f>
        <v>#N/A</v>
      </c>
      <c r="Q783" s="88">
        <f t="shared" si="12"/>
        <v>378896087.5654887</v>
      </c>
    </row>
    <row r="784" spans="1:17" x14ac:dyDescent="0.25">
      <c r="A784" s="85" t="s">
        <v>355</v>
      </c>
      <c r="B784" s="65" t="s">
        <v>213</v>
      </c>
      <c r="C784" s="65" t="s">
        <v>391</v>
      </c>
      <c r="D784" s="66">
        <v>3384186833</v>
      </c>
      <c r="E784" s="65">
        <v>797750000</v>
      </c>
      <c r="F784" s="67">
        <v>140021328.24183857</v>
      </c>
      <c r="G784" s="68">
        <v>0</v>
      </c>
      <c r="H784" s="68">
        <v>140021328.24183857</v>
      </c>
      <c r="I784" s="68">
        <v>0</v>
      </c>
      <c r="J784" s="68">
        <v>340655</v>
      </c>
      <c r="K784" s="68">
        <v>170327</v>
      </c>
      <c r="L784" s="68">
        <v>773996927</v>
      </c>
      <c r="M784" s="68">
        <v>113051210</v>
      </c>
      <c r="N784" s="69">
        <v>1027580447.2418386</v>
      </c>
      <c r="O784" s="65" t="str">
        <f>VLOOKUP(A784,Report_HQ1!$A$7:$C$95,3,FALSE)</f>
        <v>BV Thừa Thiên Huế</v>
      </c>
      <c r="P784" s="40" t="str">
        <f>VLOOKUP(C784,Sheet1!$U$4:$V$14,2,FALSE)</f>
        <v>BH Kỹ thuật</v>
      </c>
      <c r="Q784" s="88">
        <f t="shared" si="12"/>
        <v>1027580447.2418386</v>
      </c>
    </row>
    <row r="785" spans="1:17" x14ac:dyDescent="0.25">
      <c r="A785" s="85" t="s">
        <v>355</v>
      </c>
      <c r="B785" s="65" t="s">
        <v>213</v>
      </c>
      <c r="C785" s="65" t="s">
        <v>392</v>
      </c>
      <c r="D785" s="66">
        <v>714777743</v>
      </c>
      <c r="E785" s="65">
        <v>797750000</v>
      </c>
      <c r="F785" s="67">
        <v>29574055.426437959</v>
      </c>
      <c r="G785" s="68">
        <v>0</v>
      </c>
      <c r="H785" s="68">
        <v>29574055.426437959</v>
      </c>
      <c r="I785" s="68">
        <v>0</v>
      </c>
      <c r="J785" s="68">
        <v>35670944</v>
      </c>
      <c r="K785" s="68">
        <v>17835472</v>
      </c>
      <c r="L785" s="68">
        <v>44737924</v>
      </c>
      <c r="M785" s="68">
        <v>42886664</v>
      </c>
      <c r="N785" s="69">
        <v>170705059.42643797</v>
      </c>
      <c r="O785" s="65" t="str">
        <f>VLOOKUP(A785,Report_HQ1!$A$7:$C$95,3,FALSE)</f>
        <v>BV Thừa Thiên Huế</v>
      </c>
      <c r="P785" s="40" t="str">
        <f>VLOOKUP(C785,Sheet1!$U$4:$V$14,2,FALSE)</f>
        <v>BH Tài sản</v>
      </c>
      <c r="Q785" s="88">
        <f t="shared" si="12"/>
        <v>170705059.42643797</v>
      </c>
    </row>
    <row r="786" spans="1:17" x14ac:dyDescent="0.25">
      <c r="A786" s="85" t="s">
        <v>355</v>
      </c>
      <c r="B786" s="65" t="s">
        <v>213</v>
      </c>
      <c r="C786" s="65" t="s">
        <v>393</v>
      </c>
      <c r="D786" s="66">
        <v>4686057614</v>
      </c>
      <c r="E786" s="65">
        <v>797750000</v>
      </c>
      <c r="F786" s="67">
        <v>193886461.86191839</v>
      </c>
      <c r="G786" s="68">
        <v>0</v>
      </c>
      <c r="H786" s="68">
        <v>193886461.86191839</v>
      </c>
      <c r="I786" s="68">
        <v>0</v>
      </c>
      <c r="J786" s="68">
        <v>364716854</v>
      </c>
      <c r="K786" s="68">
        <v>182358426</v>
      </c>
      <c r="L786" s="68">
        <v>570524055</v>
      </c>
      <c r="M786" s="68">
        <v>280392077</v>
      </c>
      <c r="N786" s="69">
        <v>1591877873.8619184</v>
      </c>
      <c r="O786" s="65" t="str">
        <f>VLOOKUP(A786,Report_HQ1!$A$7:$C$95,3,FALSE)</f>
        <v>BV Thừa Thiên Huế</v>
      </c>
      <c r="P786" s="40" t="str">
        <f>VLOOKUP(C786,Sheet1!$U$4:$V$14,2,FALSE)</f>
        <v>BH Xe cơ giới</v>
      </c>
      <c r="Q786" s="88">
        <f t="shared" si="12"/>
        <v>1591877873.8619184</v>
      </c>
    </row>
    <row r="787" spans="1:17" x14ac:dyDescent="0.25">
      <c r="A787" s="85" t="s">
        <v>355</v>
      </c>
      <c r="B787" s="65" t="s">
        <v>213</v>
      </c>
      <c r="C787" s="65" t="s">
        <v>394</v>
      </c>
      <c r="D787" s="66">
        <v>3338920571</v>
      </c>
      <c r="E787" s="65">
        <v>797750000</v>
      </c>
      <c r="F787" s="67">
        <v>138148428.65249634</v>
      </c>
      <c r="G787" s="68">
        <v>0</v>
      </c>
      <c r="H787" s="68">
        <v>138148428.65249634</v>
      </c>
      <c r="I787" s="68">
        <v>1565000</v>
      </c>
      <c r="J787" s="68">
        <v>594015605</v>
      </c>
      <c r="K787" s="68">
        <v>12918395</v>
      </c>
      <c r="L787" s="68">
        <v>70481100</v>
      </c>
      <c r="M787" s="68">
        <v>164498708</v>
      </c>
      <c r="N787" s="69">
        <v>981627236.65249634</v>
      </c>
      <c r="O787" s="65" t="str">
        <f>VLOOKUP(A787,Report_HQ1!$A$7:$C$95,3,FALSE)</f>
        <v>BV Thừa Thiên Huế</v>
      </c>
      <c r="P787" s="40" t="str">
        <f>VLOOKUP(C787,Sheet1!$U$4:$V$14,2,FALSE)</f>
        <v>BH Con người</v>
      </c>
      <c r="Q787" s="88">
        <f t="shared" si="12"/>
        <v>981627236.65249634</v>
      </c>
    </row>
    <row r="788" spans="1:17" x14ac:dyDescent="0.25">
      <c r="A788" s="85" t="s">
        <v>355</v>
      </c>
      <c r="B788" s="65" t="s">
        <v>213</v>
      </c>
      <c r="C788" s="65" t="s">
        <v>395</v>
      </c>
      <c r="D788" s="66">
        <v>0</v>
      </c>
      <c r="E788" s="65">
        <v>797750000</v>
      </c>
      <c r="F788" s="67">
        <v>0</v>
      </c>
      <c r="G788" s="68">
        <v>0</v>
      </c>
      <c r="H788" s="68">
        <v>0</v>
      </c>
      <c r="I788" s="68">
        <v>0</v>
      </c>
      <c r="J788" s="68">
        <v>0</v>
      </c>
      <c r="K788" s="68">
        <v>0</v>
      </c>
      <c r="L788" s="68">
        <v>0</v>
      </c>
      <c r="M788" s="68">
        <v>0</v>
      </c>
      <c r="N788" s="69">
        <v>0</v>
      </c>
      <c r="O788" s="65" t="str">
        <f>VLOOKUP(A788,Report_HQ1!$A$7:$C$95,3,FALSE)</f>
        <v>BV Thừa Thiên Huế</v>
      </c>
      <c r="P788" s="40" t="e">
        <f>VLOOKUP(C788,Sheet1!$U$4:$V$14,2,FALSE)</f>
        <v>#N/A</v>
      </c>
      <c r="Q788" s="88">
        <f t="shared" si="12"/>
        <v>0</v>
      </c>
    </row>
    <row r="789" spans="1:17" x14ac:dyDescent="0.25">
      <c r="A789" s="85" t="s">
        <v>355</v>
      </c>
      <c r="B789" s="65" t="s">
        <v>213</v>
      </c>
      <c r="C789" s="65" t="s">
        <v>396</v>
      </c>
      <c r="D789" s="66">
        <v>4512199904</v>
      </c>
      <c r="E789" s="65">
        <v>797750000</v>
      </c>
      <c r="F789" s="67">
        <v>186693068.38792267</v>
      </c>
      <c r="G789" s="68">
        <v>0</v>
      </c>
      <c r="H789" s="68">
        <v>186693068.38792267</v>
      </c>
      <c r="I789" s="68">
        <v>0</v>
      </c>
      <c r="J789" s="68">
        <v>455124101</v>
      </c>
      <c r="K789" s="68">
        <v>98186589</v>
      </c>
      <c r="L789" s="68">
        <v>5164807</v>
      </c>
      <c r="M789" s="68">
        <v>181527848</v>
      </c>
      <c r="N789" s="69">
        <v>926696413.38792264</v>
      </c>
      <c r="O789" s="65" t="str">
        <f>VLOOKUP(A789,Report_HQ1!$A$7:$C$95,3,FALSE)</f>
        <v>BV Thừa Thiên Huế</v>
      </c>
      <c r="P789" s="40" t="str">
        <f>VLOOKUP(C789,Sheet1!$U$4:$V$14,2,FALSE)</f>
        <v>BH Y tế</v>
      </c>
      <c r="Q789" s="88">
        <f t="shared" si="12"/>
        <v>926696413.38792264</v>
      </c>
    </row>
    <row r="790" spans="1:17" x14ac:dyDescent="0.25">
      <c r="A790" s="85" t="s">
        <v>355</v>
      </c>
      <c r="B790" s="65" t="s">
        <v>213</v>
      </c>
      <c r="C790" s="65" t="s">
        <v>397</v>
      </c>
      <c r="D790" s="66">
        <v>71911765</v>
      </c>
      <c r="E790" s="65">
        <v>797750000</v>
      </c>
      <c r="F790" s="67">
        <v>2975361.9845476653</v>
      </c>
      <c r="G790" s="68">
        <v>0</v>
      </c>
      <c r="H790" s="68">
        <v>2975361.9845476653</v>
      </c>
      <c r="I790" s="68">
        <v>0</v>
      </c>
      <c r="J790" s="68">
        <v>14382353</v>
      </c>
      <c r="K790" s="68">
        <v>14382353</v>
      </c>
      <c r="L790" s="68">
        <v>0</v>
      </c>
      <c r="M790" s="68">
        <v>5752941</v>
      </c>
      <c r="N790" s="69">
        <v>37493008.984547667</v>
      </c>
      <c r="O790" s="65" t="str">
        <f>VLOOKUP(A790,Report_HQ1!$A$7:$C$95,3,FALSE)</f>
        <v>BV Thừa Thiên Huế</v>
      </c>
      <c r="P790" s="40" t="str">
        <f>VLOOKUP(C790,Sheet1!$U$4:$V$14,2,FALSE)</f>
        <v>BH Du lịch</v>
      </c>
      <c r="Q790" s="88">
        <f t="shared" si="12"/>
        <v>37493008.984547667</v>
      </c>
    </row>
    <row r="791" spans="1:17" x14ac:dyDescent="0.25">
      <c r="A791" s="85" t="s">
        <v>356</v>
      </c>
      <c r="B791" s="65" t="s">
        <v>214</v>
      </c>
      <c r="C791" s="65" t="s">
        <v>387</v>
      </c>
      <c r="D791" s="66">
        <v>1123537508</v>
      </c>
      <c r="E791" s="65">
        <v>612000000</v>
      </c>
      <c r="F791" s="67">
        <v>65448813.742312364</v>
      </c>
      <c r="G791" s="68">
        <v>0</v>
      </c>
      <c r="H791" s="68">
        <v>65448813.742312364</v>
      </c>
      <c r="I791" s="68">
        <v>0</v>
      </c>
      <c r="J791" s="68">
        <v>112353750</v>
      </c>
      <c r="K791" s="68">
        <v>56176876</v>
      </c>
      <c r="L791" s="68">
        <v>44941500</v>
      </c>
      <c r="M791" s="68">
        <v>89883001</v>
      </c>
      <c r="N791" s="69">
        <v>368803940.74231237</v>
      </c>
      <c r="O791" s="65" t="str">
        <f>VLOOKUP(A791,Report_HQ1!$A$7:$C$95,3,FALSE)</f>
        <v>BV Tiền Giang</v>
      </c>
      <c r="P791" s="40" t="str">
        <f>VLOOKUP(C791,Sheet1!$U$4:$V$14,2,FALSE)</f>
        <v>BH Hàng hóa</v>
      </c>
      <c r="Q791" s="88">
        <f t="shared" si="12"/>
        <v>368803940.74231237</v>
      </c>
    </row>
    <row r="792" spans="1:17" x14ac:dyDescent="0.25">
      <c r="A792" s="85" t="s">
        <v>356</v>
      </c>
      <c r="B792" s="65" t="s">
        <v>214</v>
      </c>
      <c r="C792" s="65" t="s">
        <v>272</v>
      </c>
      <c r="D792" s="66">
        <v>1414176833</v>
      </c>
      <c r="E792" s="65">
        <v>612000000</v>
      </c>
      <c r="F792" s="67">
        <v>82379266.8092307</v>
      </c>
      <c r="G792" s="68">
        <v>0</v>
      </c>
      <c r="H792" s="68">
        <v>82379266.8092307</v>
      </c>
      <c r="I792" s="68">
        <v>1283175</v>
      </c>
      <c r="J792" s="68">
        <v>212126525</v>
      </c>
      <c r="K792" s="68">
        <v>98992378</v>
      </c>
      <c r="L792" s="68">
        <v>14141768</v>
      </c>
      <c r="M792" s="68">
        <v>113134147</v>
      </c>
      <c r="N792" s="69">
        <v>522057259.80923069</v>
      </c>
      <c r="O792" s="65" t="str">
        <f>VLOOKUP(A792,Report_HQ1!$A$7:$C$95,3,FALSE)</f>
        <v>BV Tiền Giang</v>
      </c>
      <c r="P792" s="40" t="str">
        <f>VLOOKUP(C792,Sheet1!$U$4:$V$14,2,FALSE)</f>
        <v>Tàu khác</v>
      </c>
      <c r="Q792" s="88">
        <f t="shared" si="12"/>
        <v>522057259.80923069</v>
      </c>
    </row>
    <row r="793" spans="1:17" x14ac:dyDescent="0.25">
      <c r="A793" s="85" t="s">
        <v>356</v>
      </c>
      <c r="B793" s="65" t="s">
        <v>214</v>
      </c>
      <c r="C793" s="65" t="s">
        <v>388</v>
      </c>
      <c r="D793" s="66">
        <v>0</v>
      </c>
      <c r="E793" s="65">
        <v>612000000</v>
      </c>
      <c r="F793" s="67">
        <v>0</v>
      </c>
      <c r="G793" s="68">
        <v>0</v>
      </c>
      <c r="H793" s="68">
        <v>0</v>
      </c>
      <c r="I793" s="68">
        <v>0</v>
      </c>
      <c r="J793" s="68">
        <v>0</v>
      </c>
      <c r="K793" s="68">
        <v>0</v>
      </c>
      <c r="L793" s="68">
        <v>0</v>
      </c>
      <c r="M793" s="68">
        <v>0</v>
      </c>
      <c r="N793" s="69">
        <v>0</v>
      </c>
      <c r="O793" s="65" t="str">
        <f>VLOOKUP(A793,Report_HQ1!$A$7:$C$95,3,FALSE)</f>
        <v>BV Tiền Giang</v>
      </c>
      <c r="P793" s="40" t="str">
        <f>VLOOKUP(C793,Sheet1!$U$4:$V$14,2,FALSE)</f>
        <v>Hull (Thân tàu biển)</v>
      </c>
      <c r="Q793" s="88">
        <f t="shared" si="12"/>
        <v>0</v>
      </c>
    </row>
    <row r="794" spans="1:17" x14ac:dyDescent="0.25">
      <c r="A794" s="85" t="s">
        <v>356</v>
      </c>
      <c r="B794" s="65" t="s">
        <v>214</v>
      </c>
      <c r="C794" s="65" t="s">
        <v>23</v>
      </c>
      <c r="D794" s="66">
        <v>0</v>
      </c>
      <c r="E794" s="65">
        <v>612000000</v>
      </c>
      <c r="F794" s="67">
        <v>0</v>
      </c>
      <c r="G794" s="68">
        <v>0</v>
      </c>
      <c r="H794" s="68">
        <v>0</v>
      </c>
      <c r="I794" s="68">
        <v>0</v>
      </c>
      <c r="J794" s="68">
        <v>0</v>
      </c>
      <c r="K794" s="68">
        <v>0</v>
      </c>
      <c r="L794" s="68">
        <v>0</v>
      </c>
      <c r="M794" s="68">
        <v>0</v>
      </c>
      <c r="N794" s="69">
        <v>0</v>
      </c>
      <c r="O794" s="65" t="str">
        <f>VLOOKUP(A794,Report_HQ1!$A$7:$C$95,3,FALSE)</f>
        <v>BV Tiền Giang</v>
      </c>
      <c r="P794" s="40" t="str">
        <f>VLOOKUP(C794,Sheet1!$U$4:$V$14,2,FALSE)</f>
        <v>P&amp;I</v>
      </c>
      <c r="Q794" s="88">
        <f t="shared" si="12"/>
        <v>0</v>
      </c>
    </row>
    <row r="795" spans="1:17" x14ac:dyDescent="0.25">
      <c r="A795" s="85" t="s">
        <v>356</v>
      </c>
      <c r="B795" s="65" t="s">
        <v>214</v>
      </c>
      <c r="C795" s="65" t="s">
        <v>389</v>
      </c>
      <c r="D795" s="66">
        <v>0</v>
      </c>
      <c r="E795" s="65">
        <v>612000000</v>
      </c>
      <c r="F795" s="67">
        <v>0</v>
      </c>
      <c r="G795" s="68">
        <v>0</v>
      </c>
      <c r="H795" s="68">
        <v>0</v>
      </c>
      <c r="I795" s="68">
        <v>0</v>
      </c>
      <c r="J795" s="68">
        <v>0</v>
      </c>
      <c r="K795" s="68">
        <v>0</v>
      </c>
      <c r="L795" s="68">
        <v>0</v>
      </c>
      <c r="M795" s="68">
        <v>0</v>
      </c>
      <c r="N795" s="69">
        <v>0</v>
      </c>
      <c r="O795" s="65" t="str">
        <f>VLOOKUP(A795,Report_HQ1!$A$7:$C$95,3,FALSE)</f>
        <v>BV Tiền Giang</v>
      </c>
      <c r="P795" s="40" t="str">
        <f>VLOOKUP(C795,Sheet1!$U$4:$V$14,2,FALSE)</f>
        <v>BH Trách nhiệm</v>
      </c>
      <c r="Q795" s="88">
        <f t="shared" si="12"/>
        <v>0</v>
      </c>
    </row>
    <row r="796" spans="1:17" x14ac:dyDescent="0.25">
      <c r="A796" s="85" t="s">
        <v>356</v>
      </c>
      <c r="B796" s="65" t="s">
        <v>214</v>
      </c>
      <c r="C796" s="65" t="s">
        <v>390</v>
      </c>
      <c r="D796" s="66">
        <v>0</v>
      </c>
      <c r="E796" s="65">
        <v>612000000</v>
      </c>
      <c r="F796" s="67">
        <v>0</v>
      </c>
      <c r="G796" s="68">
        <v>0</v>
      </c>
      <c r="H796" s="68">
        <v>0</v>
      </c>
      <c r="I796" s="68">
        <v>0</v>
      </c>
      <c r="J796" s="68">
        <v>0</v>
      </c>
      <c r="K796" s="68">
        <v>0</v>
      </c>
      <c r="L796" s="68">
        <v>0</v>
      </c>
      <c r="M796" s="68">
        <v>0</v>
      </c>
      <c r="N796" s="69">
        <v>0</v>
      </c>
      <c r="O796" s="65" t="str">
        <f>VLOOKUP(A796,Report_HQ1!$A$7:$C$95,3,FALSE)</f>
        <v>BV Tiền Giang</v>
      </c>
      <c r="P796" s="40" t="e">
        <f>VLOOKUP(C796,Sheet1!$U$4:$V$14,2,FALSE)</f>
        <v>#N/A</v>
      </c>
      <c r="Q796" s="88">
        <f t="shared" si="12"/>
        <v>0</v>
      </c>
    </row>
    <row r="797" spans="1:17" x14ac:dyDescent="0.25">
      <c r="A797" s="85" t="s">
        <v>356</v>
      </c>
      <c r="B797" s="65" t="s">
        <v>214</v>
      </c>
      <c r="C797" s="65" t="s">
        <v>391</v>
      </c>
      <c r="D797" s="66">
        <v>129064015</v>
      </c>
      <c r="E797" s="65">
        <v>612000000</v>
      </c>
      <c r="F797" s="67">
        <v>7518295.2223879015</v>
      </c>
      <c r="G797" s="68">
        <v>0</v>
      </c>
      <c r="H797" s="68">
        <v>7518295.2223879015</v>
      </c>
      <c r="I797" s="68">
        <v>0</v>
      </c>
      <c r="J797" s="68">
        <v>1041165</v>
      </c>
      <c r="K797" s="68">
        <v>520582</v>
      </c>
      <c r="L797" s="68">
        <v>30704257</v>
      </c>
      <c r="M797" s="68">
        <v>7743841</v>
      </c>
      <c r="N797" s="69">
        <v>47528140.222387902</v>
      </c>
      <c r="O797" s="65" t="str">
        <f>VLOOKUP(A797,Report_HQ1!$A$7:$C$95,3,FALSE)</f>
        <v>BV Tiền Giang</v>
      </c>
      <c r="P797" s="40" t="str">
        <f>VLOOKUP(C797,Sheet1!$U$4:$V$14,2,FALSE)</f>
        <v>BH Kỹ thuật</v>
      </c>
      <c r="Q797" s="88">
        <f t="shared" si="12"/>
        <v>47528140.222387902</v>
      </c>
    </row>
    <row r="798" spans="1:17" x14ac:dyDescent="0.25">
      <c r="A798" s="85" t="s">
        <v>356</v>
      </c>
      <c r="B798" s="65" t="s">
        <v>214</v>
      </c>
      <c r="C798" s="65" t="s">
        <v>392</v>
      </c>
      <c r="D798" s="66">
        <v>1172061449</v>
      </c>
      <c r="E798" s="65">
        <v>612000000</v>
      </c>
      <c r="F798" s="67">
        <v>68275452.24253051</v>
      </c>
      <c r="G798" s="68">
        <v>0</v>
      </c>
      <c r="H798" s="68">
        <v>68275452.24253051</v>
      </c>
      <c r="I798" s="68">
        <v>0</v>
      </c>
      <c r="J798" s="68">
        <v>29184623</v>
      </c>
      <c r="K798" s="68">
        <v>14592310</v>
      </c>
      <c r="L798" s="68">
        <v>170833447</v>
      </c>
      <c r="M798" s="68">
        <v>70323688</v>
      </c>
      <c r="N798" s="69">
        <v>353209520.24253052</v>
      </c>
      <c r="O798" s="65" t="str">
        <f>VLOOKUP(A798,Report_HQ1!$A$7:$C$95,3,FALSE)</f>
        <v>BV Tiền Giang</v>
      </c>
      <c r="P798" s="40" t="str">
        <f>VLOOKUP(C798,Sheet1!$U$4:$V$14,2,FALSE)</f>
        <v>BH Tài sản</v>
      </c>
      <c r="Q798" s="88">
        <f t="shared" si="12"/>
        <v>353209520.24253052</v>
      </c>
    </row>
    <row r="799" spans="1:17" x14ac:dyDescent="0.25">
      <c r="A799" s="85" t="s">
        <v>356</v>
      </c>
      <c r="B799" s="65" t="s">
        <v>214</v>
      </c>
      <c r="C799" s="65" t="s">
        <v>393</v>
      </c>
      <c r="D799" s="66">
        <v>3443744210</v>
      </c>
      <c r="E799" s="65">
        <v>612000000</v>
      </c>
      <c r="F799" s="67">
        <v>200606541.18941674</v>
      </c>
      <c r="G799" s="68">
        <v>0</v>
      </c>
      <c r="H799" s="68">
        <v>200606541.18941674</v>
      </c>
      <c r="I799" s="68">
        <v>0</v>
      </c>
      <c r="J799" s="68">
        <v>310403360</v>
      </c>
      <c r="K799" s="68">
        <v>155201681</v>
      </c>
      <c r="L799" s="68">
        <v>441652356</v>
      </c>
      <c r="M799" s="68">
        <v>204521420</v>
      </c>
      <c r="N799" s="69">
        <v>1312385358.1894169</v>
      </c>
      <c r="O799" s="65" t="str">
        <f>VLOOKUP(A799,Report_HQ1!$A$7:$C$95,3,FALSE)</f>
        <v>BV Tiền Giang</v>
      </c>
      <c r="P799" s="40" t="str">
        <f>VLOOKUP(C799,Sheet1!$U$4:$V$14,2,FALSE)</f>
        <v>BH Xe cơ giới</v>
      </c>
      <c r="Q799" s="88">
        <f t="shared" si="12"/>
        <v>1312385358.1894169</v>
      </c>
    </row>
    <row r="800" spans="1:17" x14ac:dyDescent="0.25">
      <c r="A800" s="85" t="s">
        <v>356</v>
      </c>
      <c r="B800" s="65" t="s">
        <v>214</v>
      </c>
      <c r="C800" s="65" t="s">
        <v>394</v>
      </c>
      <c r="D800" s="66">
        <v>2192254162</v>
      </c>
      <c r="E800" s="65">
        <v>612000000</v>
      </c>
      <c r="F800" s="67">
        <v>127704178.36780138</v>
      </c>
      <c r="G800" s="68">
        <v>0</v>
      </c>
      <c r="H800" s="68">
        <v>127704178.36780138</v>
      </c>
      <c r="I800" s="68">
        <v>456500</v>
      </c>
      <c r="J800" s="68">
        <v>341053600</v>
      </c>
      <c r="K800" s="68">
        <v>35297206</v>
      </c>
      <c r="L800" s="68">
        <v>67289819</v>
      </c>
      <c r="M800" s="68">
        <v>112062601</v>
      </c>
      <c r="N800" s="69">
        <v>683863904.36780143</v>
      </c>
      <c r="O800" s="65" t="str">
        <f>VLOOKUP(A800,Report_HQ1!$A$7:$C$95,3,FALSE)</f>
        <v>BV Tiền Giang</v>
      </c>
      <c r="P800" s="40" t="str">
        <f>VLOOKUP(C800,Sheet1!$U$4:$V$14,2,FALSE)</f>
        <v>BH Con người</v>
      </c>
      <c r="Q800" s="88">
        <f t="shared" si="12"/>
        <v>683863904.36780143</v>
      </c>
    </row>
    <row r="801" spans="1:17" x14ac:dyDescent="0.25">
      <c r="A801" s="85" t="s">
        <v>356</v>
      </c>
      <c r="B801" s="65" t="s">
        <v>214</v>
      </c>
      <c r="C801" s="65" t="s">
        <v>395</v>
      </c>
      <c r="D801" s="66">
        <v>0</v>
      </c>
      <c r="E801" s="65">
        <v>612000000</v>
      </c>
      <c r="F801" s="67">
        <v>0</v>
      </c>
      <c r="G801" s="68">
        <v>0</v>
      </c>
      <c r="H801" s="68">
        <v>0</v>
      </c>
      <c r="I801" s="68">
        <v>0</v>
      </c>
      <c r="J801" s="68">
        <v>0</v>
      </c>
      <c r="K801" s="68">
        <v>0</v>
      </c>
      <c r="L801" s="68">
        <v>0</v>
      </c>
      <c r="M801" s="68">
        <v>0</v>
      </c>
      <c r="N801" s="69">
        <v>0</v>
      </c>
      <c r="O801" s="65" t="str">
        <f>VLOOKUP(A801,Report_HQ1!$A$7:$C$95,3,FALSE)</f>
        <v>BV Tiền Giang</v>
      </c>
      <c r="P801" s="40" t="e">
        <f>VLOOKUP(C801,Sheet1!$U$4:$V$14,2,FALSE)</f>
        <v>#N/A</v>
      </c>
      <c r="Q801" s="88">
        <f t="shared" si="12"/>
        <v>0</v>
      </c>
    </row>
    <row r="802" spans="1:17" x14ac:dyDescent="0.25">
      <c r="A802" s="85" t="s">
        <v>356</v>
      </c>
      <c r="B802" s="65" t="s">
        <v>214</v>
      </c>
      <c r="C802" s="65" t="s">
        <v>396</v>
      </c>
      <c r="D802" s="66">
        <v>972074710</v>
      </c>
      <c r="E802" s="65">
        <v>612000000</v>
      </c>
      <c r="F802" s="67">
        <v>56625734.508546822</v>
      </c>
      <c r="G802" s="68">
        <v>0</v>
      </c>
      <c r="H802" s="68">
        <v>56625734.508546822</v>
      </c>
      <c r="I802" s="68">
        <v>0</v>
      </c>
      <c r="J802" s="68">
        <v>193974942</v>
      </c>
      <c r="K802" s="68">
        <v>85449870</v>
      </c>
      <c r="L802" s="68">
        <v>4294117</v>
      </c>
      <c r="M802" s="68">
        <v>64034494</v>
      </c>
      <c r="N802" s="69">
        <v>404379157.50854683</v>
      </c>
      <c r="O802" s="65" t="str">
        <f>VLOOKUP(A802,Report_HQ1!$A$7:$C$95,3,FALSE)</f>
        <v>BV Tiền Giang</v>
      </c>
      <c r="P802" s="40" t="str">
        <f>VLOOKUP(C802,Sheet1!$U$4:$V$14,2,FALSE)</f>
        <v>BH Y tế</v>
      </c>
      <c r="Q802" s="88">
        <f t="shared" si="12"/>
        <v>404379157.50854683</v>
      </c>
    </row>
    <row r="803" spans="1:17" x14ac:dyDescent="0.25">
      <c r="A803" s="85" t="s">
        <v>356</v>
      </c>
      <c r="B803" s="65" t="s">
        <v>214</v>
      </c>
      <c r="C803" s="65" t="s">
        <v>397</v>
      </c>
      <c r="D803" s="66">
        <v>59082800</v>
      </c>
      <c r="E803" s="65">
        <v>612000000</v>
      </c>
      <c r="F803" s="67">
        <v>3441717.9177735941</v>
      </c>
      <c r="G803" s="68">
        <v>0</v>
      </c>
      <c r="H803" s="68">
        <v>3441717.9177735941</v>
      </c>
      <c r="I803" s="68">
        <v>0</v>
      </c>
      <c r="J803" s="68">
        <v>11816560</v>
      </c>
      <c r="K803" s="68">
        <v>11816560</v>
      </c>
      <c r="L803" s="68">
        <v>0</v>
      </c>
      <c r="M803" s="68">
        <v>4726624</v>
      </c>
      <c r="N803" s="69">
        <v>31801461.917773593</v>
      </c>
      <c r="O803" s="65" t="str">
        <f>VLOOKUP(A803,Report_HQ1!$A$7:$C$95,3,FALSE)</f>
        <v>BV Tiền Giang</v>
      </c>
      <c r="P803" s="40" t="str">
        <f>VLOOKUP(C803,Sheet1!$U$4:$V$14,2,FALSE)</f>
        <v>BH Du lịch</v>
      </c>
      <c r="Q803" s="88">
        <f t="shared" si="12"/>
        <v>31801461.917773593</v>
      </c>
    </row>
    <row r="804" spans="1:17" x14ac:dyDescent="0.25">
      <c r="A804" s="85" t="s">
        <v>357</v>
      </c>
      <c r="B804" s="65" t="s">
        <v>215</v>
      </c>
      <c r="C804" s="65" t="s">
        <v>387</v>
      </c>
      <c r="D804" s="66">
        <v>0</v>
      </c>
      <c r="E804" s="65">
        <v>516808813</v>
      </c>
      <c r="F804" s="67">
        <v>0</v>
      </c>
      <c r="G804" s="68">
        <v>0</v>
      </c>
      <c r="H804" s="68">
        <v>0</v>
      </c>
      <c r="I804" s="68">
        <v>0</v>
      </c>
      <c r="J804" s="68">
        <v>0</v>
      </c>
      <c r="K804" s="68">
        <v>0</v>
      </c>
      <c r="L804" s="68">
        <v>0</v>
      </c>
      <c r="M804" s="68">
        <v>0</v>
      </c>
      <c r="N804" s="69">
        <v>0</v>
      </c>
      <c r="O804" s="65" t="str">
        <f>VLOOKUP(A804,Report_HQ1!$A$7:$C$95,3,FALSE)</f>
        <v>BV Trà Vinh</v>
      </c>
      <c r="P804" s="40" t="str">
        <f>VLOOKUP(C804,Sheet1!$U$4:$V$14,2,FALSE)</f>
        <v>BH Hàng hóa</v>
      </c>
      <c r="Q804" s="88">
        <f t="shared" si="12"/>
        <v>0</v>
      </c>
    </row>
    <row r="805" spans="1:17" x14ac:dyDescent="0.25">
      <c r="A805" s="85" t="s">
        <v>357</v>
      </c>
      <c r="B805" s="65" t="s">
        <v>215</v>
      </c>
      <c r="C805" s="65" t="s">
        <v>272</v>
      </c>
      <c r="D805" s="66">
        <v>711507734</v>
      </c>
      <c r="E805" s="65">
        <v>516808813</v>
      </c>
      <c r="F805" s="67">
        <v>52059128.654201277</v>
      </c>
      <c r="G805" s="68">
        <v>0</v>
      </c>
      <c r="H805" s="68">
        <v>52059128.654201277</v>
      </c>
      <c r="I805" s="68">
        <v>1642756</v>
      </c>
      <c r="J805" s="68">
        <v>106726161</v>
      </c>
      <c r="K805" s="68">
        <v>49805542</v>
      </c>
      <c r="L805" s="68">
        <v>7115078</v>
      </c>
      <c r="M805" s="68">
        <v>56920619</v>
      </c>
      <c r="N805" s="69">
        <v>274269284.65420127</v>
      </c>
      <c r="O805" s="65" t="str">
        <f>VLOOKUP(A805,Report_HQ1!$A$7:$C$95,3,FALSE)</f>
        <v>BV Trà Vinh</v>
      </c>
      <c r="P805" s="40" t="str">
        <f>VLOOKUP(C805,Sheet1!$U$4:$V$14,2,FALSE)</f>
        <v>Tàu khác</v>
      </c>
      <c r="Q805" s="88">
        <f t="shared" si="12"/>
        <v>274269284.65420127</v>
      </c>
    </row>
    <row r="806" spans="1:17" x14ac:dyDescent="0.25">
      <c r="A806" s="85" t="s">
        <v>357</v>
      </c>
      <c r="B806" s="65" t="s">
        <v>215</v>
      </c>
      <c r="C806" s="65" t="s">
        <v>388</v>
      </c>
      <c r="D806" s="66">
        <v>0</v>
      </c>
      <c r="E806" s="65">
        <v>516808813</v>
      </c>
      <c r="F806" s="67">
        <v>0</v>
      </c>
      <c r="G806" s="68">
        <v>0</v>
      </c>
      <c r="H806" s="68">
        <v>0</v>
      </c>
      <c r="I806" s="68">
        <v>0</v>
      </c>
      <c r="J806" s="68">
        <v>0</v>
      </c>
      <c r="K806" s="68">
        <v>0</v>
      </c>
      <c r="L806" s="68">
        <v>0</v>
      </c>
      <c r="M806" s="68">
        <v>0</v>
      </c>
      <c r="N806" s="69">
        <v>0</v>
      </c>
      <c r="O806" s="65" t="str">
        <f>VLOOKUP(A806,Report_HQ1!$A$7:$C$95,3,FALSE)</f>
        <v>BV Trà Vinh</v>
      </c>
      <c r="P806" s="40" t="str">
        <f>VLOOKUP(C806,Sheet1!$U$4:$V$14,2,FALSE)</f>
        <v>Hull (Thân tàu biển)</v>
      </c>
      <c r="Q806" s="88">
        <f t="shared" si="12"/>
        <v>0</v>
      </c>
    </row>
    <row r="807" spans="1:17" x14ac:dyDescent="0.25">
      <c r="A807" s="85" t="s">
        <v>357</v>
      </c>
      <c r="B807" s="65" t="s">
        <v>215</v>
      </c>
      <c r="C807" s="65" t="s">
        <v>23</v>
      </c>
      <c r="D807" s="66">
        <v>0</v>
      </c>
      <c r="E807" s="65">
        <v>516808813</v>
      </c>
      <c r="F807" s="67">
        <v>0</v>
      </c>
      <c r="G807" s="68">
        <v>0</v>
      </c>
      <c r="H807" s="68">
        <v>0</v>
      </c>
      <c r="I807" s="68">
        <v>0</v>
      </c>
      <c r="J807" s="68">
        <v>0</v>
      </c>
      <c r="K807" s="68">
        <v>0</v>
      </c>
      <c r="L807" s="68">
        <v>0</v>
      </c>
      <c r="M807" s="68">
        <v>0</v>
      </c>
      <c r="N807" s="69">
        <v>0</v>
      </c>
      <c r="O807" s="65" t="str">
        <f>VLOOKUP(A807,Report_HQ1!$A$7:$C$95,3,FALSE)</f>
        <v>BV Trà Vinh</v>
      </c>
      <c r="P807" s="40" t="str">
        <f>VLOOKUP(C807,Sheet1!$U$4:$V$14,2,FALSE)</f>
        <v>P&amp;I</v>
      </c>
      <c r="Q807" s="88">
        <f t="shared" si="12"/>
        <v>0</v>
      </c>
    </row>
    <row r="808" spans="1:17" x14ac:dyDescent="0.25">
      <c r="A808" s="85" t="s">
        <v>357</v>
      </c>
      <c r="B808" s="65" t="s">
        <v>215</v>
      </c>
      <c r="C808" s="65" t="s">
        <v>389</v>
      </c>
      <c r="D808" s="66">
        <v>0</v>
      </c>
      <c r="E808" s="65">
        <v>516808813</v>
      </c>
      <c r="F808" s="67">
        <v>0</v>
      </c>
      <c r="G808" s="68">
        <v>0</v>
      </c>
      <c r="H808" s="68">
        <v>0</v>
      </c>
      <c r="I808" s="68">
        <v>0</v>
      </c>
      <c r="J808" s="68">
        <v>0</v>
      </c>
      <c r="K808" s="68">
        <v>0</v>
      </c>
      <c r="L808" s="68">
        <v>0</v>
      </c>
      <c r="M808" s="68">
        <v>0</v>
      </c>
      <c r="N808" s="69">
        <v>0</v>
      </c>
      <c r="O808" s="65" t="str">
        <f>VLOOKUP(A808,Report_HQ1!$A$7:$C$95,3,FALSE)</f>
        <v>BV Trà Vinh</v>
      </c>
      <c r="P808" s="40" t="str">
        <f>VLOOKUP(C808,Sheet1!$U$4:$V$14,2,FALSE)</f>
        <v>BH Trách nhiệm</v>
      </c>
      <c r="Q808" s="88">
        <f t="shared" si="12"/>
        <v>0</v>
      </c>
    </row>
    <row r="809" spans="1:17" x14ac:dyDescent="0.25">
      <c r="A809" s="85" t="s">
        <v>357</v>
      </c>
      <c r="B809" s="65" t="s">
        <v>215</v>
      </c>
      <c r="C809" s="65" t="s">
        <v>390</v>
      </c>
      <c r="D809" s="66">
        <v>0</v>
      </c>
      <c r="E809" s="65">
        <v>516808813</v>
      </c>
      <c r="F809" s="67">
        <v>0</v>
      </c>
      <c r="G809" s="68">
        <v>0</v>
      </c>
      <c r="H809" s="68">
        <v>0</v>
      </c>
      <c r="I809" s="68">
        <v>0</v>
      </c>
      <c r="J809" s="68">
        <v>0</v>
      </c>
      <c r="K809" s="68">
        <v>0</v>
      </c>
      <c r="L809" s="68">
        <v>0</v>
      </c>
      <c r="M809" s="68">
        <v>0</v>
      </c>
      <c r="N809" s="69">
        <v>0</v>
      </c>
      <c r="O809" s="65" t="str">
        <f>VLOOKUP(A809,Report_HQ1!$A$7:$C$95,3,FALSE)</f>
        <v>BV Trà Vinh</v>
      </c>
      <c r="P809" s="40" t="e">
        <f>VLOOKUP(C809,Sheet1!$U$4:$V$14,2,FALSE)</f>
        <v>#N/A</v>
      </c>
      <c r="Q809" s="88">
        <f t="shared" si="12"/>
        <v>0</v>
      </c>
    </row>
    <row r="810" spans="1:17" x14ac:dyDescent="0.25">
      <c r="A810" s="85" t="s">
        <v>357</v>
      </c>
      <c r="B810" s="65" t="s">
        <v>215</v>
      </c>
      <c r="C810" s="65" t="s">
        <v>391</v>
      </c>
      <c r="D810" s="66">
        <v>787176799</v>
      </c>
      <c r="E810" s="65">
        <v>516808813</v>
      </c>
      <c r="F810" s="67">
        <v>57595632.899674617</v>
      </c>
      <c r="G810" s="68">
        <v>0</v>
      </c>
      <c r="H810" s="68">
        <v>57595632.899674617</v>
      </c>
      <c r="I810" s="68">
        <v>0</v>
      </c>
      <c r="J810" s="68">
        <v>26176340</v>
      </c>
      <c r="K810" s="68">
        <v>13088171</v>
      </c>
      <c r="L810" s="68">
        <v>116939633</v>
      </c>
      <c r="M810" s="68">
        <v>36837846</v>
      </c>
      <c r="N810" s="69">
        <v>250637622.89967462</v>
      </c>
      <c r="O810" s="65" t="str">
        <f>VLOOKUP(A810,Report_HQ1!$A$7:$C$95,3,FALSE)</f>
        <v>BV Trà Vinh</v>
      </c>
      <c r="P810" s="40" t="str">
        <f>VLOOKUP(C810,Sheet1!$U$4:$V$14,2,FALSE)</f>
        <v>BH Kỹ thuật</v>
      </c>
      <c r="Q810" s="88">
        <f t="shared" si="12"/>
        <v>250637622.89967462</v>
      </c>
    </row>
    <row r="811" spans="1:17" x14ac:dyDescent="0.25">
      <c r="A811" s="85" t="s">
        <v>357</v>
      </c>
      <c r="B811" s="65" t="s">
        <v>215</v>
      </c>
      <c r="C811" s="65" t="s">
        <v>392</v>
      </c>
      <c r="D811" s="66">
        <v>628225221</v>
      </c>
      <c r="E811" s="65">
        <v>516808813</v>
      </c>
      <c r="F811" s="67">
        <v>45965568.666401915</v>
      </c>
      <c r="G811" s="68">
        <v>0</v>
      </c>
      <c r="H811" s="68">
        <v>45965568.666401915</v>
      </c>
      <c r="I811" s="68">
        <v>0</v>
      </c>
      <c r="J811" s="68">
        <v>28299398</v>
      </c>
      <c r="K811" s="68">
        <v>14149700</v>
      </c>
      <c r="L811" s="68">
        <v>38419539</v>
      </c>
      <c r="M811" s="68">
        <v>30311937</v>
      </c>
      <c r="N811" s="69">
        <v>157146142.66640192</v>
      </c>
      <c r="O811" s="65" t="str">
        <f>VLOOKUP(A811,Report_HQ1!$A$7:$C$95,3,FALSE)</f>
        <v>BV Trà Vinh</v>
      </c>
      <c r="P811" s="40" t="str">
        <f>VLOOKUP(C811,Sheet1!$U$4:$V$14,2,FALSE)</f>
        <v>BH Tài sản</v>
      </c>
      <c r="Q811" s="88">
        <f t="shared" si="12"/>
        <v>157146142.66640192</v>
      </c>
    </row>
    <row r="812" spans="1:17" x14ac:dyDescent="0.25">
      <c r="A812" s="85" t="s">
        <v>357</v>
      </c>
      <c r="B812" s="65" t="s">
        <v>215</v>
      </c>
      <c r="C812" s="65" t="s">
        <v>393</v>
      </c>
      <c r="D812" s="66">
        <v>3099060375</v>
      </c>
      <c r="E812" s="65">
        <v>516808813</v>
      </c>
      <c r="F812" s="67">
        <v>226750005.74099487</v>
      </c>
      <c r="G812" s="68">
        <v>0</v>
      </c>
      <c r="H812" s="68">
        <v>226750005.74099487</v>
      </c>
      <c r="I812" s="68">
        <v>0</v>
      </c>
      <c r="J812" s="68">
        <v>268858899</v>
      </c>
      <c r="K812" s="68">
        <v>134429451</v>
      </c>
      <c r="L812" s="68">
        <v>343378349</v>
      </c>
      <c r="M812" s="68">
        <v>184474059</v>
      </c>
      <c r="N812" s="69">
        <v>1157890763.7409949</v>
      </c>
      <c r="O812" s="65" t="str">
        <f>VLOOKUP(A812,Report_HQ1!$A$7:$C$95,3,FALSE)</f>
        <v>BV Trà Vinh</v>
      </c>
      <c r="P812" s="40" t="str">
        <f>VLOOKUP(C812,Sheet1!$U$4:$V$14,2,FALSE)</f>
        <v>BH Xe cơ giới</v>
      </c>
      <c r="Q812" s="88">
        <f t="shared" si="12"/>
        <v>1157890763.7409949</v>
      </c>
    </row>
    <row r="813" spans="1:17" x14ac:dyDescent="0.25">
      <c r="A813" s="85" t="s">
        <v>357</v>
      </c>
      <c r="B813" s="65" t="s">
        <v>215</v>
      </c>
      <c r="C813" s="65" t="s">
        <v>394</v>
      </c>
      <c r="D813" s="66">
        <v>437413320</v>
      </c>
      <c r="E813" s="65">
        <v>516808813</v>
      </c>
      <c r="F813" s="67">
        <v>32004369.331200145</v>
      </c>
      <c r="G813" s="68">
        <v>0</v>
      </c>
      <c r="H813" s="68">
        <v>32004369.331200145</v>
      </c>
      <c r="I813" s="68">
        <v>633250</v>
      </c>
      <c r="J813" s="68">
        <v>70452518</v>
      </c>
      <c r="K813" s="68">
        <v>7716905</v>
      </c>
      <c r="L813" s="68">
        <v>20401835</v>
      </c>
      <c r="M813" s="68">
        <v>23736767</v>
      </c>
      <c r="N813" s="69">
        <v>154945644.33120015</v>
      </c>
      <c r="O813" s="65" t="str">
        <f>VLOOKUP(A813,Report_HQ1!$A$7:$C$95,3,FALSE)</f>
        <v>BV Trà Vinh</v>
      </c>
      <c r="P813" s="40" t="str">
        <f>VLOOKUP(C813,Sheet1!$U$4:$V$14,2,FALSE)</f>
        <v>BH Con người</v>
      </c>
      <c r="Q813" s="88">
        <f t="shared" si="12"/>
        <v>154945644.33120015</v>
      </c>
    </row>
    <row r="814" spans="1:17" x14ac:dyDescent="0.25">
      <c r="A814" s="85" t="s">
        <v>357</v>
      </c>
      <c r="B814" s="65" t="s">
        <v>215</v>
      </c>
      <c r="C814" s="65" t="s">
        <v>395</v>
      </c>
      <c r="D814" s="66">
        <v>0</v>
      </c>
      <c r="E814" s="65">
        <v>516808813</v>
      </c>
      <c r="F814" s="67">
        <v>0</v>
      </c>
      <c r="G814" s="68">
        <v>0</v>
      </c>
      <c r="H814" s="68">
        <v>0</v>
      </c>
      <c r="I814" s="68">
        <v>0</v>
      </c>
      <c r="J814" s="68">
        <v>0</v>
      </c>
      <c r="K814" s="68">
        <v>0</v>
      </c>
      <c r="L814" s="68">
        <v>0</v>
      </c>
      <c r="M814" s="68">
        <v>0</v>
      </c>
      <c r="N814" s="69">
        <v>0</v>
      </c>
      <c r="O814" s="65" t="str">
        <f>VLOOKUP(A814,Report_HQ1!$A$7:$C$95,3,FALSE)</f>
        <v>BV Trà Vinh</v>
      </c>
      <c r="P814" s="40" t="e">
        <f>VLOOKUP(C814,Sheet1!$U$4:$V$14,2,FALSE)</f>
        <v>#N/A</v>
      </c>
      <c r="Q814" s="88">
        <f t="shared" si="12"/>
        <v>0</v>
      </c>
    </row>
    <row r="815" spans="1:17" x14ac:dyDescent="0.25">
      <c r="A815" s="85" t="s">
        <v>357</v>
      </c>
      <c r="B815" s="65" t="s">
        <v>215</v>
      </c>
      <c r="C815" s="65" t="s">
        <v>396</v>
      </c>
      <c r="D815" s="66">
        <v>1357296190</v>
      </c>
      <c r="E815" s="65">
        <v>516808813</v>
      </c>
      <c r="F815" s="67">
        <v>99309752.516431838</v>
      </c>
      <c r="G815" s="68">
        <v>0</v>
      </c>
      <c r="H815" s="68">
        <v>99309752.516431838</v>
      </c>
      <c r="I815" s="68">
        <v>0</v>
      </c>
      <c r="J815" s="68">
        <v>271459238</v>
      </c>
      <c r="K815" s="68">
        <v>158197320</v>
      </c>
      <c r="L815" s="68">
        <v>3023768</v>
      </c>
      <c r="M815" s="68">
        <v>97543275</v>
      </c>
      <c r="N815" s="69">
        <v>629533353.51643181</v>
      </c>
      <c r="O815" s="65" t="str">
        <f>VLOOKUP(A815,Report_HQ1!$A$7:$C$95,3,FALSE)</f>
        <v>BV Trà Vinh</v>
      </c>
      <c r="P815" s="40" t="str">
        <f>VLOOKUP(C815,Sheet1!$U$4:$V$14,2,FALSE)</f>
        <v>BH Y tế</v>
      </c>
      <c r="Q815" s="88">
        <f t="shared" si="12"/>
        <v>629533353.51643181</v>
      </c>
    </row>
    <row r="816" spans="1:17" x14ac:dyDescent="0.25">
      <c r="A816" s="85" t="s">
        <v>357</v>
      </c>
      <c r="B816" s="65" t="s">
        <v>215</v>
      </c>
      <c r="C816" s="65" t="s">
        <v>397</v>
      </c>
      <c r="D816" s="66">
        <v>42701500</v>
      </c>
      <c r="E816" s="65">
        <v>516808813</v>
      </c>
      <c r="F816" s="67">
        <v>3124355.1910953308</v>
      </c>
      <c r="G816" s="68">
        <v>0</v>
      </c>
      <c r="H816" s="68">
        <v>3124355.1910953308</v>
      </c>
      <c r="I816" s="68">
        <v>0</v>
      </c>
      <c r="J816" s="68">
        <v>8540300</v>
      </c>
      <c r="K816" s="68">
        <v>8540300</v>
      </c>
      <c r="L816" s="68">
        <v>0</v>
      </c>
      <c r="M816" s="68">
        <v>3416120</v>
      </c>
      <c r="N816" s="69">
        <v>23621075.19109533</v>
      </c>
      <c r="O816" s="65" t="str">
        <f>VLOOKUP(A816,Report_HQ1!$A$7:$C$95,3,FALSE)</f>
        <v>BV Trà Vinh</v>
      </c>
      <c r="P816" s="40" t="str">
        <f>VLOOKUP(C816,Sheet1!$U$4:$V$14,2,FALSE)</f>
        <v>BH Du lịch</v>
      </c>
      <c r="Q816" s="88">
        <f t="shared" si="12"/>
        <v>23621075.19109533</v>
      </c>
    </row>
    <row r="817" spans="1:17" x14ac:dyDescent="0.25">
      <c r="A817" s="85" t="s">
        <v>359</v>
      </c>
      <c r="B817" s="65" t="s">
        <v>217</v>
      </c>
      <c r="C817" s="65" t="s">
        <v>387</v>
      </c>
      <c r="D817" s="66">
        <v>0</v>
      </c>
      <c r="E817" s="65">
        <v>305000000</v>
      </c>
      <c r="F817" s="67">
        <v>0</v>
      </c>
      <c r="G817" s="68">
        <v>0</v>
      </c>
      <c r="H817" s="68">
        <v>0</v>
      </c>
      <c r="I817" s="68">
        <v>0</v>
      </c>
      <c r="J817" s="68">
        <v>0</v>
      </c>
      <c r="K817" s="68">
        <v>0</v>
      </c>
      <c r="L817" s="68">
        <v>0</v>
      </c>
      <c r="M817" s="68">
        <v>0</v>
      </c>
      <c r="N817" s="69">
        <v>0</v>
      </c>
      <c r="O817" s="65" t="str">
        <f>VLOOKUP(A817,Report_HQ1!$A$7:$C$95,3,FALSE)</f>
        <v>BV Tuyên Quang</v>
      </c>
      <c r="P817" s="40" t="str">
        <f>VLOOKUP(C817,Sheet1!$U$4:$V$14,2,FALSE)</f>
        <v>BH Hàng hóa</v>
      </c>
      <c r="Q817" s="88">
        <f t="shared" si="12"/>
        <v>0</v>
      </c>
    </row>
    <row r="818" spans="1:17" x14ac:dyDescent="0.25">
      <c r="A818" s="85" t="s">
        <v>359</v>
      </c>
      <c r="B818" s="65" t="s">
        <v>217</v>
      </c>
      <c r="C818" s="65" t="s">
        <v>272</v>
      </c>
      <c r="D818" s="66">
        <v>2100000</v>
      </c>
      <c r="E818" s="65">
        <v>305000000</v>
      </c>
      <c r="F818" s="67">
        <v>83573.605197464654</v>
      </c>
      <c r="G818" s="68">
        <v>0</v>
      </c>
      <c r="H818" s="68">
        <v>83573.605197464654</v>
      </c>
      <c r="I818" s="68">
        <v>0</v>
      </c>
      <c r="J818" s="68">
        <v>315000</v>
      </c>
      <c r="K818" s="68">
        <v>147000</v>
      </c>
      <c r="L818" s="68">
        <v>21000</v>
      </c>
      <c r="M818" s="68">
        <v>168000</v>
      </c>
      <c r="N818" s="69">
        <v>734573.60519746458</v>
      </c>
      <c r="O818" s="65" t="str">
        <f>VLOOKUP(A818,Report_HQ1!$A$7:$C$95,3,FALSE)</f>
        <v>BV Tuyên Quang</v>
      </c>
      <c r="P818" s="40" t="str">
        <f>VLOOKUP(C818,Sheet1!$U$4:$V$14,2,FALSE)</f>
        <v>Tàu khác</v>
      </c>
      <c r="Q818" s="88">
        <f t="shared" si="12"/>
        <v>734573.60519746458</v>
      </c>
    </row>
    <row r="819" spans="1:17" x14ac:dyDescent="0.25">
      <c r="A819" s="85" t="s">
        <v>359</v>
      </c>
      <c r="B819" s="65" t="s">
        <v>217</v>
      </c>
      <c r="C819" s="65" t="s">
        <v>388</v>
      </c>
      <c r="D819" s="66">
        <v>0</v>
      </c>
      <c r="E819" s="65">
        <v>305000000</v>
      </c>
      <c r="F819" s="67">
        <v>0</v>
      </c>
      <c r="G819" s="68">
        <v>0</v>
      </c>
      <c r="H819" s="68">
        <v>0</v>
      </c>
      <c r="I819" s="68">
        <v>0</v>
      </c>
      <c r="J819" s="68">
        <v>0</v>
      </c>
      <c r="K819" s="68">
        <v>0</v>
      </c>
      <c r="L819" s="68">
        <v>0</v>
      </c>
      <c r="M819" s="68">
        <v>0</v>
      </c>
      <c r="N819" s="69">
        <v>0</v>
      </c>
      <c r="O819" s="65" t="str">
        <f>VLOOKUP(A819,Report_HQ1!$A$7:$C$95,3,FALSE)</f>
        <v>BV Tuyên Quang</v>
      </c>
      <c r="P819" s="40" t="str">
        <f>VLOOKUP(C819,Sheet1!$U$4:$V$14,2,FALSE)</f>
        <v>Hull (Thân tàu biển)</v>
      </c>
      <c r="Q819" s="88">
        <f t="shared" si="12"/>
        <v>0</v>
      </c>
    </row>
    <row r="820" spans="1:17" x14ac:dyDescent="0.25">
      <c r="A820" s="85" t="s">
        <v>359</v>
      </c>
      <c r="B820" s="65" t="s">
        <v>217</v>
      </c>
      <c r="C820" s="65" t="s">
        <v>23</v>
      </c>
      <c r="D820" s="66">
        <v>0</v>
      </c>
      <c r="E820" s="65">
        <v>305000000</v>
      </c>
      <c r="F820" s="67">
        <v>0</v>
      </c>
      <c r="G820" s="68">
        <v>0</v>
      </c>
      <c r="H820" s="68">
        <v>0</v>
      </c>
      <c r="I820" s="68">
        <v>0</v>
      </c>
      <c r="J820" s="68">
        <v>0</v>
      </c>
      <c r="K820" s="68">
        <v>0</v>
      </c>
      <c r="L820" s="68">
        <v>0</v>
      </c>
      <c r="M820" s="68">
        <v>0</v>
      </c>
      <c r="N820" s="69">
        <v>0</v>
      </c>
      <c r="O820" s="65" t="str">
        <f>VLOOKUP(A820,Report_HQ1!$A$7:$C$95,3,FALSE)</f>
        <v>BV Tuyên Quang</v>
      </c>
      <c r="P820" s="40" t="str">
        <f>VLOOKUP(C820,Sheet1!$U$4:$V$14,2,FALSE)</f>
        <v>P&amp;I</v>
      </c>
      <c r="Q820" s="88">
        <f t="shared" si="12"/>
        <v>0</v>
      </c>
    </row>
    <row r="821" spans="1:17" x14ac:dyDescent="0.25">
      <c r="A821" s="85" t="s">
        <v>359</v>
      </c>
      <c r="B821" s="65" t="s">
        <v>217</v>
      </c>
      <c r="C821" s="65" t="s">
        <v>389</v>
      </c>
      <c r="D821" s="66">
        <v>0</v>
      </c>
      <c r="E821" s="65">
        <v>305000000</v>
      </c>
      <c r="F821" s="67">
        <v>0</v>
      </c>
      <c r="G821" s="68">
        <v>0</v>
      </c>
      <c r="H821" s="68">
        <v>0</v>
      </c>
      <c r="I821" s="68">
        <v>0</v>
      </c>
      <c r="J821" s="68">
        <v>0</v>
      </c>
      <c r="K821" s="68">
        <v>0</v>
      </c>
      <c r="L821" s="68">
        <v>0</v>
      </c>
      <c r="M821" s="68">
        <v>0</v>
      </c>
      <c r="N821" s="69">
        <v>0</v>
      </c>
      <c r="O821" s="65" t="str">
        <f>VLOOKUP(A821,Report_HQ1!$A$7:$C$95,3,FALSE)</f>
        <v>BV Tuyên Quang</v>
      </c>
      <c r="P821" s="40" t="str">
        <f>VLOOKUP(C821,Sheet1!$U$4:$V$14,2,FALSE)</f>
        <v>BH Trách nhiệm</v>
      </c>
      <c r="Q821" s="88">
        <f t="shared" si="12"/>
        <v>0</v>
      </c>
    </row>
    <row r="822" spans="1:17" x14ac:dyDescent="0.25">
      <c r="A822" s="85" t="s">
        <v>359</v>
      </c>
      <c r="B822" s="65" t="s">
        <v>217</v>
      </c>
      <c r="C822" s="65" t="s">
        <v>390</v>
      </c>
      <c r="D822" s="66">
        <v>0</v>
      </c>
      <c r="E822" s="65">
        <v>305000000</v>
      </c>
      <c r="F822" s="67">
        <v>0</v>
      </c>
      <c r="G822" s="68">
        <v>0</v>
      </c>
      <c r="H822" s="68">
        <v>0</v>
      </c>
      <c r="I822" s="68">
        <v>0</v>
      </c>
      <c r="J822" s="68">
        <v>0</v>
      </c>
      <c r="K822" s="68">
        <v>0</v>
      </c>
      <c r="L822" s="68">
        <v>0</v>
      </c>
      <c r="M822" s="68">
        <v>0</v>
      </c>
      <c r="N822" s="69">
        <v>0</v>
      </c>
      <c r="O822" s="65" t="str">
        <f>VLOOKUP(A822,Report_HQ1!$A$7:$C$95,3,FALSE)</f>
        <v>BV Tuyên Quang</v>
      </c>
      <c r="P822" s="40" t="e">
        <f>VLOOKUP(C822,Sheet1!$U$4:$V$14,2,FALSE)</f>
        <v>#N/A</v>
      </c>
      <c r="Q822" s="88">
        <f t="shared" si="12"/>
        <v>0</v>
      </c>
    </row>
    <row r="823" spans="1:17" x14ac:dyDescent="0.25">
      <c r="A823" s="85" t="s">
        <v>359</v>
      </c>
      <c r="B823" s="65" t="s">
        <v>217</v>
      </c>
      <c r="C823" s="65" t="s">
        <v>391</v>
      </c>
      <c r="D823" s="66">
        <v>2280961611</v>
      </c>
      <c r="E823" s="65">
        <v>305000000</v>
      </c>
      <c r="F823" s="67">
        <v>90775326.261089042</v>
      </c>
      <c r="G823" s="68">
        <v>0</v>
      </c>
      <c r="H823" s="68">
        <v>90775326.261089042</v>
      </c>
      <c r="I823" s="68">
        <v>0</v>
      </c>
      <c r="J823" s="68">
        <v>0</v>
      </c>
      <c r="K823" s="68">
        <v>0</v>
      </c>
      <c r="L823" s="68">
        <v>526760876</v>
      </c>
      <c r="M823" s="68">
        <v>76107527</v>
      </c>
      <c r="N823" s="69">
        <v>693643729.26108909</v>
      </c>
      <c r="O823" s="65" t="str">
        <f>VLOOKUP(A823,Report_HQ1!$A$7:$C$95,3,FALSE)</f>
        <v>BV Tuyên Quang</v>
      </c>
      <c r="P823" s="40" t="str">
        <f>VLOOKUP(C823,Sheet1!$U$4:$V$14,2,FALSE)</f>
        <v>BH Kỹ thuật</v>
      </c>
      <c r="Q823" s="88">
        <f t="shared" si="12"/>
        <v>693643729.26108909</v>
      </c>
    </row>
    <row r="824" spans="1:17" x14ac:dyDescent="0.25">
      <c r="A824" s="85" t="s">
        <v>359</v>
      </c>
      <c r="B824" s="65" t="s">
        <v>217</v>
      </c>
      <c r="C824" s="65" t="s">
        <v>392</v>
      </c>
      <c r="D824" s="66">
        <v>757837030</v>
      </c>
      <c r="E824" s="65">
        <v>305000000</v>
      </c>
      <c r="F824" s="67">
        <v>30159606.071066279</v>
      </c>
      <c r="G824" s="68">
        <v>0</v>
      </c>
      <c r="H824" s="68">
        <v>30159606.071066279</v>
      </c>
      <c r="I824" s="68">
        <v>0</v>
      </c>
      <c r="J824" s="68">
        <v>87573</v>
      </c>
      <c r="K824" s="68">
        <v>43786</v>
      </c>
      <c r="L824" s="68">
        <v>418961</v>
      </c>
      <c r="M824" s="68">
        <v>75044</v>
      </c>
      <c r="N824" s="69">
        <v>30784970.071066279</v>
      </c>
      <c r="O824" s="65" t="str">
        <f>VLOOKUP(A824,Report_HQ1!$A$7:$C$95,3,FALSE)</f>
        <v>BV Tuyên Quang</v>
      </c>
      <c r="P824" s="40" t="str">
        <f>VLOOKUP(C824,Sheet1!$U$4:$V$14,2,FALSE)</f>
        <v>BH Tài sản</v>
      </c>
      <c r="Q824" s="88">
        <f t="shared" si="12"/>
        <v>30784970.071066279</v>
      </c>
    </row>
    <row r="825" spans="1:17" x14ac:dyDescent="0.25">
      <c r="A825" s="85" t="s">
        <v>359</v>
      </c>
      <c r="B825" s="65" t="s">
        <v>217</v>
      </c>
      <c r="C825" s="65" t="s">
        <v>393</v>
      </c>
      <c r="D825" s="66">
        <v>1847917711</v>
      </c>
      <c r="E825" s="65">
        <v>305000000</v>
      </c>
      <c r="F825" s="67">
        <v>73541497.722150758</v>
      </c>
      <c r="G825" s="68">
        <v>0</v>
      </c>
      <c r="H825" s="68">
        <v>73541497.722150758</v>
      </c>
      <c r="I825" s="68">
        <v>0</v>
      </c>
      <c r="J825" s="68">
        <v>167451519</v>
      </c>
      <c r="K825" s="68">
        <v>83725759</v>
      </c>
      <c r="L825" s="68">
        <v>173951603</v>
      </c>
      <c r="M825" s="68">
        <v>110089975</v>
      </c>
      <c r="N825" s="69">
        <v>608760353.7221508</v>
      </c>
      <c r="O825" s="65" t="str">
        <f>VLOOKUP(A825,Report_HQ1!$A$7:$C$95,3,FALSE)</f>
        <v>BV Tuyên Quang</v>
      </c>
      <c r="P825" s="40" t="str">
        <f>VLOOKUP(C825,Sheet1!$U$4:$V$14,2,FALSE)</f>
        <v>BH Xe cơ giới</v>
      </c>
      <c r="Q825" s="88">
        <f t="shared" si="12"/>
        <v>608760353.7221508</v>
      </c>
    </row>
    <row r="826" spans="1:17" x14ac:dyDescent="0.25">
      <c r="A826" s="85" t="s">
        <v>359</v>
      </c>
      <c r="B826" s="65" t="s">
        <v>217</v>
      </c>
      <c r="C826" s="65" t="s">
        <v>394</v>
      </c>
      <c r="D826" s="66">
        <v>2427668300</v>
      </c>
      <c r="E826" s="65">
        <v>305000000</v>
      </c>
      <c r="F826" s="67">
        <v>96613805.740285814</v>
      </c>
      <c r="G826" s="68">
        <v>0</v>
      </c>
      <c r="H826" s="68">
        <v>96613805.740285814</v>
      </c>
      <c r="I826" s="68">
        <v>6000</v>
      </c>
      <c r="J826" s="68">
        <v>313942401</v>
      </c>
      <c r="K826" s="68">
        <v>166875</v>
      </c>
      <c r="L826" s="68">
        <v>93073647</v>
      </c>
      <c r="M826" s="68">
        <v>107596284</v>
      </c>
      <c r="N826" s="69">
        <v>611399012.74028587</v>
      </c>
      <c r="O826" s="65" t="str">
        <f>VLOOKUP(A826,Report_HQ1!$A$7:$C$95,3,FALSE)</f>
        <v>BV Tuyên Quang</v>
      </c>
      <c r="P826" s="40" t="str">
        <f>VLOOKUP(C826,Sheet1!$U$4:$V$14,2,FALSE)</f>
        <v>BH Con người</v>
      </c>
      <c r="Q826" s="88">
        <f t="shared" si="12"/>
        <v>611399012.74028587</v>
      </c>
    </row>
    <row r="827" spans="1:17" x14ac:dyDescent="0.25">
      <c r="A827" s="85" t="s">
        <v>359</v>
      </c>
      <c r="B827" s="65" t="s">
        <v>217</v>
      </c>
      <c r="C827" s="65" t="s">
        <v>395</v>
      </c>
      <c r="D827" s="66">
        <v>0</v>
      </c>
      <c r="E827" s="65">
        <v>305000000</v>
      </c>
      <c r="F827" s="67">
        <v>0</v>
      </c>
      <c r="G827" s="68">
        <v>0</v>
      </c>
      <c r="H827" s="68">
        <v>0</v>
      </c>
      <c r="I827" s="68">
        <v>0</v>
      </c>
      <c r="J827" s="68">
        <v>0</v>
      </c>
      <c r="K827" s="68">
        <v>0</v>
      </c>
      <c r="L827" s="68">
        <v>0</v>
      </c>
      <c r="M827" s="68">
        <v>0</v>
      </c>
      <c r="N827" s="69">
        <v>0</v>
      </c>
      <c r="O827" s="65" t="str">
        <f>VLOOKUP(A827,Report_HQ1!$A$7:$C$95,3,FALSE)</f>
        <v>BV Tuyên Quang</v>
      </c>
      <c r="P827" s="40" t="e">
        <f>VLOOKUP(C827,Sheet1!$U$4:$V$14,2,FALSE)</f>
        <v>#N/A</v>
      </c>
      <c r="Q827" s="88">
        <f t="shared" si="12"/>
        <v>0</v>
      </c>
    </row>
    <row r="828" spans="1:17" x14ac:dyDescent="0.25">
      <c r="A828" s="85" t="s">
        <v>359</v>
      </c>
      <c r="B828" s="65" t="s">
        <v>217</v>
      </c>
      <c r="C828" s="65" t="s">
        <v>396</v>
      </c>
      <c r="D828" s="66">
        <v>341868305</v>
      </c>
      <c r="E828" s="65">
        <v>305000000</v>
      </c>
      <c r="F828" s="67">
        <v>13605317.500760207</v>
      </c>
      <c r="G828" s="68">
        <v>0</v>
      </c>
      <c r="H828" s="68">
        <v>13605317.500760207</v>
      </c>
      <c r="I828" s="68">
        <v>0</v>
      </c>
      <c r="J828" s="68">
        <v>68373661</v>
      </c>
      <c r="K828" s="68">
        <v>18110345</v>
      </c>
      <c r="L828" s="68">
        <v>-546104</v>
      </c>
      <c r="M828" s="68">
        <v>25071469</v>
      </c>
      <c r="N828" s="69">
        <v>124614688.50076021</v>
      </c>
      <c r="O828" s="65" t="str">
        <f>VLOOKUP(A828,Report_HQ1!$A$7:$C$95,3,FALSE)</f>
        <v>BV Tuyên Quang</v>
      </c>
      <c r="P828" s="40" t="str">
        <f>VLOOKUP(C828,Sheet1!$U$4:$V$14,2,FALSE)</f>
        <v>BH Y tế</v>
      </c>
      <c r="Q828" s="88">
        <f t="shared" si="12"/>
        <v>124614688.50076021</v>
      </c>
    </row>
    <row r="829" spans="1:17" x14ac:dyDescent="0.25">
      <c r="A829" s="85" t="s">
        <v>359</v>
      </c>
      <c r="B829" s="65" t="s">
        <v>217</v>
      </c>
      <c r="C829" s="65" t="s">
        <v>397</v>
      </c>
      <c r="D829" s="66">
        <v>5550000</v>
      </c>
      <c r="E829" s="65">
        <v>305000000</v>
      </c>
      <c r="F829" s="67">
        <v>220873.09945044233</v>
      </c>
      <c r="G829" s="68">
        <v>0</v>
      </c>
      <c r="H829" s="68">
        <v>220873.09945044233</v>
      </c>
      <c r="I829" s="68">
        <v>0</v>
      </c>
      <c r="J829" s="68">
        <v>1110000</v>
      </c>
      <c r="K829" s="68">
        <v>1110000</v>
      </c>
      <c r="L829" s="68">
        <v>0</v>
      </c>
      <c r="M829" s="68">
        <v>444000</v>
      </c>
      <c r="N829" s="69">
        <v>2884873.099450442</v>
      </c>
      <c r="O829" s="65" t="str">
        <f>VLOOKUP(A829,Report_HQ1!$A$7:$C$95,3,FALSE)</f>
        <v>BV Tuyên Quang</v>
      </c>
      <c r="P829" s="40" t="str">
        <f>VLOOKUP(C829,Sheet1!$U$4:$V$14,2,FALSE)</f>
        <v>BH Du lịch</v>
      </c>
      <c r="Q829" s="88">
        <f t="shared" si="12"/>
        <v>2884873.099450442</v>
      </c>
    </row>
    <row r="830" spans="1:17" x14ac:dyDescent="0.25">
      <c r="A830" s="85" t="s">
        <v>360</v>
      </c>
      <c r="B830" s="65" t="s">
        <v>218</v>
      </c>
      <c r="C830" s="65" t="s">
        <v>387</v>
      </c>
      <c r="D830" s="66">
        <v>307719672</v>
      </c>
      <c r="E830" s="65">
        <v>730500000</v>
      </c>
      <c r="F830" s="67">
        <v>24378682.820072845</v>
      </c>
      <c r="G830" s="68">
        <v>0</v>
      </c>
      <c r="H830" s="68">
        <v>24378682.820072845</v>
      </c>
      <c r="I830" s="68">
        <v>0</v>
      </c>
      <c r="J830" s="68">
        <v>30771967</v>
      </c>
      <c r="K830" s="68">
        <v>15385984</v>
      </c>
      <c r="L830" s="68">
        <v>12308787</v>
      </c>
      <c r="M830" s="68">
        <v>24617573</v>
      </c>
      <c r="N830" s="69">
        <v>107462993.82007284</v>
      </c>
      <c r="O830" s="65" t="str">
        <f>VLOOKUP(A830,Report_HQ1!$A$7:$C$95,3,FALSE)</f>
        <v>BV Vĩnh Long</v>
      </c>
      <c r="P830" s="40" t="str">
        <f>VLOOKUP(C830,Sheet1!$U$4:$V$14,2,FALSE)</f>
        <v>BH Hàng hóa</v>
      </c>
      <c r="Q830" s="88">
        <f t="shared" si="12"/>
        <v>107462993.82007284</v>
      </c>
    </row>
    <row r="831" spans="1:17" x14ac:dyDescent="0.25">
      <c r="A831" s="85" t="s">
        <v>360</v>
      </c>
      <c r="B831" s="65" t="s">
        <v>218</v>
      </c>
      <c r="C831" s="65" t="s">
        <v>272</v>
      </c>
      <c r="D831" s="66">
        <v>275474273</v>
      </c>
      <c r="E831" s="65">
        <v>730500000</v>
      </c>
      <c r="F831" s="67">
        <v>21824083.858236913</v>
      </c>
      <c r="G831" s="68">
        <v>0</v>
      </c>
      <c r="H831" s="68">
        <v>21824083.858236913</v>
      </c>
      <c r="I831" s="68">
        <v>723700</v>
      </c>
      <c r="J831" s="68">
        <v>41321141</v>
      </c>
      <c r="K831" s="68">
        <v>19283199</v>
      </c>
      <c r="L831" s="68">
        <v>2754743</v>
      </c>
      <c r="M831" s="68">
        <v>22037942</v>
      </c>
      <c r="N831" s="69">
        <v>107944808.85823691</v>
      </c>
      <c r="O831" s="65" t="str">
        <f>VLOOKUP(A831,Report_HQ1!$A$7:$C$95,3,FALSE)</f>
        <v>BV Vĩnh Long</v>
      </c>
      <c r="P831" s="40" t="str">
        <f>VLOOKUP(C831,Sheet1!$U$4:$V$14,2,FALSE)</f>
        <v>Tàu khác</v>
      </c>
      <c r="Q831" s="88">
        <f t="shared" si="12"/>
        <v>107944808.85823691</v>
      </c>
    </row>
    <row r="832" spans="1:17" x14ac:dyDescent="0.25">
      <c r="A832" s="85" t="s">
        <v>360</v>
      </c>
      <c r="B832" s="65" t="s">
        <v>218</v>
      </c>
      <c r="C832" s="65" t="s">
        <v>388</v>
      </c>
      <c r="D832" s="66">
        <v>0</v>
      </c>
      <c r="E832" s="65">
        <v>730500000</v>
      </c>
      <c r="F832" s="67">
        <v>0</v>
      </c>
      <c r="G832" s="68">
        <v>0</v>
      </c>
      <c r="H832" s="68">
        <v>0</v>
      </c>
      <c r="I832" s="68">
        <v>0</v>
      </c>
      <c r="J832" s="68">
        <v>0</v>
      </c>
      <c r="K832" s="68">
        <v>0</v>
      </c>
      <c r="L832" s="68">
        <v>0</v>
      </c>
      <c r="M832" s="68">
        <v>0</v>
      </c>
      <c r="N832" s="69">
        <v>0</v>
      </c>
      <c r="O832" s="65" t="str">
        <f>VLOOKUP(A832,Report_HQ1!$A$7:$C$95,3,FALSE)</f>
        <v>BV Vĩnh Long</v>
      </c>
      <c r="P832" s="40" t="str">
        <f>VLOOKUP(C832,Sheet1!$U$4:$V$14,2,FALSE)</f>
        <v>Hull (Thân tàu biển)</v>
      </c>
      <c r="Q832" s="88">
        <f t="shared" si="12"/>
        <v>0</v>
      </c>
    </row>
    <row r="833" spans="1:17" x14ac:dyDescent="0.25">
      <c r="A833" s="85" t="s">
        <v>360</v>
      </c>
      <c r="B833" s="65" t="s">
        <v>218</v>
      </c>
      <c r="C833" s="65" t="s">
        <v>23</v>
      </c>
      <c r="D833" s="66">
        <v>0</v>
      </c>
      <c r="E833" s="65">
        <v>730500000</v>
      </c>
      <c r="F833" s="67">
        <v>0</v>
      </c>
      <c r="G833" s="68">
        <v>0</v>
      </c>
      <c r="H833" s="68">
        <v>0</v>
      </c>
      <c r="I833" s="68">
        <v>0</v>
      </c>
      <c r="J833" s="68">
        <v>0</v>
      </c>
      <c r="K833" s="68">
        <v>0</v>
      </c>
      <c r="L833" s="68">
        <v>0</v>
      </c>
      <c r="M833" s="68">
        <v>0</v>
      </c>
      <c r="N833" s="69">
        <v>0</v>
      </c>
      <c r="O833" s="65" t="str">
        <f>VLOOKUP(A833,Report_HQ1!$A$7:$C$95,3,FALSE)</f>
        <v>BV Vĩnh Long</v>
      </c>
      <c r="P833" s="40" t="str">
        <f>VLOOKUP(C833,Sheet1!$U$4:$V$14,2,FALSE)</f>
        <v>P&amp;I</v>
      </c>
      <c r="Q833" s="88">
        <f t="shared" si="12"/>
        <v>0</v>
      </c>
    </row>
    <row r="834" spans="1:17" x14ac:dyDescent="0.25">
      <c r="A834" s="85" t="s">
        <v>360</v>
      </c>
      <c r="B834" s="65" t="s">
        <v>218</v>
      </c>
      <c r="C834" s="65" t="s">
        <v>389</v>
      </c>
      <c r="D834" s="66">
        <v>2000000</v>
      </c>
      <c r="E834" s="65">
        <v>730500000</v>
      </c>
      <c r="F834" s="67">
        <v>158447.34697411771</v>
      </c>
      <c r="G834" s="68">
        <v>0</v>
      </c>
      <c r="H834" s="68">
        <v>158447.34697411771</v>
      </c>
      <c r="I834" s="68">
        <v>0</v>
      </c>
      <c r="J834" s="68">
        <v>100000</v>
      </c>
      <c r="K834" s="68">
        <v>50000</v>
      </c>
      <c r="L834" s="68">
        <v>150000</v>
      </c>
      <c r="M834" s="68">
        <v>160000</v>
      </c>
      <c r="N834" s="69">
        <v>618447.34697411768</v>
      </c>
      <c r="O834" s="65" t="str">
        <f>VLOOKUP(A834,Report_HQ1!$A$7:$C$95,3,FALSE)</f>
        <v>BV Vĩnh Long</v>
      </c>
      <c r="P834" s="40" t="str">
        <f>VLOOKUP(C834,Sheet1!$U$4:$V$14,2,FALSE)</f>
        <v>BH Trách nhiệm</v>
      </c>
      <c r="Q834" s="88">
        <f t="shared" si="12"/>
        <v>618447.34697411768</v>
      </c>
    </row>
    <row r="835" spans="1:17" x14ac:dyDescent="0.25">
      <c r="A835" s="85" t="s">
        <v>360</v>
      </c>
      <c r="B835" s="65" t="s">
        <v>218</v>
      </c>
      <c r="C835" s="65" t="s">
        <v>390</v>
      </c>
      <c r="D835" s="66">
        <v>0</v>
      </c>
      <c r="E835" s="65">
        <v>730500000</v>
      </c>
      <c r="F835" s="67">
        <v>0</v>
      </c>
      <c r="G835" s="68">
        <v>0</v>
      </c>
      <c r="H835" s="68">
        <v>0</v>
      </c>
      <c r="I835" s="68">
        <v>0</v>
      </c>
      <c r="J835" s="68">
        <v>0</v>
      </c>
      <c r="K835" s="68">
        <v>0</v>
      </c>
      <c r="L835" s="68">
        <v>0</v>
      </c>
      <c r="M835" s="68">
        <v>0</v>
      </c>
      <c r="N835" s="69">
        <v>0</v>
      </c>
      <c r="O835" s="65" t="str">
        <f>VLOOKUP(A835,Report_HQ1!$A$7:$C$95,3,FALSE)</f>
        <v>BV Vĩnh Long</v>
      </c>
      <c r="P835" s="40" t="e">
        <f>VLOOKUP(C835,Sheet1!$U$4:$V$14,2,FALSE)</f>
        <v>#N/A</v>
      </c>
      <c r="Q835" s="88">
        <f t="shared" si="12"/>
        <v>0</v>
      </c>
    </row>
    <row r="836" spans="1:17" x14ac:dyDescent="0.25">
      <c r="A836" s="85" t="s">
        <v>360</v>
      </c>
      <c r="B836" s="65" t="s">
        <v>218</v>
      </c>
      <c r="C836" s="65" t="s">
        <v>391</v>
      </c>
      <c r="D836" s="66">
        <v>-29584939</v>
      </c>
      <c r="E836" s="65">
        <v>730500000</v>
      </c>
      <c r="F836" s="67">
        <v>-2343827.5474705533</v>
      </c>
      <c r="G836" s="68">
        <v>0</v>
      </c>
      <c r="H836" s="68">
        <v>-2343827.5474705533</v>
      </c>
      <c r="I836" s="68">
        <v>0</v>
      </c>
      <c r="J836" s="68">
        <v>-10671221</v>
      </c>
      <c r="K836" s="68">
        <v>-5335611</v>
      </c>
      <c r="L836" s="68">
        <v>-7050093</v>
      </c>
      <c r="M836" s="68">
        <v>-6402733</v>
      </c>
      <c r="N836" s="69">
        <v>-31803485.547470555</v>
      </c>
      <c r="O836" s="65" t="str">
        <f>VLOOKUP(A836,Report_HQ1!$A$7:$C$95,3,FALSE)</f>
        <v>BV Vĩnh Long</v>
      </c>
      <c r="P836" s="40" t="str">
        <f>VLOOKUP(C836,Sheet1!$U$4:$V$14,2,FALSE)</f>
        <v>BH Kỹ thuật</v>
      </c>
      <c r="Q836" s="88">
        <f t="shared" si="12"/>
        <v>-31803485.547470555</v>
      </c>
    </row>
    <row r="837" spans="1:17" x14ac:dyDescent="0.25">
      <c r="A837" s="85" t="s">
        <v>360</v>
      </c>
      <c r="B837" s="65" t="s">
        <v>218</v>
      </c>
      <c r="C837" s="65" t="s">
        <v>392</v>
      </c>
      <c r="D837" s="66">
        <v>2136304811</v>
      </c>
      <c r="E837" s="65">
        <v>730500000</v>
      </c>
      <c r="F837" s="67">
        <v>169245914.81549698</v>
      </c>
      <c r="G837" s="68">
        <v>0</v>
      </c>
      <c r="H837" s="68">
        <v>169245914.81549698</v>
      </c>
      <c r="I837" s="68">
        <v>0</v>
      </c>
      <c r="J837" s="68">
        <v>144528345</v>
      </c>
      <c r="K837" s="68">
        <v>72264172</v>
      </c>
      <c r="L837" s="68">
        <v>95515538</v>
      </c>
      <c r="M837" s="68">
        <v>127745311</v>
      </c>
      <c r="N837" s="69">
        <v>609299280.81549692</v>
      </c>
      <c r="O837" s="65" t="str">
        <f>VLOOKUP(A837,Report_HQ1!$A$7:$C$95,3,FALSE)</f>
        <v>BV Vĩnh Long</v>
      </c>
      <c r="P837" s="40" t="str">
        <f>VLOOKUP(C837,Sheet1!$U$4:$V$14,2,FALSE)</f>
        <v>BH Tài sản</v>
      </c>
      <c r="Q837" s="88">
        <f t="shared" si="12"/>
        <v>609299280.81549692</v>
      </c>
    </row>
    <row r="838" spans="1:17" x14ac:dyDescent="0.25">
      <c r="A838" s="85" t="s">
        <v>360</v>
      </c>
      <c r="B838" s="65" t="s">
        <v>218</v>
      </c>
      <c r="C838" s="65" t="s">
        <v>393</v>
      </c>
      <c r="D838" s="66">
        <v>3793405389</v>
      </c>
      <c r="E838" s="65">
        <v>730500000</v>
      </c>
      <c r="F838" s="67">
        <v>300527509.94218552</v>
      </c>
      <c r="G838" s="68">
        <v>0</v>
      </c>
      <c r="H838" s="68">
        <v>300527509.94218552</v>
      </c>
      <c r="I838" s="68">
        <v>0</v>
      </c>
      <c r="J838" s="68">
        <v>323606173</v>
      </c>
      <c r="K838" s="68">
        <v>164625431</v>
      </c>
      <c r="L838" s="68">
        <v>500493502</v>
      </c>
      <c r="M838" s="68">
        <v>225321813</v>
      </c>
      <c r="N838" s="69">
        <v>1514574428.9421854</v>
      </c>
      <c r="O838" s="65" t="str">
        <f>VLOOKUP(A838,Report_HQ1!$A$7:$C$95,3,FALSE)</f>
        <v>BV Vĩnh Long</v>
      </c>
      <c r="P838" s="40" t="str">
        <f>VLOOKUP(C838,Sheet1!$U$4:$V$14,2,FALSE)</f>
        <v>BH Xe cơ giới</v>
      </c>
      <c r="Q838" s="88">
        <f t="shared" si="12"/>
        <v>1514574428.9421854</v>
      </c>
    </row>
    <row r="839" spans="1:17" x14ac:dyDescent="0.25">
      <c r="A839" s="85" t="s">
        <v>360</v>
      </c>
      <c r="B839" s="65" t="s">
        <v>218</v>
      </c>
      <c r="C839" s="65" t="s">
        <v>394</v>
      </c>
      <c r="D839" s="66">
        <v>1314510606</v>
      </c>
      <c r="E839" s="65">
        <v>730500000</v>
      </c>
      <c r="F839" s="67">
        <v>104140359.04501987</v>
      </c>
      <c r="G839" s="68">
        <v>0</v>
      </c>
      <c r="H839" s="68">
        <v>104140359.04501987</v>
      </c>
      <c r="I839" s="68">
        <v>1382400</v>
      </c>
      <c r="J839" s="68">
        <v>204940717</v>
      </c>
      <c r="K839" s="68">
        <v>11045253</v>
      </c>
      <c r="L839" s="68">
        <v>10897947</v>
      </c>
      <c r="M839" s="68">
        <v>75314184</v>
      </c>
      <c r="N839" s="69">
        <v>407720860.04501987</v>
      </c>
      <c r="O839" s="65" t="str">
        <f>VLOOKUP(A839,Report_HQ1!$A$7:$C$95,3,FALSE)</f>
        <v>BV Vĩnh Long</v>
      </c>
      <c r="P839" s="40" t="str">
        <f>VLOOKUP(C839,Sheet1!$U$4:$V$14,2,FALSE)</f>
        <v>BH Con người</v>
      </c>
      <c r="Q839" s="88">
        <f t="shared" si="12"/>
        <v>407720860.04501987</v>
      </c>
    </row>
    <row r="840" spans="1:17" x14ac:dyDescent="0.25">
      <c r="A840" s="85" t="s">
        <v>360</v>
      </c>
      <c r="B840" s="65" t="s">
        <v>218</v>
      </c>
      <c r="C840" s="65" t="s">
        <v>395</v>
      </c>
      <c r="D840" s="66">
        <v>0</v>
      </c>
      <c r="E840" s="65">
        <v>730500000</v>
      </c>
      <c r="F840" s="67">
        <v>0</v>
      </c>
      <c r="G840" s="68">
        <v>0</v>
      </c>
      <c r="H840" s="68">
        <v>0</v>
      </c>
      <c r="I840" s="68">
        <v>0</v>
      </c>
      <c r="J840" s="68">
        <v>0</v>
      </c>
      <c r="K840" s="68">
        <v>0</v>
      </c>
      <c r="L840" s="68">
        <v>0</v>
      </c>
      <c r="M840" s="68">
        <v>0</v>
      </c>
      <c r="N840" s="69">
        <v>0</v>
      </c>
      <c r="O840" s="65" t="str">
        <f>VLOOKUP(A840,Report_HQ1!$A$7:$C$95,3,FALSE)</f>
        <v>BV Vĩnh Long</v>
      </c>
      <c r="P840" s="40" t="e">
        <f>VLOOKUP(C840,Sheet1!$U$4:$V$14,2,FALSE)</f>
        <v>#N/A</v>
      </c>
      <c r="Q840" s="88">
        <f t="shared" si="12"/>
        <v>0</v>
      </c>
    </row>
    <row r="841" spans="1:17" x14ac:dyDescent="0.25">
      <c r="A841" s="85" t="s">
        <v>360</v>
      </c>
      <c r="B841" s="65" t="s">
        <v>218</v>
      </c>
      <c r="C841" s="65" t="s">
        <v>396</v>
      </c>
      <c r="D841" s="66">
        <v>1401656590</v>
      </c>
      <c r="E841" s="65">
        <v>730500000</v>
      </c>
      <c r="F841" s="67">
        <v>111044384.02714433</v>
      </c>
      <c r="G841" s="68">
        <v>0</v>
      </c>
      <c r="H841" s="68">
        <v>111044384.02714433</v>
      </c>
      <c r="I841" s="68">
        <v>0</v>
      </c>
      <c r="J841" s="68">
        <v>251903318</v>
      </c>
      <c r="K841" s="68">
        <v>159778304</v>
      </c>
      <c r="L841" s="68">
        <v>3467177</v>
      </c>
      <c r="M841" s="68">
        <v>88800758</v>
      </c>
      <c r="N841" s="69">
        <v>614993941.02714431</v>
      </c>
      <c r="O841" s="65" t="str">
        <f>VLOOKUP(A841,Report_HQ1!$A$7:$C$95,3,FALSE)</f>
        <v>BV Vĩnh Long</v>
      </c>
      <c r="P841" s="40" t="str">
        <f>VLOOKUP(C841,Sheet1!$U$4:$V$14,2,FALSE)</f>
        <v>BH Y tế</v>
      </c>
      <c r="Q841" s="88">
        <f t="shared" si="12"/>
        <v>614993941.02714431</v>
      </c>
    </row>
    <row r="842" spans="1:17" x14ac:dyDescent="0.25">
      <c r="A842" s="85" t="s">
        <v>360</v>
      </c>
      <c r="B842" s="65" t="s">
        <v>218</v>
      </c>
      <c r="C842" s="65" t="s">
        <v>397</v>
      </c>
      <c r="D842" s="66">
        <v>19242300</v>
      </c>
      <c r="E842" s="65">
        <v>730500000</v>
      </c>
      <c r="F842" s="67">
        <v>1524445.6923400327</v>
      </c>
      <c r="G842" s="68">
        <v>0</v>
      </c>
      <c r="H842" s="68">
        <v>1524445.6923400327</v>
      </c>
      <c r="I842" s="68">
        <v>0</v>
      </c>
      <c r="J842" s="68">
        <v>3848460</v>
      </c>
      <c r="K842" s="68">
        <v>3848460</v>
      </c>
      <c r="L842" s="68">
        <v>0</v>
      </c>
      <c r="M842" s="68">
        <v>1539384</v>
      </c>
      <c r="N842" s="69">
        <v>10760749.692340033</v>
      </c>
      <c r="O842" s="65" t="str">
        <f>VLOOKUP(A842,Report_HQ1!$A$7:$C$95,3,FALSE)</f>
        <v>BV Vĩnh Long</v>
      </c>
      <c r="P842" s="40" t="str">
        <f>VLOOKUP(C842,Sheet1!$U$4:$V$14,2,FALSE)</f>
        <v>BH Du lịch</v>
      </c>
      <c r="Q842" s="88">
        <f t="shared" si="12"/>
        <v>10760749.692340033</v>
      </c>
    </row>
    <row r="843" spans="1:17" x14ac:dyDescent="0.25">
      <c r="A843" s="85" t="s">
        <v>361</v>
      </c>
      <c r="B843" s="65" t="s">
        <v>219</v>
      </c>
      <c r="C843" s="65" t="s">
        <v>387</v>
      </c>
      <c r="D843" s="66">
        <v>259227173</v>
      </c>
      <c r="E843" s="65">
        <v>591750000</v>
      </c>
      <c r="F843" s="67">
        <v>12805737.54502406</v>
      </c>
      <c r="G843" s="68">
        <v>0</v>
      </c>
      <c r="H843" s="68">
        <v>12805737.54502406</v>
      </c>
      <c r="I843" s="68">
        <v>0</v>
      </c>
      <c r="J843" s="68">
        <v>25922718</v>
      </c>
      <c r="K843" s="68">
        <v>12961358</v>
      </c>
      <c r="L843" s="68">
        <v>10369087</v>
      </c>
      <c r="M843" s="68">
        <v>20738173</v>
      </c>
      <c r="N843" s="69">
        <v>82797073.545024067</v>
      </c>
      <c r="O843" s="65" t="str">
        <f>VLOOKUP(A843,Report_HQ1!$A$7:$C$95,3,FALSE)</f>
        <v>BV Vĩnh Phúc</v>
      </c>
      <c r="P843" s="40" t="str">
        <f>VLOOKUP(C843,Sheet1!$U$4:$V$14,2,FALSE)</f>
        <v>BH Hàng hóa</v>
      </c>
      <c r="Q843" s="88">
        <f t="shared" si="12"/>
        <v>82797073.545024067</v>
      </c>
    </row>
    <row r="844" spans="1:17" x14ac:dyDescent="0.25">
      <c r="A844" s="85" t="s">
        <v>361</v>
      </c>
      <c r="B844" s="65" t="s">
        <v>219</v>
      </c>
      <c r="C844" s="65" t="s">
        <v>272</v>
      </c>
      <c r="D844" s="66">
        <v>39600000</v>
      </c>
      <c r="E844" s="65">
        <v>591750000</v>
      </c>
      <c r="F844" s="67">
        <v>1956227.0456228475</v>
      </c>
      <c r="G844" s="68">
        <v>0</v>
      </c>
      <c r="H844" s="68">
        <v>1956227.0456228475</v>
      </c>
      <c r="I844" s="68">
        <v>198000</v>
      </c>
      <c r="J844" s="68">
        <v>5940000</v>
      </c>
      <c r="K844" s="68">
        <v>2772000</v>
      </c>
      <c r="L844" s="68">
        <v>396000</v>
      </c>
      <c r="M844" s="68">
        <v>3168000</v>
      </c>
      <c r="N844" s="69">
        <v>14430227.045622848</v>
      </c>
      <c r="O844" s="65" t="str">
        <f>VLOOKUP(A844,Report_HQ1!$A$7:$C$95,3,FALSE)</f>
        <v>BV Vĩnh Phúc</v>
      </c>
      <c r="P844" s="40" t="str">
        <f>VLOOKUP(C844,Sheet1!$U$4:$V$14,2,FALSE)</f>
        <v>Tàu khác</v>
      </c>
      <c r="Q844" s="88">
        <f t="shared" ref="Q844:Q907" si="13">N844</f>
        <v>14430227.045622848</v>
      </c>
    </row>
    <row r="845" spans="1:17" x14ac:dyDescent="0.25">
      <c r="A845" s="85" t="s">
        <v>361</v>
      </c>
      <c r="B845" s="65" t="s">
        <v>219</v>
      </c>
      <c r="C845" s="65" t="s">
        <v>388</v>
      </c>
      <c r="D845" s="66">
        <v>0</v>
      </c>
      <c r="E845" s="65">
        <v>591750000</v>
      </c>
      <c r="F845" s="67">
        <v>0</v>
      </c>
      <c r="G845" s="68">
        <v>0</v>
      </c>
      <c r="H845" s="68">
        <v>0</v>
      </c>
      <c r="I845" s="68">
        <v>0</v>
      </c>
      <c r="J845" s="68">
        <v>0</v>
      </c>
      <c r="K845" s="68">
        <v>0</v>
      </c>
      <c r="L845" s="68">
        <v>0</v>
      </c>
      <c r="M845" s="68">
        <v>0</v>
      </c>
      <c r="N845" s="69">
        <v>0</v>
      </c>
      <c r="O845" s="65" t="str">
        <f>VLOOKUP(A845,Report_HQ1!$A$7:$C$95,3,FALSE)</f>
        <v>BV Vĩnh Phúc</v>
      </c>
      <c r="P845" s="40" t="str">
        <f>VLOOKUP(C845,Sheet1!$U$4:$V$14,2,FALSE)</f>
        <v>Hull (Thân tàu biển)</v>
      </c>
      <c r="Q845" s="88">
        <f t="shared" si="13"/>
        <v>0</v>
      </c>
    </row>
    <row r="846" spans="1:17" x14ac:dyDescent="0.25">
      <c r="A846" s="85" t="s">
        <v>361</v>
      </c>
      <c r="B846" s="65" t="s">
        <v>219</v>
      </c>
      <c r="C846" s="65" t="s">
        <v>23</v>
      </c>
      <c r="D846" s="66">
        <v>0</v>
      </c>
      <c r="E846" s="65">
        <v>591750000</v>
      </c>
      <c r="F846" s="67">
        <v>0</v>
      </c>
      <c r="G846" s="68">
        <v>0</v>
      </c>
      <c r="H846" s="68">
        <v>0</v>
      </c>
      <c r="I846" s="68">
        <v>0</v>
      </c>
      <c r="J846" s="68">
        <v>0</v>
      </c>
      <c r="K846" s="68">
        <v>0</v>
      </c>
      <c r="L846" s="68">
        <v>0</v>
      </c>
      <c r="M846" s="68">
        <v>0</v>
      </c>
      <c r="N846" s="69">
        <v>0</v>
      </c>
      <c r="O846" s="65" t="str">
        <f>VLOOKUP(A846,Report_HQ1!$A$7:$C$95,3,FALSE)</f>
        <v>BV Vĩnh Phúc</v>
      </c>
      <c r="P846" s="40" t="str">
        <f>VLOOKUP(C846,Sheet1!$U$4:$V$14,2,FALSE)</f>
        <v>P&amp;I</v>
      </c>
      <c r="Q846" s="88">
        <f t="shared" si="13"/>
        <v>0</v>
      </c>
    </row>
    <row r="847" spans="1:17" x14ac:dyDescent="0.25">
      <c r="A847" s="85" t="s">
        <v>361</v>
      </c>
      <c r="B847" s="65" t="s">
        <v>219</v>
      </c>
      <c r="C847" s="65" t="s">
        <v>389</v>
      </c>
      <c r="D847" s="66">
        <v>183000000</v>
      </c>
      <c r="E847" s="65">
        <v>591750000</v>
      </c>
      <c r="F847" s="67">
        <v>9040140.1350752786</v>
      </c>
      <c r="G847" s="68">
        <v>0</v>
      </c>
      <c r="H847" s="68">
        <v>9040140.1350752786</v>
      </c>
      <c r="I847" s="68">
        <v>0</v>
      </c>
      <c r="J847" s="68">
        <v>9015000</v>
      </c>
      <c r="K847" s="68">
        <v>4507500</v>
      </c>
      <c r="L847" s="68">
        <v>13522500</v>
      </c>
      <c r="M847" s="68">
        <v>14424000</v>
      </c>
      <c r="N847" s="69">
        <v>50509140.135075279</v>
      </c>
      <c r="O847" s="65" t="str">
        <f>VLOOKUP(A847,Report_HQ1!$A$7:$C$95,3,FALSE)</f>
        <v>BV Vĩnh Phúc</v>
      </c>
      <c r="P847" s="40" t="str">
        <f>VLOOKUP(C847,Sheet1!$U$4:$V$14,2,FALSE)</f>
        <v>BH Trách nhiệm</v>
      </c>
      <c r="Q847" s="88">
        <f t="shared" si="13"/>
        <v>50509140.135075279</v>
      </c>
    </row>
    <row r="848" spans="1:17" x14ac:dyDescent="0.25">
      <c r="A848" s="85" t="s">
        <v>361</v>
      </c>
      <c r="B848" s="65" t="s">
        <v>219</v>
      </c>
      <c r="C848" s="65" t="s">
        <v>390</v>
      </c>
      <c r="D848" s="66">
        <v>0</v>
      </c>
      <c r="E848" s="65">
        <v>591750000</v>
      </c>
      <c r="F848" s="67">
        <v>0</v>
      </c>
      <c r="G848" s="68">
        <v>0</v>
      </c>
      <c r="H848" s="68">
        <v>0</v>
      </c>
      <c r="I848" s="68">
        <v>0</v>
      </c>
      <c r="J848" s="68">
        <v>0</v>
      </c>
      <c r="K848" s="68">
        <v>0</v>
      </c>
      <c r="L848" s="68">
        <v>0</v>
      </c>
      <c r="M848" s="68">
        <v>0</v>
      </c>
      <c r="N848" s="69">
        <v>0</v>
      </c>
      <c r="O848" s="65" t="str">
        <f>VLOOKUP(A848,Report_HQ1!$A$7:$C$95,3,FALSE)</f>
        <v>BV Vĩnh Phúc</v>
      </c>
      <c r="P848" s="40" t="e">
        <f>VLOOKUP(C848,Sheet1!$U$4:$V$14,2,FALSE)</f>
        <v>#N/A</v>
      </c>
      <c r="Q848" s="88">
        <f t="shared" si="13"/>
        <v>0</v>
      </c>
    </row>
    <row r="849" spans="1:17" x14ac:dyDescent="0.25">
      <c r="A849" s="85" t="s">
        <v>361</v>
      </c>
      <c r="B849" s="65" t="s">
        <v>219</v>
      </c>
      <c r="C849" s="65" t="s">
        <v>391</v>
      </c>
      <c r="D849" s="66">
        <v>261354408</v>
      </c>
      <c r="E849" s="65">
        <v>591750000</v>
      </c>
      <c r="F849" s="67">
        <v>12910822.258140108</v>
      </c>
      <c r="G849" s="68">
        <v>0</v>
      </c>
      <c r="H849" s="68">
        <v>12910822.258140108</v>
      </c>
      <c r="I849" s="68">
        <v>0</v>
      </c>
      <c r="J849" s="68">
        <v>3636364</v>
      </c>
      <c r="K849" s="68">
        <v>1818182</v>
      </c>
      <c r="L849" s="68">
        <v>3636364</v>
      </c>
      <c r="M849" s="68">
        <v>2181818</v>
      </c>
      <c r="N849" s="69">
        <v>24183550.258140109</v>
      </c>
      <c r="O849" s="65" t="str">
        <f>VLOOKUP(A849,Report_HQ1!$A$7:$C$95,3,FALSE)</f>
        <v>BV Vĩnh Phúc</v>
      </c>
      <c r="P849" s="40" t="str">
        <f>VLOOKUP(C849,Sheet1!$U$4:$V$14,2,FALSE)</f>
        <v>BH Kỹ thuật</v>
      </c>
      <c r="Q849" s="88">
        <f t="shared" si="13"/>
        <v>24183550.258140109</v>
      </c>
    </row>
    <row r="850" spans="1:17" x14ac:dyDescent="0.25">
      <c r="A850" s="85" t="s">
        <v>361</v>
      </c>
      <c r="B850" s="65" t="s">
        <v>219</v>
      </c>
      <c r="C850" s="65" t="s">
        <v>392</v>
      </c>
      <c r="D850" s="66">
        <v>2506134776</v>
      </c>
      <c r="E850" s="65">
        <v>591750000</v>
      </c>
      <c r="F850" s="67">
        <v>123802238.10068578</v>
      </c>
      <c r="G850" s="68">
        <v>0</v>
      </c>
      <c r="H850" s="68">
        <v>123802238.10068578</v>
      </c>
      <c r="I850" s="68">
        <v>0</v>
      </c>
      <c r="J850" s="68">
        <v>60948609</v>
      </c>
      <c r="K850" s="68">
        <v>30474306</v>
      </c>
      <c r="L850" s="68">
        <v>121711939</v>
      </c>
      <c r="M850" s="68">
        <v>71910657</v>
      </c>
      <c r="N850" s="69">
        <v>408847749.10068578</v>
      </c>
      <c r="O850" s="65" t="str">
        <f>VLOOKUP(A850,Report_HQ1!$A$7:$C$95,3,FALSE)</f>
        <v>BV Vĩnh Phúc</v>
      </c>
      <c r="P850" s="40" t="str">
        <f>VLOOKUP(C850,Sheet1!$U$4:$V$14,2,FALSE)</f>
        <v>BH Tài sản</v>
      </c>
      <c r="Q850" s="88">
        <f t="shared" si="13"/>
        <v>408847749.10068578</v>
      </c>
    </row>
    <row r="851" spans="1:17" x14ac:dyDescent="0.25">
      <c r="A851" s="85" t="s">
        <v>361</v>
      </c>
      <c r="B851" s="65" t="s">
        <v>219</v>
      </c>
      <c r="C851" s="65" t="s">
        <v>393</v>
      </c>
      <c r="D851" s="66">
        <v>2075471381</v>
      </c>
      <c r="E851" s="65">
        <v>591750000</v>
      </c>
      <c r="F851" s="67">
        <v>102527607.27091922</v>
      </c>
      <c r="G851" s="68">
        <v>0</v>
      </c>
      <c r="H851" s="68">
        <v>102527607.27091922</v>
      </c>
      <c r="I851" s="68">
        <v>0</v>
      </c>
      <c r="J851" s="68">
        <v>194661026</v>
      </c>
      <c r="K851" s="68">
        <v>97330513</v>
      </c>
      <c r="L851" s="68">
        <v>170116895</v>
      </c>
      <c r="M851" s="68">
        <v>124486007</v>
      </c>
      <c r="N851" s="69">
        <v>689122048.2709192</v>
      </c>
      <c r="O851" s="65" t="str">
        <f>VLOOKUP(A851,Report_HQ1!$A$7:$C$95,3,FALSE)</f>
        <v>BV Vĩnh Phúc</v>
      </c>
      <c r="P851" s="40" t="str">
        <f>VLOOKUP(C851,Sheet1!$U$4:$V$14,2,FALSE)</f>
        <v>BH Xe cơ giới</v>
      </c>
      <c r="Q851" s="88">
        <f t="shared" si="13"/>
        <v>689122048.2709192</v>
      </c>
    </row>
    <row r="852" spans="1:17" x14ac:dyDescent="0.25">
      <c r="A852" s="85" t="s">
        <v>361</v>
      </c>
      <c r="B852" s="65" t="s">
        <v>219</v>
      </c>
      <c r="C852" s="65" t="s">
        <v>394</v>
      </c>
      <c r="D852" s="66">
        <v>3882365499</v>
      </c>
      <c r="E852" s="65">
        <v>591750000</v>
      </c>
      <c r="F852" s="67">
        <v>191787585.60951623</v>
      </c>
      <c r="G852" s="68">
        <v>0</v>
      </c>
      <c r="H852" s="68">
        <v>191787585.60951623</v>
      </c>
      <c r="I852" s="68">
        <v>25000</v>
      </c>
      <c r="J852" s="68">
        <v>561400723</v>
      </c>
      <c r="K852" s="68">
        <v>91578642</v>
      </c>
      <c r="L852" s="68">
        <v>307552951</v>
      </c>
      <c r="M852" s="68">
        <v>180723023</v>
      </c>
      <c r="N852" s="69">
        <v>1333067924.6095161</v>
      </c>
      <c r="O852" s="65" t="str">
        <f>VLOOKUP(A852,Report_HQ1!$A$7:$C$95,3,FALSE)</f>
        <v>BV Vĩnh Phúc</v>
      </c>
      <c r="P852" s="40" t="str">
        <f>VLOOKUP(C852,Sheet1!$U$4:$V$14,2,FALSE)</f>
        <v>BH Con người</v>
      </c>
      <c r="Q852" s="88">
        <f t="shared" si="13"/>
        <v>1333067924.6095161</v>
      </c>
    </row>
    <row r="853" spans="1:17" x14ac:dyDescent="0.25">
      <c r="A853" s="85" t="s">
        <v>361</v>
      </c>
      <c r="B853" s="65" t="s">
        <v>219</v>
      </c>
      <c r="C853" s="65" t="s">
        <v>395</v>
      </c>
      <c r="D853" s="66">
        <v>0</v>
      </c>
      <c r="E853" s="65">
        <v>591750000</v>
      </c>
      <c r="F853" s="67">
        <v>0</v>
      </c>
      <c r="G853" s="68">
        <v>0</v>
      </c>
      <c r="H853" s="68">
        <v>0</v>
      </c>
      <c r="I853" s="68">
        <v>0</v>
      </c>
      <c r="J853" s="68">
        <v>0</v>
      </c>
      <c r="K853" s="68">
        <v>0</v>
      </c>
      <c r="L853" s="68">
        <v>0</v>
      </c>
      <c r="M853" s="68">
        <v>0</v>
      </c>
      <c r="N853" s="69">
        <v>0</v>
      </c>
      <c r="O853" s="65" t="str">
        <f>VLOOKUP(A853,Report_HQ1!$A$7:$C$95,3,FALSE)</f>
        <v>BV Vĩnh Phúc</v>
      </c>
      <c r="P853" s="40" t="e">
        <f>VLOOKUP(C853,Sheet1!$U$4:$V$14,2,FALSE)</f>
        <v>#N/A</v>
      </c>
      <c r="Q853" s="88">
        <f t="shared" si="13"/>
        <v>0</v>
      </c>
    </row>
    <row r="854" spans="1:17" x14ac:dyDescent="0.25">
      <c r="A854" s="85" t="s">
        <v>361</v>
      </c>
      <c r="B854" s="65" t="s">
        <v>219</v>
      </c>
      <c r="C854" s="65" t="s">
        <v>396</v>
      </c>
      <c r="D854" s="66">
        <v>2715978627</v>
      </c>
      <c r="E854" s="65">
        <v>591750000</v>
      </c>
      <c r="F854" s="67">
        <v>134168455.69371231</v>
      </c>
      <c r="G854" s="68">
        <v>0</v>
      </c>
      <c r="H854" s="68">
        <v>134168455.69371231</v>
      </c>
      <c r="I854" s="68">
        <v>0</v>
      </c>
      <c r="J854" s="68">
        <v>469393902</v>
      </c>
      <c r="K854" s="68">
        <v>99197514</v>
      </c>
      <c r="L854" s="68">
        <v>7119584</v>
      </c>
      <c r="M854" s="68">
        <v>153162283</v>
      </c>
      <c r="N854" s="69">
        <v>863041738.69371235</v>
      </c>
      <c r="O854" s="65" t="str">
        <f>VLOOKUP(A854,Report_HQ1!$A$7:$C$95,3,FALSE)</f>
        <v>BV Vĩnh Phúc</v>
      </c>
      <c r="P854" s="40" t="str">
        <f>VLOOKUP(C854,Sheet1!$U$4:$V$14,2,FALSE)</f>
        <v>BH Y tế</v>
      </c>
      <c r="Q854" s="88">
        <f t="shared" si="13"/>
        <v>863041738.69371235</v>
      </c>
    </row>
    <row r="855" spans="1:17" x14ac:dyDescent="0.25">
      <c r="A855" s="85" t="s">
        <v>361</v>
      </c>
      <c r="B855" s="65" t="s">
        <v>219</v>
      </c>
      <c r="C855" s="65" t="s">
        <v>397</v>
      </c>
      <c r="D855" s="66">
        <v>55692400</v>
      </c>
      <c r="E855" s="65">
        <v>591750000</v>
      </c>
      <c r="F855" s="67">
        <v>2751186.3413041886</v>
      </c>
      <c r="G855" s="68">
        <v>0</v>
      </c>
      <c r="H855" s="68">
        <v>2751186.3413041886</v>
      </c>
      <c r="I855" s="68">
        <v>0</v>
      </c>
      <c r="J855" s="68">
        <v>11138480</v>
      </c>
      <c r="K855" s="68">
        <v>11138480</v>
      </c>
      <c r="L855" s="68">
        <v>0</v>
      </c>
      <c r="M855" s="68">
        <v>4455392</v>
      </c>
      <c r="N855" s="69">
        <v>29483538.34130419</v>
      </c>
      <c r="O855" s="65" t="str">
        <f>VLOOKUP(A855,Report_HQ1!$A$7:$C$95,3,FALSE)</f>
        <v>BV Vĩnh Phúc</v>
      </c>
      <c r="P855" s="40" t="str">
        <f>VLOOKUP(C855,Sheet1!$U$4:$V$14,2,FALSE)</f>
        <v>BH Du lịch</v>
      </c>
      <c r="Q855" s="88">
        <f t="shared" si="13"/>
        <v>29483538.34130419</v>
      </c>
    </row>
    <row r="856" spans="1:17" x14ac:dyDescent="0.25">
      <c r="A856" s="85" t="s">
        <v>362</v>
      </c>
      <c r="B856" s="65" t="s">
        <v>220</v>
      </c>
      <c r="C856" s="65" t="s">
        <v>387</v>
      </c>
      <c r="D856" s="66">
        <v>0</v>
      </c>
      <c r="E856" s="65">
        <v>353750000</v>
      </c>
      <c r="F856" s="67">
        <v>0</v>
      </c>
      <c r="G856" s="68">
        <v>0</v>
      </c>
      <c r="H856" s="68">
        <v>0</v>
      </c>
      <c r="I856" s="68">
        <v>0</v>
      </c>
      <c r="J856" s="68">
        <v>0</v>
      </c>
      <c r="K856" s="68">
        <v>0</v>
      </c>
      <c r="L856" s="68">
        <v>0</v>
      </c>
      <c r="M856" s="68">
        <v>0</v>
      </c>
      <c r="N856" s="69">
        <v>0</v>
      </c>
      <c r="O856" s="65" t="str">
        <f>VLOOKUP(A856,Report_HQ1!$A$7:$C$95,3,FALSE)</f>
        <v>BV Yên Bái</v>
      </c>
      <c r="P856" s="40" t="str">
        <f>VLOOKUP(C856,Sheet1!$U$4:$V$14,2,FALSE)</f>
        <v>BH Hàng hóa</v>
      </c>
      <c r="Q856" s="88">
        <f t="shared" si="13"/>
        <v>0</v>
      </c>
    </row>
    <row r="857" spans="1:17" x14ac:dyDescent="0.25">
      <c r="A857" s="85" t="s">
        <v>362</v>
      </c>
      <c r="B857" s="65" t="s">
        <v>220</v>
      </c>
      <c r="C857" s="65" t="s">
        <v>272</v>
      </c>
      <c r="D857" s="66">
        <v>0</v>
      </c>
      <c r="E857" s="65">
        <v>353750000</v>
      </c>
      <c r="F857" s="67">
        <v>0</v>
      </c>
      <c r="G857" s="68">
        <v>0</v>
      </c>
      <c r="H857" s="68">
        <v>0</v>
      </c>
      <c r="I857" s="68">
        <v>0</v>
      </c>
      <c r="J857" s="68">
        <v>0</v>
      </c>
      <c r="K857" s="68">
        <v>0</v>
      </c>
      <c r="L857" s="68">
        <v>0</v>
      </c>
      <c r="M857" s="68">
        <v>0</v>
      </c>
      <c r="N857" s="69">
        <v>0</v>
      </c>
      <c r="O857" s="65" t="str">
        <f>VLOOKUP(A857,Report_HQ1!$A$7:$C$95,3,FALSE)</f>
        <v>BV Yên Bái</v>
      </c>
      <c r="P857" s="40" t="str">
        <f>VLOOKUP(C857,Sheet1!$U$4:$V$14,2,FALSE)</f>
        <v>Tàu khác</v>
      </c>
      <c r="Q857" s="88">
        <f t="shared" si="13"/>
        <v>0</v>
      </c>
    </row>
    <row r="858" spans="1:17" x14ac:dyDescent="0.25">
      <c r="A858" s="85" t="s">
        <v>362</v>
      </c>
      <c r="B858" s="65" t="s">
        <v>220</v>
      </c>
      <c r="C858" s="65" t="s">
        <v>388</v>
      </c>
      <c r="D858" s="66">
        <v>0</v>
      </c>
      <c r="E858" s="65">
        <v>353750000</v>
      </c>
      <c r="F858" s="67">
        <v>0</v>
      </c>
      <c r="G858" s="68">
        <v>0</v>
      </c>
      <c r="H858" s="68">
        <v>0</v>
      </c>
      <c r="I858" s="68">
        <v>0</v>
      </c>
      <c r="J858" s="68">
        <v>0</v>
      </c>
      <c r="K858" s="68">
        <v>0</v>
      </c>
      <c r="L858" s="68">
        <v>0</v>
      </c>
      <c r="M858" s="68">
        <v>0</v>
      </c>
      <c r="N858" s="69">
        <v>0</v>
      </c>
      <c r="O858" s="65" t="str">
        <f>VLOOKUP(A858,Report_HQ1!$A$7:$C$95,3,FALSE)</f>
        <v>BV Yên Bái</v>
      </c>
      <c r="P858" s="40" t="str">
        <f>VLOOKUP(C858,Sheet1!$U$4:$V$14,2,FALSE)</f>
        <v>Hull (Thân tàu biển)</v>
      </c>
      <c r="Q858" s="88">
        <f t="shared" si="13"/>
        <v>0</v>
      </c>
    </row>
    <row r="859" spans="1:17" x14ac:dyDescent="0.25">
      <c r="A859" s="85" t="s">
        <v>362</v>
      </c>
      <c r="B859" s="65" t="s">
        <v>220</v>
      </c>
      <c r="C859" s="65" t="s">
        <v>23</v>
      </c>
      <c r="D859" s="66">
        <v>0</v>
      </c>
      <c r="E859" s="65">
        <v>353750000</v>
      </c>
      <c r="F859" s="67">
        <v>0</v>
      </c>
      <c r="G859" s="68">
        <v>0</v>
      </c>
      <c r="H859" s="68">
        <v>0</v>
      </c>
      <c r="I859" s="68">
        <v>0</v>
      </c>
      <c r="J859" s="68">
        <v>0</v>
      </c>
      <c r="K859" s="68">
        <v>0</v>
      </c>
      <c r="L859" s="68">
        <v>0</v>
      </c>
      <c r="M859" s="68">
        <v>0</v>
      </c>
      <c r="N859" s="69">
        <v>0</v>
      </c>
      <c r="O859" s="65" t="str">
        <f>VLOOKUP(A859,Report_HQ1!$A$7:$C$95,3,FALSE)</f>
        <v>BV Yên Bái</v>
      </c>
      <c r="P859" s="40" t="str">
        <f>VLOOKUP(C859,Sheet1!$U$4:$V$14,2,FALSE)</f>
        <v>P&amp;I</v>
      </c>
      <c r="Q859" s="88">
        <f t="shared" si="13"/>
        <v>0</v>
      </c>
    </row>
    <row r="860" spans="1:17" x14ac:dyDescent="0.25">
      <c r="A860" s="85" t="s">
        <v>362</v>
      </c>
      <c r="B860" s="65" t="s">
        <v>220</v>
      </c>
      <c r="C860" s="65" t="s">
        <v>389</v>
      </c>
      <c r="D860" s="66">
        <v>0</v>
      </c>
      <c r="E860" s="65">
        <v>353750000</v>
      </c>
      <c r="F860" s="67">
        <v>0</v>
      </c>
      <c r="G860" s="68">
        <v>0</v>
      </c>
      <c r="H860" s="68">
        <v>0</v>
      </c>
      <c r="I860" s="68">
        <v>0</v>
      </c>
      <c r="J860" s="68">
        <v>0</v>
      </c>
      <c r="K860" s="68">
        <v>0</v>
      </c>
      <c r="L860" s="68">
        <v>0</v>
      </c>
      <c r="M860" s="68">
        <v>0</v>
      </c>
      <c r="N860" s="69">
        <v>0</v>
      </c>
      <c r="O860" s="65" t="str">
        <f>VLOOKUP(A860,Report_HQ1!$A$7:$C$95,3,FALSE)</f>
        <v>BV Yên Bái</v>
      </c>
      <c r="P860" s="40" t="str">
        <f>VLOOKUP(C860,Sheet1!$U$4:$V$14,2,FALSE)</f>
        <v>BH Trách nhiệm</v>
      </c>
      <c r="Q860" s="88">
        <f t="shared" si="13"/>
        <v>0</v>
      </c>
    </row>
    <row r="861" spans="1:17" x14ac:dyDescent="0.25">
      <c r="A861" s="85" t="s">
        <v>362</v>
      </c>
      <c r="B861" s="65" t="s">
        <v>220</v>
      </c>
      <c r="C861" s="65" t="s">
        <v>390</v>
      </c>
      <c r="D861" s="66">
        <v>0</v>
      </c>
      <c r="E861" s="65">
        <v>353750000</v>
      </c>
      <c r="F861" s="67">
        <v>0</v>
      </c>
      <c r="G861" s="68">
        <v>0</v>
      </c>
      <c r="H861" s="68">
        <v>0</v>
      </c>
      <c r="I861" s="68">
        <v>0</v>
      </c>
      <c r="J861" s="68">
        <v>0</v>
      </c>
      <c r="K861" s="68">
        <v>0</v>
      </c>
      <c r="L861" s="68">
        <v>0</v>
      </c>
      <c r="M861" s="68">
        <v>0</v>
      </c>
      <c r="N861" s="69">
        <v>0</v>
      </c>
      <c r="O861" s="65" t="str">
        <f>VLOOKUP(A861,Report_HQ1!$A$7:$C$95,3,FALSE)</f>
        <v>BV Yên Bái</v>
      </c>
      <c r="P861" s="40" t="e">
        <f>VLOOKUP(C861,Sheet1!$U$4:$V$14,2,FALSE)</f>
        <v>#N/A</v>
      </c>
      <c r="Q861" s="88">
        <f t="shared" si="13"/>
        <v>0</v>
      </c>
    </row>
    <row r="862" spans="1:17" x14ac:dyDescent="0.25">
      <c r="A862" s="85" t="s">
        <v>362</v>
      </c>
      <c r="B862" s="65" t="s">
        <v>220</v>
      </c>
      <c r="C862" s="65" t="s">
        <v>391</v>
      </c>
      <c r="D862" s="66">
        <v>29881356</v>
      </c>
      <c r="E862" s="65">
        <v>353750000</v>
      </c>
      <c r="F862" s="67">
        <v>3044069.191192863</v>
      </c>
      <c r="G862" s="68">
        <v>0</v>
      </c>
      <c r="H862" s="68">
        <v>3044069.191192863</v>
      </c>
      <c r="I862" s="68">
        <v>0</v>
      </c>
      <c r="J862" s="68">
        <v>0</v>
      </c>
      <c r="K862" s="68">
        <v>0</v>
      </c>
      <c r="L862" s="68">
        <v>0</v>
      </c>
      <c r="M862" s="68">
        <v>0</v>
      </c>
      <c r="N862" s="69">
        <v>3044069.191192863</v>
      </c>
      <c r="O862" s="65" t="str">
        <f>VLOOKUP(A862,Report_HQ1!$A$7:$C$95,3,FALSE)</f>
        <v>BV Yên Bái</v>
      </c>
      <c r="P862" s="40" t="str">
        <f>VLOOKUP(C862,Sheet1!$U$4:$V$14,2,FALSE)</f>
        <v>BH Kỹ thuật</v>
      </c>
      <c r="Q862" s="88">
        <f t="shared" si="13"/>
        <v>3044069.191192863</v>
      </c>
    </row>
    <row r="863" spans="1:17" x14ac:dyDescent="0.25">
      <c r="A863" s="85" t="s">
        <v>362</v>
      </c>
      <c r="B863" s="65" t="s">
        <v>220</v>
      </c>
      <c r="C863" s="65" t="s">
        <v>392</v>
      </c>
      <c r="D863" s="66">
        <v>21774579</v>
      </c>
      <c r="E863" s="65">
        <v>353750000</v>
      </c>
      <c r="F863" s="67">
        <v>2218216.7731978125</v>
      </c>
      <c r="G863" s="68">
        <v>0</v>
      </c>
      <c r="H863" s="68">
        <v>2218216.7731978125</v>
      </c>
      <c r="I863" s="68">
        <v>0</v>
      </c>
      <c r="J863" s="68">
        <v>1304958</v>
      </c>
      <c r="K863" s="68">
        <v>652479</v>
      </c>
      <c r="L863" s="68">
        <v>3784378</v>
      </c>
      <c r="M863" s="68">
        <v>835475</v>
      </c>
      <c r="N863" s="69">
        <v>8795506.773197813</v>
      </c>
      <c r="O863" s="65" t="str">
        <f>VLOOKUP(A863,Report_HQ1!$A$7:$C$95,3,FALSE)</f>
        <v>BV Yên Bái</v>
      </c>
      <c r="P863" s="40" t="str">
        <f>VLOOKUP(C863,Sheet1!$U$4:$V$14,2,FALSE)</f>
        <v>BH Tài sản</v>
      </c>
      <c r="Q863" s="88">
        <f t="shared" si="13"/>
        <v>8795506.773197813</v>
      </c>
    </row>
    <row r="864" spans="1:17" x14ac:dyDescent="0.25">
      <c r="A864" s="85" t="s">
        <v>362</v>
      </c>
      <c r="B864" s="65" t="s">
        <v>220</v>
      </c>
      <c r="C864" s="65" t="s">
        <v>393</v>
      </c>
      <c r="D864" s="66">
        <v>1815372209</v>
      </c>
      <c r="E864" s="65">
        <v>353750000</v>
      </c>
      <c r="F864" s="67">
        <v>184935335.99896306</v>
      </c>
      <c r="G864" s="68">
        <v>0</v>
      </c>
      <c r="H864" s="68">
        <v>184935335.99896306</v>
      </c>
      <c r="I864" s="68">
        <v>0</v>
      </c>
      <c r="J864" s="68">
        <v>160956474</v>
      </c>
      <c r="K864" s="68">
        <v>80478237</v>
      </c>
      <c r="L864" s="68">
        <v>231472912</v>
      </c>
      <c r="M864" s="68">
        <v>108171706</v>
      </c>
      <c r="N864" s="69">
        <v>766014664.99896312</v>
      </c>
      <c r="O864" s="65" t="str">
        <f>VLOOKUP(A864,Report_HQ1!$A$7:$C$95,3,FALSE)</f>
        <v>BV Yên Bái</v>
      </c>
      <c r="P864" s="40" t="str">
        <f>VLOOKUP(C864,Sheet1!$U$4:$V$14,2,FALSE)</f>
        <v>BH Xe cơ giới</v>
      </c>
      <c r="Q864" s="88">
        <f t="shared" si="13"/>
        <v>766014664.99896312</v>
      </c>
    </row>
    <row r="865" spans="1:17" x14ac:dyDescent="0.25">
      <c r="A865" s="85" t="s">
        <v>362</v>
      </c>
      <c r="B865" s="65" t="s">
        <v>220</v>
      </c>
      <c r="C865" s="65" t="s">
        <v>394</v>
      </c>
      <c r="D865" s="66">
        <v>1472889865</v>
      </c>
      <c r="E865" s="65">
        <v>353750000</v>
      </c>
      <c r="F865" s="67">
        <v>150046024.01801023</v>
      </c>
      <c r="G865" s="68">
        <v>0</v>
      </c>
      <c r="H865" s="68">
        <v>150046024.01801023</v>
      </c>
      <c r="I865" s="68">
        <v>120000</v>
      </c>
      <c r="J865" s="68">
        <v>206612902</v>
      </c>
      <c r="K865" s="68">
        <v>234500</v>
      </c>
      <c r="L865" s="68">
        <v>44222738</v>
      </c>
      <c r="M865" s="68">
        <v>68452930</v>
      </c>
      <c r="N865" s="69">
        <v>469689094.01801026</v>
      </c>
      <c r="O865" s="65" t="str">
        <f>VLOOKUP(A865,Report_HQ1!$A$7:$C$95,3,FALSE)</f>
        <v>BV Yên Bái</v>
      </c>
      <c r="P865" s="40" t="str">
        <f>VLOOKUP(C865,Sheet1!$U$4:$V$14,2,FALSE)</f>
        <v>BH Con người</v>
      </c>
      <c r="Q865" s="88">
        <f t="shared" si="13"/>
        <v>469689094.01801026</v>
      </c>
    </row>
    <row r="866" spans="1:17" x14ac:dyDescent="0.25">
      <c r="A866" s="85" t="s">
        <v>362</v>
      </c>
      <c r="B866" s="65" t="s">
        <v>220</v>
      </c>
      <c r="C866" s="65" t="s">
        <v>395</v>
      </c>
      <c r="D866" s="66">
        <v>0</v>
      </c>
      <c r="E866" s="65">
        <v>353750000</v>
      </c>
      <c r="F866" s="67">
        <v>0</v>
      </c>
      <c r="G866" s="68">
        <v>0</v>
      </c>
      <c r="H866" s="68">
        <v>0</v>
      </c>
      <c r="I866" s="68">
        <v>0</v>
      </c>
      <c r="J866" s="68">
        <v>0</v>
      </c>
      <c r="K866" s="68">
        <v>0</v>
      </c>
      <c r="L866" s="68">
        <v>0</v>
      </c>
      <c r="M866" s="68">
        <v>0</v>
      </c>
      <c r="N866" s="69">
        <v>0</v>
      </c>
      <c r="O866" s="65" t="str">
        <f>VLOOKUP(A866,Report_HQ1!$A$7:$C$95,3,FALSE)</f>
        <v>BV Yên Bái</v>
      </c>
      <c r="P866" s="40" t="e">
        <f>VLOOKUP(C866,Sheet1!$U$4:$V$14,2,FALSE)</f>
        <v>#N/A</v>
      </c>
      <c r="Q866" s="88">
        <f t="shared" si="13"/>
        <v>0</v>
      </c>
    </row>
    <row r="867" spans="1:17" x14ac:dyDescent="0.25">
      <c r="A867" s="85" t="s">
        <v>362</v>
      </c>
      <c r="B867" s="65" t="s">
        <v>220</v>
      </c>
      <c r="C867" s="65" t="s">
        <v>396</v>
      </c>
      <c r="D867" s="66">
        <v>106144300</v>
      </c>
      <c r="E867" s="65">
        <v>353750000</v>
      </c>
      <c r="F867" s="67">
        <v>10813116.829461575</v>
      </c>
      <c r="G867" s="68">
        <v>0</v>
      </c>
      <c r="H867" s="68">
        <v>10813116.829461575</v>
      </c>
      <c r="I867" s="68">
        <v>0</v>
      </c>
      <c r="J867" s="68">
        <v>21228860</v>
      </c>
      <c r="K867" s="68">
        <v>7496382</v>
      </c>
      <c r="L867" s="68">
        <v>715438</v>
      </c>
      <c r="M867" s="68">
        <v>8175258</v>
      </c>
      <c r="N867" s="69">
        <v>48429054.829461575</v>
      </c>
      <c r="O867" s="65" t="str">
        <f>VLOOKUP(A867,Report_HQ1!$A$7:$C$95,3,FALSE)</f>
        <v>BV Yên Bái</v>
      </c>
      <c r="P867" s="40" t="str">
        <f>VLOOKUP(C867,Sheet1!$U$4:$V$14,2,FALSE)</f>
        <v>BH Y tế</v>
      </c>
      <c r="Q867" s="88">
        <f t="shared" si="13"/>
        <v>48429054.829461575</v>
      </c>
    </row>
    <row r="868" spans="1:17" x14ac:dyDescent="0.25">
      <c r="A868" s="85" t="s">
        <v>362</v>
      </c>
      <c r="B868" s="65" t="s">
        <v>220</v>
      </c>
      <c r="C868" s="65" t="s">
        <v>397</v>
      </c>
      <c r="D868" s="66">
        <v>26437500</v>
      </c>
      <c r="E868" s="65">
        <v>353750000</v>
      </c>
      <c r="F868" s="67">
        <v>2693237.1891744575</v>
      </c>
      <c r="G868" s="68">
        <v>0</v>
      </c>
      <c r="H868" s="68">
        <v>2693237.1891744575</v>
      </c>
      <c r="I868" s="68">
        <v>0</v>
      </c>
      <c r="J868" s="68">
        <v>5287500</v>
      </c>
      <c r="K868" s="68">
        <v>5287500</v>
      </c>
      <c r="L868" s="68">
        <v>0</v>
      </c>
      <c r="M868" s="68">
        <v>2115000</v>
      </c>
      <c r="N868" s="69">
        <v>15383237.189174458</v>
      </c>
      <c r="O868" s="65" t="str">
        <f>VLOOKUP(A868,Report_HQ1!$A$7:$C$95,3,FALSE)</f>
        <v>BV Yên Bái</v>
      </c>
      <c r="P868" s="40" t="str">
        <f>VLOOKUP(C868,Sheet1!$U$4:$V$14,2,FALSE)</f>
        <v>BH Du lịch</v>
      </c>
      <c r="Q868" s="88">
        <f t="shared" si="13"/>
        <v>15383237.189174458</v>
      </c>
    </row>
    <row r="869" spans="1:17" x14ac:dyDescent="0.25">
      <c r="A869" s="85" t="s">
        <v>331</v>
      </c>
      <c r="B869" s="65" t="s">
        <v>189</v>
      </c>
      <c r="C869" s="65" t="s">
        <v>387</v>
      </c>
      <c r="D869" s="66">
        <v>9321862184</v>
      </c>
      <c r="E869" s="65">
        <v>1167296336</v>
      </c>
      <c r="F869" s="67">
        <v>247721385.00478375</v>
      </c>
      <c r="G869" s="68">
        <v>0</v>
      </c>
      <c r="H869" s="68">
        <v>247721385.00478375</v>
      </c>
      <c r="I869" s="68">
        <v>0</v>
      </c>
      <c r="J869" s="68">
        <v>1072037548</v>
      </c>
      <c r="K869" s="68">
        <v>327876139</v>
      </c>
      <c r="L869" s="68">
        <v>338285280</v>
      </c>
      <c r="M869" s="68">
        <v>749401051</v>
      </c>
      <c r="N869" s="69">
        <v>2735321403.0047836</v>
      </c>
      <c r="O869" s="65" t="str">
        <f>VLOOKUP(A869,Report_HQ1!$A$7:$C$95,3,FALSE)</f>
        <v>BV Nam Bình Dương</v>
      </c>
      <c r="P869" s="40" t="str">
        <f>VLOOKUP(C869,Sheet1!$U$4:$V$14,2,FALSE)</f>
        <v>BH Hàng hóa</v>
      </c>
      <c r="Q869" s="88">
        <f t="shared" si="13"/>
        <v>2735321403.0047836</v>
      </c>
    </row>
    <row r="870" spans="1:17" x14ac:dyDescent="0.25">
      <c r="A870" s="85" t="s">
        <v>331</v>
      </c>
      <c r="B870" s="65" t="s">
        <v>189</v>
      </c>
      <c r="C870" s="65" t="s">
        <v>272</v>
      </c>
      <c r="D870" s="66">
        <v>0</v>
      </c>
      <c r="E870" s="65">
        <v>1167296336</v>
      </c>
      <c r="F870" s="67">
        <v>0</v>
      </c>
      <c r="G870" s="68">
        <v>0</v>
      </c>
      <c r="H870" s="68">
        <v>0</v>
      </c>
      <c r="I870" s="68">
        <v>0</v>
      </c>
      <c r="J870" s="68">
        <v>0</v>
      </c>
      <c r="K870" s="68">
        <v>0</v>
      </c>
      <c r="L870" s="68">
        <v>0</v>
      </c>
      <c r="M870" s="68">
        <v>0</v>
      </c>
      <c r="N870" s="69">
        <v>0</v>
      </c>
      <c r="O870" s="65" t="str">
        <f>VLOOKUP(A870,Report_HQ1!$A$7:$C$95,3,FALSE)</f>
        <v>BV Nam Bình Dương</v>
      </c>
      <c r="P870" s="40" t="str">
        <f>VLOOKUP(C870,Sheet1!$U$4:$V$14,2,FALSE)</f>
        <v>Tàu khác</v>
      </c>
      <c r="Q870" s="88">
        <f t="shared" si="13"/>
        <v>0</v>
      </c>
    </row>
    <row r="871" spans="1:17" x14ac:dyDescent="0.25">
      <c r="A871" s="85" t="s">
        <v>331</v>
      </c>
      <c r="B871" s="65" t="s">
        <v>189</v>
      </c>
      <c r="C871" s="65" t="s">
        <v>388</v>
      </c>
      <c r="D871" s="66">
        <v>0</v>
      </c>
      <c r="E871" s="65">
        <v>1167296336</v>
      </c>
      <c r="F871" s="67">
        <v>0</v>
      </c>
      <c r="G871" s="68">
        <v>0</v>
      </c>
      <c r="H871" s="68">
        <v>0</v>
      </c>
      <c r="I871" s="68">
        <v>0</v>
      </c>
      <c r="J871" s="68">
        <v>0</v>
      </c>
      <c r="K871" s="68">
        <v>0</v>
      </c>
      <c r="L871" s="68">
        <v>0</v>
      </c>
      <c r="M871" s="68">
        <v>0</v>
      </c>
      <c r="N871" s="69">
        <v>0</v>
      </c>
      <c r="O871" s="65" t="str">
        <f>VLOOKUP(A871,Report_HQ1!$A$7:$C$95,3,FALSE)</f>
        <v>BV Nam Bình Dương</v>
      </c>
      <c r="P871" s="40" t="str">
        <f>VLOOKUP(C871,Sheet1!$U$4:$V$14,2,FALSE)</f>
        <v>Hull (Thân tàu biển)</v>
      </c>
      <c r="Q871" s="88">
        <f t="shared" si="13"/>
        <v>0</v>
      </c>
    </row>
    <row r="872" spans="1:17" x14ac:dyDescent="0.25">
      <c r="A872" s="85" t="s">
        <v>331</v>
      </c>
      <c r="B872" s="65" t="s">
        <v>189</v>
      </c>
      <c r="C872" s="65" t="s">
        <v>23</v>
      </c>
      <c r="D872" s="66">
        <v>0</v>
      </c>
      <c r="E872" s="65">
        <v>1167296336</v>
      </c>
      <c r="F872" s="67">
        <v>0</v>
      </c>
      <c r="G872" s="68">
        <v>0</v>
      </c>
      <c r="H872" s="68">
        <v>0</v>
      </c>
      <c r="I872" s="68">
        <v>0</v>
      </c>
      <c r="J872" s="68">
        <v>0</v>
      </c>
      <c r="K872" s="68">
        <v>0</v>
      </c>
      <c r="L872" s="68">
        <v>0</v>
      </c>
      <c r="M872" s="68">
        <v>0</v>
      </c>
      <c r="N872" s="69">
        <v>0</v>
      </c>
      <c r="O872" s="65" t="str">
        <f>VLOOKUP(A872,Report_HQ1!$A$7:$C$95,3,FALSE)</f>
        <v>BV Nam Bình Dương</v>
      </c>
      <c r="P872" s="40" t="str">
        <f>VLOOKUP(C872,Sheet1!$U$4:$V$14,2,FALSE)</f>
        <v>P&amp;I</v>
      </c>
      <c r="Q872" s="88">
        <f t="shared" si="13"/>
        <v>0</v>
      </c>
    </row>
    <row r="873" spans="1:17" x14ac:dyDescent="0.25">
      <c r="A873" s="85" t="s">
        <v>331</v>
      </c>
      <c r="B873" s="65" t="s">
        <v>189</v>
      </c>
      <c r="C873" s="65" t="s">
        <v>389</v>
      </c>
      <c r="D873" s="66">
        <v>540422352</v>
      </c>
      <c r="E873" s="65">
        <v>1167296336</v>
      </c>
      <c r="F873" s="67">
        <v>14361312.24453884</v>
      </c>
      <c r="G873" s="68">
        <v>0</v>
      </c>
      <c r="H873" s="68">
        <v>14361312.24453884</v>
      </c>
      <c r="I873" s="68">
        <v>0</v>
      </c>
      <c r="J873" s="68">
        <v>51388240</v>
      </c>
      <c r="K873" s="68">
        <v>5868203</v>
      </c>
      <c r="L873" s="68">
        <v>23769417</v>
      </c>
      <c r="M873" s="68">
        <v>39152552</v>
      </c>
      <c r="N873" s="69">
        <v>134539724.24453884</v>
      </c>
      <c r="O873" s="65" t="str">
        <f>VLOOKUP(A873,Report_HQ1!$A$7:$C$95,3,FALSE)</f>
        <v>BV Nam Bình Dương</v>
      </c>
      <c r="P873" s="40" t="str">
        <f>VLOOKUP(C873,Sheet1!$U$4:$V$14,2,FALSE)</f>
        <v>BH Trách nhiệm</v>
      </c>
      <c r="Q873" s="88">
        <f t="shared" si="13"/>
        <v>134539724.24453884</v>
      </c>
    </row>
    <row r="874" spans="1:17" x14ac:dyDescent="0.25">
      <c r="A874" s="85" t="s">
        <v>331</v>
      </c>
      <c r="B874" s="65" t="s">
        <v>189</v>
      </c>
      <c r="C874" s="65" t="s">
        <v>390</v>
      </c>
      <c r="D874" s="66">
        <v>0</v>
      </c>
      <c r="E874" s="65">
        <v>1167296336</v>
      </c>
      <c r="F874" s="67">
        <v>0</v>
      </c>
      <c r="G874" s="68">
        <v>0</v>
      </c>
      <c r="H874" s="68">
        <v>0</v>
      </c>
      <c r="I874" s="68">
        <v>0</v>
      </c>
      <c r="J874" s="68">
        <v>0</v>
      </c>
      <c r="K874" s="68">
        <v>0</v>
      </c>
      <c r="L874" s="68">
        <v>0</v>
      </c>
      <c r="M874" s="68">
        <v>0</v>
      </c>
      <c r="N874" s="69">
        <v>0</v>
      </c>
      <c r="O874" s="65" t="str">
        <f>VLOOKUP(A874,Report_HQ1!$A$7:$C$95,3,FALSE)</f>
        <v>BV Nam Bình Dương</v>
      </c>
      <c r="P874" s="40" t="e">
        <f>VLOOKUP(C874,Sheet1!$U$4:$V$14,2,FALSE)</f>
        <v>#N/A</v>
      </c>
      <c r="Q874" s="88">
        <f t="shared" si="13"/>
        <v>0</v>
      </c>
    </row>
    <row r="875" spans="1:17" x14ac:dyDescent="0.25">
      <c r="A875" s="85" t="s">
        <v>331</v>
      </c>
      <c r="B875" s="65" t="s">
        <v>189</v>
      </c>
      <c r="C875" s="65" t="s">
        <v>391</v>
      </c>
      <c r="D875" s="66">
        <v>952496460</v>
      </c>
      <c r="E875" s="65">
        <v>1167296336</v>
      </c>
      <c r="F875" s="67">
        <v>25311867.696171638</v>
      </c>
      <c r="G875" s="68">
        <v>0</v>
      </c>
      <c r="H875" s="68">
        <v>25311867.696171638</v>
      </c>
      <c r="I875" s="68">
        <v>0</v>
      </c>
      <c r="J875" s="68">
        <v>83564591</v>
      </c>
      <c r="K875" s="68">
        <v>26033216</v>
      </c>
      <c r="L875" s="68">
        <v>44685996</v>
      </c>
      <c r="M875" s="68">
        <v>43839123</v>
      </c>
      <c r="N875" s="69">
        <v>223434793.69617164</v>
      </c>
      <c r="O875" s="65" t="str">
        <f>VLOOKUP(A875,Report_HQ1!$A$7:$C$95,3,FALSE)</f>
        <v>BV Nam Bình Dương</v>
      </c>
      <c r="P875" s="40" t="str">
        <f>VLOOKUP(C875,Sheet1!$U$4:$V$14,2,FALSE)</f>
        <v>BH Kỹ thuật</v>
      </c>
      <c r="Q875" s="88">
        <f t="shared" si="13"/>
        <v>223434793.69617164</v>
      </c>
    </row>
    <row r="876" spans="1:17" x14ac:dyDescent="0.25">
      <c r="A876" s="85" t="s">
        <v>331</v>
      </c>
      <c r="B876" s="65" t="s">
        <v>189</v>
      </c>
      <c r="C876" s="65" t="s">
        <v>392</v>
      </c>
      <c r="D876" s="66">
        <v>13423148869</v>
      </c>
      <c r="E876" s="65">
        <v>1167296336</v>
      </c>
      <c r="F876" s="67">
        <v>356709953.79672486</v>
      </c>
      <c r="G876" s="68">
        <v>0</v>
      </c>
      <c r="H876" s="68">
        <v>356709953.79672486</v>
      </c>
      <c r="I876" s="68">
        <v>0</v>
      </c>
      <c r="J876" s="68">
        <v>1395075971</v>
      </c>
      <c r="K876" s="68">
        <v>111708208</v>
      </c>
      <c r="L876" s="68">
        <v>405980754</v>
      </c>
      <c r="M876" s="68">
        <v>598701627</v>
      </c>
      <c r="N876" s="69">
        <v>2868176513.7967248</v>
      </c>
      <c r="O876" s="65" t="str">
        <f>VLOOKUP(A876,Report_HQ1!$A$7:$C$95,3,FALSE)</f>
        <v>BV Nam Bình Dương</v>
      </c>
      <c r="P876" s="40" t="str">
        <f>VLOOKUP(C876,Sheet1!$U$4:$V$14,2,FALSE)</f>
        <v>BH Tài sản</v>
      </c>
      <c r="Q876" s="88">
        <f t="shared" si="13"/>
        <v>2868176513.7967248</v>
      </c>
    </row>
    <row r="877" spans="1:17" x14ac:dyDescent="0.25">
      <c r="A877" s="85" t="s">
        <v>331</v>
      </c>
      <c r="B877" s="65" t="s">
        <v>189</v>
      </c>
      <c r="C877" s="65" t="s">
        <v>393</v>
      </c>
      <c r="D877" s="66">
        <v>12696207379</v>
      </c>
      <c r="E877" s="65">
        <v>1167296336</v>
      </c>
      <c r="F877" s="67">
        <v>337392037.57293344</v>
      </c>
      <c r="G877" s="68">
        <v>0</v>
      </c>
      <c r="H877" s="68">
        <v>337392037.57293344</v>
      </c>
      <c r="I877" s="68">
        <v>0</v>
      </c>
      <c r="J877" s="68">
        <v>1189641204</v>
      </c>
      <c r="K877" s="68">
        <v>568331169</v>
      </c>
      <c r="L877" s="68">
        <v>975815657</v>
      </c>
      <c r="M877" s="68">
        <v>760066194</v>
      </c>
      <c r="N877" s="69">
        <v>3831246261.5729332</v>
      </c>
      <c r="O877" s="65" t="str">
        <f>VLOOKUP(A877,Report_HQ1!$A$7:$C$95,3,FALSE)</f>
        <v>BV Nam Bình Dương</v>
      </c>
      <c r="P877" s="40" t="str">
        <f>VLOOKUP(C877,Sheet1!$U$4:$V$14,2,FALSE)</f>
        <v>BH Xe cơ giới</v>
      </c>
      <c r="Q877" s="88">
        <f t="shared" si="13"/>
        <v>3831246261.5729332</v>
      </c>
    </row>
    <row r="878" spans="1:17" x14ac:dyDescent="0.25">
      <c r="A878" s="85" t="s">
        <v>331</v>
      </c>
      <c r="B878" s="65" t="s">
        <v>189</v>
      </c>
      <c r="C878" s="65" t="s">
        <v>394</v>
      </c>
      <c r="D878" s="66">
        <v>1546769422</v>
      </c>
      <c r="E878" s="65">
        <v>1167296336</v>
      </c>
      <c r="F878" s="67">
        <v>41104218.87147788</v>
      </c>
      <c r="G878" s="68">
        <v>0</v>
      </c>
      <c r="H878" s="68">
        <v>41104218.87147788</v>
      </c>
      <c r="I878" s="68">
        <v>0</v>
      </c>
      <c r="J878" s="68">
        <v>301092669</v>
      </c>
      <c r="K878" s="68">
        <v>82747723</v>
      </c>
      <c r="L878" s="68">
        <v>127028561</v>
      </c>
      <c r="M878" s="68">
        <v>99618315</v>
      </c>
      <c r="N878" s="69">
        <v>651591486.87147784</v>
      </c>
      <c r="O878" s="65" t="str">
        <f>VLOOKUP(A878,Report_HQ1!$A$7:$C$95,3,FALSE)</f>
        <v>BV Nam Bình Dương</v>
      </c>
      <c r="P878" s="40" t="str">
        <f>VLOOKUP(C878,Sheet1!$U$4:$V$14,2,FALSE)</f>
        <v>BH Con người</v>
      </c>
      <c r="Q878" s="88">
        <f t="shared" si="13"/>
        <v>651591486.87147784</v>
      </c>
    </row>
    <row r="879" spans="1:17" x14ac:dyDescent="0.25">
      <c r="A879" s="85" t="s">
        <v>331</v>
      </c>
      <c r="B879" s="65" t="s">
        <v>189</v>
      </c>
      <c r="C879" s="65" t="s">
        <v>395</v>
      </c>
      <c r="D879" s="66">
        <v>1536143400</v>
      </c>
      <c r="E879" s="65">
        <v>1167296336</v>
      </c>
      <c r="F879" s="67">
        <v>40821840.433031395</v>
      </c>
      <c r="G879" s="68">
        <v>0</v>
      </c>
      <c r="H879" s="68">
        <v>40821840.433031395</v>
      </c>
      <c r="I879" s="68">
        <v>0</v>
      </c>
      <c r="J879" s="68">
        <v>230421510</v>
      </c>
      <c r="K879" s="68">
        <v>0</v>
      </c>
      <c r="L879" s="68">
        <v>76807170</v>
      </c>
      <c r="M879" s="68">
        <v>92168604</v>
      </c>
      <c r="N879" s="69">
        <v>440219124.43303138</v>
      </c>
      <c r="O879" s="65" t="str">
        <f>VLOOKUP(A879,Report_HQ1!$A$7:$C$95,3,FALSE)</f>
        <v>BV Nam Bình Dương</v>
      </c>
      <c r="P879" s="40" t="e">
        <f>VLOOKUP(C879,Sheet1!$U$4:$V$14,2,FALSE)</f>
        <v>#N/A</v>
      </c>
      <c r="Q879" s="88">
        <f t="shared" si="13"/>
        <v>440219124.43303138</v>
      </c>
    </row>
    <row r="880" spans="1:17" x14ac:dyDescent="0.25">
      <c r="A880" s="85" t="s">
        <v>331</v>
      </c>
      <c r="B880" s="65" t="s">
        <v>189</v>
      </c>
      <c r="C880" s="65" t="s">
        <v>396</v>
      </c>
      <c r="D880" s="66">
        <v>3846015641</v>
      </c>
      <c r="E880" s="65">
        <v>1167296336</v>
      </c>
      <c r="F880" s="67">
        <v>102204935.29435138</v>
      </c>
      <c r="G880" s="68">
        <v>0</v>
      </c>
      <c r="H880" s="68">
        <v>102204935.29435138</v>
      </c>
      <c r="I880" s="68">
        <v>0</v>
      </c>
      <c r="J880" s="68">
        <v>525714685</v>
      </c>
      <c r="K880" s="68">
        <v>108238766</v>
      </c>
      <c r="L880" s="68">
        <v>24807937</v>
      </c>
      <c r="M880" s="68">
        <v>200526896</v>
      </c>
      <c r="N880" s="69">
        <v>961493219.29435134</v>
      </c>
      <c r="O880" s="65" t="str">
        <f>VLOOKUP(A880,Report_HQ1!$A$7:$C$95,3,FALSE)</f>
        <v>BV Nam Bình Dương</v>
      </c>
      <c r="P880" s="40" t="str">
        <f>VLOOKUP(C880,Sheet1!$U$4:$V$14,2,FALSE)</f>
        <v>BH Y tế</v>
      </c>
      <c r="Q880" s="88">
        <f t="shared" si="13"/>
        <v>961493219.29435134</v>
      </c>
    </row>
    <row r="881" spans="1:17" x14ac:dyDescent="0.25">
      <c r="A881" s="85" t="s">
        <v>331</v>
      </c>
      <c r="B881" s="65" t="s">
        <v>189</v>
      </c>
      <c r="C881" s="65" t="s">
        <v>397</v>
      </c>
      <c r="D881" s="66">
        <v>62797100</v>
      </c>
      <c r="E881" s="65">
        <v>1167296336</v>
      </c>
      <c r="F881" s="67">
        <v>1668785.0859868391</v>
      </c>
      <c r="G881" s="68">
        <v>0</v>
      </c>
      <c r="H881" s="68">
        <v>1668785.0859868391</v>
      </c>
      <c r="I881" s="68">
        <v>0</v>
      </c>
      <c r="J881" s="68">
        <v>12559420</v>
      </c>
      <c r="K881" s="68">
        <v>12559420</v>
      </c>
      <c r="L881" s="68">
        <v>0</v>
      </c>
      <c r="M881" s="68">
        <v>5023768</v>
      </c>
      <c r="N881" s="69">
        <v>31811393.085986838</v>
      </c>
      <c r="O881" s="65" t="str">
        <f>VLOOKUP(A881,Report_HQ1!$A$7:$C$95,3,FALSE)</f>
        <v>BV Nam Bình Dương</v>
      </c>
      <c r="P881" s="40" t="str">
        <f>VLOOKUP(C881,Sheet1!$U$4:$V$14,2,FALSE)</f>
        <v>BH Du lịch</v>
      </c>
      <c r="Q881" s="88">
        <f t="shared" si="13"/>
        <v>31811393.085986838</v>
      </c>
    </row>
    <row r="882" spans="1:17" x14ac:dyDescent="0.25">
      <c r="A882" s="85" t="s">
        <v>324</v>
      </c>
      <c r="B882" s="65" t="s">
        <v>182</v>
      </c>
      <c r="C882" s="65" t="s">
        <v>387</v>
      </c>
      <c r="D882" s="66">
        <v>0</v>
      </c>
      <c r="E882" s="65">
        <v>147500000</v>
      </c>
      <c r="F882" s="67">
        <v>0</v>
      </c>
      <c r="G882" s="68">
        <v>0</v>
      </c>
      <c r="H882" s="68">
        <v>0</v>
      </c>
      <c r="I882" s="68">
        <v>0</v>
      </c>
      <c r="J882" s="68">
        <v>0</v>
      </c>
      <c r="K882" s="68">
        <v>0</v>
      </c>
      <c r="L882" s="68">
        <v>0</v>
      </c>
      <c r="M882" s="68">
        <v>0</v>
      </c>
      <c r="N882" s="69">
        <v>0</v>
      </c>
      <c r="O882" s="65" t="str">
        <f>VLOOKUP(A882,Report_HQ1!$A$7:$C$95,3,FALSE)</f>
        <v>BV Lai Châu</v>
      </c>
      <c r="P882" s="40" t="str">
        <f>VLOOKUP(C882,Sheet1!$U$4:$V$14,2,FALSE)</f>
        <v>BH Hàng hóa</v>
      </c>
      <c r="Q882" s="88">
        <f t="shared" si="13"/>
        <v>0</v>
      </c>
    </row>
    <row r="883" spans="1:17" x14ac:dyDescent="0.25">
      <c r="A883" s="85" t="s">
        <v>324</v>
      </c>
      <c r="B883" s="65" t="s">
        <v>182</v>
      </c>
      <c r="C883" s="65" t="s">
        <v>272</v>
      </c>
      <c r="D883" s="66">
        <v>0</v>
      </c>
      <c r="E883" s="65">
        <v>147500000</v>
      </c>
      <c r="F883" s="67">
        <v>0</v>
      </c>
      <c r="G883" s="68">
        <v>0</v>
      </c>
      <c r="H883" s="68">
        <v>0</v>
      </c>
      <c r="I883" s="68">
        <v>0</v>
      </c>
      <c r="J883" s="68">
        <v>0</v>
      </c>
      <c r="K883" s="68">
        <v>0</v>
      </c>
      <c r="L883" s="68">
        <v>0</v>
      </c>
      <c r="M883" s="68">
        <v>0</v>
      </c>
      <c r="N883" s="69">
        <v>0</v>
      </c>
      <c r="O883" s="65" t="str">
        <f>VLOOKUP(A883,Report_HQ1!$A$7:$C$95,3,FALSE)</f>
        <v>BV Lai Châu</v>
      </c>
      <c r="P883" s="40" t="str">
        <f>VLOOKUP(C883,Sheet1!$U$4:$V$14,2,FALSE)</f>
        <v>Tàu khác</v>
      </c>
      <c r="Q883" s="88">
        <f t="shared" si="13"/>
        <v>0</v>
      </c>
    </row>
    <row r="884" spans="1:17" x14ac:dyDescent="0.25">
      <c r="A884" s="85" t="s">
        <v>324</v>
      </c>
      <c r="B884" s="65" t="s">
        <v>182</v>
      </c>
      <c r="C884" s="65" t="s">
        <v>388</v>
      </c>
      <c r="D884" s="66">
        <v>0</v>
      </c>
      <c r="E884" s="65">
        <v>147500000</v>
      </c>
      <c r="F884" s="67">
        <v>0</v>
      </c>
      <c r="G884" s="68">
        <v>0</v>
      </c>
      <c r="H884" s="68">
        <v>0</v>
      </c>
      <c r="I884" s="68">
        <v>0</v>
      </c>
      <c r="J884" s="68">
        <v>0</v>
      </c>
      <c r="K884" s="68">
        <v>0</v>
      </c>
      <c r="L884" s="68">
        <v>0</v>
      </c>
      <c r="M884" s="68">
        <v>0</v>
      </c>
      <c r="N884" s="69">
        <v>0</v>
      </c>
      <c r="O884" s="65" t="str">
        <f>VLOOKUP(A884,Report_HQ1!$A$7:$C$95,3,FALSE)</f>
        <v>BV Lai Châu</v>
      </c>
      <c r="P884" s="40" t="str">
        <f>VLOOKUP(C884,Sheet1!$U$4:$V$14,2,FALSE)</f>
        <v>Hull (Thân tàu biển)</v>
      </c>
      <c r="Q884" s="88">
        <f t="shared" si="13"/>
        <v>0</v>
      </c>
    </row>
    <row r="885" spans="1:17" x14ac:dyDescent="0.25">
      <c r="A885" s="85" t="s">
        <v>324</v>
      </c>
      <c r="B885" s="65" t="s">
        <v>182</v>
      </c>
      <c r="C885" s="65" t="s">
        <v>23</v>
      </c>
      <c r="D885" s="66">
        <v>0</v>
      </c>
      <c r="E885" s="65">
        <v>147500000</v>
      </c>
      <c r="F885" s="67">
        <v>0</v>
      </c>
      <c r="G885" s="68">
        <v>0</v>
      </c>
      <c r="H885" s="68">
        <v>0</v>
      </c>
      <c r="I885" s="68">
        <v>0</v>
      </c>
      <c r="J885" s="68">
        <v>0</v>
      </c>
      <c r="K885" s="68">
        <v>0</v>
      </c>
      <c r="L885" s="68">
        <v>0</v>
      </c>
      <c r="M885" s="68">
        <v>0</v>
      </c>
      <c r="N885" s="69">
        <v>0</v>
      </c>
      <c r="O885" s="65" t="str">
        <f>VLOOKUP(A885,Report_HQ1!$A$7:$C$95,3,FALSE)</f>
        <v>BV Lai Châu</v>
      </c>
      <c r="P885" s="40" t="str">
        <f>VLOOKUP(C885,Sheet1!$U$4:$V$14,2,FALSE)</f>
        <v>P&amp;I</v>
      </c>
      <c r="Q885" s="88">
        <f t="shared" si="13"/>
        <v>0</v>
      </c>
    </row>
    <row r="886" spans="1:17" x14ac:dyDescent="0.25">
      <c r="A886" s="85" t="s">
        <v>324</v>
      </c>
      <c r="B886" s="65" t="s">
        <v>182</v>
      </c>
      <c r="C886" s="65" t="s">
        <v>389</v>
      </c>
      <c r="D886" s="66">
        <v>96658182</v>
      </c>
      <c r="E886" s="65">
        <v>147500000</v>
      </c>
      <c r="F886" s="67">
        <v>4857843.3494206723</v>
      </c>
      <c r="G886" s="68">
        <v>0</v>
      </c>
      <c r="H886" s="68">
        <v>4857843.3494206723</v>
      </c>
      <c r="I886" s="68">
        <v>0</v>
      </c>
      <c r="J886" s="68">
        <v>0</v>
      </c>
      <c r="K886" s="68">
        <v>0</v>
      </c>
      <c r="L886" s="68">
        <v>0</v>
      </c>
      <c r="M886" s="68">
        <v>0</v>
      </c>
      <c r="N886" s="69">
        <v>4857843.3494206723</v>
      </c>
      <c r="O886" s="65" t="str">
        <f>VLOOKUP(A886,Report_HQ1!$A$7:$C$95,3,FALSE)</f>
        <v>BV Lai Châu</v>
      </c>
      <c r="P886" s="40" t="str">
        <f>VLOOKUP(C886,Sheet1!$U$4:$V$14,2,FALSE)</f>
        <v>BH Trách nhiệm</v>
      </c>
      <c r="Q886" s="88">
        <f t="shared" si="13"/>
        <v>4857843.3494206723</v>
      </c>
    </row>
    <row r="887" spans="1:17" x14ac:dyDescent="0.25">
      <c r="A887" s="85" t="s">
        <v>324</v>
      </c>
      <c r="B887" s="65" t="s">
        <v>182</v>
      </c>
      <c r="C887" s="65" t="s">
        <v>390</v>
      </c>
      <c r="D887" s="66">
        <v>0</v>
      </c>
      <c r="E887" s="65">
        <v>147500000</v>
      </c>
      <c r="F887" s="67">
        <v>0</v>
      </c>
      <c r="G887" s="68">
        <v>0</v>
      </c>
      <c r="H887" s="68">
        <v>0</v>
      </c>
      <c r="I887" s="68">
        <v>0</v>
      </c>
      <c r="J887" s="68">
        <v>0</v>
      </c>
      <c r="K887" s="68">
        <v>0</v>
      </c>
      <c r="L887" s="68">
        <v>0</v>
      </c>
      <c r="M887" s="68">
        <v>0</v>
      </c>
      <c r="N887" s="69">
        <v>0</v>
      </c>
      <c r="O887" s="65" t="str">
        <f>VLOOKUP(A887,Report_HQ1!$A$7:$C$95,3,FALSE)</f>
        <v>BV Lai Châu</v>
      </c>
      <c r="P887" s="40" t="e">
        <f>VLOOKUP(C887,Sheet1!$U$4:$V$14,2,FALSE)</f>
        <v>#N/A</v>
      </c>
      <c r="Q887" s="88">
        <f t="shared" si="13"/>
        <v>0</v>
      </c>
    </row>
    <row r="888" spans="1:17" x14ac:dyDescent="0.25">
      <c r="A888" s="85" t="s">
        <v>324</v>
      </c>
      <c r="B888" s="65" t="s">
        <v>182</v>
      </c>
      <c r="C888" s="65" t="s">
        <v>391</v>
      </c>
      <c r="D888" s="66">
        <v>455670357</v>
      </c>
      <c r="E888" s="65">
        <v>147500000</v>
      </c>
      <c r="F888" s="67">
        <v>22901064.012155674</v>
      </c>
      <c r="G888" s="68">
        <v>0</v>
      </c>
      <c r="H888" s="68">
        <v>22901064.012155674</v>
      </c>
      <c r="I888" s="68">
        <v>0</v>
      </c>
      <c r="J888" s="68">
        <v>29754455</v>
      </c>
      <c r="K888" s="68">
        <v>14877227</v>
      </c>
      <c r="L888" s="68">
        <v>29754455</v>
      </c>
      <c r="M888" s="68">
        <v>17852673</v>
      </c>
      <c r="N888" s="69">
        <v>115139874.01215568</v>
      </c>
      <c r="O888" s="65" t="str">
        <f>VLOOKUP(A888,Report_HQ1!$A$7:$C$95,3,FALSE)</f>
        <v>BV Lai Châu</v>
      </c>
      <c r="P888" s="40" t="str">
        <f>VLOOKUP(C888,Sheet1!$U$4:$V$14,2,FALSE)</f>
        <v>BH Kỹ thuật</v>
      </c>
      <c r="Q888" s="88">
        <f t="shared" si="13"/>
        <v>115139874.01215568</v>
      </c>
    </row>
    <row r="889" spans="1:17" x14ac:dyDescent="0.25">
      <c r="A889" s="85" t="s">
        <v>324</v>
      </c>
      <c r="B889" s="65" t="s">
        <v>182</v>
      </c>
      <c r="C889" s="65" t="s">
        <v>392</v>
      </c>
      <c r="D889" s="66">
        <v>455765204</v>
      </c>
      <c r="E889" s="65">
        <v>147500000</v>
      </c>
      <c r="F889" s="67">
        <v>22905830.829186875</v>
      </c>
      <c r="G889" s="68">
        <v>0</v>
      </c>
      <c r="H889" s="68">
        <v>22905830.829186875</v>
      </c>
      <c r="I889" s="68">
        <v>0</v>
      </c>
      <c r="J889" s="68">
        <v>2430324</v>
      </c>
      <c r="K889" s="68">
        <v>1215162</v>
      </c>
      <c r="L889" s="68">
        <v>79401302</v>
      </c>
      <c r="M889" s="68">
        <v>16889276</v>
      </c>
      <c r="N889" s="69">
        <v>122841894.82918687</v>
      </c>
      <c r="O889" s="65" t="str">
        <f>VLOOKUP(A889,Report_HQ1!$A$7:$C$95,3,FALSE)</f>
        <v>BV Lai Châu</v>
      </c>
      <c r="P889" s="40" t="str">
        <f>VLOOKUP(C889,Sheet1!$U$4:$V$14,2,FALSE)</f>
        <v>BH Tài sản</v>
      </c>
      <c r="Q889" s="88">
        <f t="shared" si="13"/>
        <v>122841894.82918687</v>
      </c>
    </row>
    <row r="890" spans="1:17" x14ac:dyDescent="0.25">
      <c r="A890" s="85" t="s">
        <v>324</v>
      </c>
      <c r="B890" s="65" t="s">
        <v>182</v>
      </c>
      <c r="C890" s="65" t="s">
        <v>393</v>
      </c>
      <c r="D890" s="66">
        <v>1182538025</v>
      </c>
      <c r="E890" s="65">
        <v>147500000</v>
      </c>
      <c r="F890" s="67">
        <v>59431952.48782257</v>
      </c>
      <c r="G890" s="68">
        <v>0</v>
      </c>
      <c r="H890" s="68">
        <v>59431952.48782257</v>
      </c>
      <c r="I890" s="68">
        <v>0</v>
      </c>
      <c r="J890" s="68">
        <v>96086712</v>
      </c>
      <c r="K890" s="68">
        <v>48043357</v>
      </c>
      <c r="L890" s="68">
        <v>141159996</v>
      </c>
      <c r="M890" s="68">
        <v>70422781</v>
      </c>
      <c r="N890" s="69">
        <v>415144798.48782253</v>
      </c>
      <c r="O890" s="65" t="str">
        <f>VLOOKUP(A890,Report_HQ1!$A$7:$C$95,3,FALSE)</f>
        <v>BV Lai Châu</v>
      </c>
      <c r="P890" s="40" t="str">
        <f>VLOOKUP(C890,Sheet1!$U$4:$V$14,2,FALSE)</f>
        <v>BH Xe cơ giới</v>
      </c>
      <c r="Q890" s="88">
        <f t="shared" si="13"/>
        <v>415144798.48782253</v>
      </c>
    </row>
    <row r="891" spans="1:17" x14ac:dyDescent="0.25">
      <c r="A891" s="85" t="s">
        <v>324</v>
      </c>
      <c r="B891" s="65" t="s">
        <v>182</v>
      </c>
      <c r="C891" s="65" t="s">
        <v>394</v>
      </c>
      <c r="D891" s="66">
        <v>374207851</v>
      </c>
      <c r="E891" s="65">
        <v>147500000</v>
      </c>
      <c r="F891" s="67">
        <v>18806924.387232441</v>
      </c>
      <c r="G891" s="68">
        <v>0</v>
      </c>
      <c r="H891" s="68">
        <v>18806924.387232441</v>
      </c>
      <c r="I891" s="68">
        <v>20000</v>
      </c>
      <c r="J891" s="68">
        <v>25841670</v>
      </c>
      <c r="K891" s="68">
        <v>2132938</v>
      </c>
      <c r="L891" s="68">
        <v>8245719</v>
      </c>
      <c r="M891" s="68">
        <v>9835121</v>
      </c>
      <c r="N891" s="69">
        <v>64882372.387232438</v>
      </c>
      <c r="O891" s="65" t="str">
        <f>VLOOKUP(A891,Report_HQ1!$A$7:$C$95,3,FALSE)</f>
        <v>BV Lai Châu</v>
      </c>
      <c r="P891" s="40" t="str">
        <f>VLOOKUP(C891,Sheet1!$U$4:$V$14,2,FALSE)</f>
        <v>BH Con người</v>
      </c>
      <c r="Q891" s="88">
        <f t="shared" si="13"/>
        <v>64882372.387232438</v>
      </c>
    </row>
    <row r="892" spans="1:17" x14ac:dyDescent="0.25">
      <c r="A892" s="85" t="s">
        <v>324</v>
      </c>
      <c r="B892" s="65" t="s">
        <v>182</v>
      </c>
      <c r="C892" s="65" t="s">
        <v>395</v>
      </c>
      <c r="D892" s="66">
        <v>0</v>
      </c>
      <c r="E892" s="65">
        <v>147500000</v>
      </c>
      <c r="F892" s="67">
        <v>0</v>
      </c>
      <c r="G892" s="68">
        <v>0</v>
      </c>
      <c r="H892" s="68">
        <v>0</v>
      </c>
      <c r="I892" s="68">
        <v>0</v>
      </c>
      <c r="J892" s="68">
        <v>0</v>
      </c>
      <c r="K892" s="68">
        <v>0</v>
      </c>
      <c r="L892" s="68">
        <v>0</v>
      </c>
      <c r="M892" s="68">
        <v>0</v>
      </c>
      <c r="N892" s="69">
        <v>0</v>
      </c>
      <c r="O892" s="65" t="str">
        <f>VLOOKUP(A892,Report_HQ1!$A$7:$C$95,3,FALSE)</f>
        <v>BV Lai Châu</v>
      </c>
      <c r="P892" s="40" t="e">
        <f>VLOOKUP(C892,Sheet1!$U$4:$V$14,2,FALSE)</f>
        <v>#N/A</v>
      </c>
      <c r="Q892" s="88">
        <f t="shared" si="13"/>
        <v>0</v>
      </c>
    </row>
    <row r="893" spans="1:17" x14ac:dyDescent="0.25">
      <c r="A893" s="85" t="s">
        <v>324</v>
      </c>
      <c r="B893" s="65" t="s">
        <v>182</v>
      </c>
      <c r="C893" s="65" t="s">
        <v>396</v>
      </c>
      <c r="D893" s="66">
        <v>31918675</v>
      </c>
      <c r="E893" s="65">
        <v>147500000</v>
      </c>
      <c r="F893" s="67">
        <v>1604167.5920520611</v>
      </c>
      <c r="G893" s="68">
        <v>0</v>
      </c>
      <c r="H893" s="68">
        <v>1604167.5920520611</v>
      </c>
      <c r="I893" s="68">
        <v>0</v>
      </c>
      <c r="J893" s="68">
        <v>6383735</v>
      </c>
      <c r="K893" s="68">
        <v>3479578</v>
      </c>
      <c r="L893" s="68">
        <v>47082</v>
      </c>
      <c r="M893" s="68">
        <v>2093136</v>
      </c>
      <c r="N893" s="69">
        <v>13607698.592052061</v>
      </c>
      <c r="O893" s="65" t="str">
        <f>VLOOKUP(A893,Report_HQ1!$A$7:$C$95,3,FALSE)</f>
        <v>BV Lai Châu</v>
      </c>
      <c r="P893" s="40" t="str">
        <f>VLOOKUP(C893,Sheet1!$U$4:$V$14,2,FALSE)</f>
        <v>BH Y tế</v>
      </c>
      <c r="Q893" s="88">
        <f t="shared" si="13"/>
        <v>13607698.592052061</v>
      </c>
    </row>
    <row r="894" spans="1:17" x14ac:dyDescent="0.25">
      <c r="A894" s="85" t="s">
        <v>324</v>
      </c>
      <c r="B894" s="65" t="s">
        <v>182</v>
      </c>
      <c r="C894" s="65" t="s">
        <v>397</v>
      </c>
      <c r="D894" s="66">
        <v>338100000</v>
      </c>
      <c r="E894" s="65">
        <v>147500000</v>
      </c>
      <c r="F894" s="67">
        <v>16992217.342129704</v>
      </c>
      <c r="G894" s="68">
        <v>0</v>
      </c>
      <c r="H894" s="68">
        <v>16992217.342129704</v>
      </c>
      <c r="I894" s="68">
        <v>0</v>
      </c>
      <c r="J894" s="68">
        <v>67620000</v>
      </c>
      <c r="K894" s="68">
        <v>67620000</v>
      </c>
      <c r="L894" s="68">
        <v>0</v>
      </c>
      <c r="M894" s="68">
        <v>27048000</v>
      </c>
      <c r="N894" s="69">
        <v>179280217.34212971</v>
      </c>
      <c r="O894" s="65" t="str">
        <f>VLOOKUP(A894,Report_HQ1!$A$7:$C$95,3,FALSE)</f>
        <v>BV Lai Châu</v>
      </c>
      <c r="P894" s="40" t="str">
        <f>VLOOKUP(C894,Sheet1!$U$4:$V$14,2,FALSE)</f>
        <v>BH Du lịch</v>
      </c>
      <c r="Q894" s="88">
        <f t="shared" si="13"/>
        <v>179280217.34212971</v>
      </c>
    </row>
    <row r="895" spans="1:17" x14ac:dyDescent="0.25">
      <c r="A895" s="85" t="s">
        <v>309</v>
      </c>
      <c r="B895" s="65" t="s">
        <v>167</v>
      </c>
      <c r="C895" s="65" t="s">
        <v>387</v>
      </c>
      <c r="D895" s="66">
        <v>1707489621</v>
      </c>
      <c r="E895" s="65">
        <v>2049884996</v>
      </c>
      <c r="F895" s="67">
        <v>90369300.533458367</v>
      </c>
      <c r="G895" s="68">
        <v>0</v>
      </c>
      <c r="H895" s="68">
        <v>90369300.533458367</v>
      </c>
      <c r="I895" s="68">
        <v>0</v>
      </c>
      <c r="J895" s="68">
        <v>170748962</v>
      </c>
      <c r="K895" s="68">
        <v>85374481</v>
      </c>
      <c r="L895" s="68">
        <v>68299584</v>
      </c>
      <c r="M895" s="68">
        <v>136599170</v>
      </c>
      <c r="N895" s="69">
        <v>551391497.53345835</v>
      </c>
      <c r="O895" s="65" t="str">
        <f>VLOOKUP(A895,Report_HQ1!$A$7:$C$95,3,FALSE)</f>
        <v>BV Gia Định</v>
      </c>
      <c r="P895" s="40" t="str">
        <f>VLOOKUP(C895,Sheet1!$U$4:$V$14,2,FALSE)</f>
        <v>BH Hàng hóa</v>
      </c>
      <c r="Q895" s="88">
        <f t="shared" si="13"/>
        <v>551391497.53345835</v>
      </c>
    </row>
    <row r="896" spans="1:17" x14ac:dyDescent="0.25">
      <c r="A896" s="85" t="s">
        <v>309</v>
      </c>
      <c r="B896" s="65" t="s">
        <v>167</v>
      </c>
      <c r="C896" s="65" t="s">
        <v>272</v>
      </c>
      <c r="D896" s="66">
        <v>27556194</v>
      </c>
      <c r="E896" s="65">
        <v>2049884996</v>
      </c>
      <c r="F896" s="67">
        <v>1458418.2220011763</v>
      </c>
      <c r="G896" s="68">
        <v>0</v>
      </c>
      <c r="H896" s="68">
        <v>1458418.2220011763</v>
      </c>
      <c r="I896" s="68">
        <v>97750</v>
      </c>
      <c r="J896" s="68">
        <v>4133429</v>
      </c>
      <c r="K896" s="68">
        <v>1928934</v>
      </c>
      <c r="L896" s="68">
        <v>275562</v>
      </c>
      <c r="M896" s="68">
        <v>2204496</v>
      </c>
      <c r="N896" s="69">
        <v>10098589.222001176</v>
      </c>
      <c r="O896" s="65" t="str">
        <f>VLOOKUP(A896,Report_HQ1!$A$7:$C$95,3,FALSE)</f>
        <v>BV Gia Định</v>
      </c>
      <c r="P896" s="40" t="str">
        <f>VLOOKUP(C896,Sheet1!$U$4:$V$14,2,FALSE)</f>
        <v>Tàu khác</v>
      </c>
      <c r="Q896" s="88">
        <f t="shared" si="13"/>
        <v>10098589.222001176</v>
      </c>
    </row>
    <row r="897" spans="1:17" x14ac:dyDescent="0.25">
      <c r="A897" s="85" t="s">
        <v>309</v>
      </c>
      <c r="B897" s="65" t="s">
        <v>167</v>
      </c>
      <c r="C897" s="65" t="s">
        <v>388</v>
      </c>
      <c r="D897" s="66">
        <v>1702720879</v>
      </c>
      <c r="E897" s="65">
        <v>2049884996</v>
      </c>
      <c r="F897" s="67">
        <v>90116913.711503848</v>
      </c>
      <c r="G897" s="68">
        <v>0</v>
      </c>
      <c r="H897" s="68">
        <v>90116913.711503848</v>
      </c>
      <c r="I897" s="68">
        <v>8513604</v>
      </c>
      <c r="J897" s="68">
        <v>68861044</v>
      </c>
      <c r="K897" s="68">
        <v>34430522</v>
      </c>
      <c r="L897" s="68">
        <v>24412500</v>
      </c>
      <c r="M897" s="68">
        <v>51081626</v>
      </c>
      <c r="N897" s="69">
        <v>277416209.71150386</v>
      </c>
      <c r="O897" s="65" t="str">
        <f>VLOOKUP(A897,Report_HQ1!$A$7:$C$95,3,FALSE)</f>
        <v>BV Gia Định</v>
      </c>
      <c r="P897" s="40" t="str">
        <f>VLOOKUP(C897,Sheet1!$U$4:$V$14,2,FALSE)</f>
        <v>Hull (Thân tàu biển)</v>
      </c>
      <c r="Q897" s="88">
        <f t="shared" si="13"/>
        <v>277416209.71150386</v>
      </c>
    </row>
    <row r="898" spans="1:17" x14ac:dyDescent="0.25">
      <c r="A898" s="85" t="s">
        <v>309</v>
      </c>
      <c r="B898" s="65" t="s">
        <v>167</v>
      </c>
      <c r="C898" s="65" t="s">
        <v>23</v>
      </c>
      <c r="D898" s="66">
        <v>5472835938</v>
      </c>
      <c r="E898" s="65">
        <v>2049884996</v>
      </c>
      <c r="F898" s="67">
        <v>289651163.65496993</v>
      </c>
      <c r="G898" s="68">
        <v>0</v>
      </c>
      <c r="H898" s="68">
        <v>289651163.65496993</v>
      </c>
      <c r="I898" s="68">
        <v>0</v>
      </c>
      <c r="J898" s="68">
        <v>371980204</v>
      </c>
      <c r="K898" s="68">
        <v>10634951</v>
      </c>
      <c r="L898" s="68">
        <v>0</v>
      </c>
      <c r="M898" s="68">
        <v>156228638</v>
      </c>
      <c r="N898" s="69">
        <v>828494956.65496993</v>
      </c>
      <c r="O898" s="65" t="str">
        <f>VLOOKUP(A898,Report_HQ1!$A$7:$C$95,3,FALSE)</f>
        <v>BV Gia Định</v>
      </c>
      <c r="P898" s="40" t="str">
        <f>VLOOKUP(C898,Sheet1!$U$4:$V$14,2,FALSE)</f>
        <v>P&amp;I</v>
      </c>
      <c r="Q898" s="88">
        <f t="shared" si="13"/>
        <v>828494956.65496993</v>
      </c>
    </row>
    <row r="899" spans="1:17" x14ac:dyDescent="0.25">
      <c r="A899" s="85" t="s">
        <v>309</v>
      </c>
      <c r="B899" s="65" t="s">
        <v>167</v>
      </c>
      <c r="C899" s="65" t="s">
        <v>389</v>
      </c>
      <c r="D899" s="66">
        <v>346428286</v>
      </c>
      <c r="E899" s="65">
        <v>2049884996</v>
      </c>
      <c r="F899" s="67">
        <v>18334800.695590798</v>
      </c>
      <c r="G899" s="68">
        <v>0</v>
      </c>
      <c r="H899" s="68">
        <v>18334800.695590798</v>
      </c>
      <c r="I899" s="68">
        <v>0</v>
      </c>
      <c r="J899" s="68">
        <v>17321415</v>
      </c>
      <c r="K899" s="68">
        <v>8660707</v>
      </c>
      <c r="L899" s="68">
        <v>26642121</v>
      </c>
      <c r="M899" s="68">
        <v>27594263</v>
      </c>
      <c r="N899" s="69">
        <v>98553306.695590794</v>
      </c>
      <c r="O899" s="65" t="str">
        <f>VLOOKUP(A899,Report_HQ1!$A$7:$C$95,3,FALSE)</f>
        <v>BV Gia Định</v>
      </c>
      <c r="P899" s="40" t="str">
        <f>VLOOKUP(C899,Sheet1!$U$4:$V$14,2,FALSE)</f>
        <v>BH Trách nhiệm</v>
      </c>
      <c r="Q899" s="88">
        <f t="shared" si="13"/>
        <v>98553306.695590794</v>
      </c>
    </row>
    <row r="900" spans="1:17" x14ac:dyDescent="0.25">
      <c r="A900" s="85" t="s">
        <v>309</v>
      </c>
      <c r="B900" s="65" t="s">
        <v>167</v>
      </c>
      <c r="C900" s="65" t="s">
        <v>390</v>
      </c>
      <c r="D900" s="66">
        <v>0</v>
      </c>
      <c r="E900" s="65">
        <v>2049884996</v>
      </c>
      <c r="F900" s="67">
        <v>0</v>
      </c>
      <c r="G900" s="68">
        <v>0</v>
      </c>
      <c r="H900" s="68">
        <v>0</v>
      </c>
      <c r="I900" s="68">
        <v>0</v>
      </c>
      <c r="J900" s="68">
        <v>0</v>
      </c>
      <c r="K900" s="68">
        <v>0</v>
      </c>
      <c r="L900" s="68">
        <v>0</v>
      </c>
      <c r="M900" s="68">
        <v>0</v>
      </c>
      <c r="N900" s="69">
        <v>0</v>
      </c>
      <c r="O900" s="65" t="str">
        <f>VLOOKUP(A900,Report_HQ1!$A$7:$C$95,3,FALSE)</f>
        <v>BV Gia Định</v>
      </c>
      <c r="P900" s="40" t="e">
        <f>VLOOKUP(C900,Sheet1!$U$4:$V$14,2,FALSE)</f>
        <v>#N/A</v>
      </c>
      <c r="Q900" s="88">
        <f t="shared" si="13"/>
        <v>0</v>
      </c>
    </row>
    <row r="901" spans="1:17" x14ac:dyDescent="0.25">
      <c r="A901" s="85" t="s">
        <v>309</v>
      </c>
      <c r="B901" s="65" t="s">
        <v>167</v>
      </c>
      <c r="C901" s="65" t="s">
        <v>391</v>
      </c>
      <c r="D901" s="66">
        <v>2146890326</v>
      </c>
      <c r="E901" s="65">
        <v>2049884996</v>
      </c>
      <c r="F901" s="67">
        <v>113624688.95655349</v>
      </c>
      <c r="G901" s="68">
        <v>0</v>
      </c>
      <c r="H901" s="68">
        <v>113624688.95655349</v>
      </c>
      <c r="I901" s="68">
        <v>0</v>
      </c>
      <c r="J901" s="68">
        <v>312961393</v>
      </c>
      <c r="K901" s="68">
        <v>8791090</v>
      </c>
      <c r="L901" s="68">
        <v>36020580</v>
      </c>
      <c r="M901" s="68">
        <v>128824663</v>
      </c>
      <c r="N901" s="69">
        <v>600222414.95655346</v>
      </c>
      <c r="O901" s="65" t="str">
        <f>VLOOKUP(A901,Report_HQ1!$A$7:$C$95,3,FALSE)</f>
        <v>BV Gia Định</v>
      </c>
      <c r="P901" s="40" t="str">
        <f>VLOOKUP(C901,Sheet1!$U$4:$V$14,2,FALSE)</f>
        <v>BH Kỹ thuật</v>
      </c>
      <c r="Q901" s="88">
        <f t="shared" si="13"/>
        <v>600222414.95655346</v>
      </c>
    </row>
    <row r="902" spans="1:17" x14ac:dyDescent="0.25">
      <c r="A902" s="85" t="s">
        <v>309</v>
      </c>
      <c r="B902" s="65" t="s">
        <v>167</v>
      </c>
      <c r="C902" s="65" t="s">
        <v>392</v>
      </c>
      <c r="D902" s="66">
        <v>8581743195</v>
      </c>
      <c r="E902" s="65">
        <v>2049884996</v>
      </c>
      <c r="F902" s="67">
        <v>454190831.00237256</v>
      </c>
      <c r="G902" s="68">
        <v>0</v>
      </c>
      <c r="H902" s="68">
        <v>454190831.00237256</v>
      </c>
      <c r="I902" s="68">
        <v>0</v>
      </c>
      <c r="J902" s="68">
        <v>101632837</v>
      </c>
      <c r="K902" s="68">
        <v>50816416</v>
      </c>
      <c r="L902" s="68">
        <v>1211416793</v>
      </c>
      <c r="M902" s="68">
        <v>472026646</v>
      </c>
      <c r="N902" s="69">
        <v>2290083523.0023727</v>
      </c>
      <c r="O902" s="65" t="str">
        <f>VLOOKUP(A902,Report_HQ1!$A$7:$C$95,3,FALSE)</f>
        <v>BV Gia Định</v>
      </c>
      <c r="P902" s="40" t="str">
        <f>VLOOKUP(C902,Sheet1!$U$4:$V$14,2,FALSE)</f>
        <v>BH Tài sản</v>
      </c>
      <c r="Q902" s="88">
        <f t="shared" si="13"/>
        <v>2290083523.0023727</v>
      </c>
    </row>
    <row r="903" spans="1:17" x14ac:dyDescent="0.25">
      <c r="A903" s="85" t="s">
        <v>309</v>
      </c>
      <c r="B903" s="65" t="s">
        <v>167</v>
      </c>
      <c r="C903" s="65" t="s">
        <v>393</v>
      </c>
      <c r="D903" s="66">
        <v>9160763853</v>
      </c>
      <c r="E903" s="65">
        <v>2049884996</v>
      </c>
      <c r="F903" s="67">
        <v>484835639.154845</v>
      </c>
      <c r="G903" s="68">
        <v>0</v>
      </c>
      <c r="H903" s="68">
        <v>484835639.154845</v>
      </c>
      <c r="I903" s="68">
        <v>0</v>
      </c>
      <c r="J903" s="68">
        <v>830592246</v>
      </c>
      <c r="K903" s="68">
        <v>412827376</v>
      </c>
      <c r="L903" s="68">
        <v>828134943</v>
      </c>
      <c r="M903" s="68">
        <v>503464234</v>
      </c>
      <c r="N903" s="69">
        <v>3059854438.1548452</v>
      </c>
      <c r="O903" s="65" t="str">
        <f>VLOOKUP(A903,Report_HQ1!$A$7:$C$95,3,FALSE)</f>
        <v>BV Gia Định</v>
      </c>
      <c r="P903" s="40" t="str">
        <f>VLOOKUP(C903,Sheet1!$U$4:$V$14,2,FALSE)</f>
        <v>BH Xe cơ giới</v>
      </c>
      <c r="Q903" s="88">
        <f t="shared" si="13"/>
        <v>3059854438.1548452</v>
      </c>
    </row>
    <row r="904" spans="1:17" x14ac:dyDescent="0.25">
      <c r="A904" s="85" t="s">
        <v>309</v>
      </c>
      <c r="B904" s="65" t="s">
        <v>167</v>
      </c>
      <c r="C904" s="65" t="s">
        <v>394</v>
      </c>
      <c r="D904" s="66">
        <v>1753304786</v>
      </c>
      <c r="E904" s="65">
        <v>2049884996</v>
      </c>
      <c r="F904" s="67">
        <v>92794079.204997361</v>
      </c>
      <c r="G904" s="68">
        <v>0</v>
      </c>
      <c r="H904" s="68">
        <v>92794079.204997361</v>
      </c>
      <c r="I904" s="68">
        <v>115400</v>
      </c>
      <c r="J904" s="68">
        <v>346587805</v>
      </c>
      <c r="K904" s="68">
        <v>77201130</v>
      </c>
      <c r="L904" s="68">
        <v>82112266</v>
      </c>
      <c r="M904" s="68">
        <v>106555997</v>
      </c>
      <c r="N904" s="69">
        <v>705366677.2049973</v>
      </c>
      <c r="O904" s="65" t="str">
        <f>VLOOKUP(A904,Report_HQ1!$A$7:$C$95,3,FALSE)</f>
        <v>BV Gia Định</v>
      </c>
      <c r="P904" s="40" t="str">
        <f>VLOOKUP(C904,Sheet1!$U$4:$V$14,2,FALSE)</f>
        <v>BH Con người</v>
      </c>
      <c r="Q904" s="88">
        <f t="shared" si="13"/>
        <v>705366677.2049973</v>
      </c>
    </row>
    <row r="905" spans="1:17" x14ac:dyDescent="0.25">
      <c r="A905" s="85" t="s">
        <v>309</v>
      </c>
      <c r="B905" s="65" t="s">
        <v>167</v>
      </c>
      <c r="C905" s="65" t="s">
        <v>395</v>
      </c>
      <c r="D905" s="66">
        <v>0</v>
      </c>
      <c r="E905" s="65">
        <v>2049884996</v>
      </c>
      <c r="F905" s="67">
        <v>0</v>
      </c>
      <c r="G905" s="68">
        <v>0</v>
      </c>
      <c r="H905" s="68">
        <v>0</v>
      </c>
      <c r="I905" s="68">
        <v>0</v>
      </c>
      <c r="J905" s="68">
        <v>0</v>
      </c>
      <c r="K905" s="68">
        <v>0</v>
      </c>
      <c r="L905" s="68">
        <v>0</v>
      </c>
      <c r="M905" s="68">
        <v>0</v>
      </c>
      <c r="N905" s="69">
        <v>0</v>
      </c>
      <c r="O905" s="65" t="str">
        <f>VLOOKUP(A905,Report_HQ1!$A$7:$C$95,3,FALSE)</f>
        <v>BV Gia Định</v>
      </c>
      <c r="P905" s="40" t="e">
        <f>VLOOKUP(C905,Sheet1!$U$4:$V$14,2,FALSE)</f>
        <v>#N/A</v>
      </c>
      <c r="Q905" s="88">
        <f t="shared" si="13"/>
        <v>0</v>
      </c>
    </row>
    <row r="906" spans="1:17" x14ac:dyDescent="0.25">
      <c r="A906" s="85" t="s">
        <v>309</v>
      </c>
      <c r="B906" s="65" t="s">
        <v>167</v>
      </c>
      <c r="C906" s="65" t="s">
        <v>396</v>
      </c>
      <c r="D906" s="66">
        <v>7462779261</v>
      </c>
      <c r="E906" s="65">
        <v>2049884996</v>
      </c>
      <c r="F906" s="67">
        <v>394969394.57658315</v>
      </c>
      <c r="G906" s="68">
        <v>0</v>
      </c>
      <c r="H906" s="68">
        <v>394969394.57658315</v>
      </c>
      <c r="I906" s="68">
        <v>0</v>
      </c>
      <c r="J906" s="68">
        <v>778609514</v>
      </c>
      <c r="K906" s="68">
        <v>131227730</v>
      </c>
      <c r="L906" s="68">
        <v>17265353</v>
      </c>
      <c r="M906" s="68">
        <v>291155872</v>
      </c>
      <c r="N906" s="69">
        <v>1613227863.5765831</v>
      </c>
      <c r="O906" s="65" t="str">
        <f>VLOOKUP(A906,Report_HQ1!$A$7:$C$95,3,FALSE)</f>
        <v>BV Gia Định</v>
      </c>
      <c r="P906" s="40" t="str">
        <f>VLOOKUP(C906,Sheet1!$U$4:$V$14,2,FALSE)</f>
        <v>BH Y tế</v>
      </c>
      <c r="Q906" s="88">
        <f t="shared" si="13"/>
        <v>1613227863.5765831</v>
      </c>
    </row>
    <row r="907" spans="1:17" x14ac:dyDescent="0.25">
      <c r="A907" s="85" t="s">
        <v>309</v>
      </c>
      <c r="B907" s="65" t="s">
        <v>167</v>
      </c>
      <c r="C907" s="65" t="s">
        <v>397</v>
      </c>
      <c r="D907" s="66">
        <v>369195600</v>
      </c>
      <c r="E907" s="65">
        <v>2049884996</v>
      </c>
      <c r="F907" s="67">
        <v>19539766.287124321</v>
      </c>
      <c r="G907" s="68">
        <v>0</v>
      </c>
      <c r="H907" s="68">
        <v>19539766.287124321</v>
      </c>
      <c r="I907" s="68">
        <v>0</v>
      </c>
      <c r="J907" s="68">
        <v>73839120</v>
      </c>
      <c r="K907" s="68">
        <v>73839120</v>
      </c>
      <c r="L907" s="68">
        <v>0</v>
      </c>
      <c r="M907" s="68">
        <v>29535648</v>
      </c>
      <c r="N907" s="69">
        <v>196753654.28712434</v>
      </c>
      <c r="O907" s="65" t="str">
        <f>VLOOKUP(A907,Report_HQ1!$A$7:$C$95,3,FALSE)</f>
        <v>BV Gia Định</v>
      </c>
      <c r="P907" s="40" t="str">
        <f>VLOOKUP(C907,Sheet1!$U$4:$V$14,2,FALSE)</f>
        <v>BH Du lịch</v>
      </c>
      <c r="Q907" s="88">
        <f t="shared" si="13"/>
        <v>196753654.28712434</v>
      </c>
    </row>
    <row r="908" spans="1:17" x14ac:dyDescent="0.25">
      <c r="A908" s="85" t="s">
        <v>336</v>
      </c>
      <c r="B908" s="65" t="s">
        <v>194</v>
      </c>
      <c r="C908" s="65" t="s">
        <v>387</v>
      </c>
      <c r="D908" s="66">
        <v>579246703</v>
      </c>
      <c r="E908" s="65">
        <v>3483992573</v>
      </c>
      <c r="F908" s="67">
        <v>44682986.893578865</v>
      </c>
      <c r="G908" s="68">
        <v>0</v>
      </c>
      <c r="H908" s="68">
        <v>44682986.893578865</v>
      </c>
      <c r="I908" s="68">
        <v>0</v>
      </c>
      <c r="J908" s="68">
        <v>7808391</v>
      </c>
      <c r="K908" s="68">
        <v>3904196</v>
      </c>
      <c r="L908" s="68">
        <v>98344288</v>
      </c>
      <c r="M908" s="68">
        <v>46339736</v>
      </c>
      <c r="N908" s="69">
        <v>201079597.89357886</v>
      </c>
      <c r="O908" s="65" t="str">
        <f>VLOOKUP(A908,Report_HQ1!$A$7:$C$95,3,FALSE)</f>
        <v>BV Phú Mỹ</v>
      </c>
      <c r="P908" s="40" t="str">
        <f>VLOOKUP(C908,Sheet1!$U$4:$V$14,2,FALSE)</f>
        <v>BH Hàng hóa</v>
      </c>
      <c r="Q908" s="88">
        <f t="shared" ref="Q908:Q971" si="14">N908</f>
        <v>201079597.89357886</v>
      </c>
    </row>
    <row r="909" spans="1:17" x14ac:dyDescent="0.25">
      <c r="A909" s="85" t="s">
        <v>336</v>
      </c>
      <c r="B909" s="65" t="s">
        <v>194</v>
      </c>
      <c r="C909" s="65" t="s">
        <v>272</v>
      </c>
      <c r="D909" s="66">
        <v>24317500</v>
      </c>
      <c r="E909" s="65">
        <v>3483992573</v>
      </c>
      <c r="F909" s="67">
        <v>1875847.5933605859</v>
      </c>
      <c r="G909" s="68">
        <v>0</v>
      </c>
      <c r="H909" s="68">
        <v>1875847.5933605859</v>
      </c>
      <c r="I909" s="68">
        <v>0</v>
      </c>
      <c r="J909" s="68">
        <v>0</v>
      </c>
      <c r="K909" s="68">
        <v>0</v>
      </c>
      <c r="L909" s="68">
        <v>5593025</v>
      </c>
      <c r="M909" s="68">
        <v>1459050</v>
      </c>
      <c r="N909" s="69">
        <v>8927922.5933605861</v>
      </c>
      <c r="O909" s="65" t="str">
        <f>VLOOKUP(A909,Report_HQ1!$A$7:$C$95,3,FALSE)</f>
        <v>BV Phú Mỹ</v>
      </c>
      <c r="P909" s="40" t="str">
        <f>VLOOKUP(C909,Sheet1!$U$4:$V$14,2,FALSE)</f>
        <v>Tàu khác</v>
      </c>
      <c r="Q909" s="88">
        <f t="shared" si="14"/>
        <v>8927922.5933605861</v>
      </c>
    </row>
    <row r="910" spans="1:17" x14ac:dyDescent="0.25">
      <c r="A910" s="85" t="s">
        <v>336</v>
      </c>
      <c r="B910" s="65" t="s">
        <v>194</v>
      </c>
      <c r="C910" s="65" t="s">
        <v>388</v>
      </c>
      <c r="D910" s="66">
        <v>1551971805</v>
      </c>
      <c r="E910" s="65">
        <v>3483992573</v>
      </c>
      <c r="F910" s="67">
        <v>119718826.99178511</v>
      </c>
      <c r="G910" s="68">
        <v>0</v>
      </c>
      <c r="H910" s="68">
        <v>119718826.99178511</v>
      </c>
      <c r="I910" s="68">
        <v>7759859</v>
      </c>
      <c r="J910" s="68">
        <v>12509633</v>
      </c>
      <c r="K910" s="68">
        <v>6254816</v>
      </c>
      <c r="L910" s="68">
        <v>97633437</v>
      </c>
      <c r="M910" s="68">
        <v>46559155</v>
      </c>
      <c r="N910" s="69">
        <v>290435726.99178511</v>
      </c>
      <c r="O910" s="65" t="str">
        <f>VLOOKUP(A910,Report_HQ1!$A$7:$C$95,3,FALSE)</f>
        <v>BV Phú Mỹ</v>
      </c>
      <c r="P910" s="40" t="str">
        <f>VLOOKUP(C910,Sheet1!$U$4:$V$14,2,FALSE)</f>
        <v>Hull (Thân tàu biển)</v>
      </c>
      <c r="Q910" s="88">
        <f t="shared" si="14"/>
        <v>290435726.99178511</v>
      </c>
    </row>
    <row r="911" spans="1:17" x14ac:dyDescent="0.25">
      <c r="A911" s="85" t="s">
        <v>336</v>
      </c>
      <c r="B911" s="65" t="s">
        <v>194</v>
      </c>
      <c r="C911" s="65" t="s">
        <v>23</v>
      </c>
      <c r="D911" s="66">
        <v>2672993325</v>
      </c>
      <c r="E911" s="65">
        <v>3483992573</v>
      </c>
      <c r="F911" s="67">
        <v>206194226.20623666</v>
      </c>
      <c r="G911" s="68">
        <v>-1319226</v>
      </c>
      <c r="H911" s="68">
        <v>204875000.20623666</v>
      </c>
      <c r="I911" s="68">
        <v>0</v>
      </c>
      <c r="J911" s="68">
        <v>43136025</v>
      </c>
      <c r="K911" s="68">
        <v>21568012</v>
      </c>
      <c r="L911" s="68">
        <v>440389225</v>
      </c>
      <c r="M911" s="68">
        <v>159438247</v>
      </c>
      <c r="N911" s="69">
        <v>869406509.2062366</v>
      </c>
      <c r="O911" s="65" t="str">
        <f>VLOOKUP(A911,Report_HQ1!$A$7:$C$95,3,FALSE)</f>
        <v>BV Phú Mỹ</v>
      </c>
      <c r="P911" s="40" t="str">
        <f>VLOOKUP(C911,Sheet1!$U$4:$V$14,2,FALSE)</f>
        <v>P&amp;I</v>
      </c>
      <c r="Q911" s="88">
        <f t="shared" si="14"/>
        <v>869406509.2062366</v>
      </c>
    </row>
    <row r="912" spans="1:17" x14ac:dyDescent="0.25">
      <c r="A912" s="85" t="s">
        <v>336</v>
      </c>
      <c r="B912" s="65" t="s">
        <v>194</v>
      </c>
      <c r="C912" s="65" t="s">
        <v>389</v>
      </c>
      <c r="D912" s="66">
        <v>289893037</v>
      </c>
      <c r="E912" s="65">
        <v>3483992573</v>
      </c>
      <c r="F912" s="67">
        <v>22362296.937943507</v>
      </c>
      <c r="G912" s="68">
        <v>0</v>
      </c>
      <c r="H912" s="68">
        <v>22362296.937943507</v>
      </c>
      <c r="I912" s="68">
        <v>0</v>
      </c>
      <c r="J912" s="68">
        <v>17367355</v>
      </c>
      <c r="K912" s="68">
        <v>1261648</v>
      </c>
      <c r="L912" s="68">
        <v>24157540</v>
      </c>
      <c r="M912" s="68">
        <v>21551407</v>
      </c>
      <c r="N912" s="69">
        <v>86700246.937943503</v>
      </c>
      <c r="O912" s="65" t="str">
        <f>VLOOKUP(A912,Report_HQ1!$A$7:$C$95,3,FALSE)</f>
        <v>BV Phú Mỹ</v>
      </c>
      <c r="P912" s="40" t="str">
        <f>VLOOKUP(C912,Sheet1!$U$4:$V$14,2,FALSE)</f>
        <v>BH Trách nhiệm</v>
      </c>
      <c r="Q912" s="88">
        <f t="shared" si="14"/>
        <v>86700246.937943503</v>
      </c>
    </row>
    <row r="913" spans="1:17" x14ac:dyDescent="0.25">
      <c r="A913" s="85" t="s">
        <v>336</v>
      </c>
      <c r="B913" s="65" t="s">
        <v>194</v>
      </c>
      <c r="C913" s="65" t="s">
        <v>390</v>
      </c>
      <c r="D913" s="66">
        <v>1022542835</v>
      </c>
      <c r="E913" s="65">
        <v>3483992573</v>
      </c>
      <c r="F913" s="67">
        <v>78878771.096653044</v>
      </c>
      <c r="G913" s="68">
        <v>0</v>
      </c>
      <c r="H913" s="68">
        <v>78878771.096653044</v>
      </c>
      <c r="I913" s="68">
        <v>0</v>
      </c>
      <c r="J913" s="68">
        <v>0</v>
      </c>
      <c r="K913" s="68">
        <v>0</v>
      </c>
      <c r="L913" s="68">
        <v>122398377</v>
      </c>
      <c r="M913" s="68">
        <v>25870334</v>
      </c>
      <c r="N913" s="69">
        <v>227147482.09665304</v>
      </c>
      <c r="O913" s="65" t="str">
        <f>VLOOKUP(A913,Report_HQ1!$A$7:$C$95,3,FALSE)</f>
        <v>BV Phú Mỹ</v>
      </c>
      <c r="P913" s="40" t="e">
        <f>VLOOKUP(C913,Sheet1!$U$4:$V$14,2,FALSE)</f>
        <v>#N/A</v>
      </c>
      <c r="Q913" s="88">
        <f t="shared" si="14"/>
        <v>227147482.09665304</v>
      </c>
    </row>
    <row r="914" spans="1:17" x14ac:dyDescent="0.25">
      <c r="A914" s="85" t="s">
        <v>336</v>
      </c>
      <c r="B914" s="65" t="s">
        <v>194</v>
      </c>
      <c r="C914" s="65" t="s">
        <v>391</v>
      </c>
      <c r="D914" s="66">
        <v>75583323</v>
      </c>
      <c r="E914" s="65">
        <v>3483992573</v>
      </c>
      <c r="F914" s="67">
        <v>5830483.9949725848</v>
      </c>
      <c r="G914" s="68">
        <v>0</v>
      </c>
      <c r="H914" s="68">
        <v>5830483.9949725848</v>
      </c>
      <c r="I914" s="68">
        <v>0</v>
      </c>
      <c r="J914" s="68">
        <v>5050560</v>
      </c>
      <c r="K914" s="68">
        <v>2525280</v>
      </c>
      <c r="L914" s="68">
        <v>7529991</v>
      </c>
      <c r="M914" s="68">
        <v>3634999</v>
      </c>
      <c r="N914" s="69">
        <v>24571313.994972587</v>
      </c>
      <c r="O914" s="65" t="str">
        <f>VLOOKUP(A914,Report_HQ1!$A$7:$C$95,3,FALSE)</f>
        <v>BV Phú Mỹ</v>
      </c>
      <c r="P914" s="40" t="str">
        <f>VLOOKUP(C914,Sheet1!$U$4:$V$14,2,FALSE)</f>
        <v>BH Kỹ thuật</v>
      </c>
      <c r="Q914" s="88">
        <f t="shared" si="14"/>
        <v>24571313.994972587</v>
      </c>
    </row>
    <row r="915" spans="1:17" x14ac:dyDescent="0.25">
      <c r="A915" s="85" t="s">
        <v>336</v>
      </c>
      <c r="B915" s="65" t="s">
        <v>194</v>
      </c>
      <c r="C915" s="65" t="s">
        <v>392</v>
      </c>
      <c r="D915" s="66">
        <v>7430921096</v>
      </c>
      <c r="E915" s="65">
        <v>3483992573</v>
      </c>
      <c r="F915" s="67">
        <v>573219922.04725015</v>
      </c>
      <c r="G915" s="68">
        <v>0</v>
      </c>
      <c r="H915" s="68">
        <v>573219922.04725015</v>
      </c>
      <c r="I915" s="68">
        <v>0</v>
      </c>
      <c r="J915" s="68">
        <v>165180897</v>
      </c>
      <c r="K915" s="68">
        <v>42068854</v>
      </c>
      <c r="L915" s="68">
        <v>871597477</v>
      </c>
      <c r="M915" s="68">
        <v>381050441</v>
      </c>
      <c r="N915" s="69">
        <v>2033117591.0472503</v>
      </c>
      <c r="O915" s="65" t="str">
        <f>VLOOKUP(A915,Report_HQ1!$A$7:$C$95,3,FALSE)</f>
        <v>BV Phú Mỹ</v>
      </c>
      <c r="P915" s="40" t="str">
        <f>VLOOKUP(C915,Sheet1!$U$4:$V$14,2,FALSE)</f>
        <v>BH Tài sản</v>
      </c>
      <c r="Q915" s="88">
        <f t="shared" si="14"/>
        <v>2033117591.0472503</v>
      </c>
    </row>
    <row r="916" spans="1:17" x14ac:dyDescent="0.25">
      <c r="A916" s="85" t="s">
        <v>336</v>
      </c>
      <c r="B916" s="65" t="s">
        <v>194</v>
      </c>
      <c r="C916" s="65" t="s">
        <v>393</v>
      </c>
      <c r="D916" s="66">
        <v>19846484794</v>
      </c>
      <c r="E916" s="65">
        <v>3483992573</v>
      </c>
      <c r="F916" s="67">
        <v>1530954281.3814068</v>
      </c>
      <c r="G916" s="68">
        <v>0</v>
      </c>
      <c r="H916" s="68">
        <v>1530954281.3814068</v>
      </c>
      <c r="I916" s="68">
        <v>0</v>
      </c>
      <c r="J916" s="68">
        <v>1223004804</v>
      </c>
      <c r="K916" s="68">
        <v>606263092</v>
      </c>
      <c r="L916" s="68">
        <v>2537227682</v>
      </c>
      <c r="M916" s="68">
        <v>1090937124</v>
      </c>
      <c r="N916" s="69">
        <v>6988386983.3814068</v>
      </c>
      <c r="O916" s="65" t="str">
        <f>VLOOKUP(A916,Report_HQ1!$A$7:$C$95,3,FALSE)</f>
        <v>BV Phú Mỹ</v>
      </c>
      <c r="P916" s="40" t="str">
        <f>VLOOKUP(C916,Sheet1!$U$4:$V$14,2,FALSE)</f>
        <v>BH Xe cơ giới</v>
      </c>
      <c r="Q916" s="88">
        <f t="shared" si="14"/>
        <v>6988386983.3814068</v>
      </c>
    </row>
    <row r="917" spans="1:17" x14ac:dyDescent="0.25">
      <c r="A917" s="85" t="s">
        <v>336</v>
      </c>
      <c r="B917" s="65" t="s">
        <v>194</v>
      </c>
      <c r="C917" s="65" t="s">
        <v>394</v>
      </c>
      <c r="D917" s="66">
        <v>373077765</v>
      </c>
      <c r="E917" s="65">
        <v>3483992573</v>
      </c>
      <c r="F917" s="67">
        <v>28779151.952774595</v>
      </c>
      <c r="G917" s="68">
        <v>0</v>
      </c>
      <c r="H917" s="68">
        <v>28779151.952774595</v>
      </c>
      <c r="I917" s="68">
        <v>0</v>
      </c>
      <c r="J917" s="68">
        <v>34046205</v>
      </c>
      <c r="K917" s="68">
        <v>8540551</v>
      </c>
      <c r="L917" s="68">
        <v>69786772</v>
      </c>
      <c r="M917" s="68">
        <v>22441045</v>
      </c>
      <c r="N917" s="69">
        <v>163593724.95277458</v>
      </c>
      <c r="O917" s="65" t="str">
        <f>VLOOKUP(A917,Report_HQ1!$A$7:$C$95,3,FALSE)</f>
        <v>BV Phú Mỹ</v>
      </c>
      <c r="P917" s="40" t="str">
        <f>VLOOKUP(C917,Sheet1!$U$4:$V$14,2,FALSE)</f>
        <v>BH Con người</v>
      </c>
      <c r="Q917" s="88">
        <f t="shared" si="14"/>
        <v>163593724.95277458</v>
      </c>
    </row>
    <row r="918" spans="1:17" x14ac:dyDescent="0.25">
      <c r="A918" s="85" t="s">
        <v>336</v>
      </c>
      <c r="B918" s="65" t="s">
        <v>194</v>
      </c>
      <c r="C918" s="65" t="s">
        <v>395</v>
      </c>
      <c r="D918" s="66">
        <v>0</v>
      </c>
      <c r="E918" s="65">
        <v>3483992573</v>
      </c>
      <c r="F918" s="67">
        <v>0</v>
      </c>
      <c r="G918" s="68">
        <v>0</v>
      </c>
      <c r="H918" s="68">
        <v>0</v>
      </c>
      <c r="I918" s="68">
        <v>0</v>
      </c>
      <c r="J918" s="68">
        <v>0</v>
      </c>
      <c r="K918" s="68">
        <v>0</v>
      </c>
      <c r="L918" s="68">
        <v>0</v>
      </c>
      <c r="M918" s="68">
        <v>0</v>
      </c>
      <c r="N918" s="69">
        <v>0</v>
      </c>
      <c r="O918" s="65" t="str">
        <f>VLOOKUP(A918,Report_HQ1!$A$7:$C$95,3,FALSE)</f>
        <v>BV Phú Mỹ</v>
      </c>
      <c r="P918" s="40" t="e">
        <f>VLOOKUP(C918,Sheet1!$U$4:$V$14,2,FALSE)</f>
        <v>#N/A</v>
      </c>
      <c r="Q918" s="88">
        <f t="shared" si="14"/>
        <v>0</v>
      </c>
    </row>
    <row r="919" spans="1:17" x14ac:dyDescent="0.25">
      <c r="A919" s="85" t="s">
        <v>336</v>
      </c>
      <c r="B919" s="65" t="s">
        <v>194</v>
      </c>
      <c r="C919" s="65" t="s">
        <v>396</v>
      </c>
      <c r="D919" s="66">
        <v>9469748739</v>
      </c>
      <c r="E919" s="65">
        <v>3483992573</v>
      </c>
      <c r="F919" s="67">
        <v>730494721.15894282</v>
      </c>
      <c r="G919" s="68">
        <v>0</v>
      </c>
      <c r="H919" s="68">
        <v>730494721.15894282</v>
      </c>
      <c r="I919" s="68">
        <v>0</v>
      </c>
      <c r="J919" s="68">
        <v>1056466998</v>
      </c>
      <c r="K919" s="68">
        <v>296736006</v>
      </c>
      <c r="L919" s="68">
        <v>-66156067</v>
      </c>
      <c r="M919" s="68">
        <v>278419236</v>
      </c>
      <c r="N919" s="69">
        <v>2295960894.1589427</v>
      </c>
      <c r="O919" s="65" t="str">
        <f>VLOOKUP(A919,Report_HQ1!$A$7:$C$95,3,FALSE)</f>
        <v>BV Phú Mỹ</v>
      </c>
      <c r="P919" s="40" t="str">
        <f>VLOOKUP(C919,Sheet1!$U$4:$V$14,2,FALSE)</f>
        <v>BH Y tế</v>
      </c>
      <c r="Q919" s="88">
        <f t="shared" si="14"/>
        <v>2295960894.1589427</v>
      </c>
    </row>
    <row r="920" spans="1:17" x14ac:dyDescent="0.25">
      <c r="A920" s="85" t="s">
        <v>336</v>
      </c>
      <c r="B920" s="65" t="s">
        <v>194</v>
      </c>
      <c r="C920" s="65" t="s">
        <v>397</v>
      </c>
      <c r="D920" s="66">
        <v>1827863420</v>
      </c>
      <c r="E920" s="65">
        <v>3483992573</v>
      </c>
      <c r="F920" s="67">
        <v>141001056.74509507</v>
      </c>
      <c r="G920" s="68">
        <v>0</v>
      </c>
      <c r="H920" s="68">
        <v>141001056.74509507</v>
      </c>
      <c r="I920" s="68">
        <v>0</v>
      </c>
      <c r="J920" s="68">
        <v>37338874</v>
      </c>
      <c r="K920" s="68">
        <v>37338874</v>
      </c>
      <c r="L920" s="68">
        <v>11197350</v>
      </c>
      <c r="M920" s="68">
        <v>17921510</v>
      </c>
      <c r="N920" s="69">
        <v>244797664.74509507</v>
      </c>
      <c r="O920" s="65" t="str">
        <f>VLOOKUP(A920,Report_HQ1!$A$7:$C$95,3,FALSE)</f>
        <v>BV Phú Mỹ</v>
      </c>
      <c r="P920" s="40" t="str">
        <f>VLOOKUP(C920,Sheet1!$U$4:$V$14,2,FALSE)</f>
        <v>BH Du lịch</v>
      </c>
      <c r="Q920" s="88">
        <f t="shared" si="14"/>
        <v>244797664.74509507</v>
      </c>
    </row>
    <row r="921" spans="1:17" x14ac:dyDescent="0.25">
      <c r="A921" s="85" t="s">
        <v>354</v>
      </c>
      <c r="B921" s="65" t="s">
        <v>413</v>
      </c>
      <c r="C921" s="65" t="s">
        <v>387</v>
      </c>
      <c r="D921" s="66">
        <v>5216059389</v>
      </c>
      <c r="E921" s="65">
        <v>3228750000</v>
      </c>
      <c r="F921" s="67">
        <v>154004594.67786893</v>
      </c>
      <c r="G921" s="68">
        <v>0</v>
      </c>
      <c r="H921" s="68">
        <v>154004594.67786893</v>
      </c>
      <c r="I921" s="68">
        <v>0</v>
      </c>
      <c r="J921" s="68">
        <v>508084522</v>
      </c>
      <c r="K921" s="68">
        <v>254042260</v>
      </c>
      <c r="L921" s="68">
        <v>228954050</v>
      </c>
      <c r="M921" s="68">
        <v>417297192</v>
      </c>
      <c r="N921" s="69">
        <v>1562382618.6778688</v>
      </c>
      <c r="O921" s="65" t="str">
        <f>VLOOKUP(A921,Report_HQ1!$A$7:$C$95,3,FALSE)</f>
        <v>BV Thành phố HCM</v>
      </c>
      <c r="P921" s="40" t="str">
        <f>VLOOKUP(C921,Sheet1!$U$4:$V$14,2,FALSE)</f>
        <v>BH Hàng hóa</v>
      </c>
      <c r="Q921" s="88">
        <f t="shared" si="14"/>
        <v>1562382618.6778688</v>
      </c>
    </row>
    <row r="922" spans="1:17" x14ac:dyDescent="0.25">
      <c r="A922" s="85" t="s">
        <v>354</v>
      </c>
      <c r="B922" s="65" t="s">
        <v>413</v>
      </c>
      <c r="C922" s="65" t="s">
        <v>272</v>
      </c>
      <c r="D922" s="66">
        <v>744911619</v>
      </c>
      <c r="E922" s="65">
        <v>3228750000</v>
      </c>
      <c r="F922" s="67">
        <v>21993578.561789285</v>
      </c>
      <c r="G922" s="68">
        <v>0</v>
      </c>
      <c r="H922" s="68">
        <v>21993578.561789285</v>
      </c>
      <c r="I922" s="68">
        <v>2256104</v>
      </c>
      <c r="J922" s="68">
        <v>111703515</v>
      </c>
      <c r="K922" s="68">
        <v>52128307</v>
      </c>
      <c r="L922" s="68">
        <v>7497851</v>
      </c>
      <c r="M922" s="68">
        <v>59588499</v>
      </c>
      <c r="N922" s="69">
        <v>255167854.56178927</v>
      </c>
      <c r="O922" s="65" t="str">
        <f>VLOOKUP(A922,Report_HQ1!$A$7:$C$95,3,FALSE)</f>
        <v>BV Thành phố HCM</v>
      </c>
      <c r="P922" s="40" t="str">
        <f>VLOOKUP(C922,Sheet1!$U$4:$V$14,2,FALSE)</f>
        <v>Tàu khác</v>
      </c>
      <c r="Q922" s="88">
        <f t="shared" si="14"/>
        <v>255167854.56178927</v>
      </c>
    </row>
    <row r="923" spans="1:17" x14ac:dyDescent="0.25">
      <c r="A923" s="85" t="s">
        <v>354</v>
      </c>
      <c r="B923" s="65" t="s">
        <v>413</v>
      </c>
      <c r="C923" s="65" t="s">
        <v>388</v>
      </c>
      <c r="D923" s="66">
        <v>2796191356</v>
      </c>
      <c r="E923" s="65">
        <v>3228750000</v>
      </c>
      <c r="F923" s="67">
        <v>82557786.310998738</v>
      </c>
      <c r="G923" s="68">
        <v>0</v>
      </c>
      <c r="H923" s="68">
        <v>82557786.310998738</v>
      </c>
      <c r="I923" s="68">
        <v>12729209</v>
      </c>
      <c r="J923" s="68">
        <v>152593969</v>
      </c>
      <c r="K923" s="68">
        <v>54284383</v>
      </c>
      <c r="L923" s="68">
        <v>6072384</v>
      </c>
      <c r="M923" s="68">
        <v>76375254</v>
      </c>
      <c r="N923" s="69">
        <v>384612985.31099874</v>
      </c>
      <c r="O923" s="65" t="str">
        <f>VLOOKUP(A923,Report_HQ1!$A$7:$C$95,3,FALSE)</f>
        <v>BV Thành phố HCM</v>
      </c>
      <c r="P923" s="40" t="str">
        <f>VLOOKUP(C923,Sheet1!$U$4:$V$14,2,FALSE)</f>
        <v>Hull (Thân tàu biển)</v>
      </c>
      <c r="Q923" s="88">
        <f t="shared" si="14"/>
        <v>384612985.31099874</v>
      </c>
    </row>
    <row r="924" spans="1:17" x14ac:dyDescent="0.25">
      <c r="A924" s="85" t="s">
        <v>354</v>
      </c>
      <c r="B924" s="65" t="s">
        <v>413</v>
      </c>
      <c r="C924" s="65" t="s">
        <v>23</v>
      </c>
      <c r="D924" s="66">
        <v>8397175036</v>
      </c>
      <c r="E924" s="65">
        <v>3228750000</v>
      </c>
      <c r="F924" s="67">
        <v>247927303.24073756</v>
      </c>
      <c r="G924" s="68">
        <v>0</v>
      </c>
      <c r="H924" s="68">
        <v>247927303.24073756</v>
      </c>
      <c r="I924" s="68">
        <v>0</v>
      </c>
      <c r="J924" s="68">
        <v>540364664</v>
      </c>
      <c r="K924" s="68">
        <v>64116845</v>
      </c>
      <c r="L924" s="68">
        <v>105266512</v>
      </c>
      <c r="M924" s="68">
        <v>262720641</v>
      </c>
      <c r="N924" s="69">
        <v>1220395965.2407374</v>
      </c>
      <c r="O924" s="65" t="str">
        <f>VLOOKUP(A924,Report_HQ1!$A$7:$C$95,3,FALSE)</f>
        <v>BV Thành phố HCM</v>
      </c>
      <c r="P924" s="40" t="str">
        <f>VLOOKUP(C924,Sheet1!$U$4:$V$14,2,FALSE)</f>
        <v>P&amp;I</v>
      </c>
      <c r="Q924" s="88">
        <f t="shared" si="14"/>
        <v>1220395965.2407374</v>
      </c>
    </row>
    <row r="925" spans="1:17" x14ac:dyDescent="0.25">
      <c r="A925" s="85" t="s">
        <v>354</v>
      </c>
      <c r="B925" s="65" t="s">
        <v>413</v>
      </c>
      <c r="C925" s="65" t="s">
        <v>389</v>
      </c>
      <c r="D925" s="66">
        <v>922287069</v>
      </c>
      <c r="E925" s="65">
        <v>3228750000</v>
      </c>
      <c r="F925" s="67">
        <v>27230603.726928677</v>
      </c>
      <c r="G925" s="68">
        <v>0</v>
      </c>
      <c r="H925" s="68">
        <v>27230603.726928677</v>
      </c>
      <c r="I925" s="68">
        <v>0</v>
      </c>
      <c r="J925" s="68">
        <v>41096166</v>
      </c>
      <c r="K925" s="68">
        <v>19893056</v>
      </c>
      <c r="L925" s="68">
        <v>63719402</v>
      </c>
      <c r="M925" s="68">
        <v>64331870</v>
      </c>
      <c r="N925" s="69">
        <v>216271097.72692868</v>
      </c>
      <c r="O925" s="65" t="str">
        <f>VLOOKUP(A925,Report_HQ1!$A$7:$C$95,3,FALSE)</f>
        <v>BV Thành phố HCM</v>
      </c>
      <c r="P925" s="40" t="str">
        <f>VLOOKUP(C925,Sheet1!$U$4:$V$14,2,FALSE)</f>
        <v>BH Trách nhiệm</v>
      </c>
      <c r="Q925" s="88">
        <f t="shared" si="14"/>
        <v>216271097.72692868</v>
      </c>
    </row>
    <row r="926" spans="1:17" x14ac:dyDescent="0.25">
      <c r="A926" s="85" t="s">
        <v>354</v>
      </c>
      <c r="B926" s="65" t="s">
        <v>413</v>
      </c>
      <c r="C926" s="65" t="s">
        <v>390</v>
      </c>
      <c r="D926" s="66">
        <v>10164600221</v>
      </c>
      <c r="E926" s="65">
        <v>3228750000</v>
      </c>
      <c r="F926" s="67">
        <v>300110681.33137041</v>
      </c>
      <c r="G926" s="68">
        <v>0</v>
      </c>
      <c r="H926" s="68">
        <v>300110681.33137041</v>
      </c>
      <c r="I926" s="68">
        <v>0</v>
      </c>
      <c r="J926" s="68">
        <v>0</v>
      </c>
      <c r="K926" s="68">
        <v>0</v>
      </c>
      <c r="L926" s="68">
        <v>1216702646</v>
      </c>
      <c r="M926" s="68">
        <v>257164386</v>
      </c>
      <c r="N926" s="69">
        <v>1773977713.3313704</v>
      </c>
      <c r="O926" s="65" t="str">
        <f>VLOOKUP(A926,Report_HQ1!$A$7:$C$95,3,FALSE)</f>
        <v>BV Thành phố HCM</v>
      </c>
      <c r="P926" s="40" t="e">
        <f>VLOOKUP(C926,Sheet1!$U$4:$V$14,2,FALSE)</f>
        <v>#N/A</v>
      </c>
      <c r="Q926" s="88">
        <f t="shared" si="14"/>
        <v>1773977713.3313704</v>
      </c>
    </row>
    <row r="927" spans="1:17" x14ac:dyDescent="0.25">
      <c r="A927" s="85" t="s">
        <v>354</v>
      </c>
      <c r="B927" s="65" t="s">
        <v>413</v>
      </c>
      <c r="C927" s="65" t="s">
        <v>391</v>
      </c>
      <c r="D927" s="66">
        <v>2433972813</v>
      </c>
      <c r="E927" s="65">
        <v>3228750000</v>
      </c>
      <c r="F927" s="67">
        <v>71863253.189469665</v>
      </c>
      <c r="G927" s="68">
        <v>0</v>
      </c>
      <c r="H927" s="68">
        <v>71863253.189469665</v>
      </c>
      <c r="I927" s="68">
        <v>0</v>
      </c>
      <c r="J927" s="68">
        <v>64119284</v>
      </c>
      <c r="K927" s="68">
        <v>26675977</v>
      </c>
      <c r="L927" s="68">
        <v>411921539</v>
      </c>
      <c r="M927" s="68">
        <v>146038369</v>
      </c>
      <c r="N927" s="69">
        <v>720618422.1894697</v>
      </c>
      <c r="O927" s="65" t="str">
        <f>VLOOKUP(A927,Report_HQ1!$A$7:$C$95,3,FALSE)</f>
        <v>BV Thành phố HCM</v>
      </c>
      <c r="P927" s="40" t="str">
        <f>VLOOKUP(C927,Sheet1!$U$4:$V$14,2,FALSE)</f>
        <v>BH Kỹ thuật</v>
      </c>
      <c r="Q927" s="88">
        <f t="shared" si="14"/>
        <v>720618422.1894697</v>
      </c>
    </row>
    <row r="928" spans="1:17" x14ac:dyDescent="0.25">
      <c r="A928" s="85" t="s">
        <v>354</v>
      </c>
      <c r="B928" s="65" t="s">
        <v>413</v>
      </c>
      <c r="C928" s="65" t="s">
        <v>392</v>
      </c>
      <c r="D928" s="66">
        <v>15380264866</v>
      </c>
      <c r="E928" s="65">
        <v>3228750000</v>
      </c>
      <c r="F928" s="67">
        <v>454103621.15924859</v>
      </c>
      <c r="G928" s="68">
        <v>0</v>
      </c>
      <c r="H928" s="68">
        <v>454103621.15924859</v>
      </c>
      <c r="I928" s="68">
        <v>0</v>
      </c>
      <c r="J928" s="68">
        <v>596357799</v>
      </c>
      <c r="K928" s="68">
        <v>187604904</v>
      </c>
      <c r="L928" s="68">
        <v>2129752861</v>
      </c>
      <c r="M928" s="68">
        <v>871379105</v>
      </c>
      <c r="N928" s="69">
        <v>4239198290.1592484</v>
      </c>
      <c r="O928" s="65" t="str">
        <f>VLOOKUP(A928,Report_HQ1!$A$7:$C$95,3,FALSE)</f>
        <v>BV Thành phố HCM</v>
      </c>
      <c r="P928" s="40" t="str">
        <f>VLOOKUP(C928,Sheet1!$U$4:$V$14,2,FALSE)</f>
        <v>BH Tài sản</v>
      </c>
      <c r="Q928" s="88">
        <f t="shared" si="14"/>
        <v>4239198290.1592484</v>
      </c>
    </row>
    <row r="929" spans="1:17" x14ac:dyDescent="0.25">
      <c r="A929" s="85" t="s">
        <v>354</v>
      </c>
      <c r="B929" s="65" t="s">
        <v>413</v>
      </c>
      <c r="C929" s="65" t="s">
        <v>393</v>
      </c>
      <c r="D929" s="66">
        <v>15299127002</v>
      </c>
      <c r="E929" s="65">
        <v>3228750000</v>
      </c>
      <c r="F929" s="67">
        <v>451708018.86133391</v>
      </c>
      <c r="G929" s="68">
        <v>0</v>
      </c>
      <c r="H929" s="68">
        <v>451708018.86133391</v>
      </c>
      <c r="I929" s="68">
        <v>0</v>
      </c>
      <c r="J929" s="68">
        <v>1318023158</v>
      </c>
      <c r="K929" s="68">
        <v>651831038</v>
      </c>
      <c r="L929" s="68">
        <v>1465599922</v>
      </c>
      <c r="M929" s="68">
        <v>840990337</v>
      </c>
      <c r="N929" s="69">
        <v>4728152473.8613338</v>
      </c>
      <c r="O929" s="65" t="str">
        <f>VLOOKUP(A929,Report_HQ1!$A$7:$C$95,3,FALSE)</f>
        <v>BV Thành phố HCM</v>
      </c>
      <c r="P929" s="40" t="str">
        <f>VLOOKUP(C929,Sheet1!$U$4:$V$14,2,FALSE)</f>
        <v>BH Xe cơ giới</v>
      </c>
      <c r="Q929" s="88">
        <f t="shared" si="14"/>
        <v>4728152473.8613338</v>
      </c>
    </row>
    <row r="930" spans="1:17" x14ac:dyDescent="0.25">
      <c r="A930" s="85" t="s">
        <v>354</v>
      </c>
      <c r="B930" s="65" t="s">
        <v>413</v>
      </c>
      <c r="C930" s="65" t="s">
        <v>394</v>
      </c>
      <c r="D930" s="66">
        <v>1989506592</v>
      </c>
      <c r="E930" s="65">
        <v>3228750000</v>
      </c>
      <c r="F930" s="67">
        <v>58740350.417798579</v>
      </c>
      <c r="G930" s="68">
        <v>0</v>
      </c>
      <c r="H930" s="68">
        <v>58740350.417798579</v>
      </c>
      <c r="I930" s="68">
        <v>3877758</v>
      </c>
      <c r="J930" s="68">
        <v>362116218</v>
      </c>
      <c r="K930" s="68">
        <v>75654503</v>
      </c>
      <c r="L930" s="68">
        <v>56377031</v>
      </c>
      <c r="M930" s="68">
        <v>121521990</v>
      </c>
      <c r="N930" s="69">
        <v>678287850.41779852</v>
      </c>
      <c r="O930" s="65" t="str">
        <f>VLOOKUP(A930,Report_HQ1!$A$7:$C$95,3,FALSE)</f>
        <v>BV Thành phố HCM</v>
      </c>
      <c r="P930" s="40" t="str">
        <f>VLOOKUP(C930,Sheet1!$U$4:$V$14,2,FALSE)</f>
        <v>BH Con người</v>
      </c>
      <c r="Q930" s="88">
        <f t="shared" si="14"/>
        <v>678287850.41779852</v>
      </c>
    </row>
    <row r="931" spans="1:17" x14ac:dyDescent="0.25">
      <c r="A931" s="85" t="s">
        <v>354</v>
      </c>
      <c r="B931" s="65" t="s">
        <v>413</v>
      </c>
      <c r="C931" s="65" t="s">
        <v>395</v>
      </c>
      <c r="D931" s="66">
        <v>0</v>
      </c>
      <c r="E931" s="65">
        <v>3228750000</v>
      </c>
      <c r="F931" s="67">
        <v>0</v>
      </c>
      <c r="G931" s="68">
        <v>0</v>
      </c>
      <c r="H931" s="68">
        <v>0</v>
      </c>
      <c r="I931" s="68">
        <v>0</v>
      </c>
      <c r="J931" s="68">
        <v>0</v>
      </c>
      <c r="K931" s="68">
        <v>0</v>
      </c>
      <c r="L931" s="68">
        <v>0</v>
      </c>
      <c r="M931" s="68">
        <v>0</v>
      </c>
      <c r="N931" s="69">
        <v>0</v>
      </c>
      <c r="O931" s="65" t="str">
        <f>VLOOKUP(A931,Report_HQ1!$A$7:$C$95,3,FALSE)</f>
        <v>BV Thành phố HCM</v>
      </c>
      <c r="P931" s="40" t="e">
        <f>VLOOKUP(C931,Sheet1!$U$4:$V$14,2,FALSE)</f>
        <v>#N/A</v>
      </c>
      <c r="Q931" s="88">
        <f t="shared" si="14"/>
        <v>0</v>
      </c>
    </row>
    <row r="932" spans="1:17" x14ac:dyDescent="0.25">
      <c r="A932" s="85" t="s">
        <v>354</v>
      </c>
      <c r="B932" s="65" t="s">
        <v>413</v>
      </c>
      <c r="C932" s="65" t="s">
        <v>396</v>
      </c>
      <c r="D932" s="66">
        <v>45043289031</v>
      </c>
      <c r="E932" s="65">
        <v>3228750000</v>
      </c>
      <c r="F932" s="67">
        <v>1329906918.7759306</v>
      </c>
      <c r="G932" s="68">
        <v>0</v>
      </c>
      <c r="H932" s="68">
        <v>1329906918.7759306</v>
      </c>
      <c r="I932" s="68">
        <v>0</v>
      </c>
      <c r="J932" s="68">
        <v>7318439885</v>
      </c>
      <c r="K932" s="68">
        <v>1191019468</v>
      </c>
      <c r="L932" s="68">
        <v>55244506</v>
      </c>
      <c r="M932" s="68">
        <v>2204203073</v>
      </c>
      <c r="N932" s="69">
        <v>12098813850.77593</v>
      </c>
      <c r="O932" s="65" t="str">
        <f>VLOOKUP(A932,Report_HQ1!$A$7:$C$95,3,FALSE)</f>
        <v>BV Thành phố HCM</v>
      </c>
      <c r="P932" s="40" t="str">
        <f>VLOOKUP(C932,Sheet1!$U$4:$V$14,2,FALSE)</f>
        <v>BH Y tế</v>
      </c>
      <c r="Q932" s="88">
        <f t="shared" si="14"/>
        <v>12098813850.77593</v>
      </c>
    </row>
    <row r="933" spans="1:17" x14ac:dyDescent="0.25">
      <c r="A933" s="85" t="s">
        <v>354</v>
      </c>
      <c r="B933" s="65" t="s">
        <v>413</v>
      </c>
      <c r="C933" s="65" t="s">
        <v>397</v>
      </c>
      <c r="D933" s="66">
        <v>968779265</v>
      </c>
      <c r="E933" s="65">
        <v>3228750000</v>
      </c>
      <c r="F933" s="67">
        <v>28603289.746524926</v>
      </c>
      <c r="G933" s="68">
        <v>0</v>
      </c>
      <c r="H933" s="68">
        <v>28603289.746524926</v>
      </c>
      <c r="I933" s="68">
        <v>0</v>
      </c>
      <c r="J933" s="68">
        <v>193725101</v>
      </c>
      <c r="K933" s="68">
        <v>193725101</v>
      </c>
      <c r="L933" s="68">
        <v>46128</v>
      </c>
      <c r="M933" s="68">
        <v>77502342</v>
      </c>
      <c r="N933" s="69">
        <v>493601961.74652493</v>
      </c>
      <c r="O933" s="65" t="str">
        <f>VLOOKUP(A933,Report_HQ1!$A$7:$C$95,3,FALSE)</f>
        <v>BV Thành phố HCM</v>
      </c>
      <c r="P933" s="40" t="str">
        <f>VLOOKUP(C933,Sheet1!$U$4:$V$14,2,FALSE)</f>
        <v>BH Du lịch</v>
      </c>
      <c r="Q933" s="88">
        <f t="shared" si="14"/>
        <v>493601961.74652493</v>
      </c>
    </row>
    <row r="934" spans="1:17" x14ac:dyDescent="0.25">
      <c r="A934" s="85" t="s">
        <v>318</v>
      </c>
      <c r="B934" s="65" t="s">
        <v>176</v>
      </c>
      <c r="C934" s="65" t="s">
        <v>387</v>
      </c>
      <c r="D934" s="66">
        <v>22420229</v>
      </c>
      <c r="E934" s="65">
        <v>818941501</v>
      </c>
      <c r="F934" s="67">
        <v>2708040.1153793205</v>
      </c>
      <c r="G934" s="68">
        <v>0</v>
      </c>
      <c r="H934" s="68">
        <v>2708040.1153793205</v>
      </c>
      <c r="I934" s="68">
        <v>0</v>
      </c>
      <c r="J934" s="68">
        <v>373200</v>
      </c>
      <c r="K934" s="68">
        <v>186600</v>
      </c>
      <c r="L934" s="68">
        <v>3700044</v>
      </c>
      <c r="M934" s="68">
        <v>1793618</v>
      </c>
      <c r="N934" s="69">
        <v>8761502.1153793205</v>
      </c>
      <c r="O934" s="65" t="str">
        <f>VLOOKUP(A934,Report_HQ1!$A$7:$C$95,3,FALSE)</f>
        <v>BV Hậu Giang</v>
      </c>
      <c r="P934" s="40" t="str">
        <f>VLOOKUP(C934,Sheet1!$U$4:$V$14,2,FALSE)</f>
        <v>BH Hàng hóa</v>
      </c>
      <c r="Q934" s="88">
        <f t="shared" si="14"/>
        <v>8761502.1153793205</v>
      </c>
    </row>
    <row r="935" spans="1:17" x14ac:dyDescent="0.25">
      <c r="A935" s="85" t="s">
        <v>318</v>
      </c>
      <c r="B935" s="65" t="s">
        <v>176</v>
      </c>
      <c r="C935" s="65" t="s">
        <v>272</v>
      </c>
      <c r="D935" s="66">
        <v>223862245</v>
      </c>
      <c r="E935" s="65">
        <v>818941501</v>
      </c>
      <c r="F935" s="67">
        <v>27039328.625005286</v>
      </c>
      <c r="G935" s="68">
        <v>0</v>
      </c>
      <c r="H935" s="68">
        <v>27039328.625005286</v>
      </c>
      <c r="I935" s="68">
        <v>523613</v>
      </c>
      <c r="J935" s="68">
        <v>-99129</v>
      </c>
      <c r="K935" s="68">
        <v>-46260</v>
      </c>
      <c r="L935" s="68">
        <v>51633705</v>
      </c>
      <c r="M935" s="68">
        <v>13418517</v>
      </c>
      <c r="N935" s="69">
        <v>92469774.62500529</v>
      </c>
      <c r="O935" s="65" t="str">
        <f>VLOOKUP(A935,Report_HQ1!$A$7:$C$95,3,FALSE)</f>
        <v>BV Hậu Giang</v>
      </c>
      <c r="P935" s="40" t="str">
        <f>VLOOKUP(C935,Sheet1!$U$4:$V$14,2,FALSE)</f>
        <v>Tàu khác</v>
      </c>
      <c r="Q935" s="88">
        <f t="shared" si="14"/>
        <v>92469774.62500529</v>
      </c>
    </row>
    <row r="936" spans="1:17" x14ac:dyDescent="0.25">
      <c r="A936" s="85" t="s">
        <v>318</v>
      </c>
      <c r="B936" s="65" t="s">
        <v>176</v>
      </c>
      <c r="C936" s="65" t="s">
        <v>388</v>
      </c>
      <c r="D936" s="66">
        <v>0</v>
      </c>
      <c r="E936" s="65">
        <v>818941501</v>
      </c>
      <c r="F936" s="67">
        <v>0</v>
      </c>
      <c r="G936" s="68">
        <v>0</v>
      </c>
      <c r="H936" s="68">
        <v>0</v>
      </c>
      <c r="I936" s="68">
        <v>0</v>
      </c>
      <c r="J936" s="68">
        <v>0</v>
      </c>
      <c r="K936" s="68">
        <v>0</v>
      </c>
      <c r="L936" s="68">
        <v>0</v>
      </c>
      <c r="M936" s="68">
        <v>0</v>
      </c>
      <c r="N936" s="69">
        <v>0</v>
      </c>
      <c r="O936" s="65" t="str">
        <f>VLOOKUP(A936,Report_HQ1!$A$7:$C$95,3,FALSE)</f>
        <v>BV Hậu Giang</v>
      </c>
      <c r="P936" s="40" t="str">
        <f>VLOOKUP(C936,Sheet1!$U$4:$V$14,2,FALSE)</f>
        <v>Hull (Thân tàu biển)</v>
      </c>
      <c r="Q936" s="88">
        <f t="shared" si="14"/>
        <v>0</v>
      </c>
    </row>
    <row r="937" spans="1:17" x14ac:dyDescent="0.25">
      <c r="A937" s="85" t="s">
        <v>318</v>
      </c>
      <c r="B937" s="65" t="s">
        <v>176</v>
      </c>
      <c r="C937" s="65" t="s">
        <v>23</v>
      </c>
      <c r="D937" s="66">
        <v>0</v>
      </c>
      <c r="E937" s="65">
        <v>818941501</v>
      </c>
      <c r="F937" s="67">
        <v>0</v>
      </c>
      <c r="G937" s="68">
        <v>0</v>
      </c>
      <c r="H937" s="68">
        <v>0</v>
      </c>
      <c r="I937" s="68">
        <v>0</v>
      </c>
      <c r="J937" s="68">
        <v>0</v>
      </c>
      <c r="K937" s="68">
        <v>0</v>
      </c>
      <c r="L937" s="68">
        <v>0</v>
      </c>
      <c r="M937" s="68">
        <v>0</v>
      </c>
      <c r="N937" s="69">
        <v>0</v>
      </c>
      <c r="O937" s="65" t="str">
        <f>VLOOKUP(A937,Report_HQ1!$A$7:$C$95,3,FALSE)</f>
        <v>BV Hậu Giang</v>
      </c>
      <c r="P937" s="40" t="str">
        <f>VLOOKUP(C937,Sheet1!$U$4:$V$14,2,FALSE)</f>
        <v>P&amp;I</v>
      </c>
      <c r="Q937" s="88">
        <f t="shared" si="14"/>
        <v>0</v>
      </c>
    </row>
    <row r="938" spans="1:17" x14ac:dyDescent="0.25">
      <c r="A938" s="85" t="s">
        <v>318</v>
      </c>
      <c r="B938" s="65" t="s">
        <v>176</v>
      </c>
      <c r="C938" s="65" t="s">
        <v>389</v>
      </c>
      <c r="D938" s="66">
        <v>3000000</v>
      </c>
      <c r="E938" s="65">
        <v>818941501</v>
      </c>
      <c r="F938" s="67">
        <v>362356.70679982624</v>
      </c>
      <c r="G938" s="68">
        <v>0</v>
      </c>
      <c r="H938" s="68">
        <v>362356.70679982624</v>
      </c>
      <c r="I938" s="68">
        <v>0</v>
      </c>
      <c r="J938" s="68">
        <v>150000</v>
      </c>
      <c r="K938" s="68">
        <v>75000</v>
      </c>
      <c r="L938" s="68">
        <v>555000</v>
      </c>
      <c r="M938" s="68">
        <v>180000</v>
      </c>
      <c r="N938" s="69">
        <v>1322356.7067998261</v>
      </c>
      <c r="O938" s="65" t="str">
        <f>VLOOKUP(A938,Report_HQ1!$A$7:$C$95,3,FALSE)</f>
        <v>BV Hậu Giang</v>
      </c>
      <c r="P938" s="40" t="str">
        <f>VLOOKUP(C938,Sheet1!$U$4:$V$14,2,FALSE)</f>
        <v>BH Trách nhiệm</v>
      </c>
      <c r="Q938" s="88">
        <f t="shared" si="14"/>
        <v>1322356.7067998261</v>
      </c>
    </row>
    <row r="939" spans="1:17" x14ac:dyDescent="0.25">
      <c r="A939" s="85" t="s">
        <v>318</v>
      </c>
      <c r="B939" s="65" t="s">
        <v>176</v>
      </c>
      <c r="C939" s="65" t="s">
        <v>390</v>
      </c>
      <c r="D939" s="66">
        <v>0</v>
      </c>
      <c r="E939" s="65">
        <v>818941501</v>
      </c>
      <c r="F939" s="67">
        <v>0</v>
      </c>
      <c r="G939" s="68">
        <v>0</v>
      </c>
      <c r="H939" s="68">
        <v>0</v>
      </c>
      <c r="I939" s="68">
        <v>0</v>
      </c>
      <c r="J939" s="68">
        <v>0</v>
      </c>
      <c r="K939" s="68">
        <v>0</v>
      </c>
      <c r="L939" s="68">
        <v>0</v>
      </c>
      <c r="M939" s="68">
        <v>0</v>
      </c>
      <c r="N939" s="69">
        <v>0</v>
      </c>
      <c r="O939" s="65" t="str">
        <f>VLOOKUP(A939,Report_HQ1!$A$7:$C$95,3,FALSE)</f>
        <v>BV Hậu Giang</v>
      </c>
      <c r="P939" s="40" t="e">
        <f>VLOOKUP(C939,Sheet1!$U$4:$V$14,2,FALSE)</f>
        <v>#N/A</v>
      </c>
      <c r="Q939" s="88">
        <f t="shared" si="14"/>
        <v>0</v>
      </c>
    </row>
    <row r="940" spans="1:17" x14ac:dyDescent="0.25">
      <c r="A940" s="85" t="s">
        <v>318</v>
      </c>
      <c r="B940" s="65" t="s">
        <v>176</v>
      </c>
      <c r="C940" s="65" t="s">
        <v>391</v>
      </c>
      <c r="D940" s="66">
        <v>173562726</v>
      </c>
      <c r="E940" s="65">
        <v>818941501</v>
      </c>
      <c r="F940" s="67">
        <v>20963872.605520193</v>
      </c>
      <c r="G940" s="68">
        <v>0</v>
      </c>
      <c r="H940" s="68">
        <v>20963872.605520193</v>
      </c>
      <c r="I940" s="68">
        <v>0</v>
      </c>
      <c r="J940" s="68">
        <v>8852000</v>
      </c>
      <c r="K940" s="68">
        <v>4426000</v>
      </c>
      <c r="L940" s="68">
        <v>28829954</v>
      </c>
      <c r="M940" s="68">
        <v>10105909</v>
      </c>
      <c r="N940" s="69">
        <v>73177735.605520189</v>
      </c>
      <c r="O940" s="65" t="str">
        <f>VLOOKUP(A940,Report_HQ1!$A$7:$C$95,3,FALSE)</f>
        <v>BV Hậu Giang</v>
      </c>
      <c r="P940" s="40" t="str">
        <f>VLOOKUP(C940,Sheet1!$U$4:$V$14,2,FALSE)</f>
        <v>BH Kỹ thuật</v>
      </c>
      <c r="Q940" s="88">
        <f t="shared" si="14"/>
        <v>73177735.605520189</v>
      </c>
    </row>
    <row r="941" spans="1:17" x14ac:dyDescent="0.25">
      <c r="A941" s="85" t="s">
        <v>318</v>
      </c>
      <c r="B941" s="65" t="s">
        <v>176</v>
      </c>
      <c r="C941" s="65" t="s">
        <v>392</v>
      </c>
      <c r="D941" s="66">
        <v>386604484</v>
      </c>
      <c r="E941" s="65">
        <v>818941501</v>
      </c>
      <c r="F941" s="67">
        <v>46696242.552095369</v>
      </c>
      <c r="G941" s="68">
        <v>0</v>
      </c>
      <c r="H941" s="68">
        <v>46696242.552095369</v>
      </c>
      <c r="I941" s="68">
        <v>0</v>
      </c>
      <c r="J941" s="68">
        <v>18606756</v>
      </c>
      <c r="K941" s="68">
        <v>9303378</v>
      </c>
      <c r="L941" s="68">
        <v>37547275</v>
      </c>
      <c r="M941" s="68">
        <v>22584596</v>
      </c>
      <c r="N941" s="69">
        <v>134738247.55209535</v>
      </c>
      <c r="O941" s="65" t="str">
        <f>VLOOKUP(A941,Report_HQ1!$A$7:$C$95,3,FALSE)</f>
        <v>BV Hậu Giang</v>
      </c>
      <c r="P941" s="40" t="str">
        <f>VLOOKUP(C941,Sheet1!$U$4:$V$14,2,FALSE)</f>
        <v>BH Tài sản</v>
      </c>
      <c r="Q941" s="88">
        <f t="shared" si="14"/>
        <v>134738247.55209535</v>
      </c>
    </row>
    <row r="942" spans="1:17" x14ac:dyDescent="0.25">
      <c r="A942" s="85" t="s">
        <v>318</v>
      </c>
      <c r="B942" s="65" t="s">
        <v>176</v>
      </c>
      <c r="C942" s="65" t="s">
        <v>393</v>
      </c>
      <c r="D942" s="66">
        <v>3535203689</v>
      </c>
      <c r="E942" s="65">
        <v>818941501</v>
      </c>
      <c r="F942" s="67">
        <v>427001588.87087905</v>
      </c>
      <c r="G942" s="68">
        <v>0</v>
      </c>
      <c r="H942" s="68">
        <v>427001588.87087905</v>
      </c>
      <c r="I942" s="68">
        <v>0</v>
      </c>
      <c r="J942" s="68">
        <v>304111207</v>
      </c>
      <c r="K942" s="68">
        <v>152327331</v>
      </c>
      <c r="L942" s="68">
        <v>583155484</v>
      </c>
      <c r="M942" s="68">
        <v>209634111</v>
      </c>
      <c r="N942" s="69">
        <v>1676229721.8708792</v>
      </c>
      <c r="O942" s="65" t="str">
        <f>VLOOKUP(A942,Report_HQ1!$A$7:$C$95,3,FALSE)</f>
        <v>BV Hậu Giang</v>
      </c>
      <c r="P942" s="40" t="str">
        <f>VLOOKUP(C942,Sheet1!$U$4:$V$14,2,FALSE)</f>
        <v>BH Xe cơ giới</v>
      </c>
      <c r="Q942" s="88">
        <f t="shared" si="14"/>
        <v>1676229721.8708792</v>
      </c>
    </row>
    <row r="943" spans="1:17" x14ac:dyDescent="0.25">
      <c r="A943" s="85" t="s">
        <v>318</v>
      </c>
      <c r="B943" s="65" t="s">
        <v>176</v>
      </c>
      <c r="C943" s="65" t="s">
        <v>394</v>
      </c>
      <c r="D943" s="66">
        <v>1501190467</v>
      </c>
      <c r="E943" s="65">
        <v>818941501</v>
      </c>
      <c r="F943" s="67">
        <v>181322144.63380441</v>
      </c>
      <c r="G943" s="68">
        <v>0</v>
      </c>
      <c r="H943" s="68">
        <v>181322144.63380441</v>
      </c>
      <c r="I943" s="68">
        <v>402500</v>
      </c>
      <c r="J943" s="68">
        <v>264483469</v>
      </c>
      <c r="K943" s="68">
        <v>5796255</v>
      </c>
      <c r="L943" s="68">
        <v>15022836</v>
      </c>
      <c r="M943" s="68">
        <v>80557100</v>
      </c>
      <c r="N943" s="69">
        <v>547584304.63380444</v>
      </c>
      <c r="O943" s="65" t="str">
        <f>VLOOKUP(A943,Report_HQ1!$A$7:$C$95,3,FALSE)</f>
        <v>BV Hậu Giang</v>
      </c>
      <c r="P943" s="40" t="str">
        <f>VLOOKUP(C943,Sheet1!$U$4:$V$14,2,FALSE)</f>
        <v>BH Con người</v>
      </c>
      <c r="Q943" s="88">
        <f t="shared" si="14"/>
        <v>547584304.63380444</v>
      </c>
    </row>
    <row r="944" spans="1:17" x14ac:dyDescent="0.25">
      <c r="A944" s="85" t="s">
        <v>318</v>
      </c>
      <c r="B944" s="65" t="s">
        <v>176</v>
      </c>
      <c r="C944" s="65" t="s">
        <v>395</v>
      </c>
      <c r="D944" s="66">
        <v>0</v>
      </c>
      <c r="E944" s="65">
        <v>818941501</v>
      </c>
      <c r="F944" s="67">
        <v>0</v>
      </c>
      <c r="G944" s="68">
        <v>0</v>
      </c>
      <c r="H944" s="68">
        <v>0</v>
      </c>
      <c r="I944" s="68">
        <v>0</v>
      </c>
      <c r="J944" s="68">
        <v>0</v>
      </c>
      <c r="K944" s="68">
        <v>0</v>
      </c>
      <c r="L944" s="68">
        <v>0</v>
      </c>
      <c r="M944" s="68">
        <v>0</v>
      </c>
      <c r="N944" s="69">
        <v>0</v>
      </c>
      <c r="O944" s="65" t="str">
        <f>VLOOKUP(A944,Report_HQ1!$A$7:$C$95,3,FALSE)</f>
        <v>BV Hậu Giang</v>
      </c>
      <c r="P944" s="40" t="e">
        <f>VLOOKUP(C944,Sheet1!$U$4:$V$14,2,FALSE)</f>
        <v>#N/A</v>
      </c>
      <c r="Q944" s="88">
        <f t="shared" si="14"/>
        <v>0</v>
      </c>
    </row>
    <row r="945" spans="1:17" x14ac:dyDescent="0.25">
      <c r="A945" s="85" t="s">
        <v>318</v>
      </c>
      <c r="B945" s="65" t="s">
        <v>176</v>
      </c>
      <c r="C945" s="65" t="s">
        <v>396</v>
      </c>
      <c r="D945" s="66">
        <v>931876592</v>
      </c>
      <c r="E945" s="65">
        <v>818941501</v>
      </c>
      <c r="F945" s="67">
        <v>112557244.34032176</v>
      </c>
      <c r="G945" s="68">
        <v>0</v>
      </c>
      <c r="H945" s="68">
        <v>112557244.34032176</v>
      </c>
      <c r="I945" s="68">
        <v>0</v>
      </c>
      <c r="J945" s="68">
        <v>180674358</v>
      </c>
      <c r="K945" s="68">
        <v>90100992</v>
      </c>
      <c r="L945" s="68">
        <v>13980863</v>
      </c>
      <c r="M945" s="68">
        <v>69584308</v>
      </c>
      <c r="N945" s="69">
        <v>466897765.34032178</v>
      </c>
      <c r="O945" s="65" t="str">
        <f>VLOOKUP(A945,Report_HQ1!$A$7:$C$95,3,FALSE)</f>
        <v>BV Hậu Giang</v>
      </c>
      <c r="P945" s="40" t="str">
        <f>VLOOKUP(C945,Sheet1!$U$4:$V$14,2,FALSE)</f>
        <v>BH Y tế</v>
      </c>
      <c r="Q945" s="88">
        <f t="shared" si="14"/>
        <v>466897765.34032178</v>
      </c>
    </row>
    <row r="946" spans="1:17" x14ac:dyDescent="0.25">
      <c r="A946" s="85" t="s">
        <v>318</v>
      </c>
      <c r="B946" s="65" t="s">
        <v>176</v>
      </c>
      <c r="C946" s="65" t="s">
        <v>397</v>
      </c>
      <c r="D946" s="66">
        <v>2406600</v>
      </c>
      <c r="E946" s="65">
        <v>818941501</v>
      </c>
      <c r="F946" s="67">
        <v>290682.55019482056</v>
      </c>
      <c r="G946" s="68">
        <v>0</v>
      </c>
      <c r="H946" s="68">
        <v>290682.55019482056</v>
      </c>
      <c r="I946" s="68">
        <v>0</v>
      </c>
      <c r="J946" s="68">
        <v>481320</v>
      </c>
      <c r="K946" s="68">
        <v>481320</v>
      </c>
      <c r="L946" s="68">
        <v>0</v>
      </c>
      <c r="M946" s="68">
        <v>192528</v>
      </c>
      <c r="N946" s="69">
        <v>1445850.5501948206</v>
      </c>
      <c r="O946" s="65" t="str">
        <f>VLOOKUP(A946,Report_HQ1!$A$7:$C$95,3,FALSE)</f>
        <v>BV Hậu Giang</v>
      </c>
      <c r="P946" s="40" t="str">
        <f>VLOOKUP(C946,Sheet1!$U$4:$V$14,2,FALSE)</f>
        <v>BH Du lịch</v>
      </c>
      <c r="Q946" s="88">
        <f t="shared" si="14"/>
        <v>1445850.5501948206</v>
      </c>
    </row>
    <row r="947" spans="1:17" x14ac:dyDescent="0.25">
      <c r="A947" s="85" t="s">
        <v>302</v>
      </c>
      <c r="B947" s="65" t="s">
        <v>414</v>
      </c>
      <c r="C947" s="65" t="s">
        <v>387</v>
      </c>
      <c r="D947" s="66">
        <v>0</v>
      </c>
      <c r="E947" s="65">
        <v>469017750</v>
      </c>
      <c r="F947" s="67">
        <v>0</v>
      </c>
      <c r="G947" s="68">
        <v>0</v>
      </c>
      <c r="H947" s="68">
        <v>0</v>
      </c>
      <c r="I947" s="68">
        <v>0</v>
      </c>
      <c r="J947" s="68">
        <v>0</v>
      </c>
      <c r="K947" s="68">
        <v>0</v>
      </c>
      <c r="L947" s="68">
        <v>0</v>
      </c>
      <c r="M947" s="68">
        <v>0</v>
      </c>
      <c r="N947" s="69">
        <v>0</v>
      </c>
      <c r="O947" s="65" t="str">
        <f>VLOOKUP(A947,Report_HQ1!$A$7:$C$95,3,FALSE)</f>
        <v>BV Dak Nong</v>
      </c>
      <c r="P947" s="40" t="str">
        <f>VLOOKUP(C947,Sheet1!$U$4:$V$14,2,FALSE)</f>
        <v>BH Hàng hóa</v>
      </c>
      <c r="Q947" s="88">
        <f t="shared" si="14"/>
        <v>0</v>
      </c>
    </row>
    <row r="948" spans="1:17" x14ac:dyDescent="0.25">
      <c r="A948" s="85" t="s">
        <v>302</v>
      </c>
      <c r="B948" s="65" t="s">
        <v>414</v>
      </c>
      <c r="C948" s="65" t="s">
        <v>272</v>
      </c>
      <c r="D948" s="66">
        <v>0</v>
      </c>
      <c r="E948" s="65">
        <v>469017750</v>
      </c>
      <c r="F948" s="67">
        <v>0</v>
      </c>
      <c r="G948" s="68">
        <v>0</v>
      </c>
      <c r="H948" s="68">
        <v>0</v>
      </c>
      <c r="I948" s="68">
        <v>0</v>
      </c>
      <c r="J948" s="68">
        <v>0</v>
      </c>
      <c r="K948" s="68">
        <v>0</v>
      </c>
      <c r="L948" s="68">
        <v>0</v>
      </c>
      <c r="M948" s="68">
        <v>0</v>
      </c>
      <c r="N948" s="69">
        <v>0</v>
      </c>
      <c r="O948" s="65" t="str">
        <f>VLOOKUP(A948,Report_HQ1!$A$7:$C$95,3,FALSE)</f>
        <v>BV Dak Nong</v>
      </c>
      <c r="P948" s="40" t="str">
        <f>VLOOKUP(C948,Sheet1!$U$4:$V$14,2,FALSE)</f>
        <v>Tàu khác</v>
      </c>
      <c r="Q948" s="88">
        <f t="shared" si="14"/>
        <v>0</v>
      </c>
    </row>
    <row r="949" spans="1:17" x14ac:dyDescent="0.25">
      <c r="A949" s="85" t="s">
        <v>302</v>
      </c>
      <c r="B949" s="65" t="s">
        <v>414</v>
      </c>
      <c r="C949" s="65" t="s">
        <v>388</v>
      </c>
      <c r="D949" s="66">
        <v>0</v>
      </c>
      <c r="E949" s="65">
        <v>469017750</v>
      </c>
      <c r="F949" s="67">
        <v>0</v>
      </c>
      <c r="G949" s="68">
        <v>0</v>
      </c>
      <c r="H949" s="68">
        <v>0</v>
      </c>
      <c r="I949" s="68">
        <v>0</v>
      </c>
      <c r="J949" s="68">
        <v>0</v>
      </c>
      <c r="K949" s="68">
        <v>0</v>
      </c>
      <c r="L949" s="68">
        <v>0</v>
      </c>
      <c r="M949" s="68">
        <v>0</v>
      </c>
      <c r="N949" s="69">
        <v>0</v>
      </c>
      <c r="O949" s="65" t="str">
        <f>VLOOKUP(A949,Report_HQ1!$A$7:$C$95,3,FALSE)</f>
        <v>BV Dak Nong</v>
      </c>
      <c r="P949" s="40" t="str">
        <f>VLOOKUP(C949,Sheet1!$U$4:$V$14,2,FALSE)</f>
        <v>Hull (Thân tàu biển)</v>
      </c>
      <c r="Q949" s="88">
        <f t="shared" si="14"/>
        <v>0</v>
      </c>
    </row>
    <row r="950" spans="1:17" x14ac:dyDescent="0.25">
      <c r="A950" s="85" t="s">
        <v>302</v>
      </c>
      <c r="B950" s="65" t="s">
        <v>414</v>
      </c>
      <c r="C950" s="65" t="s">
        <v>23</v>
      </c>
      <c r="D950" s="66">
        <v>0</v>
      </c>
      <c r="E950" s="65">
        <v>469017750</v>
      </c>
      <c r="F950" s="67">
        <v>0</v>
      </c>
      <c r="G950" s="68">
        <v>0</v>
      </c>
      <c r="H950" s="68">
        <v>0</v>
      </c>
      <c r="I950" s="68">
        <v>0</v>
      </c>
      <c r="J950" s="68">
        <v>0</v>
      </c>
      <c r="K950" s="68">
        <v>0</v>
      </c>
      <c r="L950" s="68">
        <v>0</v>
      </c>
      <c r="M950" s="68">
        <v>0</v>
      </c>
      <c r="N950" s="69">
        <v>0</v>
      </c>
      <c r="O950" s="65" t="str">
        <f>VLOOKUP(A950,Report_HQ1!$A$7:$C$95,3,FALSE)</f>
        <v>BV Dak Nong</v>
      </c>
      <c r="P950" s="40" t="str">
        <f>VLOOKUP(C950,Sheet1!$U$4:$V$14,2,FALSE)</f>
        <v>P&amp;I</v>
      </c>
      <c r="Q950" s="88">
        <f t="shared" si="14"/>
        <v>0</v>
      </c>
    </row>
    <row r="951" spans="1:17" x14ac:dyDescent="0.25">
      <c r="A951" s="85" t="s">
        <v>302</v>
      </c>
      <c r="B951" s="65" t="s">
        <v>414</v>
      </c>
      <c r="C951" s="65" t="s">
        <v>389</v>
      </c>
      <c r="D951" s="66">
        <v>0</v>
      </c>
      <c r="E951" s="65">
        <v>469017750</v>
      </c>
      <c r="F951" s="67">
        <v>0</v>
      </c>
      <c r="G951" s="68">
        <v>0</v>
      </c>
      <c r="H951" s="68">
        <v>0</v>
      </c>
      <c r="I951" s="68">
        <v>0</v>
      </c>
      <c r="J951" s="68">
        <v>0</v>
      </c>
      <c r="K951" s="68">
        <v>0</v>
      </c>
      <c r="L951" s="68">
        <v>0</v>
      </c>
      <c r="M951" s="68">
        <v>0</v>
      </c>
      <c r="N951" s="69">
        <v>0</v>
      </c>
      <c r="O951" s="65" t="str">
        <f>VLOOKUP(A951,Report_HQ1!$A$7:$C$95,3,FALSE)</f>
        <v>BV Dak Nong</v>
      </c>
      <c r="P951" s="40" t="str">
        <f>VLOOKUP(C951,Sheet1!$U$4:$V$14,2,FALSE)</f>
        <v>BH Trách nhiệm</v>
      </c>
      <c r="Q951" s="88">
        <f t="shared" si="14"/>
        <v>0</v>
      </c>
    </row>
    <row r="952" spans="1:17" x14ac:dyDescent="0.25">
      <c r="A952" s="85" t="s">
        <v>302</v>
      </c>
      <c r="B952" s="65" t="s">
        <v>414</v>
      </c>
      <c r="C952" s="65" t="s">
        <v>390</v>
      </c>
      <c r="D952" s="66">
        <v>0</v>
      </c>
      <c r="E952" s="65">
        <v>469017750</v>
      </c>
      <c r="F952" s="67">
        <v>0</v>
      </c>
      <c r="G952" s="68">
        <v>0</v>
      </c>
      <c r="H952" s="68">
        <v>0</v>
      </c>
      <c r="I952" s="68">
        <v>0</v>
      </c>
      <c r="J952" s="68">
        <v>0</v>
      </c>
      <c r="K952" s="68">
        <v>0</v>
      </c>
      <c r="L952" s="68">
        <v>0</v>
      </c>
      <c r="M952" s="68">
        <v>0</v>
      </c>
      <c r="N952" s="69">
        <v>0</v>
      </c>
      <c r="O952" s="65" t="str">
        <f>VLOOKUP(A952,Report_HQ1!$A$7:$C$95,3,FALSE)</f>
        <v>BV Dak Nong</v>
      </c>
      <c r="P952" s="40" t="e">
        <f>VLOOKUP(C952,Sheet1!$U$4:$V$14,2,FALSE)</f>
        <v>#N/A</v>
      </c>
      <c r="Q952" s="88">
        <f t="shared" si="14"/>
        <v>0</v>
      </c>
    </row>
    <row r="953" spans="1:17" x14ac:dyDescent="0.25">
      <c r="A953" s="85" t="s">
        <v>302</v>
      </c>
      <c r="B953" s="65" t="s">
        <v>414</v>
      </c>
      <c r="C953" s="65" t="s">
        <v>391</v>
      </c>
      <c r="D953" s="66">
        <v>542684691</v>
      </c>
      <c r="E953" s="65">
        <v>469017750</v>
      </c>
      <c r="F953" s="67">
        <v>51248461.348117404</v>
      </c>
      <c r="G953" s="68">
        <v>0</v>
      </c>
      <c r="H953" s="68">
        <v>51248461.348117404</v>
      </c>
      <c r="I953" s="68">
        <v>0</v>
      </c>
      <c r="J953" s="68">
        <v>51695384</v>
      </c>
      <c r="K953" s="68">
        <v>25847692</v>
      </c>
      <c r="L953" s="68">
        <v>36186769</v>
      </c>
      <c r="M953" s="68">
        <v>31017231</v>
      </c>
      <c r="N953" s="69">
        <v>195995537.34811741</v>
      </c>
      <c r="O953" s="65" t="str">
        <f>VLOOKUP(A953,Report_HQ1!$A$7:$C$95,3,FALSE)</f>
        <v>BV Dak Nong</v>
      </c>
      <c r="P953" s="40" t="str">
        <f>VLOOKUP(C953,Sheet1!$U$4:$V$14,2,FALSE)</f>
        <v>BH Kỹ thuật</v>
      </c>
      <c r="Q953" s="88">
        <f t="shared" si="14"/>
        <v>195995537.34811741</v>
      </c>
    </row>
    <row r="954" spans="1:17" x14ac:dyDescent="0.25">
      <c r="A954" s="85" t="s">
        <v>302</v>
      </c>
      <c r="B954" s="65" t="s">
        <v>414</v>
      </c>
      <c r="C954" s="65" t="s">
        <v>392</v>
      </c>
      <c r="D954" s="66">
        <v>21655602</v>
      </c>
      <c r="E954" s="65">
        <v>469017750</v>
      </c>
      <c r="F954" s="67">
        <v>2045048.073904878</v>
      </c>
      <c r="G954" s="68">
        <v>0</v>
      </c>
      <c r="H954" s="68">
        <v>2045048.073904878</v>
      </c>
      <c r="I954" s="68">
        <v>0</v>
      </c>
      <c r="J954" s="68">
        <v>163636</v>
      </c>
      <c r="K954" s="68">
        <v>81818</v>
      </c>
      <c r="L954" s="68">
        <v>1077546</v>
      </c>
      <c r="M954" s="68">
        <v>180409</v>
      </c>
      <c r="N954" s="69">
        <v>3548457.073904878</v>
      </c>
      <c r="O954" s="65" t="str">
        <f>VLOOKUP(A954,Report_HQ1!$A$7:$C$95,3,FALSE)</f>
        <v>BV Dak Nong</v>
      </c>
      <c r="P954" s="40" t="str">
        <f>VLOOKUP(C954,Sheet1!$U$4:$V$14,2,FALSE)</f>
        <v>BH Tài sản</v>
      </c>
      <c r="Q954" s="88">
        <f t="shared" si="14"/>
        <v>3548457.073904878</v>
      </c>
    </row>
    <row r="955" spans="1:17" x14ac:dyDescent="0.25">
      <c r="A955" s="85" t="s">
        <v>302</v>
      </c>
      <c r="B955" s="65" t="s">
        <v>414</v>
      </c>
      <c r="C955" s="65" t="s">
        <v>393</v>
      </c>
      <c r="D955" s="66">
        <v>2708232503</v>
      </c>
      <c r="E955" s="65">
        <v>469017750</v>
      </c>
      <c r="F955" s="67">
        <v>255752098.87708208</v>
      </c>
      <c r="G955" s="68">
        <v>0</v>
      </c>
      <c r="H955" s="68">
        <v>255752098.87708208</v>
      </c>
      <c r="I955" s="68">
        <v>0</v>
      </c>
      <c r="J955" s="68">
        <v>251460911</v>
      </c>
      <c r="K955" s="68">
        <v>125730455</v>
      </c>
      <c r="L955" s="68">
        <v>241296880</v>
      </c>
      <c r="M955" s="68">
        <v>161856094</v>
      </c>
      <c r="N955" s="69">
        <v>1036096438.8770821</v>
      </c>
      <c r="O955" s="65" t="str">
        <f>VLOOKUP(A955,Report_HQ1!$A$7:$C$95,3,FALSE)</f>
        <v>BV Dak Nong</v>
      </c>
      <c r="P955" s="40" t="str">
        <f>VLOOKUP(C955,Sheet1!$U$4:$V$14,2,FALSE)</f>
        <v>BH Xe cơ giới</v>
      </c>
      <c r="Q955" s="88">
        <f t="shared" si="14"/>
        <v>1036096438.8770821</v>
      </c>
    </row>
    <row r="956" spans="1:17" x14ac:dyDescent="0.25">
      <c r="A956" s="85" t="s">
        <v>302</v>
      </c>
      <c r="B956" s="65" t="s">
        <v>414</v>
      </c>
      <c r="C956" s="65" t="s">
        <v>394</v>
      </c>
      <c r="D956" s="66">
        <v>1515283000</v>
      </c>
      <c r="E956" s="65">
        <v>469017750</v>
      </c>
      <c r="F956" s="67">
        <v>143095841.00090152</v>
      </c>
      <c r="G956" s="68">
        <v>0</v>
      </c>
      <c r="H956" s="68">
        <v>143095841.00090152</v>
      </c>
      <c r="I956" s="68">
        <v>615000</v>
      </c>
      <c r="J956" s="68">
        <v>221502030</v>
      </c>
      <c r="K956" s="68">
        <v>2482000</v>
      </c>
      <c r="L956" s="68">
        <v>85719191</v>
      </c>
      <c r="M956" s="68">
        <v>78249732</v>
      </c>
      <c r="N956" s="69">
        <v>531663794.00090152</v>
      </c>
      <c r="O956" s="65" t="str">
        <f>VLOOKUP(A956,Report_HQ1!$A$7:$C$95,3,FALSE)</f>
        <v>BV Dak Nong</v>
      </c>
      <c r="P956" s="40" t="str">
        <f>VLOOKUP(C956,Sheet1!$U$4:$V$14,2,FALSE)</f>
        <v>BH Con người</v>
      </c>
      <c r="Q956" s="88">
        <f t="shared" si="14"/>
        <v>531663794.00090152</v>
      </c>
    </row>
    <row r="957" spans="1:17" x14ac:dyDescent="0.25">
      <c r="A957" s="85" t="s">
        <v>302</v>
      </c>
      <c r="B957" s="65" t="s">
        <v>414</v>
      </c>
      <c r="C957" s="65" t="s">
        <v>395</v>
      </c>
      <c r="D957" s="66">
        <v>0</v>
      </c>
      <c r="E957" s="65">
        <v>469017750</v>
      </c>
      <c r="F957" s="67">
        <v>0</v>
      </c>
      <c r="G957" s="68">
        <v>0</v>
      </c>
      <c r="H957" s="68">
        <v>0</v>
      </c>
      <c r="I957" s="68">
        <v>0</v>
      </c>
      <c r="J957" s="68">
        <v>0</v>
      </c>
      <c r="K957" s="68">
        <v>0</v>
      </c>
      <c r="L957" s="68">
        <v>0</v>
      </c>
      <c r="M957" s="68">
        <v>0</v>
      </c>
      <c r="N957" s="69">
        <v>0</v>
      </c>
      <c r="O957" s="65" t="str">
        <f>VLOOKUP(A957,Report_HQ1!$A$7:$C$95,3,FALSE)</f>
        <v>BV Dak Nong</v>
      </c>
      <c r="P957" s="40" t="e">
        <f>VLOOKUP(C957,Sheet1!$U$4:$V$14,2,FALSE)</f>
        <v>#N/A</v>
      </c>
      <c r="Q957" s="88">
        <f t="shared" si="14"/>
        <v>0</v>
      </c>
    </row>
    <row r="958" spans="1:17" x14ac:dyDescent="0.25">
      <c r="A958" s="85" t="s">
        <v>302</v>
      </c>
      <c r="B958" s="65" t="s">
        <v>414</v>
      </c>
      <c r="C958" s="65" t="s">
        <v>396</v>
      </c>
      <c r="D958" s="66">
        <v>177029000</v>
      </c>
      <c r="E958" s="65">
        <v>469017750</v>
      </c>
      <c r="F958" s="67">
        <v>16717744.234277425</v>
      </c>
      <c r="G958" s="68">
        <v>0</v>
      </c>
      <c r="H958" s="68">
        <v>16717744.234277425</v>
      </c>
      <c r="I958" s="68">
        <v>0</v>
      </c>
      <c r="J958" s="68">
        <v>35405800</v>
      </c>
      <c r="K958" s="68">
        <v>7081160</v>
      </c>
      <c r="L958" s="68">
        <v>822255</v>
      </c>
      <c r="M958" s="68">
        <v>14225993</v>
      </c>
      <c r="N958" s="69">
        <v>74252952.234277427</v>
      </c>
      <c r="O958" s="65" t="str">
        <f>VLOOKUP(A958,Report_HQ1!$A$7:$C$95,3,FALSE)</f>
        <v>BV Dak Nong</v>
      </c>
      <c r="P958" s="40" t="str">
        <f>VLOOKUP(C958,Sheet1!$U$4:$V$14,2,FALSE)</f>
        <v>BH Y tế</v>
      </c>
      <c r="Q958" s="88">
        <f t="shared" si="14"/>
        <v>74252952.234277427</v>
      </c>
    </row>
    <row r="959" spans="1:17" x14ac:dyDescent="0.25">
      <c r="A959" s="85" t="s">
        <v>302</v>
      </c>
      <c r="B959" s="65" t="s">
        <v>414</v>
      </c>
      <c r="C959" s="65" t="s">
        <v>397</v>
      </c>
      <c r="D959" s="66">
        <v>1679000</v>
      </c>
      <c r="E959" s="65">
        <v>469017750</v>
      </c>
      <c r="F959" s="67">
        <v>158556.46571664416</v>
      </c>
      <c r="G959" s="68">
        <v>0</v>
      </c>
      <c r="H959" s="68">
        <v>158556.46571664416</v>
      </c>
      <c r="I959" s="68">
        <v>0</v>
      </c>
      <c r="J959" s="68">
        <v>335800</v>
      </c>
      <c r="K959" s="68">
        <v>335800</v>
      </c>
      <c r="L959" s="68">
        <v>0</v>
      </c>
      <c r="M959" s="68">
        <v>134320</v>
      </c>
      <c r="N959" s="69">
        <v>964476.46571664419</v>
      </c>
      <c r="O959" s="65" t="str">
        <f>VLOOKUP(A959,Report_HQ1!$A$7:$C$95,3,FALSE)</f>
        <v>BV Dak Nong</v>
      </c>
      <c r="P959" s="40" t="str">
        <f>VLOOKUP(C959,Sheet1!$U$4:$V$14,2,FALSE)</f>
        <v>BH Du lịch</v>
      </c>
      <c r="Q959" s="88">
        <f t="shared" si="14"/>
        <v>964476.46571664419</v>
      </c>
    </row>
    <row r="960" spans="1:17" x14ac:dyDescent="0.25">
      <c r="A960" s="85" t="s">
        <v>337</v>
      </c>
      <c r="B960" s="65" t="s">
        <v>195</v>
      </c>
      <c r="C960" s="65" t="s">
        <v>387</v>
      </c>
      <c r="D960" s="66">
        <v>115683977</v>
      </c>
      <c r="E960" s="65">
        <v>320250000</v>
      </c>
      <c r="F960" s="67">
        <v>7635396.9257553034</v>
      </c>
      <c r="G960" s="68">
        <v>0</v>
      </c>
      <c r="H960" s="68">
        <v>7635396.9257553034</v>
      </c>
      <c r="I960" s="68">
        <v>0</v>
      </c>
      <c r="J960" s="68">
        <v>11568398</v>
      </c>
      <c r="K960" s="68">
        <v>5784199</v>
      </c>
      <c r="L960" s="68">
        <v>4627359</v>
      </c>
      <c r="M960" s="68">
        <v>9254718</v>
      </c>
      <c r="N960" s="69">
        <v>38870070.925755307</v>
      </c>
      <c r="O960" s="65" t="str">
        <f>VLOOKUP(A960,Report_HQ1!$A$7:$C$95,3,FALSE)</f>
        <v>BV Phú Quốc</v>
      </c>
      <c r="P960" s="40" t="str">
        <f>VLOOKUP(C960,Sheet1!$U$4:$V$14,2,FALSE)</f>
        <v>BH Hàng hóa</v>
      </c>
      <c r="Q960" s="88">
        <f t="shared" si="14"/>
        <v>38870070.925755307</v>
      </c>
    </row>
    <row r="961" spans="1:17" x14ac:dyDescent="0.25">
      <c r="A961" s="85" t="s">
        <v>337</v>
      </c>
      <c r="B961" s="65" t="s">
        <v>195</v>
      </c>
      <c r="C961" s="65" t="s">
        <v>272</v>
      </c>
      <c r="D961" s="66">
        <v>318395954</v>
      </c>
      <c r="E961" s="65">
        <v>320250000</v>
      </c>
      <c r="F961" s="67">
        <v>21014833.267225303</v>
      </c>
      <c r="G961" s="68">
        <v>0</v>
      </c>
      <c r="H961" s="68">
        <v>21014833.267225303</v>
      </c>
      <c r="I961" s="68">
        <v>392083</v>
      </c>
      <c r="J961" s="68">
        <v>47759393</v>
      </c>
      <c r="K961" s="68">
        <v>22287716</v>
      </c>
      <c r="L961" s="68">
        <v>3183960</v>
      </c>
      <c r="M961" s="68">
        <v>25471676</v>
      </c>
      <c r="N961" s="69">
        <v>120109661.2672253</v>
      </c>
      <c r="O961" s="65" t="str">
        <f>VLOOKUP(A961,Report_HQ1!$A$7:$C$95,3,FALSE)</f>
        <v>BV Phú Quốc</v>
      </c>
      <c r="P961" s="40" t="str">
        <f>VLOOKUP(C961,Sheet1!$U$4:$V$14,2,FALSE)</f>
        <v>Tàu khác</v>
      </c>
      <c r="Q961" s="88">
        <f t="shared" si="14"/>
        <v>120109661.2672253</v>
      </c>
    </row>
    <row r="962" spans="1:17" x14ac:dyDescent="0.25">
      <c r="A962" s="85" t="s">
        <v>337</v>
      </c>
      <c r="B962" s="65" t="s">
        <v>195</v>
      </c>
      <c r="C962" s="65" t="s">
        <v>388</v>
      </c>
      <c r="D962" s="66">
        <v>0</v>
      </c>
      <c r="E962" s="65">
        <v>320250000</v>
      </c>
      <c r="F962" s="67">
        <v>0</v>
      </c>
      <c r="G962" s="68">
        <v>0</v>
      </c>
      <c r="H962" s="68">
        <v>0</v>
      </c>
      <c r="I962" s="68">
        <v>0</v>
      </c>
      <c r="J962" s="68">
        <v>0</v>
      </c>
      <c r="K962" s="68">
        <v>0</v>
      </c>
      <c r="L962" s="68">
        <v>0</v>
      </c>
      <c r="M962" s="68">
        <v>0</v>
      </c>
      <c r="N962" s="69">
        <v>0</v>
      </c>
      <c r="O962" s="65" t="str">
        <f>VLOOKUP(A962,Report_HQ1!$A$7:$C$95,3,FALSE)</f>
        <v>BV Phú Quốc</v>
      </c>
      <c r="P962" s="40" t="str">
        <f>VLOOKUP(C962,Sheet1!$U$4:$V$14,2,FALSE)</f>
        <v>Hull (Thân tàu biển)</v>
      </c>
      <c r="Q962" s="88">
        <f t="shared" si="14"/>
        <v>0</v>
      </c>
    </row>
    <row r="963" spans="1:17" x14ac:dyDescent="0.25">
      <c r="A963" s="85" t="s">
        <v>337</v>
      </c>
      <c r="B963" s="65" t="s">
        <v>195</v>
      </c>
      <c r="C963" s="65" t="s">
        <v>23</v>
      </c>
      <c r="D963" s="66">
        <v>0</v>
      </c>
      <c r="E963" s="65">
        <v>320250000</v>
      </c>
      <c r="F963" s="67">
        <v>0</v>
      </c>
      <c r="G963" s="68">
        <v>0</v>
      </c>
      <c r="H963" s="68">
        <v>0</v>
      </c>
      <c r="I963" s="68">
        <v>0</v>
      </c>
      <c r="J963" s="68">
        <v>0</v>
      </c>
      <c r="K963" s="68">
        <v>0</v>
      </c>
      <c r="L963" s="68">
        <v>0</v>
      </c>
      <c r="M963" s="68">
        <v>0</v>
      </c>
      <c r="N963" s="69">
        <v>0</v>
      </c>
      <c r="O963" s="65" t="str">
        <f>VLOOKUP(A963,Report_HQ1!$A$7:$C$95,3,FALSE)</f>
        <v>BV Phú Quốc</v>
      </c>
      <c r="P963" s="40" t="str">
        <f>VLOOKUP(C963,Sheet1!$U$4:$V$14,2,FALSE)</f>
        <v>P&amp;I</v>
      </c>
      <c r="Q963" s="88">
        <f t="shared" si="14"/>
        <v>0</v>
      </c>
    </row>
    <row r="964" spans="1:17" x14ac:dyDescent="0.25">
      <c r="A964" s="85" t="s">
        <v>337</v>
      </c>
      <c r="B964" s="65" t="s">
        <v>195</v>
      </c>
      <c r="C964" s="65" t="s">
        <v>389</v>
      </c>
      <c r="D964" s="66">
        <v>15500000</v>
      </c>
      <c r="E964" s="65">
        <v>320250000</v>
      </c>
      <c r="F964" s="67">
        <v>1023034.0918276624</v>
      </c>
      <c r="G964" s="68">
        <v>0</v>
      </c>
      <c r="H964" s="68">
        <v>1023034.0918276624</v>
      </c>
      <c r="I964" s="68">
        <v>0</v>
      </c>
      <c r="J964" s="68">
        <v>775000</v>
      </c>
      <c r="K964" s="68">
        <v>387500</v>
      </c>
      <c r="L964" s="68">
        <v>1162500</v>
      </c>
      <c r="M964" s="68">
        <v>1240000</v>
      </c>
      <c r="N964" s="69">
        <v>4588034.0918276627</v>
      </c>
      <c r="O964" s="65" t="str">
        <f>VLOOKUP(A964,Report_HQ1!$A$7:$C$95,3,FALSE)</f>
        <v>BV Phú Quốc</v>
      </c>
      <c r="P964" s="40" t="str">
        <f>VLOOKUP(C964,Sheet1!$U$4:$V$14,2,FALSE)</f>
        <v>BH Trách nhiệm</v>
      </c>
      <c r="Q964" s="88">
        <f t="shared" si="14"/>
        <v>4588034.0918276627</v>
      </c>
    </row>
    <row r="965" spans="1:17" x14ac:dyDescent="0.25">
      <c r="A965" s="85" t="s">
        <v>337</v>
      </c>
      <c r="B965" s="65" t="s">
        <v>195</v>
      </c>
      <c r="C965" s="65" t="s">
        <v>390</v>
      </c>
      <c r="D965" s="66">
        <v>0</v>
      </c>
      <c r="E965" s="65">
        <v>320250000</v>
      </c>
      <c r="F965" s="67">
        <v>0</v>
      </c>
      <c r="G965" s="68">
        <v>0</v>
      </c>
      <c r="H965" s="68">
        <v>0</v>
      </c>
      <c r="I965" s="68">
        <v>0</v>
      </c>
      <c r="J965" s="68">
        <v>0</v>
      </c>
      <c r="K965" s="68">
        <v>0</v>
      </c>
      <c r="L965" s="68">
        <v>0</v>
      </c>
      <c r="M965" s="68">
        <v>0</v>
      </c>
      <c r="N965" s="69">
        <v>0</v>
      </c>
      <c r="O965" s="65" t="str">
        <f>VLOOKUP(A965,Report_HQ1!$A$7:$C$95,3,FALSE)</f>
        <v>BV Phú Quốc</v>
      </c>
      <c r="P965" s="40" t="e">
        <f>VLOOKUP(C965,Sheet1!$U$4:$V$14,2,FALSE)</f>
        <v>#N/A</v>
      </c>
      <c r="Q965" s="88">
        <f t="shared" si="14"/>
        <v>0</v>
      </c>
    </row>
    <row r="966" spans="1:17" x14ac:dyDescent="0.25">
      <c r="A966" s="85" t="s">
        <v>337</v>
      </c>
      <c r="B966" s="65" t="s">
        <v>195</v>
      </c>
      <c r="C966" s="65" t="s">
        <v>391</v>
      </c>
      <c r="D966" s="66">
        <v>1543725740</v>
      </c>
      <c r="E966" s="65">
        <v>320250000</v>
      </c>
      <c r="F966" s="67">
        <v>101889294.22270234</v>
      </c>
      <c r="G966" s="68">
        <v>0</v>
      </c>
      <c r="H966" s="68">
        <v>101889294.22270234</v>
      </c>
      <c r="I966" s="68">
        <v>0</v>
      </c>
      <c r="J966" s="68">
        <v>0</v>
      </c>
      <c r="K966" s="68">
        <v>0</v>
      </c>
      <c r="L966" s="68">
        <v>277870633</v>
      </c>
      <c r="M966" s="68">
        <v>92623544</v>
      </c>
      <c r="N966" s="69">
        <v>472383471.22270232</v>
      </c>
      <c r="O966" s="65" t="str">
        <f>VLOOKUP(A966,Report_HQ1!$A$7:$C$95,3,FALSE)</f>
        <v>BV Phú Quốc</v>
      </c>
      <c r="P966" s="40" t="str">
        <f>VLOOKUP(C966,Sheet1!$U$4:$V$14,2,FALSE)</f>
        <v>BH Kỹ thuật</v>
      </c>
      <c r="Q966" s="88">
        <f t="shared" si="14"/>
        <v>472383471.22270232</v>
      </c>
    </row>
    <row r="967" spans="1:17" x14ac:dyDescent="0.25">
      <c r="A967" s="85" t="s">
        <v>337</v>
      </c>
      <c r="B967" s="65" t="s">
        <v>195</v>
      </c>
      <c r="C967" s="65" t="s">
        <v>392</v>
      </c>
      <c r="D967" s="66">
        <v>380791005</v>
      </c>
      <c r="E967" s="65">
        <v>320250000</v>
      </c>
      <c r="F967" s="67">
        <v>25133043.869439863</v>
      </c>
      <c r="G967" s="68">
        <v>0</v>
      </c>
      <c r="H967" s="68">
        <v>25133043.869439863</v>
      </c>
      <c r="I967" s="68">
        <v>0</v>
      </c>
      <c r="J967" s="68">
        <v>19355114</v>
      </c>
      <c r="K967" s="68">
        <v>9677558</v>
      </c>
      <c r="L967" s="68">
        <v>42739736</v>
      </c>
      <c r="M967" s="68">
        <v>22847460</v>
      </c>
      <c r="N967" s="69">
        <v>119752911.86943987</v>
      </c>
      <c r="O967" s="65" t="str">
        <f>VLOOKUP(A967,Report_HQ1!$A$7:$C$95,3,FALSE)</f>
        <v>BV Phú Quốc</v>
      </c>
      <c r="P967" s="40" t="str">
        <f>VLOOKUP(C967,Sheet1!$U$4:$V$14,2,FALSE)</f>
        <v>BH Tài sản</v>
      </c>
      <c r="Q967" s="88">
        <f t="shared" si="14"/>
        <v>119752911.86943987</v>
      </c>
    </row>
    <row r="968" spans="1:17" x14ac:dyDescent="0.25">
      <c r="A968" s="85" t="s">
        <v>337</v>
      </c>
      <c r="B968" s="65" t="s">
        <v>195</v>
      </c>
      <c r="C968" s="65" t="s">
        <v>393</v>
      </c>
      <c r="D968" s="66">
        <v>1955949683</v>
      </c>
      <c r="E968" s="65">
        <v>320250000</v>
      </c>
      <c r="F968" s="67">
        <v>129096981.13603286</v>
      </c>
      <c r="G968" s="68">
        <v>0</v>
      </c>
      <c r="H968" s="68">
        <v>129096981.13603286</v>
      </c>
      <c r="I968" s="68">
        <v>0</v>
      </c>
      <c r="J968" s="68">
        <v>164503203</v>
      </c>
      <c r="K968" s="68">
        <v>82251601</v>
      </c>
      <c r="L968" s="68">
        <v>211886947</v>
      </c>
      <c r="M968" s="68">
        <v>116936466</v>
      </c>
      <c r="N968" s="69">
        <v>704675198.13603282</v>
      </c>
      <c r="O968" s="65" t="str">
        <f>VLOOKUP(A968,Report_HQ1!$A$7:$C$95,3,FALSE)</f>
        <v>BV Phú Quốc</v>
      </c>
      <c r="P968" s="40" t="str">
        <f>VLOOKUP(C968,Sheet1!$U$4:$V$14,2,FALSE)</f>
        <v>BH Xe cơ giới</v>
      </c>
      <c r="Q968" s="88">
        <f t="shared" si="14"/>
        <v>704675198.13603282</v>
      </c>
    </row>
    <row r="969" spans="1:17" x14ac:dyDescent="0.25">
      <c r="A969" s="85" t="s">
        <v>337</v>
      </c>
      <c r="B969" s="65" t="s">
        <v>195</v>
      </c>
      <c r="C969" s="65" t="s">
        <v>394</v>
      </c>
      <c r="D969" s="66">
        <v>258319450</v>
      </c>
      <c r="E969" s="65">
        <v>320250000</v>
      </c>
      <c r="F969" s="67">
        <v>17049651.866591696</v>
      </c>
      <c r="G969" s="68">
        <v>0</v>
      </c>
      <c r="H969" s="68">
        <v>17049651.866591696</v>
      </c>
      <c r="I969" s="68">
        <v>200000</v>
      </c>
      <c r="J969" s="68">
        <v>43441378</v>
      </c>
      <c r="K969" s="68">
        <v>6037253</v>
      </c>
      <c r="L969" s="68">
        <v>8956133</v>
      </c>
      <c r="M969" s="68">
        <v>14561107</v>
      </c>
      <c r="N969" s="69">
        <v>90245522.866591692</v>
      </c>
      <c r="O969" s="65" t="str">
        <f>VLOOKUP(A969,Report_HQ1!$A$7:$C$95,3,FALSE)</f>
        <v>BV Phú Quốc</v>
      </c>
      <c r="P969" s="40" t="str">
        <f>VLOOKUP(C969,Sheet1!$U$4:$V$14,2,FALSE)</f>
        <v>BH Con người</v>
      </c>
      <c r="Q969" s="88">
        <f t="shared" si="14"/>
        <v>90245522.866591692</v>
      </c>
    </row>
    <row r="970" spans="1:17" x14ac:dyDescent="0.25">
      <c r="A970" s="85" t="s">
        <v>337</v>
      </c>
      <c r="B970" s="65" t="s">
        <v>195</v>
      </c>
      <c r="C970" s="65" t="s">
        <v>395</v>
      </c>
      <c r="D970" s="66">
        <v>0</v>
      </c>
      <c r="E970" s="65">
        <v>320250000</v>
      </c>
      <c r="F970" s="67">
        <v>0</v>
      </c>
      <c r="G970" s="68">
        <v>0</v>
      </c>
      <c r="H970" s="68">
        <v>0</v>
      </c>
      <c r="I970" s="68">
        <v>0</v>
      </c>
      <c r="J970" s="68">
        <v>0</v>
      </c>
      <c r="K970" s="68">
        <v>0</v>
      </c>
      <c r="L970" s="68">
        <v>0</v>
      </c>
      <c r="M970" s="68">
        <v>0</v>
      </c>
      <c r="N970" s="69">
        <v>0</v>
      </c>
      <c r="O970" s="65" t="str">
        <f>VLOOKUP(A970,Report_HQ1!$A$7:$C$95,3,FALSE)</f>
        <v>BV Phú Quốc</v>
      </c>
      <c r="P970" s="40" t="e">
        <f>VLOOKUP(C970,Sheet1!$U$4:$V$14,2,FALSE)</f>
        <v>#N/A</v>
      </c>
      <c r="Q970" s="88">
        <f t="shared" si="14"/>
        <v>0</v>
      </c>
    </row>
    <row r="971" spans="1:17" x14ac:dyDescent="0.25">
      <c r="A971" s="85" t="s">
        <v>337</v>
      </c>
      <c r="B971" s="65" t="s">
        <v>195</v>
      </c>
      <c r="C971" s="65" t="s">
        <v>396</v>
      </c>
      <c r="D971" s="66">
        <v>155699500</v>
      </c>
      <c r="E971" s="65">
        <v>320250000</v>
      </c>
      <c r="F971" s="67">
        <v>10276509.456807816</v>
      </c>
      <c r="G971" s="68">
        <v>0</v>
      </c>
      <c r="H971" s="68">
        <v>10276509.456807816</v>
      </c>
      <c r="I971" s="68">
        <v>0</v>
      </c>
      <c r="J971" s="68">
        <v>31139900</v>
      </c>
      <c r="K971" s="68">
        <v>5282380</v>
      </c>
      <c r="L971" s="68">
        <v>1062974</v>
      </c>
      <c r="M971" s="68">
        <v>12088063</v>
      </c>
      <c r="N971" s="69">
        <v>59849826.456807815</v>
      </c>
      <c r="O971" s="65" t="str">
        <f>VLOOKUP(A971,Report_HQ1!$A$7:$C$95,3,FALSE)</f>
        <v>BV Phú Quốc</v>
      </c>
      <c r="P971" s="40" t="str">
        <f>VLOOKUP(C971,Sheet1!$U$4:$V$14,2,FALSE)</f>
        <v>BH Y tế</v>
      </c>
      <c r="Q971" s="88">
        <f t="shared" si="14"/>
        <v>59849826.456807815</v>
      </c>
    </row>
    <row r="972" spans="1:17" x14ac:dyDescent="0.25">
      <c r="A972" s="85" t="s">
        <v>337</v>
      </c>
      <c r="B972" s="65" t="s">
        <v>195</v>
      </c>
      <c r="C972" s="65" t="s">
        <v>397</v>
      </c>
      <c r="D972" s="66">
        <v>108045720</v>
      </c>
      <c r="E972" s="65">
        <v>320250000</v>
      </c>
      <c r="F972" s="67">
        <v>7131255.1636171555</v>
      </c>
      <c r="G972" s="68">
        <v>0</v>
      </c>
      <c r="H972" s="68">
        <v>7131255.1636171555</v>
      </c>
      <c r="I972" s="68">
        <v>0</v>
      </c>
      <c r="J972" s="68">
        <v>21609144</v>
      </c>
      <c r="K972" s="68">
        <v>21609144</v>
      </c>
      <c r="L972" s="68">
        <v>0</v>
      </c>
      <c r="M972" s="68">
        <v>8643658</v>
      </c>
      <c r="N972" s="69">
        <v>58993201.163617156</v>
      </c>
      <c r="O972" s="65" t="str">
        <f>VLOOKUP(A972,Report_HQ1!$A$7:$C$95,3,FALSE)</f>
        <v>BV Phú Quốc</v>
      </c>
      <c r="P972" s="40" t="str">
        <f>VLOOKUP(C972,Sheet1!$U$4:$V$14,2,FALSE)</f>
        <v>BH Du lịch</v>
      </c>
      <c r="Q972" s="88">
        <f t="shared" ref="Q972:Q1035" si="15">N972</f>
        <v>58993201.163617156</v>
      </c>
    </row>
    <row r="973" spans="1:17" x14ac:dyDescent="0.25">
      <c r="A973" s="85" t="s">
        <v>304</v>
      </c>
      <c r="B973" s="65" t="s">
        <v>162</v>
      </c>
      <c r="C973" s="65" t="s">
        <v>387</v>
      </c>
      <c r="D973" s="66">
        <v>1848311440</v>
      </c>
      <c r="E973" s="65">
        <v>1490000000</v>
      </c>
      <c r="F973" s="67">
        <v>50817390.761446595</v>
      </c>
      <c r="G973" s="68">
        <v>0</v>
      </c>
      <c r="H973" s="68">
        <v>50817390.761446595</v>
      </c>
      <c r="I973" s="68">
        <v>0</v>
      </c>
      <c r="J973" s="68">
        <v>184831144</v>
      </c>
      <c r="K973" s="68">
        <v>92415573</v>
      </c>
      <c r="L973" s="68">
        <v>73932457</v>
      </c>
      <c r="M973" s="68">
        <v>147864915</v>
      </c>
      <c r="N973" s="69">
        <v>549861479.7614466</v>
      </c>
      <c r="O973" s="65" t="str">
        <f>VLOOKUP(A973,Report_HQ1!$A$7:$C$95,3,FALSE)</f>
        <v>BV Đình Vũ</v>
      </c>
      <c r="P973" s="40" t="str">
        <f>VLOOKUP(C973,Sheet1!$U$4:$V$14,2,FALSE)</f>
        <v>BH Hàng hóa</v>
      </c>
      <c r="Q973" s="88">
        <f t="shared" si="15"/>
        <v>549861479.7614466</v>
      </c>
    </row>
    <row r="974" spans="1:17" x14ac:dyDescent="0.25">
      <c r="A974" s="85" t="s">
        <v>304</v>
      </c>
      <c r="B974" s="65" t="s">
        <v>162</v>
      </c>
      <c r="C974" s="65" t="s">
        <v>272</v>
      </c>
      <c r="D974" s="66">
        <v>57710847</v>
      </c>
      <c r="E974" s="65">
        <v>1490000000</v>
      </c>
      <c r="F974" s="67">
        <v>1586699.4055791041</v>
      </c>
      <c r="G974" s="68">
        <v>0</v>
      </c>
      <c r="H974" s="68">
        <v>1586699.4055791041</v>
      </c>
      <c r="I974" s="68">
        <v>76221</v>
      </c>
      <c r="J974" s="68">
        <v>8656627</v>
      </c>
      <c r="K974" s="68">
        <v>4039759</v>
      </c>
      <c r="L974" s="68">
        <v>325108</v>
      </c>
      <c r="M974" s="68">
        <v>4112868</v>
      </c>
      <c r="N974" s="69">
        <v>18797282.405579105</v>
      </c>
      <c r="O974" s="65" t="str">
        <f>VLOOKUP(A974,Report_HQ1!$A$7:$C$95,3,FALSE)</f>
        <v>BV Đình Vũ</v>
      </c>
      <c r="P974" s="40" t="str">
        <f>VLOOKUP(C974,Sheet1!$U$4:$V$14,2,FALSE)</f>
        <v>Tàu khác</v>
      </c>
      <c r="Q974" s="88">
        <f t="shared" si="15"/>
        <v>18797282.405579105</v>
      </c>
    </row>
    <row r="975" spans="1:17" x14ac:dyDescent="0.25">
      <c r="A975" s="85" t="s">
        <v>304</v>
      </c>
      <c r="B975" s="65" t="s">
        <v>162</v>
      </c>
      <c r="C975" s="65" t="s">
        <v>388</v>
      </c>
      <c r="D975" s="66">
        <v>10433482004</v>
      </c>
      <c r="E975" s="65">
        <v>1490000000</v>
      </c>
      <c r="F975" s="67">
        <v>286857680.21853983</v>
      </c>
      <c r="G975" s="68">
        <v>0</v>
      </c>
      <c r="H975" s="68">
        <v>286857680.21853983</v>
      </c>
      <c r="I975" s="68">
        <v>50599642</v>
      </c>
      <c r="J975" s="68">
        <v>568604689</v>
      </c>
      <c r="K975" s="68">
        <v>208087303</v>
      </c>
      <c r="L975" s="68">
        <v>29301037</v>
      </c>
      <c r="M975" s="68">
        <v>291911195</v>
      </c>
      <c r="N975" s="69">
        <v>1435361546.2185397</v>
      </c>
      <c r="O975" s="65" t="str">
        <f>VLOOKUP(A975,Report_HQ1!$A$7:$C$95,3,FALSE)</f>
        <v>BV Đình Vũ</v>
      </c>
      <c r="P975" s="40" t="str">
        <f>VLOOKUP(C975,Sheet1!$U$4:$V$14,2,FALSE)</f>
        <v>Hull (Thân tàu biển)</v>
      </c>
      <c r="Q975" s="88">
        <f t="shared" si="15"/>
        <v>1435361546.2185397</v>
      </c>
    </row>
    <row r="976" spans="1:17" x14ac:dyDescent="0.25">
      <c r="A976" s="85" t="s">
        <v>304</v>
      </c>
      <c r="B976" s="65" t="s">
        <v>162</v>
      </c>
      <c r="C976" s="65" t="s">
        <v>23</v>
      </c>
      <c r="D976" s="66">
        <v>31473233027</v>
      </c>
      <c r="E976" s="65">
        <v>1490000000</v>
      </c>
      <c r="F976" s="67">
        <v>865323638.99621034</v>
      </c>
      <c r="G976" s="68">
        <v>-5187191</v>
      </c>
      <c r="H976" s="68">
        <v>860136447.99621034</v>
      </c>
      <c r="I976" s="68">
        <v>0</v>
      </c>
      <c r="J976" s="68">
        <v>1516389060</v>
      </c>
      <c r="K976" s="68">
        <v>382519700</v>
      </c>
      <c r="L976" s="68">
        <v>61223942</v>
      </c>
      <c r="M976" s="68">
        <v>813332574</v>
      </c>
      <c r="N976" s="69">
        <v>3633601723.9962101</v>
      </c>
      <c r="O976" s="65" t="str">
        <f>VLOOKUP(A976,Report_HQ1!$A$7:$C$95,3,FALSE)</f>
        <v>BV Đình Vũ</v>
      </c>
      <c r="P976" s="40" t="str">
        <f>VLOOKUP(C976,Sheet1!$U$4:$V$14,2,FALSE)</f>
        <v>P&amp;I</v>
      </c>
      <c r="Q976" s="88">
        <f t="shared" si="15"/>
        <v>3633601723.9962101</v>
      </c>
    </row>
    <row r="977" spans="1:17" x14ac:dyDescent="0.25">
      <c r="A977" s="85" t="s">
        <v>304</v>
      </c>
      <c r="B977" s="65" t="s">
        <v>162</v>
      </c>
      <c r="C977" s="65" t="s">
        <v>389</v>
      </c>
      <c r="D977" s="66">
        <v>196250000</v>
      </c>
      <c r="E977" s="65">
        <v>1490000000</v>
      </c>
      <c r="F977" s="67">
        <v>5395688.5842430834</v>
      </c>
      <c r="G977" s="68">
        <v>0</v>
      </c>
      <c r="H977" s="68">
        <v>5395688.5842430834</v>
      </c>
      <c r="I977" s="68">
        <v>0</v>
      </c>
      <c r="J977" s="68">
        <v>9812500</v>
      </c>
      <c r="K977" s="68">
        <v>4906250</v>
      </c>
      <c r="L977" s="68">
        <v>14718750</v>
      </c>
      <c r="M977" s="68">
        <v>15700000</v>
      </c>
      <c r="N977" s="69">
        <v>50533188.584243082</v>
      </c>
      <c r="O977" s="65" t="str">
        <f>VLOOKUP(A977,Report_HQ1!$A$7:$C$95,3,FALSE)</f>
        <v>BV Đình Vũ</v>
      </c>
      <c r="P977" s="40" t="str">
        <f>VLOOKUP(C977,Sheet1!$U$4:$V$14,2,FALSE)</f>
        <v>BH Trách nhiệm</v>
      </c>
      <c r="Q977" s="88">
        <f t="shared" si="15"/>
        <v>50533188.584243082</v>
      </c>
    </row>
    <row r="978" spans="1:17" x14ac:dyDescent="0.25">
      <c r="A978" s="85" t="s">
        <v>304</v>
      </c>
      <c r="B978" s="65" t="s">
        <v>162</v>
      </c>
      <c r="C978" s="65" t="s">
        <v>390</v>
      </c>
      <c r="D978" s="66">
        <v>1321668000</v>
      </c>
      <c r="E978" s="65">
        <v>1490000000</v>
      </c>
      <c r="F978" s="67">
        <v>36337879.947818533</v>
      </c>
      <c r="G978" s="68">
        <v>0</v>
      </c>
      <c r="H978" s="68">
        <v>36337879.947818533</v>
      </c>
      <c r="I978" s="68">
        <v>0</v>
      </c>
      <c r="J978" s="68">
        <v>0</v>
      </c>
      <c r="K978" s="68">
        <v>0</v>
      </c>
      <c r="L978" s="68">
        <v>158203660</v>
      </c>
      <c r="M978" s="68">
        <v>33438200</v>
      </c>
      <c r="N978" s="69">
        <v>227979739.94781852</v>
      </c>
      <c r="O978" s="65" t="str">
        <f>VLOOKUP(A978,Report_HQ1!$A$7:$C$95,3,FALSE)</f>
        <v>BV Đình Vũ</v>
      </c>
      <c r="P978" s="40" t="e">
        <f>VLOOKUP(C978,Sheet1!$U$4:$V$14,2,FALSE)</f>
        <v>#N/A</v>
      </c>
      <c r="Q978" s="88">
        <f t="shared" si="15"/>
        <v>227979739.94781852</v>
      </c>
    </row>
    <row r="979" spans="1:17" x14ac:dyDescent="0.25">
      <c r="A979" s="85" t="s">
        <v>304</v>
      </c>
      <c r="B979" s="65" t="s">
        <v>162</v>
      </c>
      <c r="C979" s="65" t="s">
        <v>391</v>
      </c>
      <c r="D979" s="66">
        <v>531047171</v>
      </c>
      <c r="E979" s="65">
        <v>1490000000</v>
      </c>
      <c r="F979" s="67">
        <v>14600586.793677883</v>
      </c>
      <c r="G979" s="68">
        <v>0</v>
      </c>
      <c r="H979" s="68">
        <v>14600586.793677883</v>
      </c>
      <c r="I979" s="68">
        <v>0</v>
      </c>
      <c r="J979" s="68">
        <v>985660</v>
      </c>
      <c r="K979" s="68">
        <v>492830</v>
      </c>
      <c r="L979" s="68">
        <v>652430</v>
      </c>
      <c r="M979" s="68">
        <v>687156</v>
      </c>
      <c r="N979" s="69">
        <v>17418662.793677881</v>
      </c>
      <c r="O979" s="65" t="str">
        <f>VLOOKUP(A979,Report_HQ1!$A$7:$C$95,3,FALSE)</f>
        <v>BV Đình Vũ</v>
      </c>
      <c r="P979" s="40" t="str">
        <f>VLOOKUP(C979,Sheet1!$U$4:$V$14,2,FALSE)</f>
        <v>BH Kỹ thuật</v>
      </c>
      <c r="Q979" s="88">
        <f t="shared" si="15"/>
        <v>17418662.793677881</v>
      </c>
    </row>
    <row r="980" spans="1:17" x14ac:dyDescent="0.25">
      <c r="A980" s="85" t="s">
        <v>304</v>
      </c>
      <c r="B980" s="65" t="s">
        <v>162</v>
      </c>
      <c r="C980" s="65" t="s">
        <v>392</v>
      </c>
      <c r="D980" s="66">
        <v>2656158569</v>
      </c>
      <c r="E980" s="65">
        <v>1490000000</v>
      </c>
      <c r="F980" s="67">
        <v>73028303.025185958</v>
      </c>
      <c r="G980" s="68">
        <v>0</v>
      </c>
      <c r="H980" s="68">
        <v>73028303.025185958</v>
      </c>
      <c r="I980" s="68">
        <v>0</v>
      </c>
      <c r="J980" s="68">
        <v>66148661</v>
      </c>
      <c r="K980" s="68">
        <v>33074329</v>
      </c>
      <c r="L980" s="68">
        <v>181476746</v>
      </c>
      <c r="M980" s="68">
        <v>77027469</v>
      </c>
      <c r="N980" s="69">
        <v>430755508.02518594</v>
      </c>
      <c r="O980" s="65" t="str">
        <f>VLOOKUP(A980,Report_HQ1!$A$7:$C$95,3,FALSE)</f>
        <v>BV Đình Vũ</v>
      </c>
      <c r="P980" s="40" t="str">
        <f>VLOOKUP(C980,Sheet1!$U$4:$V$14,2,FALSE)</f>
        <v>BH Tài sản</v>
      </c>
      <c r="Q980" s="88">
        <f t="shared" si="15"/>
        <v>430755508.02518594</v>
      </c>
    </row>
    <row r="981" spans="1:17" x14ac:dyDescent="0.25">
      <c r="A981" s="85" t="s">
        <v>304</v>
      </c>
      <c r="B981" s="65" t="s">
        <v>162</v>
      </c>
      <c r="C981" s="65" t="s">
        <v>393</v>
      </c>
      <c r="D981" s="66">
        <v>4861261792</v>
      </c>
      <c r="E981" s="65">
        <v>1490000000</v>
      </c>
      <c r="F981" s="67">
        <v>133655310.85916676</v>
      </c>
      <c r="G981" s="68">
        <v>0</v>
      </c>
      <c r="H981" s="68">
        <v>133655310.85916676</v>
      </c>
      <c r="I981" s="68">
        <v>0</v>
      </c>
      <c r="J981" s="68">
        <v>424569273</v>
      </c>
      <c r="K981" s="68">
        <v>212284637</v>
      </c>
      <c r="L981" s="68">
        <v>646675210</v>
      </c>
      <c r="M981" s="68">
        <v>291594328</v>
      </c>
      <c r="N981" s="69">
        <v>1708778758.8591666</v>
      </c>
      <c r="O981" s="65" t="str">
        <f>VLOOKUP(A981,Report_HQ1!$A$7:$C$95,3,FALSE)</f>
        <v>BV Đình Vũ</v>
      </c>
      <c r="P981" s="40" t="str">
        <f>VLOOKUP(C981,Sheet1!$U$4:$V$14,2,FALSE)</f>
        <v>BH Xe cơ giới</v>
      </c>
      <c r="Q981" s="88">
        <f t="shared" si="15"/>
        <v>1708778758.8591666</v>
      </c>
    </row>
    <row r="982" spans="1:17" x14ac:dyDescent="0.25">
      <c r="A982" s="85" t="s">
        <v>304</v>
      </c>
      <c r="B982" s="65" t="s">
        <v>162</v>
      </c>
      <c r="C982" s="65" t="s">
        <v>394</v>
      </c>
      <c r="D982" s="66">
        <v>170525046</v>
      </c>
      <c r="E982" s="65">
        <v>1490000000</v>
      </c>
      <c r="F982" s="67">
        <v>4688407.8676673966</v>
      </c>
      <c r="G982" s="68">
        <v>0</v>
      </c>
      <c r="H982" s="68">
        <v>4688407.8676673966</v>
      </c>
      <c r="I982" s="68">
        <v>0</v>
      </c>
      <c r="J982" s="68">
        <v>34105009</v>
      </c>
      <c r="K982" s="68">
        <v>8348628</v>
      </c>
      <c r="L982" s="68">
        <v>8348628</v>
      </c>
      <c r="M982" s="68">
        <v>11459627</v>
      </c>
      <c r="N982" s="69">
        <v>66950299.867667399</v>
      </c>
      <c r="O982" s="65" t="str">
        <f>VLOOKUP(A982,Report_HQ1!$A$7:$C$95,3,FALSE)</f>
        <v>BV Đình Vũ</v>
      </c>
      <c r="P982" s="40" t="str">
        <f>VLOOKUP(C982,Sheet1!$U$4:$V$14,2,FALSE)</f>
        <v>BH Con người</v>
      </c>
      <c r="Q982" s="88">
        <f t="shared" si="15"/>
        <v>66950299.867667399</v>
      </c>
    </row>
    <row r="983" spans="1:17" x14ac:dyDescent="0.25">
      <c r="A983" s="85" t="s">
        <v>304</v>
      </c>
      <c r="B983" s="65" t="s">
        <v>162</v>
      </c>
      <c r="C983" s="65" t="s">
        <v>395</v>
      </c>
      <c r="D983" s="66">
        <v>0</v>
      </c>
      <c r="E983" s="65">
        <v>1490000000</v>
      </c>
      <c r="F983" s="67">
        <v>0</v>
      </c>
      <c r="G983" s="68">
        <v>0</v>
      </c>
      <c r="H983" s="68">
        <v>0</v>
      </c>
      <c r="I983" s="68">
        <v>0</v>
      </c>
      <c r="J983" s="68">
        <v>0</v>
      </c>
      <c r="K983" s="68">
        <v>0</v>
      </c>
      <c r="L983" s="68">
        <v>0</v>
      </c>
      <c r="M983" s="68">
        <v>0</v>
      </c>
      <c r="N983" s="69">
        <v>0</v>
      </c>
      <c r="O983" s="65" t="str">
        <f>VLOOKUP(A983,Report_HQ1!$A$7:$C$95,3,FALSE)</f>
        <v>BV Đình Vũ</v>
      </c>
      <c r="P983" s="40" t="e">
        <f>VLOOKUP(C983,Sheet1!$U$4:$V$14,2,FALSE)</f>
        <v>#N/A</v>
      </c>
      <c r="Q983" s="88">
        <f t="shared" si="15"/>
        <v>0</v>
      </c>
    </row>
    <row r="984" spans="1:17" x14ac:dyDescent="0.25">
      <c r="A984" s="85" t="s">
        <v>304</v>
      </c>
      <c r="B984" s="65" t="s">
        <v>162</v>
      </c>
      <c r="C984" s="65" t="s">
        <v>396</v>
      </c>
      <c r="D984" s="66">
        <v>632633702</v>
      </c>
      <c r="E984" s="65">
        <v>1490000000</v>
      </c>
      <c r="F984" s="67">
        <v>17393602.261853967</v>
      </c>
      <c r="G984" s="68">
        <v>0</v>
      </c>
      <c r="H984" s="68">
        <v>17393602.261853967</v>
      </c>
      <c r="I984" s="68">
        <v>0</v>
      </c>
      <c r="J984" s="68">
        <v>122491860</v>
      </c>
      <c r="K984" s="68">
        <v>24348684</v>
      </c>
      <c r="L984" s="68">
        <v>0</v>
      </c>
      <c r="M984" s="68">
        <v>48547680</v>
      </c>
      <c r="N984" s="69">
        <v>212781826.26185396</v>
      </c>
      <c r="O984" s="65" t="str">
        <f>VLOOKUP(A984,Report_HQ1!$A$7:$C$95,3,FALSE)</f>
        <v>BV Đình Vũ</v>
      </c>
      <c r="P984" s="40" t="str">
        <f>VLOOKUP(C984,Sheet1!$U$4:$V$14,2,FALSE)</f>
        <v>BH Y tế</v>
      </c>
      <c r="Q984" s="88">
        <f t="shared" si="15"/>
        <v>212781826.26185396</v>
      </c>
    </row>
    <row r="985" spans="1:17" x14ac:dyDescent="0.25">
      <c r="A985" s="85" t="s">
        <v>304</v>
      </c>
      <c r="B985" s="65" t="s">
        <v>162</v>
      </c>
      <c r="C985" s="65" t="s">
        <v>397</v>
      </c>
      <c r="D985" s="66">
        <v>11450200</v>
      </c>
      <c r="E985" s="65">
        <v>1490000000</v>
      </c>
      <c r="F985" s="67">
        <v>314811.27861044666</v>
      </c>
      <c r="G985" s="68">
        <v>0</v>
      </c>
      <c r="H985" s="68">
        <v>314811.27861044666</v>
      </c>
      <c r="I985" s="68">
        <v>0</v>
      </c>
      <c r="J985" s="68">
        <v>2290040</v>
      </c>
      <c r="K985" s="68">
        <v>2290040</v>
      </c>
      <c r="L985" s="68">
        <v>0</v>
      </c>
      <c r="M985" s="68">
        <v>916016</v>
      </c>
      <c r="N985" s="69">
        <v>5810907.2786104465</v>
      </c>
      <c r="O985" s="65" t="str">
        <f>VLOOKUP(A985,Report_HQ1!$A$7:$C$95,3,FALSE)</f>
        <v>BV Đình Vũ</v>
      </c>
      <c r="P985" s="40" t="str">
        <f>VLOOKUP(C985,Sheet1!$U$4:$V$14,2,FALSE)</f>
        <v>BH Du lịch</v>
      </c>
      <c r="Q985" s="88">
        <f t="shared" si="15"/>
        <v>5810907.2786104465</v>
      </c>
    </row>
    <row r="986" spans="1:17" x14ac:dyDescent="0.25">
      <c r="A986" s="85" t="s">
        <v>314</v>
      </c>
      <c r="B986" s="65" t="s">
        <v>172</v>
      </c>
      <c r="C986" s="65" t="s">
        <v>387</v>
      </c>
      <c r="D986" s="66">
        <v>666890312</v>
      </c>
      <c r="E986" s="65">
        <v>2142045454</v>
      </c>
      <c r="F986" s="67">
        <v>11424626.80200189</v>
      </c>
      <c r="G986" s="68">
        <v>0</v>
      </c>
      <c r="H986" s="68">
        <v>11424626.80200189</v>
      </c>
      <c r="I986" s="68">
        <v>0</v>
      </c>
      <c r="J986" s="68">
        <v>63511853</v>
      </c>
      <c r="K986" s="68">
        <v>31755927</v>
      </c>
      <c r="L986" s="68">
        <v>31395899</v>
      </c>
      <c r="M986" s="68">
        <v>53332076</v>
      </c>
      <c r="N986" s="69">
        <v>191420381.80200189</v>
      </c>
      <c r="O986" s="65" t="str">
        <f>VLOOKUP(A986,Report_HQ1!$A$7:$C$95,3,FALSE)</f>
        <v>BV Hà Thành</v>
      </c>
      <c r="P986" s="40" t="str">
        <f>VLOOKUP(C986,Sheet1!$U$4:$V$14,2,FALSE)</f>
        <v>BH Hàng hóa</v>
      </c>
      <c r="Q986" s="88">
        <f t="shared" si="15"/>
        <v>191420381.80200189</v>
      </c>
    </row>
    <row r="987" spans="1:17" x14ac:dyDescent="0.25">
      <c r="A987" s="85" t="s">
        <v>314</v>
      </c>
      <c r="B987" s="65" t="s">
        <v>172</v>
      </c>
      <c r="C987" s="65" t="s">
        <v>272</v>
      </c>
      <c r="D987" s="66">
        <v>159600000</v>
      </c>
      <c r="E987" s="65">
        <v>2142045454</v>
      </c>
      <c r="F987" s="67">
        <v>2734138.4404449132</v>
      </c>
      <c r="G987" s="68">
        <v>0</v>
      </c>
      <c r="H987" s="68">
        <v>2734138.4404449132</v>
      </c>
      <c r="I987" s="68">
        <v>0</v>
      </c>
      <c r="J987" s="68">
        <v>23940000</v>
      </c>
      <c r="K987" s="68">
        <v>11172000</v>
      </c>
      <c r="L987" s="68">
        <v>1596000</v>
      </c>
      <c r="M987" s="68">
        <v>12768000</v>
      </c>
      <c r="N987" s="69">
        <v>52210138.440444916</v>
      </c>
      <c r="O987" s="65" t="str">
        <f>VLOOKUP(A987,Report_HQ1!$A$7:$C$95,3,FALSE)</f>
        <v>BV Hà Thành</v>
      </c>
      <c r="P987" s="40" t="str">
        <f>VLOOKUP(C987,Sheet1!$U$4:$V$14,2,FALSE)</f>
        <v>Tàu khác</v>
      </c>
      <c r="Q987" s="88">
        <f t="shared" si="15"/>
        <v>52210138.440444916</v>
      </c>
    </row>
    <row r="988" spans="1:17" x14ac:dyDescent="0.25">
      <c r="A988" s="85" t="s">
        <v>314</v>
      </c>
      <c r="B988" s="65" t="s">
        <v>172</v>
      </c>
      <c r="C988" s="65" t="s">
        <v>388</v>
      </c>
      <c r="D988" s="66">
        <v>667464695</v>
      </c>
      <c r="E988" s="65">
        <v>2142045454</v>
      </c>
      <c r="F988" s="67">
        <v>11434466.668166289</v>
      </c>
      <c r="G988" s="68">
        <v>0</v>
      </c>
      <c r="H988" s="68">
        <v>11434466.668166289</v>
      </c>
      <c r="I988" s="68">
        <v>3337323</v>
      </c>
      <c r="J988" s="68">
        <v>33373235</v>
      </c>
      <c r="K988" s="68">
        <v>16686617</v>
      </c>
      <c r="L988" s="68">
        <v>0</v>
      </c>
      <c r="M988" s="68">
        <v>20023941</v>
      </c>
      <c r="N988" s="69">
        <v>84855582.66816628</v>
      </c>
      <c r="O988" s="65" t="str">
        <f>VLOOKUP(A988,Report_HQ1!$A$7:$C$95,3,FALSE)</f>
        <v>BV Hà Thành</v>
      </c>
      <c r="P988" s="40" t="str">
        <f>VLOOKUP(C988,Sheet1!$U$4:$V$14,2,FALSE)</f>
        <v>Hull (Thân tàu biển)</v>
      </c>
      <c r="Q988" s="88">
        <f t="shared" si="15"/>
        <v>84855582.66816628</v>
      </c>
    </row>
    <row r="989" spans="1:17" x14ac:dyDescent="0.25">
      <c r="A989" s="85" t="s">
        <v>314</v>
      </c>
      <c r="B989" s="65" t="s">
        <v>172</v>
      </c>
      <c r="C989" s="65" t="s">
        <v>23</v>
      </c>
      <c r="D989" s="66">
        <v>835112932</v>
      </c>
      <c r="E989" s="65">
        <v>2142045454</v>
      </c>
      <c r="F989" s="67">
        <v>14306481.011866283</v>
      </c>
      <c r="G989" s="68">
        <v>0</v>
      </c>
      <c r="H989" s="68">
        <v>14306481.011866283</v>
      </c>
      <c r="I989" s="68">
        <v>0</v>
      </c>
      <c r="J989" s="68">
        <v>62633470</v>
      </c>
      <c r="K989" s="68">
        <v>0</v>
      </c>
      <c r="L989" s="68">
        <v>0</v>
      </c>
      <c r="M989" s="68">
        <v>25053388</v>
      </c>
      <c r="N989" s="69">
        <v>101993339.01186629</v>
      </c>
      <c r="O989" s="65" t="str">
        <f>VLOOKUP(A989,Report_HQ1!$A$7:$C$95,3,FALSE)</f>
        <v>BV Hà Thành</v>
      </c>
      <c r="P989" s="40" t="str">
        <f>VLOOKUP(C989,Sheet1!$U$4:$V$14,2,FALSE)</f>
        <v>P&amp;I</v>
      </c>
      <c r="Q989" s="88">
        <f t="shared" si="15"/>
        <v>101993339.01186629</v>
      </c>
    </row>
    <row r="990" spans="1:17" x14ac:dyDescent="0.25">
      <c r="A990" s="85" t="s">
        <v>314</v>
      </c>
      <c r="B990" s="65" t="s">
        <v>172</v>
      </c>
      <c r="C990" s="65" t="s">
        <v>389</v>
      </c>
      <c r="D990" s="66">
        <v>1531550072</v>
      </c>
      <c r="E990" s="65">
        <v>2142045454</v>
      </c>
      <c r="F990" s="67">
        <v>26237280.2338432</v>
      </c>
      <c r="G990" s="68">
        <v>0</v>
      </c>
      <c r="H990" s="68">
        <v>26237280.2338432</v>
      </c>
      <c r="I990" s="68">
        <v>0</v>
      </c>
      <c r="J990" s="68">
        <v>85160504</v>
      </c>
      <c r="K990" s="68">
        <v>33610593</v>
      </c>
      <c r="L990" s="68">
        <v>102354433</v>
      </c>
      <c r="M990" s="68">
        <v>117062133</v>
      </c>
      <c r="N990" s="69">
        <v>364424943.23384321</v>
      </c>
      <c r="O990" s="65" t="str">
        <f>VLOOKUP(A990,Report_HQ1!$A$7:$C$95,3,FALSE)</f>
        <v>BV Hà Thành</v>
      </c>
      <c r="P990" s="40" t="str">
        <f>VLOOKUP(C990,Sheet1!$U$4:$V$14,2,FALSE)</f>
        <v>BH Trách nhiệm</v>
      </c>
      <c r="Q990" s="88">
        <f t="shared" si="15"/>
        <v>364424943.23384321</v>
      </c>
    </row>
    <row r="991" spans="1:17" x14ac:dyDescent="0.25">
      <c r="A991" s="85" t="s">
        <v>314</v>
      </c>
      <c r="B991" s="65" t="s">
        <v>172</v>
      </c>
      <c r="C991" s="65" t="s">
        <v>390</v>
      </c>
      <c r="D991" s="66">
        <v>0</v>
      </c>
      <c r="E991" s="65">
        <v>2142045454</v>
      </c>
      <c r="F991" s="67">
        <v>0</v>
      </c>
      <c r="G991" s="68">
        <v>0</v>
      </c>
      <c r="H991" s="68">
        <v>0</v>
      </c>
      <c r="I991" s="68">
        <v>0</v>
      </c>
      <c r="J991" s="68">
        <v>0</v>
      </c>
      <c r="K991" s="68">
        <v>0</v>
      </c>
      <c r="L991" s="68">
        <v>0</v>
      </c>
      <c r="M991" s="68">
        <v>0</v>
      </c>
      <c r="N991" s="69">
        <v>0</v>
      </c>
      <c r="O991" s="65" t="str">
        <f>VLOOKUP(A991,Report_HQ1!$A$7:$C$95,3,FALSE)</f>
        <v>BV Hà Thành</v>
      </c>
      <c r="P991" s="40" t="e">
        <f>VLOOKUP(C991,Sheet1!$U$4:$V$14,2,FALSE)</f>
        <v>#N/A</v>
      </c>
      <c r="Q991" s="88">
        <f t="shared" si="15"/>
        <v>0</v>
      </c>
    </row>
    <row r="992" spans="1:17" x14ac:dyDescent="0.25">
      <c r="A992" s="85" t="s">
        <v>314</v>
      </c>
      <c r="B992" s="65" t="s">
        <v>172</v>
      </c>
      <c r="C992" s="65" t="s">
        <v>391</v>
      </c>
      <c r="D992" s="66">
        <v>351600929</v>
      </c>
      <c r="E992" s="65">
        <v>2142045454</v>
      </c>
      <c r="F992" s="67">
        <v>6023343.4566105427</v>
      </c>
      <c r="G992" s="68">
        <v>0</v>
      </c>
      <c r="H992" s="68">
        <v>6023343.4566105427</v>
      </c>
      <c r="I992" s="68">
        <v>0</v>
      </c>
      <c r="J992" s="68">
        <v>593532</v>
      </c>
      <c r="K992" s="68">
        <v>296766</v>
      </c>
      <c r="L992" s="68">
        <v>890298</v>
      </c>
      <c r="M992" s="68">
        <v>712239</v>
      </c>
      <c r="N992" s="69">
        <v>8516178.4566105418</v>
      </c>
      <c r="O992" s="65" t="str">
        <f>VLOOKUP(A992,Report_HQ1!$A$7:$C$95,3,FALSE)</f>
        <v>BV Hà Thành</v>
      </c>
      <c r="P992" s="40" t="str">
        <f>VLOOKUP(C992,Sheet1!$U$4:$V$14,2,FALSE)</f>
        <v>BH Kỹ thuật</v>
      </c>
      <c r="Q992" s="88">
        <f t="shared" si="15"/>
        <v>8516178.4566105418</v>
      </c>
    </row>
    <row r="993" spans="1:17" x14ac:dyDescent="0.25">
      <c r="A993" s="85" t="s">
        <v>314</v>
      </c>
      <c r="B993" s="65" t="s">
        <v>172</v>
      </c>
      <c r="C993" s="65" t="s">
        <v>392</v>
      </c>
      <c r="D993" s="66">
        <v>6831286604</v>
      </c>
      <c r="E993" s="65">
        <v>2142045454</v>
      </c>
      <c r="F993" s="67">
        <v>117028090.86273676</v>
      </c>
      <c r="G993" s="68">
        <v>0</v>
      </c>
      <c r="H993" s="68">
        <v>117028090.86273676</v>
      </c>
      <c r="I993" s="68">
        <v>0</v>
      </c>
      <c r="J993" s="68">
        <v>224573971</v>
      </c>
      <c r="K993" s="68">
        <v>112286988</v>
      </c>
      <c r="L993" s="68">
        <v>734885636</v>
      </c>
      <c r="M993" s="68">
        <v>262200214</v>
      </c>
      <c r="N993" s="69">
        <v>1450974899.8627367</v>
      </c>
      <c r="O993" s="65" t="str">
        <f>VLOOKUP(A993,Report_HQ1!$A$7:$C$95,3,FALSE)</f>
        <v>BV Hà Thành</v>
      </c>
      <c r="P993" s="40" t="str">
        <f>VLOOKUP(C993,Sheet1!$U$4:$V$14,2,FALSE)</f>
        <v>BH Tài sản</v>
      </c>
      <c r="Q993" s="88">
        <f t="shared" si="15"/>
        <v>1450974899.8627367</v>
      </c>
    </row>
    <row r="994" spans="1:17" x14ac:dyDescent="0.25">
      <c r="A994" s="85" t="s">
        <v>314</v>
      </c>
      <c r="B994" s="65" t="s">
        <v>172</v>
      </c>
      <c r="C994" s="65" t="s">
        <v>393</v>
      </c>
      <c r="D994" s="66">
        <v>17197164217</v>
      </c>
      <c r="E994" s="65">
        <v>2142045454</v>
      </c>
      <c r="F994" s="67">
        <v>294607943.3104226</v>
      </c>
      <c r="G994" s="68">
        <v>0</v>
      </c>
      <c r="H994" s="68">
        <v>294607943.3104226</v>
      </c>
      <c r="I994" s="68">
        <v>0</v>
      </c>
      <c r="J994" s="68">
        <v>1625022116</v>
      </c>
      <c r="K994" s="68">
        <v>809847495</v>
      </c>
      <c r="L994" s="68">
        <v>1501997125</v>
      </c>
      <c r="M994" s="68">
        <v>945537908</v>
      </c>
      <c r="N994" s="69">
        <v>5177012587.3104229</v>
      </c>
      <c r="O994" s="65" t="str">
        <f>VLOOKUP(A994,Report_HQ1!$A$7:$C$95,3,FALSE)</f>
        <v>BV Hà Thành</v>
      </c>
      <c r="P994" s="40" t="str">
        <f>VLOOKUP(C994,Sheet1!$U$4:$V$14,2,FALSE)</f>
        <v>BH Xe cơ giới</v>
      </c>
      <c r="Q994" s="88">
        <f t="shared" si="15"/>
        <v>5177012587.3104229</v>
      </c>
    </row>
    <row r="995" spans="1:17" x14ac:dyDescent="0.25">
      <c r="A995" s="85" t="s">
        <v>314</v>
      </c>
      <c r="B995" s="65" t="s">
        <v>172</v>
      </c>
      <c r="C995" s="65" t="s">
        <v>394</v>
      </c>
      <c r="D995" s="66">
        <v>2273750400</v>
      </c>
      <c r="E995" s="65">
        <v>2142045454</v>
      </c>
      <c r="F995" s="67">
        <v>38952057.472537577</v>
      </c>
      <c r="G995" s="68">
        <v>0</v>
      </c>
      <c r="H995" s="68">
        <v>38952057.472537577</v>
      </c>
      <c r="I995" s="68">
        <v>0</v>
      </c>
      <c r="J995" s="68">
        <v>451020998</v>
      </c>
      <c r="K995" s="68">
        <v>62888269</v>
      </c>
      <c r="L995" s="68">
        <v>141861245</v>
      </c>
      <c r="M995" s="68">
        <v>137411206</v>
      </c>
      <c r="N995" s="69">
        <v>832133775.47253752</v>
      </c>
      <c r="O995" s="65" t="str">
        <f>VLOOKUP(A995,Report_HQ1!$A$7:$C$95,3,FALSE)</f>
        <v>BV Hà Thành</v>
      </c>
      <c r="P995" s="40" t="str">
        <f>VLOOKUP(C995,Sheet1!$U$4:$V$14,2,FALSE)</f>
        <v>BH Con người</v>
      </c>
      <c r="Q995" s="88">
        <f t="shared" si="15"/>
        <v>832133775.47253752</v>
      </c>
    </row>
    <row r="996" spans="1:17" x14ac:dyDescent="0.25">
      <c r="A996" s="85" t="s">
        <v>314</v>
      </c>
      <c r="B996" s="65" t="s">
        <v>172</v>
      </c>
      <c r="C996" s="65" t="s">
        <v>395</v>
      </c>
      <c r="D996" s="66">
        <v>0</v>
      </c>
      <c r="E996" s="65">
        <v>2142045454</v>
      </c>
      <c r="F996" s="67">
        <v>0</v>
      </c>
      <c r="G996" s="68">
        <v>0</v>
      </c>
      <c r="H996" s="68">
        <v>0</v>
      </c>
      <c r="I996" s="68">
        <v>0</v>
      </c>
      <c r="J996" s="68">
        <v>0</v>
      </c>
      <c r="K996" s="68">
        <v>0</v>
      </c>
      <c r="L996" s="68">
        <v>0</v>
      </c>
      <c r="M996" s="68">
        <v>0</v>
      </c>
      <c r="N996" s="69">
        <v>0</v>
      </c>
      <c r="O996" s="65" t="str">
        <f>VLOOKUP(A996,Report_HQ1!$A$7:$C$95,3,FALSE)</f>
        <v>BV Hà Thành</v>
      </c>
      <c r="P996" s="40" t="e">
        <f>VLOOKUP(C996,Sheet1!$U$4:$V$14,2,FALSE)</f>
        <v>#N/A</v>
      </c>
      <c r="Q996" s="88">
        <f t="shared" si="15"/>
        <v>0</v>
      </c>
    </row>
    <row r="997" spans="1:17" x14ac:dyDescent="0.25">
      <c r="A997" s="85" t="s">
        <v>314</v>
      </c>
      <c r="B997" s="65" t="s">
        <v>172</v>
      </c>
      <c r="C997" s="65" t="s">
        <v>396</v>
      </c>
      <c r="D997" s="66">
        <v>93952548213</v>
      </c>
      <c r="E997" s="65">
        <v>2142045454</v>
      </c>
      <c r="F997" s="67">
        <v>1609519258.4393318</v>
      </c>
      <c r="G997" s="68">
        <v>0</v>
      </c>
      <c r="H997" s="68">
        <v>1609519258.4393318</v>
      </c>
      <c r="I997" s="68">
        <v>0</v>
      </c>
      <c r="J997" s="68">
        <v>10832507289</v>
      </c>
      <c r="K997" s="68">
        <v>1882207538</v>
      </c>
      <c r="L997" s="68">
        <v>4753772</v>
      </c>
      <c r="M997" s="68">
        <v>3161619175</v>
      </c>
      <c r="N997" s="69">
        <v>17490607032.439331</v>
      </c>
      <c r="O997" s="65" t="str">
        <f>VLOOKUP(A997,Report_HQ1!$A$7:$C$95,3,FALSE)</f>
        <v>BV Hà Thành</v>
      </c>
      <c r="P997" s="40" t="str">
        <f>VLOOKUP(C997,Sheet1!$U$4:$V$14,2,FALSE)</f>
        <v>BH Y tế</v>
      </c>
      <c r="Q997" s="88">
        <f t="shared" si="15"/>
        <v>17490607032.439331</v>
      </c>
    </row>
    <row r="998" spans="1:17" x14ac:dyDescent="0.25">
      <c r="A998" s="85" t="s">
        <v>314</v>
      </c>
      <c r="B998" s="65" t="s">
        <v>172</v>
      </c>
      <c r="C998" s="65" t="s">
        <v>397</v>
      </c>
      <c r="D998" s="66">
        <v>570758100</v>
      </c>
      <c r="E998" s="65">
        <v>2142045454</v>
      </c>
      <c r="F998" s="67">
        <v>9777767.3020382319</v>
      </c>
      <c r="G998" s="68">
        <v>0</v>
      </c>
      <c r="H998" s="68">
        <v>9777767.3020382319</v>
      </c>
      <c r="I998" s="68">
        <v>0</v>
      </c>
      <c r="J998" s="68">
        <v>114151620</v>
      </c>
      <c r="K998" s="68">
        <v>114151620</v>
      </c>
      <c r="L998" s="68">
        <v>0</v>
      </c>
      <c r="M998" s="68">
        <v>45660648</v>
      </c>
      <c r="N998" s="69">
        <v>283741655.30203825</v>
      </c>
      <c r="O998" s="65" t="str">
        <f>VLOOKUP(A998,Report_HQ1!$A$7:$C$95,3,FALSE)</f>
        <v>BV Hà Thành</v>
      </c>
      <c r="P998" s="40" t="str">
        <f>VLOOKUP(C998,Sheet1!$U$4:$V$14,2,FALSE)</f>
        <v>BH Du lịch</v>
      </c>
      <c r="Q998" s="88">
        <f t="shared" si="15"/>
        <v>283741655.30203825</v>
      </c>
    </row>
    <row r="999" spans="1:17" x14ac:dyDescent="0.25">
      <c r="A999" s="85" t="s">
        <v>348</v>
      </c>
      <c r="B999" s="65" t="s">
        <v>206</v>
      </c>
      <c r="C999" s="65" t="s">
        <v>387</v>
      </c>
      <c r="D999" s="66">
        <v>8149773</v>
      </c>
      <c r="E999" s="65">
        <v>1191250000</v>
      </c>
      <c r="F999" s="67">
        <v>539322.79067533836</v>
      </c>
      <c r="G999" s="68">
        <v>0</v>
      </c>
      <c r="H999" s="68">
        <v>539322.79067533836</v>
      </c>
      <c r="I999" s="68">
        <v>0</v>
      </c>
      <c r="J999" s="68">
        <v>215670</v>
      </c>
      <c r="K999" s="68">
        <v>107835</v>
      </c>
      <c r="L999" s="68">
        <v>1224952</v>
      </c>
      <c r="M999" s="68">
        <v>651982</v>
      </c>
      <c r="N999" s="69">
        <v>2739761.7906753384</v>
      </c>
      <c r="O999" s="65" t="str">
        <f>VLOOKUP(A999,Report_HQ1!$A$7:$C$95,3,FALSE)</f>
        <v>BV Sơn Tây</v>
      </c>
      <c r="P999" s="40" t="str">
        <f>VLOOKUP(C999,Sheet1!$U$4:$V$14,2,FALSE)</f>
        <v>BH Hàng hóa</v>
      </c>
      <c r="Q999" s="88">
        <f t="shared" si="15"/>
        <v>2739761.7906753384</v>
      </c>
    </row>
    <row r="1000" spans="1:17" x14ac:dyDescent="0.25">
      <c r="A1000" s="85" t="s">
        <v>348</v>
      </c>
      <c r="B1000" s="65" t="s">
        <v>206</v>
      </c>
      <c r="C1000" s="65" t="s">
        <v>272</v>
      </c>
      <c r="D1000" s="66">
        <v>0</v>
      </c>
      <c r="E1000" s="65">
        <v>1191250000</v>
      </c>
      <c r="F1000" s="67">
        <v>0</v>
      </c>
      <c r="G1000" s="68">
        <v>0</v>
      </c>
      <c r="H1000" s="68">
        <v>0</v>
      </c>
      <c r="I1000" s="68">
        <v>0</v>
      </c>
      <c r="J1000" s="68">
        <v>0</v>
      </c>
      <c r="K1000" s="68">
        <v>0</v>
      </c>
      <c r="L1000" s="68">
        <v>0</v>
      </c>
      <c r="M1000" s="68">
        <v>0</v>
      </c>
      <c r="N1000" s="69">
        <v>0</v>
      </c>
      <c r="O1000" s="65" t="str">
        <f>VLOOKUP(A1000,Report_HQ1!$A$7:$C$95,3,FALSE)</f>
        <v>BV Sơn Tây</v>
      </c>
      <c r="P1000" s="40" t="str">
        <f>VLOOKUP(C1000,Sheet1!$U$4:$V$14,2,FALSE)</f>
        <v>Tàu khác</v>
      </c>
      <c r="Q1000" s="88">
        <f t="shared" si="15"/>
        <v>0</v>
      </c>
    </row>
    <row r="1001" spans="1:17" x14ac:dyDescent="0.25">
      <c r="A1001" s="85" t="s">
        <v>348</v>
      </c>
      <c r="B1001" s="65" t="s">
        <v>206</v>
      </c>
      <c r="C1001" s="65" t="s">
        <v>388</v>
      </c>
      <c r="D1001" s="66">
        <v>0</v>
      </c>
      <c r="E1001" s="65">
        <v>1191250000</v>
      </c>
      <c r="F1001" s="67">
        <v>0</v>
      </c>
      <c r="G1001" s="68">
        <v>0</v>
      </c>
      <c r="H1001" s="68">
        <v>0</v>
      </c>
      <c r="I1001" s="68">
        <v>0</v>
      </c>
      <c r="J1001" s="68">
        <v>0</v>
      </c>
      <c r="K1001" s="68">
        <v>0</v>
      </c>
      <c r="L1001" s="68">
        <v>0</v>
      </c>
      <c r="M1001" s="68">
        <v>0</v>
      </c>
      <c r="N1001" s="69">
        <v>0</v>
      </c>
      <c r="O1001" s="65" t="str">
        <f>VLOOKUP(A1001,Report_HQ1!$A$7:$C$95,3,FALSE)</f>
        <v>BV Sơn Tây</v>
      </c>
      <c r="P1001" s="40" t="str">
        <f>VLOOKUP(C1001,Sheet1!$U$4:$V$14,2,FALSE)</f>
        <v>Hull (Thân tàu biển)</v>
      </c>
      <c r="Q1001" s="88">
        <f t="shared" si="15"/>
        <v>0</v>
      </c>
    </row>
    <row r="1002" spans="1:17" x14ac:dyDescent="0.25">
      <c r="A1002" s="85" t="s">
        <v>348</v>
      </c>
      <c r="B1002" s="65" t="s">
        <v>206</v>
      </c>
      <c r="C1002" s="65" t="s">
        <v>23</v>
      </c>
      <c r="D1002" s="66">
        <v>0</v>
      </c>
      <c r="E1002" s="65">
        <v>1191250000</v>
      </c>
      <c r="F1002" s="67">
        <v>0</v>
      </c>
      <c r="G1002" s="68">
        <v>0</v>
      </c>
      <c r="H1002" s="68">
        <v>0</v>
      </c>
      <c r="I1002" s="68">
        <v>0</v>
      </c>
      <c r="J1002" s="68">
        <v>0</v>
      </c>
      <c r="K1002" s="68">
        <v>0</v>
      </c>
      <c r="L1002" s="68">
        <v>0</v>
      </c>
      <c r="M1002" s="68">
        <v>0</v>
      </c>
      <c r="N1002" s="69">
        <v>0</v>
      </c>
      <c r="O1002" s="65" t="str">
        <f>VLOOKUP(A1002,Report_HQ1!$A$7:$C$95,3,FALSE)</f>
        <v>BV Sơn Tây</v>
      </c>
      <c r="P1002" s="40" t="str">
        <f>VLOOKUP(C1002,Sheet1!$U$4:$V$14,2,FALSE)</f>
        <v>P&amp;I</v>
      </c>
      <c r="Q1002" s="88">
        <f t="shared" si="15"/>
        <v>0</v>
      </c>
    </row>
    <row r="1003" spans="1:17" x14ac:dyDescent="0.25">
      <c r="A1003" s="85" t="s">
        <v>348</v>
      </c>
      <c r="B1003" s="65" t="s">
        <v>206</v>
      </c>
      <c r="C1003" s="65" t="s">
        <v>389</v>
      </c>
      <c r="D1003" s="66">
        <v>5900000</v>
      </c>
      <c r="E1003" s="65">
        <v>1191250000</v>
      </c>
      <c r="F1003" s="67">
        <v>390440.87055976852</v>
      </c>
      <c r="G1003" s="68">
        <v>0</v>
      </c>
      <c r="H1003" s="68">
        <v>390440.87055976852</v>
      </c>
      <c r="I1003" s="68">
        <v>0</v>
      </c>
      <c r="J1003" s="68">
        <v>295000</v>
      </c>
      <c r="K1003" s="68">
        <v>147500</v>
      </c>
      <c r="L1003" s="68">
        <v>442500</v>
      </c>
      <c r="M1003" s="68">
        <v>472000</v>
      </c>
      <c r="N1003" s="69">
        <v>1747440.8705597685</v>
      </c>
      <c r="O1003" s="65" t="str">
        <f>VLOOKUP(A1003,Report_HQ1!$A$7:$C$95,3,FALSE)</f>
        <v>BV Sơn Tây</v>
      </c>
      <c r="P1003" s="40" t="str">
        <f>VLOOKUP(C1003,Sheet1!$U$4:$V$14,2,FALSE)</f>
        <v>BH Trách nhiệm</v>
      </c>
      <c r="Q1003" s="88">
        <f t="shared" si="15"/>
        <v>1747440.8705597685</v>
      </c>
    </row>
    <row r="1004" spans="1:17" x14ac:dyDescent="0.25">
      <c r="A1004" s="85" t="s">
        <v>348</v>
      </c>
      <c r="B1004" s="65" t="s">
        <v>206</v>
      </c>
      <c r="C1004" s="65" t="s">
        <v>390</v>
      </c>
      <c r="D1004" s="66">
        <v>0</v>
      </c>
      <c r="E1004" s="65">
        <v>1191250000</v>
      </c>
      <c r="F1004" s="67">
        <v>0</v>
      </c>
      <c r="G1004" s="68">
        <v>0</v>
      </c>
      <c r="H1004" s="68">
        <v>0</v>
      </c>
      <c r="I1004" s="68">
        <v>0</v>
      </c>
      <c r="J1004" s="68">
        <v>0</v>
      </c>
      <c r="K1004" s="68">
        <v>0</v>
      </c>
      <c r="L1004" s="68">
        <v>0</v>
      </c>
      <c r="M1004" s="68">
        <v>0</v>
      </c>
      <c r="N1004" s="69">
        <v>0</v>
      </c>
      <c r="O1004" s="65" t="str">
        <f>VLOOKUP(A1004,Report_HQ1!$A$7:$C$95,3,FALSE)</f>
        <v>BV Sơn Tây</v>
      </c>
      <c r="P1004" s="40" t="e">
        <f>VLOOKUP(C1004,Sheet1!$U$4:$V$14,2,FALSE)</f>
        <v>#N/A</v>
      </c>
      <c r="Q1004" s="88">
        <f t="shared" si="15"/>
        <v>0</v>
      </c>
    </row>
    <row r="1005" spans="1:17" x14ac:dyDescent="0.25">
      <c r="A1005" s="85" t="s">
        <v>348</v>
      </c>
      <c r="B1005" s="65" t="s">
        <v>206</v>
      </c>
      <c r="C1005" s="65" t="s">
        <v>391</v>
      </c>
      <c r="D1005" s="66">
        <v>2318191985</v>
      </c>
      <c r="E1005" s="65">
        <v>1191250000</v>
      </c>
      <c r="F1005" s="67">
        <v>153409643.51662338</v>
      </c>
      <c r="G1005" s="68">
        <v>0</v>
      </c>
      <c r="H1005" s="68">
        <v>153409643.51662338</v>
      </c>
      <c r="I1005" s="68">
        <v>0</v>
      </c>
      <c r="J1005" s="68">
        <v>148906127</v>
      </c>
      <c r="K1005" s="68">
        <v>74453064</v>
      </c>
      <c r="L1005" s="68">
        <v>297632888</v>
      </c>
      <c r="M1005" s="68">
        <v>138600719</v>
      </c>
      <c r="N1005" s="69">
        <v>813002441.51662338</v>
      </c>
      <c r="O1005" s="65" t="str">
        <f>VLOOKUP(A1005,Report_HQ1!$A$7:$C$95,3,FALSE)</f>
        <v>BV Sơn Tây</v>
      </c>
      <c r="P1005" s="40" t="str">
        <f>VLOOKUP(C1005,Sheet1!$U$4:$V$14,2,FALSE)</f>
        <v>BH Kỹ thuật</v>
      </c>
      <c r="Q1005" s="88">
        <f t="shared" si="15"/>
        <v>813002441.51662338</v>
      </c>
    </row>
    <row r="1006" spans="1:17" x14ac:dyDescent="0.25">
      <c r="A1006" s="85" t="s">
        <v>348</v>
      </c>
      <c r="B1006" s="65" t="s">
        <v>206</v>
      </c>
      <c r="C1006" s="65" t="s">
        <v>392</v>
      </c>
      <c r="D1006" s="66">
        <v>208815775</v>
      </c>
      <c r="E1006" s="65">
        <v>1191250000</v>
      </c>
      <c r="F1006" s="67">
        <v>13818680.165697075</v>
      </c>
      <c r="G1006" s="68">
        <v>0</v>
      </c>
      <c r="H1006" s="68">
        <v>13818680.165697075</v>
      </c>
      <c r="I1006" s="68">
        <v>0</v>
      </c>
      <c r="J1006" s="68">
        <v>10357768</v>
      </c>
      <c r="K1006" s="68">
        <v>5178884</v>
      </c>
      <c r="L1006" s="68">
        <v>27855882</v>
      </c>
      <c r="M1006" s="68">
        <v>11610674</v>
      </c>
      <c r="N1006" s="69">
        <v>68821888.165697068</v>
      </c>
      <c r="O1006" s="65" t="str">
        <f>VLOOKUP(A1006,Report_HQ1!$A$7:$C$95,3,FALSE)</f>
        <v>BV Sơn Tây</v>
      </c>
      <c r="P1006" s="40" t="str">
        <f>VLOOKUP(C1006,Sheet1!$U$4:$V$14,2,FALSE)</f>
        <v>BH Tài sản</v>
      </c>
      <c r="Q1006" s="88">
        <f t="shared" si="15"/>
        <v>68821888.165697068</v>
      </c>
    </row>
    <row r="1007" spans="1:17" x14ac:dyDescent="0.25">
      <c r="A1007" s="85" t="s">
        <v>348</v>
      </c>
      <c r="B1007" s="65" t="s">
        <v>206</v>
      </c>
      <c r="C1007" s="65" t="s">
        <v>393</v>
      </c>
      <c r="D1007" s="66">
        <v>2418094632</v>
      </c>
      <c r="E1007" s="65">
        <v>1191250000</v>
      </c>
      <c r="F1007" s="67">
        <v>160020842.91762426</v>
      </c>
      <c r="G1007" s="68">
        <v>0</v>
      </c>
      <c r="H1007" s="68">
        <v>160020842.91762426</v>
      </c>
      <c r="I1007" s="68">
        <v>0</v>
      </c>
      <c r="J1007" s="68">
        <v>208352879</v>
      </c>
      <c r="K1007" s="68">
        <v>104176440</v>
      </c>
      <c r="L1007" s="68">
        <v>299593515</v>
      </c>
      <c r="M1007" s="68">
        <v>133248598</v>
      </c>
      <c r="N1007" s="69">
        <v>905392274.91762424</v>
      </c>
      <c r="O1007" s="65" t="str">
        <f>VLOOKUP(A1007,Report_HQ1!$A$7:$C$95,3,FALSE)</f>
        <v>BV Sơn Tây</v>
      </c>
      <c r="P1007" s="40" t="str">
        <f>VLOOKUP(C1007,Sheet1!$U$4:$V$14,2,FALSE)</f>
        <v>BH Xe cơ giới</v>
      </c>
      <c r="Q1007" s="88">
        <f t="shared" si="15"/>
        <v>905392274.91762424</v>
      </c>
    </row>
    <row r="1008" spans="1:17" x14ac:dyDescent="0.25">
      <c r="A1008" s="85" t="s">
        <v>348</v>
      </c>
      <c r="B1008" s="65" t="s">
        <v>206</v>
      </c>
      <c r="C1008" s="65" t="s">
        <v>394</v>
      </c>
      <c r="D1008" s="66">
        <v>7810550340</v>
      </c>
      <c r="E1008" s="65">
        <v>1191250000</v>
      </c>
      <c r="F1008" s="67">
        <v>516874249.88143998</v>
      </c>
      <c r="G1008" s="68">
        <v>0</v>
      </c>
      <c r="H1008" s="68">
        <v>516874249.88143998</v>
      </c>
      <c r="I1008" s="68">
        <v>7500</v>
      </c>
      <c r="J1008" s="68">
        <v>1070274276</v>
      </c>
      <c r="K1008" s="68">
        <v>580325</v>
      </c>
      <c r="L1008" s="68">
        <v>136874834</v>
      </c>
      <c r="M1008" s="68">
        <v>375719996</v>
      </c>
      <c r="N1008" s="69">
        <v>2100331180.8814399</v>
      </c>
      <c r="O1008" s="65" t="str">
        <f>VLOOKUP(A1008,Report_HQ1!$A$7:$C$95,3,FALSE)</f>
        <v>BV Sơn Tây</v>
      </c>
      <c r="P1008" s="40" t="str">
        <f>VLOOKUP(C1008,Sheet1!$U$4:$V$14,2,FALSE)</f>
        <v>BH Con người</v>
      </c>
      <c r="Q1008" s="88">
        <f t="shared" si="15"/>
        <v>2100331180.8814399</v>
      </c>
    </row>
    <row r="1009" spans="1:24" x14ac:dyDescent="0.25">
      <c r="A1009" s="85" t="s">
        <v>348</v>
      </c>
      <c r="B1009" s="65" t="s">
        <v>206</v>
      </c>
      <c r="C1009" s="65" t="s">
        <v>395</v>
      </c>
      <c r="D1009" s="66">
        <v>0</v>
      </c>
      <c r="E1009" s="65">
        <v>1191250000</v>
      </c>
      <c r="F1009" s="67">
        <v>0</v>
      </c>
      <c r="G1009" s="68">
        <v>0</v>
      </c>
      <c r="H1009" s="68">
        <v>0</v>
      </c>
      <c r="I1009" s="68">
        <v>0</v>
      </c>
      <c r="J1009" s="68">
        <v>0</v>
      </c>
      <c r="K1009" s="68">
        <v>0</v>
      </c>
      <c r="L1009" s="68">
        <v>0</v>
      </c>
      <c r="M1009" s="68">
        <v>0</v>
      </c>
      <c r="N1009" s="69">
        <v>0</v>
      </c>
      <c r="O1009" s="65" t="str">
        <f>VLOOKUP(A1009,Report_HQ1!$A$7:$C$95,3,FALSE)</f>
        <v>BV Sơn Tây</v>
      </c>
      <c r="P1009" s="40" t="e">
        <f>VLOOKUP(C1009,Sheet1!$U$4:$V$14,2,FALSE)</f>
        <v>#N/A</v>
      </c>
      <c r="Q1009" s="88">
        <f t="shared" si="15"/>
        <v>0</v>
      </c>
    </row>
    <row r="1010" spans="1:24" x14ac:dyDescent="0.25">
      <c r="A1010" s="85" t="s">
        <v>348</v>
      </c>
      <c r="B1010" s="65" t="s">
        <v>206</v>
      </c>
      <c r="C1010" s="65" t="s">
        <v>396</v>
      </c>
      <c r="D1010" s="66">
        <v>5176470210</v>
      </c>
      <c r="E1010" s="65">
        <v>1191250000</v>
      </c>
      <c r="F1010" s="67">
        <v>342560260.20662838</v>
      </c>
      <c r="G1010" s="68">
        <v>0</v>
      </c>
      <c r="H1010" s="68">
        <v>342560260.20662838</v>
      </c>
      <c r="I1010" s="68">
        <v>0</v>
      </c>
      <c r="J1010" s="68">
        <v>475019918</v>
      </c>
      <c r="K1010" s="68">
        <v>88515762</v>
      </c>
      <c r="L1010" s="68">
        <v>-477409210</v>
      </c>
      <c r="M1010" s="68">
        <v>181328322</v>
      </c>
      <c r="N1010" s="69">
        <v>610015052.20662832</v>
      </c>
      <c r="O1010" s="65" t="str">
        <f>VLOOKUP(A1010,Report_HQ1!$A$7:$C$95,3,FALSE)</f>
        <v>BV Sơn Tây</v>
      </c>
      <c r="P1010" s="40" t="str">
        <f>VLOOKUP(C1010,Sheet1!$U$4:$V$14,2,FALSE)</f>
        <v>BH Y tế</v>
      </c>
      <c r="Q1010" s="88">
        <f t="shared" si="15"/>
        <v>610015052.20662832</v>
      </c>
    </row>
    <row r="1011" spans="1:24" x14ac:dyDescent="0.25">
      <c r="A1011" s="85" t="s">
        <v>348</v>
      </c>
      <c r="B1011" s="65" t="s">
        <v>206</v>
      </c>
      <c r="C1011" s="65" t="s">
        <v>397</v>
      </c>
      <c r="D1011" s="66">
        <v>54952500</v>
      </c>
      <c r="E1011" s="65">
        <v>1191250000</v>
      </c>
      <c r="F1011" s="67">
        <v>3636559.6507518101</v>
      </c>
      <c r="G1011" s="68">
        <v>0</v>
      </c>
      <c r="H1011" s="68">
        <v>3636559.6507518101</v>
      </c>
      <c r="I1011" s="68">
        <v>0</v>
      </c>
      <c r="J1011" s="68">
        <v>10990500</v>
      </c>
      <c r="K1011" s="68">
        <v>10990500</v>
      </c>
      <c r="L1011" s="68">
        <v>0</v>
      </c>
      <c r="M1011" s="68">
        <v>4396200</v>
      </c>
      <c r="N1011" s="69">
        <v>30013759.650751811</v>
      </c>
      <c r="O1011" s="65" t="str">
        <f>VLOOKUP(A1011,Report_HQ1!$A$7:$C$95,3,FALSE)</f>
        <v>BV Sơn Tây</v>
      </c>
      <c r="P1011" s="40" t="str">
        <f>VLOOKUP(C1011,Sheet1!$U$4:$V$14,2,FALSE)</f>
        <v>BH Du lịch</v>
      </c>
      <c r="Q1011" s="88">
        <f t="shared" si="15"/>
        <v>30013759.650751811</v>
      </c>
    </row>
    <row r="1012" spans="1:24" x14ac:dyDescent="0.25">
      <c r="A1012" s="85" t="s">
        <v>291</v>
      </c>
      <c r="B1012" s="65" t="s">
        <v>149</v>
      </c>
      <c r="C1012" s="65" t="s">
        <v>387</v>
      </c>
      <c r="D1012" s="66">
        <v>1130916185</v>
      </c>
      <c r="E1012" s="65">
        <v>1782940000</v>
      </c>
      <c r="F1012" s="67">
        <v>60975969.554364979</v>
      </c>
      <c r="G1012" s="68">
        <v>0</v>
      </c>
      <c r="H1012" s="68">
        <v>60975969.554364979</v>
      </c>
      <c r="I1012" s="68">
        <v>0</v>
      </c>
      <c r="J1012" s="68">
        <v>111749208</v>
      </c>
      <c r="K1012" s="68">
        <v>45128109</v>
      </c>
      <c r="L1012" s="68">
        <v>55847460</v>
      </c>
      <c r="M1012" s="68">
        <v>90473293</v>
      </c>
      <c r="N1012" s="69">
        <v>364174039.55436498</v>
      </c>
      <c r="O1012" s="65" t="str">
        <f>VLOOKUP(A1012,Report_HQ1!$A$7:$C$95,3,FALSE)</f>
        <v>BV Bến Thành</v>
      </c>
      <c r="P1012" s="40" t="str">
        <f>VLOOKUP(C1012,Sheet1!$U$4:$V$14,2,FALSE)</f>
        <v>BH Hàng hóa</v>
      </c>
      <c r="Q1012" s="88">
        <f t="shared" si="15"/>
        <v>364174039.55436498</v>
      </c>
    </row>
    <row r="1013" spans="1:24" x14ac:dyDescent="0.25">
      <c r="A1013" s="85" t="s">
        <v>291</v>
      </c>
      <c r="B1013" s="65" t="s">
        <v>149</v>
      </c>
      <c r="C1013" s="65" t="s">
        <v>272</v>
      </c>
      <c r="D1013" s="66">
        <v>0</v>
      </c>
      <c r="E1013" s="65">
        <v>1782940000</v>
      </c>
      <c r="F1013" s="67">
        <v>0</v>
      </c>
      <c r="G1013" s="68">
        <v>0</v>
      </c>
      <c r="H1013" s="68">
        <v>0</v>
      </c>
      <c r="I1013" s="68">
        <v>0</v>
      </c>
      <c r="J1013" s="68">
        <v>0</v>
      </c>
      <c r="K1013" s="68">
        <v>0</v>
      </c>
      <c r="L1013" s="68">
        <v>0</v>
      </c>
      <c r="M1013" s="68">
        <v>0</v>
      </c>
      <c r="N1013" s="69">
        <v>0</v>
      </c>
      <c r="O1013" s="65" t="str">
        <f>VLOOKUP(A1013,Report_HQ1!$A$7:$C$95,3,FALSE)</f>
        <v>BV Bến Thành</v>
      </c>
      <c r="P1013" s="40" t="str">
        <f>VLOOKUP(C1013,Sheet1!$U$4:$V$14,2,FALSE)</f>
        <v>Tàu khác</v>
      </c>
      <c r="Q1013" s="88">
        <f t="shared" si="15"/>
        <v>0</v>
      </c>
    </row>
    <row r="1014" spans="1:24" x14ac:dyDescent="0.25">
      <c r="A1014" s="85" t="s">
        <v>291</v>
      </c>
      <c r="B1014" s="65" t="s">
        <v>149</v>
      </c>
      <c r="C1014" s="65" t="s">
        <v>388</v>
      </c>
      <c r="D1014" s="66">
        <v>0</v>
      </c>
      <c r="E1014" s="65">
        <v>1782940000</v>
      </c>
      <c r="F1014" s="67">
        <v>0</v>
      </c>
      <c r="G1014" s="68">
        <v>0</v>
      </c>
      <c r="H1014" s="68">
        <v>0</v>
      </c>
      <c r="I1014" s="68">
        <v>0</v>
      </c>
      <c r="J1014" s="68">
        <v>0</v>
      </c>
      <c r="K1014" s="68">
        <v>0</v>
      </c>
      <c r="L1014" s="68">
        <v>0</v>
      </c>
      <c r="M1014" s="68">
        <v>0</v>
      </c>
      <c r="N1014" s="69">
        <v>0</v>
      </c>
      <c r="O1014" s="65" t="str">
        <f>VLOOKUP(A1014,Report_HQ1!$A$7:$C$95,3,FALSE)</f>
        <v>BV Bến Thành</v>
      </c>
      <c r="P1014" s="40" t="str">
        <f>VLOOKUP(C1014,Sheet1!$U$4:$V$14,2,FALSE)</f>
        <v>Hull (Thân tàu biển)</v>
      </c>
      <c r="Q1014" s="88">
        <f t="shared" si="15"/>
        <v>0</v>
      </c>
    </row>
    <row r="1015" spans="1:24" x14ac:dyDescent="0.25">
      <c r="A1015" s="85" t="s">
        <v>291</v>
      </c>
      <c r="B1015" s="65" t="s">
        <v>149</v>
      </c>
      <c r="C1015" s="65" t="s">
        <v>23</v>
      </c>
      <c r="D1015" s="66">
        <v>0</v>
      </c>
      <c r="E1015" s="65">
        <v>1782940000</v>
      </c>
      <c r="F1015" s="67">
        <v>0</v>
      </c>
      <c r="G1015" s="68">
        <v>0</v>
      </c>
      <c r="H1015" s="68">
        <v>0</v>
      </c>
      <c r="I1015" s="68">
        <v>0</v>
      </c>
      <c r="J1015" s="68">
        <v>0</v>
      </c>
      <c r="K1015" s="68">
        <v>0</v>
      </c>
      <c r="L1015" s="68">
        <v>0</v>
      </c>
      <c r="M1015" s="68">
        <v>0</v>
      </c>
      <c r="N1015" s="69">
        <v>0</v>
      </c>
      <c r="O1015" s="65" t="str">
        <f>VLOOKUP(A1015,Report_HQ1!$A$7:$C$95,3,FALSE)</f>
        <v>BV Bến Thành</v>
      </c>
      <c r="P1015" s="40" t="str">
        <f>VLOOKUP(C1015,Sheet1!$U$4:$V$14,2,FALSE)</f>
        <v>P&amp;I</v>
      </c>
      <c r="Q1015" s="88">
        <f t="shared" si="15"/>
        <v>0</v>
      </c>
    </row>
    <row r="1016" spans="1:24" x14ac:dyDescent="0.25">
      <c r="A1016" s="85" t="s">
        <v>291</v>
      </c>
      <c r="B1016" s="65" t="s">
        <v>149</v>
      </c>
      <c r="C1016" s="65" t="s">
        <v>389</v>
      </c>
      <c r="D1016" s="66">
        <v>1499083578</v>
      </c>
      <c r="E1016" s="65">
        <v>1782940000</v>
      </c>
      <c r="F1016" s="67">
        <v>80826568.603381097</v>
      </c>
      <c r="G1016" s="68">
        <v>0</v>
      </c>
      <c r="H1016" s="68">
        <v>80826568.603381097</v>
      </c>
      <c r="I1016" s="68">
        <v>0</v>
      </c>
      <c r="J1016" s="68">
        <v>109379046</v>
      </c>
      <c r="K1016" s="68">
        <v>9496724</v>
      </c>
      <c r="L1016" s="68">
        <v>78631240</v>
      </c>
      <c r="M1016" s="68">
        <v>135784517</v>
      </c>
      <c r="N1016" s="69">
        <v>414118095.6033811</v>
      </c>
      <c r="O1016" s="65" t="str">
        <f>VLOOKUP(A1016,Report_HQ1!$A$7:$C$95,3,FALSE)</f>
        <v>BV Bến Thành</v>
      </c>
      <c r="P1016" s="40" t="str">
        <f>VLOOKUP(C1016,Sheet1!$U$4:$V$14,2,FALSE)</f>
        <v>BH Trách nhiệm</v>
      </c>
      <c r="Q1016" s="88">
        <f t="shared" si="15"/>
        <v>414118095.6033811</v>
      </c>
    </row>
    <row r="1017" spans="1:24" x14ac:dyDescent="0.25">
      <c r="A1017" s="85" t="s">
        <v>291</v>
      </c>
      <c r="B1017" s="65" t="s">
        <v>149</v>
      </c>
      <c r="C1017" s="65" t="s">
        <v>390</v>
      </c>
      <c r="D1017" s="66">
        <v>10769667563</v>
      </c>
      <c r="E1017" s="65">
        <v>1782940000</v>
      </c>
      <c r="F1017" s="67">
        <v>580671609.56947494</v>
      </c>
      <c r="G1017" s="68">
        <v>0</v>
      </c>
      <c r="H1017" s="68">
        <v>580671609.56947494</v>
      </c>
      <c r="I1017" s="68">
        <v>0</v>
      </c>
      <c r="J1017" s="68">
        <v>0</v>
      </c>
      <c r="K1017" s="68">
        <v>0</v>
      </c>
      <c r="L1017" s="68">
        <v>1289129207</v>
      </c>
      <c r="M1017" s="68">
        <v>272472590</v>
      </c>
      <c r="N1017" s="69">
        <v>2142273406.5694749</v>
      </c>
      <c r="O1017" s="65" t="str">
        <f>VLOOKUP(A1017,Report_HQ1!$A$7:$C$95,3,FALSE)</f>
        <v>BV Bến Thành</v>
      </c>
      <c r="P1017" s="40" t="e">
        <f>VLOOKUP(C1017,Sheet1!$U$4:$V$14,2,FALSE)</f>
        <v>#N/A</v>
      </c>
      <c r="Q1017" s="88">
        <f t="shared" si="15"/>
        <v>2142273406.5694749</v>
      </c>
    </row>
    <row r="1018" spans="1:24" x14ac:dyDescent="0.25">
      <c r="A1018" s="85" t="s">
        <v>291</v>
      </c>
      <c r="B1018" s="65" t="s">
        <v>149</v>
      </c>
      <c r="C1018" s="65" t="s">
        <v>391</v>
      </c>
      <c r="D1018" s="66">
        <v>49318510</v>
      </c>
      <c r="E1018" s="65">
        <v>1782940000</v>
      </c>
      <c r="F1018" s="67">
        <v>2659121.8731445116</v>
      </c>
      <c r="G1018" s="68">
        <v>0</v>
      </c>
      <c r="H1018" s="68">
        <v>2659121.8731445116</v>
      </c>
      <c r="I1018" s="68">
        <v>0</v>
      </c>
      <c r="J1018" s="68">
        <v>2927113</v>
      </c>
      <c r="K1018" s="68">
        <v>1463556</v>
      </c>
      <c r="L1018" s="68">
        <v>7938959</v>
      </c>
      <c r="M1018" s="68">
        <v>2959110</v>
      </c>
      <c r="N1018" s="69">
        <v>17947859.873144511</v>
      </c>
      <c r="O1018" s="65" t="str">
        <f>VLOOKUP(A1018,Report_HQ1!$A$7:$C$95,3,FALSE)</f>
        <v>BV Bến Thành</v>
      </c>
      <c r="P1018" s="40" t="str">
        <f>VLOOKUP(C1018,Sheet1!$U$4:$V$14,2,FALSE)</f>
        <v>BH Kỹ thuật</v>
      </c>
      <c r="Q1018" s="88">
        <f t="shared" si="15"/>
        <v>17947859.873144511</v>
      </c>
    </row>
    <row r="1019" spans="1:24" x14ac:dyDescent="0.25">
      <c r="A1019" s="85" t="s">
        <v>291</v>
      </c>
      <c r="B1019" s="65" t="s">
        <v>149</v>
      </c>
      <c r="C1019" s="65" t="s">
        <v>392</v>
      </c>
      <c r="D1019" s="66">
        <v>1825878963</v>
      </c>
      <c r="E1019" s="65">
        <v>1782940000</v>
      </c>
      <c r="F1019" s="67">
        <v>98446499.868461519</v>
      </c>
      <c r="G1019" s="68">
        <v>0</v>
      </c>
      <c r="H1019" s="68">
        <v>98446499.868461519</v>
      </c>
      <c r="I1019" s="68">
        <v>0</v>
      </c>
      <c r="J1019" s="68">
        <v>93299354</v>
      </c>
      <c r="K1019" s="68">
        <v>45864609</v>
      </c>
      <c r="L1019" s="68">
        <v>221928677</v>
      </c>
      <c r="M1019" s="68">
        <v>109436740</v>
      </c>
      <c r="N1019" s="69">
        <v>568975879.86846149</v>
      </c>
      <c r="O1019" s="65" t="str">
        <f>VLOOKUP(A1019,Report_HQ1!$A$7:$C$95,3,FALSE)</f>
        <v>BV Bến Thành</v>
      </c>
      <c r="P1019" s="40" t="str">
        <f>VLOOKUP(C1019,Sheet1!$U$4:$V$14,2,FALSE)</f>
        <v>BH Tài sản</v>
      </c>
      <c r="Q1019" s="88">
        <f t="shared" si="15"/>
        <v>568975879.86846149</v>
      </c>
    </row>
    <row r="1020" spans="1:24" x14ac:dyDescent="0.25">
      <c r="A1020" s="85" t="s">
        <v>291</v>
      </c>
      <c r="B1020" s="65" t="s">
        <v>149</v>
      </c>
      <c r="C1020" s="65" t="s">
        <v>393</v>
      </c>
      <c r="D1020" s="66">
        <v>6024518828</v>
      </c>
      <c r="E1020" s="65">
        <v>1782940000</v>
      </c>
      <c r="F1020" s="67">
        <v>324825907.97462732</v>
      </c>
      <c r="G1020" s="68">
        <v>0</v>
      </c>
      <c r="H1020" s="68">
        <v>324825907.97462732</v>
      </c>
      <c r="I1020" s="68">
        <v>0</v>
      </c>
      <c r="J1020" s="68">
        <v>581657779</v>
      </c>
      <c r="K1020" s="68">
        <v>275837951</v>
      </c>
      <c r="L1020" s="68">
        <v>461178611</v>
      </c>
      <c r="M1020" s="68">
        <v>331177812</v>
      </c>
      <c r="N1020" s="69">
        <v>1974678060.9746273</v>
      </c>
      <c r="O1020" s="65" t="str">
        <f>VLOOKUP(A1020,Report_HQ1!$A$7:$C$95,3,FALSE)</f>
        <v>BV Bến Thành</v>
      </c>
      <c r="P1020" s="40" t="str">
        <f>VLOOKUP(C1020,Sheet1!$U$4:$V$14,2,FALSE)</f>
        <v>BH Xe cơ giới</v>
      </c>
      <c r="Q1020" s="88">
        <f t="shared" si="15"/>
        <v>1974678060.9746273</v>
      </c>
    </row>
    <row r="1021" spans="1:24" x14ac:dyDescent="0.25">
      <c r="A1021" s="85" t="s">
        <v>291</v>
      </c>
      <c r="B1021" s="65" t="s">
        <v>149</v>
      </c>
      <c r="C1021" s="65" t="s">
        <v>394</v>
      </c>
      <c r="D1021" s="66">
        <v>410273142</v>
      </c>
      <c r="E1021" s="65">
        <v>1782940000</v>
      </c>
      <c r="F1021" s="67">
        <v>22120828.181060705</v>
      </c>
      <c r="G1021" s="68">
        <v>0</v>
      </c>
      <c r="H1021" s="68">
        <v>22120828.181060705</v>
      </c>
      <c r="I1021" s="68">
        <v>0</v>
      </c>
      <c r="J1021" s="68">
        <v>81945538</v>
      </c>
      <c r="K1021" s="68">
        <v>20853934</v>
      </c>
      <c r="L1021" s="68">
        <v>21009992</v>
      </c>
      <c r="M1021" s="68">
        <v>24601935</v>
      </c>
      <c r="N1021" s="69">
        <v>170532227.1810607</v>
      </c>
      <c r="O1021" s="65" t="str">
        <f>VLOOKUP(A1021,Report_HQ1!$A$7:$C$95,3,FALSE)</f>
        <v>BV Bến Thành</v>
      </c>
      <c r="P1021" s="40" t="str">
        <f>VLOOKUP(C1021,Sheet1!$U$4:$V$14,2,FALSE)</f>
        <v>BH Con người</v>
      </c>
      <c r="Q1021" s="88">
        <f t="shared" si="15"/>
        <v>170532227.1810607</v>
      </c>
      <c r="X1021" s="65" t="s">
        <v>387</v>
      </c>
    </row>
    <row r="1022" spans="1:24" x14ac:dyDescent="0.25">
      <c r="A1022" s="85" t="s">
        <v>291</v>
      </c>
      <c r="B1022" s="65" t="s">
        <v>149</v>
      </c>
      <c r="C1022" s="65" t="s">
        <v>395</v>
      </c>
      <c r="D1022" s="66">
        <v>0</v>
      </c>
      <c r="E1022" s="65">
        <v>1782940000</v>
      </c>
      <c r="F1022" s="67">
        <v>0</v>
      </c>
      <c r="G1022" s="68">
        <v>0</v>
      </c>
      <c r="H1022" s="68">
        <v>0</v>
      </c>
      <c r="I1022" s="68">
        <v>0</v>
      </c>
      <c r="J1022" s="68">
        <v>0</v>
      </c>
      <c r="K1022" s="68">
        <v>0</v>
      </c>
      <c r="L1022" s="68">
        <v>0</v>
      </c>
      <c r="M1022" s="68">
        <v>0</v>
      </c>
      <c r="N1022" s="69">
        <v>0</v>
      </c>
      <c r="O1022" s="65" t="str">
        <f>VLOOKUP(A1022,Report_HQ1!$A$7:$C$95,3,FALSE)</f>
        <v>BV Bến Thành</v>
      </c>
      <c r="P1022" s="40" t="e">
        <f>VLOOKUP(C1022,Sheet1!$U$4:$V$14,2,FALSE)</f>
        <v>#N/A</v>
      </c>
      <c r="Q1022" s="88">
        <f t="shared" si="15"/>
        <v>0</v>
      </c>
      <c r="X1022" s="65" t="s">
        <v>272</v>
      </c>
    </row>
    <row r="1023" spans="1:24" x14ac:dyDescent="0.25">
      <c r="A1023" s="85" t="s">
        <v>291</v>
      </c>
      <c r="B1023" s="65" t="s">
        <v>149</v>
      </c>
      <c r="C1023" s="65" t="s">
        <v>396</v>
      </c>
      <c r="D1023" s="66">
        <v>11159426634</v>
      </c>
      <c r="E1023" s="65">
        <v>1782940000</v>
      </c>
      <c r="F1023" s="67">
        <v>601686374.02510393</v>
      </c>
      <c r="G1023" s="68">
        <v>0</v>
      </c>
      <c r="H1023" s="68">
        <v>601686374.02510393</v>
      </c>
      <c r="I1023" s="68">
        <v>0</v>
      </c>
      <c r="J1023" s="68">
        <v>1628157054</v>
      </c>
      <c r="K1023" s="68">
        <v>431442845</v>
      </c>
      <c r="L1023" s="68">
        <v>84392532</v>
      </c>
      <c r="M1023" s="68">
        <v>538790898</v>
      </c>
      <c r="N1023" s="69">
        <v>3284469703.025104</v>
      </c>
      <c r="O1023" s="65" t="str">
        <f>VLOOKUP(A1023,Report_HQ1!$A$7:$C$95,3,FALSE)</f>
        <v>BV Bến Thành</v>
      </c>
      <c r="P1023" s="40" t="str">
        <f>VLOOKUP(C1023,Sheet1!$U$4:$V$14,2,FALSE)</f>
        <v>BH Y tế</v>
      </c>
      <c r="Q1023" s="88">
        <f t="shared" si="15"/>
        <v>3284469703.025104</v>
      </c>
      <c r="X1023" s="65" t="s">
        <v>388</v>
      </c>
    </row>
    <row r="1024" spans="1:24" x14ac:dyDescent="0.25">
      <c r="A1024" s="85" t="s">
        <v>291</v>
      </c>
      <c r="B1024" s="65" t="s">
        <v>149</v>
      </c>
      <c r="C1024" s="65" t="s">
        <v>397</v>
      </c>
      <c r="D1024" s="66">
        <v>198955000</v>
      </c>
      <c r="E1024" s="65">
        <v>1782940000</v>
      </c>
      <c r="F1024" s="67">
        <v>10727120.350380948</v>
      </c>
      <c r="G1024" s="68">
        <v>0</v>
      </c>
      <c r="H1024" s="68">
        <v>10727120.350380948</v>
      </c>
      <c r="I1024" s="68">
        <v>0</v>
      </c>
      <c r="J1024" s="68">
        <v>39469200</v>
      </c>
      <c r="K1024" s="68">
        <v>39469200</v>
      </c>
      <c r="L1024" s="68">
        <v>482700</v>
      </c>
      <c r="M1024" s="68">
        <v>15916400</v>
      </c>
      <c r="N1024" s="69">
        <v>106064620.35038096</v>
      </c>
      <c r="O1024" s="65" t="str">
        <f>VLOOKUP(A1024,Report_HQ1!$A$7:$C$95,3,FALSE)</f>
        <v>BV Bến Thành</v>
      </c>
      <c r="P1024" s="40" t="str">
        <f>VLOOKUP(C1024,Sheet1!$U$4:$V$14,2,FALSE)</f>
        <v>BH Du lịch</v>
      </c>
      <c r="Q1024" s="88">
        <f t="shared" si="15"/>
        <v>106064620.35038096</v>
      </c>
      <c r="X1024" s="65" t="s">
        <v>23</v>
      </c>
    </row>
    <row r="1025" spans="1:24" x14ac:dyDescent="0.25">
      <c r="A1025" s="85" t="s">
        <v>330</v>
      </c>
      <c r="B1025" s="65" t="s">
        <v>188</v>
      </c>
      <c r="C1025" s="65" t="s">
        <v>387</v>
      </c>
      <c r="D1025" s="66">
        <v>547263299</v>
      </c>
      <c r="E1025" s="65">
        <v>1234500000</v>
      </c>
      <c r="F1025" s="67">
        <v>23268481.258522909</v>
      </c>
      <c r="G1025" s="68">
        <v>0</v>
      </c>
      <c r="H1025" s="68">
        <v>23268481.258522909</v>
      </c>
      <c r="I1025" s="68">
        <v>0</v>
      </c>
      <c r="J1025" s="68">
        <v>54726329</v>
      </c>
      <c r="K1025" s="68">
        <v>27363165</v>
      </c>
      <c r="L1025" s="68">
        <v>21890532</v>
      </c>
      <c r="M1025" s="68">
        <v>43781064</v>
      </c>
      <c r="N1025" s="69">
        <v>171029571.25852293</v>
      </c>
      <c r="O1025" s="65" t="str">
        <f>VLOOKUP(A1025,Report_HQ1!$A$7:$C$95,3,FALSE)</f>
        <v>BV Mỹ Đình</v>
      </c>
      <c r="P1025" s="40" t="str">
        <f>VLOOKUP(C1025,Sheet1!$U$4:$V$14,2,FALSE)</f>
        <v>BH Hàng hóa</v>
      </c>
      <c r="Q1025" s="88">
        <f t="shared" si="15"/>
        <v>171029571.25852293</v>
      </c>
      <c r="X1025" s="65" t="s">
        <v>389</v>
      </c>
    </row>
    <row r="1026" spans="1:24" x14ac:dyDescent="0.25">
      <c r="A1026" s="85" t="s">
        <v>330</v>
      </c>
      <c r="B1026" s="65" t="s">
        <v>188</v>
      </c>
      <c r="C1026" s="65" t="s">
        <v>272</v>
      </c>
      <c r="D1026" s="66">
        <v>15582000</v>
      </c>
      <c r="E1026" s="65">
        <v>1234500000</v>
      </c>
      <c r="F1026" s="67">
        <v>662513.77651820937</v>
      </c>
      <c r="G1026" s="68">
        <v>0</v>
      </c>
      <c r="H1026" s="68">
        <v>662513.77651820937</v>
      </c>
      <c r="I1026" s="68">
        <v>0</v>
      </c>
      <c r="J1026" s="68">
        <v>2337300</v>
      </c>
      <c r="K1026" s="68">
        <v>1090740</v>
      </c>
      <c r="L1026" s="68">
        <v>155820</v>
      </c>
      <c r="M1026" s="68">
        <v>1246560</v>
      </c>
      <c r="N1026" s="69">
        <v>5492933.7765182089</v>
      </c>
      <c r="O1026" s="65" t="str">
        <f>VLOOKUP(A1026,Report_HQ1!$A$7:$C$95,3,FALSE)</f>
        <v>BV Mỹ Đình</v>
      </c>
      <c r="P1026" s="40" t="str">
        <f>VLOOKUP(C1026,Sheet1!$U$4:$V$14,2,FALSE)</f>
        <v>Tàu khác</v>
      </c>
      <c r="Q1026" s="88">
        <f t="shared" si="15"/>
        <v>5492933.7765182089</v>
      </c>
      <c r="X1026" s="65" t="s">
        <v>390</v>
      </c>
    </row>
    <row r="1027" spans="1:24" x14ac:dyDescent="0.25">
      <c r="A1027" s="85" t="s">
        <v>330</v>
      </c>
      <c r="B1027" s="65" t="s">
        <v>188</v>
      </c>
      <c r="C1027" s="65" t="s">
        <v>388</v>
      </c>
      <c r="D1027" s="66">
        <v>502601632</v>
      </c>
      <c r="E1027" s="65">
        <v>1234500000</v>
      </c>
      <c r="F1027" s="67">
        <v>21369561.37213036</v>
      </c>
      <c r="G1027" s="68">
        <v>0</v>
      </c>
      <c r="H1027" s="68">
        <v>21369561.37213036</v>
      </c>
      <c r="I1027" s="68">
        <v>2513008</v>
      </c>
      <c r="J1027" s="68">
        <v>75390245</v>
      </c>
      <c r="K1027" s="68">
        <v>0</v>
      </c>
      <c r="L1027" s="68">
        <v>0</v>
      </c>
      <c r="M1027" s="68">
        <v>15078049</v>
      </c>
      <c r="N1027" s="69">
        <v>114350863.37213036</v>
      </c>
      <c r="O1027" s="65" t="str">
        <f>VLOOKUP(A1027,Report_HQ1!$A$7:$C$95,3,FALSE)</f>
        <v>BV Mỹ Đình</v>
      </c>
      <c r="P1027" s="40" t="str">
        <f>VLOOKUP(C1027,Sheet1!$U$4:$V$14,2,FALSE)</f>
        <v>Hull (Thân tàu biển)</v>
      </c>
      <c r="Q1027" s="88">
        <f t="shared" si="15"/>
        <v>114350863.37213036</v>
      </c>
      <c r="X1027" s="65" t="s">
        <v>391</v>
      </c>
    </row>
    <row r="1028" spans="1:24" x14ac:dyDescent="0.25">
      <c r="A1028" s="85" t="s">
        <v>330</v>
      </c>
      <c r="B1028" s="65" t="s">
        <v>188</v>
      </c>
      <c r="C1028" s="65" t="s">
        <v>23</v>
      </c>
      <c r="D1028" s="66">
        <v>687264939</v>
      </c>
      <c r="E1028" s="65">
        <v>1234500000</v>
      </c>
      <c r="F1028" s="67">
        <v>29221055.718485866</v>
      </c>
      <c r="G1028" s="68">
        <v>0</v>
      </c>
      <c r="H1028" s="68">
        <v>29221055.718485866</v>
      </c>
      <c r="I1028" s="68">
        <v>0</v>
      </c>
      <c r="J1028" s="68">
        <v>51544871</v>
      </c>
      <c r="K1028" s="68">
        <v>0</v>
      </c>
      <c r="L1028" s="68">
        <v>0</v>
      </c>
      <c r="M1028" s="68">
        <v>20617949</v>
      </c>
      <c r="N1028" s="69">
        <v>101383875.71848586</v>
      </c>
      <c r="O1028" s="65" t="str">
        <f>VLOOKUP(A1028,Report_HQ1!$A$7:$C$95,3,FALSE)</f>
        <v>BV Mỹ Đình</v>
      </c>
      <c r="P1028" s="40" t="str">
        <f>VLOOKUP(C1028,Sheet1!$U$4:$V$14,2,FALSE)</f>
        <v>P&amp;I</v>
      </c>
      <c r="Q1028" s="88">
        <f t="shared" si="15"/>
        <v>101383875.71848586</v>
      </c>
      <c r="X1028" s="65" t="s">
        <v>392</v>
      </c>
    </row>
    <row r="1029" spans="1:24" x14ac:dyDescent="0.25">
      <c r="A1029" s="85" t="s">
        <v>330</v>
      </c>
      <c r="B1029" s="65" t="s">
        <v>188</v>
      </c>
      <c r="C1029" s="65" t="s">
        <v>389</v>
      </c>
      <c r="D1029" s="66">
        <v>623615909</v>
      </c>
      <c r="E1029" s="65">
        <v>1234500000</v>
      </c>
      <c r="F1029" s="67">
        <v>26514833.202953789</v>
      </c>
      <c r="G1029" s="68">
        <v>0</v>
      </c>
      <c r="H1029" s="68">
        <v>26514833.202953789</v>
      </c>
      <c r="I1029" s="68">
        <v>0</v>
      </c>
      <c r="J1029" s="68">
        <v>34053295</v>
      </c>
      <c r="K1029" s="68">
        <v>17026648</v>
      </c>
      <c r="L1029" s="68">
        <v>44760443</v>
      </c>
      <c r="M1029" s="68">
        <v>49889273</v>
      </c>
      <c r="N1029" s="69">
        <v>172244492.20295379</v>
      </c>
      <c r="O1029" s="65" t="str">
        <f>VLOOKUP(A1029,Report_HQ1!$A$7:$C$95,3,FALSE)</f>
        <v>BV Mỹ Đình</v>
      </c>
      <c r="P1029" s="40" t="str">
        <f>VLOOKUP(C1029,Sheet1!$U$4:$V$14,2,FALSE)</f>
        <v>BH Trách nhiệm</v>
      </c>
      <c r="Q1029" s="88">
        <f t="shared" si="15"/>
        <v>172244492.20295379</v>
      </c>
      <c r="X1029" s="65" t="s">
        <v>393</v>
      </c>
    </row>
    <row r="1030" spans="1:24" x14ac:dyDescent="0.25">
      <c r="A1030" s="85" t="s">
        <v>330</v>
      </c>
      <c r="B1030" s="65" t="s">
        <v>188</v>
      </c>
      <c r="C1030" s="65" t="s">
        <v>390</v>
      </c>
      <c r="D1030" s="66">
        <v>0</v>
      </c>
      <c r="E1030" s="65">
        <v>1234500000</v>
      </c>
      <c r="F1030" s="67">
        <v>0</v>
      </c>
      <c r="G1030" s="68">
        <v>0</v>
      </c>
      <c r="H1030" s="68">
        <v>0</v>
      </c>
      <c r="I1030" s="68">
        <v>0</v>
      </c>
      <c r="J1030" s="68">
        <v>0</v>
      </c>
      <c r="K1030" s="68">
        <v>0</v>
      </c>
      <c r="L1030" s="68">
        <v>0</v>
      </c>
      <c r="M1030" s="68">
        <v>0</v>
      </c>
      <c r="N1030" s="69">
        <v>0</v>
      </c>
      <c r="O1030" s="65" t="str">
        <f>VLOOKUP(A1030,Report_HQ1!$A$7:$C$95,3,FALSE)</f>
        <v>BV Mỹ Đình</v>
      </c>
      <c r="P1030" s="40" t="e">
        <f>VLOOKUP(C1030,Sheet1!$U$4:$V$14,2,FALSE)</f>
        <v>#N/A</v>
      </c>
      <c r="Q1030" s="88">
        <f t="shared" si="15"/>
        <v>0</v>
      </c>
      <c r="X1030" s="65" t="s">
        <v>394</v>
      </c>
    </row>
    <row r="1031" spans="1:24" x14ac:dyDescent="0.25">
      <c r="A1031" s="85" t="s">
        <v>330</v>
      </c>
      <c r="B1031" s="65" t="s">
        <v>188</v>
      </c>
      <c r="C1031" s="65" t="s">
        <v>391</v>
      </c>
      <c r="D1031" s="66">
        <v>242328308</v>
      </c>
      <c r="E1031" s="65">
        <v>1234500000</v>
      </c>
      <c r="F1031" s="67">
        <v>10303288.569525592</v>
      </c>
      <c r="G1031" s="68">
        <v>0</v>
      </c>
      <c r="H1031" s="68">
        <v>10303288.569525592</v>
      </c>
      <c r="I1031" s="68">
        <v>0</v>
      </c>
      <c r="J1031" s="68">
        <v>3650000</v>
      </c>
      <c r="K1031" s="68">
        <v>1825000</v>
      </c>
      <c r="L1031" s="68">
        <v>5475000</v>
      </c>
      <c r="M1031" s="68">
        <v>4380000</v>
      </c>
      <c r="N1031" s="69">
        <v>25633288.569525592</v>
      </c>
      <c r="O1031" s="65" t="str">
        <f>VLOOKUP(A1031,Report_HQ1!$A$7:$C$95,3,FALSE)</f>
        <v>BV Mỹ Đình</v>
      </c>
      <c r="P1031" s="40" t="str">
        <f>VLOOKUP(C1031,Sheet1!$U$4:$V$14,2,FALSE)</f>
        <v>BH Kỹ thuật</v>
      </c>
      <c r="Q1031" s="88">
        <f t="shared" si="15"/>
        <v>25633288.569525592</v>
      </c>
      <c r="X1031" s="65" t="s">
        <v>395</v>
      </c>
    </row>
    <row r="1032" spans="1:24" x14ac:dyDescent="0.25">
      <c r="A1032" s="85" t="s">
        <v>330</v>
      </c>
      <c r="B1032" s="65" t="s">
        <v>188</v>
      </c>
      <c r="C1032" s="65" t="s">
        <v>392</v>
      </c>
      <c r="D1032" s="66">
        <v>3517706744</v>
      </c>
      <c r="E1032" s="65">
        <v>1234500000</v>
      </c>
      <c r="F1032" s="67">
        <v>149565471.67571646</v>
      </c>
      <c r="G1032" s="68">
        <v>0</v>
      </c>
      <c r="H1032" s="68">
        <v>149565471.67571646</v>
      </c>
      <c r="I1032" s="68">
        <v>0</v>
      </c>
      <c r="J1032" s="68">
        <v>3045588</v>
      </c>
      <c r="K1032" s="68">
        <v>1522793</v>
      </c>
      <c r="L1032" s="68">
        <v>325358762</v>
      </c>
      <c r="M1032" s="68">
        <v>54276671</v>
      </c>
      <c r="N1032" s="69">
        <v>533769285.67571646</v>
      </c>
      <c r="O1032" s="65" t="str">
        <f>VLOOKUP(A1032,Report_HQ1!$A$7:$C$95,3,FALSE)</f>
        <v>BV Mỹ Đình</v>
      </c>
      <c r="P1032" s="40" t="str">
        <f>VLOOKUP(C1032,Sheet1!$U$4:$V$14,2,FALSE)</f>
        <v>BH Tài sản</v>
      </c>
      <c r="Q1032" s="88">
        <f t="shared" si="15"/>
        <v>533769285.67571646</v>
      </c>
      <c r="X1032" s="65" t="s">
        <v>396</v>
      </c>
    </row>
    <row r="1033" spans="1:24" x14ac:dyDescent="0.25">
      <c r="A1033" s="85" t="s">
        <v>330</v>
      </c>
      <c r="B1033" s="65" t="s">
        <v>188</v>
      </c>
      <c r="C1033" s="65" t="s">
        <v>393</v>
      </c>
      <c r="D1033" s="66">
        <v>12588124055</v>
      </c>
      <c r="E1033" s="65">
        <v>1234500000</v>
      </c>
      <c r="F1033" s="67">
        <v>535220485.62172794</v>
      </c>
      <c r="G1033" s="68">
        <v>0</v>
      </c>
      <c r="H1033" s="68">
        <v>535220485.62172794</v>
      </c>
      <c r="I1033" s="68">
        <v>0</v>
      </c>
      <c r="J1033" s="68">
        <v>1228414831</v>
      </c>
      <c r="K1033" s="68">
        <v>614207416</v>
      </c>
      <c r="L1033" s="68">
        <v>818128938</v>
      </c>
      <c r="M1033" s="68">
        <v>692204319</v>
      </c>
      <c r="N1033" s="69">
        <v>3888175989.6217279</v>
      </c>
      <c r="O1033" s="65" t="str">
        <f>VLOOKUP(A1033,Report_HQ1!$A$7:$C$95,3,FALSE)</f>
        <v>BV Mỹ Đình</v>
      </c>
      <c r="P1033" s="40" t="str">
        <f>VLOOKUP(C1033,Sheet1!$U$4:$V$14,2,FALSE)</f>
        <v>BH Xe cơ giới</v>
      </c>
      <c r="Q1033" s="88">
        <f t="shared" si="15"/>
        <v>3888175989.6217279</v>
      </c>
      <c r="X1033" s="65" t="s">
        <v>397</v>
      </c>
    </row>
    <row r="1034" spans="1:24" x14ac:dyDescent="0.25">
      <c r="A1034" s="85" t="s">
        <v>330</v>
      </c>
      <c r="B1034" s="65" t="s">
        <v>188</v>
      </c>
      <c r="C1034" s="65" t="s">
        <v>394</v>
      </c>
      <c r="D1034" s="66">
        <v>835744191</v>
      </c>
      <c r="E1034" s="65">
        <v>1234500000</v>
      </c>
      <c r="F1034" s="67">
        <v>35534080.360837229</v>
      </c>
      <c r="G1034" s="68">
        <v>0</v>
      </c>
      <c r="H1034" s="68">
        <v>35534080.360837229</v>
      </c>
      <c r="I1034" s="68">
        <v>0</v>
      </c>
      <c r="J1034" s="68">
        <v>142657948</v>
      </c>
      <c r="K1034" s="68">
        <v>16435412</v>
      </c>
      <c r="L1034" s="68">
        <v>22576599</v>
      </c>
      <c r="M1034" s="68">
        <v>46140522</v>
      </c>
      <c r="N1034" s="69">
        <v>263344561.36083722</v>
      </c>
      <c r="O1034" s="65" t="str">
        <f>VLOOKUP(A1034,Report_HQ1!$A$7:$C$95,3,FALSE)</f>
        <v>BV Mỹ Đình</v>
      </c>
      <c r="P1034" s="40" t="str">
        <f>VLOOKUP(C1034,Sheet1!$U$4:$V$14,2,FALSE)</f>
        <v>BH Con người</v>
      </c>
      <c r="Q1034" s="88">
        <f t="shared" si="15"/>
        <v>263344561.36083722</v>
      </c>
      <c r="X1034" s="65" t="s">
        <v>387</v>
      </c>
    </row>
    <row r="1035" spans="1:24" x14ac:dyDescent="0.25">
      <c r="A1035" s="85" t="s">
        <v>330</v>
      </c>
      <c r="B1035" s="65" t="s">
        <v>188</v>
      </c>
      <c r="C1035" s="65" t="s">
        <v>395</v>
      </c>
      <c r="D1035" s="66">
        <v>0</v>
      </c>
      <c r="E1035" s="65">
        <v>1234500000</v>
      </c>
      <c r="F1035" s="67">
        <v>0</v>
      </c>
      <c r="G1035" s="68">
        <v>0</v>
      </c>
      <c r="H1035" s="68">
        <v>0</v>
      </c>
      <c r="I1035" s="68">
        <v>0</v>
      </c>
      <c r="J1035" s="68">
        <v>0</v>
      </c>
      <c r="K1035" s="68">
        <v>0</v>
      </c>
      <c r="L1035" s="68">
        <v>0</v>
      </c>
      <c r="M1035" s="68">
        <v>0</v>
      </c>
      <c r="N1035" s="69">
        <v>0</v>
      </c>
      <c r="O1035" s="65" t="str">
        <f>VLOOKUP(A1035,Report_HQ1!$A$7:$C$95,3,FALSE)</f>
        <v>BV Mỹ Đình</v>
      </c>
      <c r="P1035" s="40" t="e">
        <f>VLOOKUP(C1035,Sheet1!$U$4:$V$14,2,FALSE)</f>
        <v>#N/A</v>
      </c>
      <c r="Q1035" s="88">
        <f t="shared" si="15"/>
        <v>0</v>
      </c>
      <c r="X1035" s="65" t="s">
        <v>272</v>
      </c>
    </row>
    <row r="1036" spans="1:24" x14ac:dyDescent="0.25">
      <c r="A1036" s="85" t="s">
        <v>330</v>
      </c>
      <c r="B1036" s="65" t="s">
        <v>188</v>
      </c>
      <c r="C1036" s="65" t="s">
        <v>396</v>
      </c>
      <c r="D1036" s="66">
        <v>8579155351</v>
      </c>
      <c r="E1036" s="65">
        <v>1234500000</v>
      </c>
      <c r="F1036" s="67">
        <v>364767591.51119328</v>
      </c>
      <c r="G1036" s="68">
        <v>0</v>
      </c>
      <c r="H1036" s="68">
        <v>364767591.51119328</v>
      </c>
      <c r="I1036" s="68">
        <v>0</v>
      </c>
      <c r="J1036" s="68">
        <v>884875042</v>
      </c>
      <c r="K1036" s="68">
        <v>149254132</v>
      </c>
      <c r="L1036" s="68">
        <v>0</v>
      </c>
      <c r="M1036" s="68">
        <v>313725274</v>
      </c>
      <c r="N1036" s="69">
        <v>1712622039.5111933</v>
      </c>
      <c r="O1036" s="65" t="str">
        <f>VLOOKUP(A1036,Report_HQ1!$A$7:$C$95,3,FALSE)</f>
        <v>BV Mỹ Đình</v>
      </c>
      <c r="P1036" s="40" t="str">
        <f>VLOOKUP(C1036,Sheet1!$U$4:$V$14,2,FALSE)</f>
        <v>BH Y tế</v>
      </c>
      <c r="Q1036" s="88">
        <f t="shared" ref="Q1036" si="16">N1036</f>
        <v>1712622039.5111933</v>
      </c>
      <c r="X1036" s="65" t="s">
        <v>388</v>
      </c>
    </row>
    <row r="1037" spans="1:24" x14ac:dyDescent="0.25">
      <c r="A1037" s="85" t="s">
        <v>330</v>
      </c>
      <c r="B1037" s="65" t="s">
        <v>188</v>
      </c>
      <c r="C1037" s="65" t="s">
        <v>397</v>
      </c>
      <c r="D1037" s="66">
        <v>895449800</v>
      </c>
      <c r="E1037" s="65">
        <v>1234500000</v>
      </c>
      <c r="F1037" s="67">
        <v>38072636.93238835</v>
      </c>
      <c r="G1037" s="68">
        <v>0</v>
      </c>
      <c r="H1037" s="68">
        <v>38072636.93238835</v>
      </c>
      <c r="I1037" s="68">
        <v>0</v>
      </c>
      <c r="J1037" s="68">
        <v>179089960</v>
      </c>
      <c r="K1037" s="68">
        <v>179089960</v>
      </c>
      <c r="L1037" s="68">
        <v>0</v>
      </c>
      <c r="M1037" s="68">
        <v>71635984</v>
      </c>
      <c r="N1037" s="69">
        <v>467888540.93238837</v>
      </c>
      <c r="O1037" s="65" t="str">
        <f>VLOOKUP(A1037,Report_HQ1!$A$7:$C$95,3,FALSE)</f>
        <v>BV Mỹ Đình</v>
      </c>
      <c r="P1037" s="40" t="str">
        <f>VLOOKUP(C1037,Sheet1!$U$4:$V$14,2,FALSE)</f>
        <v>BH Du lịch</v>
      </c>
      <c r="Q1037" s="88">
        <f>N1037</f>
        <v>467888540.93238837</v>
      </c>
      <c r="X1037" s="65" t="s">
        <v>23</v>
      </c>
    </row>
    <row r="1038" spans="1:24" x14ac:dyDescent="0.25">
      <c r="A1038" s="95" t="s">
        <v>229</v>
      </c>
      <c r="B1038" t="s">
        <v>115</v>
      </c>
      <c r="C1038" t="s">
        <v>392</v>
      </c>
      <c r="D1038" s="7">
        <v>924000</v>
      </c>
      <c r="N1038" s="7">
        <v>924000</v>
      </c>
      <c r="O1038" s="65" t="str">
        <f>VLOOKUP(A1038,Report_HQ1!$A$7:$C$95,3,FALSE)</f>
        <v>TSC-Ban Bảo hiểm trực tuyến</v>
      </c>
      <c r="P1038" s="40" t="str">
        <f>VLOOKUP(C1038,Sheet1!$U$4:$V$14,2,FALSE)</f>
        <v>BH Tài sản</v>
      </c>
      <c r="Q1038" s="109">
        <f>N1038</f>
        <v>924000</v>
      </c>
      <c r="X1038" s="65" t="s">
        <v>389</v>
      </c>
    </row>
    <row r="1039" spans="1:24" x14ac:dyDescent="0.25">
      <c r="A1039" s="95" t="s">
        <v>229</v>
      </c>
      <c r="B1039" t="s">
        <v>115</v>
      </c>
      <c r="C1039" t="s">
        <v>393</v>
      </c>
      <c r="D1039" s="7">
        <v>390502353.60000002</v>
      </c>
      <c r="N1039" s="7">
        <v>390502353.60000002</v>
      </c>
      <c r="O1039" s="65" t="str">
        <f>VLOOKUP(A1039,Report_HQ1!$A$7:$C$95,3,FALSE)</f>
        <v>TSC-Ban Bảo hiểm trực tuyến</v>
      </c>
      <c r="P1039" s="40" t="str">
        <f>VLOOKUP(C1039,Sheet1!$U$4:$V$14,2,FALSE)</f>
        <v>BH Xe cơ giới</v>
      </c>
      <c r="Q1039" s="109">
        <f t="shared" ref="Q1039:Q1088" si="17">N1039</f>
        <v>390502353.60000002</v>
      </c>
      <c r="X1039" s="65" t="s">
        <v>390</v>
      </c>
    </row>
    <row r="1040" spans="1:24" x14ac:dyDescent="0.25">
      <c r="A1040" s="95" t="s">
        <v>229</v>
      </c>
      <c r="B1040" t="s">
        <v>115</v>
      </c>
      <c r="C1040" t="s">
        <v>394</v>
      </c>
      <c r="D1040" s="7">
        <v>191390749.31999999</v>
      </c>
      <c r="N1040" s="7">
        <v>191390749.31999999</v>
      </c>
      <c r="O1040" s="65" t="str">
        <f>VLOOKUP(A1040,Report_HQ1!$A$7:$C$95,3,FALSE)</f>
        <v>TSC-Ban Bảo hiểm trực tuyến</v>
      </c>
      <c r="P1040" s="40" t="str">
        <f>VLOOKUP(C1040,Sheet1!$U$4:$V$14,2,FALSE)</f>
        <v>BH Con người</v>
      </c>
      <c r="Q1040" s="109">
        <f t="shared" si="17"/>
        <v>191390749.31999999</v>
      </c>
      <c r="X1040" s="65" t="s">
        <v>391</v>
      </c>
    </row>
    <row r="1041" spans="1:24" x14ac:dyDescent="0.25">
      <c r="A1041" s="95" t="s">
        <v>229</v>
      </c>
      <c r="B1041" t="s">
        <v>115</v>
      </c>
      <c r="C1041" s="65" t="s">
        <v>396</v>
      </c>
      <c r="D1041" s="7">
        <v>174146008</v>
      </c>
      <c r="N1041" s="7">
        <v>174146008</v>
      </c>
      <c r="O1041" s="65" t="str">
        <f>VLOOKUP(A1041,Report_HQ1!$A$7:$C$95,3,FALSE)</f>
        <v>TSC-Ban Bảo hiểm trực tuyến</v>
      </c>
      <c r="P1041" s="40" t="str">
        <f>VLOOKUP(C1041,Sheet1!$U$4:$V$14,2,FALSE)</f>
        <v>BH Y tế</v>
      </c>
      <c r="Q1041" s="109">
        <f t="shared" si="17"/>
        <v>174146008</v>
      </c>
      <c r="X1041" s="65" t="s">
        <v>392</v>
      </c>
    </row>
    <row r="1042" spans="1:24" x14ac:dyDescent="0.25">
      <c r="A1042" s="95" t="s">
        <v>229</v>
      </c>
      <c r="B1042" t="s">
        <v>115</v>
      </c>
      <c r="C1042" t="s">
        <v>397</v>
      </c>
      <c r="D1042" s="7">
        <v>3837626503</v>
      </c>
      <c r="N1042" s="7">
        <v>3837626503</v>
      </c>
      <c r="O1042" s="65" t="str">
        <f>VLOOKUP(A1042,Report_HQ1!$A$7:$C$95,3,FALSE)</f>
        <v>TSC-Ban Bảo hiểm trực tuyến</v>
      </c>
      <c r="P1042" s="40" t="str">
        <f>VLOOKUP(C1042,Sheet1!$U$4:$V$14,2,FALSE)</f>
        <v>BH Du lịch</v>
      </c>
      <c r="Q1042" s="109">
        <f t="shared" si="17"/>
        <v>3837626503</v>
      </c>
      <c r="X1042" s="65" t="s">
        <v>393</v>
      </c>
    </row>
    <row r="1043" spans="1:24" x14ac:dyDescent="0.25">
      <c r="A1043" s="95" t="s">
        <v>230</v>
      </c>
      <c r="B1043" t="s">
        <v>130</v>
      </c>
      <c r="C1043" t="s">
        <v>394</v>
      </c>
      <c r="D1043" s="7">
        <v>762317671.90300012</v>
      </c>
      <c r="N1043" s="7">
        <v>762317671.90300012</v>
      </c>
      <c r="O1043" s="65" t="str">
        <f>VLOOKUP(A1043,Report_HQ1!$A$7:$C$95,3,FALSE)</f>
        <v>TSC-Ban KD Bảo hiểm sức khỏe</v>
      </c>
      <c r="P1043" s="40" t="str">
        <f>VLOOKUP(C1043,Sheet1!$U$4:$V$14,2,FALSE)</f>
        <v>BH Con người</v>
      </c>
      <c r="Q1043" s="109">
        <f t="shared" si="17"/>
        <v>762317671.90300012</v>
      </c>
      <c r="X1043" s="65" t="s">
        <v>394</v>
      </c>
    </row>
    <row r="1044" spans="1:24" x14ac:dyDescent="0.25">
      <c r="A1044" s="95" t="s">
        <v>230</v>
      </c>
      <c r="B1044" t="s">
        <v>130</v>
      </c>
      <c r="C1044" s="65" t="s">
        <v>396</v>
      </c>
      <c r="D1044" s="7">
        <v>91661008287.260315</v>
      </c>
      <c r="N1044" s="7">
        <v>91661008287.260315</v>
      </c>
      <c r="O1044" s="65" t="str">
        <f>VLOOKUP(A1044,Report_HQ1!$A$7:$C$95,3,FALSE)</f>
        <v>TSC-Ban KD Bảo hiểm sức khỏe</v>
      </c>
      <c r="P1044" s="40" t="str">
        <f>VLOOKUP(C1044,Sheet1!$U$4:$V$14,2,FALSE)</f>
        <v>BH Y tế</v>
      </c>
      <c r="Q1044" s="109">
        <f t="shared" si="17"/>
        <v>91661008287.260315</v>
      </c>
      <c r="X1044" s="65" t="s">
        <v>395</v>
      </c>
    </row>
    <row r="1045" spans="1:24" x14ac:dyDescent="0.25">
      <c r="A1045" s="95" t="s">
        <v>230</v>
      </c>
      <c r="B1045" t="s">
        <v>130</v>
      </c>
      <c r="C1045" t="s">
        <v>397</v>
      </c>
      <c r="D1045" s="7">
        <v>5411557.25</v>
      </c>
      <c r="N1045" s="7">
        <v>5411557.25</v>
      </c>
      <c r="O1045" s="65" t="str">
        <f>VLOOKUP(A1045,Report_HQ1!$A$7:$C$95,3,FALSE)</f>
        <v>TSC-Ban KD Bảo hiểm sức khỏe</v>
      </c>
      <c r="P1045" s="40" t="str">
        <f>VLOOKUP(C1045,Sheet1!$U$4:$V$14,2,FALSE)</f>
        <v>BH Du lịch</v>
      </c>
      <c r="Q1045" s="109">
        <f t="shared" si="17"/>
        <v>5411557.25</v>
      </c>
      <c r="X1045" s="65" t="s">
        <v>396</v>
      </c>
    </row>
    <row r="1046" spans="1:24" x14ac:dyDescent="0.25">
      <c r="A1046" s="95" t="s">
        <v>223</v>
      </c>
      <c r="B1046" t="s">
        <v>55</v>
      </c>
      <c r="C1046" t="s">
        <v>387</v>
      </c>
      <c r="D1046" s="7">
        <v>2132727077.7750003</v>
      </c>
      <c r="N1046" s="7">
        <v>2132727077.7750003</v>
      </c>
      <c r="O1046" s="65" t="str">
        <f>VLOOKUP(A1046,Report_HQ1!$A$7:$C$95,3,FALSE)</f>
        <v>TSC-Ban KDBH Hàng hóa</v>
      </c>
      <c r="P1046" s="40" t="str">
        <f>VLOOKUP(C1046,Sheet1!$U$4:$V$14,2,FALSE)</f>
        <v>BH Hàng hóa</v>
      </c>
      <c r="Q1046" s="109">
        <f t="shared" si="17"/>
        <v>2132727077.7750003</v>
      </c>
      <c r="X1046" s="65" t="s">
        <v>397</v>
      </c>
    </row>
    <row r="1047" spans="1:24" x14ac:dyDescent="0.25">
      <c r="A1047" s="95" t="s">
        <v>223</v>
      </c>
      <c r="B1047" t="s">
        <v>55</v>
      </c>
      <c r="C1047" s="65" t="s">
        <v>388</v>
      </c>
      <c r="D1047" s="7">
        <v>15379764.4</v>
      </c>
      <c r="N1047" s="7">
        <v>15379764.4</v>
      </c>
      <c r="O1047" s="65" t="str">
        <f>VLOOKUP(A1047,Report_HQ1!$A$7:$C$95,3,FALSE)</f>
        <v>TSC-Ban KDBH Hàng hóa</v>
      </c>
      <c r="P1047" s="40" t="str">
        <f>VLOOKUP(C1047,Sheet1!$U$4:$V$14,2,FALSE)</f>
        <v>Hull (Thân tàu biển)</v>
      </c>
      <c r="Q1047" s="109">
        <f t="shared" si="17"/>
        <v>15379764.4</v>
      </c>
      <c r="X1047" s="65" t="s">
        <v>387</v>
      </c>
    </row>
    <row r="1048" spans="1:24" x14ac:dyDescent="0.25">
      <c r="A1048" s="95" t="s">
        <v>223</v>
      </c>
      <c r="B1048" t="s">
        <v>55</v>
      </c>
      <c r="C1048" s="65" t="s">
        <v>272</v>
      </c>
      <c r="D1048" s="7">
        <v>37716368.32</v>
      </c>
      <c r="N1048" s="7">
        <v>37716368.32</v>
      </c>
      <c r="O1048" s="65" t="str">
        <f>VLOOKUP(A1048,Report_HQ1!$A$7:$C$95,3,FALSE)</f>
        <v>TSC-Ban KDBH Hàng hóa</v>
      </c>
      <c r="P1048" s="40" t="str">
        <f>VLOOKUP(C1048,Sheet1!$U$4:$V$14,2,FALSE)</f>
        <v>Tàu khác</v>
      </c>
      <c r="Q1048" s="109">
        <f t="shared" si="17"/>
        <v>37716368.32</v>
      </c>
      <c r="X1048" s="65" t="s">
        <v>272</v>
      </c>
    </row>
    <row r="1049" spans="1:24" x14ac:dyDescent="0.25">
      <c r="A1049" s="95" t="s">
        <v>223</v>
      </c>
      <c r="B1049" t="s">
        <v>55</v>
      </c>
      <c r="C1049" t="s">
        <v>391</v>
      </c>
      <c r="D1049" s="7">
        <v>1387012.5</v>
      </c>
      <c r="N1049" s="7">
        <v>1387012.5</v>
      </c>
      <c r="O1049" s="65" t="str">
        <f>VLOOKUP(A1049,Report_HQ1!$A$7:$C$95,3,FALSE)</f>
        <v>TSC-Ban KDBH Hàng hóa</v>
      </c>
      <c r="P1049" s="40" t="str">
        <f>VLOOKUP(C1049,Sheet1!$U$4:$V$14,2,FALSE)</f>
        <v>BH Kỹ thuật</v>
      </c>
      <c r="Q1049" s="109">
        <f t="shared" si="17"/>
        <v>1387012.5</v>
      </c>
      <c r="X1049" s="65" t="s">
        <v>388</v>
      </c>
    </row>
    <row r="1050" spans="1:24" x14ac:dyDescent="0.25">
      <c r="A1050" s="95" t="s">
        <v>223</v>
      </c>
      <c r="B1050" t="s">
        <v>55</v>
      </c>
      <c r="C1050" t="s">
        <v>392</v>
      </c>
      <c r="D1050" s="7">
        <v>205140842.20000005</v>
      </c>
      <c r="N1050" s="7">
        <v>205140842.20000005</v>
      </c>
      <c r="O1050" s="65" t="str">
        <f>VLOOKUP(A1050,Report_HQ1!$A$7:$C$95,3,FALSE)</f>
        <v>TSC-Ban KDBH Hàng hóa</v>
      </c>
      <c r="P1050" s="40" t="str">
        <f>VLOOKUP(C1050,Sheet1!$U$4:$V$14,2,FALSE)</f>
        <v>BH Tài sản</v>
      </c>
      <c r="Q1050" s="109">
        <f t="shared" si="17"/>
        <v>205140842.20000005</v>
      </c>
      <c r="X1050" s="65" t="s">
        <v>23</v>
      </c>
    </row>
    <row r="1051" spans="1:24" x14ac:dyDescent="0.25">
      <c r="A1051" s="95" t="s">
        <v>223</v>
      </c>
      <c r="B1051" t="s">
        <v>55</v>
      </c>
      <c r="C1051" t="s">
        <v>389</v>
      </c>
      <c r="D1051" s="7">
        <v>1200000</v>
      </c>
      <c r="N1051" s="7">
        <v>1200000</v>
      </c>
      <c r="O1051" s="65" t="str">
        <f>VLOOKUP(A1051,Report_HQ1!$A$7:$C$95,3,FALSE)</f>
        <v>TSC-Ban KDBH Hàng hóa</v>
      </c>
      <c r="P1051" s="40" t="str">
        <f>VLOOKUP(C1051,Sheet1!$U$4:$V$14,2,FALSE)</f>
        <v>BH Trách nhiệm</v>
      </c>
      <c r="Q1051" s="109">
        <f t="shared" si="17"/>
        <v>1200000</v>
      </c>
      <c r="X1051" s="65" t="s">
        <v>389</v>
      </c>
    </row>
    <row r="1052" spans="1:24" x14ac:dyDescent="0.25">
      <c r="A1052" s="95" t="s">
        <v>223</v>
      </c>
      <c r="B1052" t="s">
        <v>55</v>
      </c>
      <c r="C1052" t="s">
        <v>393</v>
      </c>
      <c r="D1052" s="7">
        <v>51607612.600000001</v>
      </c>
      <c r="N1052" s="7">
        <v>51607612.600000001</v>
      </c>
      <c r="O1052" s="65" t="str">
        <f>VLOOKUP(A1052,Report_HQ1!$A$7:$C$95,3,FALSE)</f>
        <v>TSC-Ban KDBH Hàng hóa</v>
      </c>
      <c r="P1052" s="40" t="str">
        <f>VLOOKUP(C1052,Sheet1!$U$4:$V$14,2,FALSE)</f>
        <v>BH Xe cơ giới</v>
      </c>
      <c r="Q1052" s="109">
        <f t="shared" si="17"/>
        <v>51607612.600000001</v>
      </c>
      <c r="X1052" s="65" t="s">
        <v>390</v>
      </c>
    </row>
    <row r="1053" spans="1:24" x14ac:dyDescent="0.25">
      <c r="A1053" s="95" t="s">
        <v>223</v>
      </c>
      <c r="B1053" t="s">
        <v>55</v>
      </c>
      <c r="C1053" t="s">
        <v>394</v>
      </c>
      <c r="D1053" s="7">
        <v>844254</v>
      </c>
      <c r="N1053" s="7">
        <v>844254</v>
      </c>
      <c r="O1053" s="65" t="str">
        <f>VLOOKUP(A1053,Report_HQ1!$A$7:$C$95,3,FALSE)</f>
        <v>TSC-Ban KDBH Hàng hóa</v>
      </c>
      <c r="P1053" s="40" t="str">
        <f>VLOOKUP(C1053,Sheet1!$U$4:$V$14,2,FALSE)</f>
        <v>BH Con người</v>
      </c>
      <c r="Q1053" s="109">
        <f t="shared" si="17"/>
        <v>844254</v>
      </c>
      <c r="X1053" s="65" t="s">
        <v>391</v>
      </c>
    </row>
    <row r="1054" spans="1:24" x14ac:dyDescent="0.25">
      <c r="A1054" s="95" t="s">
        <v>223</v>
      </c>
      <c r="B1054" t="s">
        <v>55</v>
      </c>
      <c r="C1054" s="65" t="s">
        <v>396</v>
      </c>
      <c r="D1054" s="7">
        <v>122481769.06</v>
      </c>
      <c r="N1054" s="7">
        <v>122481769.06</v>
      </c>
      <c r="O1054" s="65" t="str">
        <f>VLOOKUP(A1054,Report_HQ1!$A$7:$C$95,3,FALSE)</f>
        <v>TSC-Ban KDBH Hàng hóa</v>
      </c>
      <c r="P1054" s="40" t="str">
        <f>VLOOKUP(C1054,Sheet1!$U$4:$V$14,2,FALSE)</f>
        <v>BH Y tế</v>
      </c>
      <c r="Q1054" s="109">
        <f t="shared" si="17"/>
        <v>122481769.06</v>
      </c>
      <c r="X1054" s="65" t="s">
        <v>392</v>
      </c>
    </row>
    <row r="1055" spans="1:24" x14ac:dyDescent="0.25">
      <c r="A1055" s="95" t="s">
        <v>223</v>
      </c>
      <c r="B1055" t="s">
        <v>55</v>
      </c>
      <c r="C1055" t="s">
        <v>397</v>
      </c>
      <c r="D1055" s="7">
        <v>1609280</v>
      </c>
      <c r="N1055" s="7">
        <v>1609280</v>
      </c>
      <c r="O1055" s="65" t="str">
        <f>VLOOKUP(A1055,Report_HQ1!$A$7:$C$95,3,FALSE)</f>
        <v>TSC-Ban KDBH Hàng hóa</v>
      </c>
      <c r="P1055" s="40" t="str">
        <f>VLOOKUP(C1055,Sheet1!$U$4:$V$14,2,FALSE)</f>
        <v>BH Du lịch</v>
      </c>
      <c r="Q1055" s="109">
        <f t="shared" si="17"/>
        <v>1609280</v>
      </c>
      <c r="X1055" s="65" t="s">
        <v>393</v>
      </c>
    </row>
    <row r="1056" spans="1:24" x14ac:dyDescent="0.25">
      <c r="A1056" s="108" t="s">
        <v>234</v>
      </c>
      <c r="B1056" t="s">
        <v>126</v>
      </c>
      <c r="C1056" t="s">
        <v>392</v>
      </c>
      <c r="D1056" s="7">
        <v>41076338.380000003</v>
      </c>
      <c r="N1056" s="7">
        <v>41076338.380000003</v>
      </c>
      <c r="O1056" s="65" t="str">
        <f>VLOOKUP(A1056,Report_HQ1!$A$7:$C$95,3,FALSE)</f>
        <v>TSC-Ban KDBH Phi hàng hải TSC</v>
      </c>
      <c r="P1056" s="40" t="str">
        <f>VLOOKUP(C1056,Sheet1!$U$4:$V$14,2,FALSE)</f>
        <v>BH Tài sản</v>
      </c>
      <c r="Q1056" s="109">
        <f t="shared" si="17"/>
        <v>41076338.380000003</v>
      </c>
      <c r="X1056" s="65" t="s">
        <v>394</v>
      </c>
    </row>
    <row r="1057" spans="1:24" x14ac:dyDescent="0.25">
      <c r="A1057" s="108" t="s">
        <v>234</v>
      </c>
      <c r="B1057" t="s">
        <v>126</v>
      </c>
      <c r="C1057" t="s">
        <v>389</v>
      </c>
      <c r="D1057" s="7">
        <v>4539988.2</v>
      </c>
      <c r="N1057" s="7">
        <v>4539988.2</v>
      </c>
      <c r="O1057" s="65" t="str">
        <f>VLOOKUP(A1057,Report_HQ1!$A$7:$C$95,3,FALSE)</f>
        <v>TSC-Ban KDBH Phi hàng hải TSC</v>
      </c>
      <c r="P1057" s="40" t="str">
        <f>VLOOKUP(C1057,Sheet1!$U$4:$V$14,2,FALSE)</f>
        <v>BH Trách nhiệm</v>
      </c>
      <c r="Q1057" s="109">
        <f t="shared" si="17"/>
        <v>4539988.2</v>
      </c>
      <c r="X1057" s="65" t="s">
        <v>395</v>
      </c>
    </row>
    <row r="1058" spans="1:24" x14ac:dyDescent="0.25">
      <c r="A1058" s="108" t="s">
        <v>234</v>
      </c>
      <c r="B1058" t="s">
        <v>126</v>
      </c>
      <c r="C1058" t="s">
        <v>394</v>
      </c>
      <c r="D1058" s="7">
        <v>149694471.80000001</v>
      </c>
      <c r="N1058" s="7">
        <v>149694471.80000001</v>
      </c>
      <c r="O1058" s="65" t="str">
        <f>VLOOKUP(A1058,Report_HQ1!$A$7:$C$95,3,FALSE)</f>
        <v>TSC-Ban KDBH Phi hàng hải TSC</v>
      </c>
      <c r="P1058" s="40" t="str">
        <f>VLOOKUP(C1058,Sheet1!$U$4:$V$14,2,FALSE)</f>
        <v>BH Con người</v>
      </c>
      <c r="Q1058" s="109">
        <f t="shared" si="17"/>
        <v>149694471.80000001</v>
      </c>
      <c r="X1058" s="65" t="s">
        <v>396</v>
      </c>
    </row>
    <row r="1059" spans="1:24" x14ac:dyDescent="0.25">
      <c r="A1059" s="108" t="s">
        <v>234</v>
      </c>
      <c r="B1059" t="s">
        <v>126</v>
      </c>
      <c r="C1059" t="s">
        <v>393</v>
      </c>
      <c r="D1059" s="7">
        <v>190504778</v>
      </c>
      <c r="N1059" s="7">
        <v>190504778</v>
      </c>
      <c r="O1059" s="65" t="str">
        <f>VLOOKUP(A1059,Report_HQ1!$A$7:$C$95,3,FALSE)</f>
        <v>TSC-Ban KDBH Phi hàng hải TSC</v>
      </c>
      <c r="P1059" s="40" t="str">
        <f>VLOOKUP(C1059,Sheet1!$U$4:$V$14,2,FALSE)</f>
        <v>BH Xe cơ giới</v>
      </c>
      <c r="Q1059" s="109">
        <f t="shared" si="17"/>
        <v>190504778</v>
      </c>
      <c r="X1059" s="65" t="s">
        <v>397</v>
      </c>
    </row>
    <row r="1060" spans="1:24" x14ac:dyDescent="0.25">
      <c r="A1060" s="108" t="s">
        <v>234</v>
      </c>
      <c r="B1060" t="s">
        <v>126</v>
      </c>
      <c r="C1060" s="65" t="s">
        <v>396</v>
      </c>
      <c r="D1060" s="7">
        <v>29967181675.080002</v>
      </c>
      <c r="N1060" s="7">
        <v>29967181675.080002</v>
      </c>
      <c r="O1060" s="65" t="str">
        <f>VLOOKUP(A1060,Report_HQ1!$A$7:$C$95,3,FALSE)</f>
        <v>TSC-Ban KDBH Phi hàng hải TSC</v>
      </c>
      <c r="P1060" s="40" t="str">
        <f>VLOOKUP(C1060,Sheet1!$U$4:$V$14,2,FALSE)</f>
        <v>BH Y tế</v>
      </c>
      <c r="Q1060" s="109">
        <f t="shared" si="17"/>
        <v>29967181675.080002</v>
      </c>
      <c r="X1060" s="65" t="s">
        <v>387</v>
      </c>
    </row>
    <row r="1061" spans="1:24" x14ac:dyDescent="0.25">
      <c r="A1061" s="108" t="s">
        <v>234</v>
      </c>
      <c r="B1061" t="s">
        <v>126</v>
      </c>
      <c r="C1061" t="s">
        <v>397</v>
      </c>
      <c r="D1061" s="7">
        <v>65079639.600000001</v>
      </c>
      <c r="N1061" s="7">
        <v>65079639.600000001</v>
      </c>
      <c r="O1061" s="65" t="str">
        <f>VLOOKUP(A1061,Report_HQ1!$A$7:$C$95,3,FALSE)</f>
        <v>TSC-Ban KDBH Phi hàng hải TSC</v>
      </c>
      <c r="P1061" s="40" t="str">
        <f>VLOOKUP(C1061,Sheet1!$U$4:$V$14,2,FALSE)</f>
        <v>BH Du lịch</v>
      </c>
      <c r="Q1061" s="109">
        <f t="shared" si="17"/>
        <v>65079639.600000001</v>
      </c>
      <c r="X1061" s="65" t="s">
        <v>272</v>
      </c>
    </row>
    <row r="1062" spans="1:24" x14ac:dyDescent="0.25">
      <c r="A1062" t="str">
        <f>[1]Sheet1!$A$88</f>
        <v>101006</v>
      </c>
      <c r="B1062" t="s">
        <v>50</v>
      </c>
      <c r="C1062" t="s">
        <v>387</v>
      </c>
      <c r="D1062" s="7">
        <v>285701247.90999997</v>
      </c>
      <c r="N1062" s="7">
        <v>285701247.90999997</v>
      </c>
      <c r="O1062" s="65" t="str">
        <f>VLOOKUP(A1062,Report_HQ1!$A$7:$C$95,3,FALSE)</f>
        <v>TSC-Ban KDBH Tàu thủy</v>
      </c>
      <c r="P1062" s="40" t="str">
        <f>VLOOKUP(C1062,Sheet1!$U$4:$V$14,2,FALSE)</f>
        <v>BH Hàng hóa</v>
      </c>
      <c r="Q1062" s="109">
        <f t="shared" si="17"/>
        <v>285701247.90999997</v>
      </c>
      <c r="X1062" s="65" t="s">
        <v>388</v>
      </c>
    </row>
    <row r="1063" spans="1:24" x14ac:dyDescent="0.25">
      <c r="A1063" t="str">
        <f>[1]Sheet1!$A$88</f>
        <v>101006</v>
      </c>
      <c r="B1063" t="s">
        <v>50</v>
      </c>
      <c r="C1063" s="65" t="s">
        <v>388</v>
      </c>
      <c r="D1063" s="7">
        <v>408338326.56999999</v>
      </c>
      <c r="N1063" s="7">
        <v>408338326.56999999</v>
      </c>
      <c r="O1063" s="65" t="str">
        <f>VLOOKUP(A1063,Report_HQ1!$A$7:$C$95,3,FALSE)</f>
        <v>TSC-Ban KDBH Tàu thủy</v>
      </c>
      <c r="P1063" s="40" t="str">
        <f>VLOOKUP(C1063,Sheet1!$U$4:$V$14,2,FALSE)</f>
        <v>Hull (Thân tàu biển)</v>
      </c>
      <c r="Q1063" s="109">
        <f t="shared" si="17"/>
        <v>408338326.56999999</v>
      </c>
      <c r="X1063" s="65" t="s">
        <v>23</v>
      </c>
    </row>
    <row r="1064" spans="1:24" x14ac:dyDescent="0.25">
      <c r="A1064" t="str">
        <f>[1]Sheet1!$A$88</f>
        <v>101006</v>
      </c>
      <c r="B1064" t="s">
        <v>50</v>
      </c>
      <c r="C1064" s="65" t="s">
        <v>272</v>
      </c>
      <c r="D1064" s="7">
        <v>20771774.460000001</v>
      </c>
      <c r="N1064" s="7">
        <v>20771774.460000001</v>
      </c>
      <c r="O1064" s="65" t="str">
        <f>VLOOKUP(A1064,Report_HQ1!$A$7:$C$95,3,FALSE)</f>
        <v>TSC-Ban KDBH Tàu thủy</v>
      </c>
      <c r="P1064" s="40" t="str">
        <f>VLOOKUP(C1064,Sheet1!$U$4:$V$14,2,FALSE)</f>
        <v>Tàu khác</v>
      </c>
      <c r="Q1064" s="109">
        <f t="shared" si="17"/>
        <v>20771774.460000001</v>
      </c>
      <c r="X1064" s="65" t="s">
        <v>389</v>
      </c>
    </row>
    <row r="1065" spans="1:24" x14ac:dyDescent="0.25">
      <c r="A1065" t="str">
        <f>[1]Sheet1!$A$88</f>
        <v>101006</v>
      </c>
      <c r="B1065" t="s">
        <v>50</v>
      </c>
      <c r="C1065" s="65" t="s">
        <v>272</v>
      </c>
      <c r="D1065" s="7">
        <v>62836664.329999998</v>
      </c>
      <c r="N1065" s="7">
        <v>62836664.329999998</v>
      </c>
      <c r="O1065" s="65" t="str">
        <f>VLOOKUP(A1065,Report_HQ1!$A$7:$C$95,3,FALSE)</f>
        <v>TSC-Ban KDBH Tàu thủy</v>
      </c>
      <c r="P1065" s="40" t="str">
        <f>VLOOKUP(C1065,Sheet1!$U$4:$V$14,2,FALSE)</f>
        <v>Tàu khác</v>
      </c>
      <c r="Q1065" s="109">
        <f t="shared" si="17"/>
        <v>62836664.329999998</v>
      </c>
      <c r="X1065" s="65" t="s">
        <v>390</v>
      </c>
    </row>
    <row r="1066" spans="1:24" x14ac:dyDescent="0.25">
      <c r="A1066" t="str">
        <f>[1]Sheet1!$A$88</f>
        <v>101006</v>
      </c>
      <c r="B1066" t="s">
        <v>50</v>
      </c>
      <c r="C1066" t="s">
        <v>23</v>
      </c>
      <c r="D1066" s="7">
        <v>959408881.22500014</v>
      </c>
      <c r="N1066" s="7">
        <v>959408881.22500014</v>
      </c>
      <c r="O1066" s="65" t="str">
        <f>VLOOKUP(A1066,Report_HQ1!$A$7:$C$95,3,FALSE)</f>
        <v>TSC-Ban KDBH Tàu thủy</v>
      </c>
      <c r="P1066" s="40" t="str">
        <f>VLOOKUP(C1066,Sheet1!$U$4:$V$14,2,FALSE)</f>
        <v>P&amp;I</v>
      </c>
      <c r="Q1066" s="109">
        <f t="shared" si="17"/>
        <v>959408881.22500014</v>
      </c>
      <c r="X1066" s="65" t="s">
        <v>391</v>
      </c>
    </row>
    <row r="1067" spans="1:24" x14ac:dyDescent="0.25">
      <c r="A1067" t="str">
        <f>[1]Sheet1!$A$88</f>
        <v>101006</v>
      </c>
      <c r="B1067" t="s">
        <v>50</v>
      </c>
      <c r="C1067" t="s">
        <v>391</v>
      </c>
      <c r="D1067" s="7">
        <v>11534870.5</v>
      </c>
      <c r="N1067" s="7">
        <v>11534870.5</v>
      </c>
      <c r="O1067" s="65" t="str">
        <f>VLOOKUP(A1067,Report_HQ1!$A$7:$C$95,3,FALSE)</f>
        <v>TSC-Ban KDBH Tàu thủy</v>
      </c>
      <c r="P1067" s="40" t="str">
        <f>VLOOKUP(C1067,Sheet1!$U$4:$V$14,2,FALSE)</f>
        <v>BH Kỹ thuật</v>
      </c>
      <c r="Q1067" s="109">
        <f t="shared" si="17"/>
        <v>11534870.5</v>
      </c>
      <c r="X1067" s="65" t="s">
        <v>392</v>
      </c>
    </row>
    <row r="1068" spans="1:24" x14ac:dyDescent="0.25">
      <c r="A1068" t="str">
        <f>[1]Sheet1!$A$88</f>
        <v>101006</v>
      </c>
      <c r="B1068" t="s">
        <v>50</v>
      </c>
      <c r="C1068" t="s">
        <v>392</v>
      </c>
      <c r="D1068" s="7">
        <v>9609968.8200000003</v>
      </c>
      <c r="N1068" s="7">
        <v>9609968.8200000003</v>
      </c>
      <c r="O1068" s="65" t="str">
        <f>VLOOKUP(A1068,Report_HQ1!$A$7:$C$95,3,FALSE)</f>
        <v>TSC-Ban KDBH Tàu thủy</v>
      </c>
      <c r="P1068" s="40" t="str">
        <f>VLOOKUP(C1068,Sheet1!$U$4:$V$14,2,FALSE)</f>
        <v>BH Tài sản</v>
      </c>
      <c r="Q1068" s="109">
        <f t="shared" si="17"/>
        <v>9609968.8200000003</v>
      </c>
      <c r="X1068" s="65" t="s">
        <v>393</v>
      </c>
    </row>
    <row r="1069" spans="1:24" x14ac:dyDescent="0.25">
      <c r="A1069" t="str">
        <f>[1]Sheet1!$A$88</f>
        <v>101006</v>
      </c>
      <c r="B1069" t="s">
        <v>50</v>
      </c>
      <c r="C1069" t="s">
        <v>389</v>
      </c>
      <c r="D1069" s="7">
        <v>60597623.849999994</v>
      </c>
      <c r="N1069" s="7">
        <v>60597623.849999994</v>
      </c>
      <c r="O1069" s="65" t="str">
        <f>VLOOKUP(A1069,Report_HQ1!$A$7:$C$95,3,FALSE)</f>
        <v>TSC-Ban KDBH Tàu thủy</v>
      </c>
      <c r="P1069" s="40" t="str">
        <f>VLOOKUP(C1069,Sheet1!$U$4:$V$14,2,FALSE)</f>
        <v>BH Trách nhiệm</v>
      </c>
      <c r="Q1069" s="109">
        <f t="shared" si="17"/>
        <v>60597623.849999994</v>
      </c>
      <c r="X1069" s="65" t="s">
        <v>394</v>
      </c>
    </row>
    <row r="1070" spans="1:24" x14ac:dyDescent="0.25">
      <c r="A1070" t="str">
        <f>[1]Sheet1!$A$88</f>
        <v>101006</v>
      </c>
      <c r="B1070" t="s">
        <v>50</v>
      </c>
      <c r="C1070" t="s">
        <v>393</v>
      </c>
      <c r="D1070" s="7">
        <v>4296199</v>
      </c>
      <c r="N1070" s="7">
        <v>4296199</v>
      </c>
      <c r="O1070" s="65" t="str">
        <f>VLOOKUP(A1070,Report_HQ1!$A$7:$C$95,3,FALSE)</f>
        <v>TSC-Ban KDBH Tàu thủy</v>
      </c>
      <c r="P1070" s="40" t="str">
        <f>VLOOKUP(C1070,Sheet1!$U$4:$V$14,2,FALSE)</f>
        <v>BH Xe cơ giới</v>
      </c>
      <c r="Q1070" s="109">
        <f t="shared" si="17"/>
        <v>4296199</v>
      </c>
      <c r="X1070" s="65" t="s">
        <v>395</v>
      </c>
    </row>
    <row r="1071" spans="1:24" x14ac:dyDescent="0.25">
      <c r="A1071" t="str">
        <f>[1]Sheet1!$A$88</f>
        <v>101006</v>
      </c>
      <c r="B1071" t="s">
        <v>50</v>
      </c>
      <c r="C1071" t="s">
        <v>394</v>
      </c>
      <c r="D1071" s="7">
        <v>142162016</v>
      </c>
      <c r="N1071" s="7">
        <v>142162016</v>
      </c>
      <c r="O1071" s="65" t="str">
        <f>VLOOKUP(A1071,Report_HQ1!$A$7:$C$95,3,FALSE)</f>
        <v>TSC-Ban KDBH Tàu thủy</v>
      </c>
      <c r="P1071" s="40" t="str">
        <f>VLOOKUP(C1071,Sheet1!$U$4:$V$14,2,FALSE)</f>
        <v>BH Con người</v>
      </c>
      <c r="Q1071" s="109">
        <f t="shared" si="17"/>
        <v>142162016</v>
      </c>
      <c r="X1071" s="65" t="s">
        <v>396</v>
      </c>
    </row>
    <row r="1072" spans="1:24" x14ac:dyDescent="0.25">
      <c r="A1072" t="str">
        <f>[1]Sheet1!$A$88</f>
        <v>101006</v>
      </c>
      <c r="B1072" t="s">
        <v>50</v>
      </c>
      <c r="C1072" s="65" t="s">
        <v>396</v>
      </c>
      <c r="D1072" s="7">
        <v>10389912</v>
      </c>
      <c r="N1072" s="7">
        <v>10389912</v>
      </c>
      <c r="O1072" s="65" t="str">
        <f>VLOOKUP(A1072,Report_HQ1!$A$7:$C$95,3,FALSE)</f>
        <v>TSC-Ban KDBH Tàu thủy</v>
      </c>
      <c r="P1072" s="40" t="str">
        <f>VLOOKUP(C1072,Sheet1!$U$4:$V$14,2,FALSE)</f>
        <v>BH Y tế</v>
      </c>
      <c r="Q1072" s="109">
        <f t="shared" si="17"/>
        <v>10389912</v>
      </c>
      <c r="X1072" s="65" t="s">
        <v>397</v>
      </c>
    </row>
    <row r="1073" spans="1:24" x14ac:dyDescent="0.25">
      <c r="A1073" t="str">
        <f>[1]Sheet1!$A$88</f>
        <v>101006</v>
      </c>
      <c r="B1073" t="s">
        <v>50</v>
      </c>
      <c r="C1073" t="s">
        <v>397</v>
      </c>
      <c r="D1073" s="7">
        <v>3876800</v>
      </c>
      <c r="N1073" s="7">
        <v>3876800</v>
      </c>
      <c r="O1073" s="65" t="str">
        <f>VLOOKUP(A1073,Report_HQ1!$A$7:$C$95,3,FALSE)</f>
        <v>TSC-Ban KDBH Tàu thủy</v>
      </c>
      <c r="P1073" s="40" t="str">
        <f>VLOOKUP(C1073,Sheet1!$U$4:$V$14,2,FALSE)</f>
        <v>BH Du lịch</v>
      </c>
      <c r="Q1073" s="109">
        <f t="shared" si="17"/>
        <v>3876800</v>
      </c>
      <c r="X1073" s="65" t="s">
        <v>387</v>
      </c>
    </row>
    <row r="1074" spans="1:24" x14ac:dyDescent="0.25">
      <c r="A1074" t="str">
        <f>[1]Sheet1!$A$91</f>
        <v>101009</v>
      </c>
      <c r="B1074" t="s">
        <v>56</v>
      </c>
      <c r="C1074" t="s">
        <v>387</v>
      </c>
      <c r="D1074" s="7">
        <v>28506085.824999999</v>
      </c>
      <c r="N1074" s="7">
        <v>28506085.824999999</v>
      </c>
      <c r="O1074" s="65" t="str">
        <f>VLOOKUP(A1074,Report_HQ1!$A$7:$C$95,3,FALSE)</f>
        <v>TSC-Ban Khách hàng doanh nghiệp</v>
      </c>
      <c r="P1074" s="40" t="str">
        <f>VLOOKUP(C1074,Sheet1!$U$4:$V$14,2,FALSE)</f>
        <v>BH Hàng hóa</v>
      </c>
      <c r="Q1074" s="109">
        <f t="shared" si="17"/>
        <v>28506085.824999999</v>
      </c>
      <c r="X1074" s="65" t="s">
        <v>272</v>
      </c>
    </row>
    <row r="1075" spans="1:24" x14ac:dyDescent="0.25">
      <c r="A1075" t="str">
        <f>[1]Sheet1!$A$91</f>
        <v>101009</v>
      </c>
      <c r="B1075" t="s">
        <v>56</v>
      </c>
      <c r="C1075" t="s">
        <v>391</v>
      </c>
      <c r="D1075" s="7">
        <v>34593522.75</v>
      </c>
      <c r="N1075" s="7">
        <v>34593522.75</v>
      </c>
      <c r="O1075" s="65" t="str">
        <f>VLOOKUP(A1075,Report_HQ1!$A$7:$C$95,3,FALSE)</f>
        <v>TSC-Ban Khách hàng doanh nghiệp</v>
      </c>
      <c r="P1075" s="40" t="str">
        <f>VLOOKUP(C1075,Sheet1!$U$4:$V$14,2,FALSE)</f>
        <v>BH Kỹ thuật</v>
      </c>
      <c r="Q1075" s="109">
        <f t="shared" si="17"/>
        <v>34593522.75</v>
      </c>
      <c r="X1075" s="65" t="s">
        <v>388</v>
      </c>
    </row>
    <row r="1076" spans="1:24" x14ac:dyDescent="0.25">
      <c r="A1076" t="str">
        <f>[1]Sheet1!$A$91</f>
        <v>101009</v>
      </c>
      <c r="B1076" t="s">
        <v>56</v>
      </c>
      <c r="C1076" t="s">
        <v>392</v>
      </c>
      <c r="D1076" s="7">
        <v>1800233261.73</v>
      </c>
      <c r="N1076" s="7">
        <v>1800233261.73</v>
      </c>
      <c r="O1076" s="65" t="str">
        <f>VLOOKUP(A1076,Report_HQ1!$A$7:$C$95,3,FALSE)</f>
        <v>TSC-Ban Khách hàng doanh nghiệp</v>
      </c>
      <c r="P1076" s="40" t="str">
        <f>VLOOKUP(C1076,Sheet1!$U$4:$V$14,2,FALSE)</f>
        <v>BH Tài sản</v>
      </c>
      <c r="Q1076" s="109">
        <f t="shared" si="17"/>
        <v>1800233261.73</v>
      </c>
      <c r="X1076" s="65" t="s">
        <v>23</v>
      </c>
    </row>
    <row r="1077" spans="1:24" x14ac:dyDescent="0.25">
      <c r="A1077" t="str">
        <f>[1]Sheet1!$A$91</f>
        <v>101009</v>
      </c>
      <c r="B1077" t="s">
        <v>56</v>
      </c>
      <c r="C1077" t="s">
        <v>389</v>
      </c>
      <c r="D1077" s="7">
        <v>13892208</v>
      </c>
      <c r="N1077" s="7">
        <v>13892208</v>
      </c>
      <c r="O1077" s="65" t="str">
        <f>VLOOKUP(A1077,Report_HQ1!$A$7:$C$95,3,FALSE)</f>
        <v>TSC-Ban Khách hàng doanh nghiệp</v>
      </c>
      <c r="P1077" s="40" t="str">
        <f>VLOOKUP(C1077,Sheet1!$U$4:$V$14,2,FALSE)</f>
        <v>BH Trách nhiệm</v>
      </c>
      <c r="Q1077" s="109">
        <f t="shared" si="17"/>
        <v>13892208</v>
      </c>
      <c r="X1077" s="65" t="s">
        <v>389</v>
      </c>
    </row>
    <row r="1078" spans="1:24" x14ac:dyDescent="0.25">
      <c r="A1078" s="95" t="s">
        <v>225</v>
      </c>
      <c r="B1078" t="s">
        <v>139</v>
      </c>
      <c r="C1078" s="65" t="s">
        <v>396</v>
      </c>
      <c r="D1078" s="7">
        <v>12772543703.549999</v>
      </c>
      <c r="N1078" s="7">
        <v>12772543703.549999</v>
      </c>
      <c r="O1078" s="65" t="str">
        <f>VLOOKUP(A1078,Report_HQ1!$A$7:$C$95,3,FALSE)</f>
        <v>TSC-Ban Kinh doanh Phi hàng hải - Phòng Allianz</v>
      </c>
      <c r="P1078" s="40" t="str">
        <f>VLOOKUP(C1078,Sheet1!$U$4:$V$14,2,FALSE)</f>
        <v>BH Y tế</v>
      </c>
      <c r="Q1078" s="109">
        <f t="shared" si="17"/>
        <v>12772543703.549999</v>
      </c>
      <c r="X1078" s="65" t="s">
        <v>390</v>
      </c>
    </row>
    <row r="1079" spans="1:24" x14ac:dyDescent="0.25">
      <c r="A1079" s="108" t="s">
        <v>227</v>
      </c>
      <c r="B1079" t="s">
        <v>425</v>
      </c>
      <c r="C1079" t="s">
        <v>392</v>
      </c>
      <c r="D1079" s="7">
        <f>SUMIFS([2]Phoihop!$F:$F,[2]Phoihop!$A:$A,"="&amp;[2]data!B1079,[2]Phoihop!$P:$P, "="&amp;[2]data!C1079)</f>
        <v>0</v>
      </c>
      <c r="N1079" s="7">
        <v>3317863840.7200003</v>
      </c>
      <c r="O1079" s="65" t="s">
        <v>424</v>
      </c>
      <c r="P1079" s="40" t="str">
        <f>VLOOKUP(C1079,Sheet1!$U$4:$V$14,2,FALSE)</f>
        <v>BH Tài sản</v>
      </c>
      <c r="Q1079" s="109">
        <f t="shared" si="17"/>
        <v>3317863840.7200003</v>
      </c>
      <c r="X1079" s="65" t="s">
        <v>391</v>
      </c>
    </row>
    <row r="1080" spans="1:24" x14ac:dyDescent="0.25">
      <c r="A1080" s="108" t="s">
        <v>227</v>
      </c>
      <c r="B1080" t="s">
        <v>425</v>
      </c>
      <c r="C1080" t="s">
        <v>391</v>
      </c>
      <c r="D1080" s="7">
        <f>SUMIFS([2]Phoihop!$F:$F,[2]Phoihop!$A:$A,"="&amp;[2]data!B1080,[2]Phoihop!$P:$P, "="&amp;[2]data!C1080)</f>
        <v>0</v>
      </c>
      <c r="N1080" s="7">
        <v>315125439.98000002</v>
      </c>
      <c r="O1080" s="65" t="s">
        <v>424</v>
      </c>
      <c r="P1080" s="40" t="str">
        <f>VLOOKUP(C1080,Sheet1!$U$4:$V$14,2,FALSE)</f>
        <v>BH Kỹ thuật</v>
      </c>
      <c r="Q1080" s="109">
        <f t="shared" si="17"/>
        <v>315125439.98000002</v>
      </c>
      <c r="X1080" s="65" t="s">
        <v>392</v>
      </c>
    </row>
    <row r="1081" spans="1:24" x14ac:dyDescent="0.25">
      <c r="A1081" s="108" t="s">
        <v>227</v>
      </c>
      <c r="B1081" t="s">
        <v>425</v>
      </c>
      <c r="C1081" t="s">
        <v>389</v>
      </c>
      <c r="D1081" s="7">
        <f>SUMIFS([2]Phoihop!$F:$F,[2]Phoihop!$A:$A,"="&amp;[2]data!B1081,[2]Phoihop!$P:$P, "="&amp;[2]data!C1081)</f>
        <v>0</v>
      </c>
      <c r="N1081" s="7">
        <v>510838411.20000005</v>
      </c>
      <c r="O1081" s="65" t="s">
        <v>424</v>
      </c>
      <c r="P1081" s="40" t="str">
        <f>VLOOKUP(C1081,Sheet1!$U$4:$V$14,2,FALSE)</f>
        <v>BH Trách nhiệm</v>
      </c>
      <c r="Q1081" s="109">
        <f t="shared" si="17"/>
        <v>510838411.20000005</v>
      </c>
      <c r="X1081" s="65" t="s">
        <v>393</v>
      </c>
    </row>
    <row r="1082" spans="1:24" x14ac:dyDescent="0.25">
      <c r="A1082" s="108" t="s">
        <v>227</v>
      </c>
      <c r="B1082" t="s">
        <v>425</v>
      </c>
      <c r="C1082" t="s">
        <v>387</v>
      </c>
      <c r="D1082" s="7">
        <f>SUMIFS([2]Phoihop!$F:$F,[2]Phoihop!$A:$A,"="&amp;[2]data!B1082,[2]Phoihop!$P:$P, "="&amp;[2]data!C1082)</f>
        <v>0</v>
      </c>
      <c r="N1082" s="7">
        <v>898151560.0200001</v>
      </c>
      <c r="O1082" s="65" t="s">
        <v>424</v>
      </c>
      <c r="P1082" s="40" t="str">
        <f>VLOOKUP(C1082,Sheet1!$U$4:$V$14,2,FALSE)</f>
        <v>BH Hàng hóa</v>
      </c>
      <c r="Q1082" s="109">
        <f t="shared" si="17"/>
        <v>898151560.0200001</v>
      </c>
      <c r="X1082" s="65" t="s">
        <v>394</v>
      </c>
    </row>
    <row r="1083" spans="1:24" x14ac:dyDescent="0.25">
      <c r="A1083" s="108" t="s">
        <v>227</v>
      </c>
      <c r="B1083" t="s">
        <v>425</v>
      </c>
      <c r="C1083" s="65" t="s">
        <v>396</v>
      </c>
      <c r="D1083" s="7">
        <f>SUMIFS([2]Phoihop!$F:$F,[2]Phoihop!$A:$A,"="&amp;[2]data!B1083,[2]Phoihop!$P:$P, "="&amp;[2]data!C1083)</f>
        <v>0</v>
      </c>
      <c r="N1083" s="7">
        <v>10035688.780000001</v>
      </c>
      <c r="O1083" s="65" t="s">
        <v>424</v>
      </c>
      <c r="P1083" s="40" t="str">
        <f>VLOOKUP(C1083,Sheet1!$U$4:$V$14,2,FALSE)</f>
        <v>BH Y tế</v>
      </c>
      <c r="Q1083" s="109">
        <f t="shared" si="17"/>
        <v>10035688.780000001</v>
      </c>
      <c r="X1083" s="65" t="s">
        <v>395</v>
      </c>
    </row>
    <row r="1084" spans="1:24" x14ac:dyDescent="0.25">
      <c r="A1084" t="str">
        <f>[1]Sheet1!$A$91</f>
        <v>101009</v>
      </c>
      <c r="B1084" t="s">
        <v>426</v>
      </c>
      <c r="C1084" t="s">
        <v>391</v>
      </c>
      <c r="D1084" s="7">
        <f>SUMIFS([2]Phoihop!$F:$F,[2]Phoihop!$A:$A,"="&amp;[2]data!B1084,[2]Phoihop!$P:$P, "="&amp;[2]data!C1084)</f>
        <v>0</v>
      </c>
      <c r="N1084" s="7">
        <v>328645162.01000005</v>
      </c>
      <c r="O1084" s="65" t="str">
        <f>VLOOKUP(A1084,Report_HQ1!$A$7:$C$95,3,FALSE)</f>
        <v>TSC-Ban Khách hàng doanh nghiệp</v>
      </c>
      <c r="P1084" s="40" t="str">
        <f>VLOOKUP(C1084,Sheet1!$U$4:$V$14,2,FALSE)</f>
        <v>BH Kỹ thuật</v>
      </c>
      <c r="Q1084" s="109">
        <f t="shared" si="17"/>
        <v>328645162.01000005</v>
      </c>
      <c r="X1084" s="65" t="s">
        <v>396</v>
      </c>
    </row>
    <row r="1085" spans="1:24" x14ac:dyDescent="0.25">
      <c r="A1085" t="str">
        <f>[1]Sheet1!$A$91</f>
        <v>101009</v>
      </c>
      <c r="B1085" t="s">
        <v>426</v>
      </c>
      <c r="C1085" t="s">
        <v>392</v>
      </c>
      <c r="D1085" s="7">
        <f>SUMIFS([2]Phoihop!$F:$F,[2]Phoihop!$A:$A,"="&amp;[2]data!B1085,[2]Phoihop!$P:$P, "="&amp;[2]data!C1085)</f>
        <v>0</v>
      </c>
      <c r="N1085" s="7">
        <v>5560829509.6935005</v>
      </c>
      <c r="O1085" s="65" t="str">
        <f>VLOOKUP(A1085,Report_HQ1!$A$7:$C$95,3,FALSE)</f>
        <v>TSC-Ban Khách hàng doanh nghiệp</v>
      </c>
      <c r="P1085" s="40" t="str">
        <f>VLOOKUP(C1085,Sheet1!$U$4:$V$14,2,FALSE)</f>
        <v>BH Tài sản</v>
      </c>
      <c r="Q1085" s="109">
        <f t="shared" si="17"/>
        <v>5560829509.6935005</v>
      </c>
      <c r="X1085" s="65" t="s">
        <v>397</v>
      </c>
    </row>
    <row r="1086" spans="1:24" x14ac:dyDescent="0.25">
      <c r="A1086" t="str">
        <f>[1]Sheet1!$A$91</f>
        <v>101009</v>
      </c>
      <c r="B1086" t="s">
        <v>426</v>
      </c>
      <c r="C1086" t="s">
        <v>393</v>
      </c>
      <c r="D1086" s="7">
        <f>SUMIFS([2]Phoihop!$F:$F,[2]Phoihop!$A:$A,"="&amp;[2]data!B1086,[2]Phoihop!$P:$P, "="&amp;[2]data!C1086)</f>
        <v>0</v>
      </c>
      <c r="N1086" s="7">
        <v>5699250</v>
      </c>
      <c r="O1086" s="65" t="str">
        <f>VLOOKUP(A1086,Report_HQ1!$A$7:$C$95,3,FALSE)</f>
        <v>TSC-Ban Khách hàng doanh nghiệp</v>
      </c>
      <c r="P1086" s="40" t="str">
        <f>VLOOKUP(C1086,Sheet1!$U$4:$V$14,2,FALSE)</f>
        <v>BH Xe cơ giới</v>
      </c>
      <c r="Q1086" s="109">
        <f t="shared" si="17"/>
        <v>5699250</v>
      </c>
      <c r="X1086" s="65" t="s">
        <v>387</v>
      </c>
    </row>
    <row r="1087" spans="1:24" x14ac:dyDescent="0.25">
      <c r="A1087" t="str">
        <f>[1]Sheet1!$A$91</f>
        <v>101009</v>
      </c>
      <c r="B1087" t="s">
        <v>426</v>
      </c>
      <c r="C1087" t="s">
        <v>389</v>
      </c>
      <c r="D1087" s="7">
        <f>SUMIFS([2]Phoihop!$F:$F,[2]Phoihop!$A:$A,"="&amp;[2]data!B1087,[2]Phoihop!$P:$P, "="&amp;[2]data!C1087)</f>
        <v>0</v>
      </c>
      <c r="N1087" s="7">
        <v>29269478.279999997</v>
      </c>
      <c r="O1087" s="65" t="str">
        <f>VLOOKUP(A1087,Report_HQ1!$A$7:$C$95,3,FALSE)</f>
        <v>TSC-Ban Khách hàng doanh nghiệp</v>
      </c>
      <c r="P1087" s="40" t="str">
        <f>VLOOKUP(C1087,Sheet1!$U$4:$V$14,2,FALSE)</f>
        <v>BH Trách nhiệm</v>
      </c>
      <c r="Q1087" s="109">
        <f t="shared" si="17"/>
        <v>29269478.279999997</v>
      </c>
      <c r="X1087" s="65" t="s">
        <v>272</v>
      </c>
    </row>
    <row r="1088" spans="1:24" x14ac:dyDescent="0.25">
      <c r="A1088" t="str">
        <f>[1]Sheet1!$A$91</f>
        <v>101009</v>
      </c>
      <c r="B1088" t="s">
        <v>426</v>
      </c>
      <c r="C1088" t="s">
        <v>387</v>
      </c>
      <c r="D1088" s="7">
        <f>SUMIFS([2]Phoihop!$F:$F,[2]Phoihop!$A:$A,"="&amp;[2]data!B1088,[2]Phoihop!$P:$P, "="&amp;[2]data!C1088)</f>
        <v>0</v>
      </c>
      <c r="N1088" s="7">
        <v>220762573.72</v>
      </c>
      <c r="O1088" s="65" t="str">
        <f>VLOOKUP(A1088,Report_HQ1!$A$7:$C$95,3,FALSE)</f>
        <v>TSC-Ban Khách hàng doanh nghiệp</v>
      </c>
      <c r="P1088" s="40" t="str">
        <f>VLOOKUP(C1088,Sheet1!$U$4:$V$14,2,FALSE)</f>
        <v>BH Hàng hóa</v>
      </c>
      <c r="Q1088" s="109">
        <f t="shared" si="17"/>
        <v>220762573.72</v>
      </c>
      <c r="X1088" s="65" t="s">
        <v>388</v>
      </c>
    </row>
    <row r="1089" spans="24:24" x14ac:dyDescent="0.25">
      <c r="X1089" s="65" t="s">
        <v>23</v>
      </c>
    </row>
    <row r="1090" spans="24:24" x14ac:dyDescent="0.25">
      <c r="X1090" s="65" t="s">
        <v>389</v>
      </c>
    </row>
    <row r="1091" spans="24:24" x14ac:dyDescent="0.25">
      <c r="X1091" s="65" t="s">
        <v>390</v>
      </c>
    </row>
    <row r="1092" spans="24:24" x14ac:dyDescent="0.25">
      <c r="X1092" s="65" t="s">
        <v>391</v>
      </c>
    </row>
    <row r="1093" spans="24:24" x14ac:dyDescent="0.25">
      <c r="X1093" s="65" t="s">
        <v>392</v>
      </c>
    </row>
    <row r="1094" spans="24:24" x14ac:dyDescent="0.25">
      <c r="X1094" s="65" t="s">
        <v>393</v>
      </c>
    </row>
    <row r="1095" spans="24:24" x14ac:dyDescent="0.25">
      <c r="X1095" s="65" t="s">
        <v>394</v>
      </c>
    </row>
    <row r="1096" spans="24:24" x14ac:dyDescent="0.25">
      <c r="X1096" s="65" t="s">
        <v>395</v>
      </c>
    </row>
    <row r="1097" spans="24:24" x14ac:dyDescent="0.25">
      <c r="X1097" s="65" t="s">
        <v>396</v>
      </c>
    </row>
    <row r="1098" spans="24:24" x14ac:dyDescent="0.25">
      <c r="X1098" s="65" t="s">
        <v>397</v>
      </c>
    </row>
    <row r="1099" spans="24:24" x14ac:dyDescent="0.25">
      <c r="X1099" s="65" t="s">
        <v>387</v>
      </c>
    </row>
    <row r="1100" spans="24:24" x14ac:dyDescent="0.25">
      <c r="X1100" s="65" t="s">
        <v>272</v>
      </c>
    </row>
    <row r="1101" spans="24:24" x14ac:dyDescent="0.25">
      <c r="X1101" s="65" t="s">
        <v>388</v>
      </c>
    </row>
    <row r="1102" spans="24:24" x14ac:dyDescent="0.25">
      <c r="X1102" s="65" t="s">
        <v>23</v>
      </c>
    </row>
    <row r="1103" spans="24:24" x14ac:dyDescent="0.25">
      <c r="X1103" s="65" t="s">
        <v>389</v>
      </c>
    </row>
    <row r="1104" spans="24:24" x14ac:dyDescent="0.25">
      <c r="X1104" s="65" t="s">
        <v>390</v>
      </c>
    </row>
    <row r="1105" spans="24:24" x14ac:dyDescent="0.25">
      <c r="X1105" s="65" t="s">
        <v>391</v>
      </c>
    </row>
    <row r="1106" spans="24:24" x14ac:dyDescent="0.25">
      <c r="X1106" s="65" t="s">
        <v>392</v>
      </c>
    </row>
    <row r="1107" spans="24:24" x14ac:dyDescent="0.25">
      <c r="X1107" s="65" t="s">
        <v>393</v>
      </c>
    </row>
    <row r="1108" spans="24:24" x14ac:dyDescent="0.25">
      <c r="X1108" s="65" t="s">
        <v>394</v>
      </c>
    </row>
    <row r="1109" spans="24:24" x14ac:dyDescent="0.25">
      <c r="X1109" s="65" t="s">
        <v>395</v>
      </c>
    </row>
    <row r="1110" spans="24:24" x14ac:dyDescent="0.25">
      <c r="X1110" s="65" t="s">
        <v>396</v>
      </c>
    </row>
    <row r="1111" spans="24:24" x14ac:dyDescent="0.25">
      <c r="X1111" s="65" t="s">
        <v>397</v>
      </c>
    </row>
    <row r="1112" spans="24:24" x14ac:dyDescent="0.25">
      <c r="X1112" s="65" t="s">
        <v>387</v>
      </c>
    </row>
    <row r="1113" spans="24:24" x14ac:dyDescent="0.25">
      <c r="X1113" s="65" t="s">
        <v>272</v>
      </c>
    </row>
    <row r="1114" spans="24:24" x14ac:dyDescent="0.25">
      <c r="X1114" s="65" t="s">
        <v>388</v>
      </c>
    </row>
    <row r="1115" spans="24:24" x14ac:dyDescent="0.25">
      <c r="X1115" s="65" t="s">
        <v>23</v>
      </c>
    </row>
    <row r="1116" spans="24:24" x14ac:dyDescent="0.25">
      <c r="X1116" s="65" t="s">
        <v>389</v>
      </c>
    </row>
    <row r="1117" spans="24:24" x14ac:dyDescent="0.25">
      <c r="X1117" s="65" t="s">
        <v>390</v>
      </c>
    </row>
    <row r="1118" spans="24:24" x14ac:dyDescent="0.25">
      <c r="X1118" s="65" t="s">
        <v>391</v>
      </c>
    </row>
    <row r="1119" spans="24:24" x14ac:dyDescent="0.25">
      <c r="X1119" s="65" t="s">
        <v>392</v>
      </c>
    </row>
    <row r="1120" spans="24:24" x14ac:dyDescent="0.25">
      <c r="X1120" s="65" t="s">
        <v>393</v>
      </c>
    </row>
    <row r="1121" spans="24:24" x14ac:dyDescent="0.25">
      <c r="X1121" s="65" t="s">
        <v>394</v>
      </c>
    </row>
    <row r="1122" spans="24:24" x14ac:dyDescent="0.25">
      <c r="X1122" s="65" t="s">
        <v>395</v>
      </c>
    </row>
    <row r="1123" spans="24:24" x14ac:dyDescent="0.25">
      <c r="X1123" s="65" t="s">
        <v>396</v>
      </c>
    </row>
    <row r="1124" spans="24:24" x14ac:dyDescent="0.25">
      <c r="X1124" s="65" t="s">
        <v>397</v>
      </c>
    </row>
    <row r="1125" spans="24:24" x14ac:dyDescent="0.25">
      <c r="X1125" s="65" t="s">
        <v>387</v>
      </c>
    </row>
    <row r="1126" spans="24:24" x14ac:dyDescent="0.25">
      <c r="X1126" s="65" t="s">
        <v>272</v>
      </c>
    </row>
    <row r="1127" spans="24:24" x14ac:dyDescent="0.25">
      <c r="X1127" s="65" t="s">
        <v>388</v>
      </c>
    </row>
    <row r="1128" spans="24:24" x14ac:dyDescent="0.25">
      <c r="X1128" s="65" t="s">
        <v>23</v>
      </c>
    </row>
    <row r="1129" spans="24:24" x14ac:dyDescent="0.25">
      <c r="X1129" s="65" t="s">
        <v>389</v>
      </c>
    </row>
    <row r="1130" spans="24:24" x14ac:dyDescent="0.25">
      <c r="X1130" s="65" t="s">
        <v>390</v>
      </c>
    </row>
    <row r="1131" spans="24:24" x14ac:dyDescent="0.25">
      <c r="X1131" s="65" t="s">
        <v>391</v>
      </c>
    </row>
    <row r="1132" spans="24:24" x14ac:dyDescent="0.25">
      <c r="X1132" s="65" t="s">
        <v>392</v>
      </c>
    </row>
    <row r="1133" spans="24:24" x14ac:dyDescent="0.25">
      <c r="X1133" s="65" t="s">
        <v>393</v>
      </c>
    </row>
    <row r="1134" spans="24:24" x14ac:dyDescent="0.25">
      <c r="X1134" s="70" t="s">
        <v>394</v>
      </c>
    </row>
    <row r="1135" spans="24:24" x14ac:dyDescent="0.25">
      <c r="X1135" s="65" t="s">
        <v>395</v>
      </c>
    </row>
    <row r="1136" spans="24:24" x14ac:dyDescent="0.25">
      <c r="X1136" s="72" t="s">
        <v>396</v>
      </c>
    </row>
    <row r="1137" spans="24:24" x14ac:dyDescent="0.25">
      <c r="X1137" s="65" t="s">
        <v>397</v>
      </c>
    </row>
    <row r="1138" spans="24:24" x14ac:dyDescent="0.25">
      <c r="X1138" s="65" t="s">
        <v>387</v>
      </c>
    </row>
    <row r="1139" spans="24:24" x14ac:dyDescent="0.25">
      <c r="X1139" s="65" t="s">
        <v>272</v>
      </c>
    </row>
    <row r="1140" spans="24:24" x14ac:dyDescent="0.25">
      <c r="X1140" s="65" t="s">
        <v>388</v>
      </c>
    </row>
    <row r="1141" spans="24:24" x14ac:dyDescent="0.25">
      <c r="X1141" s="65" t="s">
        <v>23</v>
      </c>
    </row>
    <row r="1142" spans="24:24" x14ac:dyDescent="0.25">
      <c r="X1142" s="65" t="s">
        <v>389</v>
      </c>
    </row>
    <row r="1143" spans="24:24" x14ac:dyDescent="0.25">
      <c r="X1143" s="65" t="s">
        <v>390</v>
      </c>
    </row>
    <row r="1144" spans="24:24" x14ac:dyDescent="0.25">
      <c r="X1144" s="65" t="s">
        <v>391</v>
      </c>
    </row>
    <row r="1145" spans="24:24" x14ac:dyDescent="0.25">
      <c r="X1145" s="65" t="s">
        <v>392</v>
      </c>
    </row>
    <row r="1146" spans="24:24" x14ac:dyDescent="0.25">
      <c r="X1146" s="65" t="s">
        <v>393</v>
      </c>
    </row>
    <row r="1147" spans="24:24" x14ac:dyDescent="0.25">
      <c r="X1147" s="65" t="s">
        <v>394</v>
      </c>
    </row>
    <row r="1148" spans="24:24" x14ac:dyDescent="0.25">
      <c r="X1148" s="65" t="s">
        <v>395</v>
      </c>
    </row>
    <row r="1149" spans="24:24" x14ac:dyDescent="0.25">
      <c r="X1149" s="65" t="s">
        <v>396</v>
      </c>
    </row>
    <row r="1150" spans="24:24" x14ac:dyDescent="0.25">
      <c r="X1150" s="65" t="s">
        <v>397</v>
      </c>
    </row>
    <row r="1151" spans="24:24" x14ac:dyDescent="0.25">
      <c r="X1151" s="65" t="s">
        <v>387</v>
      </c>
    </row>
    <row r="1152" spans="24:24" x14ac:dyDescent="0.25">
      <c r="X1152" s="65" t="s">
        <v>272</v>
      </c>
    </row>
    <row r="1153" spans="24:24" x14ac:dyDescent="0.25">
      <c r="X1153" s="65" t="s">
        <v>388</v>
      </c>
    </row>
    <row r="1154" spans="24:24" x14ac:dyDescent="0.25">
      <c r="X1154" s="65" t="s">
        <v>23</v>
      </c>
    </row>
    <row r="1155" spans="24:24" x14ac:dyDescent="0.25">
      <c r="X1155" s="65" t="s">
        <v>389</v>
      </c>
    </row>
    <row r="1156" spans="24:24" x14ac:dyDescent="0.25">
      <c r="X1156" s="65" t="s">
        <v>390</v>
      </c>
    </row>
    <row r="1157" spans="24:24" x14ac:dyDescent="0.25">
      <c r="X1157" s="65" t="s">
        <v>391</v>
      </c>
    </row>
    <row r="1158" spans="24:24" x14ac:dyDescent="0.25">
      <c r="X1158" s="65" t="s">
        <v>392</v>
      </c>
    </row>
    <row r="1159" spans="24:24" x14ac:dyDescent="0.25">
      <c r="X1159" s="65" t="s">
        <v>393</v>
      </c>
    </row>
    <row r="1160" spans="24:24" x14ac:dyDescent="0.25">
      <c r="X1160" s="65" t="s">
        <v>394</v>
      </c>
    </row>
    <row r="1161" spans="24:24" x14ac:dyDescent="0.25">
      <c r="X1161" s="65" t="s">
        <v>395</v>
      </c>
    </row>
    <row r="1162" spans="24:24" x14ac:dyDescent="0.25">
      <c r="X1162" s="65" t="s">
        <v>396</v>
      </c>
    </row>
    <row r="1163" spans="24:24" x14ac:dyDescent="0.25">
      <c r="X1163" s="65" t="s">
        <v>397</v>
      </c>
    </row>
    <row r="1164" spans="24:24" x14ac:dyDescent="0.25">
      <c r="X1164" s="65" t="s">
        <v>387</v>
      </c>
    </row>
    <row r="1165" spans="24:24" x14ac:dyDescent="0.25">
      <c r="X1165" s="65" t="s">
        <v>272</v>
      </c>
    </row>
    <row r="1166" spans="24:24" x14ac:dyDescent="0.25">
      <c r="X1166" s="65" t="s">
        <v>388</v>
      </c>
    </row>
    <row r="1167" spans="24:24" x14ac:dyDescent="0.25">
      <c r="X1167" s="65" t="s">
        <v>23</v>
      </c>
    </row>
    <row r="1168" spans="24:24" x14ac:dyDescent="0.25">
      <c r="X1168" s="65" t="s">
        <v>389</v>
      </c>
    </row>
    <row r="1169" spans="24:24" x14ac:dyDescent="0.25">
      <c r="X1169" s="65" t="s">
        <v>390</v>
      </c>
    </row>
    <row r="1170" spans="24:24" x14ac:dyDescent="0.25">
      <c r="X1170" s="65" t="s">
        <v>391</v>
      </c>
    </row>
    <row r="1171" spans="24:24" x14ac:dyDescent="0.25">
      <c r="X1171" s="65" t="s">
        <v>392</v>
      </c>
    </row>
    <row r="1172" spans="24:24" x14ac:dyDescent="0.25">
      <c r="X1172" s="65" t="s">
        <v>393</v>
      </c>
    </row>
    <row r="1173" spans="24:24" x14ac:dyDescent="0.25">
      <c r="X1173" s="65" t="s">
        <v>394</v>
      </c>
    </row>
    <row r="1174" spans="24:24" x14ac:dyDescent="0.25">
      <c r="X1174" s="65" t="s">
        <v>395</v>
      </c>
    </row>
    <row r="1175" spans="24:24" x14ac:dyDescent="0.25">
      <c r="X1175" s="65" t="s">
        <v>396</v>
      </c>
    </row>
    <row r="1176" spans="24:24" x14ac:dyDescent="0.25">
      <c r="X1176" s="65" t="s">
        <v>397</v>
      </c>
    </row>
    <row r="1177" spans="24:24" x14ac:dyDescent="0.25">
      <c r="X1177" s="65" t="s">
        <v>387</v>
      </c>
    </row>
    <row r="1178" spans="24:24" x14ac:dyDescent="0.25">
      <c r="X1178" s="65" t="s">
        <v>272</v>
      </c>
    </row>
    <row r="1179" spans="24:24" x14ac:dyDescent="0.25">
      <c r="X1179" s="65" t="s">
        <v>388</v>
      </c>
    </row>
    <row r="1180" spans="24:24" x14ac:dyDescent="0.25">
      <c r="X1180" s="65" t="s">
        <v>23</v>
      </c>
    </row>
    <row r="1181" spans="24:24" x14ac:dyDescent="0.25">
      <c r="X1181" s="65" t="s">
        <v>389</v>
      </c>
    </row>
    <row r="1182" spans="24:24" x14ac:dyDescent="0.25">
      <c r="X1182" s="65" t="s">
        <v>390</v>
      </c>
    </row>
    <row r="1183" spans="24:24" x14ac:dyDescent="0.25">
      <c r="X1183" s="65" t="s">
        <v>391</v>
      </c>
    </row>
    <row r="1184" spans="24:24" x14ac:dyDescent="0.25">
      <c r="X1184" s="65" t="s">
        <v>392</v>
      </c>
    </row>
    <row r="1185" spans="24:24" x14ac:dyDescent="0.25">
      <c r="X1185" s="65" t="s">
        <v>393</v>
      </c>
    </row>
    <row r="1186" spans="24:24" x14ac:dyDescent="0.25">
      <c r="X1186" s="65" t="s">
        <v>394</v>
      </c>
    </row>
    <row r="1187" spans="24:24" x14ac:dyDescent="0.25">
      <c r="X1187" s="65" t="s">
        <v>395</v>
      </c>
    </row>
    <row r="1188" spans="24:24" x14ac:dyDescent="0.25">
      <c r="X1188" s="65" t="s">
        <v>396</v>
      </c>
    </row>
    <row r="1189" spans="24:24" x14ac:dyDescent="0.25">
      <c r="X1189" s="65" t="s">
        <v>397</v>
      </c>
    </row>
    <row r="1190" spans="24:24" x14ac:dyDescent="0.25">
      <c r="X1190" s="65" t="s">
        <v>387</v>
      </c>
    </row>
    <row r="1191" spans="24:24" x14ac:dyDescent="0.25">
      <c r="X1191" s="65" t="s">
        <v>272</v>
      </c>
    </row>
    <row r="1192" spans="24:24" x14ac:dyDescent="0.25">
      <c r="X1192" s="65" t="s">
        <v>388</v>
      </c>
    </row>
    <row r="1193" spans="24:24" x14ac:dyDescent="0.25">
      <c r="X1193" s="65" t="s">
        <v>23</v>
      </c>
    </row>
    <row r="1194" spans="24:24" x14ac:dyDescent="0.25">
      <c r="X1194" s="65" t="s">
        <v>389</v>
      </c>
    </row>
    <row r="1195" spans="24:24" x14ac:dyDescent="0.25">
      <c r="X1195" s="65" t="s">
        <v>390</v>
      </c>
    </row>
    <row r="1196" spans="24:24" x14ac:dyDescent="0.25">
      <c r="X1196" s="65" t="s">
        <v>391</v>
      </c>
    </row>
    <row r="1197" spans="24:24" x14ac:dyDescent="0.25">
      <c r="X1197" s="65" t="s">
        <v>392</v>
      </c>
    </row>
    <row r="1198" spans="24:24" x14ac:dyDescent="0.25">
      <c r="X1198" s="65" t="s">
        <v>393</v>
      </c>
    </row>
    <row r="1199" spans="24:24" x14ac:dyDescent="0.25">
      <c r="X1199" s="65" t="s">
        <v>394</v>
      </c>
    </row>
    <row r="1200" spans="24:24" x14ac:dyDescent="0.25">
      <c r="X1200" s="65" t="s">
        <v>395</v>
      </c>
    </row>
    <row r="1201" spans="24:24" x14ac:dyDescent="0.25">
      <c r="X1201" s="65" t="s">
        <v>396</v>
      </c>
    </row>
    <row r="1202" spans="24:24" x14ac:dyDescent="0.25">
      <c r="X1202" s="65" t="s">
        <v>397</v>
      </c>
    </row>
    <row r="1203" spans="24:24" x14ac:dyDescent="0.25">
      <c r="X1203" s="65" t="s">
        <v>387</v>
      </c>
    </row>
    <row r="1204" spans="24:24" x14ac:dyDescent="0.25">
      <c r="X1204" s="65" t="s">
        <v>272</v>
      </c>
    </row>
    <row r="1205" spans="24:24" x14ac:dyDescent="0.25">
      <c r="X1205" s="65" t="s">
        <v>388</v>
      </c>
    </row>
    <row r="1206" spans="24:24" x14ac:dyDescent="0.25">
      <c r="X1206" s="65" t="s">
        <v>23</v>
      </c>
    </row>
    <row r="1207" spans="24:24" x14ac:dyDescent="0.25">
      <c r="X1207" s="65" t="s">
        <v>389</v>
      </c>
    </row>
    <row r="1208" spans="24:24" x14ac:dyDescent="0.25">
      <c r="X1208" s="65" t="s">
        <v>390</v>
      </c>
    </row>
    <row r="1209" spans="24:24" x14ac:dyDescent="0.25">
      <c r="X1209" s="65" t="s">
        <v>391</v>
      </c>
    </row>
    <row r="1210" spans="24:24" x14ac:dyDescent="0.25">
      <c r="X1210" s="65" t="s">
        <v>392</v>
      </c>
    </row>
    <row r="1211" spans="24:24" x14ac:dyDescent="0.25">
      <c r="X1211" s="65" t="s">
        <v>393</v>
      </c>
    </row>
    <row r="1212" spans="24:24" x14ac:dyDescent="0.25">
      <c r="X1212" s="65" t="s">
        <v>394</v>
      </c>
    </row>
    <row r="1213" spans="24:24" x14ac:dyDescent="0.25">
      <c r="X1213" s="65" t="s">
        <v>395</v>
      </c>
    </row>
    <row r="1214" spans="24:24" x14ac:dyDescent="0.25">
      <c r="X1214" s="65" t="s">
        <v>396</v>
      </c>
    </row>
    <row r="1215" spans="24:24" x14ac:dyDescent="0.25">
      <c r="X1215" s="65" t="s">
        <v>397</v>
      </c>
    </row>
    <row r="1216" spans="24:24" x14ac:dyDescent="0.25">
      <c r="X1216" s="65" t="s">
        <v>387</v>
      </c>
    </row>
    <row r="1217" spans="24:24" x14ac:dyDescent="0.25">
      <c r="X1217" s="65" t="s">
        <v>272</v>
      </c>
    </row>
    <row r="1218" spans="24:24" x14ac:dyDescent="0.25">
      <c r="X1218" s="65" t="s">
        <v>388</v>
      </c>
    </row>
    <row r="1219" spans="24:24" x14ac:dyDescent="0.25">
      <c r="X1219" s="65" t="s">
        <v>23</v>
      </c>
    </row>
    <row r="1220" spans="24:24" x14ac:dyDescent="0.25">
      <c r="X1220" s="65" t="s">
        <v>389</v>
      </c>
    </row>
    <row r="1221" spans="24:24" x14ac:dyDescent="0.25">
      <c r="X1221" s="65" t="s">
        <v>390</v>
      </c>
    </row>
    <row r="1222" spans="24:24" x14ac:dyDescent="0.25">
      <c r="X1222" s="65" t="s">
        <v>391</v>
      </c>
    </row>
    <row r="1223" spans="24:24" x14ac:dyDescent="0.25">
      <c r="X1223" s="65" t="s">
        <v>392</v>
      </c>
    </row>
    <row r="1224" spans="24:24" x14ac:dyDescent="0.25">
      <c r="X1224" s="65" t="s">
        <v>393</v>
      </c>
    </row>
    <row r="1225" spans="24:24" x14ac:dyDescent="0.25">
      <c r="X1225" s="65" t="s">
        <v>394</v>
      </c>
    </row>
    <row r="1226" spans="24:24" x14ac:dyDescent="0.25">
      <c r="X1226" s="65" t="s">
        <v>395</v>
      </c>
    </row>
    <row r="1227" spans="24:24" x14ac:dyDescent="0.25">
      <c r="X1227" s="65" t="s">
        <v>396</v>
      </c>
    </row>
    <row r="1228" spans="24:24" x14ac:dyDescent="0.25">
      <c r="X1228" s="65" t="s">
        <v>397</v>
      </c>
    </row>
    <row r="1229" spans="24:24" x14ac:dyDescent="0.25">
      <c r="X1229" s="65" t="s">
        <v>387</v>
      </c>
    </row>
    <row r="1230" spans="24:24" x14ac:dyDescent="0.25">
      <c r="X1230" s="65" t="s">
        <v>272</v>
      </c>
    </row>
    <row r="1231" spans="24:24" x14ac:dyDescent="0.25">
      <c r="X1231" s="65" t="s">
        <v>388</v>
      </c>
    </row>
    <row r="1232" spans="24:24" x14ac:dyDescent="0.25">
      <c r="X1232" s="65" t="s">
        <v>23</v>
      </c>
    </row>
    <row r="1233" spans="24:24" x14ac:dyDescent="0.25">
      <c r="X1233" s="65" t="s">
        <v>389</v>
      </c>
    </row>
    <row r="1234" spans="24:24" x14ac:dyDescent="0.25">
      <c r="X1234" s="65" t="s">
        <v>390</v>
      </c>
    </row>
    <row r="1235" spans="24:24" x14ac:dyDescent="0.25">
      <c r="X1235" s="65" t="s">
        <v>391</v>
      </c>
    </row>
    <row r="1236" spans="24:24" x14ac:dyDescent="0.25">
      <c r="X1236" s="65" t="s">
        <v>392</v>
      </c>
    </row>
    <row r="1237" spans="24:24" x14ac:dyDescent="0.25">
      <c r="X1237" s="65" t="s">
        <v>393</v>
      </c>
    </row>
    <row r="1238" spans="24:24" x14ac:dyDescent="0.25">
      <c r="X1238" s="65" t="s">
        <v>394</v>
      </c>
    </row>
    <row r="1239" spans="24:24" x14ac:dyDescent="0.25">
      <c r="X1239" s="65" t="s">
        <v>395</v>
      </c>
    </row>
    <row r="1240" spans="24:24" x14ac:dyDescent="0.25">
      <c r="X1240" s="65" t="s">
        <v>396</v>
      </c>
    </row>
    <row r="1241" spans="24:24" x14ac:dyDescent="0.25">
      <c r="X1241" s="65" t="s">
        <v>397</v>
      </c>
    </row>
    <row r="1242" spans="24:24" x14ac:dyDescent="0.25">
      <c r="X1242" s="65" t="s">
        <v>387</v>
      </c>
    </row>
    <row r="1243" spans="24:24" x14ac:dyDescent="0.25">
      <c r="X1243" s="65" t="s">
        <v>272</v>
      </c>
    </row>
    <row r="1244" spans="24:24" x14ac:dyDescent="0.25">
      <c r="X1244" s="65" t="s">
        <v>388</v>
      </c>
    </row>
    <row r="1245" spans="24:24" x14ac:dyDescent="0.25">
      <c r="X1245" s="65" t="s">
        <v>23</v>
      </c>
    </row>
    <row r="1246" spans="24:24" x14ac:dyDescent="0.25">
      <c r="X1246" s="65" t="s">
        <v>389</v>
      </c>
    </row>
    <row r="1247" spans="24:24" x14ac:dyDescent="0.25">
      <c r="X1247" s="65" t="s">
        <v>390</v>
      </c>
    </row>
    <row r="1248" spans="24:24" x14ac:dyDescent="0.25">
      <c r="X1248" s="65" t="s">
        <v>391</v>
      </c>
    </row>
    <row r="1249" spans="24:24" x14ac:dyDescent="0.25">
      <c r="X1249" s="65" t="s">
        <v>392</v>
      </c>
    </row>
    <row r="1250" spans="24:24" x14ac:dyDescent="0.25">
      <c r="X1250" s="65" t="s">
        <v>393</v>
      </c>
    </row>
    <row r="1251" spans="24:24" x14ac:dyDescent="0.25">
      <c r="X1251" s="65" t="s">
        <v>394</v>
      </c>
    </row>
    <row r="1252" spans="24:24" x14ac:dyDescent="0.25">
      <c r="X1252" s="65" t="s">
        <v>395</v>
      </c>
    </row>
    <row r="1253" spans="24:24" x14ac:dyDescent="0.25">
      <c r="X1253" s="65" t="s">
        <v>396</v>
      </c>
    </row>
    <row r="1254" spans="24:24" x14ac:dyDescent="0.25">
      <c r="X1254" s="65" t="s">
        <v>397</v>
      </c>
    </row>
    <row r="1255" spans="24:24" x14ac:dyDescent="0.25">
      <c r="X1255" s="65" t="s">
        <v>387</v>
      </c>
    </row>
    <row r="1256" spans="24:24" x14ac:dyDescent="0.25">
      <c r="X1256" s="65" t="s">
        <v>272</v>
      </c>
    </row>
    <row r="1257" spans="24:24" x14ac:dyDescent="0.25">
      <c r="X1257" s="65" t="s">
        <v>388</v>
      </c>
    </row>
    <row r="1258" spans="24:24" x14ac:dyDescent="0.25">
      <c r="X1258" s="65" t="s">
        <v>23</v>
      </c>
    </row>
    <row r="1259" spans="24:24" x14ac:dyDescent="0.25">
      <c r="X1259" s="65" t="s">
        <v>389</v>
      </c>
    </row>
    <row r="1260" spans="24:24" x14ac:dyDescent="0.25">
      <c r="X1260" s="65" t="s">
        <v>390</v>
      </c>
    </row>
    <row r="1261" spans="24:24" x14ac:dyDescent="0.25">
      <c r="X1261" s="65" t="s">
        <v>391</v>
      </c>
    </row>
    <row r="1262" spans="24:24" x14ac:dyDescent="0.25">
      <c r="X1262" s="65" t="s">
        <v>392</v>
      </c>
    </row>
    <row r="1263" spans="24:24" x14ac:dyDescent="0.25">
      <c r="X1263" s="65" t="s">
        <v>393</v>
      </c>
    </row>
    <row r="1264" spans="24:24" x14ac:dyDescent="0.25">
      <c r="X1264" s="65" t="s">
        <v>394</v>
      </c>
    </row>
    <row r="1265" spans="24:24" x14ac:dyDescent="0.25">
      <c r="X1265" s="65" t="s">
        <v>395</v>
      </c>
    </row>
    <row r="1266" spans="24:24" x14ac:dyDescent="0.25">
      <c r="X1266" s="65" t="s">
        <v>396</v>
      </c>
    </row>
    <row r="1267" spans="24:24" x14ac:dyDescent="0.25">
      <c r="X1267" s="65" t="s">
        <v>397</v>
      </c>
    </row>
    <row r="1268" spans="24:24" x14ac:dyDescent="0.25">
      <c r="X1268" s="65" t="s">
        <v>387</v>
      </c>
    </row>
    <row r="1269" spans="24:24" x14ac:dyDescent="0.25">
      <c r="X1269" s="65" t="s">
        <v>272</v>
      </c>
    </row>
    <row r="1270" spans="24:24" x14ac:dyDescent="0.25">
      <c r="X1270" s="65" t="s">
        <v>388</v>
      </c>
    </row>
    <row r="1271" spans="24:24" x14ac:dyDescent="0.25">
      <c r="X1271" s="65" t="s">
        <v>23</v>
      </c>
    </row>
    <row r="1272" spans="24:24" x14ac:dyDescent="0.25">
      <c r="X1272" s="65" t="s">
        <v>389</v>
      </c>
    </row>
    <row r="1273" spans="24:24" x14ac:dyDescent="0.25">
      <c r="X1273" s="65" t="s">
        <v>390</v>
      </c>
    </row>
    <row r="1274" spans="24:24" x14ac:dyDescent="0.25">
      <c r="X1274" s="65" t="s">
        <v>391</v>
      </c>
    </row>
    <row r="1275" spans="24:24" x14ac:dyDescent="0.25">
      <c r="X1275" s="65" t="s">
        <v>392</v>
      </c>
    </row>
    <row r="1276" spans="24:24" x14ac:dyDescent="0.25">
      <c r="X1276" s="65" t="s">
        <v>393</v>
      </c>
    </row>
    <row r="1277" spans="24:24" x14ac:dyDescent="0.25">
      <c r="X1277" s="65" t="s">
        <v>394</v>
      </c>
    </row>
    <row r="1278" spans="24:24" x14ac:dyDescent="0.25">
      <c r="X1278" s="65" t="s">
        <v>395</v>
      </c>
    </row>
    <row r="1279" spans="24:24" x14ac:dyDescent="0.25">
      <c r="X1279" s="65" t="s">
        <v>396</v>
      </c>
    </row>
    <row r="1280" spans="24:24" x14ac:dyDescent="0.25">
      <c r="X1280" s="65" t="s">
        <v>397</v>
      </c>
    </row>
    <row r="1281" spans="24:24" x14ac:dyDescent="0.25">
      <c r="X1281" s="65" t="s">
        <v>387</v>
      </c>
    </row>
    <row r="1282" spans="24:24" x14ac:dyDescent="0.25">
      <c r="X1282" s="65" t="s">
        <v>272</v>
      </c>
    </row>
    <row r="1283" spans="24:24" x14ac:dyDescent="0.25">
      <c r="X1283" s="65" t="s">
        <v>388</v>
      </c>
    </row>
    <row r="1284" spans="24:24" x14ac:dyDescent="0.25">
      <c r="X1284" s="65" t="s">
        <v>23</v>
      </c>
    </row>
    <row r="1285" spans="24:24" x14ac:dyDescent="0.25">
      <c r="X1285" s="65" t="s">
        <v>389</v>
      </c>
    </row>
    <row r="1286" spans="24:24" x14ac:dyDescent="0.25">
      <c r="X1286" s="65" t="s">
        <v>390</v>
      </c>
    </row>
    <row r="1287" spans="24:24" x14ac:dyDescent="0.25">
      <c r="X1287" s="65" t="s">
        <v>391</v>
      </c>
    </row>
    <row r="1288" spans="24:24" x14ac:dyDescent="0.25">
      <c r="X1288" s="65" t="s">
        <v>392</v>
      </c>
    </row>
    <row r="1289" spans="24:24" x14ac:dyDescent="0.25">
      <c r="X1289" s="65" t="s">
        <v>393</v>
      </c>
    </row>
    <row r="1290" spans="24:24" x14ac:dyDescent="0.25">
      <c r="X1290" s="65" t="s">
        <v>394</v>
      </c>
    </row>
    <row r="1291" spans="24:24" x14ac:dyDescent="0.25">
      <c r="X1291" s="65" t="s">
        <v>395</v>
      </c>
    </row>
    <row r="1292" spans="24:24" x14ac:dyDescent="0.25">
      <c r="X1292" s="65" t="s">
        <v>396</v>
      </c>
    </row>
    <row r="1293" spans="24:24" x14ac:dyDescent="0.25">
      <c r="X1293" s="65" t="s">
        <v>397</v>
      </c>
    </row>
    <row r="1294" spans="24:24" x14ac:dyDescent="0.25">
      <c r="X1294" s="65" t="s">
        <v>387</v>
      </c>
    </row>
    <row r="1295" spans="24:24" x14ac:dyDescent="0.25">
      <c r="X1295" s="65" t="s">
        <v>272</v>
      </c>
    </row>
    <row r="1296" spans="24:24" x14ac:dyDescent="0.25">
      <c r="X1296" s="65" t="s">
        <v>388</v>
      </c>
    </row>
    <row r="1297" spans="24:24" x14ac:dyDescent="0.25">
      <c r="X1297" s="65" t="s">
        <v>23</v>
      </c>
    </row>
    <row r="1298" spans="24:24" x14ac:dyDescent="0.25">
      <c r="X1298" s="65" t="s">
        <v>389</v>
      </c>
    </row>
    <row r="1299" spans="24:24" x14ac:dyDescent="0.25">
      <c r="X1299" s="65" t="s">
        <v>390</v>
      </c>
    </row>
    <row r="1300" spans="24:24" x14ac:dyDescent="0.25">
      <c r="X1300" s="65" t="s">
        <v>391</v>
      </c>
    </row>
    <row r="1301" spans="24:24" x14ac:dyDescent="0.25">
      <c r="X1301" s="65" t="s">
        <v>392</v>
      </c>
    </row>
    <row r="1302" spans="24:24" x14ac:dyDescent="0.25">
      <c r="X1302" s="65" t="s">
        <v>393</v>
      </c>
    </row>
    <row r="1303" spans="24:24" x14ac:dyDescent="0.25">
      <c r="X1303" s="65" t="s">
        <v>394</v>
      </c>
    </row>
    <row r="1304" spans="24:24" x14ac:dyDescent="0.25">
      <c r="X1304" s="65" t="s">
        <v>395</v>
      </c>
    </row>
    <row r="1305" spans="24:24" x14ac:dyDescent="0.25">
      <c r="X1305" s="65" t="s">
        <v>396</v>
      </c>
    </row>
    <row r="1306" spans="24:24" x14ac:dyDescent="0.25">
      <c r="X1306" s="65" t="s">
        <v>397</v>
      </c>
    </row>
    <row r="1307" spans="24:24" x14ac:dyDescent="0.25">
      <c r="X1307" s="65" t="s">
        <v>387</v>
      </c>
    </row>
    <row r="1308" spans="24:24" x14ac:dyDescent="0.25">
      <c r="X1308" s="65" t="s">
        <v>272</v>
      </c>
    </row>
    <row r="1309" spans="24:24" x14ac:dyDescent="0.25">
      <c r="X1309" s="65" t="s">
        <v>388</v>
      </c>
    </row>
    <row r="1310" spans="24:24" x14ac:dyDescent="0.25">
      <c r="X1310" s="65" t="s">
        <v>23</v>
      </c>
    </row>
    <row r="1311" spans="24:24" x14ac:dyDescent="0.25">
      <c r="X1311" s="65" t="s">
        <v>389</v>
      </c>
    </row>
    <row r="1312" spans="24:24" x14ac:dyDescent="0.25">
      <c r="X1312" s="65" t="s">
        <v>390</v>
      </c>
    </row>
    <row r="1313" spans="24:24" x14ac:dyDescent="0.25">
      <c r="X1313" s="65" t="s">
        <v>391</v>
      </c>
    </row>
    <row r="1314" spans="24:24" x14ac:dyDescent="0.25">
      <c r="X1314" s="65" t="s">
        <v>392</v>
      </c>
    </row>
    <row r="1315" spans="24:24" x14ac:dyDescent="0.25">
      <c r="X1315" s="65" t="s">
        <v>393</v>
      </c>
    </row>
    <row r="1316" spans="24:24" x14ac:dyDescent="0.25">
      <c r="X1316" s="65" t="s">
        <v>394</v>
      </c>
    </row>
    <row r="1317" spans="24:24" x14ac:dyDescent="0.25">
      <c r="X1317" s="65" t="s">
        <v>395</v>
      </c>
    </row>
    <row r="1318" spans="24:24" x14ac:dyDescent="0.25">
      <c r="X1318" s="65" t="s">
        <v>396</v>
      </c>
    </row>
    <row r="1319" spans="24:24" x14ac:dyDescent="0.25">
      <c r="X1319" s="65" t="s">
        <v>397</v>
      </c>
    </row>
    <row r="1320" spans="24:24" x14ac:dyDescent="0.25">
      <c r="X1320" s="65" t="s">
        <v>387</v>
      </c>
    </row>
    <row r="1321" spans="24:24" x14ac:dyDescent="0.25">
      <c r="X1321" s="65" t="s">
        <v>272</v>
      </c>
    </row>
    <row r="1322" spans="24:24" x14ac:dyDescent="0.25">
      <c r="X1322" s="65" t="s">
        <v>388</v>
      </c>
    </row>
    <row r="1323" spans="24:24" x14ac:dyDescent="0.25">
      <c r="X1323" s="65" t="s">
        <v>23</v>
      </c>
    </row>
    <row r="1324" spans="24:24" x14ac:dyDescent="0.25">
      <c r="X1324" s="65" t="s">
        <v>389</v>
      </c>
    </row>
    <row r="1325" spans="24:24" x14ac:dyDescent="0.25">
      <c r="X1325" s="65" t="s">
        <v>390</v>
      </c>
    </row>
    <row r="1326" spans="24:24" x14ac:dyDescent="0.25">
      <c r="X1326" s="65" t="s">
        <v>391</v>
      </c>
    </row>
    <row r="1327" spans="24:24" x14ac:dyDescent="0.25">
      <c r="X1327" s="65" t="s">
        <v>392</v>
      </c>
    </row>
    <row r="1328" spans="24:24" x14ac:dyDescent="0.25">
      <c r="X1328" s="65" t="s">
        <v>393</v>
      </c>
    </row>
    <row r="1329" spans="24:24" x14ac:dyDescent="0.25">
      <c r="X1329" s="65" t="s">
        <v>394</v>
      </c>
    </row>
    <row r="1330" spans="24:24" x14ac:dyDescent="0.25">
      <c r="X1330" s="65" t="s">
        <v>395</v>
      </c>
    </row>
    <row r="1331" spans="24:24" x14ac:dyDescent="0.25">
      <c r="X1331" s="65" t="s">
        <v>396</v>
      </c>
    </row>
    <row r="1332" spans="24:24" x14ac:dyDescent="0.25">
      <c r="X1332" s="65" t="s">
        <v>397</v>
      </c>
    </row>
    <row r="1333" spans="24:24" x14ac:dyDescent="0.25">
      <c r="X1333" s="65" t="s">
        <v>387</v>
      </c>
    </row>
    <row r="1334" spans="24:24" x14ac:dyDescent="0.25">
      <c r="X1334" s="65" t="s">
        <v>272</v>
      </c>
    </row>
    <row r="1335" spans="24:24" x14ac:dyDescent="0.25">
      <c r="X1335" s="65" t="s">
        <v>388</v>
      </c>
    </row>
    <row r="1336" spans="24:24" x14ac:dyDescent="0.25">
      <c r="X1336" s="65" t="s">
        <v>23</v>
      </c>
    </row>
    <row r="1337" spans="24:24" x14ac:dyDescent="0.25">
      <c r="X1337" s="65" t="s">
        <v>389</v>
      </c>
    </row>
    <row r="1338" spans="24:24" x14ac:dyDescent="0.25">
      <c r="X1338" s="65" t="s">
        <v>390</v>
      </c>
    </row>
    <row r="1339" spans="24:24" x14ac:dyDescent="0.25">
      <c r="X1339" s="65" t="s">
        <v>391</v>
      </c>
    </row>
    <row r="1340" spans="24:24" x14ac:dyDescent="0.25">
      <c r="X1340" s="65" t="s">
        <v>392</v>
      </c>
    </row>
    <row r="1341" spans="24:24" x14ac:dyDescent="0.25">
      <c r="X1341" s="65" t="s">
        <v>393</v>
      </c>
    </row>
    <row r="1342" spans="24:24" x14ac:dyDescent="0.25">
      <c r="X1342" s="65" t="s">
        <v>394</v>
      </c>
    </row>
    <row r="1343" spans="24:24" x14ac:dyDescent="0.25">
      <c r="X1343" s="65" t="s">
        <v>395</v>
      </c>
    </row>
    <row r="1344" spans="24:24" x14ac:dyDescent="0.25">
      <c r="X1344" s="65" t="s">
        <v>396</v>
      </c>
    </row>
    <row r="1345" spans="24:24" x14ac:dyDescent="0.25">
      <c r="X1345" s="65" t="s">
        <v>397</v>
      </c>
    </row>
    <row r="1346" spans="24:24" x14ac:dyDescent="0.25">
      <c r="X1346" s="65" t="s">
        <v>387</v>
      </c>
    </row>
    <row r="1347" spans="24:24" x14ac:dyDescent="0.25">
      <c r="X1347" s="65" t="s">
        <v>272</v>
      </c>
    </row>
    <row r="1348" spans="24:24" x14ac:dyDescent="0.25">
      <c r="X1348" s="65" t="s">
        <v>388</v>
      </c>
    </row>
    <row r="1349" spans="24:24" x14ac:dyDescent="0.25">
      <c r="X1349" s="65" t="s">
        <v>23</v>
      </c>
    </row>
    <row r="1350" spans="24:24" x14ac:dyDescent="0.25">
      <c r="X1350" s="65" t="s">
        <v>389</v>
      </c>
    </row>
    <row r="1351" spans="24:24" x14ac:dyDescent="0.25">
      <c r="X1351" s="65" t="s">
        <v>390</v>
      </c>
    </row>
    <row r="1352" spans="24:24" x14ac:dyDescent="0.25">
      <c r="X1352" s="65" t="s">
        <v>391</v>
      </c>
    </row>
    <row r="1353" spans="24:24" x14ac:dyDescent="0.25">
      <c r="X1353" s="65" t="s">
        <v>392</v>
      </c>
    </row>
    <row r="1354" spans="24:24" x14ac:dyDescent="0.25">
      <c r="X1354" s="65" t="s">
        <v>393</v>
      </c>
    </row>
    <row r="1355" spans="24:24" x14ac:dyDescent="0.25">
      <c r="X1355" s="65" t="s">
        <v>394</v>
      </c>
    </row>
    <row r="1356" spans="24:24" x14ac:dyDescent="0.25">
      <c r="X1356" s="65" t="s">
        <v>395</v>
      </c>
    </row>
    <row r="1357" spans="24:24" x14ac:dyDescent="0.25">
      <c r="X1357" s="65" t="s">
        <v>396</v>
      </c>
    </row>
    <row r="1358" spans="24:24" x14ac:dyDescent="0.25">
      <c r="X1358" s="65" t="s">
        <v>397</v>
      </c>
    </row>
    <row r="1359" spans="24:24" x14ac:dyDescent="0.25">
      <c r="X1359" s="65" t="s">
        <v>387</v>
      </c>
    </row>
    <row r="1360" spans="24:24" x14ac:dyDescent="0.25">
      <c r="X1360" s="65" t="s">
        <v>272</v>
      </c>
    </row>
    <row r="1361" spans="24:24" x14ac:dyDescent="0.25">
      <c r="X1361" s="65" t="s">
        <v>388</v>
      </c>
    </row>
    <row r="1362" spans="24:24" x14ac:dyDescent="0.25">
      <c r="X1362" s="65" t="s">
        <v>23</v>
      </c>
    </row>
    <row r="1363" spans="24:24" x14ac:dyDescent="0.25">
      <c r="X1363" s="65" t="s">
        <v>389</v>
      </c>
    </row>
    <row r="1364" spans="24:24" x14ac:dyDescent="0.25">
      <c r="X1364" s="65" t="s">
        <v>390</v>
      </c>
    </row>
    <row r="1365" spans="24:24" x14ac:dyDescent="0.25">
      <c r="X1365" s="65" t="s">
        <v>391</v>
      </c>
    </row>
    <row r="1366" spans="24:24" x14ac:dyDescent="0.25">
      <c r="X1366" s="65" t="s">
        <v>392</v>
      </c>
    </row>
    <row r="1367" spans="24:24" x14ac:dyDescent="0.25">
      <c r="X1367" s="65" t="s">
        <v>393</v>
      </c>
    </row>
    <row r="1368" spans="24:24" x14ac:dyDescent="0.25">
      <c r="X1368" s="65" t="s">
        <v>394</v>
      </c>
    </row>
    <row r="1369" spans="24:24" x14ac:dyDescent="0.25">
      <c r="X1369" s="65" t="s">
        <v>395</v>
      </c>
    </row>
    <row r="1370" spans="24:24" x14ac:dyDescent="0.25">
      <c r="X1370" s="65" t="s">
        <v>396</v>
      </c>
    </row>
    <row r="1371" spans="24:24" x14ac:dyDescent="0.25">
      <c r="X1371" s="65" t="s">
        <v>397</v>
      </c>
    </row>
    <row r="1372" spans="24:24" x14ac:dyDescent="0.25">
      <c r="X1372" s="65" t="s">
        <v>387</v>
      </c>
    </row>
    <row r="1373" spans="24:24" x14ac:dyDescent="0.25">
      <c r="X1373" s="65" t="s">
        <v>272</v>
      </c>
    </row>
    <row r="1374" spans="24:24" x14ac:dyDescent="0.25">
      <c r="X1374" s="65" t="s">
        <v>388</v>
      </c>
    </row>
    <row r="1375" spans="24:24" x14ac:dyDescent="0.25">
      <c r="X1375" s="65" t="s">
        <v>23</v>
      </c>
    </row>
    <row r="1376" spans="24:24" x14ac:dyDescent="0.25">
      <c r="X1376" s="65" t="s">
        <v>389</v>
      </c>
    </row>
    <row r="1377" spans="24:24" x14ac:dyDescent="0.25">
      <c r="X1377" s="65" t="s">
        <v>390</v>
      </c>
    </row>
    <row r="1378" spans="24:24" x14ac:dyDescent="0.25">
      <c r="X1378" s="65" t="s">
        <v>391</v>
      </c>
    </row>
    <row r="1379" spans="24:24" x14ac:dyDescent="0.25">
      <c r="X1379" s="65" t="s">
        <v>392</v>
      </c>
    </row>
    <row r="1380" spans="24:24" x14ac:dyDescent="0.25">
      <c r="X1380" s="65" t="s">
        <v>393</v>
      </c>
    </row>
    <row r="1381" spans="24:24" x14ac:dyDescent="0.25">
      <c r="X1381" s="65" t="s">
        <v>394</v>
      </c>
    </row>
    <row r="1382" spans="24:24" x14ac:dyDescent="0.25">
      <c r="X1382" s="65" t="s">
        <v>395</v>
      </c>
    </row>
    <row r="1383" spans="24:24" x14ac:dyDescent="0.25">
      <c r="X1383" s="65" t="s">
        <v>396</v>
      </c>
    </row>
    <row r="1384" spans="24:24" x14ac:dyDescent="0.25">
      <c r="X1384" s="65" t="s">
        <v>397</v>
      </c>
    </row>
    <row r="1385" spans="24:24" x14ac:dyDescent="0.25">
      <c r="X1385" s="65" t="s">
        <v>387</v>
      </c>
    </row>
    <row r="1386" spans="24:24" x14ac:dyDescent="0.25">
      <c r="X1386" s="65" t="s">
        <v>272</v>
      </c>
    </row>
    <row r="1387" spans="24:24" x14ac:dyDescent="0.25">
      <c r="X1387" s="65" t="s">
        <v>388</v>
      </c>
    </row>
    <row r="1388" spans="24:24" x14ac:dyDescent="0.25">
      <c r="X1388" s="65" t="s">
        <v>23</v>
      </c>
    </row>
    <row r="1389" spans="24:24" x14ac:dyDescent="0.25">
      <c r="X1389" s="65" t="s">
        <v>389</v>
      </c>
    </row>
    <row r="1390" spans="24:24" x14ac:dyDescent="0.25">
      <c r="X1390" s="65" t="s">
        <v>390</v>
      </c>
    </row>
    <row r="1391" spans="24:24" x14ac:dyDescent="0.25">
      <c r="X1391" s="65" t="s">
        <v>391</v>
      </c>
    </row>
    <row r="1392" spans="24:24" x14ac:dyDescent="0.25">
      <c r="X1392" s="65" t="s">
        <v>392</v>
      </c>
    </row>
    <row r="1393" spans="24:24" x14ac:dyDescent="0.25">
      <c r="X1393" s="65" t="s">
        <v>393</v>
      </c>
    </row>
    <row r="1394" spans="24:24" x14ac:dyDescent="0.25">
      <c r="X1394" s="65" t="s">
        <v>394</v>
      </c>
    </row>
    <row r="1395" spans="24:24" x14ac:dyDescent="0.25">
      <c r="X1395" s="65" t="s">
        <v>395</v>
      </c>
    </row>
    <row r="1396" spans="24:24" x14ac:dyDescent="0.25">
      <c r="X1396" s="65" t="s">
        <v>396</v>
      </c>
    </row>
    <row r="1397" spans="24:24" x14ac:dyDescent="0.25">
      <c r="X1397" s="65" t="s">
        <v>397</v>
      </c>
    </row>
    <row r="1398" spans="24:24" x14ac:dyDescent="0.25">
      <c r="X1398" s="65" t="s">
        <v>387</v>
      </c>
    </row>
    <row r="1399" spans="24:24" x14ac:dyDescent="0.25">
      <c r="X1399" s="65" t="s">
        <v>272</v>
      </c>
    </row>
    <row r="1400" spans="24:24" x14ac:dyDescent="0.25">
      <c r="X1400" s="65" t="s">
        <v>388</v>
      </c>
    </row>
    <row r="1401" spans="24:24" x14ac:dyDescent="0.25">
      <c r="X1401" s="65" t="s">
        <v>23</v>
      </c>
    </row>
    <row r="1402" spans="24:24" x14ac:dyDescent="0.25">
      <c r="X1402" s="65" t="s">
        <v>389</v>
      </c>
    </row>
    <row r="1403" spans="24:24" x14ac:dyDescent="0.25">
      <c r="X1403" s="65" t="s">
        <v>390</v>
      </c>
    </row>
    <row r="1404" spans="24:24" x14ac:dyDescent="0.25">
      <c r="X1404" s="65" t="s">
        <v>391</v>
      </c>
    </row>
    <row r="1405" spans="24:24" x14ac:dyDescent="0.25">
      <c r="X1405" s="65" t="s">
        <v>392</v>
      </c>
    </row>
    <row r="1406" spans="24:24" x14ac:dyDescent="0.25">
      <c r="X1406" s="65" t="s">
        <v>393</v>
      </c>
    </row>
    <row r="1407" spans="24:24" x14ac:dyDescent="0.25">
      <c r="X1407" s="65" t="s">
        <v>394</v>
      </c>
    </row>
    <row r="1408" spans="24:24" x14ac:dyDescent="0.25">
      <c r="X1408" s="65" t="s">
        <v>395</v>
      </c>
    </row>
    <row r="1409" spans="24:24" x14ac:dyDescent="0.25">
      <c r="X1409" s="65" t="s">
        <v>396</v>
      </c>
    </row>
    <row r="1410" spans="24:24" x14ac:dyDescent="0.25">
      <c r="X1410" s="65" t="s">
        <v>397</v>
      </c>
    </row>
    <row r="1411" spans="24:24" x14ac:dyDescent="0.25">
      <c r="X1411" s="65" t="s">
        <v>387</v>
      </c>
    </row>
    <row r="1412" spans="24:24" x14ac:dyDescent="0.25">
      <c r="X1412" s="65" t="s">
        <v>272</v>
      </c>
    </row>
    <row r="1413" spans="24:24" x14ac:dyDescent="0.25">
      <c r="X1413" s="65" t="s">
        <v>388</v>
      </c>
    </row>
    <row r="1414" spans="24:24" x14ac:dyDescent="0.25">
      <c r="X1414" s="65" t="s">
        <v>23</v>
      </c>
    </row>
    <row r="1415" spans="24:24" x14ac:dyDescent="0.25">
      <c r="X1415" s="65" t="s">
        <v>389</v>
      </c>
    </row>
    <row r="1416" spans="24:24" x14ac:dyDescent="0.25">
      <c r="X1416" s="65" t="s">
        <v>390</v>
      </c>
    </row>
    <row r="1417" spans="24:24" x14ac:dyDescent="0.25">
      <c r="X1417" s="65" t="s">
        <v>391</v>
      </c>
    </row>
    <row r="1418" spans="24:24" x14ac:dyDescent="0.25">
      <c r="X1418" s="65" t="s">
        <v>392</v>
      </c>
    </row>
    <row r="1419" spans="24:24" x14ac:dyDescent="0.25">
      <c r="X1419" s="65" t="s">
        <v>393</v>
      </c>
    </row>
    <row r="1420" spans="24:24" x14ac:dyDescent="0.25">
      <c r="X1420" s="65" t="s">
        <v>394</v>
      </c>
    </row>
    <row r="1421" spans="24:24" x14ac:dyDescent="0.25">
      <c r="X1421" s="65" t="s">
        <v>395</v>
      </c>
    </row>
    <row r="1422" spans="24:24" x14ac:dyDescent="0.25">
      <c r="X1422" s="65" t="s">
        <v>396</v>
      </c>
    </row>
    <row r="1423" spans="24:24" x14ac:dyDescent="0.25">
      <c r="X1423" s="65" t="s">
        <v>397</v>
      </c>
    </row>
    <row r="1424" spans="24:24" x14ac:dyDescent="0.25">
      <c r="X1424" s="65" t="s">
        <v>387</v>
      </c>
    </row>
    <row r="1425" spans="24:24" x14ac:dyDescent="0.25">
      <c r="X1425" s="65" t="s">
        <v>272</v>
      </c>
    </row>
    <row r="1426" spans="24:24" x14ac:dyDescent="0.25">
      <c r="X1426" s="65" t="s">
        <v>388</v>
      </c>
    </row>
    <row r="1427" spans="24:24" x14ac:dyDescent="0.25">
      <c r="X1427" s="65" t="s">
        <v>23</v>
      </c>
    </row>
    <row r="1428" spans="24:24" x14ac:dyDescent="0.25">
      <c r="X1428" s="65" t="s">
        <v>389</v>
      </c>
    </row>
    <row r="1429" spans="24:24" x14ac:dyDescent="0.25">
      <c r="X1429" s="65" t="s">
        <v>390</v>
      </c>
    </row>
    <row r="1430" spans="24:24" x14ac:dyDescent="0.25">
      <c r="X1430" s="65" t="s">
        <v>391</v>
      </c>
    </row>
    <row r="1431" spans="24:24" x14ac:dyDescent="0.25">
      <c r="X1431" s="65" t="s">
        <v>392</v>
      </c>
    </row>
    <row r="1432" spans="24:24" x14ac:dyDescent="0.25">
      <c r="X1432" s="65" t="s">
        <v>393</v>
      </c>
    </row>
    <row r="1433" spans="24:24" x14ac:dyDescent="0.25">
      <c r="X1433" s="65" t="s">
        <v>394</v>
      </c>
    </row>
    <row r="1434" spans="24:24" x14ac:dyDescent="0.25">
      <c r="X1434" s="65" t="s">
        <v>395</v>
      </c>
    </row>
    <row r="1435" spans="24:24" x14ac:dyDescent="0.25">
      <c r="X1435" s="65" t="s">
        <v>396</v>
      </c>
    </row>
    <row r="1436" spans="24:24" x14ac:dyDescent="0.25">
      <c r="X1436" s="65" t="s">
        <v>397</v>
      </c>
    </row>
    <row r="1437" spans="24:24" x14ac:dyDescent="0.25">
      <c r="X1437" s="65" t="s">
        <v>387</v>
      </c>
    </row>
    <row r="1438" spans="24:24" x14ac:dyDescent="0.25">
      <c r="X1438" s="65" t="s">
        <v>272</v>
      </c>
    </row>
    <row r="1439" spans="24:24" x14ac:dyDescent="0.25">
      <c r="X1439" s="65" t="s">
        <v>388</v>
      </c>
    </row>
    <row r="1440" spans="24:24" x14ac:dyDescent="0.25">
      <c r="X1440" s="65" t="s">
        <v>23</v>
      </c>
    </row>
    <row r="1441" spans="24:24" x14ac:dyDescent="0.25">
      <c r="X1441" s="65" t="s">
        <v>389</v>
      </c>
    </row>
    <row r="1442" spans="24:24" x14ac:dyDescent="0.25">
      <c r="X1442" s="65" t="s">
        <v>390</v>
      </c>
    </row>
    <row r="1443" spans="24:24" x14ac:dyDescent="0.25">
      <c r="X1443" s="65" t="s">
        <v>391</v>
      </c>
    </row>
    <row r="1444" spans="24:24" x14ac:dyDescent="0.25">
      <c r="X1444" s="65" t="s">
        <v>392</v>
      </c>
    </row>
    <row r="1445" spans="24:24" x14ac:dyDescent="0.25">
      <c r="X1445" s="65" t="s">
        <v>393</v>
      </c>
    </row>
    <row r="1446" spans="24:24" x14ac:dyDescent="0.25">
      <c r="X1446" s="65" t="s">
        <v>394</v>
      </c>
    </row>
    <row r="1447" spans="24:24" x14ac:dyDescent="0.25">
      <c r="X1447" s="65" t="s">
        <v>395</v>
      </c>
    </row>
    <row r="1448" spans="24:24" x14ac:dyDescent="0.25">
      <c r="X1448" s="65" t="s">
        <v>396</v>
      </c>
    </row>
    <row r="1449" spans="24:24" x14ac:dyDescent="0.25">
      <c r="X1449" s="65" t="s">
        <v>397</v>
      </c>
    </row>
    <row r="1450" spans="24:24" x14ac:dyDescent="0.25">
      <c r="X1450" s="65" t="s">
        <v>387</v>
      </c>
    </row>
    <row r="1451" spans="24:24" x14ac:dyDescent="0.25">
      <c r="X1451" s="65" t="s">
        <v>272</v>
      </c>
    </row>
    <row r="1452" spans="24:24" x14ac:dyDescent="0.25">
      <c r="X1452" s="65" t="s">
        <v>388</v>
      </c>
    </row>
    <row r="1453" spans="24:24" x14ac:dyDescent="0.25">
      <c r="X1453" s="65" t="s">
        <v>23</v>
      </c>
    </row>
    <row r="1454" spans="24:24" x14ac:dyDescent="0.25">
      <c r="X1454" s="65" t="s">
        <v>389</v>
      </c>
    </row>
    <row r="1455" spans="24:24" x14ac:dyDescent="0.25">
      <c r="X1455" s="65" t="s">
        <v>390</v>
      </c>
    </row>
    <row r="1456" spans="24:24" x14ac:dyDescent="0.25">
      <c r="X1456" s="65" t="s">
        <v>391</v>
      </c>
    </row>
    <row r="1457" spans="24:24" x14ac:dyDescent="0.25">
      <c r="X1457" s="65" t="s">
        <v>392</v>
      </c>
    </row>
    <row r="1458" spans="24:24" x14ac:dyDescent="0.25">
      <c r="X1458" s="65" t="s">
        <v>393</v>
      </c>
    </row>
    <row r="1459" spans="24:24" x14ac:dyDescent="0.25">
      <c r="X1459" s="65" t="s">
        <v>394</v>
      </c>
    </row>
    <row r="1460" spans="24:24" x14ac:dyDescent="0.25">
      <c r="X1460" s="65" t="s">
        <v>395</v>
      </c>
    </row>
    <row r="1461" spans="24:24" x14ac:dyDescent="0.25">
      <c r="X1461" s="65" t="s">
        <v>396</v>
      </c>
    </row>
    <row r="1462" spans="24:24" x14ac:dyDescent="0.25">
      <c r="X1462" s="65" t="s">
        <v>397</v>
      </c>
    </row>
    <row r="1463" spans="24:24" x14ac:dyDescent="0.25">
      <c r="X1463" s="65" t="s">
        <v>387</v>
      </c>
    </row>
    <row r="1464" spans="24:24" x14ac:dyDescent="0.25">
      <c r="X1464" s="65" t="s">
        <v>272</v>
      </c>
    </row>
    <row r="1465" spans="24:24" x14ac:dyDescent="0.25">
      <c r="X1465" s="65" t="s">
        <v>388</v>
      </c>
    </row>
    <row r="1466" spans="24:24" x14ac:dyDescent="0.25">
      <c r="X1466" s="65" t="s">
        <v>23</v>
      </c>
    </row>
    <row r="1467" spans="24:24" x14ac:dyDescent="0.25">
      <c r="X1467" s="65" t="s">
        <v>389</v>
      </c>
    </row>
    <row r="1468" spans="24:24" x14ac:dyDescent="0.25">
      <c r="X1468" s="65" t="s">
        <v>390</v>
      </c>
    </row>
    <row r="1469" spans="24:24" x14ac:dyDescent="0.25">
      <c r="X1469" s="65" t="s">
        <v>391</v>
      </c>
    </row>
    <row r="1470" spans="24:24" x14ac:dyDescent="0.25">
      <c r="X1470" s="65" t="s">
        <v>392</v>
      </c>
    </row>
    <row r="1471" spans="24:24" x14ac:dyDescent="0.25">
      <c r="X1471" s="65" t="s">
        <v>393</v>
      </c>
    </row>
    <row r="1472" spans="24:24" x14ac:dyDescent="0.25">
      <c r="X1472" s="65" t="s">
        <v>394</v>
      </c>
    </row>
    <row r="1473" spans="24:24" x14ac:dyDescent="0.25">
      <c r="X1473" s="65" t="s">
        <v>395</v>
      </c>
    </row>
    <row r="1474" spans="24:24" x14ac:dyDescent="0.25">
      <c r="X1474" s="65" t="s">
        <v>396</v>
      </c>
    </row>
    <row r="1475" spans="24:24" x14ac:dyDescent="0.25">
      <c r="X1475" s="65" t="s">
        <v>397</v>
      </c>
    </row>
    <row r="1476" spans="24:24" x14ac:dyDescent="0.25">
      <c r="X1476" s="65" t="s">
        <v>387</v>
      </c>
    </row>
    <row r="1477" spans="24:24" x14ac:dyDescent="0.25">
      <c r="X1477" s="65" t="s">
        <v>272</v>
      </c>
    </row>
    <row r="1478" spans="24:24" x14ac:dyDescent="0.25">
      <c r="X1478" s="65" t="s">
        <v>388</v>
      </c>
    </row>
    <row r="1479" spans="24:24" x14ac:dyDescent="0.25">
      <c r="X1479" s="65" t="s">
        <v>23</v>
      </c>
    </row>
    <row r="1480" spans="24:24" x14ac:dyDescent="0.25">
      <c r="X1480" s="65" t="s">
        <v>389</v>
      </c>
    </row>
    <row r="1481" spans="24:24" x14ac:dyDescent="0.25">
      <c r="X1481" s="65" t="s">
        <v>390</v>
      </c>
    </row>
    <row r="1482" spans="24:24" x14ac:dyDescent="0.25">
      <c r="X1482" s="65" t="s">
        <v>391</v>
      </c>
    </row>
    <row r="1483" spans="24:24" x14ac:dyDescent="0.25">
      <c r="X1483" s="65" t="s">
        <v>392</v>
      </c>
    </row>
    <row r="1484" spans="24:24" x14ac:dyDescent="0.25">
      <c r="X1484" s="65" t="s">
        <v>393</v>
      </c>
    </row>
    <row r="1485" spans="24:24" x14ac:dyDescent="0.25">
      <c r="X1485" s="65" t="s">
        <v>394</v>
      </c>
    </row>
    <row r="1486" spans="24:24" x14ac:dyDescent="0.25">
      <c r="X1486" s="65" t="s">
        <v>395</v>
      </c>
    </row>
    <row r="1487" spans="24:24" x14ac:dyDescent="0.25">
      <c r="X1487" s="65" t="s">
        <v>396</v>
      </c>
    </row>
    <row r="1488" spans="24:24" x14ac:dyDescent="0.25">
      <c r="X1488" s="65" t="s">
        <v>397</v>
      </c>
    </row>
    <row r="1489" spans="24:24" x14ac:dyDescent="0.25">
      <c r="X1489" s="65" t="s">
        <v>387</v>
      </c>
    </row>
    <row r="1490" spans="24:24" x14ac:dyDescent="0.25">
      <c r="X1490" s="65" t="s">
        <v>272</v>
      </c>
    </row>
    <row r="1491" spans="24:24" x14ac:dyDescent="0.25">
      <c r="X1491" s="65" t="s">
        <v>388</v>
      </c>
    </row>
    <row r="1492" spans="24:24" x14ac:dyDescent="0.25">
      <c r="X1492" s="65" t="s">
        <v>23</v>
      </c>
    </row>
    <row r="1493" spans="24:24" x14ac:dyDescent="0.25">
      <c r="X1493" s="65" t="s">
        <v>389</v>
      </c>
    </row>
    <row r="1494" spans="24:24" x14ac:dyDescent="0.25">
      <c r="X1494" s="65" t="s">
        <v>390</v>
      </c>
    </row>
    <row r="1495" spans="24:24" x14ac:dyDescent="0.25">
      <c r="X1495" s="65" t="s">
        <v>391</v>
      </c>
    </row>
    <row r="1496" spans="24:24" x14ac:dyDescent="0.25">
      <c r="X1496" s="65" t="s">
        <v>392</v>
      </c>
    </row>
    <row r="1497" spans="24:24" x14ac:dyDescent="0.25">
      <c r="X1497" s="65" t="s">
        <v>393</v>
      </c>
    </row>
    <row r="1498" spans="24:24" x14ac:dyDescent="0.25">
      <c r="X1498" s="65" t="s">
        <v>394</v>
      </c>
    </row>
    <row r="1499" spans="24:24" x14ac:dyDescent="0.25">
      <c r="X1499" s="65" t="s">
        <v>395</v>
      </c>
    </row>
    <row r="1500" spans="24:24" x14ac:dyDescent="0.25">
      <c r="X1500" s="65" t="s">
        <v>396</v>
      </c>
    </row>
    <row r="1501" spans="24:24" x14ac:dyDescent="0.25">
      <c r="X1501" s="65" t="s">
        <v>397</v>
      </c>
    </row>
    <row r="1502" spans="24:24" x14ac:dyDescent="0.25">
      <c r="X1502" s="65" t="s">
        <v>387</v>
      </c>
    </row>
    <row r="1503" spans="24:24" x14ac:dyDescent="0.25">
      <c r="X1503" s="65" t="s">
        <v>272</v>
      </c>
    </row>
    <row r="1504" spans="24:24" x14ac:dyDescent="0.25">
      <c r="X1504" s="65" t="s">
        <v>388</v>
      </c>
    </row>
    <row r="1505" spans="24:24" x14ac:dyDescent="0.25">
      <c r="X1505" s="65" t="s">
        <v>23</v>
      </c>
    </row>
    <row r="1506" spans="24:24" x14ac:dyDescent="0.25">
      <c r="X1506" s="65" t="s">
        <v>389</v>
      </c>
    </row>
    <row r="1507" spans="24:24" x14ac:dyDescent="0.25">
      <c r="X1507" s="65" t="s">
        <v>390</v>
      </c>
    </row>
    <row r="1508" spans="24:24" x14ac:dyDescent="0.25">
      <c r="X1508" s="65" t="s">
        <v>391</v>
      </c>
    </row>
    <row r="1509" spans="24:24" x14ac:dyDescent="0.25">
      <c r="X1509" s="65" t="s">
        <v>392</v>
      </c>
    </row>
    <row r="1510" spans="24:24" x14ac:dyDescent="0.25">
      <c r="X1510" s="65" t="s">
        <v>393</v>
      </c>
    </row>
    <row r="1511" spans="24:24" x14ac:dyDescent="0.25">
      <c r="X1511" s="65" t="s">
        <v>394</v>
      </c>
    </row>
    <row r="1512" spans="24:24" x14ac:dyDescent="0.25">
      <c r="X1512" s="65" t="s">
        <v>395</v>
      </c>
    </row>
    <row r="1513" spans="24:24" x14ac:dyDescent="0.25">
      <c r="X1513" s="65" t="s">
        <v>396</v>
      </c>
    </row>
    <row r="1514" spans="24:24" x14ac:dyDescent="0.25">
      <c r="X1514" s="65" t="s">
        <v>397</v>
      </c>
    </row>
    <row r="1515" spans="24:24" x14ac:dyDescent="0.25">
      <c r="X1515" s="65" t="s">
        <v>387</v>
      </c>
    </row>
    <row r="1516" spans="24:24" x14ac:dyDescent="0.25">
      <c r="X1516" s="65" t="s">
        <v>272</v>
      </c>
    </row>
    <row r="1517" spans="24:24" x14ac:dyDescent="0.25">
      <c r="X1517" s="65" t="s">
        <v>388</v>
      </c>
    </row>
    <row r="1518" spans="24:24" x14ac:dyDescent="0.25">
      <c r="X1518" s="65" t="s">
        <v>23</v>
      </c>
    </row>
    <row r="1519" spans="24:24" x14ac:dyDescent="0.25">
      <c r="X1519" s="65" t="s">
        <v>389</v>
      </c>
    </row>
    <row r="1520" spans="24:24" x14ac:dyDescent="0.25">
      <c r="X1520" s="65" t="s">
        <v>390</v>
      </c>
    </row>
    <row r="1521" spans="24:24" x14ac:dyDescent="0.25">
      <c r="X1521" s="65" t="s">
        <v>391</v>
      </c>
    </row>
    <row r="1522" spans="24:24" x14ac:dyDescent="0.25">
      <c r="X1522" s="65" t="s">
        <v>392</v>
      </c>
    </row>
    <row r="1523" spans="24:24" x14ac:dyDescent="0.25">
      <c r="X1523" s="65" t="s">
        <v>393</v>
      </c>
    </row>
    <row r="1524" spans="24:24" x14ac:dyDescent="0.25">
      <c r="X1524" s="65" t="s">
        <v>394</v>
      </c>
    </row>
    <row r="1525" spans="24:24" x14ac:dyDescent="0.25">
      <c r="X1525" s="65" t="s">
        <v>395</v>
      </c>
    </row>
    <row r="1526" spans="24:24" x14ac:dyDescent="0.25">
      <c r="X1526" s="65" t="s">
        <v>396</v>
      </c>
    </row>
    <row r="1527" spans="24:24" x14ac:dyDescent="0.25">
      <c r="X1527" s="65" t="s">
        <v>397</v>
      </c>
    </row>
    <row r="1528" spans="24:24" x14ac:dyDescent="0.25">
      <c r="X1528" s="65" t="s">
        <v>387</v>
      </c>
    </row>
    <row r="1529" spans="24:24" x14ac:dyDescent="0.25">
      <c r="X1529" s="65" t="s">
        <v>272</v>
      </c>
    </row>
    <row r="1530" spans="24:24" x14ac:dyDescent="0.25">
      <c r="X1530" s="65" t="s">
        <v>388</v>
      </c>
    </row>
    <row r="1531" spans="24:24" x14ac:dyDescent="0.25">
      <c r="X1531" s="65" t="s">
        <v>23</v>
      </c>
    </row>
    <row r="1532" spans="24:24" x14ac:dyDescent="0.25">
      <c r="X1532" s="65" t="s">
        <v>389</v>
      </c>
    </row>
    <row r="1533" spans="24:24" x14ac:dyDescent="0.25">
      <c r="X1533" s="65" t="s">
        <v>390</v>
      </c>
    </row>
    <row r="1534" spans="24:24" x14ac:dyDescent="0.25">
      <c r="X1534" s="65" t="s">
        <v>391</v>
      </c>
    </row>
    <row r="1535" spans="24:24" x14ac:dyDescent="0.25">
      <c r="X1535" s="65" t="s">
        <v>392</v>
      </c>
    </row>
    <row r="1536" spans="24:24" x14ac:dyDescent="0.25">
      <c r="X1536" s="65" t="s">
        <v>393</v>
      </c>
    </row>
    <row r="1537" spans="24:24" x14ac:dyDescent="0.25">
      <c r="X1537" s="65" t="s">
        <v>394</v>
      </c>
    </row>
    <row r="1538" spans="24:24" x14ac:dyDescent="0.25">
      <c r="X1538" s="65" t="s">
        <v>395</v>
      </c>
    </row>
    <row r="1539" spans="24:24" x14ac:dyDescent="0.25">
      <c r="X1539" s="65" t="s">
        <v>396</v>
      </c>
    </row>
    <row r="1540" spans="24:24" x14ac:dyDescent="0.25">
      <c r="X1540" s="65" t="s">
        <v>397</v>
      </c>
    </row>
    <row r="1541" spans="24:24" x14ac:dyDescent="0.25">
      <c r="X1541" s="65" t="s">
        <v>387</v>
      </c>
    </row>
    <row r="1542" spans="24:24" x14ac:dyDescent="0.25">
      <c r="X1542" s="65" t="s">
        <v>272</v>
      </c>
    </row>
    <row r="1543" spans="24:24" x14ac:dyDescent="0.25">
      <c r="X1543" s="65" t="s">
        <v>388</v>
      </c>
    </row>
    <row r="1544" spans="24:24" x14ac:dyDescent="0.25">
      <c r="X1544" s="65" t="s">
        <v>23</v>
      </c>
    </row>
    <row r="1545" spans="24:24" x14ac:dyDescent="0.25">
      <c r="X1545" s="65" t="s">
        <v>389</v>
      </c>
    </row>
    <row r="1546" spans="24:24" x14ac:dyDescent="0.25">
      <c r="X1546" s="65" t="s">
        <v>390</v>
      </c>
    </row>
    <row r="1547" spans="24:24" x14ac:dyDescent="0.25">
      <c r="X1547" s="65" t="s">
        <v>391</v>
      </c>
    </row>
    <row r="1548" spans="24:24" x14ac:dyDescent="0.25">
      <c r="X1548" s="65" t="s">
        <v>392</v>
      </c>
    </row>
    <row r="1549" spans="24:24" x14ac:dyDescent="0.25">
      <c r="X1549" s="65" t="s">
        <v>393</v>
      </c>
    </row>
    <row r="1550" spans="24:24" x14ac:dyDescent="0.25">
      <c r="X1550" s="65" t="s">
        <v>394</v>
      </c>
    </row>
    <row r="1551" spans="24:24" x14ac:dyDescent="0.25">
      <c r="X1551" s="65" t="s">
        <v>395</v>
      </c>
    </row>
    <row r="1552" spans="24:24" x14ac:dyDescent="0.25">
      <c r="X1552" s="65" t="s">
        <v>396</v>
      </c>
    </row>
    <row r="1553" spans="24:24" x14ac:dyDescent="0.25">
      <c r="X1553" s="65" t="s">
        <v>397</v>
      </c>
    </row>
    <row r="1554" spans="24:24" x14ac:dyDescent="0.25">
      <c r="X1554" s="65" t="s">
        <v>387</v>
      </c>
    </row>
    <row r="1555" spans="24:24" x14ac:dyDescent="0.25">
      <c r="X1555" s="65" t="s">
        <v>272</v>
      </c>
    </row>
    <row r="1556" spans="24:24" x14ac:dyDescent="0.25">
      <c r="X1556" s="65" t="s">
        <v>388</v>
      </c>
    </row>
    <row r="1557" spans="24:24" x14ac:dyDescent="0.25">
      <c r="X1557" s="65" t="s">
        <v>23</v>
      </c>
    </row>
    <row r="1558" spans="24:24" x14ac:dyDescent="0.25">
      <c r="X1558" s="65" t="s">
        <v>389</v>
      </c>
    </row>
    <row r="1559" spans="24:24" x14ac:dyDescent="0.25">
      <c r="X1559" s="65" t="s">
        <v>390</v>
      </c>
    </row>
    <row r="1560" spans="24:24" x14ac:dyDescent="0.25">
      <c r="X1560" s="65" t="s">
        <v>391</v>
      </c>
    </row>
    <row r="1561" spans="24:24" x14ac:dyDescent="0.25">
      <c r="X1561" s="65" t="s">
        <v>392</v>
      </c>
    </row>
    <row r="1562" spans="24:24" x14ac:dyDescent="0.25">
      <c r="X1562" s="65" t="s">
        <v>393</v>
      </c>
    </row>
    <row r="1563" spans="24:24" x14ac:dyDescent="0.25">
      <c r="X1563" s="65" t="s">
        <v>394</v>
      </c>
    </row>
    <row r="1564" spans="24:24" x14ac:dyDescent="0.25">
      <c r="X1564" s="65" t="s">
        <v>395</v>
      </c>
    </row>
    <row r="1565" spans="24:24" x14ac:dyDescent="0.25">
      <c r="X1565" s="65" t="s">
        <v>396</v>
      </c>
    </row>
    <row r="1566" spans="24:24" x14ac:dyDescent="0.25">
      <c r="X1566" s="65" t="s">
        <v>397</v>
      </c>
    </row>
    <row r="1567" spans="24:24" x14ac:dyDescent="0.25">
      <c r="X1567" s="65" t="s">
        <v>387</v>
      </c>
    </row>
    <row r="1568" spans="24:24" x14ac:dyDescent="0.25">
      <c r="X1568" s="65" t="s">
        <v>272</v>
      </c>
    </row>
    <row r="1569" spans="24:24" x14ac:dyDescent="0.25">
      <c r="X1569" s="65" t="s">
        <v>388</v>
      </c>
    </row>
    <row r="1570" spans="24:24" x14ac:dyDescent="0.25">
      <c r="X1570" s="65" t="s">
        <v>23</v>
      </c>
    </row>
    <row r="1571" spans="24:24" x14ac:dyDescent="0.25">
      <c r="X1571" s="65" t="s">
        <v>389</v>
      </c>
    </row>
    <row r="1572" spans="24:24" x14ac:dyDescent="0.25">
      <c r="X1572" s="65" t="s">
        <v>390</v>
      </c>
    </row>
    <row r="1573" spans="24:24" x14ac:dyDescent="0.25">
      <c r="X1573" s="65" t="s">
        <v>391</v>
      </c>
    </row>
    <row r="1574" spans="24:24" x14ac:dyDescent="0.25">
      <c r="X1574" s="65" t="s">
        <v>392</v>
      </c>
    </row>
    <row r="1575" spans="24:24" x14ac:dyDescent="0.25">
      <c r="X1575" s="65" t="s">
        <v>393</v>
      </c>
    </row>
    <row r="1576" spans="24:24" x14ac:dyDescent="0.25">
      <c r="X1576" s="65" t="s">
        <v>394</v>
      </c>
    </row>
    <row r="1577" spans="24:24" x14ac:dyDescent="0.25">
      <c r="X1577" s="65" t="s">
        <v>395</v>
      </c>
    </row>
    <row r="1578" spans="24:24" x14ac:dyDescent="0.25">
      <c r="X1578" s="65" t="s">
        <v>396</v>
      </c>
    </row>
    <row r="1579" spans="24:24" x14ac:dyDescent="0.25">
      <c r="X1579" s="65" t="s">
        <v>397</v>
      </c>
    </row>
    <row r="1580" spans="24:24" x14ac:dyDescent="0.25">
      <c r="X1580" s="65" t="s">
        <v>387</v>
      </c>
    </row>
    <row r="1581" spans="24:24" x14ac:dyDescent="0.25">
      <c r="X1581" s="65" t="s">
        <v>272</v>
      </c>
    </row>
    <row r="1582" spans="24:24" x14ac:dyDescent="0.25">
      <c r="X1582" s="65" t="s">
        <v>388</v>
      </c>
    </row>
    <row r="1583" spans="24:24" x14ac:dyDescent="0.25">
      <c r="X1583" s="65" t="s">
        <v>23</v>
      </c>
    </row>
    <row r="1584" spans="24:24" x14ac:dyDescent="0.25">
      <c r="X1584" s="65" t="s">
        <v>389</v>
      </c>
    </row>
    <row r="1585" spans="24:24" x14ac:dyDescent="0.25">
      <c r="X1585" s="65" t="s">
        <v>390</v>
      </c>
    </row>
    <row r="1586" spans="24:24" x14ac:dyDescent="0.25">
      <c r="X1586" s="65" t="s">
        <v>391</v>
      </c>
    </row>
    <row r="1587" spans="24:24" x14ac:dyDescent="0.25">
      <c r="X1587" s="65" t="s">
        <v>392</v>
      </c>
    </row>
    <row r="1588" spans="24:24" x14ac:dyDescent="0.25">
      <c r="X1588" s="65" t="s">
        <v>393</v>
      </c>
    </row>
    <row r="1589" spans="24:24" x14ac:dyDescent="0.25">
      <c r="X1589" s="65" t="s">
        <v>394</v>
      </c>
    </row>
    <row r="1590" spans="24:24" x14ac:dyDescent="0.25">
      <c r="X1590" s="65" t="s">
        <v>395</v>
      </c>
    </row>
    <row r="1591" spans="24:24" x14ac:dyDescent="0.25">
      <c r="X1591" s="65" t="s">
        <v>396</v>
      </c>
    </row>
    <row r="1592" spans="24:24" x14ac:dyDescent="0.25">
      <c r="X1592" s="65" t="s">
        <v>397</v>
      </c>
    </row>
    <row r="1593" spans="24:24" x14ac:dyDescent="0.25">
      <c r="X1593" s="65" t="s">
        <v>387</v>
      </c>
    </row>
    <row r="1594" spans="24:24" x14ac:dyDescent="0.25">
      <c r="X1594" s="65" t="s">
        <v>272</v>
      </c>
    </row>
    <row r="1595" spans="24:24" x14ac:dyDescent="0.25">
      <c r="X1595" s="65" t="s">
        <v>388</v>
      </c>
    </row>
    <row r="1596" spans="24:24" x14ac:dyDescent="0.25">
      <c r="X1596" s="65" t="s">
        <v>23</v>
      </c>
    </row>
    <row r="1597" spans="24:24" x14ac:dyDescent="0.25">
      <c r="X1597" s="65" t="s">
        <v>389</v>
      </c>
    </row>
    <row r="1598" spans="24:24" x14ac:dyDescent="0.25">
      <c r="X1598" s="65" t="s">
        <v>390</v>
      </c>
    </row>
    <row r="1599" spans="24:24" x14ac:dyDescent="0.25">
      <c r="X1599" s="65" t="s">
        <v>391</v>
      </c>
    </row>
    <row r="1600" spans="24:24" x14ac:dyDescent="0.25">
      <c r="X1600" s="65" t="s">
        <v>392</v>
      </c>
    </row>
    <row r="1601" spans="24:24" x14ac:dyDescent="0.25">
      <c r="X1601" s="65" t="s">
        <v>393</v>
      </c>
    </row>
    <row r="1602" spans="24:24" x14ac:dyDescent="0.25">
      <c r="X1602" s="65" t="s">
        <v>394</v>
      </c>
    </row>
    <row r="1603" spans="24:24" x14ac:dyDescent="0.25">
      <c r="X1603" s="65" t="s">
        <v>395</v>
      </c>
    </row>
    <row r="1604" spans="24:24" x14ac:dyDescent="0.25">
      <c r="X1604" s="65" t="s">
        <v>396</v>
      </c>
    </row>
    <row r="1605" spans="24:24" x14ac:dyDescent="0.25">
      <c r="X1605" s="65" t="s">
        <v>397</v>
      </c>
    </row>
    <row r="1606" spans="24:24" x14ac:dyDescent="0.25">
      <c r="X1606" s="65" t="s">
        <v>387</v>
      </c>
    </row>
    <row r="1607" spans="24:24" x14ac:dyDescent="0.25">
      <c r="X1607" s="65" t="s">
        <v>272</v>
      </c>
    </row>
    <row r="1608" spans="24:24" x14ac:dyDescent="0.25">
      <c r="X1608" s="65" t="s">
        <v>388</v>
      </c>
    </row>
    <row r="1609" spans="24:24" x14ac:dyDescent="0.25">
      <c r="X1609" s="65" t="s">
        <v>23</v>
      </c>
    </row>
    <row r="1610" spans="24:24" x14ac:dyDescent="0.25">
      <c r="X1610" s="65" t="s">
        <v>389</v>
      </c>
    </row>
    <row r="1611" spans="24:24" x14ac:dyDescent="0.25">
      <c r="X1611" s="65" t="s">
        <v>390</v>
      </c>
    </row>
    <row r="1612" spans="24:24" x14ac:dyDescent="0.25">
      <c r="X1612" s="65" t="s">
        <v>391</v>
      </c>
    </row>
    <row r="1613" spans="24:24" x14ac:dyDescent="0.25">
      <c r="X1613" s="65" t="s">
        <v>392</v>
      </c>
    </row>
    <row r="1614" spans="24:24" x14ac:dyDescent="0.25">
      <c r="X1614" s="65" t="s">
        <v>393</v>
      </c>
    </row>
    <row r="1615" spans="24:24" x14ac:dyDescent="0.25">
      <c r="X1615" s="65" t="s">
        <v>394</v>
      </c>
    </row>
    <row r="1616" spans="24:24" x14ac:dyDescent="0.25">
      <c r="X1616" s="65" t="s">
        <v>395</v>
      </c>
    </row>
    <row r="1617" spans="24:24" x14ac:dyDescent="0.25">
      <c r="X1617" s="65" t="s">
        <v>396</v>
      </c>
    </row>
    <row r="1618" spans="24:24" x14ac:dyDescent="0.25">
      <c r="X1618" s="65" t="s">
        <v>397</v>
      </c>
    </row>
    <row r="1619" spans="24:24" x14ac:dyDescent="0.25">
      <c r="X1619" s="65" t="s">
        <v>387</v>
      </c>
    </row>
    <row r="1620" spans="24:24" x14ac:dyDescent="0.25">
      <c r="X1620" s="65" t="s">
        <v>272</v>
      </c>
    </row>
    <row r="1621" spans="24:24" x14ac:dyDescent="0.25">
      <c r="X1621" s="65" t="s">
        <v>388</v>
      </c>
    </row>
    <row r="1622" spans="24:24" x14ac:dyDescent="0.25">
      <c r="X1622" s="65" t="s">
        <v>23</v>
      </c>
    </row>
    <row r="1623" spans="24:24" x14ac:dyDescent="0.25">
      <c r="X1623" s="65" t="s">
        <v>389</v>
      </c>
    </row>
    <row r="1624" spans="24:24" x14ac:dyDescent="0.25">
      <c r="X1624" s="65" t="s">
        <v>390</v>
      </c>
    </row>
    <row r="1625" spans="24:24" x14ac:dyDescent="0.25">
      <c r="X1625" s="65" t="s">
        <v>391</v>
      </c>
    </row>
    <row r="1626" spans="24:24" x14ac:dyDescent="0.25">
      <c r="X1626" s="65" t="s">
        <v>392</v>
      </c>
    </row>
    <row r="1627" spans="24:24" x14ac:dyDescent="0.25">
      <c r="X1627" s="65" t="s">
        <v>393</v>
      </c>
    </row>
    <row r="1628" spans="24:24" x14ac:dyDescent="0.25">
      <c r="X1628" s="65" t="s">
        <v>394</v>
      </c>
    </row>
    <row r="1629" spans="24:24" x14ac:dyDescent="0.25">
      <c r="X1629" s="65" t="s">
        <v>395</v>
      </c>
    </row>
    <row r="1630" spans="24:24" x14ac:dyDescent="0.25">
      <c r="X1630" s="65" t="s">
        <v>396</v>
      </c>
    </row>
    <row r="1631" spans="24:24" x14ac:dyDescent="0.25">
      <c r="X1631" s="65" t="s">
        <v>397</v>
      </c>
    </row>
    <row r="1632" spans="24:24" x14ac:dyDescent="0.25">
      <c r="X1632" s="65" t="s">
        <v>387</v>
      </c>
    </row>
    <row r="1633" spans="24:24" x14ac:dyDescent="0.25">
      <c r="X1633" s="65" t="s">
        <v>272</v>
      </c>
    </row>
    <row r="1634" spans="24:24" x14ac:dyDescent="0.25">
      <c r="X1634" s="65" t="s">
        <v>388</v>
      </c>
    </row>
    <row r="1635" spans="24:24" x14ac:dyDescent="0.25">
      <c r="X1635" s="65" t="s">
        <v>23</v>
      </c>
    </row>
    <row r="1636" spans="24:24" x14ac:dyDescent="0.25">
      <c r="X1636" s="65" t="s">
        <v>389</v>
      </c>
    </row>
    <row r="1637" spans="24:24" x14ac:dyDescent="0.25">
      <c r="X1637" s="65" t="s">
        <v>390</v>
      </c>
    </row>
    <row r="1638" spans="24:24" x14ac:dyDescent="0.25">
      <c r="X1638" s="65" t="s">
        <v>391</v>
      </c>
    </row>
    <row r="1639" spans="24:24" x14ac:dyDescent="0.25">
      <c r="X1639" s="65" t="s">
        <v>392</v>
      </c>
    </row>
    <row r="1640" spans="24:24" x14ac:dyDescent="0.25">
      <c r="X1640" s="65" t="s">
        <v>393</v>
      </c>
    </row>
    <row r="1641" spans="24:24" x14ac:dyDescent="0.25">
      <c r="X1641" s="65" t="s">
        <v>394</v>
      </c>
    </row>
    <row r="1642" spans="24:24" x14ac:dyDescent="0.25">
      <c r="X1642" s="65" t="s">
        <v>395</v>
      </c>
    </row>
    <row r="1643" spans="24:24" x14ac:dyDescent="0.25">
      <c r="X1643" s="65" t="s">
        <v>396</v>
      </c>
    </row>
    <row r="1644" spans="24:24" x14ac:dyDescent="0.25">
      <c r="X1644" s="65" t="s">
        <v>397</v>
      </c>
    </row>
    <row r="1645" spans="24:24" x14ac:dyDescent="0.25">
      <c r="X1645" s="65" t="s">
        <v>387</v>
      </c>
    </row>
    <row r="1646" spans="24:24" x14ac:dyDescent="0.25">
      <c r="X1646" s="65" t="s">
        <v>272</v>
      </c>
    </row>
    <row r="1647" spans="24:24" x14ac:dyDescent="0.25">
      <c r="X1647" s="65" t="s">
        <v>388</v>
      </c>
    </row>
    <row r="1648" spans="24:24" x14ac:dyDescent="0.25">
      <c r="X1648" s="65" t="s">
        <v>23</v>
      </c>
    </row>
    <row r="1649" spans="24:24" x14ac:dyDescent="0.25">
      <c r="X1649" s="65" t="s">
        <v>389</v>
      </c>
    </row>
    <row r="1650" spans="24:24" x14ac:dyDescent="0.25">
      <c r="X1650" s="65" t="s">
        <v>390</v>
      </c>
    </row>
    <row r="1651" spans="24:24" x14ac:dyDescent="0.25">
      <c r="X1651" s="65" t="s">
        <v>391</v>
      </c>
    </row>
    <row r="1652" spans="24:24" x14ac:dyDescent="0.25">
      <c r="X1652" s="65" t="s">
        <v>392</v>
      </c>
    </row>
    <row r="1653" spans="24:24" x14ac:dyDescent="0.25">
      <c r="X1653" s="65" t="s">
        <v>393</v>
      </c>
    </row>
    <row r="1654" spans="24:24" x14ac:dyDescent="0.25">
      <c r="X1654" s="65" t="s">
        <v>394</v>
      </c>
    </row>
    <row r="1655" spans="24:24" x14ac:dyDescent="0.25">
      <c r="X1655" s="65" t="s">
        <v>395</v>
      </c>
    </row>
    <row r="1656" spans="24:24" x14ac:dyDescent="0.25">
      <c r="X1656" s="65" t="s">
        <v>396</v>
      </c>
    </row>
    <row r="1657" spans="24:24" x14ac:dyDescent="0.25">
      <c r="X1657" s="65" t="s">
        <v>397</v>
      </c>
    </row>
    <row r="1658" spans="24:24" x14ac:dyDescent="0.25">
      <c r="X1658" s="65" t="s">
        <v>387</v>
      </c>
    </row>
    <row r="1659" spans="24:24" x14ac:dyDescent="0.25">
      <c r="X1659" s="65" t="s">
        <v>272</v>
      </c>
    </row>
    <row r="1660" spans="24:24" x14ac:dyDescent="0.25">
      <c r="X1660" s="65" t="s">
        <v>388</v>
      </c>
    </row>
    <row r="1661" spans="24:24" x14ac:dyDescent="0.25">
      <c r="X1661" s="65" t="s">
        <v>23</v>
      </c>
    </row>
    <row r="1662" spans="24:24" x14ac:dyDescent="0.25">
      <c r="X1662" s="65" t="s">
        <v>389</v>
      </c>
    </row>
    <row r="1663" spans="24:24" x14ac:dyDescent="0.25">
      <c r="X1663" s="65" t="s">
        <v>390</v>
      </c>
    </row>
    <row r="1664" spans="24:24" x14ac:dyDescent="0.25">
      <c r="X1664" s="65" t="s">
        <v>391</v>
      </c>
    </row>
    <row r="1665" spans="24:24" x14ac:dyDescent="0.25">
      <c r="X1665" s="65" t="s">
        <v>392</v>
      </c>
    </row>
    <row r="1666" spans="24:24" x14ac:dyDescent="0.25">
      <c r="X1666" s="65" t="s">
        <v>393</v>
      </c>
    </row>
    <row r="1667" spans="24:24" x14ac:dyDescent="0.25">
      <c r="X1667" s="65" t="s">
        <v>394</v>
      </c>
    </row>
    <row r="1668" spans="24:24" x14ac:dyDescent="0.25">
      <c r="X1668" s="65" t="s">
        <v>395</v>
      </c>
    </row>
    <row r="1669" spans="24:24" x14ac:dyDescent="0.25">
      <c r="X1669" s="65" t="s">
        <v>396</v>
      </c>
    </row>
    <row r="1670" spans="24:24" x14ac:dyDescent="0.25">
      <c r="X1670" s="65" t="s">
        <v>397</v>
      </c>
    </row>
    <row r="1671" spans="24:24" x14ac:dyDescent="0.25">
      <c r="X1671" s="65" t="s">
        <v>387</v>
      </c>
    </row>
    <row r="1672" spans="24:24" x14ac:dyDescent="0.25">
      <c r="X1672" s="65" t="s">
        <v>272</v>
      </c>
    </row>
    <row r="1673" spans="24:24" x14ac:dyDescent="0.25">
      <c r="X1673" s="65" t="s">
        <v>388</v>
      </c>
    </row>
    <row r="1674" spans="24:24" x14ac:dyDescent="0.25">
      <c r="X1674" s="65" t="s">
        <v>23</v>
      </c>
    </row>
    <row r="1675" spans="24:24" x14ac:dyDescent="0.25">
      <c r="X1675" s="65" t="s">
        <v>389</v>
      </c>
    </row>
    <row r="1676" spans="24:24" x14ac:dyDescent="0.25">
      <c r="X1676" s="65" t="s">
        <v>390</v>
      </c>
    </row>
    <row r="1677" spans="24:24" x14ac:dyDescent="0.25">
      <c r="X1677" s="65" t="s">
        <v>391</v>
      </c>
    </row>
    <row r="1678" spans="24:24" x14ac:dyDescent="0.25">
      <c r="X1678" s="65" t="s">
        <v>392</v>
      </c>
    </row>
    <row r="1679" spans="24:24" x14ac:dyDescent="0.25">
      <c r="X1679" s="65" t="s">
        <v>393</v>
      </c>
    </row>
    <row r="1680" spans="24:24" x14ac:dyDescent="0.25">
      <c r="X1680" s="65" t="s">
        <v>394</v>
      </c>
    </row>
    <row r="1681" spans="24:24" x14ac:dyDescent="0.25">
      <c r="X1681" s="65" t="s">
        <v>395</v>
      </c>
    </row>
    <row r="1682" spans="24:24" x14ac:dyDescent="0.25">
      <c r="X1682" s="65" t="s">
        <v>396</v>
      </c>
    </row>
    <row r="1683" spans="24:24" x14ac:dyDescent="0.25">
      <c r="X1683" s="65" t="s">
        <v>397</v>
      </c>
    </row>
    <row r="1684" spans="24:24" x14ac:dyDescent="0.25">
      <c r="X1684" s="65" t="s">
        <v>387</v>
      </c>
    </row>
    <row r="1685" spans="24:24" x14ac:dyDescent="0.25">
      <c r="X1685" s="65" t="s">
        <v>272</v>
      </c>
    </row>
    <row r="1686" spans="24:24" x14ac:dyDescent="0.25">
      <c r="X1686" s="65" t="s">
        <v>388</v>
      </c>
    </row>
    <row r="1687" spans="24:24" x14ac:dyDescent="0.25">
      <c r="X1687" s="65" t="s">
        <v>23</v>
      </c>
    </row>
    <row r="1688" spans="24:24" x14ac:dyDescent="0.25">
      <c r="X1688" s="65" t="s">
        <v>389</v>
      </c>
    </row>
    <row r="1689" spans="24:24" x14ac:dyDescent="0.25">
      <c r="X1689" s="65" t="s">
        <v>390</v>
      </c>
    </row>
    <row r="1690" spans="24:24" x14ac:dyDescent="0.25">
      <c r="X1690" s="65" t="s">
        <v>391</v>
      </c>
    </row>
    <row r="1691" spans="24:24" x14ac:dyDescent="0.25">
      <c r="X1691" s="65" t="s">
        <v>392</v>
      </c>
    </row>
    <row r="1692" spans="24:24" x14ac:dyDescent="0.25">
      <c r="X1692" s="65" t="s">
        <v>393</v>
      </c>
    </row>
    <row r="1693" spans="24:24" x14ac:dyDescent="0.25">
      <c r="X1693" s="65" t="s">
        <v>394</v>
      </c>
    </row>
    <row r="1694" spans="24:24" x14ac:dyDescent="0.25">
      <c r="X1694" s="65" t="s">
        <v>395</v>
      </c>
    </row>
    <row r="1695" spans="24:24" x14ac:dyDescent="0.25">
      <c r="X1695" s="65" t="s">
        <v>396</v>
      </c>
    </row>
    <row r="1696" spans="24:24" x14ac:dyDescent="0.25">
      <c r="X1696" s="65" t="s">
        <v>397</v>
      </c>
    </row>
    <row r="1697" spans="24:24" x14ac:dyDescent="0.25">
      <c r="X1697" s="65" t="s">
        <v>387</v>
      </c>
    </row>
    <row r="1698" spans="24:24" x14ac:dyDescent="0.25">
      <c r="X1698" s="65" t="s">
        <v>272</v>
      </c>
    </row>
    <row r="1699" spans="24:24" x14ac:dyDescent="0.25">
      <c r="X1699" s="65" t="s">
        <v>388</v>
      </c>
    </row>
    <row r="1700" spans="24:24" x14ac:dyDescent="0.25">
      <c r="X1700" s="65" t="s">
        <v>23</v>
      </c>
    </row>
    <row r="1701" spans="24:24" x14ac:dyDescent="0.25">
      <c r="X1701" s="65" t="s">
        <v>389</v>
      </c>
    </row>
    <row r="1702" spans="24:24" x14ac:dyDescent="0.25">
      <c r="X1702" s="65" t="s">
        <v>390</v>
      </c>
    </row>
    <row r="1703" spans="24:24" x14ac:dyDescent="0.25">
      <c r="X1703" s="65" t="s">
        <v>391</v>
      </c>
    </row>
    <row r="1704" spans="24:24" x14ac:dyDescent="0.25">
      <c r="X1704" s="65" t="s">
        <v>392</v>
      </c>
    </row>
    <row r="1705" spans="24:24" x14ac:dyDescent="0.25">
      <c r="X1705" s="65" t="s">
        <v>393</v>
      </c>
    </row>
    <row r="1706" spans="24:24" x14ac:dyDescent="0.25">
      <c r="X1706" s="65" t="s">
        <v>394</v>
      </c>
    </row>
    <row r="1707" spans="24:24" x14ac:dyDescent="0.25">
      <c r="X1707" s="65" t="s">
        <v>395</v>
      </c>
    </row>
    <row r="1708" spans="24:24" x14ac:dyDescent="0.25">
      <c r="X1708" s="65" t="s">
        <v>396</v>
      </c>
    </row>
    <row r="1709" spans="24:24" x14ac:dyDescent="0.25">
      <c r="X1709" s="65" t="s">
        <v>397</v>
      </c>
    </row>
    <row r="1710" spans="24:24" x14ac:dyDescent="0.25">
      <c r="X1710" s="65" t="s">
        <v>387</v>
      </c>
    </row>
    <row r="1711" spans="24:24" x14ac:dyDescent="0.25">
      <c r="X1711" s="65" t="s">
        <v>272</v>
      </c>
    </row>
    <row r="1712" spans="24:24" x14ac:dyDescent="0.25">
      <c r="X1712" s="65" t="s">
        <v>388</v>
      </c>
    </row>
    <row r="1713" spans="24:24" x14ac:dyDescent="0.25">
      <c r="X1713" s="65" t="s">
        <v>23</v>
      </c>
    </row>
    <row r="1714" spans="24:24" x14ac:dyDescent="0.25">
      <c r="X1714" s="65" t="s">
        <v>389</v>
      </c>
    </row>
    <row r="1715" spans="24:24" x14ac:dyDescent="0.25">
      <c r="X1715" s="65" t="s">
        <v>390</v>
      </c>
    </row>
    <row r="1716" spans="24:24" x14ac:dyDescent="0.25">
      <c r="X1716" s="65" t="s">
        <v>391</v>
      </c>
    </row>
    <row r="1717" spans="24:24" x14ac:dyDescent="0.25">
      <c r="X1717" s="65" t="s">
        <v>392</v>
      </c>
    </row>
    <row r="1718" spans="24:24" x14ac:dyDescent="0.25">
      <c r="X1718" s="65" t="s">
        <v>393</v>
      </c>
    </row>
    <row r="1719" spans="24:24" x14ac:dyDescent="0.25">
      <c r="X1719" s="65" t="s">
        <v>394</v>
      </c>
    </row>
    <row r="1720" spans="24:24" x14ac:dyDescent="0.25">
      <c r="X1720" s="65" t="s">
        <v>395</v>
      </c>
    </row>
    <row r="1721" spans="24:24" x14ac:dyDescent="0.25">
      <c r="X1721" s="65" t="s">
        <v>396</v>
      </c>
    </row>
    <row r="1722" spans="24:24" x14ac:dyDescent="0.25">
      <c r="X1722" s="65" t="s">
        <v>397</v>
      </c>
    </row>
    <row r="1723" spans="24:24" x14ac:dyDescent="0.25">
      <c r="X1723" s="65" t="s">
        <v>387</v>
      </c>
    </row>
    <row r="1724" spans="24:24" x14ac:dyDescent="0.25">
      <c r="X1724" s="65" t="s">
        <v>272</v>
      </c>
    </row>
    <row r="1725" spans="24:24" x14ac:dyDescent="0.25">
      <c r="X1725" s="65" t="s">
        <v>388</v>
      </c>
    </row>
    <row r="1726" spans="24:24" x14ac:dyDescent="0.25">
      <c r="X1726" s="65" t="s">
        <v>23</v>
      </c>
    </row>
    <row r="1727" spans="24:24" x14ac:dyDescent="0.25">
      <c r="X1727" s="65" t="s">
        <v>389</v>
      </c>
    </row>
    <row r="1728" spans="24:24" x14ac:dyDescent="0.25">
      <c r="X1728" s="65" t="s">
        <v>390</v>
      </c>
    </row>
    <row r="1729" spans="24:24" x14ac:dyDescent="0.25">
      <c r="X1729" s="65" t="s">
        <v>391</v>
      </c>
    </row>
    <row r="1730" spans="24:24" x14ac:dyDescent="0.25">
      <c r="X1730" s="65" t="s">
        <v>392</v>
      </c>
    </row>
    <row r="1731" spans="24:24" x14ac:dyDescent="0.25">
      <c r="X1731" s="65" t="s">
        <v>393</v>
      </c>
    </row>
    <row r="1732" spans="24:24" x14ac:dyDescent="0.25">
      <c r="X1732" s="65" t="s">
        <v>394</v>
      </c>
    </row>
    <row r="1733" spans="24:24" x14ac:dyDescent="0.25">
      <c r="X1733" s="65" t="s">
        <v>395</v>
      </c>
    </row>
    <row r="1734" spans="24:24" x14ac:dyDescent="0.25">
      <c r="X1734" s="65" t="s">
        <v>396</v>
      </c>
    </row>
    <row r="1735" spans="24:24" x14ac:dyDescent="0.25">
      <c r="X1735" s="65" t="s">
        <v>397</v>
      </c>
    </row>
    <row r="1736" spans="24:24" x14ac:dyDescent="0.25">
      <c r="X1736" s="65" t="s">
        <v>387</v>
      </c>
    </row>
    <row r="1737" spans="24:24" x14ac:dyDescent="0.25">
      <c r="X1737" s="65" t="s">
        <v>272</v>
      </c>
    </row>
    <row r="1738" spans="24:24" x14ac:dyDescent="0.25">
      <c r="X1738" s="65" t="s">
        <v>388</v>
      </c>
    </row>
    <row r="1739" spans="24:24" x14ac:dyDescent="0.25">
      <c r="X1739" s="65" t="s">
        <v>23</v>
      </c>
    </row>
    <row r="1740" spans="24:24" x14ac:dyDescent="0.25">
      <c r="X1740" s="65" t="s">
        <v>389</v>
      </c>
    </row>
    <row r="1741" spans="24:24" x14ac:dyDescent="0.25">
      <c r="X1741" s="65" t="s">
        <v>390</v>
      </c>
    </row>
    <row r="1742" spans="24:24" x14ac:dyDescent="0.25">
      <c r="X1742" s="65" t="s">
        <v>391</v>
      </c>
    </row>
    <row r="1743" spans="24:24" x14ac:dyDescent="0.25">
      <c r="X1743" s="65" t="s">
        <v>392</v>
      </c>
    </row>
    <row r="1744" spans="24:24" x14ac:dyDescent="0.25">
      <c r="X1744" s="65" t="s">
        <v>393</v>
      </c>
    </row>
    <row r="1745" spans="24:24" x14ac:dyDescent="0.25">
      <c r="X1745" s="65" t="s">
        <v>394</v>
      </c>
    </row>
    <row r="1746" spans="24:24" x14ac:dyDescent="0.25">
      <c r="X1746" s="65" t="s">
        <v>395</v>
      </c>
    </row>
    <row r="1747" spans="24:24" x14ac:dyDescent="0.25">
      <c r="X1747" s="65" t="s">
        <v>396</v>
      </c>
    </row>
    <row r="1748" spans="24:24" x14ac:dyDescent="0.25">
      <c r="X1748" s="65" t="s">
        <v>397</v>
      </c>
    </row>
    <row r="1749" spans="24:24" x14ac:dyDescent="0.25">
      <c r="X1749" s="65" t="s">
        <v>387</v>
      </c>
    </row>
    <row r="1750" spans="24:24" x14ac:dyDescent="0.25">
      <c r="X1750" s="65" t="s">
        <v>272</v>
      </c>
    </row>
    <row r="1751" spans="24:24" x14ac:dyDescent="0.25">
      <c r="X1751" s="65" t="s">
        <v>388</v>
      </c>
    </row>
    <row r="1752" spans="24:24" x14ac:dyDescent="0.25">
      <c r="X1752" s="65" t="s">
        <v>23</v>
      </c>
    </row>
    <row r="1753" spans="24:24" x14ac:dyDescent="0.25">
      <c r="X1753" s="65" t="s">
        <v>389</v>
      </c>
    </row>
    <row r="1754" spans="24:24" x14ac:dyDescent="0.25">
      <c r="X1754" s="65" t="s">
        <v>390</v>
      </c>
    </row>
    <row r="1755" spans="24:24" x14ac:dyDescent="0.25">
      <c r="X1755" s="65" t="s">
        <v>391</v>
      </c>
    </row>
    <row r="1756" spans="24:24" x14ac:dyDescent="0.25">
      <c r="X1756" s="65" t="s">
        <v>392</v>
      </c>
    </row>
    <row r="1757" spans="24:24" x14ac:dyDescent="0.25">
      <c r="X1757" s="65" t="s">
        <v>393</v>
      </c>
    </row>
    <row r="1758" spans="24:24" x14ac:dyDescent="0.25">
      <c r="X1758" s="65" t="s">
        <v>394</v>
      </c>
    </row>
    <row r="1759" spans="24:24" x14ac:dyDescent="0.25">
      <c r="X1759" s="65" t="s">
        <v>395</v>
      </c>
    </row>
    <row r="1760" spans="24:24" x14ac:dyDescent="0.25">
      <c r="X1760" s="65" t="s">
        <v>396</v>
      </c>
    </row>
    <row r="1761" spans="24:24" x14ac:dyDescent="0.25">
      <c r="X1761" s="65" t="s">
        <v>397</v>
      </c>
    </row>
    <row r="1762" spans="24:24" x14ac:dyDescent="0.25">
      <c r="X1762" s="65" t="s">
        <v>387</v>
      </c>
    </row>
    <row r="1763" spans="24:24" x14ac:dyDescent="0.25">
      <c r="X1763" s="65" t="s">
        <v>272</v>
      </c>
    </row>
    <row r="1764" spans="24:24" x14ac:dyDescent="0.25">
      <c r="X1764" s="65" t="s">
        <v>388</v>
      </c>
    </row>
    <row r="1765" spans="24:24" x14ac:dyDescent="0.25">
      <c r="X1765" s="65" t="s">
        <v>23</v>
      </c>
    </row>
    <row r="1766" spans="24:24" x14ac:dyDescent="0.25">
      <c r="X1766" s="65" t="s">
        <v>389</v>
      </c>
    </row>
    <row r="1767" spans="24:24" x14ac:dyDescent="0.25">
      <c r="X1767" s="65" t="s">
        <v>390</v>
      </c>
    </row>
    <row r="1768" spans="24:24" x14ac:dyDescent="0.25">
      <c r="X1768" s="65" t="s">
        <v>391</v>
      </c>
    </row>
    <row r="1769" spans="24:24" x14ac:dyDescent="0.25">
      <c r="X1769" s="65" t="s">
        <v>392</v>
      </c>
    </row>
    <row r="1770" spans="24:24" x14ac:dyDescent="0.25">
      <c r="X1770" s="65" t="s">
        <v>393</v>
      </c>
    </row>
    <row r="1771" spans="24:24" x14ac:dyDescent="0.25">
      <c r="X1771" s="65" t="s">
        <v>394</v>
      </c>
    </row>
    <row r="1772" spans="24:24" x14ac:dyDescent="0.25">
      <c r="X1772" s="65" t="s">
        <v>395</v>
      </c>
    </row>
    <row r="1773" spans="24:24" x14ac:dyDescent="0.25">
      <c r="X1773" s="65" t="s">
        <v>396</v>
      </c>
    </row>
    <row r="1774" spans="24:24" x14ac:dyDescent="0.25">
      <c r="X1774" s="65" t="s">
        <v>397</v>
      </c>
    </row>
    <row r="1775" spans="24:24" x14ac:dyDescent="0.25">
      <c r="X1775" s="65" t="s">
        <v>387</v>
      </c>
    </row>
    <row r="1776" spans="24:24" x14ac:dyDescent="0.25">
      <c r="X1776" s="65" t="s">
        <v>272</v>
      </c>
    </row>
    <row r="1777" spans="24:24" x14ac:dyDescent="0.25">
      <c r="X1777" s="65" t="s">
        <v>388</v>
      </c>
    </row>
    <row r="1778" spans="24:24" x14ac:dyDescent="0.25">
      <c r="X1778" s="65" t="s">
        <v>23</v>
      </c>
    </row>
    <row r="1779" spans="24:24" x14ac:dyDescent="0.25">
      <c r="X1779" s="65" t="s">
        <v>389</v>
      </c>
    </row>
    <row r="1780" spans="24:24" x14ac:dyDescent="0.25">
      <c r="X1780" s="65" t="s">
        <v>390</v>
      </c>
    </row>
    <row r="1781" spans="24:24" x14ac:dyDescent="0.25">
      <c r="X1781" s="65" t="s">
        <v>391</v>
      </c>
    </row>
    <row r="1782" spans="24:24" x14ac:dyDescent="0.25">
      <c r="X1782" s="65" t="s">
        <v>392</v>
      </c>
    </row>
    <row r="1783" spans="24:24" x14ac:dyDescent="0.25">
      <c r="X1783" s="65" t="s">
        <v>393</v>
      </c>
    </row>
    <row r="1784" spans="24:24" x14ac:dyDescent="0.25">
      <c r="X1784" s="65" t="s">
        <v>394</v>
      </c>
    </row>
    <row r="1785" spans="24:24" x14ac:dyDescent="0.25">
      <c r="X1785" s="65" t="s">
        <v>395</v>
      </c>
    </row>
    <row r="1786" spans="24:24" x14ac:dyDescent="0.25">
      <c r="X1786" s="65" t="s">
        <v>396</v>
      </c>
    </row>
    <row r="1787" spans="24:24" x14ac:dyDescent="0.25">
      <c r="X1787" s="65" t="s">
        <v>397</v>
      </c>
    </row>
    <row r="1788" spans="24:24" x14ac:dyDescent="0.25">
      <c r="X1788" s="65" t="s">
        <v>387</v>
      </c>
    </row>
    <row r="1789" spans="24:24" x14ac:dyDescent="0.25">
      <c r="X1789" s="65" t="s">
        <v>272</v>
      </c>
    </row>
    <row r="1790" spans="24:24" x14ac:dyDescent="0.25">
      <c r="X1790" s="65" t="s">
        <v>388</v>
      </c>
    </row>
    <row r="1791" spans="24:24" x14ac:dyDescent="0.25">
      <c r="X1791" s="65" t="s">
        <v>23</v>
      </c>
    </row>
    <row r="1792" spans="24:24" x14ac:dyDescent="0.25">
      <c r="X1792" s="65" t="s">
        <v>389</v>
      </c>
    </row>
    <row r="1793" spans="24:24" x14ac:dyDescent="0.25">
      <c r="X1793" s="65" t="s">
        <v>390</v>
      </c>
    </row>
    <row r="1794" spans="24:24" x14ac:dyDescent="0.25">
      <c r="X1794" s="65" t="s">
        <v>391</v>
      </c>
    </row>
    <row r="1795" spans="24:24" x14ac:dyDescent="0.25">
      <c r="X1795" s="65" t="s">
        <v>392</v>
      </c>
    </row>
    <row r="1796" spans="24:24" x14ac:dyDescent="0.25">
      <c r="X1796" s="65" t="s">
        <v>393</v>
      </c>
    </row>
    <row r="1797" spans="24:24" x14ac:dyDescent="0.25">
      <c r="X1797" s="65" t="s">
        <v>394</v>
      </c>
    </row>
    <row r="1798" spans="24:24" x14ac:dyDescent="0.25">
      <c r="X1798" s="65" t="s">
        <v>395</v>
      </c>
    </row>
    <row r="1799" spans="24:24" x14ac:dyDescent="0.25">
      <c r="X1799" s="65" t="s">
        <v>396</v>
      </c>
    </row>
    <row r="1800" spans="24:24" x14ac:dyDescent="0.25">
      <c r="X1800" s="65" t="s">
        <v>397</v>
      </c>
    </row>
    <row r="1801" spans="24:24" x14ac:dyDescent="0.25">
      <c r="X1801" s="65" t="s">
        <v>387</v>
      </c>
    </row>
    <row r="1802" spans="24:24" x14ac:dyDescent="0.25">
      <c r="X1802" s="65" t="s">
        <v>272</v>
      </c>
    </row>
    <row r="1803" spans="24:24" x14ac:dyDescent="0.25">
      <c r="X1803" s="65" t="s">
        <v>388</v>
      </c>
    </row>
    <row r="1804" spans="24:24" x14ac:dyDescent="0.25">
      <c r="X1804" s="65" t="s">
        <v>23</v>
      </c>
    </row>
    <row r="1805" spans="24:24" x14ac:dyDescent="0.25">
      <c r="X1805" s="65" t="s">
        <v>389</v>
      </c>
    </row>
    <row r="1806" spans="24:24" x14ac:dyDescent="0.25">
      <c r="X1806" s="65" t="s">
        <v>390</v>
      </c>
    </row>
    <row r="1807" spans="24:24" x14ac:dyDescent="0.25">
      <c r="X1807" s="65" t="s">
        <v>391</v>
      </c>
    </row>
    <row r="1808" spans="24:24" x14ac:dyDescent="0.25">
      <c r="X1808" s="65" t="s">
        <v>392</v>
      </c>
    </row>
    <row r="1809" spans="24:24" x14ac:dyDescent="0.25">
      <c r="X1809" s="65" t="s">
        <v>393</v>
      </c>
    </row>
    <row r="1810" spans="24:24" x14ac:dyDescent="0.25">
      <c r="X1810" s="65" t="s">
        <v>394</v>
      </c>
    </row>
    <row r="1811" spans="24:24" x14ac:dyDescent="0.25">
      <c r="X1811" s="65" t="s">
        <v>395</v>
      </c>
    </row>
    <row r="1812" spans="24:24" x14ac:dyDescent="0.25">
      <c r="X1812" s="65" t="s">
        <v>396</v>
      </c>
    </row>
    <row r="1813" spans="24:24" x14ac:dyDescent="0.25">
      <c r="X1813" s="65" t="s">
        <v>397</v>
      </c>
    </row>
    <row r="1814" spans="24:24" x14ac:dyDescent="0.25">
      <c r="X1814" s="65" t="s">
        <v>387</v>
      </c>
    </row>
    <row r="1815" spans="24:24" x14ac:dyDescent="0.25">
      <c r="X1815" s="65" t="s">
        <v>272</v>
      </c>
    </row>
    <row r="1816" spans="24:24" x14ac:dyDescent="0.25">
      <c r="X1816" s="65" t="s">
        <v>388</v>
      </c>
    </row>
    <row r="1817" spans="24:24" x14ac:dyDescent="0.25">
      <c r="X1817" s="65" t="s">
        <v>23</v>
      </c>
    </row>
    <row r="1818" spans="24:24" x14ac:dyDescent="0.25">
      <c r="X1818" s="65" t="s">
        <v>389</v>
      </c>
    </row>
    <row r="1819" spans="24:24" x14ac:dyDescent="0.25">
      <c r="X1819" s="65" t="s">
        <v>390</v>
      </c>
    </row>
    <row r="1820" spans="24:24" x14ac:dyDescent="0.25">
      <c r="X1820" s="65" t="s">
        <v>391</v>
      </c>
    </row>
    <row r="1821" spans="24:24" x14ac:dyDescent="0.25">
      <c r="X1821" s="65" t="s">
        <v>392</v>
      </c>
    </row>
    <row r="1822" spans="24:24" x14ac:dyDescent="0.25">
      <c r="X1822" s="65" t="s">
        <v>393</v>
      </c>
    </row>
    <row r="1823" spans="24:24" x14ac:dyDescent="0.25">
      <c r="X1823" s="65" t="s">
        <v>394</v>
      </c>
    </row>
    <row r="1824" spans="24:24" x14ac:dyDescent="0.25">
      <c r="X1824" s="65" t="s">
        <v>395</v>
      </c>
    </row>
    <row r="1825" spans="24:24" x14ac:dyDescent="0.25">
      <c r="X1825" s="65" t="s">
        <v>396</v>
      </c>
    </row>
    <row r="1826" spans="24:24" x14ac:dyDescent="0.25">
      <c r="X1826" s="65" t="s">
        <v>397</v>
      </c>
    </row>
    <row r="1827" spans="24:24" x14ac:dyDescent="0.25">
      <c r="X1827" s="65" t="s">
        <v>387</v>
      </c>
    </row>
    <row r="1828" spans="24:24" x14ac:dyDescent="0.25">
      <c r="X1828" s="65" t="s">
        <v>272</v>
      </c>
    </row>
    <row r="1829" spans="24:24" x14ac:dyDescent="0.25">
      <c r="X1829" s="65" t="s">
        <v>388</v>
      </c>
    </row>
    <row r="1830" spans="24:24" x14ac:dyDescent="0.25">
      <c r="X1830" s="65" t="s">
        <v>23</v>
      </c>
    </row>
    <row r="1831" spans="24:24" x14ac:dyDescent="0.25">
      <c r="X1831" s="65" t="s">
        <v>389</v>
      </c>
    </row>
    <row r="1832" spans="24:24" x14ac:dyDescent="0.25">
      <c r="X1832" s="65" t="s">
        <v>390</v>
      </c>
    </row>
    <row r="1833" spans="24:24" x14ac:dyDescent="0.25">
      <c r="X1833" s="65" t="s">
        <v>391</v>
      </c>
    </row>
    <row r="1834" spans="24:24" x14ac:dyDescent="0.25">
      <c r="X1834" s="65" t="s">
        <v>392</v>
      </c>
    </row>
    <row r="1835" spans="24:24" x14ac:dyDescent="0.25">
      <c r="X1835" s="65" t="s">
        <v>393</v>
      </c>
    </row>
    <row r="1836" spans="24:24" x14ac:dyDescent="0.25">
      <c r="X1836" s="65" t="s">
        <v>394</v>
      </c>
    </row>
    <row r="1837" spans="24:24" x14ac:dyDescent="0.25">
      <c r="X1837" s="65" t="s">
        <v>395</v>
      </c>
    </row>
    <row r="1838" spans="24:24" x14ac:dyDescent="0.25">
      <c r="X1838" s="65" t="s">
        <v>396</v>
      </c>
    </row>
    <row r="1839" spans="24:24" x14ac:dyDescent="0.25">
      <c r="X1839" s="65" t="s">
        <v>397</v>
      </c>
    </row>
    <row r="1840" spans="24:24" x14ac:dyDescent="0.25">
      <c r="X1840" s="65" t="s">
        <v>387</v>
      </c>
    </row>
    <row r="1841" spans="24:24" x14ac:dyDescent="0.25">
      <c r="X1841" s="65" t="s">
        <v>272</v>
      </c>
    </row>
    <row r="1842" spans="24:24" x14ac:dyDescent="0.25">
      <c r="X1842" s="65" t="s">
        <v>388</v>
      </c>
    </row>
    <row r="1843" spans="24:24" x14ac:dyDescent="0.25">
      <c r="X1843" s="65" t="s">
        <v>23</v>
      </c>
    </row>
    <row r="1844" spans="24:24" x14ac:dyDescent="0.25">
      <c r="X1844" s="65" t="s">
        <v>389</v>
      </c>
    </row>
    <row r="1845" spans="24:24" x14ac:dyDescent="0.25">
      <c r="X1845" s="65" t="s">
        <v>390</v>
      </c>
    </row>
    <row r="1846" spans="24:24" x14ac:dyDescent="0.25">
      <c r="X1846" s="65" t="s">
        <v>391</v>
      </c>
    </row>
    <row r="1847" spans="24:24" x14ac:dyDescent="0.25">
      <c r="X1847" s="65" t="s">
        <v>392</v>
      </c>
    </row>
    <row r="1848" spans="24:24" x14ac:dyDescent="0.25">
      <c r="X1848" s="65" t="s">
        <v>393</v>
      </c>
    </row>
    <row r="1849" spans="24:24" x14ac:dyDescent="0.25">
      <c r="X1849" s="65" t="s">
        <v>394</v>
      </c>
    </row>
    <row r="1850" spans="24:24" x14ac:dyDescent="0.25">
      <c r="X1850" s="65" t="s">
        <v>395</v>
      </c>
    </row>
    <row r="1851" spans="24:24" x14ac:dyDescent="0.25">
      <c r="X1851" s="65" t="s">
        <v>396</v>
      </c>
    </row>
    <row r="1852" spans="24:24" x14ac:dyDescent="0.25">
      <c r="X1852" s="65" t="s">
        <v>397</v>
      </c>
    </row>
    <row r="1853" spans="24:24" x14ac:dyDescent="0.25">
      <c r="X1853" s="65" t="s">
        <v>387</v>
      </c>
    </row>
    <row r="1854" spans="24:24" x14ac:dyDescent="0.25">
      <c r="X1854" s="65" t="s">
        <v>272</v>
      </c>
    </row>
    <row r="1855" spans="24:24" x14ac:dyDescent="0.25">
      <c r="X1855" s="65" t="s">
        <v>388</v>
      </c>
    </row>
    <row r="1856" spans="24:24" x14ac:dyDescent="0.25">
      <c r="X1856" s="65" t="s">
        <v>23</v>
      </c>
    </row>
    <row r="1857" spans="24:24" x14ac:dyDescent="0.25">
      <c r="X1857" s="65" t="s">
        <v>389</v>
      </c>
    </row>
    <row r="1858" spans="24:24" x14ac:dyDescent="0.25">
      <c r="X1858" s="65" t="s">
        <v>390</v>
      </c>
    </row>
    <row r="1859" spans="24:24" x14ac:dyDescent="0.25">
      <c r="X1859" s="65" t="s">
        <v>391</v>
      </c>
    </row>
    <row r="1860" spans="24:24" x14ac:dyDescent="0.25">
      <c r="X1860" s="65" t="s">
        <v>392</v>
      </c>
    </row>
    <row r="1861" spans="24:24" x14ac:dyDescent="0.25">
      <c r="X1861" s="65" t="s">
        <v>393</v>
      </c>
    </row>
    <row r="1862" spans="24:24" x14ac:dyDescent="0.25">
      <c r="X1862" s="65" t="s">
        <v>394</v>
      </c>
    </row>
    <row r="1863" spans="24:24" x14ac:dyDescent="0.25">
      <c r="X1863" s="65" t="s">
        <v>395</v>
      </c>
    </row>
    <row r="1864" spans="24:24" x14ac:dyDescent="0.25">
      <c r="X1864" s="65" t="s">
        <v>396</v>
      </c>
    </row>
    <row r="1865" spans="24:24" x14ac:dyDescent="0.25">
      <c r="X1865" s="65" t="s">
        <v>397</v>
      </c>
    </row>
    <row r="1866" spans="24:24" x14ac:dyDescent="0.25">
      <c r="X1866" s="65" t="s">
        <v>387</v>
      </c>
    </row>
    <row r="1867" spans="24:24" x14ac:dyDescent="0.25">
      <c r="X1867" s="65" t="s">
        <v>272</v>
      </c>
    </row>
    <row r="1868" spans="24:24" x14ac:dyDescent="0.25">
      <c r="X1868" s="65" t="s">
        <v>388</v>
      </c>
    </row>
    <row r="1869" spans="24:24" x14ac:dyDescent="0.25">
      <c r="X1869" s="65" t="s">
        <v>23</v>
      </c>
    </row>
    <row r="1870" spans="24:24" x14ac:dyDescent="0.25">
      <c r="X1870" s="65" t="s">
        <v>389</v>
      </c>
    </row>
    <row r="1871" spans="24:24" x14ac:dyDescent="0.25">
      <c r="X1871" s="65" t="s">
        <v>390</v>
      </c>
    </row>
    <row r="1872" spans="24:24" x14ac:dyDescent="0.25">
      <c r="X1872" s="65" t="s">
        <v>391</v>
      </c>
    </row>
    <row r="1873" spans="24:24" x14ac:dyDescent="0.25">
      <c r="X1873" s="65" t="s">
        <v>392</v>
      </c>
    </row>
    <row r="1874" spans="24:24" x14ac:dyDescent="0.25">
      <c r="X1874" s="65" t="s">
        <v>393</v>
      </c>
    </row>
    <row r="1875" spans="24:24" x14ac:dyDescent="0.25">
      <c r="X1875" s="65" t="s">
        <v>394</v>
      </c>
    </row>
    <row r="1876" spans="24:24" x14ac:dyDescent="0.25">
      <c r="X1876" s="65" t="s">
        <v>395</v>
      </c>
    </row>
    <row r="1877" spans="24:24" x14ac:dyDescent="0.25">
      <c r="X1877" s="65" t="s">
        <v>396</v>
      </c>
    </row>
    <row r="1878" spans="24:24" x14ac:dyDescent="0.25">
      <c r="X1878" s="65" t="s">
        <v>397</v>
      </c>
    </row>
    <row r="1879" spans="24:24" x14ac:dyDescent="0.25">
      <c r="X1879" s="65" t="s">
        <v>387</v>
      </c>
    </row>
    <row r="1880" spans="24:24" x14ac:dyDescent="0.25">
      <c r="X1880" s="65" t="s">
        <v>272</v>
      </c>
    </row>
    <row r="1881" spans="24:24" x14ac:dyDescent="0.25">
      <c r="X1881" s="65" t="s">
        <v>388</v>
      </c>
    </row>
    <row r="1882" spans="24:24" x14ac:dyDescent="0.25">
      <c r="X1882" s="65" t="s">
        <v>23</v>
      </c>
    </row>
    <row r="1883" spans="24:24" x14ac:dyDescent="0.25">
      <c r="X1883" s="65" t="s">
        <v>389</v>
      </c>
    </row>
    <row r="1884" spans="24:24" x14ac:dyDescent="0.25">
      <c r="X1884" s="65" t="s">
        <v>390</v>
      </c>
    </row>
    <row r="1885" spans="24:24" x14ac:dyDescent="0.25">
      <c r="X1885" s="65" t="s">
        <v>391</v>
      </c>
    </row>
    <row r="1886" spans="24:24" x14ac:dyDescent="0.25">
      <c r="X1886" s="65" t="s">
        <v>392</v>
      </c>
    </row>
    <row r="1887" spans="24:24" x14ac:dyDescent="0.25">
      <c r="X1887" s="65" t="s">
        <v>393</v>
      </c>
    </row>
    <row r="1888" spans="24:24" x14ac:dyDescent="0.25">
      <c r="X1888" s="65" t="s">
        <v>394</v>
      </c>
    </row>
    <row r="1889" spans="24:24" x14ac:dyDescent="0.25">
      <c r="X1889" s="65" t="s">
        <v>395</v>
      </c>
    </row>
    <row r="1890" spans="24:24" x14ac:dyDescent="0.25">
      <c r="X1890" s="65" t="s">
        <v>396</v>
      </c>
    </row>
    <row r="1891" spans="24:24" x14ac:dyDescent="0.25">
      <c r="X1891" s="65" t="s">
        <v>397</v>
      </c>
    </row>
    <row r="1892" spans="24:24" x14ac:dyDescent="0.25">
      <c r="X1892" s="65" t="s">
        <v>387</v>
      </c>
    </row>
    <row r="1893" spans="24:24" x14ac:dyDescent="0.25">
      <c r="X1893" s="65" t="s">
        <v>272</v>
      </c>
    </row>
    <row r="1894" spans="24:24" x14ac:dyDescent="0.25">
      <c r="X1894" s="65" t="s">
        <v>388</v>
      </c>
    </row>
    <row r="1895" spans="24:24" x14ac:dyDescent="0.25">
      <c r="X1895" s="65" t="s">
        <v>23</v>
      </c>
    </row>
    <row r="1896" spans="24:24" x14ac:dyDescent="0.25">
      <c r="X1896" s="65" t="s">
        <v>389</v>
      </c>
    </row>
    <row r="1897" spans="24:24" x14ac:dyDescent="0.25">
      <c r="X1897" s="65" t="s">
        <v>390</v>
      </c>
    </row>
    <row r="1898" spans="24:24" x14ac:dyDescent="0.25">
      <c r="X1898" s="65" t="s">
        <v>391</v>
      </c>
    </row>
    <row r="1899" spans="24:24" x14ac:dyDescent="0.25">
      <c r="X1899" s="65" t="s">
        <v>392</v>
      </c>
    </row>
    <row r="1900" spans="24:24" x14ac:dyDescent="0.25">
      <c r="X1900" s="65" t="s">
        <v>393</v>
      </c>
    </row>
    <row r="1901" spans="24:24" x14ac:dyDescent="0.25">
      <c r="X1901" s="65" t="s">
        <v>394</v>
      </c>
    </row>
    <row r="1902" spans="24:24" x14ac:dyDescent="0.25">
      <c r="X1902" s="65" t="s">
        <v>395</v>
      </c>
    </row>
    <row r="1903" spans="24:24" x14ac:dyDescent="0.25">
      <c r="X1903" s="65" t="s">
        <v>396</v>
      </c>
    </row>
    <row r="1904" spans="24:24" x14ac:dyDescent="0.25">
      <c r="X1904" s="65" t="s">
        <v>397</v>
      </c>
    </row>
    <row r="1905" spans="24:24" x14ac:dyDescent="0.25">
      <c r="X1905" s="65" t="s">
        <v>387</v>
      </c>
    </row>
    <row r="1906" spans="24:24" x14ac:dyDescent="0.25">
      <c r="X1906" s="65" t="s">
        <v>272</v>
      </c>
    </row>
    <row r="1907" spans="24:24" x14ac:dyDescent="0.25">
      <c r="X1907" s="65" t="s">
        <v>388</v>
      </c>
    </row>
    <row r="1908" spans="24:24" x14ac:dyDescent="0.25">
      <c r="X1908" s="65" t="s">
        <v>23</v>
      </c>
    </row>
    <row r="1909" spans="24:24" x14ac:dyDescent="0.25">
      <c r="X1909" s="65" t="s">
        <v>389</v>
      </c>
    </row>
    <row r="1910" spans="24:24" x14ac:dyDescent="0.25">
      <c r="X1910" s="65" t="s">
        <v>390</v>
      </c>
    </row>
    <row r="1911" spans="24:24" x14ac:dyDescent="0.25">
      <c r="X1911" s="65" t="s">
        <v>391</v>
      </c>
    </row>
    <row r="1912" spans="24:24" x14ac:dyDescent="0.25">
      <c r="X1912" s="65" t="s">
        <v>392</v>
      </c>
    </row>
    <row r="1913" spans="24:24" x14ac:dyDescent="0.25">
      <c r="X1913" s="65" t="s">
        <v>393</v>
      </c>
    </row>
    <row r="1914" spans="24:24" x14ac:dyDescent="0.25">
      <c r="X1914" s="65" t="s">
        <v>394</v>
      </c>
    </row>
    <row r="1915" spans="24:24" x14ac:dyDescent="0.25">
      <c r="X1915" s="65" t="s">
        <v>395</v>
      </c>
    </row>
    <row r="1916" spans="24:24" x14ac:dyDescent="0.25">
      <c r="X1916" s="65" t="s">
        <v>396</v>
      </c>
    </row>
    <row r="1917" spans="24:24" x14ac:dyDescent="0.25">
      <c r="X1917" s="65" t="s">
        <v>397</v>
      </c>
    </row>
    <row r="1918" spans="24:24" x14ac:dyDescent="0.25">
      <c r="X1918" s="65" t="s">
        <v>387</v>
      </c>
    </row>
    <row r="1919" spans="24:24" x14ac:dyDescent="0.25">
      <c r="X1919" s="65" t="s">
        <v>272</v>
      </c>
    </row>
    <row r="1920" spans="24:24" x14ac:dyDescent="0.25">
      <c r="X1920" s="65" t="s">
        <v>388</v>
      </c>
    </row>
    <row r="1921" spans="24:24" x14ac:dyDescent="0.25">
      <c r="X1921" s="65" t="s">
        <v>23</v>
      </c>
    </row>
    <row r="1922" spans="24:24" x14ac:dyDescent="0.25">
      <c r="X1922" s="65" t="s">
        <v>389</v>
      </c>
    </row>
    <row r="1923" spans="24:24" x14ac:dyDescent="0.25">
      <c r="X1923" s="65" t="s">
        <v>390</v>
      </c>
    </row>
    <row r="1924" spans="24:24" x14ac:dyDescent="0.25">
      <c r="X1924" s="65" t="s">
        <v>391</v>
      </c>
    </row>
    <row r="1925" spans="24:24" x14ac:dyDescent="0.25">
      <c r="X1925" s="65" t="s">
        <v>392</v>
      </c>
    </row>
    <row r="1926" spans="24:24" x14ac:dyDescent="0.25">
      <c r="X1926" s="65" t="s">
        <v>393</v>
      </c>
    </row>
    <row r="1927" spans="24:24" x14ac:dyDescent="0.25">
      <c r="X1927" s="65" t="s">
        <v>394</v>
      </c>
    </row>
    <row r="1928" spans="24:24" x14ac:dyDescent="0.25">
      <c r="X1928" s="65" t="s">
        <v>395</v>
      </c>
    </row>
    <row r="1929" spans="24:24" x14ac:dyDescent="0.25">
      <c r="X1929" s="65" t="s">
        <v>396</v>
      </c>
    </row>
    <row r="1930" spans="24:24" x14ac:dyDescent="0.25">
      <c r="X1930" s="65" t="s">
        <v>397</v>
      </c>
    </row>
    <row r="1931" spans="24:24" x14ac:dyDescent="0.25">
      <c r="X1931" s="65" t="s">
        <v>387</v>
      </c>
    </row>
    <row r="1932" spans="24:24" x14ac:dyDescent="0.25">
      <c r="X1932" s="65" t="s">
        <v>272</v>
      </c>
    </row>
    <row r="1933" spans="24:24" x14ac:dyDescent="0.25">
      <c r="X1933" s="65" t="s">
        <v>388</v>
      </c>
    </row>
    <row r="1934" spans="24:24" x14ac:dyDescent="0.25">
      <c r="X1934" s="65" t="s">
        <v>23</v>
      </c>
    </row>
    <row r="1935" spans="24:24" x14ac:dyDescent="0.25">
      <c r="X1935" s="65" t="s">
        <v>389</v>
      </c>
    </row>
    <row r="1936" spans="24:24" x14ac:dyDescent="0.25">
      <c r="X1936" s="65" t="s">
        <v>390</v>
      </c>
    </row>
    <row r="1937" spans="24:24" x14ac:dyDescent="0.25">
      <c r="X1937" s="65" t="s">
        <v>391</v>
      </c>
    </row>
    <row r="1938" spans="24:24" x14ac:dyDescent="0.25">
      <c r="X1938" s="65" t="s">
        <v>392</v>
      </c>
    </row>
    <row r="1939" spans="24:24" x14ac:dyDescent="0.25">
      <c r="X1939" s="65" t="s">
        <v>393</v>
      </c>
    </row>
    <row r="1940" spans="24:24" x14ac:dyDescent="0.25">
      <c r="X1940" s="65" t="s">
        <v>394</v>
      </c>
    </row>
    <row r="1941" spans="24:24" x14ac:dyDescent="0.25">
      <c r="X1941" s="65" t="s">
        <v>395</v>
      </c>
    </row>
    <row r="1942" spans="24:24" x14ac:dyDescent="0.25">
      <c r="X1942" s="65" t="s">
        <v>396</v>
      </c>
    </row>
    <row r="1943" spans="24:24" x14ac:dyDescent="0.25">
      <c r="X1943" s="65" t="s">
        <v>397</v>
      </c>
    </row>
    <row r="1944" spans="24:24" x14ac:dyDescent="0.25">
      <c r="X1944" s="65" t="s">
        <v>387</v>
      </c>
    </row>
    <row r="1945" spans="24:24" x14ac:dyDescent="0.25">
      <c r="X1945" s="65" t="s">
        <v>272</v>
      </c>
    </row>
    <row r="1946" spans="24:24" x14ac:dyDescent="0.25">
      <c r="X1946" s="65" t="s">
        <v>388</v>
      </c>
    </row>
    <row r="1947" spans="24:24" x14ac:dyDescent="0.25">
      <c r="X1947" s="65" t="s">
        <v>23</v>
      </c>
    </row>
    <row r="1948" spans="24:24" x14ac:dyDescent="0.25">
      <c r="X1948" s="65" t="s">
        <v>389</v>
      </c>
    </row>
    <row r="1949" spans="24:24" x14ac:dyDescent="0.25">
      <c r="X1949" s="65" t="s">
        <v>390</v>
      </c>
    </row>
    <row r="1950" spans="24:24" x14ac:dyDescent="0.25">
      <c r="X1950" s="65" t="s">
        <v>391</v>
      </c>
    </row>
    <row r="1951" spans="24:24" x14ac:dyDescent="0.25">
      <c r="X1951" s="65" t="s">
        <v>392</v>
      </c>
    </row>
    <row r="1952" spans="24:24" x14ac:dyDescent="0.25">
      <c r="X1952" s="65" t="s">
        <v>393</v>
      </c>
    </row>
    <row r="1953" spans="24:24" x14ac:dyDescent="0.25">
      <c r="X1953" s="65" t="s">
        <v>394</v>
      </c>
    </row>
    <row r="1954" spans="24:24" x14ac:dyDescent="0.25">
      <c r="X1954" s="65" t="s">
        <v>395</v>
      </c>
    </row>
    <row r="1955" spans="24:24" x14ac:dyDescent="0.25">
      <c r="X1955" s="65" t="s">
        <v>396</v>
      </c>
    </row>
    <row r="1956" spans="24:24" x14ac:dyDescent="0.25">
      <c r="X1956" s="65" t="s">
        <v>397</v>
      </c>
    </row>
    <row r="1957" spans="24:24" x14ac:dyDescent="0.25">
      <c r="X1957" s="65" t="s">
        <v>387</v>
      </c>
    </row>
    <row r="1958" spans="24:24" x14ac:dyDescent="0.25">
      <c r="X1958" s="65" t="s">
        <v>272</v>
      </c>
    </row>
    <row r="1959" spans="24:24" x14ac:dyDescent="0.25">
      <c r="X1959" s="65" t="s">
        <v>388</v>
      </c>
    </row>
    <row r="1960" spans="24:24" x14ac:dyDescent="0.25">
      <c r="X1960" s="65" t="s">
        <v>23</v>
      </c>
    </row>
    <row r="1961" spans="24:24" x14ac:dyDescent="0.25">
      <c r="X1961" s="65" t="s">
        <v>389</v>
      </c>
    </row>
    <row r="1962" spans="24:24" x14ac:dyDescent="0.25">
      <c r="X1962" s="65" t="s">
        <v>390</v>
      </c>
    </row>
    <row r="1963" spans="24:24" x14ac:dyDescent="0.25">
      <c r="X1963" s="65" t="s">
        <v>391</v>
      </c>
    </row>
    <row r="1964" spans="24:24" x14ac:dyDescent="0.25">
      <c r="X1964" s="65" t="s">
        <v>392</v>
      </c>
    </row>
    <row r="1965" spans="24:24" x14ac:dyDescent="0.25">
      <c r="X1965" s="65" t="s">
        <v>393</v>
      </c>
    </row>
    <row r="1966" spans="24:24" x14ac:dyDescent="0.25">
      <c r="X1966" s="65" t="s">
        <v>394</v>
      </c>
    </row>
    <row r="1967" spans="24:24" x14ac:dyDescent="0.25">
      <c r="X1967" s="65" t="s">
        <v>395</v>
      </c>
    </row>
    <row r="1968" spans="24:24" x14ac:dyDescent="0.25">
      <c r="X1968" s="65" t="s">
        <v>396</v>
      </c>
    </row>
    <row r="1969" spans="24:24" x14ac:dyDescent="0.25">
      <c r="X1969" s="65" t="s">
        <v>397</v>
      </c>
    </row>
    <row r="1970" spans="24:24" x14ac:dyDescent="0.25">
      <c r="X1970" s="65" t="s">
        <v>387</v>
      </c>
    </row>
    <row r="1971" spans="24:24" x14ac:dyDescent="0.25">
      <c r="X1971" s="65" t="s">
        <v>272</v>
      </c>
    </row>
    <row r="1972" spans="24:24" x14ac:dyDescent="0.25">
      <c r="X1972" s="65" t="s">
        <v>388</v>
      </c>
    </row>
    <row r="1973" spans="24:24" x14ac:dyDescent="0.25">
      <c r="X1973" s="65" t="s">
        <v>23</v>
      </c>
    </row>
    <row r="1974" spans="24:24" x14ac:dyDescent="0.25">
      <c r="X1974" s="65" t="s">
        <v>389</v>
      </c>
    </row>
    <row r="1975" spans="24:24" x14ac:dyDescent="0.25">
      <c r="X1975" s="65" t="s">
        <v>390</v>
      </c>
    </row>
    <row r="1976" spans="24:24" x14ac:dyDescent="0.25">
      <c r="X1976" s="65" t="s">
        <v>391</v>
      </c>
    </row>
    <row r="1977" spans="24:24" x14ac:dyDescent="0.25">
      <c r="X1977" s="65" t="s">
        <v>392</v>
      </c>
    </row>
    <row r="1978" spans="24:24" x14ac:dyDescent="0.25">
      <c r="X1978" s="65" t="s">
        <v>393</v>
      </c>
    </row>
    <row r="1979" spans="24:24" x14ac:dyDescent="0.25">
      <c r="X1979" s="65" t="s">
        <v>394</v>
      </c>
    </row>
    <row r="1980" spans="24:24" x14ac:dyDescent="0.25">
      <c r="X1980" s="65" t="s">
        <v>395</v>
      </c>
    </row>
    <row r="1981" spans="24:24" x14ac:dyDescent="0.25">
      <c r="X1981" s="65" t="s">
        <v>396</v>
      </c>
    </row>
    <row r="1982" spans="24:24" x14ac:dyDescent="0.25">
      <c r="X1982" s="65" t="s">
        <v>397</v>
      </c>
    </row>
    <row r="1983" spans="24:24" x14ac:dyDescent="0.25">
      <c r="X1983" s="65" t="s">
        <v>387</v>
      </c>
    </row>
    <row r="1984" spans="24:24" x14ac:dyDescent="0.25">
      <c r="X1984" s="65" t="s">
        <v>272</v>
      </c>
    </row>
    <row r="1985" spans="24:24" x14ac:dyDescent="0.25">
      <c r="X1985" s="65" t="s">
        <v>388</v>
      </c>
    </row>
    <row r="1986" spans="24:24" x14ac:dyDescent="0.25">
      <c r="X1986" s="65" t="s">
        <v>23</v>
      </c>
    </row>
    <row r="1987" spans="24:24" x14ac:dyDescent="0.25">
      <c r="X1987" s="65" t="s">
        <v>389</v>
      </c>
    </row>
    <row r="1988" spans="24:24" x14ac:dyDescent="0.25">
      <c r="X1988" s="65" t="s">
        <v>390</v>
      </c>
    </row>
    <row r="1989" spans="24:24" x14ac:dyDescent="0.25">
      <c r="X1989" s="65" t="s">
        <v>391</v>
      </c>
    </row>
    <row r="1990" spans="24:24" x14ac:dyDescent="0.25">
      <c r="X1990" s="65" t="s">
        <v>392</v>
      </c>
    </row>
    <row r="1991" spans="24:24" x14ac:dyDescent="0.25">
      <c r="X1991" s="65" t="s">
        <v>393</v>
      </c>
    </row>
    <row r="1992" spans="24:24" x14ac:dyDescent="0.25">
      <c r="X1992" s="65" t="s">
        <v>394</v>
      </c>
    </row>
    <row r="1993" spans="24:24" x14ac:dyDescent="0.25">
      <c r="X1993" s="65" t="s">
        <v>395</v>
      </c>
    </row>
    <row r="1994" spans="24:24" x14ac:dyDescent="0.25">
      <c r="X1994" s="65" t="s">
        <v>396</v>
      </c>
    </row>
    <row r="1995" spans="24:24" x14ac:dyDescent="0.25">
      <c r="X1995" s="65" t="s">
        <v>397</v>
      </c>
    </row>
    <row r="1996" spans="24:24" x14ac:dyDescent="0.25">
      <c r="X1996" s="65" t="s">
        <v>387</v>
      </c>
    </row>
    <row r="1997" spans="24:24" x14ac:dyDescent="0.25">
      <c r="X1997" s="65" t="s">
        <v>272</v>
      </c>
    </row>
    <row r="1998" spans="24:24" x14ac:dyDescent="0.25">
      <c r="X1998" s="65" t="s">
        <v>388</v>
      </c>
    </row>
    <row r="1999" spans="24:24" x14ac:dyDescent="0.25">
      <c r="X1999" s="65" t="s">
        <v>23</v>
      </c>
    </row>
    <row r="2000" spans="24:24" x14ac:dyDescent="0.25">
      <c r="X2000" s="65" t="s">
        <v>389</v>
      </c>
    </row>
    <row r="2001" spans="24:24" x14ac:dyDescent="0.25">
      <c r="X2001" s="65" t="s">
        <v>390</v>
      </c>
    </row>
    <row r="2002" spans="24:24" x14ac:dyDescent="0.25">
      <c r="X2002" s="65" t="s">
        <v>391</v>
      </c>
    </row>
    <row r="2003" spans="24:24" x14ac:dyDescent="0.25">
      <c r="X2003" s="65" t="s">
        <v>392</v>
      </c>
    </row>
    <row r="2004" spans="24:24" x14ac:dyDescent="0.25">
      <c r="X2004" s="65" t="s">
        <v>393</v>
      </c>
    </row>
    <row r="2005" spans="24:24" x14ac:dyDescent="0.25">
      <c r="X2005" s="65" t="s">
        <v>394</v>
      </c>
    </row>
    <row r="2006" spans="24:24" x14ac:dyDescent="0.25">
      <c r="X2006" s="65" t="s">
        <v>395</v>
      </c>
    </row>
    <row r="2007" spans="24:24" x14ac:dyDescent="0.25">
      <c r="X2007" s="65" t="s">
        <v>396</v>
      </c>
    </row>
    <row r="2008" spans="24:24" x14ac:dyDescent="0.25">
      <c r="X2008" s="65" t="s">
        <v>397</v>
      </c>
    </row>
    <row r="2009" spans="24:24" x14ac:dyDescent="0.25">
      <c r="X2009" s="65" t="s">
        <v>387</v>
      </c>
    </row>
    <row r="2010" spans="24:24" x14ac:dyDescent="0.25">
      <c r="X2010" s="65" t="s">
        <v>272</v>
      </c>
    </row>
    <row r="2011" spans="24:24" x14ac:dyDescent="0.25">
      <c r="X2011" s="65" t="s">
        <v>388</v>
      </c>
    </row>
    <row r="2012" spans="24:24" x14ac:dyDescent="0.25">
      <c r="X2012" s="65" t="s">
        <v>23</v>
      </c>
    </row>
    <row r="2013" spans="24:24" x14ac:dyDescent="0.25">
      <c r="X2013" s="65" t="s">
        <v>389</v>
      </c>
    </row>
    <row r="2014" spans="24:24" x14ac:dyDescent="0.25">
      <c r="X2014" s="65" t="s">
        <v>390</v>
      </c>
    </row>
    <row r="2015" spans="24:24" x14ac:dyDescent="0.25">
      <c r="X2015" s="65" t="s">
        <v>391</v>
      </c>
    </row>
    <row r="2016" spans="24:24" x14ac:dyDescent="0.25">
      <c r="X2016" s="65" t="s">
        <v>392</v>
      </c>
    </row>
    <row r="2017" spans="24:24" x14ac:dyDescent="0.25">
      <c r="X2017" s="65" t="s">
        <v>393</v>
      </c>
    </row>
    <row r="2018" spans="24:24" x14ac:dyDescent="0.25">
      <c r="X2018" s="65" t="s">
        <v>394</v>
      </c>
    </row>
    <row r="2019" spans="24:24" x14ac:dyDescent="0.25">
      <c r="X2019" s="65" t="s">
        <v>395</v>
      </c>
    </row>
    <row r="2020" spans="24:24" x14ac:dyDescent="0.25">
      <c r="X2020" s="65" t="s">
        <v>396</v>
      </c>
    </row>
    <row r="2021" spans="24:24" x14ac:dyDescent="0.25">
      <c r="X2021" s="65" t="s">
        <v>397</v>
      </c>
    </row>
    <row r="2022" spans="24:24" x14ac:dyDescent="0.25">
      <c r="X2022" s="65" t="s">
        <v>387</v>
      </c>
    </row>
    <row r="2023" spans="24:24" x14ac:dyDescent="0.25">
      <c r="X2023" s="65" t="s">
        <v>272</v>
      </c>
    </row>
    <row r="2024" spans="24:24" x14ac:dyDescent="0.25">
      <c r="X2024" s="65" t="s">
        <v>388</v>
      </c>
    </row>
    <row r="2025" spans="24:24" x14ac:dyDescent="0.25">
      <c r="X2025" s="65" t="s">
        <v>23</v>
      </c>
    </row>
    <row r="2026" spans="24:24" x14ac:dyDescent="0.25">
      <c r="X2026" s="65" t="s">
        <v>389</v>
      </c>
    </row>
    <row r="2027" spans="24:24" x14ac:dyDescent="0.25">
      <c r="X2027" s="65" t="s">
        <v>390</v>
      </c>
    </row>
    <row r="2028" spans="24:24" x14ac:dyDescent="0.25">
      <c r="X2028" s="65" t="s">
        <v>391</v>
      </c>
    </row>
    <row r="2029" spans="24:24" x14ac:dyDescent="0.25">
      <c r="X2029" s="65" t="s">
        <v>392</v>
      </c>
    </row>
    <row r="2030" spans="24:24" x14ac:dyDescent="0.25">
      <c r="X2030" s="65" t="s">
        <v>393</v>
      </c>
    </row>
    <row r="2031" spans="24:24" x14ac:dyDescent="0.25">
      <c r="X2031" s="65" t="s">
        <v>394</v>
      </c>
    </row>
    <row r="2032" spans="24:24" x14ac:dyDescent="0.25">
      <c r="X2032" s="65" t="s">
        <v>395</v>
      </c>
    </row>
    <row r="2033" spans="24:24" x14ac:dyDescent="0.25">
      <c r="X2033" s="65" t="s">
        <v>396</v>
      </c>
    </row>
    <row r="2034" spans="24:24" x14ac:dyDescent="0.25">
      <c r="X2034" s="65" t="s">
        <v>397</v>
      </c>
    </row>
    <row r="2035" spans="24:24" x14ac:dyDescent="0.25">
      <c r="X2035" s="65" t="s">
        <v>387</v>
      </c>
    </row>
    <row r="2036" spans="24:24" x14ac:dyDescent="0.25">
      <c r="X2036" s="65" t="s">
        <v>272</v>
      </c>
    </row>
    <row r="2037" spans="24:24" x14ac:dyDescent="0.25">
      <c r="X2037" s="65" t="s">
        <v>388</v>
      </c>
    </row>
    <row r="2038" spans="24:24" x14ac:dyDescent="0.25">
      <c r="X2038" s="65" t="s">
        <v>23</v>
      </c>
    </row>
    <row r="2039" spans="24:24" x14ac:dyDescent="0.25">
      <c r="X2039" s="65" t="s">
        <v>389</v>
      </c>
    </row>
    <row r="2040" spans="24:24" x14ac:dyDescent="0.25">
      <c r="X2040" s="65" t="s">
        <v>390</v>
      </c>
    </row>
    <row r="2041" spans="24:24" x14ac:dyDescent="0.25">
      <c r="X2041" s="65" t="s">
        <v>391</v>
      </c>
    </row>
    <row r="2042" spans="24:24" x14ac:dyDescent="0.25">
      <c r="X2042" s="65" t="s">
        <v>392</v>
      </c>
    </row>
    <row r="2043" spans="24:24" x14ac:dyDescent="0.25">
      <c r="X2043" s="65" t="s">
        <v>393</v>
      </c>
    </row>
    <row r="2044" spans="24:24" x14ac:dyDescent="0.25">
      <c r="X2044" s="65" t="s">
        <v>394</v>
      </c>
    </row>
    <row r="2045" spans="24:24" x14ac:dyDescent="0.25">
      <c r="X2045" s="65" t="s">
        <v>395</v>
      </c>
    </row>
    <row r="2046" spans="24:24" x14ac:dyDescent="0.25">
      <c r="X2046" s="65" t="s">
        <v>396</v>
      </c>
    </row>
    <row r="2047" spans="24:24" x14ac:dyDescent="0.25">
      <c r="X2047" s="65" t="s">
        <v>397</v>
      </c>
    </row>
  </sheetData>
  <autoFilter ref="A10:N1037"/>
  <mergeCells count="10">
    <mergeCell ref="J3:J7"/>
    <mergeCell ref="K3:K7"/>
    <mergeCell ref="L3:L7"/>
    <mergeCell ref="M3:M7"/>
    <mergeCell ref="C3:C7"/>
    <mergeCell ref="D3:D7"/>
    <mergeCell ref="E3:E7"/>
    <mergeCell ref="G3:G7"/>
    <mergeCell ref="H3:H7"/>
    <mergeCell ref="I3:I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N438"/>
  <sheetViews>
    <sheetView workbookViewId="0">
      <selection activeCell="F12" sqref="F12"/>
    </sheetView>
  </sheetViews>
  <sheetFormatPr defaultRowHeight="15" x14ac:dyDescent="0.25"/>
  <cols>
    <col min="1" max="1" width="26.42578125" customWidth="1"/>
    <col min="2" max="2" width="15" customWidth="1"/>
    <col min="3" max="3" width="22.140625" style="7" customWidth="1"/>
    <col min="4" max="4" width="19.28515625" style="7" customWidth="1"/>
    <col min="5" max="5" width="19.7109375" style="7" customWidth="1"/>
    <col min="6" max="6" width="34.5703125" style="7" bestFit="1" customWidth="1"/>
    <col min="7" max="8" width="18.7109375" style="7" customWidth="1"/>
    <col min="9" max="9" width="20" style="7" customWidth="1"/>
    <col min="10" max="11" width="20" style="30" customWidth="1"/>
    <col min="12" max="12" width="20.5703125" style="79" customWidth="1"/>
    <col min="13" max="13" width="18" style="5" bestFit="1" customWidth="1"/>
    <col min="14" max="14" width="7.5703125" style="2" customWidth="1"/>
    <col min="15" max="16384" width="9.140625" style="2"/>
  </cols>
  <sheetData>
    <row r="1" spans="1:14" x14ac:dyDescent="0.25">
      <c r="C1" s="7">
        <f>SUBTOTAL(9,C3:C438)</f>
        <v>4089825555492</v>
      </c>
      <c r="D1" s="7">
        <f t="shared" ref="D1:J1" si="0">SUBTOTAL(9,D3:D438)</f>
        <v>1743056668390</v>
      </c>
      <c r="E1" s="7">
        <f t="shared" si="0"/>
        <v>144366636795.40002</v>
      </c>
      <c r="F1" s="7">
        <f t="shared" si="0"/>
        <v>-42391730336.959991</v>
      </c>
      <c r="G1" s="7">
        <f t="shared" si="0"/>
        <v>1035941980257.8601</v>
      </c>
      <c r="H1" s="7">
        <f t="shared" si="0"/>
        <v>122694766664.76001</v>
      </c>
      <c r="I1" s="7">
        <f t="shared" si="0"/>
        <v>1086157233720.9402</v>
      </c>
      <c r="J1" s="7">
        <f t="shared" si="0"/>
        <v>2127168420</v>
      </c>
      <c r="K1" s="7"/>
    </row>
    <row r="2" spans="1:14" x14ac:dyDescent="0.25">
      <c r="A2" s="1" t="s">
        <v>40</v>
      </c>
      <c r="B2" s="1" t="s">
        <v>41</v>
      </c>
      <c r="C2" s="4" t="s">
        <v>132</v>
      </c>
      <c r="D2" s="4" t="s">
        <v>133</v>
      </c>
      <c r="E2" s="4" t="s">
        <v>42</v>
      </c>
      <c r="F2" s="4" t="s">
        <v>134</v>
      </c>
      <c r="G2" s="4" t="s">
        <v>43</v>
      </c>
      <c r="H2" s="34" t="s">
        <v>427</v>
      </c>
      <c r="I2" s="4" t="s">
        <v>44</v>
      </c>
      <c r="J2" s="112" t="s">
        <v>1474</v>
      </c>
      <c r="K2" s="112"/>
      <c r="L2" s="79" t="s">
        <v>419</v>
      </c>
      <c r="M2" s="5" t="s">
        <v>420</v>
      </c>
      <c r="N2" s="90">
        <f>SUM(N3:N435)</f>
        <v>2.4865677355555817</v>
      </c>
    </row>
    <row r="3" spans="1:14" x14ac:dyDescent="0.25">
      <c r="A3" s="123" t="s">
        <v>82</v>
      </c>
      <c r="B3" s="15" t="s">
        <v>45</v>
      </c>
      <c r="C3" s="132">
        <v>17997611630</v>
      </c>
      <c r="D3" s="132">
        <v>10603107216</v>
      </c>
      <c r="E3" s="132">
        <v>-1638697634.25</v>
      </c>
      <c r="F3" s="132">
        <v>1048281496</v>
      </c>
      <c r="G3" s="132">
        <v>6395881276</v>
      </c>
      <c r="H3" s="132">
        <v>539928348.89999998</v>
      </c>
      <c r="I3" s="132">
        <v>1049110927.35</v>
      </c>
      <c r="J3" s="113">
        <f>SUMIFS(PGĐ!$H:$H,PGĐ!$F:$F, "="&amp;B3, PGĐ!$I:$I, "="&amp;'HQ1'!A3)</f>
        <v>0</v>
      </c>
      <c r="K3" s="113"/>
      <c r="L3" s="78">
        <f>(D3+F3)/(C3-E3)</f>
        <v>0.59335940146413346</v>
      </c>
      <c r="M3" s="5">
        <f>SUMIFS(ĐMCP!$Q:$Q,ĐMCP!$P:$P, "="&amp;'HQ1'!B3,ĐMCP!$O:$O, "="&amp;'HQ1'!A3)</f>
        <v>0</v>
      </c>
      <c r="N3" s="89">
        <f t="shared" ref="N3:N66" si="1">IF(M3=0,0,G3-M3)</f>
        <v>0</v>
      </c>
    </row>
    <row r="4" spans="1:14" x14ac:dyDescent="0.25">
      <c r="A4" s="123" t="s">
        <v>82</v>
      </c>
      <c r="B4" s="16" t="s">
        <v>135</v>
      </c>
      <c r="C4" s="7">
        <v>8390624609</v>
      </c>
      <c r="D4" s="7">
        <v>7008590701</v>
      </c>
      <c r="E4" s="7">
        <v>-1850499657.25</v>
      </c>
      <c r="F4" s="7">
        <v>-1000000</v>
      </c>
      <c r="G4" s="7">
        <v>2550808267</v>
      </c>
      <c r="H4" s="7">
        <v>251718738.26999998</v>
      </c>
      <c r="I4" s="7">
        <v>431006559.98000002</v>
      </c>
      <c r="J4" s="113">
        <f>SUMIFS(PGĐ!$H:$H,PGĐ!$F:$F, "="&amp;B4, PGĐ!$I:$I, "="&amp;'HQ1'!A4)</f>
        <v>1400000</v>
      </c>
      <c r="K4" s="113"/>
      <c r="L4" s="78">
        <f t="shared" ref="L4:L67" si="2">(D4+F4)/(C4-E4)</f>
        <v>0.68425990338714782</v>
      </c>
      <c r="M4" s="5">
        <f>SUMIFS(ĐMCP!$Q:$Q,ĐMCP!$P:$P, "="&amp;'HQ1'!B4,ĐMCP!$O:$O, "="&amp;'HQ1'!A4)</f>
        <v>2550808267.0770845</v>
      </c>
      <c r="N4" s="89">
        <f t="shared" si="1"/>
        <v>-7.7084541320800781E-2</v>
      </c>
    </row>
    <row r="5" spans="1:14" x14ac:dyDescent="0.25">
      <c r="A5" s="123" t="s">
        <v>82</v>
      </c>
      <c r="B5" s="16" t="s">
        <v>136</v>
      </c>
      <c r="C5" s="7">
        <v>126606400</v>
      </c>
      <c r="E5" s="7">
        <v>1575980</v>
      </c>
      <c r="G5" s="7">
        <v>60591638</v>
      </c>
      <c r="H5" s="7">
        <v>3798192</v>
      </c>
      <c r="I5" s="7">
        <v>60640590</v>
      </c>
      <c r="J5" s="113">
        <f>SUMIFS(PGĐ!$H:$H,PGĐ!$F:$F, "="&amp;B5, PGĐ!$I:$I, "="&amp;'HQ1'!A5)</f>
        <v>0</v>
      </c>
      <c r="K5" s="113"/>
      <c r="L5" s="78">
        <f t="shared" si="2"/>
        <v>0</v>
      </c>
      <c r="M5" s="5">
        <f>SUMIFS(ĐMCP!$Q:$Q,ĐMCP!$P:$P, "="&amp;'HQ1'!B5,ĐMCP!$O:$O, "="&amp;'HQ1'!A5)</f>
        <v>60591638.293252364</v>
      </c>
      <c r="N5" s="89">
        <f t="shared" si="1"/>
        <v>-0.2932523638010025</v>
      </c>
    </row>
    <row r="6" spans="1:14" x14ac:dyDescent="0.25">
      <c r="A6" s="123" t="s">
        <v>82</v>
      </c>
      <c r="B6" s="16" t="s">
        <v>137</v>
      </c>
      <c r="C6" s="7">
        <v>7434905971</v>
      </c>
      <c r="D6" s="7">
        <v>3491094304</v>
      </c>
      <c r="E6" s="7">
        <v>-251401286.5</v>
      </c>
      <c r="F6" s="7">
        <v>1127614770</v>
      </c>
      <c r="G6" s="7">
        <v>2796640820</v>
      </c>
      <c r="H6" s="7">
        <v>223047179.13</v>
      </c>
      <c r="I6" s="7">
        <v>47910184.370000005</v>
      </c>
      <c r="J6" s="113">
        <f>SUMIFS(PGĐ!$H:$H,PGĐ!$F:$F, "="&amp;B6, PGĐ!$I:$I, "="&amp;'HQ1'!A6)</f>
        <v>60100000</v>
      </c>
      <c r="K6" s="113"/>
      <c r="L6" s="78">
        <f t="shared" si="2"/>
        <v>0.6009009163006388</v>
      </c>
      <c r="M6" s="5">
        <f>SUMIFS(ĐMCP!$Q:$Q,ĐMCP!$P:$P, "="&amp;'HQ1'!B6,ĐMCP!$O:$O, "="&amp;'HQ1'!A6)</f>
        <v>2796640820.2493916</v>
      </c>
      <c r="N6" s="89">
        <f t="shared" si="1"/>
        <v>-0.24939155578613281</v>
      </c>
    </row>
    <row r="7" spans="1:14" x14ac:dyDescent="0.25">
      <c r="A7" s="123" t="s">
        <v>82</v>
      </c>
      <c r="B7" s="16" t="s">
        <v>138</v>
      </c>
      <c r="C7" s="7">
        <v>2045474650</v>
      </c>
      <c r="D7" s="7">
        <v>103422211</v>
      </c>
      <c r="E7" s="7">
        <v>461627329.5</v>
      </c>
      <c r="F7" s="7">
        <v>-78333274</v>
      </c>
      <c r="G7" s="7">
        <v>987840551</v>
      </c>
      <c r="H7" s="7">
        <v>61364239.5</v>
      </c>
      <c r="I7" s="7">
        <v>509553593</v>
      </c>
      <c r="J7" s="113">
        <f>SUMIFS(PGĐ!$H:$H,PGĐ!$F:$F, "="&amp;B7, PGĐ!$I:$I, "="&amp;'HQ1'!A7)</f>
        <v>0</v>
      </c>
      <c r="K7" s="113"/>
      <c r="L7" s="78">
        <f t="shared" si="2"/>
        <v>1.5840502222196361E-2</v>
      </c>
      <c r="M7" s="5">
        <f>SUMIFS(ĐMCP!$Q:$Q,ĐMCP!$P:$P, "="&amp;'HQ1'!B7,ĐMCP!$O:$O, "="&amp;'HQ1'!A7)</f>
        <v>987840550.96731424</v>
      </c>
      <c r="N7" s="89">
        <f t="shared" si="1"/>
        <v>3.2685756683349609E-2</v>
      </c>
    </row>
    <row r="8" spans="1:14" x14ac:dyDescent="0.25">
      <c r="A8" s="123" t="s">
        <v>61</v>
      </c>
      <c r="B8" s="15" t="s">
        <v>45</v>
      </c>
      <c r="C8" s="132">
        <v>31933573654</v>
      </c>
      <c r="D8" s="132">
        <v>11094434700</v>
      </c>
      <c r="E8" s="132">
        <v>1566235483.75</v>
      </c>
      <c r="F8" s="132">
        <v>1773266225</v>
      </c>
      <c r="G8" s="132">
        <v>10106489937</v>
      </c>
      <c r="H8" s="132">
        <v>958007209.62</v>
      </c>
      <c r="I8" s="132">
        <v>6435140098.6300001</v>
      </c>
      <c r="J8" s="113">
        <f>SUMIFS(PGĐ!$H:$H,PGĐ!$F:$F, "="&amp;B8, PGĐ!$I:$I, "="&amp;'HQ1'!A8)</f>
        <v>0</v>
      </c>
      <c r="K8" s="113"/>
      <c r="L8" s="78">
        <f t="shared" si="2"/>
        <v>0.4237348974368163</v>
      </c>
      <c r="M8" s="5">
        <f>SUMIFS(ĐMCP!$Q:$Q,ĐMCP!$P:$P, "="&amp;'HQ1'!B8,ĐMCP!$O:$O, "="&amp;'HQ1'!A8)</f>
        <v>0</v>
      </c>
      <c r="N8" s="89">
        <f t="shared" si="1"/>
        <v>0</v>
      </c>
    </row>
    <row r="9" spans="1:14" x14ac:dyDescent="0.25">
      <c r="A9" s="123" t="s">
        <v>61</v>
      </c>
      <c r="B9" s="16" t="s">
        <v>135</v>
      </c>
      <c r="C9" s="7">
        <v>1687239421</v>
      </c>
      <c r="D9" s="7">
        <v>47545756</v>
      </c>
      <c r="E9" s="7">
        <v>150733813</v>
      </c>
      <c r="G9" s="7">
        <v>959254819</v>
      </c>
      <c r="H9" s="7">
        <v>50617182.629999995</v>
      </c>
      <c r="I9" s="7">
        <v>479087850.37</v>
      </c>
      <c r="J9" s="113">
        <f>SUMIFS(PGĐ!$H:$H,PGĐ!$F:$F, "="&amp;B9, PGĐ!$I:$I, "="&amp;'HQ1'!A9)</f>
        <v>0</v>
      </c>
      <c r="K9" s="113"/>
      <c r="L9" s="78">
        <f t="shared" si="2"/>
        <v>3.0944082307573329E-2</v>
      </c>
      <c r="M9" s="5">
        <f>SUMIFS(ĐMCP!$Q:$Q,ĐMCP!$P:$P, "="&amp;'HQ1'!B9,ĐMCP!$O:$O, "="&amp;'HQ1'!A9)</f>
        <v>959254819.44147825</v>
      </c>
      <c r="N9" s="89">
        <f t="shared" si="1"/>
        <v>-0.44147825241088867</v>
      </c>
    </row>
    <row r="10" spans="1:14" x14ac:dyDescent="0.25">
      <c r="A10" s="123" t="s">
        <v>61</v>
      </c>
      <c r="B10" s="16" t="s">
        <v>136</v>
      </c>
      <c r="C10" s="7">
        <v>156914000</v>
      </c>
      <c r="E10" s="7">
        <v>2432700</v>
      </c>
      <c r="G10" s="7">
        <v>78574855</v>
      </c>
      <c r="H10" s="7">
        <v>4707420</v>
      </c>
      <c r="I10" s="7">
        <v>71199025</v>
      </c>
      <c r="J10" s="113">
        <f>SUMIFS(PGĐ!$H:$H,PGĐ!$F:$F, "="&amp;B10, PGĐ!$I:$I, "="&amp;'HQ1'!A10)</f>
        <v>0</v>
      </c>
      <c r="K10" s="113"/>
      <c r="L10" s="78">
        <f t="shared" si="2"/>
        <v>0</v>
      </c>
      <c r="M10" s="5">
        <f>SUMIFS(ĐMCP!$Q:$Q,ĐMCP!$P:$P, "="&amp;'HQ1'!B10,ĐMCP!$O:$O, "="&amp;'HQ1'!A10)</f>
        <v>78574854.997014537</v>
      </c>
      <c r="N10" s="89">
        <f t="shared" si="1"/>
        <v>2.9854625463485718E-3</v>
      </c>
    </row>
    <row r="11" spans="1:14" x14ac:dyDescent="0.25">
      <c r="A11" s="123" t="s">
        <v>61</v>
      </c>
      <c r="B11" s="16" t="s">
        <v>137</v>
      </c>
      <c r="C11" s="7">
        <v>18250604644</v>
      </c>
      <c r="D11" s="7">
        <v>7449408983</v>
      </c>
      <c r="E11" s="7">
        <v>1176042494.25</v>
      </c>
      <c r="F11" s="7">
        <v>2045080263</v>
      </c>
      <c r="G11" s="7">
        <v>5627566427</v>
      </c>
      <c r="H11" s="7">
        <v>547518139.31999993</v>
      </c>
      <c r="I11" s="7">
        <v>1404988337.4300001</v>
      </c>
      <c r="J11" s="113">
        <f>SUMIFS(PGĐ!$H:$H,PGĐ!$F:$F, "="&amp;B11, PGĐ!$I:$I, "="&amp;'HQ1'!A11)</f>
        <v>86600000</v>
      </c>
      <c r="K11" s="113"/>
      <c r="L11" s="78">
        <f t="shared" si="2"/>
        <v>0.55606048124279517</v>
      </c>
      <c r="M11" s="5">
        <f>SUMIFS(ĐMCP!$Q:$Q,ĐMCP!$P:$P, "="&amp;'HQ1'!B11,ĐMCP!$O:$O, "="&amp;'HQ1'!A11)</f>
        <v>5627566426.6210537</v>
      </c>
      <c r="N11" s="89">
        <f t="shared" si="1"/>
        <v>0.37894630432128906</v>
      </c>
    </row>
    <row r="12" spans="1:14" x14ac:dyDescent="0.25">
      <c r="A12" s="123" t="s">
        <v>61</v>
      </c>
      <c r="B12" s="16" t="s">
        <v>138</v>
      </c>
      <c r="C12" s="7">
        <v>11838815589</v>
      </c>
      <c r="D12" s="7">
        <v>3597479961</v>
      </c>
      <c r="E12" s="7">
        <v>237026476.5</v>
      </c>
      <c r="F12" s="7">
        <v>-271814038</v>
      </c>
      <c r="G12" s="7">
        <v>3441093836</v>
      </c>
      <c r="H12" s="7">
        <v>355164467.66999996</v>
      </c>
      <c r="I12" s="7">
        <v>4479864885.8299999</v>
      </c>
      <c r="J12" s="113">
        <f>SUMIFS(PGĐ!$H:$H,PGĐ!$F:$F, "="&amp;B12, PGĐ!$I:$I, "="&amp;'HQ1'!A12)</f>
        <v>0</v>
      </c>
      <c r="K12" s="113"/>
      <c r="L12" s="78">
        <f t="shared" si="2"/>
        <v>0.28665112688670241</v>
      </c>
      <c r="M12" s="5">
        <f>SUMIFS(ĐMCP!$Q:$Q,ĐMCP!$P:$P, "="&amp;'HQ1'!B12,ĐMCP!$O:$O, "="&amp;'HQ1'!A12)</f>
        <v>3441093835.7421865</v>
      </c>
      <c r="N12" s="89">
        <f t="shared" si="1"/>
        <v>0.25781345367431641</v>
      </c>
    </row>
    <row r="13" spans="1:14" x14ac:dyDescent="0.25">
      <c r="A13" s="123" t="s">
        <v>76</v>
      </c>
      <c r="B13" s="15" t="s">
        <v>45</v>
      </c>
      <c r="C13" s="132">
        <v>9046686799</v>
      </c>
      <c r="D13" s="132">
        <v>2275267009</v>
      </c>
      <c r="E13" s="132">
        <v>-1058148584.1</v>
      </c>
      <c r="F13" s="132">
        <v>-2478665305.1000004</v>
      </c>
      <c r="G13" s="132">
        <v>1864310816</v>
      </c>
      <c r="H13" s="132">
        <v>271400603.96999997</v>
      </c>
      <c r="I13" s="132">
        <v>8172522259.2300005</v>
      </c>
      <c r="J13" s="113">
        <f>SUMIFS(PGĐ!$H:$H,PGĐ!$F:$F, "="&amp;B13, PGĐ!$I:$I, "="&amp;'HQ1'!A13)</f>
        <v>0</v>
      </c>
      <c r="K13" s="113"/>
      <c r="L13" s="78">
        <f t="shared" si="2"/>
        <v>-2.0128808475215462E-2</v>
      </c>
      <c r="M13" s="5">
        <f>SUMIFS(ĐMCP!$Q:$Q,ĐMCP!$P:$P, "="&amp;'HQ1'!B13,ĐMCP!$O:$O, "="&amp;'HQ1'!A13)</f>
        <v>0</v>
      </c>
      <c r="N13" s="89">
        <f t="shared" si="1"/>
        <v>0</v>
      </c>
    </row>
    <row r="14" spans="1:14" x14ac:dyDescent="0.25">
      <c r="A14" s="123" t="s">
        <v>76</v>
      </c>
      <c r="B14" s="16" t="s">
        <v>135</v>
      </c>
      <c r="C14" s="7">
        <v>1061859078</v>
      </c>
      <c r="D14" s="7">
        <v>354027335</v>
      </c>
      <c r="E14" s="7">
        <v>-48004168.5</v>
      </c>
      <c r="F14" s="7">
        <v>-2444550117</v>
      </c>
      <c r="G14" s="7">
        <v>382649288</v>
      </c>
      <c r="H14" s="7">
        <v>31855772.34</v>
      </c>
      <c r="I14" s="7">
        <v>2785880968.1599998</v>
      </c>
      <c r="J14" s="113">
        <f>SUMIFS(PGĐ!$H:$H,PGĐ!$F:$F, "="&amp;B14, PGĐ!$I:$I, "="&amp;'HQ1'!A14)</f>
        <v>0</v>
      </c>
      <c r="K14" s="113"/>
      <c r="L14" s="78">
        <f t="shared" si="2"/>
        <v>-1.8835859179881402</v>
      </c>
      <c r="M14" s="5">
        <f>SUMIFS(ĐMCP!$Q:$Q,ĐMCP!$P:$P, "="&amp;'HQ1'!B14,ĐMCP!$O:$O, "="&amp;'HQ1'!A14)</f>
        <v>382649288.17426032</v>
      </c>
      <c r="N14" s="89">
        <f t="shared" si="1"/>
        <v>-0.17426031827926636</v>
      </c>
    </row>
    <row r="15" spans="1:14" x14ac:dyDescent="0.25">
      <c r="A15" s="123" t="s">
        <v>76</v>
      </c>
      <c r="B15" s="16" t="s">
        <v>136</v>
      </c>
      <c r="C15" s="7">
        <v>29762150</v>
      </c>
      <c r="D15" s="7">
        <v>13541500</v>
      </c>
      <c r="E15" s="7">
        <v>-1176501976</v>
      </c>
      <c r="G15" s="7">
        <v>230051513</v>
      </c>
      <c r="H15" s="7">
        <v>892864.5</v>
      </c>
      <c r="I15" s="7">
        <v>961778248.5</v>
      </c>
      <c r="J15" s="113">
        <f>SUMIFS(PGĐ!$H:$H,PGĐ!$F:$F, "="&amp;B15, PGĐ!$I:$I, "="&amp;'HQ1'!A15)</f>
        <v>0</v>
      </c>
      <c r="K15" s="113"/>
      <c r="L15" s="78">
        <f t="shared" si="2"/>
        <v>1.1225982525820386E-2</v>
      </c>
      <c r="M15" s="5">
        <f>SUMIFS(ĐMCP!$Q:$Q,ĐMCP!$P:$P, "="&amp;'HQ1'!B15,ĐMCP!$O:$O, "="&amp;'HQ1'!A15)</f>
        <v>230051512.87716439</v>
      </c>
      <c r="N15" s="89">
        <f t="shared" si="1"/>
        <v>0.12283560633659363</v>
      </c>
    </row>
    <row r="16" spans="1:14" x14ac:dyDescent="0.25">
      <c r="A16" s="123" t="s">
        <v>76</v>
      </c>
      <c r="B16" s="16" t="s">
        <v>137</v>
      </c>
      <c r="C16" s="7">
        <v>1233356071</v>
      </c>
      <c r="D16" s="7">
        <v>453298004</v>
      </c>
      <c r="E16" s="7">
        <v>-32431346</v>
      </c>
      <c r="F16" s="7">
        <v>-66021647.100000143</v>
      </c>
      <c r="G16" s="7">
        <v>424115077</v>
      </c>
      <c r="H16" s="7">
        <v>37000682.129999995</v>
      </c>
      <c r="I16" s="7">
        <v>417395300.97000015</v>
      </c>
      <c r="J16" s="113">
        <f>SUMIFS(PGĐ!$H:$H,PGĐ!$F:$F, "="&amp;B16, PGĐ!$I:$I, "="&amp;'HQ1'!A16)</f>
        <v>-6250000</v>
      </c>
      <c r="K16" s="113"/>
      <c r="L16" s="78">
        <f t="shared" si="2"/>
        <v>0.30595687056035875</v>
      </c>
      <c r="M16" s="5">
        <f>SUMIFS(ĐMCP!$Q:$Q,ĐMCP!$P:$P, "="&amp;'HQ1'!B16,ĐMCP!$O:$O, "="&amp;'HQ1'!A16)</f>
        <v>424115076.53781611</v>
      </c>
      <c r="N16" s="89">
        <f t="shared" si="1"/>
        <v>0.46218389272689819</v>
      </c>
    </row>
    <row r="17" spans="1:14" x14ac:dyDescent="0.25">
      <c r="A17" s="123" t="s">
        <v>76</v>
      </c>
      <c r="B17" s="16" t="s">
        <v>138</v>
      </c>
      <c r="C17" s="7">
        <v>6721709500</v>
      </c>
      <c r="D17" s="7">
        <v>1454400170</v>
      </c>
      <c r="E17" s="7">
        <v>198788906.40000001</v>
      </c>
      <c r="F17" s="7">
        <v>31906459</v>
      </c>
      <c r="G17" s="7">
        <v>827494938</v>
      </c>
      <c r="H17" s="7">
        <v>201651285</v>
      </c>
      <c r="I17" s="7">
        <v>4007467741.6000004</v>
      </c>
      <c r="J17" s="113">
        <f>SUMIFS(PGĐ!$H:$H,PGĐ!$F:$F, "="&amp;B17, PGĐ!$I:$I, "="&amp;'HQ1'!A17)</f>
        <v>0</v>
      </c>
      <c r="K17" s="113"/>
      <c r="L17" s="78">
        <f t="shared" si="2"/>
        <v>0.22785907135805056</v>
      </c>
      <c r="M17" s="5">
        <f>SUMIFS(ĐMCP!$Q:$Q,ĐMCP!$P:$P, "="&amp;'HQ1'!B17,ĐMCP!$O:$O, "="&amp;'HQ1'!A17)</f>
        <v>827494938.33046532</v>
      </c>
      <c r="N17" s="89">
        <f t="shared" si="1"/>
        <v>-0.33046531677246094</v>
      </c>
    </row>
    <row r="18" spans="1:14" x14ac:dyDescent="0.25">
      <c r="A18" s="123" t="s">
        <v>127</v>
      </c>
      <c r="B18" s="15" t="s">
        <v>45</v>
      </c>
      <c r="C18" s="132">
        <v>1385081499</v>
      </c>
      <c r="D18" s="132">
        <v>469612517</v>
      </c>
      <c r="E18" s="132">
        <v>-40269905.5</v>
      </c>
      <c r="F18" s="132">
        <v>102007158</v>
      </c>
      <c r="G18" s="132">
        <v>577988942</v>
      </c>
      <c r="H18" s="132">
        <v>41552444.969999999</v>
      </c>
      <c r="I18" s="132">
        <v>234190342.53</v>
      </c>
      <c r="J18" s="113">
        <f>SUMIFS(PGĐ!$H:$H,PGĐ!$F:$F, "="&amp;B18, PGĐ!$I:$I, "="&amp;'HQ1'!A18)</f>
        <v>0</v>
      </c>
      <c r="K18" s="113"/>
      <c r="L18" s="78">
        <f t="shared" si="2"/>
        <v>0.40103771827447621</v>
      </c>
      <c r="M18" s="5">
        <f>SUMIFS(ĐMCP!$Q:$Q,ĐMCP!$P:$P, "="&amp;'HQ1'!B18,ĐMCP!$O:$O, "="&amp;'HQ1'!A18)</f>
        <v>0</v>
      </c>
      <c r="N18" s="89">
        <f t="shared" si="1"/>
        <v>0</v>
      </c>
    </row>
    <row r="19" spans="1:14" x14ac:dyDescent="0.25">
      <c r="A19" s="123" t="s">
        <v>127</v>
      </c>
      <c r="B19" s="16" t="s">
        <v>135</v>
      </c>
      <c r="C19" s="7">
        <v>453262400</v>
      </c>
      <c r="D19" s="7">
        <v>451485810</v>
      </c>
      <c r="E19" s="7">
        <v>-99590750</v>
      </c>
      <c r="F19" s="7">
        <v>-43550000</v>
      </c>
      <c r="G19" s="7">
        <v>157416205</v>
      </c>
      <c r="H19" s="7">
        <v>13597872</v>
      </c>
      <c r="I19" s="7">
        <v>-26096737</v>
      </c>
      <c r="J19" s="113">
        <f>SUMIFS(PGĐ!$H:$H,PGĐ!$F:$F, "="&amp;B19, PGĐ!$I:$I, "="&amp;'HQ1'!A19)</f>
        <v>0</v>
      </c>
      <c r="K19" s="113"/>
      <c r="L19" s="78">
        <f t="shared" si="2"/>
        <v>0.73787371926885104</v>
      </c>
      <c r="M19" s="5">
        <f>SUMIFS(ĐMCP!$Q:$Q,ĐMCP!$P:$P, "="&amp;'HQ1'!B19,ĐMCP!$O:$O, "="&amp;'HQ1'!A19)</f>
        <v>157416205.22606826</v>
      </c>
      <c r="N19" s="89">
        <f t="shared" si="1"/>
        <v>-0.22606825828552246</v>
      </c>
    </row>
    <row r="20" spans="1:14" x14ac:dyDescent="0.25">
      <c r="A20" s="123" t="s">
        <v>127</v>
      </c>
      <c r="B20" s="16" t="s">
        <v>136</v>
      </c>
      <c r="C20" s="7">
        <v>18601000</v>
      </c>
      <c r="E20" s="7">
        <v>-3784000</v>
      </c>
      <c r="G20" s="7">
        <v>29074302</v>
      </c>
      <c r="H20" s="7">
        <v>558030</v>
      </c>
      <c r="I20" s="7">
        <v>-7247332</v>
      </c>
      <c r="J20" s="113">
        <f>SUMIFS(PGĐ!$H:$H,PGĐ!$F:$F, "="&amp;B20, PGĐ!$I:$I, "="&amp;'HQ1'!A20)</f>
        <v>0</v>
      </c>
      <c r="K20" s="113"/>
      <c r="L20" s="78">
        <f t="shared" si="2"/>
        <v>0</v>
      </c>
      <c r="M20" s="5">
        <f>SUMIFS(ĐMCP!$Q:$Q,ĐMCP!$P:$P, "="&amp;'HQ1'!B20,ĐMCP!$O:$O, "="&amp;'HQ1'!A20)</f>
        <v>29074302.34805895</v>
      </c>
      <c r="N20" s="89">
        <f t="shared" si="1"/>
        <v>-0.34805895015597343</v>
      </c>
    </row>
    <row r="21" spans="1:14" x14ac:dyDescent="0.25">
      <c r="A21" s="123" t="s">
        <v>127</v>
      </c>
      <c r="B21" s="16" t="s">
        <v>137</v>
      </c>
      <c r="C21" s="7">
        <v>860684099</v>
      </c>
      <c r="D21" s="7">
        <v>18126707</v>
      </c>
      <c r="E21" s="7">
        <v>55651368.5</v>
      </c>
      <c r="F21" s="7">
        <v>145994658</v>
      </c>
      <c r="G21" s="7">
        <v>368356503</v>
      </c>
      <c r="H21" s="7">
        <v>25820522.969999999</v>
      </c>
      <c r="I21" s="7">
        <v>246734339.53</v>
      </c>
      <c r="J21" s="113">
        <f>SUMIFS(PGĐ!$H:$H,PGĐ!$F:$F, "="&amp;B21, PGĐ!$I:$I, "="&amp;'HQ1'!A21)</f>
        <v>0</v>
      </c>
      <c r="K21" s="113"/>
      <c r="L21" s="78">
        <f t="shared" si="2"/>
        <v>0.20386918293131437</v>
      </c>
      <c r="M21" s="5">
        <f>SUMIFS(ĐMCP!$Q:$Q,ĐMCP!$P:$P, "="&amp;'HQ1'!B21,ĐMCP!$O:$O, "="&amp;'HQ1'!A21)</f>
        <v>368356503.26946712</v>
      </c>
      <c r="N21" s="89">
        <f t="shared" si="1"/>
        <v>-0.26946711540222168</v>
      </c>
    </row>
    <row r="22" spans="1:14" x14ac:dyDescent="0.25">
      <c r="A22" s="123" t="s">
        <v>127</v>
      </c>
      <c r="B22" s="16" t="s">
        <v>138</v>
      </c>
      <c r="C22" s="7">
        <v>52534000</v>
      </c>
      <c r="E22" s="7">
        <v>7453476</v>
      </c>
      <c r="F22" s="7">
        <v>-437500</v>
      </c>
      <c r="G22" s="7">
        <v>23141932</v>
      </c>
      <c r="H22" s="7">
        <v>1576020</v>
      </c>
      <c r="I22" s="7">
        <v>20800072</v>
      </c>
      <c r="J22" s="113">
        <f>SUMIFS(PGĐ!$H:$H,PGĐ!$F:$F, "="&amp;B22, PGĐ!$I:$I, "="&amp;'HQ1'!A22)</f>
        <v>0</v>
      </c>
      <c r="K22" s="113"/>
      <c r="L22" s="78">
        <f t="shared" si="2"/>
        <v>-9.7048561369872284E-3</v>
      </c>
      <c r="M22" s="5">
        <f>SUMIFS(ĐMCP!$Q:$Q,ĐMCP!$P:$P, "="&amp;'HQ1'!B22,ĐMCP!$O:$O, "="&amp;'HQ1'!A22)</f>
        <v>23141931.540592533</v>
      </c>
      <c r="N22" s="89">
        <f t="shared" si="1"/>
        <v>0.45940746739506721</v>
      </c>
    </row>
    <row r="23" spans="1:14" x14ac:dyDescent="0.25">
      <c r="A23" s="123" t="s">
        <v>91</v>
      </c>
      <c r="B23" s="15" t="s">
        <v>45</v>
      </c>
      <c r="C23" s="132">
        <v>14133840902</v>
      </c>
      <c r="D23" s="132">
        <v>6729160693</v>
      </c>
      <c r="E23" s="132">
        <v>514793541.60000002</v>
      </c>
      <c r="F23" s="132">
        <v>1144334428</v>
      </c>
      <c r="G23" s="132">
        <v>4947133563</v>
      </c>
      <c r="H23" s="132">
        <v>424015227.06</v>
      </c>
      <c r="I23" s="132">
        <v>374403449.34000003</v>
      </c>
      <c r="J23" s="113">
        <f>SUMIFS(PGĐ!$H:$H,PGĐ!$F:$F, "="&amp;B23, PGĐ!$I:$I, "="&amp;'HQ1'!A23)</f>
        <v>0</v>
      </c>
      <c r="K23" s="113"/>
      <c r="L23" s="78">
        <f t="shared" si="2"/>
        <v>0.57812377860537456</v>
      </c>
      <c r="M23" s="5">
        <f>SUMIFS(ĐMCP!$Q:$Q,ĐMCP!$P:$P, "="&amp;'HQ1'!B23,ĐMCP!$O:$O, "="&amp;'HQ1'!A23)</f>
        <v>0</v>
      </c>
      <c r="N23" s="89">
        <f t="shared" si="1"/>
        <v>0</v>
      </c>
    </row>
    <row r="24" spans="1:14" x14ac:dyDescent="0.25">
      <c r="A24" s="123" t="s">
        <v>91</v>
      </c>
      <c r="B24" s="16" t="s">
        <v>135</v>
      </c>
      <c r="C24" s="7">
        <v>6257542029</v>
      </c>
      <c r="D24" s="7">
        <v>4869786700</v>
      </c>
      <c r="E24" s="7">
        <v>32051732.25</v>
      </c>
      <c r="G24" s="7">
        <v>2091856771</v>
      </c>
      <c r="H24" s="7">
        <v>187726260.87</v>
      </c>
      <c r="I24" s="7">
        <v>-923879435.12</v>
      </c>
      <c r="J24" s="113">
        <f>SUMIFS(PGĐ!$H:$H,PGĐ!$F:$F, "="&amp;B24, PGĐ!$I:$I, "="&amp;'HQ1'!A24)</f>
        <v>0</v>
      </c>
      <c r="K24" s="113"/>
      <c r="L24" s="78">
        <f t="shared" si="2"/>
        <v>0.78223344152383611</v>
      </c>
      <c r="M24" s="5">
        <f>SUMIFS(ĐMCP!$Q:$Q,ĐMCP!$P:$P, "="&amp;'HQ1'!B24,ĐMCP!$O:$O, "="&amp;'HQ1'!A24)</f>
        <v>2091856771.0912869</v>
      </c>
      <c r="N24" s="89">
        <f t="shared" si="1"/>
        <v>-9.1286897659301758E-2</v>
      </c>
    </row>
    <row r="25" spans="1:14" x14ac:dyDescent="0.25">
      <c r="A25" s="123" t="s">
        <v>91</v>
      </c>
      <c r="B25" s="16" t="s">
        <v>136</v>
      </c>
      <c r="C25" s="7">
        <v>89377700</v>
      </c>
      <c r="E25" s="7">
        <v>3973670</v>
      </c>
      <c r="G25" s="7">
        <v>51027471</v>
      </c>
      <c r="H25" s="7">
        <v>2681331</v>
      </c>
      <c r="I25" s="7">
        <v>31695228</v>
      </c>
      <c r="J25" s="113">
        <f>SUMIFS(PGĐ!$H:$H,PGĐ!$F:$F, "="&amp;B25, PGĐ!$I:$I, "="&amp;'HQ1'!A25)</f>
        <v>0</v>
      </c>
      <c r="K25" s="113"/>
      <c r="L25" s="78">
        <f t="shared" si="2"/>
        <v>0</v>
      </c>
      <c r="M25" s="5">
        <f>SUMIFS(ĐMCP!$Q:$Q,ĐMCP!$P:$P, "="&amp;'HQ1'!B25,ĐMCP!$O:$O, "="&amp;'HQ1'!A25)</f>
        <v>51027471.099168643</v>
      </c>
      <c r="N25" s="89">
        <f t="shared" si="1"/>
        <v>-9.9168643355369568E-2</v>
      </c>
    </row>
    <row r="26" spans="1:14" x14ac:dyDescent="0.25">
      <c r="A26" s="123" t="s">
        <v>91</v>
      </c>
      <c r="B26" s="16" t="s">
        <v>137</v>
      </c>
      <c r="C26" s="7">
        <v>7257132209</v>
      </c>
      <c r="D26" s="7">
        <v>1639551006</v>
      </c>
      <c r="E26" s="7">
        <v>439838259.25</v>
      </c>
      <c r="F26" s="7">
        <v>1189161644</v>
      </c>
      <c r="G26" s="7">
        <v>2578089130</v>
      </c>
      <c r="H26" s="7">
        <v>217713966.26999998</v>
      </c>
      <c r="I26" s="7">
        <v>1192778203.48</v>
      </c>
      <c r="J26" s="113">
        <f>SUMIFS(PGĐ!$H:$H,PGĐ!$F:$F, "="&amp;B26, PGĐ!$I:$I, "="&amp;'HQ1'!A26)</f>
        <v>-6150000</v>
      </c>
      <c r="K26" s="113"/>
      <c r="L26" s="78">
        <f t="shared" si="2"/>
        <v>0.41493188805563136</v>
      </c>
      <c r="M26" s="5">
        <f>SUMIFS(ĐMCP!$Q:$Q,ĐMCP!$P:$P, "="&amp;'HQ1'!B26,ĐMCP!$O:$O, "="&amp;'HQ1'!A26)</f>
        <v>2578089129.9198475</v>
      </c>
      <c r="N26" s="89">
        <f t="shared" si="1"/>
        <v>8.0152511596679688E-2</v>
      </c>
    </row>
    <row r="27" spans="1:14" x14ac:dyDescent="0.25">
      <c r="A27" s="123" t="s">
        <v>91</v>
      </c>
      <c r="B27" s="16" t="s">
        <v>138</v>
      </c>
      <c r="C27" s="7">
        <v>529788964</v>
      </c>
      <c r="D27" s="7">
        <v>219822987</v>
      </c>
      <c r="E27" s="7">
        <v>38929880.100000001</v>
      </c>
      <c r="F27" s="7">
        <v>-44827216</v>
      </c>
      <c r="G27" s="7">
        <v>226160191</v>
      </c>
      <c r="H27" s="7">
        <v>15893668.92</v>
      </c>
      <c r="I27" s="7">
        <v>73809452.979999974</v>
      </c>
      <c r="J27" s="113">
        <f>SUMIFS(PGĐ!$H:$H,PGĐ!$F:$F, "="&amp;B27, PGĐ!$I:$I, "="&amp;'HQ1'!A27)</f>
        <v>0</v>
      </c>
      <c r="K27" s="113"/>
      <c r="L27" s="78">
        <f t="shared" si="2"/>
        <v>0.3565091830625079</v>
      </c>
      <c r="M27" s="5">
        <f>SUMIFS(ĐMCP!$Q:$Q,ĐMCP!$P:$P, "="&amp;'HQ1'!B27,ĐMCP!$O:$O, "="&amp;'HQ1'!A27)</f>
        <v>226160190.62163612</v>
      </c>
      <c r="N27" s="89">
        <f t="shared" si="1"/>
        <v>0.37836387753486633</v>
      </c>
    </row>
    <row r="28" spans="1:14" x14ac:dyDescent="0.25">
      <c r="A28" s="123" t="s">
        <v>123</v>
      </c>
      <c r="B28" s="15" t="s">
        <v>45</v>
      </c>
      <c r="C28" s="132">
        <v>4987676698</v>
      </c>
      <c r="D28" s="132">
        <v>2124788007</v>
      </c>
      <c r="E28" s="132">
        <v>103296601.89999999</v>
      </c>
      <c r="F28" s="132">
        <v>-89889622</v>
      </c>
      <c r="G28" s="132">
        <v>1882168662</v>
      </c>
      <c r="H28" s="132">
        <v>149630300.94</v>
      </c>
      <c r="I28" s="132">
        <v>817682748.16000009</v>
      </c>
      <c r="J28" s="113">
        <f>SUMIFS(PGĐ!$H:$H,PGĐ!$F:$F, "="&amp;B28, PGĐ!$I:$I, "="&amp;'HQ1'!A28)</f>
        <v>0</v>
      </c>
      <c r="K28" s="113"/>
      <c r="L28" s="78">
        <f t="shared" si="2"/>
        <v>0.41661343813615004</v>
      </c>
      <c r="M28" s="5">
        <f>SUMIFS(ĐMCP!$Q:$Q,ĐMCP!$P:$P, "="&amp;'HQ1'!B28,ĐMCP!$O:$O, "="&amp;'HQ1'!A28)</f>
        <v>0</v>
      </c>
      <c r="N28" s="89">
        <f t="shared" si="1"/>
        <v>0</v>
      </c>
    </row>
    <row r="29" spans="1:14" x14ac:dyDescent="0.25">
      <c r="A29" s="123" t="s">
        <v>123</v>
      </c>
      <c r="B29" s="16" t="s">
        <v>135</v>
      </c>
      <c r="C29" s="7">
        <v>593082550</v>
      </c>
      <c r="D29" s="7">
        <v>734299300</v>
      </c>
      <c r="E29" s="7">
        <v>-81594768.75</v>
      </c>
      <c r="F29" s="7">
        <v>-10000000</v>
      </c>
      <c r="G29" s="7">
        <v>175195548</v>
      </c>
      <c r="H29" s="7">
        <v>17792476.5</v>
      </c>
      <c r="I29" s="7">
        <v>-242610005.75</v>
      </c>
      <c r="J29" s="113">
        <f>SUMIFS(PGĐ!$H:$H,PGĐ!$F:$F, "="&amp;B29, PGĐ!$I:$I, "="&amp;'HQ1'!A29)</f>
        <v>0</v>
      </c>
      <c r="K29" s="113"/>
      <c r="L29" s="78">
        <f t="shared" si="2"/>
        <v>1.0735492062219263</v>
      </c>
      <c r="M29" s="5">
        <f>SUMIFS(ĐMCP!$Q:$Q,ĐMCP!$P:$P, "="&amp;'HQ1'!B29,ĐMCP!$O:$O, "="&amp;'HQ1'!A29)</f>
        <v>175195548.05597803</v>
      </c>
      <c r="N29" s="89">
        <f t="shared" si="1"/>
        <v>-5.597802996635437E-2</v>
      </c>
    </row>
    <row r="30" spans="1:14" x14ac:dyDescent="0.25">
      <c r="A30" s="123" t="s">
        <v>123</v>
      </c>
      <c r="B30" s="16" t="s">
        <v>136</v>
      </c>
      <c r="C30" s="7">
        <v>329586840</v>
      </c>
      <c r="E30" s="7">
        <v>27687684</v>
      </c>
      <c r="G30" s="7">
        <v>180718767</v>
      </c>
      <c r="H30" s="7">
        <v>9887605.1999999993</v>
      </c>
      <c r="I30" s="7">
        <v>111292783.8</v>
      </c>
      <c r="J30" s="113">
        <f>SUMIFS(PGĐ!$H:$H,PGĐ!$F:$F, "="&amp;B30, PGĐ!$I:$I, "="&amp;'HQ1'!A30)</f>
        <v>0</v>
      </c>
      <c r="K30" s="113"/>
      <c r="L30" s="78">
        <f t="shared" si="2"/>
        <v>0</v>
      </c>
      <c r="M30" s="5">
        <f>SUMIFS(ĐMCP!$Q:$Q,ĐMCP!$P:$P, "="&amp;'HQ1'!B30,ĐMCP!$O:$O, "="&amp;'HQ1'!A30)</f>
        <v>180718767.33818209</v>
      </c>
      <c r="N30" s="89">
        <f t="shared" si="1"/>
        <v>-0.33818209171295166</v>
      </c>
    </row>
    <row r="31" spans="1:14" x14ac:dyDescent="0.25">
      <c r="A31" s="123" t="s">
        <v>123</v>
      </c>
      <c r="B31" s="16" t="s">
        <v>137</v>
      </c>
      <c r="C31" s="7">
        <v>3558196380</v>
      </c>
      <c r="D31" s="7">
        <v>1351470260</v>
      </c>
      <c r="E31" s="7">
        <v>59572609.75</v>
      </c>
      <c r="F31" s="7">
        <v>-58233715</v>
      </c>
      <c r="G31" s="7">
        <v>1326837630</v>
      </c>
      <c r="H31" s="7">
        <v>106745891.39999999</v>
      </c>
      <c r="I31" s="7">
        <v>771803703.85000002</v>
      </c>
      <c r="J31" s="113">
        <f>SUMIFS(PGĐ!$H:$H,PGĐ!$F:$F, "="&amp;B31, PGĐ!$I:$I, "="&amp;'HQ1'!A31)</f>
        <v>24750000</v>
      </c>
      <c r="K31" s="113"/>
      <c r="L31" s="78">
        <f t="shared" si="2"/>
        <v>0.36964150189478351</v>
      </c>
      <c r="M31" s="5">
        <f>SUMIFS(ĐMCP!$Q:$Q,ĐMCP!$P:$P, "="&amp;'HQ1'!B31,ĐMCP!$O:$O, "="&amp;'HQ1'!A31)</f>
        <v>1326837630.3258057</v>
      </c>
      <c r="N31" s="89">
        <f t="shared" si="1"/>
        <v>-0.3258056640625</v>
      </c>
    </row>
    <row r="32" spans="1:14" x14ac:dyDescent="0.25">
      <c r="A32" s="123" t="s">
        <v>123</v>
      </c>
      <c r="B32" s="16" t="s">
        <v>138</v>
      </c>
      <c r="C32" s="7">
        <v>506810928</v>
      </c>
      <c r="D32" s="7">
        <v>39018447</v>
      </c>
      <c r="E32" s="7">
        <v>97631076.899999991</v>
      </c>
      <c r="F32" s="7">
        <v>-21655907</v>
      </c>
      <c r="G32" s="7">
        <v>199416717</v>
      </c>
      <c r="H32" s="7">
        <v>15204327.84</v>
      </c>
      <c r="I32" s="7">
        <v>177196266.26000002</v>
      </c>
      <c r="J32" s="113">
        <f>SUMIFS(PGĐ!$H:$H,PGĐ!$F:$F, "="&amp;B32, PGĐ!$I:$I, "="&amp;'HQ1'!A32)</f>
        <v>0</v>
      </c>
      <c r="K32" s="113"/>
      <c r="L32" s="78">
        <f t="shared" si="2"/>
        <v>4.2432539024891393E-2</v>
      </c>
      <c r="M32" s="5">
        <f>SUMIFS(ĐMCP!$Q:$Q,ĐMCP!$P:$P, "="&amp;'HQ1'!B32,ĐMCP!$O:$O, "="&amp;'HQ1'!A32)</f>
        <v>199416716.55915406</v>
      </c>
      <c r="N32" s="89">
        <f t="shared" si="1"/>
        <v>0.44084593653678894</v>
      </c>
    </row>
    <row r="33" spans="1:14" x14ac:dyDescent="0.25">
      <c r="A33" s="123" t="s">
        <v>49</v>
      </c>
      <c r="B33" s="15" t="s">
        <v>45</v>
      </c>
      <c r="C33" s="132">
        <v>12392812129</v>
      </c>
      <c r="D33" s="132">
        <v>7679741272</v>
      </c>
      <c r="E33" s="132">
        <v>110049333.25</v>
      </c>
      <c r="F33" s="132">
        <v>-256967067.81999969</v>
      </c>
      <c r="G33" s="132">
        <v>4014127305</v>
      </c>
      <c r="H33" s="132">
        <v>371784363.87</v>
      </c>
      <c r="I33" s="132">
        <v>474076922.69999981</v>
      </c>
      <c r="J33" s="113">
        <f>SUMIFS(PGĐ!$H:$H,PGĐ!$F:$F, "="&amp;B33, PGĐ!$I:$I, "="&amp;'HQ1'!A33)</f>
        <v>0</v>
      </c>
      <c r="K33" s="113"/>
      <c r="L33" s="78">
        <f t="shared" si="2"/>
        <v>0.60432447712402126</v>
      </c>
      <c r="M33" s="5">
        <f>SUMIFS(ĐMCP!$Q:$Q,ĐMCP!$P:$P, "="&amp;'HQ1'!B33,ĐMCP!$O:$O, "="&amp;'HQ1'!A33)</f>
        <v>0</v>
      </c>
      <c r="N33" s="89">
        <f t="shared" si="1"/>
        <v>0</v>
      </c>
    </row>
    <row r="34" spans="1:14" x14ac:dyDescent="0.25">
      <c r="A34" s="123" t="s">
        <v>49</v>
      </c>
      <c r="B34" s="16" t="s">
        <v>135</v>
      </c>
      <c r="C34" s="7">
        <v>2901313612</v>
      </c>
      <c r="D34" s="7">
        <v>4074020811</v>
      </c>
      <c r="E34" s="7">
        <v>-203454878.5</v>
      </c>
      <c r="F34" s="7">
        <v>-592809000</v>
      </c>
      <c r="G34" s="7">
        <v>953065466</v>
      </c>
      <c r="H34" s="7">
        <v>87039408.359999999</v>
      </c>
      <c r="I34" s="7">
        <v>-1416548194.8599999</v>
      </c>
      <c r="J34" s="113">
        <f>SUMIFS(PGĐ!$H:$H,PGĐ!$F:$F, "="&amp;B34, PGĐ!$I:$I, "="&amp;'HQ1'!A34)</f>
        <v>0</v>
      </c>
      <c r="K34" s="113"/>
      <c r="L34" s="78">
        <f t="shared" si="2"/>
        <v>1.1212468245706064</v>
      </c>
      <c r="M34" s="5">
        <f>SUMIFS(ĐMCP!$Q:$Q,ĐMCP!$P:$P, "="&amp;'HQ1'!B34,ĐMCP!$O:$O, "="&amp;'HQ1'!A34)</f>
        <v>953065465.85486853</v>
      </c>
      <c r="N34" s="89">
        <f t="shared" si="1"/>
        <v>0.14513146877288818</v>
      </c>
    </row>
    <row r="35" spans="1:14" x14ac:dyDescent="0.25">
      <c r="A35" s="123" t="s">
        <v>49</v>
      </c>
      <c r="B35" s="16" t="s">
        <v>136</v>
      </c>
      <c r="C35" s="7">
        <v>91247000</v>
      </c>
      <c r="E35" s="7">
        <v>2550173</v>
      </c>
      <c r="G35" s="7">
        <v>48317372</v>
      </c>
      <c r="H35" s="7">
        <v>2737410</v>
      </c>
      <c r="I35" s="7">
        <v>37642045</v>
      </c>
      <c r="J35" s="113">
        <f>SUMIFS(PGĐ!$H:$H,PGĐ!$F:$F, "="&amp;B35, PGĐ!$I:$I, "="&amp;'HQ1'!A35)</f>
        <v>0</v>
      </c>
      <c r="K35" s="113"/>
      <c r="L35" s="78">
        <f t="shared" si="2"/>
        <v>0</v>
      </c>
      <c r="M35" s="5">
        <f>SUMIFS(ĐMCP!$Q:$Q,ĐMCP!$P:$P, "="&amp;'HQ1'!B35,ĐMCP!$O:$O, "="&amp;'HQ1'!A35)</f>
        <v>48317371.766855069</v>
      </c>
      <c r="N35" s="89">
        <f t="shared" si="1"/>
        <v>0.23314493149518967</v>
      </c>
    </row>
    <row r="36" spans="1:14" x14ac:dyDescent="0.25">
      <c r="A36" s="123" t="s">
        <v>49</v>
      </c>
      <c r="B36" s="16" t="s">
        <v>137</v>
      </c>
      <c r="C36" s="7">
        <v>7380521197</v>
      </c>
      <c r="D36" s="7">
        <v>3107539082</v>
      </c>
      <c r="E36" s="7">
        <v>169005786.75</v>
      </c>
      <c r="F36" s="7">
        <v>357826507.18000031</v>
      </c>
      <c r="G36" s="7">
        <v>2526042432</v>
      </c>
      <c r="H36" s="7">
        <v>221415635.91</v>
      </c>
      <c r="I36" s="7">
        <v>998691753.15999973</v>
      </c>
      <c r="J36" s="113">
        <f>SUMIFS(PGĐ!$H:$H,PGĐ!$F:$F, "="&amp;B36, PGĐ!$I:$I, "="&amp;'HQ1'!A36)</f>
        <v>15600000</v>
      </c>
      <c r="K36" s="113"/>
      <c r="L36" s="78">
        <f t="shared" si="2"/>
        <v>0.48053223102796744</v>
      </c>
      <c r="M36" s="5">
        <f>SUMIFS(ĐMCP!$Q:$Q,ĐMCP!$P:$P, "="&amp;'HQ1'!B36,ĐMCP!$O:$O, "="&amp;'HQ1'!A36)</f>
        <v>2526042431.9952149</v>
      </c>
      <c r="N36" s="89">
        <f t="shared" si="1"/>
        <v>4.7850608825683594E-3</v>
      </c>
    </row>
    <row r="37" spans="1:14" x14ac:dyDescent="0.25">
      <c r="A37" s="123" t="s">
        <v>49</v>
      </c>
      <c r="B37" s="16" t="s">
        <v>138</v>
      </c>
      <c r="C37" s="7">
        <v>2019730320</v>
      </c>
      <c r="D37" s="7">
        <v>498181379</v>
      </c>
      <c r="E37" s="7">
        <v>141948252</v>
      </c>
      <c r="F37" s="7">
        <v>-21984575</v>
      </c>
      <c r="G37" s="7">
        <v>486702035</v>
      </c>
      <c r="H37" s="7">
        <v>60591909.599999994</v>
      </c>
      <c r="I37" s="7">
        <v>854291319.39999998</v>
      </c>
      <c r="J37" s="113">
        <f>SUMIFS(PGĐ!$H:$H,PGĐ!$F:$F, "="&amp;B37, PGĐ!$I:$I, "="&amp;'HQ1'!A37)</f>
        <v>0</v>
      </c>
      <c r="K37" s="113"/>
      <c r="L37" s="78">
        <f t="shared" si="2"/>
        <v>0.25359535172640707</v>
      </c>
      <c r="M37" s="5">
        <f>SUMIFS(ĐMCP!$Q:$Q,ĐMCP!$P:$P, "="&amp;'HQ1'!B37,ĐMCP!$O:$O, "="&amp;'HQ1'!A37)</f>
        <v>486702034.5687272</v>
      </c>
      <c r="N37" s="89">
        <f t="shared" si="1"/>
        <v>0.43127280473709106</v>
      </c>
    </row>
    <row r="38" spans="1:14" x14ac:dyDescent="0.25">
      <c r="A38" s="123" t="s">
        <v>79</v>
      </c>
      <c r="B38" s="15" t="s">
        <v>45</v>
      </c>
      <c r="C38" s="132">
        <v>16408234629</v>
      </c>
      <c r="D38" s="132">
        <v>5588936152</v>
      </c>
      <c r="E38" s="132">
        <v>386101116.05000001</v>
      </c>
      <c r="F38" s="132">
        <v>55742104</v>
      </c>
      <c r="G38" s="132">
        <v>5535744611</v>
      </c>
      <c r="H38" s="132">
        <v>492247038.87</v>
      </c>
      <c r="I38" s="132">
        <v>4349463607.0799999</v>
      </c>
      <c r="J38" s="113">
        <f>SUMIFS(PGĐ!$H:$H,PGĐ!$F:$F, "="&amp;B38, PGĐ!$I:$I, "="&amp;'HQ1'!A38)</f>
        <v>0</v>
      </c>
      <c r="K38" s="113"/>
      <c r="L38" s="78">
        <f t="shared" si="2"/>
        <v>0.35230503175108668</v>
      </c>
      <c r="M38" s="5">
        <f>SUMIFS(ĐMCP!$Q:$Q,ĐMCP!$P:$P, "="&amp;'HQ1'!B38,ĐMCP!$O:$O, "="&amp;'HQ1'!A38)</f>
        <v>0</v>
      </c>
      <c r="N38" s="89">
        <f t="shared" si="1"/>
        <v>0</v>
      </c>
    </row>
    <row r="39" spans="1:14" x14ac:dyDescent="0.25">
      <c r="A39" s="123" t="s">
        <v>79</v>
      </c>
      <c r="B39" s="16" t="s">
        <v>135</v>
      </c>
      <c r="C39" s="7">
        <v>402175468</v>
      </c>
      <c r="D39" s="7">
        <v>47563774</v>
      </c>
      <c r="E39" s="7">
        <v>-12295424.25</v>
      </c>
      <c r="F39" s="7">
        <v>65306983</v>
      </c>
      <c r="G39" s="7">
        <v>170532227</v>
      </c>
      <c r="H39" s="7">
        <v>12065264.039999999</v>
      </c>
      <c r="I39" s="7">
        <v>119002644.21000001</v>
      </c>
      <c r="J39" s="113">
        <f>SUMIFS(PGĐ!$H:$H,PGĐ!$F:$F, "="&amp;B39, PGĐ!$I:$I, "="&amp;'HQ1'!A39)</f>
        <v>0</v>
      </c>
      <c r="K39" s="113"/>
      <c r="L39" s="78">
        <f t="shared" si="2"/>
        <v>0.27232493067792746</v>
      </c>
      <c r="M39" s="5">
        <f>SUMIFS(ĐMCP!$Q:$Q,ĐMCP!$P:$P, "="&amp;'HQ1'!B39,ĐMCP!$O:$O, "="&amp;'HQ1'!A39)</f>
        <v>170532227.1810607</v>
      </c>
      <c r="N39" s="89">
        <f t="shared" si="1"/>
        <v>-0.18106070160865784</v>
      </c>
    </row>
    <row r="40" spans="1:14" x14ac:dyDescent="0.25">
      <c r="A40" s="123" t="s">
        <v>79</v>
      </c>
      <c r="B40" s="16" t="s">
        <v>136</v>
      </c>
      <c r="C40" s="7">
        <v>198955000</v>
      </c>
      <c r="D40" s="7">
        <v>1148690</v>
      </c>
      <c r="E40" s="7">
        <v>-221416</v>
      </c>
      <c r="F40" s="7">
        <v>-470366</v>
      </c>
      <c r="G40" s="7">
        <v>106064620</v>
      </c>
      <c r="H40" s="7">
        <v>5968650</v>
      </c>
      <c r="I40" s="7">
        <v>86464822</v>
      </c>
      <c r="J40" s="113">
        <f>SUMIFS(PGĐ!$H:$H,PGĐ!$F:$F, "="&amp;B40, PGĐ!$I:$I, "="&amp;'HQ1'!A40)</f>
        <v>0</v>
      </c>
      <c r="K40" s="113"/>
      <c r="L40" s="78">
        <f t="shared" si="2"/>
        <v>3.4056441702415212E-3</v>
      </c>
      <c r="M40" s="5">
        <f>SUMIFS(ĐMCP!$Q:$Q,ĐMCP!$P:$P, "="&amp;'HQ1'!B40,ĐMCP!$O:$O, "="&amp;'HQ1'!A40)</f>
        <v>106064620.35038096</v>
      </c>
      <c r="N40" s="89">
        <f t="shared" si="1"/>
        <v>-0.35038095712661743</v>
      </c>
    </row>
    <row r="41" spans="1:14" x14ac:dyDescent="0.25">
      <c r="A41" s="123" t="s">
        <v>79</v>
      </c>
      <c r="B41" s="16" t="s">
        <v>137</v>
      </c>
      <c r="C41" s="7">
        <v>5612027288</v>
      </c>
      <c r="D41" s="7">
        <v>2034155612</v>
      </c>
      <c r="E41" s="7">
        <v>22927837.5</v>
      </c>
      <c r="F41" s="7">
        <v>9063696</v>
      </c>
      <c r="G41" s="7">
        <v>1974678061</v>
      </c>
      <c r="H41" s="7">
        <v>168360818.63999999</v>
      </c>
      <c r="I41" s="7">
        <v>1402841262.8600001</v>
      </c>
      <c r="J41" s="113">
        <f>SUMIFS(PGĐ!$H:$H,PGĐ!$F:$F, "="&amp;B41, PGĐ!$I:$I, "="&amp;'HQ1'!A41)</f>
        <v>18000000</v>
      </c>
      <c r="K41" s="113"/>
      <c r="L41" s="78">
        <f t="shared" si="2"/>
        <v>0.36557218673523761</v>
      </c>
      <c r="M41" s="5">
        <f>SUMIFS(ĐMCP!$Q:$Q,ĐMCP!$P:$P, "="&amp;'HQ1'!B41,ĐMCP!$O:$O, "="&amp;'HQ1'!A41)</f>
        <v>1974678060.9746273</v>
      </c>
      <c r="N41" s="89">
        <f t="shared" si="1"/>
        <v>2.5372743606567383E-2</v>
      </c>
    </row>
    <row r="42" spans="1:14" x14ac:dyDescent="0.25">
      <c r="A42" s="123" t="s">
        <v>79</v>
      </c>
      <c r="B42" s="16" t="s">
        <v>138</v>
      </c>
      <c r="C42" s="7">
        <v>10195076873</v>
      </c>
      <c r="D42" s="7">
        <v>3506068076</v>
      </c>
      <c r="E42" s="7">
        <v>375690118.80000001</v>
      </c>
      <c r="F42" s="7">
        <v>-18158209</v>
      </c>
      <c r="G42" s="7">
        <v>3284469703</v>
      </c>
      <c r="H42" s="7">
        <v>305852306.19</v>
      </c>
      <c r="I42" s="7">
        <v>2741154878.0099998</v>
      </c>
      <c r="J42" s="113">
        <f>SUMIFS(PGĐ!$H:$H,PGĐ!$F:$F, "="&amp;B42, PGĐ!$I:$I, "="&amp;'HQ1'!A42)</f>
        <v>0</v>
      </c>
      <c r="K42" s="113"/>
      <c r="L42" s="78">
        <f t="shared" si="2"/>
        <v>0.35520648634275787</v>
      </c>
      <c r="M42" s="5">
        <f>SUMIFS(ĐMCP!$Q:$Q,ĐMCP!$P:$P, "="&amp;'HQ1'!B42,ĐMCP!$O:$O, "="&amp;'HQ1'!A42)</f>
        <v>3284469703.025104</v>
      </c>
      <c r="N42" s="89">
        <f t="shared" si="1"/>
        <v>-2.5104045867919922E-2</v>
      </c>
    </row>
    <row r="43" spans="1:14" x14ac:dyDescent="0.25">
      <c r="A43" s="123" t="s">
        <v>100</v>
      </c>
      <c r="B43" s="15" t="s">
        <v>45</v>
      </c>
      <c r="C43" s="132">
        <v>3637715604</v>
      </c>
      <c r="D43" s="132">
        <v>5049136420</v>
      </c>
      <c r="E43" s="132">
        <v>120623513.64999999</v>
      </c>
      <c r="F43" s="132">
        <v>405506824.30000001</v>
      </c>
      <c r="G43" s="132">
        <v>1753013177</v>
      </c>
      <c r="H43" s="132">
        <v>109131468.11999999</v>
      </c>
      <c r="I43" s="132">
        <v>-3799695799.0700002</v>
      </c>
      <c r="J43" s="113">
        <f>SUMIFS(PGĐ!$H:$H,PGĐ!$F:$F, "="&amp;B43, PGĐ!$I:$I, "="&amp;'HQ1'!A43)</f>
        <v>0</v>
      </c>
      <c r="K43" s="113"/>
      <c r="L43" s="78">
        <f t="shared" si="2"/>
        <v>1.5508957696234751</v>
      </c>
      <c r="M43" s="5">
        <f>SUMIFS(ĐMCP!$Q:$Q,ĐMCP!$P:$P, "="&amp;'HQ1'!B43,ĐMCP!$O:$O, "="&amp;'HQ1'!A43)</f>
        <v>0</v>
      </c>
      <c r="N43" s="89">
        <f t="shared" si="1"/>
        <v>0</v>
      </c>
    </row>
    <row r="44" spans="1:14" x14ac:dyDescent="0.25">
      <c r="A44" s="123" t="s">
        <v>100</v>
      </c>
      <c r="B44" s="16" t="s">
        <v>135</v>
      </c>
      <c r="C44" s="7">
        <v>1612036300</v>
      </c>
      <c r="D44" s="7">
        <v>4629007000</v>
      </c>
      <c r="E44" s="7">
        <v>8343627.25</v>
      </c>
      <c r="F44" s="7">
        <v>37145533</v>
      </c>
      <c r="G44" s="7">
        <v>649886071</v>
      </c>
      <c r="H44" s="7">
        <v>48361089</v>
      </c>
      <c r="I44" s="7">
        <v>-3760707020.25</v>
      </c>
      <c r="J44" s="113">
        <f>SUMIFS(PGĐ!$H:$H,PGĐ!$F:$F, "="&amp;B44, PGĐ!$I:$I, "="&amp;'HQ1'!A44)</f>
        <v>1250000</v>
      </c>
      <c r="K44" s="113"/>
      <c r="L44" s="78">
        <f t="shared" si="2"/>
        <v>2.9096301381726195</v>
      </c>
      <c r="M44" s="5">
        <f>SUMIFS(ĐMCP!$Q:$Q,ĐMCP!$P:$P, "="&amp;'HQ1'!B44,ĐMCP!$O:$O, "="&amp;'HQ1'!A44)</f>
        <v>649886071.32981658</v>
      </c>
      <c r="N44" s="89">
        <f t="shared" si="1"/>
        <v>-0.32981657981872559</v>
      </c>
    </row>
    <row r="45" spans="1:14" x14ac:dyDescent="0.25">
      <c r="A45" s="123" t="s">
        <v>100</v>
      </c>
      <c r="B45" s="16" t="s">
        <v>136</v>
      </c>
      <c r="C45" s="7">
        <v>13748400</v>
      </c>
      <c r="E45" s="7">
        <v>-487160</v>
      </c>
      <c r="G45" s="7">
        <v>8605722</v>
      </c>
      <c r="H45" s="7">
        <v>412452</v>
      </c>
      <c r="I45" s="7">
        <v>5217386</v>
      </c>
      <c r="J45" s="113">
        <f>SUMIFS(PGĐ!$H:$H,PGĐ!$F:$F, "="&amp;B45, PGĐ!$I:$I, "="&amp;'HQ1'!A45)</f>
        <v>0</v>
      </c>
      <c r="K45" s="113"/>
      <c r="L45" s="78">
        <f t="shared" si="2"/>
        <v>0</v>
      </c>
      <c r="M45" s="5">
        <f>SUMIFS(ĐMCP!$Q:$Q,ĐMCP!$P:$P, "="&amp;'HQ1'!B45,ĐMCP!$O:$O, "="&amp;'HQ1'!A45)</f>
        <v>8605722.0041397642</v>
      </c>
      <c r="N45" s="89">
        <f t="shared" si="1"/>
        <v>-4.1397642344236374E-3</v>
      </c>
    </row>
    <row r="46" spans="1:14" x14ac:dyDescent="0.25">
      <c r="A46" s="123" t="s">
        <v>100</v>
      </c>
      <c r="B46" s="16" t="s">
        <v>137</v>
      </c>
      <c r="C46" s="7">
        <v>1364810179</v>
      </c>
      <c r="D46" s="7">
        <v>358409271</v>
      </c>
      <c r="E46" s="7">
        <v>11565327.5</v>
      </c>
      <c r="F46" s="7">
        <v>329780567.30000001</v>
      </c>
      <c r="G46" s="7">
        <v>726129245</v>
      </c>
      <c r="H46" s="7">
        <v>40944305.369999997</v>
      </c>
      <c r="I46" s="7">
        <v>-102018537.16999996</v>
      </c>
      <c r="J46" s="113">
        <f>SUMIFS(PGĐ!$H:$H,PGĐ!$F:$F, "="&amp;B46, PGĐ!$I:$I, "="&amp;'HQ1'!A46)</f>
        <v>2500000</v>
      </c>
      <c r="K46" s="113"/>
      <c r="L46" s="78">
        <f t="shared" si="2"/>
        <v>0.50854790804278927</v>
      </c>
      <c r="M46" s="5">
        <f>SUMIFS(ĐMCP!$Q:$Q,ĐMCP!$P:$P, "="&amp;'HQ1'!B46,ĐMCP!$O:$O, "="&amp;'HQ1'!A46)</f>
        <v>726129244.62665856</v>
      </c>
      <c r="N46" s="89">
        <f t="shared" si="1"/>
        <v>0.37334144115447998</v>
      </c>
    </row>
    <row r="47" spans="1:14" x14ac:dyDescent="0.25">
      <c r="A47" s="123" t="s">
        <v>100</v>
      </c>
      <c r="B47" s="16" t="s">
        <v>138</v>
      </c>
      <c r="C47" s="7">
        <v>647120725</v>
      </c>
      <c r="D47" s="7">
        <v>61720149</v>
      </c>
      <c r="E47" s="7">
        <v>101201718.89999999</v>
      </c>
      <c r="F47" s="7">
        <v>38580724</v>
      </c>
      <c r="G47" s="7">
        <v>368392139</v>
      </c>
      <c r="H47" s="7">
        <v>19413621.75</v>
      </c>
      <c r="I47" s="7">
        <v>57812372.350000024</v>
      </c>
      <c r="J47" s="113">
        <f>SUMIFS(PGĐ!$H:$H,PGĐ!$F:$F, "="&amp;B47, PGĐ!$I:$I, "="&amp;'HQ1'!A47)</f>
        <v>0</v>
      </c>
      <c r="K47" s="113"/>
      <c r="L47" s="78">
        <f t="shared" si="2"/>
        <v>0.18372848697197977</v>
      </c>
      <c r="M47" s="5">
        <f>SUMIFS(ĐMCP!$Q:$Q,ĐMCP!$P:$P, "="&amp;'HQ1'!B47,ĐMCP!$O:$O, "="&amp;'HQ1'!A47)</f>
        <v>368392138.82655269</v>
      </c>
      <c r="N47" s="89">
        <f t="shared" si="1"/>
        <v>0.17344731092453003</v>
      </c>
    </row>
    <row r="48" spans="1:14" x14ac:dyDescent="0.25">
      <c r="A48" s="123" t="s">
        <v>62</v>
      </c>
      <c r="B48" s="15" t="s">
        <v>45</v>
      </c>
      <c r="C48" s="132">
        <v>13536054851</v>
      </c>
      <c r="D48" s="132">
        <v>6890090506</v>
      </c>
      <c r="E48" s="132">
        <v>244886848</v>
      </c>
      <c r="F48" s="132">
        <v>-347078451</v>
      </c>
      <c r="G48" s="132">
        <v>4423285547</v>
      </c>
      <c r="H48" s="132">
        <v>406081645.52999997</v>
      </c>
      <c r="I48" s="132">
        <v>1918788755.47</v>
      </c>
      <c r="J48" s="113">
        <f>SUMIFS(PGĐ!$H:$H,PGĐ!$F:$F, "="&amp;B48, PGĐ!$I:$I, "="&amp;'HQ1'!A48)</f>
        <v>0</v>
      </c>
      <c r="K48" s="113"/>
      <c r="L48" s="78">
        <f t="shared" si="2"/>
        <v>0.49228269882098791</v>
      </c>
      <c r="M48" s="5">
        <f>SUMIFS(ĐMCP!$Q:$Q,ĐMCP!$P:$P, "="&amp;'HQ1'!B48,ĐMCP!$O:$O, "="&amp;'HQ1'!A48)</f>
        <v>0</v>
      </c>
      <c r="N48" s="89">
        <f t="shared" si="1"/>
        <v>0</v>
      </c>
    </row>
    <row r="49" spans="1:14" x14ac:dyDescent="0.25">
      <c r="A49" s="123" t="s">
        <v>62</v>
      </c>
      <c r="B49" s="16" t="s">
        <v>135</v>
      </c>
      <c r="C49" s="7">
        <v>6009799673</v>
      </c>
      <c r="D49" s="7">
        <v>2148037400</v>
      </c>
      <c r="E49" s="7">
        <v>-14433825.5</v>
      </c>
      <c r="F49" s="7">
        <v>271976500</v>
      </c>
      <c r="G49" s="7">
        <v>1859654076</v>
      </c>
      <c r="H49" s="7">
        <v>180293990.19</v>
      </c>
      <c r="I49" s="7">
        <v>1564271532.3099999</v>
      </c>
      <c r="J49" s="113">
        <f>SUMIFS(PGĐ!$H:$H,PGĐ!$F:$F, "="&amp;B49, PGĐ!$I:$I, "="&amp;'HQ1'!A49)</f>
        <v>160000</v>
      </c>
      <c r="K49" s="113"/>
      <c r="L49" s="78">
        <f t="shared" si="2"/>
        <v>0.40171316410669833</v>
      </c>
      <c r="M49" s="5">
        <f>SUMIFS(ĐMCP!$Q:$Q,ĐMCP!$P:$P, "="&amp;'HQ1'!B49,ĐMCP!$O:$O, "="&amp;'HQ1'!A49)</f>
        <v>1859654075.6106982</v>
      </c>
      <c r="N49" s="89">
        <f t="shared" si="1"/>
        <v>0.38930177688598633</v>
      </c>
    </row>
    <row r="50" spans="1:14" x14ac:dyDescent="0.25">
      <c r="A50" s="123" t="s">
        <v>62</v>
      </c>
      <c r="B50" s="16" t="s">
        <v>136</v>
      </c>
      <c r="C50" s="7">
        <v>48831400</v>
      </c>
      <c r="E50" s="7">
        <v>-652060</v>
      </c>
      <c r="G50" s="7">
        <v>25583206</v>
      </c>
      <c r="H50" s="7">
        <v>1464942</v>
      </c>
      <c r="I50" s="7">
        <v>22435312</v>
      </c>
      <c r="J50" s="113">
        <f>SUMIFS(PGĐ!$H:$H,PGĐ!$F:$F, "="&amp;B50, PGĐ!$I:$I, "="&amp;'HQ1'!A50)</f>
        <v>0</v>
      </c>
      <c r="K50" s="113"/>
      <c r="L50" s="78">
        <f t="shared" si="2"/>
        <v>0</v>
      </c>
      <c r="M50" s="5">
        <f>SUMIFS(ĐMCP!$Q:$Q,ĐMCP!$P:$P, "="&amp;'HQ1'!B50,ĐMCP!$O:$O, "="&amp;'HQ1'!A50)</f>
        <v>25583206.001678504</v>
      </c>
      <c r="N50" s="89">
        <f t="shared" si="1"/>
        <v>-1.6785040497779846E-3</v>
      </c>
    </row>
    <row r="51" spans="1:14" x14ac:dyDescent="0.25">
      <c r="A51" s="123" t="s">
        <v>62</v>
      </c>
      <c r="B51" s="16" t="s">
        <v>137</v>
      </c>
      <c r="C51" s="7">
        <v>6831481128</v>
      </c>
      <c r="D51" s="7">
        <v>4558282915</v>
      </c>
      <c r="E51" s="7">
        <v>169343359</v>
      </c>
      <c r="F51" s="7">
        <v>-614667052</v>
      </c>
      <c r="G51" s="7">
        <v>2302777891</v>
      </c>
      <c r="H51" s="7">
        <v>204944433.84</v>
      </c>
      <c r="I51" s="7">
        <v>210799581.16</v>
      </c>
      <c r="J51" s="113">
        <f>SUMIFS(PGĐ!$H:$H,PGĐ!$F:$F, "="&amp;B51, PGĐ!$I:$I, "="&amp;'HQ1'!A51)</f>
        <v>23657383</v>
      </c>
      <c r="K51" s="113"/>
      <c r="L51" s="78">
        <f t="shared" si="2"/>
        <v>0.59194450786506991</v>
      </c>
      <c r="M51" s="5">
        <f>SUMIFS(ĐMCP!$Q:$Q,ĐMCP!$P:$P, "="&amp;'HQ1'!B51,ĐMCP!$O:$O, "="&amp;'HQ1'!A51)</f>
        <v>2302777890.9434748</v>
      </c>
      <c r="N51" s="89">
        <f t="shared" si="1"/>
        <v>5.6525230407714844E-2</v>
      </c>
    </row>
    <row r="52" spans="1:14" x14ac:dyDescent="0.25">
      <c r="A52" s="123" t="s">
        <v>62</v>
      </c>
      <c r="B52" s="16" t="s">
        <v>138</v>
      </c>
      <c r="C52" s="7">
        <v>645942650</v>
      </c>
      <c r="D52" s="7">
        <v>183770191</v>
      </c>
      <c r="E52" s="7">
        <v>90629374.5</v>
      </c>
      <c r="F52" s="7">
        <v>-4387899</v>
      </c>
      <c r="G52" s="7">
        <v>235270374</v>
      </c>
      <c r="H52" s="7">
        <v>19378279.5</v>
      </c>
      <c r="I52" s="7">
        <v>121282330</v>
      </c>
      <c r="J52" s="113">
        <f>SUMIFS(PGĐ!$H:$H,PGĐ!$F:$F, "="&amp;B52, PGĐ!$I:$I, "="&amp;'HQ1'!A52)</f>
        <v>0</v>
      </c>
      <c r="K52" s="113"/>
      <c r="L52" s="78">
        <f t="shared" si="2"/>
        <v>0.32302899987126277</v>
      </c>
      <c r="M52" s="5">
        <f>SUMIFS(ĐMCP!$Q:$Q,ĐMCP!$P:$P, "="&amp;'HQ1'!B52,ĐMCP!$O:$O, "="&amp;'HQ1'!A52)</f>
        <v>235270373.74490112</v>
      </c>
      <c r="N52" s="89">
        <f t="shared" si="1"/>
        <v>0.25509887933731079</v>
      </c>
    </row>
    <row r="53" spans="1:14" x14ac:dyDescent="0.25">
      <c r="A53" s="123" t="s">
        <v>54</v>
      </c>
      <c r="B53" s="15" t="s">
        <v>45</v>
      </c>
      <c r="C53" s="132">
        <v>14029532706</v>
      </c>
      <c r="D53" s="132">
        <v>8784394304</v>
      </c>
      <c r="E53" s="132">
        <v>-82249212.349999994</v>
      </c>
      <c r="F53" s="132">
        <v>-1055667683</v>
      </c>
      <c r="G53" s="132">
        <v>5006228341</v>
      </c>
      <c r="H53" s="132">
        <v>420885981.18000001</v>
      </c>
      <c r="I53" s="132">
        <v>955940975.17000008</v>
      </c>
      <c r="J53" s="113">
        <f>SUMIFS(PGĐ!$H:$H,PGĐ!$F:$F, "="&amp;B53, PGĐ!$I:$I, "="&amp;'HQ1'!A53)</f>
        <v>0</v>
      </c>
      <c r="K53" s="113"/>
      <c r="L53" s="78">
        <f t="shared" si="2"/>
        <v>0.54767900083192822</v>
      </c>
      <c r="M53" s="5">
        <f>SUMIFS(ĐMCP!$Q:$Q,ĐMCP!$P:$P, "="&amp;'HQ1'!B53,ĐMCP!$O:$O, "="&amp;'HQ1'!A53)</f>
        <v>0</v>
      </c>
      <c r="N53" s="89">
        <f t="shared" si="1"/>
        <v>0</v>
      </c>
    </row>
    <row r="54" spans="1:14" x14ac:dyDescent="0.25">
      <c r="A54" s="123" t="s">
        <v>54</v>
      </c>
      <c r="B54" s="16" t="s">
        <v>135</v>
      </c>
      <c r="C54" s="7">
        <v>1857584516</v>
      </c>
      <c r="D54" s="7">
        <v>868850670</v>
      </c>
      <c r="E54" s="7">
        <v>-67539179.5</v>
      </c>
      <c r="F54" s="7">
        <v>235655200</v>
      </c>
      <c r="G54" s="7">
        <v>643767928</v>
      </c>
      <c r="H54" s="7">
        <v>55727535.479999997</v>
      </c>
      <c r="I54" s="7">
        <v>121122362.02000001</v>
      </c>
      <c r="J54" s="113">
        <f>SUMIFS(PGĐ!$H:$H,PGĐ!$F:$F, "="&amp;B54, PGĐ!$I:$I, "="&amp;'HQ1'!A54)</f>
        <v>0</v>
      </c>
      <c r="K54" s="113"/>
      <c r="L54" s="78">
        <f t="shared" si="2"/>
        <v>0.57373241656200891</v>
      </c>
      <c r="M54" s="5">
        <f>SUMIFS(ĐMCP!$Q:$Q,ĐMCP!$P:$P, "="&amp;'HQ1'!B54,ĐMCP!$O:$O, "="&amp;'HQ1'!A54)</f>
        <v>643767927.85969579</v>
      </c>
      <c r="N54" s="89">
        <f t="shared" si="1"/>
        <v>0.14030420780181885</v>
      </c>
    </row>
    <row r="55" spans="1:14" x14ac:dyDescent="0.25">
      <c r="A55" s="123" t="s">
        <v>54</v>
      </c>
      <c r="B55" s="16" t="s">
        <v>136</v>
      </c>
      <c r="C55" s="7">
        <v>55877800</v>
      </c>
      <c r="D55" s="7">
        <v>4072800</v>
      </c>
      <c r="E55" s="7">
        <v>-2908420</v>
      </c>
      <c r="G55" s="7">
        <v>29403556</v>
      </c>
      <c r="H55" s="7">
        <v>1676334</v>
      </c>
      <c r="I55" s="7">
        <v>23633530</v>
      </c>
      <c r="J55" s="113">
        <f>SUMIFS(PGĐ!$H:$H,PGĐ!$F:$F, "="&amp;B55, PGĐ!$I:$I, "="&amp;'HQ1'!A55)</f>
        <v>0</v>
      </c>
      <c r="K55" s="113"/>
      <c r="L55" s="78">
        <f t="shared" si="2"/>
        <v>6.9281542511153121E-2</v>
      </c>
      <c r="M55" s="5">
        <f>SUMIFS(ĐMCP!$Q:$Q,ĐMCP!$P:$P, "="&amp;'HQ1'!B55,ĐMCP!$O:$O, "="&amp;'HQ1'!A55)</f>
        <v>29403556.360451948</v>
      </c>
      <c r="N55" s="89">
        <f t="shared" si="1"/>
        <v>-0.36045194789767265</v>
      </c>
    </row>
    <row r="56" spans="1:14" x14ac:dyDescent="0.25">
      <c r="A56" s="123" t="s">
        <v>54</v>
      </c>
      <c r="B56" s="16" t="s">
        <v>137</v>
      </c>
      <c r="C56" s="7">
        <v>8926022983</v>
      </c>
      <c r="D56" s="7">
        <v>5390570887</v>
      </c>
      <c r="E56" s="7">
        <v>-77084712.75</v>
      </c>
      <c r="F56" s="7">
        <v>-1285090765</v>
      </c>
      <c r="G56" s="7">
        <v>3311497215</v>
      </c>
      <c r="H56" s="7">
        <v>267780689.48999998</v>
      </c>
      <c r="I56" s="7">
        <v>1318349669.26</v>
      </c>
      <c r="J56" s="113">
        <f>SUMIFS(PGĐ!$H:$H,PGĐ!$F:$F, "="&amp;B56, PGĐ!$I:$I, "="&amp;'HQ1'!A56)</f>
        <v>11200000</v>
      </c>
      <c r="K56" s="113"/>
      <c r="L56" s="78">
        <f t="shared" si="2"/>
        <v>0.45600699899858244</v>
      </c>
      <c r="M56" s="5">
        <f>SUMIFS(ĐMCP!$Q:$Q,ĐMCP!$P:$P, "="&amp;'HQ1'!B56,ĐMCP!$O:$O, "="&amp;'HQ1'!A56)</f>
        <v>3311497214.5197911</v>
      </c>
      <c r="N56" s="89">
        <f t="shared" si="1"/>
        <v>0.4802088737487793</v>
      </c>
    </row>
    <row r="57" spans="1:14" x14ac:dyDescent="0.25">
      <c r="A57" s="123" t="s">
        <v>54</v>
      </c>
      <c r="B57" s="16" t="s">
        <v>138</v>
      </c>
      <c r="C57" s="7">
        <v>3190047407</v>
      </c>
      <c r="D57" s="7">
        <v>2520899947</v>
      </c>
      <c r="E57" s="7">
        <v>65283099.899999999</v>
      </c>
      <c r="F57" s="7">
        <v>-6232118</v>
      </c>
      <c r="G57" s="7">
        <v>1021559642</v>
      </c>
      <c r="H57" s="7">
        <v>95701422.209999993</v>
      </c>
      <c r="I57" s="7">
        <v>-507164586.10999995</v>
      </c>
      <c r="J57" s="113">
        <f>SUMIFS(PGĐ!$H:$H,PGĐ!$F:$F, "="&amp;B57, PGĐ!$I:$I, "="&amp;'HQ1'!A57)</f>
        <v>0</v>
      </c>
      <c r="K57" s="113"/>
      <c r="L57" s="78">
        <f t="shared" si="2"/>
        <v>0.8047544012475577</v>
      </c>
      <c r="M57" s="5">
        <f>SUMIFS(ĐMCP!$Q:$Q,ĐMCP!$P:$P, "="&amp;'HQ1'!B57,ĐMCP!$O:$O, "="&amp;'HQ1'!A57)</f>
        <v>1021559641.6719056</v>
      </c>
      <c r="N57" s="89">
        <f t="shared" si="1"/>
        <v>0.32809436321258545</v>
      </c>
    </row>
    <row r="58" spans="1:14" x14ac:dyDescent="0.25">
      <c r="A58" s="123" t="s">
        <v>78</v>
      </c>
      <c r="B58" s="15" t="s">
        <v>45</v>
      </c>
      <c r="C58" s="132">
        <v>8575615147</v>
      </c>
      <c r="D58" s="132">
        <v>4201481706</v>
      </c>
      <c r="E58" s="132">
        <v>116098568.25</v>
      </c>
      <c r="F58" s="132">
        <v>-286242454</v>
      </c>
      <c r="G58" s="132">
        <v>2855475473</v>
      </c>
      <c r="H58" s="132">
        <v>257268454.41</v>
      </c>
      <c r="I58" s="132">
        <v>1431533399.3399999</v>
      </c>
      <c r="J58" s="113">
        <f>SUMIFS(PGĐ!$H:$H,PGĐ!$F:$F, "="&amp;B58, PGĐ!$I:$I, "="&amp;'HQ1'!A58)</f>
        <v>0</v>
      </c>
      <c r="K58" s="113"/>
      <c r="L58" s="78">
        <f t="shared" si="2"/>
        <v>0.46282068432077306</v>
      </c>
      <c r="M58" s="5">
        <f>SUMIFS(ĐMCP!$Q:$Q,ĐMCP!$P:$P, "="&amp;'HQ1'!B58,ĐMCP!$O:$O, "="&amp;'HQ1'!A58)</f>
        <v>0</v>
      </c>
      <c r="N58" s="89">
        <f t="shared" si="1"/>
        <v>0</v>
      </c>
    </row>
    <row r="59" spans="1:14" x14ac:dyDescent="0.25">
      <c r="A59" s="123" t="s">
        <v>78</v>
      </c>
      <c r="B59" s="16" t="s">
        <v>135</v>
      </c>
      <c r="C59" s="7">
        <v>1422788000</v>
      </c>
      <c r="D59" s="7">
        <v>1161236293</v>
      </c>
      <c r="E59" s="7">
        <v>-47001081.75</v>
      </c>
      <c r="F59" s="7">
        <v>-499160000</v>
      </c>
      <c r="G59" s="7">
        <v>476679968</v>
      </c>
      <c r="H59" s="7">
        <v>42683640</v>
      </c>
      <c r="I59" s="7">
        <v>288349180.75</v>
      </c>
      <c r="J59" s="113">
        <f>SUMIFS(PGĐ!$H:$H,PGĐ!$F:$F, "="&amp;B59, PGĐ!$I:$I, "="&amp;'HQ1'!A59)</f>
        <v>0</v>
      </c>
      <c r="K59" s="113"/>
      <c r="L59" s="78">
        <f t="shared" si="2"/>
        <v>0.45045666838924997</v>
      </c>
      <c r="M59" s="5">
        <f>SUMIFS(ĐMCP!$Q:$Q,ĐMCP!$P:$P, "="&amp;'HQ1'!B59,ĐMCP!$O:$O, "="&amp;'HQ1'!A59)</f>
        <v>476679967.81736445</v>
      </c>
      <c r="N59" s="89">
        <f t="shared" si="1"/>
        <v>0.18263554573059082</v>
      </c>
    </row>
    <row r="60" spans="1:14" x14ac:dyDescent="0.25">
      <c r="A60" s="123" t="s">
        <v>78</v>
      </c>
      <c r="B60" s="16" t="s">
        <v>136</v>
      </c>
      <c r="C60" s="7">
        <v>43330000</v>
      </c>
      <c r="E60" s="7">
        <v>3468425</v>
      </c>
      <c r="G60" s="7">
        <v>23153719</v>
      </c>
      <c r="H60" s="7">
        <v>1299900</v>
      </c>
      <c r="I60" s="7">
        <v>15407956</v>
      </c>
      <c r="J60" s="113">
        <f>SUMIFS(PGĐ!$H:$H,PGĐ!$F:$F, "="&amp;B60, PGĐ!$I:$I, "="&amp;'HQ1'!A60)</f>
        <v>0</v>
      </c>
      <c r="K60" s="113"/>
      <c r="L60" s="78">
        <f t="shared" si="2"/>
        <v>0</v>
      </c>
      <c r="M60" s="5">
        <f>SUMIFS(ĐMCP!$Q:$Q,ĐMCP!$P:$P, "="&amp;'HQ1'!B60,ĐMCP!$O:$O, "="&amp;'HQ1'!A60)</f>
        <v>23153718.760567814</v>
      </c>
      <c r="N60" s="89">
        <f t="shared" si="1"/>
        <v>0.23943218588829041</v>
      </c>
    </row>
    <row r="61" spans="1:14" x14ac:dyDescent="0.25">
      <c r="A61" s="123" t="s">
        <v>78</v>
      </c>
      <c r="B61" s="16" t="s">
        <v>137</v>
      </c>
      <c r="C61" s="7">
        <v>6502349157</v>
      </c>
      <c r="D61" s="7">
        <v>2509112397</v>
      </c>
      <c r="E61" s="7">
        <v>86017948</v>
      </c>
      <c r="F61" s="7">
        <v>372774809</v>
      </c>
      <c r="G61" s="7">
        <v>2145713747</v>
      </c>
      <c r="H61" s="7">
        <v>195070474.70999998</v>
      </c>
      <c r="I61" s="7">
        <v>1193659781.29</v>
      </c>
      <c r="J61" s="113">
        <f>SUMIFS(PGĐ!$H:$H,PGĐ!$F:$F, "="&amp;B61, PGĐ!$I:$I, "="&amp;'HQ1'!A61)</f>
        <v>13888196</v>
      </c>
      <c r="K61" s="113"/>
      <c r="L61" s="78">
        <f t="shared" si="2"/>
        <v>0.44914875995766257</v>
      </c>
      <c r="M61" s="5">
        <f>SUMIFS(ĐMCP!$Q:$Q,ĐMCP!$P:$P, "="&amp;'HQ1'!B61,ĐMCP!$O:$O, "="&amp;'HQ1'!A61)</f>
        <v>2145713746.9937894</v>
      </c>
      <c r="N61" s="89">
        <f t="shared" si="1"/>
        <v>6.2105655670166016E-3</v>
      </c>
    </row>
    <row r="62" spans="1:14" x14ac:dyDescent="0.25">
      <c r="A62" s="123" t="s">
        <v>78</v>
      </c>
      <c r="B62" s="16" t="s">
        <v>138</v>
      </c>
      <c r="C62" s="7">
        <v>607147990</v>
      </c>
      <c r="D62" s="7">
        <v>531133016</v>
      </c>
      <c r="E62" s="7">
        <v>73613277</v>
      </c>
      <c r="F62" s="7">
        <v>-159857263</v>
      </c>
      <c r="G62" s="7">
        <v>209928039</v>
      </c>
      <c r="H62" s="7">
        <v>18214439.699999999</v>
      </c>
      <c r="I62" s="7">
        <v>-65883518.700000003</v>
      </c>
      <c r="J62" s="113">
        <f>SUMIFS(PGĐ!$H:$H,PGĐ!$F:$F, "="&amp;B62, PGĐ!$I:$I, "="&amp;'HQ1'!A62)</f>
        <v>0</v>
      </c>
      <c r="K62" s="113"/>
      <c r="L62" s="78">
        <f t="shared" si="2"/>
        <v>0.69587928199153559</v>
      </c>
      <c r="M62" s="5">
        <f>SUMIFS(ĐMCP!$Q:$Q,ĐMCP!$P:$P, "="&amp;'HQ1'!B62,ĐMCP!$O:$O, "="&amp;'HQ1'!A62)</f>
        <v>209928038.74220774</v>
      </c>
      <c r="N62" s="89">
        <f t="shared" si="1"/>
        <v>0.25779226422309875</v>
      </c>
    </row>
    <row r="63" spans="1:14" x14ac:dyDescent="0.25">
      <c r="A63" s="123" t="s">
        <v>88</v>
      </c>
      <c r="B63" s="15" t="s">
        <v>45</v>
      </c>
      <c r="C63" s="132">
        <v>14259804502</v>
      </c>
      <c r="D63" s="132">
        <v>10098767227</v>
      </c>
      <c r="E63" s="132">
        <v>-152565348.75</v>
      </c>
      <c r="F63" s="132">
        <v>-645773808</v>
      </c>
      <c r="G63" s="132">
        <v>5180424461</v>
      </c>
      <c r="H63" s="132">
        <v>427794135.06</v>
      </c>
      <c r="I63" s="132">
        <v>-648842164.3099997</v>
      </c>
      <c r="J63" s="113">
        <f>SUMIFS(PGĐ!$H:$H,PGĐ!$F:$F, "="&amp;B63, PGĐ!$I:$I, "="&amp;'HQ1'!A63)</f>
        <v>0</v>
      </c>
      <c r="K63" s="113"/>
      <c r="L63" s="78">
        <f t="shared" si="2"/>
        <v>0.65589445156433301</v>
      </c>
      <c r="M63" s="5">
        <f>SUMIFS(ĐMCP!$Q:$Q,ĐMCP!$P:$P, "="&amp;'HQ1'!B63,ĐMCP!$O:$O, "="&amp;'HQ1'!A63)</f>
        <v>0</v>
      </c>
      <c r="N63" s="89">
        <f t="shared" si="1"/>
        <v>0</v>
      </c>
    </row>
    <row r="64" spans="1:14" x14ac:dyDescent="0.25">
      <c r="A64" s="123" t="s">
        <v>88</v>
      </c>
      <c r="B64" s="16" t="s">
        <v>135</v>
      </c>
      <c r="C64" s="7">
        <v>4857142900</v>
      </c>
      <c r="D64" s="7">
        <v>6499254500</v>
      </c>
      <c r="E64" s="7">
        <v>-208299908.5</v>
      </c>
      <c r="F64" s="7">
        <v>-97710000</v>
      </c>
      <c r="G64" s="7">
        <v>1597068986</v>
      </c>
      <c r="H64" s="7">
        <v>145714287</v>
      </c>
      <c r="I64" s="7">
        <v>-3078884964.5</v>
      </c>
      <c r="J64" s="113">
        <f>SUMIFS(PGĐ!$H:$H,PGĐ!$F:$F, "="&amp;B64, PGĐ!$I:$I, "="&amp;'HQ1'!A64)</f>
        <v>2778500</v>
      </c>
      <c r="K64" s="113"/>
      <c r="L64" s="78">
        <f t="shared" si="2"/>
        <v>1.2637679946278284</v>
      </c>
      <c r="M64" s="5">
        <f>SUMIFS(ĐMCP!$Q:$Q,ĐMCP!$P:$P, "="&amp;'HQ1'!B64,ĐMCP!$O:$O, "="&amp;'HQ1'!A64)</f>
        <v>1597068985.7948442</v>
      </c>
      <c r="N64" s="89">
        <f t="shared" si="1"/>
        <v>0.20515584945678711</v>
      </c>
    </row>
    <row r="65" spans="1:14" x14ac:dyDescent="0.25">
      <c r="A65" s="123" t="s">
        <v>88</v>
      </c>
      <c r="B65" s="16" t="s">
        <v>136</v>
      </c>
      <c r="C65" s="7">
        <v>110977500</v>
      </c>
      <c r="E65" s="7">
        <v>-1412250</v>
      </c>
      <c r="G65" s="7">
        <v>59929030</v>
      </c>
      <c r="H65" s="7">
        <v>3329325</v>
      </c>
      <c r="I65" s="7">
        <v>49131395</v>
      </c>
      <c r="J65" s="113">
        <f>SUMIFS(PGĐ!$H:$H,PGĐ!$F:$F, "="&amp;B65, PGĐ!$I:$I, "="&amp;'HQ1'!A65)</f>
        <v>0</v>
      </c>
      <c r="K65" s="113"/>
      <c r="L65" s="78">
        <f t="shared" si="2"/>
        <v>0</v>
      </c>
      <c r="M65" s="5">
        <f>SUMIFS(ĐMCP!$Q:$Q,ĐMCP!$P:$P, "="&amp;'HQ1'!B65,ĐMCP!$O:$O, "="&amp;'HQ1'!A65)</f>
        <v>59929030.087604553</v>
      </c>
      <c r="N65" s="89">
        <f t="shared" si="1"/>
        <v>-8.7604552507400513E-2</v>
      </c>
    </row>
    <row r="66" spans="1:14" x14ac:dyDescent="0.25">
      <c r="A66" s="123" t="s">
        <v>88</v>
      </c>
      <c r="B66" s="16" t="s">
        <v>137</v>
      </c>
      <c r="C66" s="7">
        <v>7537033112</v>
      </c>
      <c r="D66" s="7">
        <v>3047597238</v>
      </c>
      <c r="E66" s="7">
        <v>-130769653.25</v>
      </c>
      <c r="F66" s="7">
        <v>-310089073</v>
      </c>
      <c r="G66" s="7">
        <v>2844583958</v>
      </c>
      <c r="H66" s="7">
        <v>226110993.35999998</v>
      </c>
      <c r="I66" s="7">
        <v>1859599648.8900001</v>
      </c>
      <c r="J66" s="113">
        <f>SUMIFS(PGĐ!$H:$H,PGĐ!$F:$F, "="&amp;B66, PGĐ!$I:$I, "="&amp;'HQ1'!A66)</f>
        <v>11800000</v>
      </c>
      <c r="K66" s="113"/>
      <c r="L66" s="78">
        <f t="shared" si="2"/>
        <v>0.35701337773139064</v>
      </c>
      <c r="M66" s="5">
        <f>SUMIFS(ĐMCP!$Q:$Q,ĐMCP!$P:$P, "="&amp;'HQ1'!B66,ĐMCP!$O:$O, "="&amp;'HQ1'!A66)</f>
        <v>2844583957.5450687</v>
      </c>
      <c r="N66" s="89">
        <f t="shared" si="1"/>
        <v>0.45493125915527344</v>
      </c>
    </row>
    <row r="67" spans="1:14" x14ac:dyDescent="0.25">
      <c r="A67" s="123" t="s">
        <v>88</v>
      </c>
      <c r="B67" s="16" t="s">
        <v>138</v>
      </c>
      <c r="C67" s="7">
        <v>1754650990</v>
      </c>
      <c r="D67" s="7">
        <v>551915489</v>
      </c>
      <c r="E67" s="7">
        <v>187916463</v>
      </c>
      <c r="F67" s="7">
        <v>-237974735</v>
      </c>
      <c r="G67" s="7">
        <v>678842487</v>
      </c>
      <c r="H67" s="7">
        <v>52639529.699999996</v>
      </c>
      <c r="I67" s="7">
        <v>521311756.30000001</v>
      </c>
      <c r="J67" s="113">
        <f>SUMIFS(PGĐ!$H:$H,PGĐ!$F:$F, "="&amp;B67, PGĐ!$I:$I, "="&amp;'HQ1'!A67)</f>
        <v>0</v>
      </c>
      <c r="K67" s="113"/>
      <c r="L67" s="78">
        <f t="shared" si="2"/>
        <v>0.20037903587989289</v>
      </c>
      <c r="M67" s="5">
        <f>SUMIFS(ĐMCP!$Q:$Q,ĐMCP!$P:$P, "="&amp;'HQ1'!B67,ĐMCP!$O:$O, "="&amp;'HQ1'!A67)</f>
        <v>678842487.11356676</v>
      </c>
      <c r="N67" s="89">
        <f t="shared" ref="N67:N130" si="3">IF(M67=0,0,G67-M67)</f>
        <v>-0.11356675624847412</v>
      </c>
    </row>
    <row r="68" spans="1:14" x14ac:dyDescent="0.25">
      <c r="A68" s="123" t="s">
        <v>106</v>
      </c>
      <c r="B68" s="15" t="s">
        <v>45</v>
      </c>
      <c r="C68" s="132">
        <v>4982425894</v>
      </c>
      <c r="D68" s="132">
        <v>2326831399</v>
      </c>
      <c r="E68" s="132">
        <v>135898988.90000001</v>
      </c>
      <c r="F68" s="132">
        <v>884812717.00000024</v>
      </c>
      <c r="G68" s="132">
        <v>1728847515</v>
      </c>
      <c r="H68" s="132">
        <v>149472776.81999999</v>
      </c>
      <c r="I68" s="132">
        <v>-243437502.72000024</v>
      </c>
      <c r="J68" s="113">
        <f>SUMIFS(PGĐ!$H:$H,PGĐ!$F:$F, "="&amp;B68, PGĐ!$I:$I, "="&amp;'HQ1'!A68)</f>
        <v>0</v>
      </c>
      <c r="K68" s="113"/>
      <c r="L68" s="78">
        <f t="shared" ref="L68:L131" si="4">(D68+F68)/(C68-E68)</f>
        <v>0.66266920186090106</v>
      </c>
      <c r="M68" s="5">
        <f>SUMIFS(ĐMCP!$Q:$Q,ĐMCP!$P:$P, "="&amp;'HQ1'!B68,ĐMCP!$O:$O, "="&amp;'HQ1'!A68)</f>
        <v>0</v>
      </c>
      <c r="N68" s="89">
        <f t="shared" si="3"/>
        <v>0</v>
      </c>
    </row>
    <row r="69" spans="1:14" x14ac:dyDescent="0.25">
      <c r="A69" s="123" t="s">
        <v>106</v>
      </c>
      <c r="B69" s="16" t="s">
        <v>135</v>
      </c>
      <c r="C69" s="7">
        <v>1263057320</v>
      </c>
      <c r="D69" s="7">
        <v>1183759602</v>
      </c>
      <c r="E69" s="7">
        <v>-9143758.25</v>
      </c>
      <c r="F69" s="7">
        <v>-6375000</v>
      </c>
      <c r="G69" s="7">
        <v>409467579</v>
      </c>
      <c r="H69" s="7">
        <v>37891719.600000001</v>
      </c>
      <c r="I69" s="7">
        <v>-352542822.35000002</v>
      </c>
      <c r="J69" s="113">
        <f>SUMIFS(PGĐ!$H:$H,PGĐ!$F:$F, "="&amp;B69, PGĐ!$I:$I, "="&amp;'HQ1'!A69)</f>
        <v>0</v>
      </c>
      <c r="K69" s="113"/>
      <c r="L69" s="78">
        <f t="shared" si="4"/>
        <v>0.92547052673432206</v>
      </c>
      <c r="M69" s="5">
        <f>SUMIFS(ĐMCP!$Q:$Q,ĐMCP!$P:$P, "="&amp;'HQ1'!B69,ĐMCP!$O:$O, "="&amp;'HQ1'!A69)</f>
        <v>409467578.61356992</v>
      </c>
      <c r="N69" s="89">
        <f t="shared" si="3"/>
        <v>0.38643008470535278</v>
      </c>
    </row>
    <row r="70" spans="1:14" x14ac:dyDescent="0.25">
      <c r="A70" s="123" t="s">
        <v>106</v>
      </c>
      <c r="B70" s="16" t="s">
        <v>136</v>
      </c>
      <c r="C70" s="7">
        <v>1352000</v>
      </c>
      <c r="E70" s="7">
        <v>-327800</v>
      </c>
      <c r="G70" s="7">
        <v>713191</v>
      </c>
      <c r="H70" s="7">
        <v>40560</v>
      </c>
      <c r="I70" s="7">
        <v>926049</v>
      </c>
      <c r="J70" s="113">
        <f>SUMIFS(PGĐ!$H:$H,PGĐ!$F:$F, "="&amp;B70, PGĐ!$I:$I, "="&amp;'HQ1'!A70)</f>
        <v>0</v>
      </c>
      <c r="K70" s="113"/>
      <c r="L70" s="78">
        <f t="shared" si="4"/>
        <v>0</v>
      </c>
      <c r="M70" s="5">
        <f>SUMIFS(ĐMCP!$Q:$Q,ĐMCP!$P:$P, "="&amp;'HQ1'!B70,ĐMCP!$O:$O, "="&amp;'HQ1'!A70)</f>
        <v>713191.29974980722</v>
      </c>
      <c r="N70" s="89">
        <f t="shared" si="3"/>
        <v>-0.29974980722181499</v>
      </c>
    </row>
    <row r="71" spans="1:14" x14ac:dyDescent="0.25">
      <c r="A71" s="123" t="s">
        <v>106</v>
      </c>
      <c r="B71" s="16" t="s">
        <v>137</v>
      </c>
      <c r="C71" s="7">
        <v>2900145301</v>
      </c>
      <c r="D71" s="7">
        <v>893161298</v>
      </c>
      <c r="E71" s="7">
        <v>9396675.75</v>
      </c>
      <c r="F71" s="7">
        <v>944327046.00000024</v>
      </c>
      <c r="G71" s="7">
        <v>923054763</v>
      </c>
      <c r="H71" s="7">
        <v>87004359.030000001</v>
      </c>
      <c r="I71" s="7">
        <v>43201159.21999976</v>
      </c>
      <c r="J71" s="113">
        <f>SUMIFS(PGĐ!$H:$H,PGĐ!$F:$F, "="&amp;B71, PGĐ!$I:$I, "="&amp;'HQ1'!A71)</f>
        <v>11400000</v>
      </c>
      <c r="K71" s="113"/>
      <c r="L71" s="78">
        <f t="shared" si="4"/>
        <v>0.63564445830743554</v>
      </c>
      <c r="M71" s="5">
        <f>SUMIFS(ĐMCP!$Q:$Q,ĐMCP!$P:$P, "="&amp;'HQ1'!B71,ĐMCP!$O:$O, "="&amp;'HQ1'!A71)</f>
        <v>923054762.76789212</v>
      </c>
      <c r="N71" s="89">
        <f t="shared" si="3"/>
        <v>0.23210787773132324</v>
      </c>
    </row>
    <row r="72" spans="1:14" x14ac:dyDescent="0.25">
      <c r="A72" s="123" t="s">
        <v>106</v>
      </c>
      <c r="B72" s="16" t="s">
        <v>138</v>
      </c>
      <c r="C72" s="7">
        <v>817871273</v>
      </c>
      <c r="D72" s="7">
        <v>249910499</v>
      </c>
      <c r="E72" s="7">
        <v>135973871.40000001</v>
      </c>
      <c r="F72" s="7">
        <v>-53139329</v>
      </c>
      <c r="G72" s="7">
        <v>395611982</v>
      </c>
      <c r="H72" s="7">
        <v>24536138.189999998</v>
      </c>
      <c r="I72" s="7">
        <v>64978111.410000026</v>
      </c>
      <c r="J72" s="113">
        <f>SUMIFS(PGĐ!$H:$H,PGĐ!$F:$F, "="&amp;B72, PGĐ!$I:$I, "="&amp;'HQ1'!A72)</f>
        <v>0</v>
      </c>
      <c r="K72" s="113"/>
      <c r="L72" s="78">
        <f t="shared" si="4"/>
        <v>0.28856418801171158</v>
      </c>
      <c r="M72" s="5">
        <f>SUMIFS(ĐMCP!$Q:$Q,ĐMCP!$P:$P, "="&amp;'HQ1'!B72,ĐMCP!$O:$O, "="&amp;'HQ1'!A72)</f>
        <v>395611981.76205498</v>
      </c>
      <c r="N72" s="89">
        <f t="shared" si="3"/>
        <v>0.23794502019882202</v>
      </c>
    </row>
    <row r="73" spans="1:14" x14ac:dyDescent="0.25">
      <c r="A73" s="123" t="s">
        <v>83</v>
      </c>
      <c r="B73" s="15" t="s">
        <v>45</v>
      </c>
      <c r="C73" s="132">
        <v>21468583342</v>
      </c>
      <c r="D73" s="132">
        <v>9612211181</v>
      </c>
      <c r="E73" s="132">
        <v>412757982.25</v>
      </c>
      <c r="F73" s="132">
        <v>1337421235</v>
      </c>
      <c r="G73" s="132">
        <v>7581908548</v>
      </c>
      <c r="H73" s="132">
        <v>644057500.25999999</v>
      </c>
      <c r="I73" s="132">
        <v>1880226895.4900002</v>
      </c>
      <c r="J73" s="113">
        <f>SUMIFS(PGĐ!$H:$H,PGĐ!$F:$F, "="&amp;B73, PGĐ!$I:$I, "="&amp;'HQ1'!A73)</f>
        <v>0</v>
      </c>
      <c r="K73" s="113"/>
      <c r="L73" s="78">
        <f t="shared" si="4"/>
        <v>0.52002864902798596</v>
      </c>
      <c r="M73" s="5">
        <f>SUMIFS(ĐMCP!$Q:$Q,ĐMCP!$P:$P, "="&amp;'HQ1'!B73,ĐMCP!$O:$O, "="&amp;'HQ1'!A73)</f>
        <v>0</v>
      </c>
      <c r="N73" s="89">
        <f t="shared" si="3"/>
        <v>0</v>
      </c>
    </row>
    <row r="74" spans="1:14" x14ac:dyDescent="0.25">
      <c r="A74" s="123" t="s">
        <v>83</v>
      </c>
      <c r="B74" s="16" t="s">
        <v>135</v>
      </c>
      <c r="C74" s="7">
        <v>1394803753</v>
      </c>
      <c r="D74" s="7">
        <v>1750244000</v>
      </c>
      <c r="E74" s="7">
        <v>-116436783.75</v>
      </c>
      <c r="F74" s="7">
        <v>102548800</v>
      </c>
      <c r="G74" s="7">
        <v>460036754</v>
      </c>
      <c r="H74" s="7">
        <v>41844112.589999996</v>
      </c>
      <c r="I74" s="7">
        <v>-843433129.84000003</v>
      </c>
      <c r="J74" s="113">
        <f>SUMIFS(PGĐ!$H:$H,PGĐ!$F:$F, "="&amp;B74, PGĐ!$I:$I, "="&amp;'HQ1'!A74)</f>
        <v>200000</v>
      </c>
      <c r="K74" s="113"/>
      <c r="L74" s="78">
        <f t="shared" si="4"/>
        <v>1.2260078756122605</v>
      </c>
      <c r="M74" s="5">
        <f>SUMIFS(ĐMCP!$Q:$Q,ĐMCP!$P:$P, "="&amp;'HQ1'!B74,ĐMCP!$O:$O, "="&amp;'HQ1'!A74)</f>
        <v>460036754.336658</v>
      </c>
      <c r="N74" s="89">
        <f t="shared" si="3"/>
        <v>-0.33665800094604492</v>
      </c>
    </row>
    <row r="75" spans="1:14" x14ac:dyDescent="0.25">
      <c r="A75" s="123" t="s">
        <v>83</v>
      </c>
      <c r="B75" s="16" t="s">
        <v>136</v>
      </c>
      <c r="C75" s="7">
        <v>94598600</v>
      </c>
      <c r="E75" s="7">
        <v>2717310</v>
      </c>
      <c r="G75" s="7">
        <v>41639774</v>
      </c>
      <c r="H75" s="7">
        <v>2837958</v>
      </c>
      <c r="I75" s="7">
        <v>47403558</v>
      </c>
      <c r="J75" s="113">
        <f>SUMIFS(PGĐ!$H:$H,PGĐ!$F:$F, "="&amp;B75, PGĐ!$I:$I, "="&amp;'HQ1'!A75)</f>
        <v>0</v>
      </c>
      <c r="K75" s="113"/>
      <c r="L75" s="78">
        <f t="shared" si="4"/>
        <v>0</v>
      </c>
      <c r="M75" s="5">
        <f>SUMIFS(ĐMCP!$Q:$Q,ĐMCP!$P:$P, "="&amp;'HQ1'!B75,ĐMCP!$O:$O, "="&amp;'HQ1'!A75)</f>
        <v>41639773.683317386</v>
      </c>
      <c r="N75" s="89">
        <f t="shared" si="3"/>
        <v>0.3166826143860817</v>
      </c>
    </row>
    <row r="76" spans="1:14" x14ac:dyDescent="0.25">
      <c r="A76" s="123" t="s">
        <v>83</v>
      </c>
      <c r="B76" s="16" t="s">
        <v>137</v>
      </c>
      <c r="C76" s="7">
        <v>15104557335</v>
      </c>
      <c r="D76" s="7">
        <v>6754569624</v>
      </c>
      <c r="E76" s="7">
        <v>56460202</v>
      </c>
      <c r="F76" s="7">
        <v>1285312914</v>
      </c>
      <c r="G76" s="7">
        <v>5140495238</v>
      </c>
      <c r="H76" s="7">
        <v>453136720.05000001</v>
      </c>
      <c r="I76" s="7">
        <v>1414582636.95</v>
      </c>
      <c r="J76" s="113">
        <f>SUMIFS(PGĐ!$H:$H,PGĐ!$F:$F, "="&amp;B76, PGĐ!$I:$I, "="&amp;'HQ1'!A76)</f>
        <v>256890000</v>
      </c>
      <c r="K76" s="113"/>
      <c r="L76" s="78">
        <f t="shared" si="4"/>
        <v>0.53427901660528176</v>
      </c>
      <c r="M76" s="5">
        <f>SUMIFS(ĐMCP!$Q:$Q,ĐMCP!$P:$P, "="&amp;'HQ1'!B76,ĐMCP!$O:$O, "="&amp;'HQ1'!A76)</f>
        <v>5140495238.3620443</v>
      </c>
      <c r="N76" s="89">
        <f t="shared" si="3"/>
        <v>-0.36204433441162109</v>
      </c>
    </row>
    <row r="77" spans="1:14" x14ac:dyDescent="0.25">
      <c r="A77" s="123" t="s">
        <v>83</v>
      </c>
      <c r="B77" s="16" t="s">
        <v>138</v>
      </c>
      <c r="C77" s="7">
        <v>4874623654</v>
      </c>
      <c r="D77" s="7">
        <v>1107397557</v>
      </c>
      <c r="E77" s="7">
        <v>470017254</v>
      </c>
      <c r="F77" s="7">
        <v>-50440479</v>
      </c>
      <c r="G77" s="7">
        <v>1939736782</v>
      </c>
      <c r="H77" s="7">
        <v>146238709.62</v>
      </c>
      <c r="I77" s="7">
        <v>1261673830.3800001</v>
      </c>
      <c r="J77" s="113">
        <f>SUMIFS(PGĐ!$H:$H,PGĐ!$F:$F, "="&amp;B77, PGĐ!$I:$I, "="&amp;'HQ1'!A77)</f>
        <v>0</v>
      </c>
      <c r="K77" s="113"/>
      <c r="L77" s="78">
        <f t="shared" si="4"/>
        <v>0.23996629483170165</v>
      </c>
      <c r="M77" s="5">
        <f>SUMIFS(ĐMCP!$Q:$Q,ĐMCP!$P:$P, "="&amp;'HQ1'!B77,ĐMCP!$O:$O, "="&amp;'HQ1'!A77)</f>
        <v>1939736781.8217461</v>
      </c>
      <c r="N77" s="89">
        <f t="shared" si="3"/>
        <v>0.1782538890838623</v>
      </c>
    </row>
    <row r="78" spans="1:14" x14ac:dyDescent="0.25">
      <c r="A78" s="123" t="s">
        <v>124</v>
      </c>
      <c r="B78" s="15" t="s">
        <v>45</v>
      </c>
      <c r="C78" s="132">
        <v>3323199029</v>
      </c>
      <c r="D78" s="132">
        <v>714335357</v>
      </c>
      <c r="E78" s="132">
        <v>-693598</v>
      </c>
      <c r="F78" s="132">
        <v>182441675</v>
      </c>
      <c r="G78" s="132">
        <v>1212781686</v>
      </c>
      <c r="H78" s="132">
        <v>99695970.86999999</v>
      </c>
      <c r="I78" s="132">
        <v>1114637938.1300001</v>
      </c>
      <c r="J78" s="113">
        <f>SUMIFS(PGĐ!$H:$H,PGĐ!$F:$F, "="&amp;B78, PGĐ!$I:$I, "="&amp;'HQ1'!A78)</f>
        <v>0</v>
      </c>
      <c r="K78" s="113"/>
      <c r="L78" s="78">
        <f t="shared" si="4"/>
        <v>0.26979723253256582</v>
      </c>
      <c r="M78" s="5">
        <f>SUMIFS(ĐMCP!$Q:$Q,ĐMCP!$P:$P, "="&amp;'HQ1'!B78,ĐMCP!$O:$O, "="&amp;'HQ1'!A78)</f>
        <v>0</v>
      </c>
      <c r="N78" s="89">
        <f t="shared" si="3"/>
        <v>0</v>
      </c>
    </row>
    <row r="79" spans="1:14" x14ac:dyDescent="0.25">
      <c r="A79" s="123" t="s">
        <v>124</v>
      </c>
      <c r="B79" s="16" t="s">
        <v>135</v>
      </c>
      <c r="C79" s="7">
        <v>470715300</v>
      </c>
      <c r="D79" s="7">
        <v>392870500</v>
      </c>
      <c r="E79" s="7">
        <v>-48118550</v>
      </c>
      <c r="G79" s="7">
        <v>150252819</v>
      </c>
      <c r="H79" s="7">
        <v>14121459</v>
      </c>
      <c r="I79" s="7">
        <v>-38410928</v>
      </c>
      <c r="J79" s="113">
        <f>SUMIFS(PGĐ!$H:$H,PGĐ!$F:$F, "="&amp;B79, PGĐ!$I:$I, "="&amp;'HQ1'!A79)</f>
        <v>0</v>
      </c>
      <c r="K79" s="113"/>
      <c r="L79" s="78">
        <f t="shared" si="4"/>
        <v>0.75721832721592852</v>
      </c>
      <c r="M79" s="5">
        <f>SUMIFS(ĐMCP!$Q:$Q,ĐMCP!$P:$P, "="&amp;'HQ1'!B79,ĐMCP!$O:$O, "="&amp;'HQ1'!A79)</f>
        <v>150252819.01253325</v>
      </c>
      <c r="N79" s="89">
        <f t="shared" si="3"/>
        <v>-1.2533247470855713E-2</v>
      </c>
    </row>
    <row r="80" spans="1:14" x14ac:dyDescent="0.25">
      <c r="A80" s="123" t="s">
        <v>124</v>
      </c>
      <c r="B80" s="16" t="s">
        <v>136</v>
      </c>
      <c r="C80" s="7">
        <v>257838000</v>
      </c>
      <c r="E80" s="7">
        <v>11648500</v>
      </c>
      <c r="G80" s="7">
        <v>142832680</v>
      </c>
      <c r="H80" s="7">
        <v>7735140</v>
      </c>
      <c r="I80" s="7">
        <v>95621680</v>
      </c>
      <c r="J80" s="113">
        <f>SUMIFS(PGĐ!$H:$H,PGĐ!$F:$F, "="&amp;B80, PGĐ!$I:$I, "="&amp;'HQ1'!A80)</f>
        <v>0</v>
      </c>
      <c r="K80" s="113"/>
      <c r="L80" s="78">
        <f t="shared" si="4"/>
        <v>0</v>
      </c>
      <c r="M80" s="5">
        <f>SUMIFS(ĐMCP!$Q:$Q,ĐMCP!$P:$P, "="&amp;'HQ1'!B80,ĐMCP!$O:$O, "="&amp;'HQ1'!A80)</f>
        <v>142832680.38606107</v>
      </c>
      <c r="N80" s="89">
        <f t="shared" si="3"/>
        <v>-0.38606107234954834</v>
      </c>
    </row>
    <row r="81" spans="1:14" x14ac:dyDescent="0.25">
      <c r="A81" s="123" t="s">
        <v>124</v>
      </c>
      <c r="B81" s="16" t="s">
        <v>137</v>
      </c>
      <c r="C81" s="7">
        <v>2510042329</v>
      </c>
      <c r="D81" s="7">
        <v>308625734</v>
      </c>
      <c r="E81" s="7">
        <v>32801842.5</v>
      </c>
      <c r="F81" s="7">
        <v>196123212</v>
      </c>
      <c r="G81" s="7">
        <v>885236985</v>
      </c>
      <c r="H81" s="7">
        <v>75301269.86999999</v>
      </c>
      <c r="I81" s="7">
        <v>1011953285.63</v>
      </c>
      <c r="J81" s="113">
        <f>SUMIFS(PGĐ!$H:$H,PGĐ!$F:$F, "="&amp;B81, PGĐ!$I:$I, "="&amp;'HQ1'!A81)</f>
        <v>4000000</v>
      </c>
      <c r="K81" s="113"/>
      <c r="L81" s="78">
        <f t="shared" si="4"/>
        <v>0.20375451989852661</v>
      </c>
      <c r="M81" s="5">
        <f>SUMIFS(ĐMCP!$Q:$Q,ĐMCP!$P:$P, "="&amp;'HQ1'!B81,ĐMCP!$O:$O, "="&amp;'HQ1'!A81)</f>
        <v>885236985.27963686</v>
      </c>
      <c r="N81" s="89">
        <f t="shared" si="3"/>
        <v>-0.27963685989379883</v>
      </c>
    </row>
    <row r="82" spans="1:14" x14ac:dyDescent="0.25">
      <c r="A82" s="123" t="s">
        <v>124</v>
      </c>
      <c r="B82" s="16" t="s">
        <v>138</v>
      </c>
      <c r="C82" s="7">
        <v>84603400</v>
      </c>
      <c r="D82" s="7">
        <v>12839123</v>
      </c>
      <c r="E82" s="7">
        <v>2974609.5</v>
      </c>
      <c r="F82" s="7">
        <v>-13681537</v>
      </c>
      <c r="G82" s="7">
        <v>34459202</v>
      </c>
      <c r="H82" s="7">
        <v>2538102</v>
      </c>
      <c r="I82" s="7">
        <v>45473900.5</v>
      </c>
      <c r="J82" s="113">
        <f>SUMIFS(PGĐ!$H:$H,PGĐ!$F:$F, "="&amp;B82, PGĐ!$I:$I, "="&amp;'HQ1'!A82)</f>
        <v>0</v>
      </c>
      <c r="K82" s="113"/>
      <c r="L82" s="78">
        <f t="shared" si="4"/>
        <v>-1.0320059807819889E-2</v>
      </c>
      <c r="M82" s="5">
        <f>SUMIFS(ĐMCP!$Q:$Q,ĐMCP!$P:$P, "="&amp;'HQ1'!B82,ĐMCP!$O:$O, "="&amp;'HQ1'!A82)</f>
        <v>34459201.902807489</v>
      </c>
      <c r="N82" s="89">
        <f t="shared" si="3"/>
        <v>9.7192510962486267E-2</v>
      </c>
    </row>
    <row r="83" spans="1:14" x14ac:dyDescent="0.25">
      <c r="A83" s="123" t="s">
        <v>59</v>
      </c>
      <c r="B83" s="15" t="s">
        <v>45</v>
      </c>
      <c r="C83" s="132">
        <v>53174961463</v>
      </c>
      <c r="D83" s="132">
        <v>19977894150</v>
      </c>
      <c r="E83" s="132">
        <v>1584539278</v>
      </c>
      <c r="F83" s="132">
        <v>1483525195</v>
      </c>
      <c r="G83" s="132">
        <v>14672433837</v>
      </c>
      <c r="H83" s="132">
        <v>1595248843.8899999</v>
      </c>
      <c r="I83" s="132">
        <v>13861320159.110001</v>
      </c>
      <c r="J83" s="113">
        <f>SUMIFS(PGĐ!$H:$H,PGĐ!$F:$F, "="&amp;B83, PGĐ!$I:$I, "="&amp;'HQ1'!A83)</f>
        <v>0</v>
      </c>
      <c r="K83" s="113"/>
      <c r="L83" s="78">
        <f t="shared" si="4"/>
        <v>0.41599619534107907</v>
      </c>
      <c r="M83" s="5">
        <f>SUMIFS(ĐMCP!$Q:$Q,ĐMCP!$P:$P, "="&amp;'HQ1'!B83,ĐMCP!$O:$O, "="&amp;'HQ1'!A83)</f>
        <v>0</v>
      </c>
      <c r="N83" s="89">
        <f t="shared" si="3"/>
        <v>0</v>
      </c>
    </row>
    <row r="84" spans="1:14" x14ac:dyDescent="0.25">
      <c r="A84" s="123" t="s">
        <v>59</v>
      </c>
      <c r="B84" s="16" t="s">
        <v>135</v>
      </c>
      <c r="C84" s="7">
        <v>2264341829</v>
      </c>
      <c r="D84" s="7">
        <v>1005872430</v>
      </c>
      <c r="E84" s="7">
        <v>-60826575.75</v>
      </c>
      <c r="F84" s="7">
        <v>17505000</v>
      </c>
      <c r="G84" s="7">
        <v>706245069</v>
      </c>
      <c r="H84" s="7">
        <v>67930254.870000005</v>
      </c>
      <c r="I84" s="7">
        <v>527615650.88</v>
      </c>
      <c r="J84" s="113">
        <f>SUMIFS(PGĐ!$H:$H,PGĐ!$F:$F, "="&amp;B84, PGĐ!$I:$I, "="&amp;'HQ1'!A84)</f>
        <v>0</v>
      </c>
      <c r="K84" s="113"/>
      <c r="L84" s="78">
        <f t="shared" si="4"/>
        <v>0.44013045588843386</v>
      </c>
      <c r="M84" s="5">
        <f>SUMIFS(ĐMCP!$Q:$Q,ĐMCP!$P:$P, "="&amp;'HQ1'!B84,ĐMCP!$O:$O, "="&amp;'HQ1'!A84)</f>
        <v>706245069.30247784</v>
      </c>
      <c r="N84" s="89">
        <f t="shared" si="3"/>
        <v>-0.30247783660888672</v>
      </c>
    </row>
    <row r="85" spans="1:14" x14ac:dyDescent="0.25">
      <c r="A85" s="123" t="s">
        <v>59</v>
      </c>
      <c r="B85" s="16" t="s">
        <v>136</v>
      </c>
      <c r="C85" s="7">
        <v>768775300</v>
      </c>
      <c r="D85" s="7">
        <v>855416</v>
      </c>
      <c r="E85" s="7">
        <v>-95623711</v>
      </c>
      <c r="F85" s="7">
        <v>-339667</v>
      </c>
      <c r="G85" s="7">
        <v>399187621</v>
      </c>
      <c r="H85" s="7">
        <v>23063259</v>
      </c>
      <c r="I85" s="7">
        <v>441632382</v>
      </c>
      <c r="J85" s="113">
        <f>SUMIFS(PGĐ!$H:$H,PGĐ!$F:$F, "="&amp;B85, PGĐ!$I:$I, "="&amp;'HQ1'!A85)</f>
        <v>0</v>
      </c>
      <c r="K85" s="113"/>
      <c r="L85" s="78">
        <f t="shared" si="4"/>
        <v>5.9665616623432252E-4</v>
      </c>
      <c r="M85" s="5">
        <f>SUMIFS(ĐMCP!$Q:$Q,ĐMCP!$P:$P, "="&amp;'HQ1'!B85,ĐMCP!$O:$O, "="&amp;'HQ1'!A85)</f>
        <v>399187621.37148058</v>
      </c>
      <c r="N85" s="89">
        <f t="shared" si="3"/>
        <v>-0.37148058414459229</v>
      </c>
    </row>
    <row r="86" spans="1:14" x14ac:dyDescent="0.25">
      <c r="A86" s="123" t="s">
        <v>59</v>
      </c>
      <c r="B86" s="16" t="s">
        <v>137</v>
      </c>
      <c r="C86" s="7">
        <v>19826823382</v>
      </c>
      <c r="D86" s="7">
        <v>7088067220</v>
      </c>
      <c r="E86" s="7">
        <v>893233640.75</v>
      </c>
      <c r="F86" s="7">
        <v>2354418043</v>
      </c>
      <c r="G86" s="7">
        <v>6003349838</v>
      </c>
      <c r="H86" s="7">
        <v>594804701.45999992</v>
      </c>
      <c r="I86" s="7">
        <v>2892949938.79</v>
      </c>
      <c r="J86" s="113">
        <f>SUMIFS(PGĐ!$H:$H,PGĐ!$F:$F, "="&amp;B86, PGĐ!$I:$I, "="&amp;'HQ1'!A86)</f>
        <v>57100000</v>
      </c>
      <c r="K86" s="113"/>
      <c r="L86" s="78">
        <f t="shared" si="4"/>
        <v>0.49871605923878043</v>
      </c>
      <c r="M86" s="5">
        <f>SUMIFS(ĐMCP!$Q:$Q,ĐMCP!$P:$P, "="&amp;'HQ1'!B86,ĐMCP!$O:$O, "="&amp;'HQ1'!A86)</f>
        <v>6003349837.8374367</v>
      </c>
      <c r="N86" s="89">
        <f t="shared" si="3"/>
        <v>0.16256332397460938</v>
      </c>
    </row>
    <row r="87" spans="1:14" x14ac:dyDescent="0.25">
      <c r="A87" s="123" t="s">
        <v>59</v>
      </c>
      <c r="B87" s="16" t="s">
        <v>138</v>
      </c>
      <c r="C87" s="7">
        <v>30315020952</v>
      </c>
      <c r="D87" s="7">
        <v>11883099084</v>
      </c>
      <c r="E87" s="7">
        <v>847755924</v>
      </c>
      <c r="F87" s="7">
        <v>-888058181</v>
      </c>
      <c r="G87" s="7">
        <v>7563651309</v>
      </c>
      <c r="H87" s="7">
        <v>909450628.55999994</v>
      </c>
      <c r="I87" s="7">
        <v>9999122187.4400005</v>
      </c>
      <c r="J87" s="113">
        <f>SUMIFS(PGĐ!$H:$H,PGĐ!$F:$F, "="&amp;B87, PGĐ!$I:$I, "="&amp;'HQ1'!A87)</f>
        <v>0</v>
      </c>
      <c r="K87" s="113"/>
      <c r="L87" s="78">
        <f t="shared" si="4"/>
        <v>0.37312729540907297</v>
      </c>
      <c r="M87" s="5">
        <f>SUMIFS(ĐMCP!$Q:$Q,ĐMCP!$P:$P, "="&amp;'HQ1'!B87,ĐMCP!$O:$O, "="&amp;'HQ1'!A87)</f>
        <v>7563651309.067462</v>
      </c>
      <c r="N87" s="89">
        <f t="shared" si="3"/>
        <v>-6.7461967468261719E-2</v>
      </c>
    </row>
    <row r="88" spans="1:14" x14ac:dyDescent="0.25">
      <c r="A88" s="123" t="s">
        <v>81</v>
      </c>
      <c r="B88" s="15" t="s">
        <v>45</v>
      </c>
      <c r="C88" s="132">
        <v>15715882530</v>
      </c>
      <c r="D88" s="132">
        <v>8227234787</v>
      </c>
      <c r="E88" s="132">
        <v>385843478.94999999</v>
      </c>
      <c r="F88" s="132">
        <v>1809376681</v>
      </c>
      <c r="G88" s="132">
        <v>5197953992</v>
      </c>
      <c r="H88" s="132">
        <v>471476475.89999998</v>
      </c>
      <c r="I88" s="132">
        <v>-376002884.8499999</v>
      </c>
      <c r="J88" s="113">
        <f>SUMIFS(PGĐ!$H:$H,PGĐ!$F:$F, "="&amp;B88, PGĐ!$I:$I, "="&amp;'HQ1'!A88)</f>
        <v>0</v>
      </c>
      <c r="K88" s="113"/>
      <c r="L88" s="78">
        <f t="shared" si="4"/>
        <v>0.65470227665940373</v>
      </c>
      <c r="M88" s="5">
        <f>SUMIFS(ĐMCP!$Q:$Q,ĐMCP!$P:$P, "="&amp;'HQ1'!B88,ĐMCP!$O:$O, "="&amp;'HQ1'!A88)</f>
        <v>0</v>
      </c>
      <c r="N88" s="89">
        <f t="shared" si="3"/>
        <v>0</v>
      </c>
    </row>
    <row r="89" spans="1:14" x14ac:dyDescent="0.25">
      <c r="A89" s="123" t="s">
        <v>81</v>
      </c>
      <c r="B89" s="16" t="s">
        <v>135</v>
      </c>
      <c r="C89" s="7">
        <v>3835766917</v>
      </c>
      <c r="D89" s="7">
        <v>1753747019</v>
      </c>
      <c r="E89" s="7">
        <v>12740841.25</v>
      </c>
      <c r="F89" s="7">
        <v>160175000</v>
      </c>
      <c r="G89" s="7">
        <v>1191478360</v>
      </c>
      <c r="H89" s="7">
        <v>115073007.50999999</v>
      </c>
      <c r="I89" s="7">
        <v>602552689.24000001</v>
      </c>
      <c r="J89" s="113">
        <f>SUMIFS(PGĐ!$H:$H,PGĐ!$F:$F, "="&amp;B89, PGĐ!$I:$I, "="&amp;'HQ1'!A89)</f>
        <v>440000</v>
      </c>
      <c r="K89" s="113"/>
      <c r="L89" s="78">
        <f t="shared" si="4"/>
        <v>0.50063012416794128</v>
      </c>
      <c r="M89" s="5">
        <f>SUMIFS(ĐMCP!$Q:$Q,ĐMCP!$P:$P, "="&amp;'HQ1'!B89,ĐMCP!$O:$O, "="&amp;'HQ1'!A89)</f>
        <v>1191478359.9124684</v>
      </c>
      <c r="N89" s="89">
        <f t="shared" si="3"/>
        <v>8.7531566619873047E-2</v>
      </c>
    </row>
    <row r="90" spans="1:14" x14ac:dyDescent="0.25">
      <c r="A90" s="123" t="s">
        <v>81</v>
      </c>
      <c r="B90" s="16" t="s">
        <v>136</v>
      </c>
      <c r="C90" s="7">
        <v>173382500</v>
      </c>
      <c r="D90" s="7">
        <v>24893143</v>
      </c>
      <c r="E90" s="7">
        <v>-42983810</v>
      </c>
      <c r="F90" s="7">
        <v>11154087</v>
      </c>
      <c r="G90" s="7">
        <v>91952992</v>
      </c>
      <c r="H90" s="7">
        <v>5201475</v>
      </c>
      <c r="I90" s="7">
        <v>83164613</v>
      </c>
      <c r="J90" s="113">
        <f>SUMIFS(PGĐ!$H:$H,PGĐ!$F:$F, "="&amp;B90, PGĐ!$I:$I, "="&amp;'HQ1'!A90)</f>
        <v>0</v>
      </c>
      <c r="K90" s="113"/>
      <c r="L90" s="78">
        <f t="shared" si="4"/>
        <v>0.16660278580339055</v>
      </c>
      <c r="M90" s="5">
        <f>SUMIFS(ĐMCP!$Q:$Q,ĐMCP!$P:$P, "="&amp;'HQ1'!B90,ĐMCP!$O:$O, "="&amp;'HQ1'!A90)</f>
        <v>91952991.712021574</v>
      </c>
      <c r="N90" s="89">
        <f t="shared" si="3"/>
        <v>0.28797842562198639</v>
      </c>
    </row>
    <row r="91" spans="1:14" x14ac:dyDescent="0.25">
      <c r="A91" s="123" t="s">
        <v>81</v>
      </c>
      <c r="B91" s="16" t="s">
        <v>137</v>
      </c>
      <c r="C91" s="7">
        <v>11001058588</v>
      </c>
      <c r="D91" s="7">
        <v>6241753890</v>
      </c>
      <c r="E91" s="7">
        <v>310143725</v>
      </c>
      <c r="F91" s="7">
        <v>1679534106</v>
      </c>
      <c r="G91" s="7">
        <v>3673508814</v>
      </c>
      <c r="H91" s="7">
        <v>330031757.63999999</v>
      </c>
      <c r="I91" s="7">
        <v>-1233913704.6399999</v>
      </c>
      <c r="J91" s="113">
        <f>SUMIFS(PGĐ!$H:$H,PGĐ!$F:$F, "="&amp;B91, PGĐ!$I:$I, "="&amp;'HQ1'!A91)</f>
        <v>29060000</v>
      </c>
      <c r="K91" s="113"/>
      <c r="L91" s="78">
        <f t="shared" si="4"/>
        <v>0.74093640231058677</v>
      </c>
      <c r="M91" s="5">
        <f>SUMIFS(ĐMCP!$Q:$Q,ĐMCP!$P:$P, "="&amp;'HQ1'!B91,ĐMCP!$O:$O, "="&amp;'HQ1'!A91)</f>
        <v>3673508813.8821416</v>
      </c>
      <c r="N91" s="89">
        <f t="shared" si="3"/>
        <v>0.1178584098815918</v>
      </c>
    </row>
    <row r="92" spans="1:14" x14ac:dyDescent="0.25">
      <c r="A92" s="123" t="s">
        <v>81</v>
      </c>
      <c r="B92" s="16" t="s">
        <v>138</v>
      </c>
      <c r="C92" s="7">
        <v>705674525</v>
      </c>
      <c r="D92" s="7">
        <v>206840735</v>
      </c>
      <c r="E92" s="7">
        <v>105942722.7</v>
      </c>
      <c r="F92" s="7">
        <v>-41486512</v>
      </c>
      <c r="G92" s="7">
        <v>241013826</v>
      </c>
      <c r="H92" s="7">
        <v>21170235.75</v>
      </c>
      <c r="I92" s="7">
        <v>172193517.55000001</v>
      </c>
      <c r="J92" s="113">
        <f>SUMIFS(PGĐ!$H:$H,PGĐ!$F:$F, "="&amp;B92, PGĐ!$I:$I, "="&amp;'HQ1'!A92)</f>
        <v>0</v>
      </c>
      <c r="K92" s="113"/>
      <c r="L92" s="78">
        <f t="shared" si="4"/>
        <v>0.27571361459548871</v>
      </c>
      <c r="M92" s="5">
        <f>SUMIFS(ĐMCP!$Q:$Q,ĐMCP!$P:$P, "="&amp;'HQ1'!B92,ĐMCP!$O:$O, "="&amp;'HQ1'!A92)</f>
        <v>241013826.46178111</v>
      </c>
      <c r="N92" s="89">
        <f t="shared" si="3"/>
        <v>-0.46178111433982849</v>
      </c>
    </row>
    <row r="93" spans="1:14" x14ac:dyDescent="0.25">
      <c r="A93" s="123" t="s">
        <v>120</v>
      </c>
      <c r="B93" s="15" t="s">
        <v>45</v>
      </c>
      <c r="C93" s="132">
        <v>4584409783</v>
      </c>
      <c r="D93" s="132">
        <v>2153369546</v>
      </c>
      <c r="E93" s="132">
        <v>153540257.25</v>
      </c>
      <c r="F93" s="132">
        <v>-312335122</v>
      </c>
      <c r="G93" s="132">
        <v>1642977661</v>
      </c>
      <c r="H93" s="132">
        <v>137532293.49000001</v>
      </c>
      <c r="I93" s="132">
        <v>809325147.25999999</v>
      </c>
      <c r="J93" s="113">
        <f>SUMIFS(PGĐ!$H:$H,PGĐ!$F:$F, "="&amp;B93, PGĐ!$I:$I, "="&amp;'HQ1'!A93)</f>
        <v>0</v>
      </c>
      <c r="K93" s="113"/>
      <c r="L93" s="78">
        <f t="shared" si="4"/>
        <v>0.41550183621991749</v>
      </c>
      <c r="M93" s="5">
        <f>SUMIFS(ĐMCP!$Q:$Q,ĐMCP!$P:$P, "="&amp;'HQ1'!B93,ĐMCP!$O:$O, "="&amp;'HQ1'!A93)</f>
        <v>0</v>
      </c>
      <c r="N93" s="89">
        <f t="shared" si="3"/>
        <v>0</v>
      </c>
    </row>
    <row r="94" spans="1:14" x14ac:dyDescent="0.25">
      <c r="A94" s="123" t="s">
        <v>120</v>
      </c>
      <c r="B94" s="16" t="s">
        <v>135</v>
      </c>
      <c r="C94" s="7">
        <v>1601322000</v>
      </c>
      <c r="D94" s="7">
        <v>783259000</v>
      </c>
      <c r="E94" s="7">
        <v>-39741328.25</v>
      </c>
      <c r="G94" s="7">
        <v>531663794</v>
      </c>
      <c r="H94" s="7">
        <v>48039660</v>
      </c>
      <c r="I94" s="7">
        <v>278100874.25</v>
      </c>
      <c r="J94" s="113">
        <f>SUMIFS(PGĐ!$H:$H,PGĐ!$F:$F, "="&amp;B94, PGĐ!$I:$I, "="&amp;'HQ1'!A94)</f>
        <v>0</v>
      </c>
      <c r="K94" s="113"/>
      <c r="L94" s="78">
        <f t="shared" si="4"/>
        <v>0.47728749190639286</v>
      </c>
      <c r="M94" s="5">
        <f>SUMIFS(ĐMCP!$Q:$Q,ĐMCP!$P:$P, "="&amp;'HQ1'!B94,ĐMCP!$O:$O, "="&amp;'HQ1'!A94)</f>
        <v>531663794.00090152</v>
      </c>
      <c r="N94" s="89">
        <f t="shared" si="3"/>
        <v>-9.015202522277832E-4</v>
      </c>
    </row>
    <row r="95" spans="1:14" x14ac:dyDescent="0.25">
      <c r="A95" s="123" t="s">
        <v>120</v>
      </c>
      <c r="B95" s="16" t="s">
        <v>136</v>
      </c>
      <c r="C95" s="7">
        <v>1679000</v>
      </c>
      <c r="E95" s="7">
        <v>23450</v>
      </c>
      <c r="G95" s="7">
        <v>964476</v>
      </c>
      <c r="H95" s="7">
        <v>50370</v>
      </c>
      <c r="I95" s="7">
        <v>640704</v>
      </c>
      <c r="J95" s="113">
        <f>SUMIFS(PGĐ!$H:$H,PGĐ!$F:$F, "="&amp;B95, PGĐ!$I:$I, "="&amp;'HQ1'!A95)</f>
        <v>0</v>
      </c>
      <c r="K95" s="113"/>
      <c r="L95" s="78">
        <f t="shared" si="4"/>
        <v>0</v>
      </c>
      <c r="M95" s="5">
        <f>SUMIFS(ĐMCP!$Q:$Q,ĐMCP!$P:$P, "="&amp;'HQ1'!B95,ĐMCP!$O:$O, "="&amp;'HQ1'!A95)</f>
        <v>964476.46571664419</v>
      </c>
      <c r="N95" s="89">
        <f t="shared" si="3"/>
        <v>-0.46571664419025183</v>
      </c>
    </row>
    <row r="96" spans="1:14" x14ac:dyDescent="0.25">
      <c r="A96" s="123" t="s">
        <v>120</v>
      </c>
      <c r="B96" s="16" t="s">
        <v>137</v>
      </c>
      <c r="C96" s="7">
        <v>2804379783</v>
      </c>
      <c r="D96" s="7">
        <v>1324984604</v>
      </c>
      <c r="E96" s="7">
        <v>185511675</v>
      </c>
      <c r="F96" s="7">
        <v>-355377580</v>
      </c>
      <c r="G96" s="7">
        <v>1036096439</v>
      </c>
      <c r="H96" s="7">
        <v>84131393.489999995</v>
      </c>
      <c r="I96" s="7">
        <v>529033251.50999999</v>
      </c>
      <c r="J96" s="113">
        <f>SUMIFS(PGĐ!$H:$H,PGĐ!$F:$F, "="&amp;B96, PGĐ!$I:$I, "="&amp;'HQ1'!A96)</f>
        <v>13600000</v>
      </c>
      <c r="K96" s="113"/>
      <c r="L96" s="78">
        <f t="shared" si="4"/>
        <v>0.37023896737605388</v>
      </c>
      <c r="M96" s="5">
        <f>SUMIFS(ĐMCP!$Q:$Q,ĐMCP!$P:$P, "="&amp;'HQ1'!B96,ĐMCP!$O:$O, "="&amp;'HQ1'!A96)</f>
        <v>1036096438.8770821</v>
      </c>
      <c r="N96" s="89">
        <f t="shared" si="3"/>
        <v>0.12291789054870605</v>
      </c>
    </row>
    <row r="97" spans="1:14" x14ac:dyDescent="0.25">
      <c r="A97" s="123" t="s">
        <v>120</v>
      </c>
      <c r="B97" s="16" t="s">
        <v>138</v>
      </c>
      <c r="C97" s="7">
        <v>177029000</v>
      </c>
      <c r="D97" s="7">
        <v>45125942</v>
      </c>
      <c r="E97" s="7">
        <v>7746460.5</v>
      </c>
      <c r="F97" s="7">
        <v>43042458</v>
      </c>
      <c r="G97" s="7">
        <v>74252952</v>
      </c>
      <c r="H97" s="7">
        <v>5310870</v>
      </c>
      <c r="I97" s="7">
        <v>1550317.5</v>
      </c>
      <c r="J97" s="113">
        <f>SUMIFS(PGĐ!$H:$H,PGĐ!$F:$F, "="&amp;B97, PGĐ!$I:$I, "="&amp;'HQ1'!A97)</f>
        <v>0</v>
      </c>
      <c r="K97" s="113"/>
      <c r="L97" s="78">
        <f t="shared" si="4"/>
        <v>0.52083575931940695</v>
      </c>
      <c r="M97" s="5">
        <f>SUMIFS(ĐMCP!$Q:$Q,ĐMCP!$P:$P, "="&amp;'HQ1'!B97,ĐMCP!$O:$O, "="&amp;'HQ1'!A97)</f>
        <v>74252952.234277427</v>
      </c>
      <c r="N97" s="89">
        <f t="shared" si="3"/>
        <v>-0.23427742719650269</v>
      </c>
    </row>
    <row r="98" spans="1:14" x14ac:dyDescent="0.25">
      <c r="A98" s="123" t="s">
        <v>111</v>
      </c>
      <c r="B98" s="15" t="s">
        <v>45</v>
      </c>
      <c r="C98" s="132">
        <v>6169897870</v>
      </c>
      <c r="D98" s="132">
        <v>3256145136</v>
      </c>
      <c r="E98" s="132">
        <v>-62281172.25</v>
      </c>
      <c r="F98" s="132">
        <v>292458223</v>
      </c>
      <c r="G98" s="132">
        <v>3300253942</v>
      </c>
      <c r="H98" s="132">
        <v>185096936.09999999</v>
      </c>
      <c r="I98" s="132">
        <v>-801775194.85000002</v>
      </c>
      <c r="J98" s="113">
        <f>SUMIFS(PGĐ!$H:$H,PGĐ!$F:$F, "="&amp;B98, PGĐ!$I:$I, "="&amp;'HQ1'!A98)</f>
        <v>0</v>
      </c>
      <c r="K98" s="113"/>
      <c r="L98" s="78">
        <f t="shared" si="4"/>
        <v>0.56940009825501581</v>
      </c>
      <c r="M98" s="5">
        <f>SUMIFS(ĐMCP!$Q:$Q,ĐMCP!$P:$P, "="&amp;'HQ1'!B98,ĐMCP!$O:$O, "="&amp;'HQ1'!A98)</f>
        <v>0</v>
      </c>
      <c r="N98" s="89">
        <f t="shared" si="3"/>
        <v>0</v>
      </c>
    </row>
    <row r="99" spans="1:14" x14ac:dyDescent="0.25">
      <c r="A99" s="123" t="s">
        <v>111</v>
      </c>
      <c r="B99" s="16" t="s">
        <v>135</v>
      </c>
      <c r="C99" s="7">
        <v>917215900</v>
      </c>
      <c r="D99" s="7">
        <v>1374374000</v>
      </c>
      <c r="E99" s="7">
        <v>-64132931.75</v>
      </c>
      <c r="F99" s="7">
        <v>-48414000</v>
      </c>
      <c r="G99" s="7">
        <v>1493526699</v>
      </c>
      <c r="H99" s="7">
        <v>27516477</v>
      </c>
      <c r="I99" s="7">
        <v>-1865654344.25</v>
      </c>
      <c r="J99" s="113">
        <f>SUMIFS(PGĐ!$H:$H,PGĐ!$F:$F, "="&amp;B99, PGĐ!$I:$I, "="&amp;'HQ1'!A99)</f>
        <v>400000</v>
      </c>
      <c r="K99" s="113"/>
      <c r="L99" s="78">
        <f t="shared" si="4"/>
        <v>1.3511607260340532</v>
      </c>
      <c r="M99" s="5">
        <f>SUMIFS(ĐMCP!$Q:$Q,ĐMCP!$P:$P, "="&amp;'HQ1'!B99,ĐMCP!$O:$O, "="&amp;'HQ1'!A99)</f>
        <v>1493526699.4763432</v>
      </c>
      <c r="N99" s="89">
        <f t="shared" si="3"/>
        <v>-0.47634315490722656</v>
      </c>
    </row>
    <row r="100" spans="1:14" x14ac:dyDescent="0.25">
      <c r="A100" s="123" t="s">
        <v>111</v>
      </c>
      <c r="B100" s="16" t="s">
        <v>136</v>
      </c>
      <c r="C100" s="7">
        <v>396000</v>
      </c>
      <c r="E100" s="7">
        <v>-589800</v>
      </c>
      <c r="G100" s="7">
        <v>210121</v>
      </c>
      <c r="H100" s="7">
        <v>11880</v>
      </c>
      <c r="I100" s="7">
        <v>763799</v>
      </c>
      <c r="J100" s="113">
        <f>SUMIFS(PGĐ!$H:$H,PGĐ!$F:$F, "="&amp;B100, PGĐ!$I:$I, "="&amp;'HQ1'!A100)</f>
        <v>0</v>
      </c>
      <c r="K100" s="113"/>
      <c r="L100" s="78">
        <f t="shared" si="4"/>
        <v>0</v>
      </c>
      <c r="M100" s="5">
        <f>SUMIFS(ĐMCP!$Q:$Q,ĐMCP!$P:$P, "="&amp;'HQ1'!B100,ĐMCP!$O:$O, "="&amp;'HQ1'!A100)</f>
        <v>210121.40452556219</v>
      </c>
      <c r="N100" s="89">
        <f t="shared" si="3"/>
        <v>-0.40452556218951941</v>
      </c>
    </row>
    <row r="101" spans="1:14" x14ac:dyDescent="0.25">
      <c r="A101" s="123" t="s">
        <v>111</v>
      </c>
      <c r="B101" s="16" t="s">
        <v>137</v>
      </c>
      <c r="C101" s="7">
        <v>5235631370</v>
      </c>
      <c r="D101" s="7">
        <v>1879771136</v>
      </c>
      <c r="E101" s="7">
        <v>16201704.5</v>
      </c>
      <c r="F101" s="7">
        <v>334742562</v>
      </c>
      <c r="G101" s="7">
        <v>1804698822</v>
      </c>
      <c r="H101" s="7">
        <v>157068941.09999999</v>
      </c>
      <c r="I101" s="7">
        <v>1043148204.4</v>
      </c>
      <c r="J101" s="113">
        <f>SUMIFS(PGĐ!$H:$H,PGĐ!$F:$F, "="&amp;B101, PGĐ!$I:$I, "="&amp;'HQ1'!A101)</f>
        <v>7900000</v>
      </c>
      <c r="K101" s="113"/>
      <c r="L101" s="78">
        <f t="shared" si="4"/>
        <v>0.42428269752110143</v>
      </c>
      <c r="M101" s="5">
        <f>SUMIFS(ĐMCP!$Q:$Q,ĐMCP!$P:$P, "="&amp;'HQ1'!B101,ĐMCP!$O:$O, "="&amp;'HQ1'!A101)</f>
        <v>1804698822.1577082</v>
      </c>
      <c r="N101" s="89">
        <f t="shared" si="3"/>
        <v>-0.15770816802978516</v>
      </c>
    </row>
    <row r="102" spans="1:14" x14ac:dyDescent="0.25">
      <c r="A102" s="123" t="s">
        <v>111</v>
      </c>
      <c r="B102" s="16" t="s">
        <v>138</v>
      </c>
      <c r="C102" s="7">
        <v>16654600</v>
      </c>
      <c r="D102" s="7">
        <v>2000000</v>
      </c>
      <c r="E102" s="7">
        <v>-13760145</v>
      </c>
      <c r="F102" s="7">
        <v>6129661</v>
      </c>
      <c r="G102" s="7">
        <v>1818300</v>
      </c>
      <c r="H102" s="7">
        <v>499638</v>
      </c>
      <c r="I102" s="7">
        <v>19967146</v>
      </c>
      <c r="J102" s="113">
        <f>SUMIFS(PGĐ!$H:$H,PGĐ!$F:$F, "="&amp;B102, PGĐ!$I:$I, "="&amp;'HQ1'!A102)</f>
        <v>0</v>
      </c>
      <c r="K102" s="113"/>
      <c r="L102" s="78">
        <f t="shared" si="4"/>
        <v>0.26729341311262023</v>
      </c>
      <c r="M102" s="5">
        <f>SUMIFS(ĐMCP!$Q:$Q,ĐMCP!$P:$P, "="&amp;'HQ1'!B102,ĐMCP!$O:$O, "="&amp;'HQ1'!A102)</f>
        <v>1818299.8315231018</v>
      </c>
      <c r="N102" s="89">
        <f t="shared" si="3"/>
        <v>0.1684768982231617</v>
      </c>
    </row>
    <row r="103" spans="1:14" x14ac:dyDescent="0.25">
      <c r="A103" s="123" t="s">
        <v>48</v>
      </c>
      <c r="B103" s="15" t="s">
        <v>45</v>
      </c>
      <c r="C103" s="132">
        <v>5853481961</v>
      </c>
      <c r="D103" s="132">
        <v>2108804217</v>
      </c>
      <c r="E103" s="132">
        <v>447346466.60000002</v>
      </c>
      <c r="F103" s="132">
        <v>721394132.53999996</v>
      </c>
      <c r="G103" s="132">
        <v>1994321792</v>
      </c>
      <c r="H103" s="132">
        <v>175604458.82999998</v>
      </c>
      <c r="I103" s="132">
        <v>406010894.03000003</v>
      </c>
      <c r="J103" s="113">
        <f>SUMIFS(PGĐ!$H:$H,PGĐ!$F:$F, "="&amp;B103, PGĐ!$I:$I, "="&amp;'HQ1'!A103)</f>
        <v>0</v>
      </c>
      <c r="K103" s="113"/>
      <c r="L103" s="78">
        <f t="shared" si="4"/>
        <v>0.52351598521192999</v>
      </c>
      <c r="M103" s="5">
        <f>SUMIFS(ĐMCP!$Q:$Q,ĐMCP!$P:$P, "="&amp;'HQ1'!B103,ĐMCP!$O:$O, "="&amp;'HQ1'!A103)</f>
        <v>0</v>
      </c>
      <c r="N103" s="89">
        <f t="shared" si="3"/>
        <v>0</v>
      </c>
    </row>
    <row r="104" spans="1:14" x14ac:dyDescent="0.25">
      <c r="A104" s="123" t="s">
        <v>48</v>
      </c>
      <c r="B104" s="16" t="s">
        <v>135</v>
      </c>
      <c r="C104" s="7">
        <v>170525046</v>
      </c>
      <c r="D104" s="7">
        <v>56959720</v>
      </c>
      <c r="E104" s="7">
        <v>-20980440.5</v>
      </c>
      <c r="F104" s="7">
        <v>-20660000</v>
      </c>
      <c r="G104" s="7">
        <v>66950300</v>
      </c>
      <c r="H104" s="7">
        <v>5115751.38</v>
      </c>
      <c r="I104" s="7">
        <v>83139715.120000005</v>
      </c>
      <c r="J104" s="113">
        <f>SUMIFS(PGĐ!$H:$H,PGĐ!$F:$F, "="&amp;B104, PGĐ!$I:$I, "="&amp;'HQ1'!A104)</f>
        <v>0</v>
      </c>
      <c r="K104" s="113"/>
      <c r="L104" s="78">
        <f t="shared" si="4"/>
        <v>0.189549243018685</v>
      </c>
      <c r="M104" s="5">
        <f>SUMIFS(ĐMCP!$Q:$Q,ĐMCP!$P:$P, "="&amp;'HQ1'!B104,ĐMCP!$O:$O, "="&amp;'HQ1'!A104)</f>
        <v>66950299.867667399</v>
      </c>
      <c r="N104" s="89">
        <f t="shared" si="3"/>
        <v>0.13233260065317154</v>
      </c>
    </row>
    <row r="105" spans="1:14" x14ac:dyDescent="0.25">
      <c r="A105" s="123" t="s">
        <v>48</v>
      </c>
      <c r="B105" s="16" t="s">
        <v>136</v>
      </c>
      <c r="C105" s="7">
        <v>11450200</v>
      </c>
      <c r="E105" s="7">
        <v>-608580</v>
      </c>
      <c r="G105" s="7">
        <v>5810907</v>
      </c>
      <c r="H105" s="7">
        <v>343506</v>
      </c>
      <c r="I105" s="7">
        <v>5904367</v>
      </c>
      <c r="J105" s="113">
        <f>SUMIFS(PGĐ!$H:$H,PGĐ!$F:$F, "="&amp;B105, PGĐ!$I:$I, "="&amp;'HQ1'!A105)</f>
        <v>0</v>
      </c>
      <c r="K105" s="113"/>
      <c r="L105" s="78">
        <f t="shared" si="4"/>
        <v>0</v>
      </c>
      <c r="M105" s="5">
        <f>SUMIFS(ĐMCP!$Q:$Q,ĐMCP!$P:$P, "="&amp;'HQ1'!B105,ĐMCP!$O:$O, "="&amp;'HQ1'!A105)</f>
        <v>5810907.2786104465</v>
      </c>
      <c r="N105" s="89">
        <f t="shared" si="3"/>
        <v>-0.27861044649034739</v>
      </c>
    </row>
    <row r="106" spans="1:14" x14ac:dyDescent="0.25">
      <c r="A106" s="123" t="s">
        <v>48</v>
      </c>
      <c r="B106" s="16" t="s">
        <v>137</v>
      </c>
      <c r="C106" s="7">
        <v>5031585613</v>
      </c>
      <c r="D106" s="7">
        <v>1829602985</v>
      </c>
      <c r="E106" s="7">
        <v>458158082.5</v>
      </c>
      <c r="F106" s="7">
        <v>729983240.53999996</v>
      </c>
      <c r="G106" s="7">
        <v>1708778759</v>
      </c>
      <c r="H106" s="7">
        <v>150947568.38999999</v>
      </c>
      <c r="I106" s="7">
        <v>154114977.57000005</v>
      </c>
      <c r="J106" s="113">
        <f>SUMIFS(PGĐ!$H:$H,PGĐ!$F:$F, "="&amp;B106, PGĐ!$I:$I, "="&amp;'HQ1'!A106)</f>
        <v>10500000</v>
      </c>
      <c r="K106" s="113"/>
      <c r="L106" s="78">
        <f t="shared" si="4"/>
        <v>0.55966476094137818</v>
      </c>
      <c r="M106" s="5">
        <f>SUMIFS(ĐMCP!$Q:$Q,ĐMCP!$P:$P, "="&amp;'HQ1'!B106,ĐMCP!$O:$O, "="&amp;'HQ1'!A106)</f>
        <v>1708778758.8591666</v>
      </c>
      <c r="N106" s="89">
        <f t="shared" si="3"/>
        <v>0.14083337783813477</v>
      </c>
    </row>
    <row r="107" spans="1:14" x14ac:dyDescent="0.25">
      <c r="A107" s="123" t="s">
        <v>48</v>
      </c>
      <c r="B107" s="16" t="s">
        <v>138</v>
      </c>
      <c r="C107" s="7">
        <v>639921102</v>
      </c>
      <c r="D107" s="7">
        <v>222241512</v>
      </c>
      <c r="E107" s="7">
        <v>10777404.6</v>
      </c>
      <c r="F107" s="7">
        <v>12070892</v>
      </c>
      <c r="G107" s="7">
        <v>212781826</v>
      </c>
      <c r="H107" s="7">
        <v>19197633.059999999</v>
      </c>
      <c r="I107" s="7">
        <v>162851834.33999997</v>
      </c>
      <c r="J107" s="113">
        <f>SUMIFS(PGĐ!$H:$H,PGĐ!$F:$F, "="&amp;B107, PGĐ!$I:$I, "="&amp;'HQ1'!A107)</f>
        <v>0</v>
      </c>
      <c r="K107" s="113"/>
      <c r="L107" s="78">
        <f t="shared" si="4"/>
        <v>0.37243066245170975</v>
      </c>
      <c r="M107" s="5">
        <f>SUMIFS(ĐMCP!$Q:$Q,ĐMCP!$P:$P, "="&amp;'HQ1'!B107,ĐMCP!$O:$O, "="&amp;'HQ1'!A107)</f>
        <v>212781826.26185396</v>
      </c>
      <c r="N107" s="89">
        <f t="shared" si="3"/>
        <v>-0.26185396313667297</v>
      </c>
    </row>
    <row r="108" spans="1:14" x14ac:dyDescent="0.25">
      <c r="A108" s="123" t="s">
        <v>118</v>
      </c>
      <c r="B108" s="15" t="s">
        <v>45</v>
      </c>
      <c r="C108" s="132">
        <v>6151909108</v>
      </c>
      <c r="D108" s="132">
        <v>1886507584</v>
      </c>
      <c r="E108" s="132">
        <v>163498371</v>
      </c>
      <c r="F108" s="132">
        <v>80871911</v>
      </c>
      <c r="G108" s="132">
        <v>2156040040</v>
      </c>
      <c r="H108" s="132">
        <v>184557273.23999998</v>
      </c>
      <c r="I108" s="132">
        <v>1680433928.76</v>
      </c>
      <c r="J108" s="113">
        <f>SUMIFS(PGĐ!$H:$H,PGĐ!$F:$F, "="&amp;B108, PGĐ!$I:$I, "="&amp;'HQ1'!A108)</f>
        <v>0</v>
      </c>
      <c r="K108" s="113"/>
      <c r="L108" s="78">
        <f t="shared" si="4"/>
        <v>0.32853115482616235</v>
      </c>
      <c r="M108" s="5">
        <f>SUMIFS(ĐMCP!$Q:$Q,ĐMCP!$P:$P, "="&amp;'HQ1'!B108,ĐMCP!$O:$O, "="&amp;'HQ1'!A108)</f>
        <v>0</v>
      </c>
      <c r="N108" s="89">
        <f t="shared" si="3"/>
        <v>0</v>
      </c>
    </row>
    <row r="109" spans="1:14" x14ac:dyDescent="0.25">
      <c r="A109" s="123" t="s">
        <v>118</v>
      </c>
      <c r="B109" s="16" t="s">
        <v>135</v>
      </c>
      <c r="C109" s="7">
        <v>610067694</v>
      </c>
      <c r="D109" s="7">
        <v>372480000</v>
      </c>
      <c r="E109" s="7">
        <v>-28887358.25</v>
      </c>
      <c r="G109" s="7">
        <v>168931239</v>
      </c>
      <c r="H109" s="7">
        <v>18302030.82</v>
      </c>
      <c r="I109" s="7">
        <v>79241782.430000007</v>
      </c>
      <c r="J109" s="113">
        <f>SUMIFS(PGĐ!$H:$H,PGĐ!$F:$F, "="&amp;B109, PGĐ!$I:$I, "="&amp;'HQ1'!A109)</f>
        <v>0</v>
      </c>
      <c r="K109" s="113"/>
      <c r="L109" s="78">
        <f t="shared" si="4"/>
        <v>0.58295180339893771</v>
      </c>
      <c r="M109" s="5">
        <f>SUMIFS(ĐMCP!$Q:$Q,ĐMCP!$P:$P, "="&amp;'HQ1'!B109,ĐMCP!$O:$O, "="&amp;'HQ1'!A109)</f>
        <v>168931239.28600615</v>
      </c>
      <c r="N109" s="89">
        <f t="shared" si="3"/>
        <v>-0.28600615262985229</v>
      </c>
    </row>
    <row r="110" spans="1:14" x14ac:dyDescent="0.25">
      <c r="A110" s="123" t="s">
        <v>118</v>
      </c>
      <c r="B110" s="16" t="s">
        <v>136</v>
      </c>
      <c r="C110" s="7">
        <v>13950000</v>
      </c>
      <c r="E110" s="7">
        <v>-600200</v>
      </c>
      <c r="G110" s="7">
        <v>7503970</v>
      </c>
      <c r="H110" s="7">
        <v>418500</v>
      </c>
      <c r="I110" s="7">
        <v>6627730</v>
      </c>
      <c r="J110" s="113">
        <f>SUMIFS(PGĐ!$H:$H,PGĐ!$F:$F, "="&amp;B110, PGĐ!$I:$I, "="&amp;'HQ1'!A110)</f>
        <v>0</v>
      </c>
      <c r="K110" s="113"/>
      <c r="L110" s="78">
        <f t="shared" si="4"/>
        <v>0</v>
      </c>
      <c r="M110" s="5">
        <f>SUMIFS(ĐMCP!$Q:$Q,ĐMCP!$P:$P, "="&amp;'HQ1'!B110,ĐMCP!$O:$O, "="&amp;'HQ1'!A110)</f>
        <v>7503970.2573803505</v>
      </c>
      <c r="N110" s="89">
        <f t="shared" si="3"/>
        <v>-0.25738035049289465</v>
      </c>
    </row>
    <row r="111" spans="1:14" x14ac:dyDescent="0.25">
      <c r="A111" s="123" t="s">
        <v>118</v>
      </c>
      <c r="B111" s="16" t="s">
        <v>137</v>
      </c>
      <c r="C111" s="7">
        <v>4638665444</v>
      </c>
      <c r="D111" s="7">
        <v>1246437442</v>
      </c>
      <c r="E111" s="7">
        <v>97523811.25</v>
      </c>
      <c r="F111" s="7">
        <v>570989659</v>
      </c>
      <c r="G111" s="7">
        <v>1565489993</v>
      </c>
      <c r="H111" s="7">
        <v>139159963.31999999</v>
      </c>
      <c r="I111" s="7">
        <v>1019064575.4300001</v>
      </c>
      <c r="J111" s="113">
        <f>SUMIFS(PGĐ!$H:$H,PGĐ!$F:$F, "="&amp;B111, PGĐ!$I:$I, "="&amp;'HQ1'!A111)</f>
        <v>25500000</v>
      </c>
      <c r="K111" s="113"/>
      <c r="L111" s="78">
        <f t="shared" si="4"/>
        <v>0.40021370130651757</v>
      </c>
      <c r="M111" s="5">
        <f>SUMIFS(ĐMCP!$Q:$Q,ĐMCP!$P:$P, "="&amp;'HQ1'!B111,ĐMCP!$O:$O, "="&amp;'HQ1'!A111)</f>
        <v>1565489992.7779055</v>
      </c>
      <c r="N111" s="89">
        <f t="shared" si="3"/>
        <v>0.22209453582763672</v>
      </c>
    </row>
    <row r="112" spans="1:14" x14ac:dyDescent="0.25">
      <c r="A112" s="123" t="s">
        <v>118</v>
      </c>
      <c r="B112" s="16" t="s">
        <v>138</v>
      </c>
      <c r="C112" s="7">
        <v>889225970</v>
      </c>
      <c r="D112" s="7">
        <v>267590142</v>
      </c>
      <c r="E112" s="7">
        <v>95462118</v>
      </c>
      <c r="F112" s="7">
        <v>-490117748</v>
      </c>
      <c r="G112" s="7">
        <v>414114838</v>
      </c>
      <c r="H112" s="7">
        <v>26676779.099999998</v>
      </c>
      <c r="I112" s="7">
        <v>575499840.89999998</v>
      </c>
      <c r="J112" s="113">
        <f>SUMIFS(PGĐ!$H:$H,PGĐ!$F:$F, "="&amp;B112, PGĐ!$I:$I, "="&amp;'HQ1'!A112)</f>
        <v>0</v>
      </c>
      <c r="K112" s="113"/>
      <c r="L112" s="78">
        <f t="shared" si="4"/>
        <v>-0.28034484744966692</v>
      </c>
      <c r="M112" s="5">
        <f>SUMIFS(ĐMCP!$Q:$Q,ĐMCP!$P:$P, "="&amp;'HQ1'!B112,ĐMCP!$O:$O, "="&amp;'HQ1'!A112)</f>
        <v>414114838.175641</v>
      </c>
      <c r="N112" s="89">
        <f t="shared" si="3"/>
        <v>-0.17564100027084351</v>
      </c>
    </row>
    <row r="113" spans="1:14" x14ac:dyDescent="0.25">
      <c r="A113" s="123" t="s">
        <v>71</v>
      </c>
      <c r="B113" s="15" t="s">
        <v>45</v>
      </c>
      <c r="C113" s="132">
        <v>40423151794</v>
      </c>
      <c r="D113" s="132">
        <v>29147148957</v>
      </c>
      <c r="E113" s="132">
        <v>-494102066.25</v>
      </c>
      <c r="F113" s="132">
        <v>5707344435.3600006</v>
      </c>
      <c r="G113" s="132">
        <v>13901253493</v>
      </c>
      <c r="H113" s="132">
        <v>1212694553.8199999</v>
      </c>
      <c r="I113" s="132">
        <v>-9051187578.9300003</v>
      </c>
      <c r="J113" s="113">
        <f>SUMIFS(PGĐ!$H:$H,PGĐ!$F:$F, "="&amp;B113, PGĐ!$I:$I, "="&amp;'HQ1'!A113)</f>
        <v>0</v>
      </c>
      <c r="K113" s="113"/>
      <c r="L113" s="78">
        <f t="shared" si="4"/>
        <v>0.85182875447612072</v>
      </c>
      <c r="M113" s="5">
        <f>SUMIFS(ĐMCP!$Q:$Q,ĐMCP!$P:$P, "="&amp;'HQ1'!B113,ĐMCP!$O:$O, "="&amp;'HQ1'!A113)</f>
        <v>0</v>
      </c>
      <c r="N113" s="89">
        <f t="shared" si="3"/>
        <v>0</v>
      </c>
    </row>
    <row r="114" spans="1:14" x14ac:dyDescent="0.25">
      <c r="A114" s="123" t="s">
        <v>71</v>
      </c>
      <c r="B114" s="16" t="s">
        <v>135</v>
      </c>
      <c r="C114" s="7">
        <v>8034762582</v>
      </c>
      <c r="D114" s="7">
        <v>6267753487</v>
      </c>
      <c r="E114" s="7">
        <v>-661505927.75</v>
      </c>
      <c r="F114" s="7">
        <v>124402000</v>
      </c>
      <c r="G114" s="7">
        <v>1166908678</v>
      </c>
      <c r="H114" s="7">
        <v>241042877.45999998</v>
      </c>
      <c r="I114" s="7">
        <v>896161467.28999996</v>
      </c>
      <c r="J114" s="113">
        <f>SUMIFS(PGĐ!$H:$H,PGĐ!$F:$F, "="&amp;B114, PGĐ!$I:$I, "="&amp;'HQ1'!A114)</f>
        <v>0</v>
      </c>
      <c r="K114" s="113"/>
      <c r="L114" s="78">
        <f t="shared" si="4"/>
        <v>0.73504578197341808</v>
      </c>
      <c r="M114" s="5">
        <f>SUMIFS(ĐMCP!$Q:$Q,ĐMCP!$P:$P, "="&amp;'HQ1'!B114,ĐMCP!$O:$O, "="&amp;'HQ1'!A114)</f>
        <v>1166908677.7464156</v>
      </c>
      <c r="N114" s="89">
        <f t="shared" si="3"/>
        <v>0.25358438491821289</v>
      </c>
    </row>
    <row r="115" spans="1:14" x14ac:dyDescent="0.25">
      <c r="A115" s="123" t="s">
        <v>71</v>
      </c>
      <c r="B115" s="16" t="s">
        <v>136</v>
      </c>
      <c r="C115" s="7">
        <v>2287388900</v>
      </c>
      <c r="D115" s="7">
        <v>233001890</v>
      </c>
      <c r="E115" s="7">
        <v>29339377.200000003</v>
      </c>
      <c r="F115" s="7">
        <v>-175393468</v>
      </c>
      <c r="G115" s="7">
        <v>927207763</v>
      </c>
      <c r="H115" s="7">
        <v>68621667</v>
      </c>
      <c r="I115" s="7">
        <v>1204611670.8000002</v>
      </c>
      <c r="J115" s="113">
        <f>SUMIFS(PGĐ!$H:$H,PGĐ!$F:$F, "="&amp;B115, PGĐ!$I:$I, "="&amp;'HQ1'!A115)</f>
        <v>0</v>
      </c>
      <c r="K115" s="113"/>
      <c r="L115" s="78">
        <f t="shared" si="4"/>
        <v>2.5512470571754813E-2</v>
      </c>
      <c r="M115" s="5">
        <f>SUMIFS(ĐMCP!$Q:$Q,ĐMCP!$P:$P, "="&amp;'HQ1'!B115,ĐMCP!$O:$O, "="&amp;'HQ1'!A115)</f>
        <v>927207763.2779094</v>
      </c>
      <c r="N115" s="89">
        <f t="shared" si="3"/>
        <v>-0.27790939807891846</v>
      </c>
    </row>
    <row r="116" spans="1:14" x14ac:dyDescent="0.25">
      <c r="A116" s="123" t="s">
        <v>71</v>
      </c>
      <c r="B116" s="16" t="s">
        <v>137</v>
      </c>
      <c r="C116" s="7">
        <v>15504113612</v>
      </c>
      <c r="D116" s="7">
        <v>9429352049</v>
      </c>
      <c r="E116" s="7">
        <v>1520902808</v>
      </c>
      <c r="F116" s="7">
        <v>6724581172.3600006</v>
      </c>
      <c r="G116" s="7">
        <v>7355718257</v>
      </c>
      <c r="H116" s="7">
        <v>465123408.35999995</v>
      </c>
      <c r="I116" s="7">
        <v>-9991564082.7200012</v>
      </c>
      <c r="J116" s="113">
        <f>SUMIFS(PGĐ!$H:$H,PGĐ!$F:$F, "="&amp;B116, PGĐ!$I:$I, "="&amp;'HQ1'!A116)</f>
        <v>179700000</v>
      </c>
      <c r="K116" s="113"/>
      <c r="L116" s="78">
        <f t="shared" si="4"/>
        <v>1.1552377667609108</v>
      </c>
      <c r="M116" s="5">
        <f>SUMIFS(ĐMCP!$Q:$Q,ĐMCP!$P:$P, "="&amp;'HQ1'!B116,ĐMCP!$O:$O, "="&amp;'HQ1'!A116)</f>
        <v>7355718256.681551</v>
      </c>
      <c r="N116" s="89">
        <f t="shared" si="3"/>
        <v>0.31844902038574219</v>
      </c>
    </row>
    <row r="117" spans="1:14" x14ac:dyDescent="0.25">
      <c r="A117" s="123" t="s">
        <v>71</v>
      </c>
      <c r="B117" s="16" t="s">
        <v>138</v>
      </c>
      <c r="C117" s="7">
        <v>14596886700</v>
      </c>
      <c r="D117" s="7">
        <v>13217041531</v>
      </c>
      <c r="E117" s="7">
        <v>-1382838323.7</v>
      </c>
      <c r="F117" s="7">
        <v>-966245269</v>
      </c>
      <c r="G117" s="7">
        <v>4451418795</v>
      </c>
      <c r="H117" s="7">
        <v>437906601</v>
      </c>
      <c r="I117" s="7">
        <v>-1160396634.3000002</v>
      </c>
      <c r="J117" s="113">
        <f>SUMIFS(PGĐ!$H:$H,PGĐ!$F:$F, "="&amp;B117, PGĐ!$I:$I, "="&amp;'HQ1'!A117)</f>
        <v>0</v>
      </c>
      <c r="K117" s="113"/>
      <c r="L117" s="78">
        <f t="shared" si="4"/>
        <v>0.76664624978405349</v>
      </c>
      <c r="M117" s="5">
        <f>SUMIFS(ĐMCP!$Q:$Q,ĐMCP!$P:$P, "="&amp;'HQ1'!B117,ĐMCP!$O:$O, "="&amp;'HQ1'!A117)</f>
        <v>4451418794.7361212</v>
      </c>
      <c r="N117" s="89">
        <f t="shared" si="3"/>
        <v>0.26387882232666016</v>
      </c>
    </row>
    <row r="118" spans="1:14" x14ac:dyDescent="0.25">
      <c r="A118" s="123" t="s">
        <v>92</v>
      </c>
      <c r="B118" s="15" t="s">
        <v>45</v>
      </c>
      <c r="C118" s="132">
        <v>9909717980</v>
      </c>
      <c r="D118" s="132">
        <v>6259693422</v>
      </c>
      <c r="E118" s="132">
        <v>672463319.64999998</v>
      </c>
      <c r="F118" s="132">
        <v>-222690222</v>
      </c>
      <c r="G118" s="132">
        <v>3250627351</v>
      </c>
      <c r="H118" s="132">
        <v>297291539.39999998</v>
      </c>
      <c r="I118" s="132">
        <v>-347667430.04999995</v>
      </c>
      <c r="J118" s="113">
        <f>SUMIFS(PGĐ!$H:$H,PGĐ!$F:$F, "="&amp;B118, PGĐ!$I:$I, "="&amp;'HQ1'!A118)</f>
        <v>0</v>
      </c>
      <c r="K118" s="113"/>
      <c r="L118" s="78">
        <f t="shared" si="4"/>
        <v>0.65354950382749943</v>
      </c>
      <c r="M118" s="5">
        <f>SUMIFS(ĐMCP!$Q:$Q,ĐMCP!$P:$P, "="&amp;'HQ1'!B118,ĐMCP!$O:$O, "="&amp;'HQ1'!A118)</f>
        <v>0</v>
      </c>
      <c r="N118" s="89">
        <f t="shared" si="3"/>
        <v>0</v>
      </c>
    </row>
    <row r="119" spans="1:14" x14ac:dyDescent="0.25">
      <c r="A119" s="123" t="s">
        <v>92</v>
      </c>
      <c r="B119" s="16" t="s">
        <v>135</v>
      </c>
      <c r="C119" s="7">
        <v>1417571439</v>
      </c>
      <c r="D119" s="7">
        <v>3759718429</v>
      </c>
      <c r="E119" s="7">
        <v>-68382972.25</v>
      </c>
      <c r="F119" s="7">
        <v>-97604000</v>
      </c>
      <c r="G119" s="7">
        <v>545970746</v>
      </c>
      <c r="H119" s="7">
        <v>42527143.170000002</v>
      </c>
      <c r="I119" s="7">
        <v>-2764657906.9200001</v>
      </c>
      <c r="J119" s="113">
        <f>SUMIFS(PGĐ!$H:$H,PGĐ!$F:$F, "="&amp;B119, PGĐ!$I:$I, "="&amp;'HQ1'!A119)</f>
        <v>0</v>
      </c>
      <c r="K119" s="113"/>
      <c r="L119" s="78">
        <f t="shared" si="4"/>
        <v>2.4644863942490618</v>
      </c>
      <c r="M119" s="5">
        <f>SUMIFS(ĐMCP!$Q:$Q,ĐMCP!$P:$P, "="&amp;'HQ1'!B119,ĐMCP!$O:$O, "="&amp;'HQ1'!A119)</f>
        <v>545970746.19662023</v>
      </c>
      <c r="N119" s="89">
        <f t="shared" si="3"/>
        <v>-0.19662022590637207</v>
      </c>
    </row>
    <row r="120" spans="1:14" x14ac:dyDescent="0.25">
      <c r="A120" s="123" t="s">
        <v>92</v>
      </c>
      <c r="B120" s="16" t="s">
        <v>136</v>
      </c>
      <c r="C120" s="7">
        <v>158083300</v>
      </c>
      <c r="E120" s="7">
        <v>9147545.3000000007</v>
      </c>
      <c r="G120" s="7">
        <v>64160182</v>
      </c>
      <c r="H120" s="7">
        <v>4742499</v>
      </c>
      <c r="I120" s="7">
        <v>80033073.699999988</v>
      </c>
      <c r="J120" s="113">
        <f>SUMIFS(PGĐ!$H:$H,PGĐ!$F:$F, "="&amp;B120, PGĐ!$I:$I, "="&amp;'HQ1'!A120)</f>
        <v>0</v>
      </c>
      <c r="K120" s="113"/>
      <c r="L120" s="78">
        <f t="shared" si="4"/>
        <v>0</v>
      </c>
      <c r="M120" s="5">
        <f>SUMIFS(ĐMCP!$Q:$Q,ĐMCP!$P:$P, "="&amp;'HQ1'!B120,ĐMCP!$O:$O, "="&amp;'HQ1'!A120)</f>
        <v>64160182.385969266</v>
      </c>
      <c r="N120" s="89">
        <f t="shared" si="3"/>
        <v>-0.38596926629543304</v>
      </c>
    </row>
    <row r="121" spans="1:14" x14ac:dyDescent="0.25">
      <c r="A121" s="123" t="s">
        <v>92</v>
      </c>
      <c r="B121" s="16" t="s">
        <v>137</v>
      </c>
      <c r="C121" s="7">
        <v>4088595214</v>
      </c>
      <c r="D121" s="7">
        <v>1522138687</v>
      </c>
      <c r="E121" s="7">
        <v>-13126351.5</v>
      </c>
      <c r="F121" s="7">
        <v>-337159196</v>
      </c>
      <c r="G121" s="7">
        <v>1463101627</v>
      </c>
      <c r="H121" s="7">
        <v>122657856.42</v>
      </c>
      <c r="I121" s="7">
        <v>1330982591.0799999</v>
      </c>
      <c r="J121" s="113">
        <f>SUMIFS(PGĐ!$H:$H,PGĐ!$F:$F, "="&amp;B121, PGĐ!$I:$I, "="&amp;'HQ1'!A121)</f>
        <v>6300000</v>
      </c>
      <c r="K121" s="113"/>
      <c r="L121" s="78">
        <f t="shared" si="4"/>
        <v>0.28889808147071311</v>
      </c>
      <c r="M121" s="5">
        <f>SUMIFS(ĐMCP!$Q:$Q,ĐMCP!$P:$P, "="&amp;'HQ1'!B121,ĐMCP!$O:$O, "="&amp;'HQ1'!A121)</f>
        <v>1463101627.1245465</v>
      </c>
      <c r="N121" s="89">
        <f t="shared" si="3"/>
        <v>-0.12454652786254883</v>
      </c>
    </row>
    <row r="122" spans="1:14" x14ac:dyDescent="0.25">
      <c r="A122" s="123" t="s">
        <v>92</v>
      </c>
      <c r="B122" s="16" t="s">
        <v>138</v>
      </c>
      <c r="C122" s="7">
        <v>4245468027</v>
      </c>
      <c r="D122" s="7">
        <v>977836306</v>
      </c>
      <c r="E122" s="7">
        <v>744825098.10000002</v>
      </c>
      <c r="F122" s="7">
        <v>212072974</v>
      </c>
      <c r="G122" s="7">
        <v>1177394796</v>
      </c>
      <c r="H122" s="7">
        <v>127364040.81</v>
      </c>
      <c r="I122" s="7">
        <v>1005974812.0900002</v>
      </c>
      <c r="J122" s="113">
        <f>SUMIFS(PGĐ!$H:$H,PGĐ!$F:$F, "="&amp;B122, PGĐ!$I:$I, "="&amp;'HQ1'!A122)</f>
        <v>0</v>
      </c>
      <c r="K122" s="113"/>
      <c r="L122" s="78">
        <f t="shared" si="4"/>
        <v>0.33991164028086202</v>
      </c>
      <c r="M122" s="5">
        <f>SUMIFS(ĐMCP!$Q:$Q,ĐMCP!$P:$P, "="&amp;'HQ1'!B122,ĐMCP!$O:$O, "="&amp;'HQ1'!A122)</f>
        <v>1177394796.1760023</v>
      </c>
      <c r="N122" s="89">
        <f t="shared" si="3"/>
        <v>-0.17600226402282715</v>
      </c>
    </row>
    <row r="123" spans="1:14" x14ac:dyDescent="0.25">
      <c r="A123" s="123" t="s">
        <v>60</v>
      </c>
      <c r="B123" s="15" t="s">
        <v>45</v>
      </c>
      <c r="C123" s="132">
        <v>9846338721</v>
      </c>
      <c r="D123" s="132">
        <v>10781716345</v>
      </c>
      <c r="E123" s="132">
        <v>-798223362.29999995</v>
      </c>
      <c r="F123" s="132">
        <v>951239523</v>
      </c>
      <c r="G123" s="132">
        <v>3745629016</v>
      </c>
      <c r="H123" s="132">
        <v>295390161.63</v>
      </c>
      <c r="I123" s="132">
        <v>-5129412962.3299999</v>
      </c>
      <c r="J123" s="113">
        <f>SUMIFS(PGĐ!$H:$H,PGĐ!$F:$F, "="&amp;B123, PGĐ!$I:$I, "="&amp;'HQ1'!A123)</f>
        <v>0</v>
      </c>
      <c r="K123" s="113"/>
      <c r="L123" s="78">
        <f t="shared" si="4"/>
        <v>1.1022488080000543</v>
      </c>
      <c r="M123" s="5">
        <f>SUMIFS(ĐMCP!$Q:$Q,ĐMCP!$P:$P, "="&amp;'HQ1'!B123,ĐMCP!$O:$O, "="&amp;'HQ1'!A123)</f>
        <v>0</v>
      </c>
      <c r="N123" s="89">
        <f t="shared" si="3"/>
        <v>0</v>
      </c>
    </row>
    <row r="124" spans="1:14" x14ac:dyDescent="0.25">
      <c r="A124" s="123" t="s">
        <v>60</v>
      </c>
      <c r="B124" s="16" t="s">
        <v>135</v>
      </c>
      <c r="C124" s="7">
        <v>2763051761</v>
      </c>
      <c r="D124" s="7">
        <v>8592358940</v>
      </c>
      <c r="E124" s="7">
        <v>-257078471.75</v>
      </c>
      <c r="F124" s="7">
        <v>5975000</v>
      </c>
      <c r="G124" s="7">
        <v>902422561</v>
      </c>
      <c r="H124" s="7">
        <v>82891552.829999998</v>
      </c>
      <c r="I124" s="7">
        <v>-6563517821.0799999</v>
      </c>
      <c r="J124" s="113">
        <f>SUMIFS(PGĐ!$H:$H,PGĐ!$F:$F, "="&amp;B124, PGĐ!$I:$I, "="&amp;'HQ1'!A124)</f>
        <v>500000</v>
      </c>
      <c r="K124" s="113"/>
      <c r="L124" s="78">
        <f t="shared" si="4"/>
        <v>2.8470076709807075</v>
      </c>
      <c r="M124" s="5">
        <f>SUMIFS(ĐMCP!$Q:$Q,ĐMCP!$P:$P, "="&amp;'HQ1'!B124,ĐMCP!$O:$O, "="&amp;'HQ1'!A124)</f>
        <v>902422560.60372329</v>
      </c>
      <c r="N124" s="89">
        <f t="shared" si="3"/>
        <v>0.39627671241760254</v>
      </c>
    </row>
    <row r="125" spans="1:14" x14ac:dyDescent="0.25">
      <c r="A125" s="123" t="s">
        <v>60</v>
      </c>
      <c r="B125" s="16" t="s">
        <v>136</v>
      </c>
      <c r="C125" s="7">
        <v>23195500</v>
      </c>
      <c r="E125" s="7">
        <v>-1770216.8</v>
      </c>
      <c r="G125" s="7">
        <v>12364060</v>
      </c>
      <c r="H125" s="7">
        <v>695865</v>
      </c>
      <c r="I125" s="7">
        <v>11905791.800000001</v>
      </c>
      <c r="J125" s="113">
        <f>SUMIFS(PGĐ!$H:$H,PGĐ!$F:$F, "="&amp;B125, PGĐ!$I:$I, "="&amp;'HQ1'!A125)</f>
        <v>0</v>
      </c>
      <c r="K125" s="113"/>
      <c r="L125" s="78">
        <f t="shared" si="4"/>
        <v>0</v>
      </c>
      <c r="M125" s="5">
        <f>SUMIFS(ĐMCP!$Q:$Q,ĐMCP!$P:$P, "="&amp;'HQ1'!B125,ĐMCP!$O:$O, "="&amp;'HQ1'!A125)</f>
        <v>12364059.670181394</v>
      </c>
      <c r="N125" s="89">
        <f t="shared" si="3"/>
        <v>0.32981860637664795</v>
      </c>
    </row>
    <row r="126" spans="1:14" x14ac:dyDescent="0.25">
      <c r="A126" s="123" t="s">
        <v>60</v>
      </c>
      <c r="B126" s="16" t="s">
        <v>137</v>
      </c>
      <c r="C126" s="7">
        <v>5816843307</v>
      </c>
      <c r="D126" s="7">
        <v>1600252975</v>
      </c>
      <c r="E126" s="7">
        <v>-546915347.75</v>
      </c>
      <c r="F126" s="7">
        <v>967236314</v>
      </c>
      <c r="G126" s="7">
        <v>2260029580</v>
      </c>
      <c r="H126" s="7">
        <v>174505299.21000001</v>
      </c>
      <c r="I126" s="7">
        <v>1361734486.54</v>
      </c>
      <c r="J126" s="113">
        <f>SUMIFS(PGĐ!$H:$H,PGĐ!$F:$F, "="&amp;B126, PGĐ!$I:$I, "="&amp;'HQ1'!A126)</f>
        <v>30400000</v>
      </c>
      <c r="K126" s="113"/>
      <c r="L126" s="78">
        <f t="shared" si="4"/>
        <v>0.40345484929469938</v>
      </c>
      <c r="M126" s="5">
        <f>SUMIFS(ĐMCP!$Q:$Q,ĐMCP!$P:$P, "="&amp;'HQ1'!B126,ĐMCP!$O:$O, "="&amp;'HQ1'!A126)</f>
        <v>2260029580.481636</v>
      </c>
      <c r="N126" s="89">
        <f t="shared" si="3"/>
        <v>-0.48163604736328125</v>
      </c>
    </row>
    <row r="127" spans="1:14" x14ac:dyDescent="0.25">
      <c r="A127" s="123" t="s">
        <v>60</v>
      </c>
      <c r="B127" s="16" t="s">
        <v>138</v>
      </c>
      <c r="C127" s="7">
        <v>1243248153</v>
      </c>
      <c r="D127" s="7">
        <v>589104430</v>
      </c>
      <c r="E127" s="7">
        <v>7540674</v>
      </c>
      <c r="F127" s="7">
        <v>-21971791</v>
      </c>
      <c r="G127" s="7">
        <v>570812815</v>
      </c>
      <c r="H127" s="7">
        <v>37297444.589999996</v>
      </c>
      <c r="I127" s="7">
        <v>60464580.410000004</v>
      </c>
      <c r="J127" s="113">
        <f>SUMIFS(PGĐ!$H:$H,PGĐ!$F:$F, "="&amp;B127, PGĐ!$I:$I, "="&amp;'HQ1'!A127)</f>
        <v>200000</v>
      </c>
      <c r="K127" s="113"/>
      <c r="L127" s="78">
        <f t="shared" si="4"/>
        <v>0.45895379662098817</v>
      </c>
      <c r="M127" s="5">
        <f>SUMIFS(ĐMCP!$Q:$Q,ĐMCP!$P:$P, "="&amp;'HQ1'!B127,ĐMCP!$O:$O, "="&amp;'HQ1'!A127)</f>
        <v>570812814.89686728</v>
      </c>
      <c r="N127" s="89">
        <f t="shared" si="3"/>
        <v>0.10313272476196289</v>
      </c>
    </row>
    <row r="128" spans="1:14" x14ac:dyDescent="0.25">
      <c r="A128" s="123" t="s">
        <v>65</v>
      </c>
      <c r="B128" s="15" t="s">
        <v>45</v>
      </c>
      <c r="C128" s="132">
        <v>19283141317</v>
      </c>
      <c r="D128" s="132">
        <v>7099670545</v>
      </c>
      <c r="E128" s="132">
        <v>1095629290.5</v>
      </c>
      <c r="F128" s="132">
        <v>-641872399.05000019</v>
      </c>
      <c r="G128" s="132">
        <v>5575202633</v>
      </c>
      <c r="H128" s="132">
        <v>578494239.50999999</v>
      </c>
      <c r="I128" s="132">
        <v>5576017008.039999</v>
      </c>
      <c r="J128" s="113">
        <f>SUMIFS(PGĐ!$H:$H,PGĐ!$F:$F, "="&amp;B128, PGĐ!$I:$I, "="&amp;'HQ1'!A128)</f>
        <v>0</v>
      </c>
      <c r="K128" s="113"/>
      <c r="L128" s="78">
        <f t="shared" si="4"/>
        <v>0.35506770450739528</v>
      </c>
      <c r="M128" s="5">
        <f>SUMIFS(ĐMCP!$Q:$Q,ĐMCP!$P:$P, "="&amp;'HQ1'!B128,ĐMCP!$O:$O, "="&amp;'HQ1'!A128)</f>
        <v>0</v>
      </c>
      <c r="N128" s="89">
        <f t="shared" si="3"/>
        <v>0</v>
      </c>
    </row>
    <row r="129" spans="1:14" x14ac:dyDescent="0.25">
      <c r="A129" s="123" t="s">
        <v>65</v>
      </c>
      <c r="B129" s="16" t="s">
        <v>135</v>
      </c>
      <c r="C129" s="7">
        <v>1655116494</v>
      </c>
      <c r="D129" s="7">
        <v>192624734</v>
      </c>
      <c r="E129" s="7">
        <v>-60795451.25</v>
      </c>
      <c r="F129" s="7">
        <v>-9152455</v>
      </c>
      <c r="G129" s="7">
        <v>705366677</v>
      </c>
      <c r="H129" s="7">
        <v>49653494.82</v>
      </c>
      <c r="I129" s="7">
        <v>777419494.42999995</v>
      </c>
      <c r="J129" s="113">
        <f>SUMIFS(PGĐ!$H:$H,PGĐ!$F:$F, "="&amp;B129, PGĐ!$I:$I, "="&amp;'HQ1'!A129)</f>
        <v>0</v>
      </c>
      <c r="K129" s="113"/>
      <c r="L129" s="78">
        <f t="shared" si="4"/>
        <v>0.10692406420264705</v>
      </c>
      <c r="M129" s="5">
        <f>SUMIFS(ĐMCP!$Q:$Q,ĐMCP!$P:$P, "="&amp;'HQ1'!B129,ĐMCP!$O:$O, "="&amp;'HQ1'!A129)</f>
        <v>705366677.2049973</v>
      </c>
      <c r="N129" s="89">
        <f t="shared" si="3"/>
        <v>-0.20499730110168457</v>
      </c>
    </row>
    <row r="130" spans="1:14" x14ac:dyDescent="0.25">
      <c r="A130" s="123" t="s">
        <v>65</v>
      </c>
      <c r="B130" s="16" t="s">
        <v>136</v>
      </c>
      <c r="C130" s="7">
        <v>370221600</v>
      </c>
      <c r="D130" s="7">
        <v>656634</v>
      </c>
      <c r="E130" s="7">
        <v>14004609.4</v>
      </c>
      <c r="G130" s="7">
        <v>196753654</v>
      </c>
      <c r="H130" s="7">
        <v>11106648</v>
      </c>
      <c r="I130" s="7">
        <v>147700054.60000002</v>
      </c>
      <c r="J130" s="113">
        <f>SUMIFS(PGĐ!$H:$H,PGĐ!$F:$F, "="&amp;B130, PGĐ!$I:$I, "="&amp;'HQ1'!A130)</f>
        <v>0</v>
      </c>
      <c r="K130" s="113"/>
      <c r="L130" s="78">
        <f t="shared" si="4"/>
        <v>1.8433539593212204E-3</v>
      </c>
      <c r="M130" s="5">
        <f>SUMIFS(ĐMCP!$Q:$Q,ĐMCP!$P:$P, "="&amp;'HQ1'!B130,ĐMCP!$O:$O, "="&amp;'HQ1'!A130)</f>
        <v>196753654.28712434</v>
      </c>
      <c r="N130" s="89">
        <f t="shared" si="3"/>
        <v>-0.28712433576583862</v>
      </c>
    </row>
    <row r="131" spans="1:14" x14ac:dyDescent="0.25">
      <c r="A131" s="123" t="s">
        <v>65</v>
      </c>
      <c r="B131" s="16" t="s">
        <v>137</v>
      </c>
      <c r="C131" s="7">
        <v>9000574964</v>
      </c>
      <c r="D131" s="7">
        <v>4007326988</v>
      </c>
      <c r="E131" s="7">
        <v>444285678.25</v>
      </c>
      <c r="F131" s="7">
        <v>-609286592</v>
      </c>
      <c r="G131" s="7">
        <v>3059854438</v>
      </c>
      <c r="H131" s="7">
        <v>270017248.92000002</v>
      </c>
      <c r="I131" s="7">
        <v>1828377202.8299999</v>
      </c>
      <c r="J131" s="113">
        <f>SUMIFS(PGĐ!$H:$H,PGĐ!$F:$F, "="&amp;B131, PGĐ!$I:$I, "="&amp;'HQ1'!A131)</f>
        <v>26700000</v>
      </c>
      <c r="K131" s="113"/>
      <c r="L131" s="78">
        <f t="shared" si="4"/>
        <v>0.39713949382932129</v>
      </c>
      <c r="M131" s="5">
        <f>SUMIFS(ĐMCP!$Q:$Q,ĐMCP!$P:$P, "="&amp;'HQ1'!B131,ĐMCP!$O:$O, "="&amp;'HQ1'!A131)</f>
        <v>3059854438.1548452</v>
      </c>
      <c r="N131" s="89">
        <f t="shared" ref="N131:N194" si="5">IF(M131=0,0,G131-M131)</f>
        <v>-0.15484523773193359</v>
      </c>
    </row>
    <row r="132" spans="1:14" x14ac:dyDescent="0.25">
      <c r="A132" s="123" t="s">
        <v>65</v>
      </c>
      <c r="B132" s="16" t="s">
        <v>138</v>
      </c>
      <c r="C132" s="7">
        <v>8257228259</v>
      </c>
      <c r="D132" s="7">
        <v>2899062189</v>
      </c>
      <c r="E132" s="7">
        <v>698134454.10000002</v>
      </c>
      <c r="F132" s="7">
        <v>-23433352.049999952</v>
      </c>
      <c r="G132" s="7">
        <v>1613227864</v>
      </c>
      <c r="H132" s="7">
        <v>247716847.76999998</v>
      </c>
      <c r="I132" s="7">
        <v>2822520256.1799998</v>
      </c>
      <c r="J132" s="113">
        <f>SUMIFS(PGĐ!$H:$H,PGĐ!$F:$F, "="&amp;B132, PGĐ!$I:$I, "="&amp;'HQ1'!A132)</f>
        <v>0</v>
      </c>
      <c r="K132" s="113"/>
      <c r="L132" s="78">
        <f t="shared" ref="L132:L195" si="6">(D132+F132)/(C132-E132)</f>
        <v>0.38041978458925102</v>
      </c>
      <c r="M132" s="5">
        <f>SUMIFS(ĐMCP!$Q:$Q,ĐMCP!$P:$P, "="&amp;'HQ1'!B132,ĐMCP!$O:$O, "="&amp;'HQ1'!A132)</f>
        <v>1613227863.5765831</v>
      </c>
      <c r="N132" s="89">
        <f t="shared" si="5"/>
        <v>0.4234168529510498</v>
      </c>
    </row>
    <row r="133" spans="1:14" x14ac:dyDescent="0.25">
      <c r="A133" s="123" t="s">
        <v>74</v>
      </c>
      <c r="B133" s="15" t="s">
        <v>45</v>
      </c>
      <c r="C133" s="132">
        <v>12535412824</v>
      </c>
      <c r="D133" s="132">
        <v>4728390859</v>
      </c>
      <c r="E133" s="132">
        <v>-254520809.75</v>
      </c>
      <c r="F133" s="132">
        <v>191668014</v>
      </c>
      <c r="G133" s="132">
        <v>4023045019</v>
      </c>
      <c r="H133" s="132">
        <v>376062384.71999997</v>
      </c>
      <c r="I133" s="132">
        <v>3470767357.0299997</v>
      </c>
      <c r="J133" s="113">
        <f>SUMIFS(PGĐ!$H:$H,PGĐ!$F:$F, "="&amp;B133, PGĐ!$I:$I, "="&amp;'HQ1'!A133)</f>
        <v>0</v>
      </c>
      <c r="K133" s="113"/>
      <c r="L133" s="78">
        <f t="shared" si="6"/>
        <v>0.38468212688899167</v>
      </c>
      <c r="M133" s="5">
        <f>SUMIFS(ĐMCP!$Q:$Q,ĐMCP!$P:$P, "="&amp;'HQ1'!B133,ĐMCP!$O:$O, "="&amp;'HQ1'!A133)</f>
        <v>0</v>
      </c>
      <c r="N133" s="89">
        <f t="shared" si="5"/>
        <v>0</v>
      </c>
    </row>
    <row r="134" spans="1:14" x14ac:dyDescent="0.25">
      <c r="A134" s="123" t="s">
        <v>74</v>
      </c>
      <c r="B134" s="16" t="s">
        <v>135</v>
      </c>
      <c r="C134" s="7">
        <v>2036742300</v>
      </c>
      <c r="D134" s="7">
        <v>928285000</v>
      </c>
      <c r="E134" s="7">
        <v>-182046839.25</v>
      </c>
      <c r="F134" s="7">
        <v>-24955000</v>
      </c>
      <c r="G134" s="7">
        <v>562092949</v>
      </c>
      <c r="H134" s="7">
        <v>61102269</v>
      </c>
      <c r="I134" s="7">
        <v>692263921.25</v>
      </c>
      <c r="J134" s="113">
        <f>SUMIFS(PGĐ!$H:$H,PGĐ!$F:$F, "="&amp;B134, PGĐ!$I:$I, "="&amp;'HQ1'!A134)</f>
        <v>1580000</v>
      </c>
      <c r="K134" s="113"/>
      <c r="L134" s="78">
        <f t="shared" si="6"/>
        <v>0.40712746606707551</v>
      </c>
      <c r="M134" s="5">
        <f>SUMIFS(ĐMCP!$Q:$Q,ĐMCP!$P:$P, "="&amp;'HQ1'!B134,ĐMCP!$O:$O, "="&amp;'HQ1'!A134)</f>
        <v>562092949.24592543</v>
      </c>
      <c r="N134" s="89">
        <f t="shared" si="5"/>
        <v>-0.2459254264831543</v>
      </c>
    </row>
    <row r="135" spans="1:14" x14ac:dyDescent="0.25">
      <c r="A135" s="123" t="s">
        <v>74</v>
      </c>
      <c r="B135" s="16" t="s">
        <v>136</v>
      </c>
      <c r="C135" s="7">
        <v>7253000</v>
      </c>
      <c r="D135" s="7">
        <v>9892064</v>
      </c>
      <c r="E135" s="7">
        <v>-2402600</v>
      </c>
      <c r="G135" s="7">
        <v>1050351</v>
      </c>
      <c r="H135" s="7">
        <v>217590</v>
      </c>
      <c r="I135" s="7">
        <v>-1504405</v>
      </c>
      <c r="J135" s="113">
        <f>SUMIFS(PGĐ!$H:$H,PGĐ!$F:$F, "="&amp;B135, PGĐ!$I:$I, "="&amp;'HQ1'!A135)</f>
        <v>0</v>
      </c>
      <c r="K135" s="113"/>
      <c r="L135" s="78">
        <f t="shared" si="6"/>
        <v>1.0244898297361116</v>
      </c>
      <c r="M135" s="5">
        <f>SUMIFS(ĐMCP!$Q:$Q,ĐMCP!$P:$P, "="&amp;'HQ1'!B135,ĐMCP!$O:$O, "="&amp;'HQ1'!A135)</f>
        <v>1050350.6352316502</v>
      </c>
      <c r="N135" s="89">
        <f t="shared" si="5"/>
        <v>0.36476834979839623</v>
      </c>
    </row>
    <row r="136" spans="1:14" x14ac:dyDescent="0.25">
      <c r="A136" s="123" t="s">
        <v>74</v>
      </c>
      <c r="B136" s="16" t="s">
        <v>137</v>
      </c>
      <c r="C136" s="7">
        <v>7725962053</v>
      </c>
      <c r="D136" s="7">
        <v>2565709821</v>
      </c>
      <c r="E136" s="7">
        <v>-74803240.5</v>
      </c>
      <c r="F136" s="7">
        <v>346625313</v>
      </c>
      <c r="G136" s="7">
        <v>2573059611</v>
      </c>
      <c r="H136" s="7">
        <v>231778861.59</v>
      </c>
      <c r="I136" s="7">
        <v>2083591686.9100001</v>
      </c>
      <c r="J136" s="113">
        <f>SUMIFS(PGĐ!$H:$H,PGĐ!$F:$F, "="&amp;B136, PGĐ!$I:$I, "="&amp;'HQ1'!A136)</f>
        <v>21582844</v>
      </c>
      <c r="K136" s="113"/>
      <c r="L136" s="78">
        <f t="shared" si="6"/>
        <v>0.37333966917665218</v>
      </c>
      <c r="M136" s="5">
        <f>SUMIFS(ĐMCP!$Q:$Q,ĐMCP!$P:$P, "="&amp;'HQ1'!B136,ĐMCP!$O:$O, "="&amp;'HQ1'!A136)</f>
        <v>2573059611.0787077</v>
      </c>
      <c r="N136" s="89">
        <f t="shared" si="5"/>
        <v>-7.8707695007324219E-2</v>
      </c>
    </row>
    <row r="137" spans="1:14" x14ac:dyDescent="0.25">
      <c r="A137" s="123" t="s">
        <v>74</v>
      </c>
      <c r="B137" s="16" t="s">
        <v>138</v>
      </c>
      <c r="C137" s="7">
        <v>2765455471</v>
      </c>
      <c r="D137" s="7">
        <v>1224503974</v>
      </c>
      <c r="E137" s="7">
        <v>4731870</v>
      </c>
      <c r="F137" s="7">
        <v>-130002299</v>
      </c>
      <c r="G137" s="7">
        <v>886842108</v>
      </c>
      <c r="H137" s="7">
        <v>82963664.129999995</v>
      </c>
      <c r="I137" s="7">
        <v>696416153.87</v>
      </c>
      <c r="J137" s="113">
        <f>SUMIFS(PGĐ!$H:$H,PGĐ!$F:$F, "="&amp;B137, PGĐ!$I:$I, "="&amp;'HQ1'!A137)</f>
        <v>0</v>
      </c>
      <c r="K137" s="113"/>
      <c r="L137" s="78">
        <f t="shared" si="6"/>
        <v>0.39645463769119998</v>
      </c>
      <c r="M137" s="5">
        <f>SUMIFS(ĐMCP!$Q:$Q,ĐMCP!$P:$P, "="&amp;'HQ1'!B137,ĐMCP!$O:$O, "="&amp;'HQ1'!A137)</f>
        <v>886842107.66375673</v>
      </c>
      <c r="N137" s="89">
        <f t="shared" si="5"/>
        <v>0.33624327182769775</v>
      </c>
    </row>
    <row r="138" spans="1:14" x14ac:dyDescent="0.25">
      <c r="A138" s="123" t="s">
        <v>119</v>
      </c>
      <c r="B138" s="15" t="s">
        <v>45</v>
      </c>
      <c r="C138" s="132">
        <v>5002614560</v>
      </c>
      <c r="D138" s="132">
        <v>1941239470</v>
      </c>
      <c r="E138" s="132">
        <v>167875598.05000001</v>
      </c>
      <c r="F138" s="132">
        <v>352128710.44999981</v>
      </c>
      <c r="G138" s="132">
        <v>1836521132</v>
      </c>
      <c r="H138" s="132">
        <v>150078436.79999998</v>
      </c>
      <c r="I138" s="132">
        <v>554771212.70000029</v>
      </c>
      <c r="J138" s="113">
        <f>SUMIFS(PGĐ!$H:$H,PGĐ!$F:$F, "="&amp;B138, PGĐ!$I:$I, "="&amp;'HQ1'!A138)</f>
        <v>0</v>
      </c>
      <c r="K138" s="113"/>
      <c r="L138" s="78">
        <f t="shared" si="6"/>
        <v>0.47435201745101319</v>
      </c>
      <c r="M138" s="5">
        <f>SUMIFS(ĐMCP!$Q:$Q,ĐMCP!$P:$P, "="&amp;'HQ1'!B138,ĐMCP!$O:$O, "="&amp;'HQ1'!A138)</f>
        <v>0</v>
      </c>
      <c r="N138" s="89">
        <f t="shared" si="5"/>
        <v>0</v>
      </c>
    </row>
    <row r="139" spans="1:14" x14ac:dyDescent="0.25">
      <c r="A139" s="123" t="s">
        <v>119</v>
      </c>
      <c r="B139" s="16" t="s">
        <v>135</v>
      </c>
      <c r="C139" s="7">
        <v>447352189</v>
      </c>
      <c r="D139" s="7">
        <v>241944700</v>
      </c>
      <c r="E139" s="7">
        <v>-45920708.25</v>
      </c>
      <c r="G139" s="7">
        <v>120007978</v>
      </c>
      <c r="H139" s="7">
        <v>13420565.67</v>
      </c>
      <c r="I139" s="7">
        <v>117899653.58</v>
      </c>
      <c r="J139" s="113">
        <f>SUMIFS(PGĐ!$H:$H,PGĐ!$F:$F, "="&amp;B139, PGĐ!$I:$I, "="&amp;'HQ1'!A139)</f>
        <v>0</v>
      </c>
      <c r="K139" s="113"/>
      <c r="L139" s="78">
        <f t="shared" si="6"/>
        <v>0.49048853352544497</v>
      </c>
      <c r="M139" s="5">
        <f>SUMIFS(ĐMCP!$Q:$Q,ĐMCP!$P:$P, "="&amp;'HQ1'!B139,ĐMCP!$O:$O, "="&amp;'HQ1'!A139)</f>
        <v>120007978.10734512</v>
      </c>
      <c r="N139" s="89">
        <f t="shared" si="5"/>
        <v>-0.10734511911869049</v>
      </c>
    </row>
    <row r="140" spans="1:14" x14ac:dyDescent="0.25">
      <c r="A140" s="123" t="s">
        <v>119</v>
      </c>
      <c r="B140" s="16" t="s">
        <v>136</v>
      </c>
      <c r="C140" s="7">
        <v>106560000</v>
      </c>
      <c r="E140" s="7">
        <v>8743200</v>
      </c>
      <c r="G140" s="7">
        <v>55387075</v>
      </c>
      <c r="H140" s="7">
        <v>3196800</v>
      </c>
      <c r="I140" s="7">
        <v>39232925</v>
      </c>
      <c r="J140" s="113">
        <f>SUMIFS(PGĐ!$H:$H,PGĐ!$F:$F, "="&amp;B140, PGĐ!$I:$I, "="&amp;'HQ1'!A140)</f>
        <v>0</v>
      </c>
      <c r="K140" s="113"/>
      <c r="L140" s="78">
        <f t="shared" si="6"/>
        <v>0</v>
      </c>
      <c r="M140" s="5">
        <f>SUMIFS(ĐMCP!$Q:$Q,ĐMCP!$P:$P, "="&amp;'HQ1'!B140,ĐMCP!$O:$O, "="&amp;'HQ1'!A140)</f>
        <v>55387075.136447728</v>
      </c>
      <c r="N140" s="89">
        <f t="shared" si="5"/>
        <v>-0.1364477276802063</v>
      </c>
    </row>
    <row r="141" spans="1:14" x14ac:dyDescent="0.25">
      <c r="A141" s="123" t="s">
        <v>119</v>
      </c>
      <c r="B141" s="16" t="s">
        <v>137</v>
      </c>
      <c r="C141" s="7">
        <v>4253829555</v>
      </c>
      <c r="D141" s="7">
        <v>1658751770</v>
      </c>
      <c r="E141" s="7">
        <v>157734698.5</v>
      </c>
      <c r="F141" s="7">
        <v>325459596.44999981</v>
      </c>
      <c r="G141" s="7">
        <v>1543778398</v>
      </c>
      <c r="H141" s="7">
        <v>127614886.64999999</v>
      </c>
      <c r="I141" s="7">
        <v>440490205.40000021</v>
      </c>
      <c r="J141" s="113">
        <f>SUMIFS(PGĐ!$H:$H,PGĐ!$F:$F, "="&amp;B141, PGĐ!$I:$I, "="&amp;'HQ1'!A141)</f>
        <v>3500000</v>
      </c>
      <c r="K141" s="113"/>
      <c r="L141" s="78">
        <f t="shared" si="6"/>
        <v>0.48441538488819413</v>
      </c>
      <c r="M141" s="5">
        <f>SUMIFS(ĐMCP!$Q:$Q,ĐMCP!$P:$P, "="&amp;'HQ1'!B141,ĐMCP!$O:$O, "="&amp;'HQ1'!A141)</f>
        <v>1543778397.602509</v>
      </c>
      <c r="N141" s="89">
        <f t="shared" si="5"/>
        <v>0.3974909782409668</v>
      </c>
    </row>
    <row r="142" spans="1:14" x14ac:dyDescent="0.25">
      <c r="A142" s="123" t="s">
        <v>119</v>
      </c>
      <c r="B142" s="16" t="s">
        <v>138</v>
      </c>
      <c r="C142" s="7">
        <v>194872816</v>
      </c>
      <c r="D142" s="7">
        <v>40543000</v>
      </c>
      <c r="E142" s="7">
        <v>47318407.799999997</v>
      </c>
      <c r="F142" s="7">
        <v>26669114</v>
      </c>
      <c r="G142" s="7">
        <v>117347681</v>
      </c>
      <c r="H142" s="7">
        <v>5846184.4799999995</v>
      </c>
      <c r="I142" s="7">
        <v>-42851571.279999994</v>
      </c>
      <c r="J142" s="113">
        <f>SUMIFS(PGĐ!$H:$H,PGĐ!$F:$F, "="&amp;B142, PGĐ!$I:$I, "="&amp;'HQ1'!A142)</f>
        <v>0</v>
      </c>
      <c r="K142" s="113"/>
      <c r="L142" s="78">
        <f t="shared" si="6"/>
        <v>0.45550732655102072</v>
      </c>
      <c r="M142" s="5">
        <f>SUMIFS(ĐMCP!$Q:$Q,ĐMCP!$P:$P, "="&amp;'HQ1'!B142,ĐMCP!$O:$O, "="&amp;'HQ1'!A142)</f>
        <v>117347681.49637061</v>
      </c>
      <c r="N142" s="89">
        <f t="shared" si="5"/>
        <v>-0.49637061357498169</v>
      </c>
    </row>
    <row r="143" spans="1:14" x14ac:dyDescent="0.25">
      <c r="A143" s="123" t="s">
        <v>103</v>
      </c>
      <c r="B143" s="15" t="s">
        <v>45</v>
      </c>
      <c r="C143" s="132">
        <v>4625176390</v>
      </c>
      <c r="D143" s="132">
        <v>2842658820</v>
      </c>
      <c r="E143" s="132">
        <v>149988470.75</v>
      </c>
      <c r="F143" s="132">
        <v>59557549.539999485</v>
      </c>
      <c r="G143" s="132">
        <v>1679201962</v>
      </c>
      <c r="H143" s="132">
        <v>138755291.69999999</v>
      </c>
      <c r="I143" s="132">
        <v>-244985703.98999941</v>
      </c>
      <c r="J143" s="113">
        <f>SUMIFS(PGĐ!$H:$H,PGĐ!$F:$F, "="&amp;B143, PGĐ!$I:$I, "="&amp;'HQ1'!A143)</f>
        <v>0</v>
      </c>
      <c r="K143" s="113"/>
      <c r="L143" s="78">
        <f t="shared" si="6"/>
        <v>0.64851273776820173</v>
      </c>
      <c r="M143" s="5">
        <f>SUMIFS(ĐMCP!$Q:$Q,ĐMCP!$P:$P, "="&amp;'HQ1'!B143,ĐMCP!$O:$O, "="&amp;'HQ1'!A143)</f>
        <v>0</v>
      </c>
      <c r="N143" s="89">
        <f t="shared" si="5"/>
        <v>0</v>
      </c>
    </row>
    <row r="144" spans="1:14" x14ac:dyDescent="0.25">
      <c r="A144" s="123" t="s">
        <v>103</v>
      </c>
      <c r="B144" s="16" t="s">
        <v>135</v>
      </c>
      <c r="C144" s="7">
        <v>1453737701</v>
      </c>
      <c r="D144" s="7">
        <v>1860601385</v>
      </c>
      <c r="E144" s="7">
        <v>-40261820</v>
      </c>
      <c r="F144" s="7">
        <v>35360000</v>
      </c>
      <c r="G144" s="7">
        <v>531240835</v>
      </c>
      <c r="H144" s="7">
        <v>43612131.030000001</v>
      </c>
      <c r="I144" s="7">
        <v>-976814830.02999997</v>
      </c>
      <c r="J144" s="113">
        <f>SUMIFS(PGĐ!$H:$H,PGĐ!$F:$F, "="&amp;B144, PGĐ!$I:$I, "="&amp;'HQ1'!A144)</f>
        <v>0</v>
      </c>
      <c r="K144" s="113"/>
      <c r="L144" s="78">
        <f t="shared" si="6"/>
        <v>1.2690508653784234</v>
      </c>
      <c r="M144" s="5">
        <f>SUMIFS(ĐMCP!$Q:$Q,ĐMCP!$P:$P, "="&amp;'HQ1'!B144,ĐMCP!$O:$O, "="&amp;'HQ1'!A144)</f>
        <v>531240834.81042254</v>
      </c>
      <c r="N144" s="89">
        <f t="shared" si="5"/>
        <v>0.18957746028900146</v>
      </c>
    </row>
    <row r="145" spans="1:14" x14ac:dyDescent="0.25">
      <c r="A145" s="123" t="s">
        <v>103</v>
      </c>
      <c r="B145" s="16" t="s">
        <v>136</v>
      </c>
      <c r="C145" s="7">
        <v>7369200</v>
      </c>
      <c r="E145" s="7">
        <v>346920</v>
      </c>
      <c r="G145" s="7">
        <v>4642817</v>
      </c>
      <c r="H145" s="7">
        <v>221076</v>
      </c>
      <c r="I145" s="7">
        <v>2158387</v>
      </c>
      <c r="J145" s="113">
        <f>SUMIFS(PGĐ!$H:$H,PGĐ!$F:$F, "="&amp;B145, PGĐ!$I:$I, "="&amp;'HQ1'!A145)</f>
        <v>0</v>
      </c>
      <c r="K145" s="113"/>
      <c r="L145" s="78">
        <f t="shared" si="6"/>
        <v>0</v>
      </c>
      <c r="M145" s="5">
        <f>SUMIFS(ĐMCP!$Q:$Q,ĐMCP!$P:$P, "="&amp;'HQ1'!B145,ĐMCP!$O:$O, "="&amp;'HQ1'!A145)</f>
        <v>4642816.5565621397</v>
      </c>
      <c r="N145" s="89">
        <f t="shared" si="5"/>
        <v>0.44343786034733057</v>
      </c>
    </row>
    <row r="146" spans="1:14" x14ac:dyDescent="0.25">
      <c r="A146" s="123" t="s">
        <v>103</v>
      </c>
      <c r="B146" s="16" t="s">
        <v>137</v>
      </c>
      <c r="C146" s="7">
        <v>2867675839</v>
      </c>
      <c r="D146" s="7">
        <v>911631199</v>
      </c>
      <c r="E146" s="7">
        <v>164125102.75</v>
      </c>
      <c r="F146" s="7">
        <v>32231200.539999485</v>
      </c>
      <c r="G146" s="7">
        <v>1001559313</v>
      </c>
      <c r="H146" s="7">
        <v>86030275.170000002</v>
      </c>
      <c r="I146" s="7">
        <v>672098748.54000056</v>
      </c>
      <c r="J146" s="113">
        <f>SUMIFS(PGĐ!$H:$H,PGĐ!$F:$F, "="&amp;B146, PGĐ!$I:$I, "="&amp;'HQ1'!A146)</f>
        <v>-7920000</v>
      </c>
      <c r="K146" s="113"/>
      <c r="L146" s="78">
        <f t="shared" si="6"/>
        <v>0.349119543748307</v>
      </c>
      <c r="M146" s="5">
        <f>SUMIFS(ĐMCP!$Q:$Q,ĐMCP!$P:$P, "="&amp;'HQ1'!B146,ĐMCP!$O:$O, "="&amp;'HQ1'!A146)</f>
        <v>1001559312.858247</v>
      </c>
      <c r="N146" s="89">
        <f t="shared" si="5"/>
        <v>0.14175295829772949</v>
      </c>
    </row>
    <row r="147" spans="1:14" x14ac:dyDescent="0.25">
      <c r="A147" s="123" t="s">
        <v>103</v>
      </c>
      <c r="B147" s="16" t="s">
        <v>138</v>
      </c>
      <c r="C147" s="7">
        <v>296393650</v>
      </c>
      <c r="D147" s="7">
        <v>70426236</v>
      </c>
      <c r="E147" s="7">
        <v>25778268</v>
      </c>
      <c r="F147" s="7">
        <v>-8033651</v>
      </c>
      <c r="G147" s="7">
        <v>141758997</v>
      </c>
      <c r="H147" s="7">
        <v>8891809.5</v>
      </c>
      <c r="I147" s="7">
        <v>57571990.5</v>
      </c>
      <c r="J147" s="113">
        <f>SUMIFS(PGĐ!$H:$H,PGĐ!$F:$F, "="&amp;B147, PGĐ!$I:$I, "="&amp;'HQ1'!A147)</f>
        <v>0</v>
      </c>
      <c r="K147" s="113"/>
      <c r="L147" s="78">
        <f t="shared" si="6"/>
        <v>0.23055816169385376</v>
      </c>
      <c r="M147" s="5">
        <f>SUMIFS(ĐMCP!$Q:$Q,ĐMCP!$P:$P, "="&amp;'HQ1'!B147,ĐMCP!$O:$O, "="&amp;'HQ1'!A147)</f>
        <v>141758997.41739729</v>
      </c>
      <c r="N147" s="89">
        <f t="shared" si="5"/>
        <v>-0.41739729046821594</v>
      </c>
    </row>
    <row r="148" spans="1:14" x14ac:dyDescent="0.25">
      <c r="A148" s="123" t="s">
        <v>53</v>
      </c>
      <c r="B148" s="15" t="s">
        <v>45</v>
      </c>
      <c r="C148" s="132">
        <v>94136455762</v>
      </c>
      <c r="D148" s="132">
        <v>34523030776</v>
      </c>
      <c r="E148" s="132">
        <v>2534129928.3000002</v>
      </c>
      <c r="F148" s="132">
        <v>465934722.11999893</v>
      </c>
      <c r="G148" s="132">
        <v>20689284363</v>
      </c>
      <c r="H148" s="132">
        <v>2824093672.8600001</v>
      </c>
      <c r="I148" s="132">
        <v>33099982299.720001</v>
      </c>
      <c r="J148" s="113">
        <f>SUMIFS(PGĐ!$H:$H,PGĐ!$F:$F, "="&amp;B148, PGĐ!$I:$I, "="&amp;'HQ1'!A148)</f>
        <v>0</v>
      </c>
      <c r="K148" s="113"/>
      <c r="L148" s="78">
        <f t="shared" si="6"/>
        <v>0.3819659073028443</v>
      </c>
      <c r="M148" s="5">
        <f>SUMIFS(ĐMCP!$Q:$Q,ĐMCP!$P:$P, "="&amp;'HQ1'!B148,ĐMCP!$O:$O, "="&amp;'HQ1'!A148)</f>
        <v>0</v>
      </c>
      <c r="N148" s="89">
        <f t="shared" si="5"/>
        <v>0</v>
      </c>
    </row>
    <row r="149" spans="1:14" x14ac:dyDescent="0.25">
      <c r="A149" s="123" t="s">
        <v>53</v>
      </c>
      <c r="B149" s="16" t="s">
        <v>135</v>
      </c>
      <c r="C149" s="7">
        <v>8731822781</v>
      </c>
      <c r="D149" s="7">
        <v>2080072600</v>
      </c>
      <c r="E149" s="7">
        <v>97041917</v>
      </c>
      <c r="F149" s="7">
        <v>75018004</v>
      </c>
      <c r="G149" s="7">
        <v>2189388290</v>
      </c>
      <c r="H149" s="7">
        <v>261954683.42999998</v>
      </c>
      <c r="I149" s="7">
        <v>4028347286.5700002</v>
      </c>
      <c r="J149" s="113">
        <f>SUMIFS(PGĐ!$H:$H,PGĐ!$F:$F, "="&amp;B149, PGĐ!$I:$I, "="&amp;'HQ1'!A149)</f>
        <v>0</v>
      </c>
      <c r="K149" s="113"/>
      <c r="L149" s="78">
        <f t="shared" si="6"/>
        <v>0.24958254736781701</v>
      </c>
      <c r="M149" s="5">
        <f>SUMIFS(ĐMCP!$Q:$Q,ĐMCP!$P:$P, "="&amp;'HQ1'!B149,ĐMCP!$O:$O, "="&amp;'HQ1'!A149)</f>
        <v>2189388289.7682676</v>
      </c>
      <c r="N149" s="89">
        <f t="shared" si="5"/>
        <v>0.23173236846923828</v>
      </c>
    </row>
    <row r="150" spans="1:14" x14ac:dyDescent="0.25">
      <c r="A150" s="123" t="s">
        <v>53</v>
      </c>
      <c r="B150" s="16" t="s">
        <v>136</v>
      </c>
      <c r="C150" s="7">
        <v>2441329961</v>
      </c>
      <c r="D150" s="7">
        <v>145570773</v>
      </c>
      <c r="E150" s="7">
        <v>33531299.900000002</v>
      </c>
      <c r="F150" s="7">
        <v>50045897</v>
      </c>
      <c r="G150" s="7">
        <v>1184934308</v>
      </c>
      <c r="H150" s="7">
        <v>73239898.829999998</v>
      </c>
      <c r="I150" s="7">
        <v>954007784.26999986</v>
      </c>
      <c r="J150" s="113">
        <f>SUMIFS(PGĐ!$H:$H,PGĐ!$F:$F, "="&amp;B150, PGĐ!$I:$I, "="&amp;'HQ1'!A150)</f>
        <v>0</v>
      </c>
      <c r="K150" s="113"/>
      <c r="L150" s="78">
        <f t="shared" si="6"/>
        <v>8.124295156416142E-2</v>
      </c>
      <c r="M150" s="5">
        <f>SUMIFS(ĐMCP!$Q:$Q,ĐMCP!$P:$P, "="&amp;'HQ1'!B150,ĐMCP!$O:$O, "="&amp;'HQ1'!A150)</f>
        <v>1184934307.8261559</v>
      </c>
      <c r="N150" s="89">
        <f t="shared" si="5"/>
        <v>0.1738440990447998</v>
      </c>
    </row>
    <row r="151" spans="1:14" x14ac:dyDescent="0.25">
      <c r="A151" s="123" t="s">
        <v>53</v>
      </c>
      <c r="B151" s="16" t="s">
        <v>137</v>
      </c>
      <c r="C151" s="7">
        <v>18696244498</v>
      </c>
      <c r="D151" s="7">
        <v>6016628942</v>
      </c>
      <c r="E151" s="7">
        <v>463128102.5</v>
      </c>
      <c r="F151" s="7">
        <v>564625109.11999893</v>
      </c>
      <c r="G151" s="7">
        <v>6571834076</v>
      </c>
      <c r="H151" s="7">
        <v>560887334.93999994</v>
      </c>
      <c r="I151" s="7">
        <v>4519140933.4400015</v>
      </c>
      <c r="J151" s="113">
        <f>SUMIFS(PGĐ!$H:$H,PGĐ!$F:$F, "="&amp;B151, PGĐ!$I:$I, "="&amp;'HQ1'!A151)</f>
        <v>46900000</v>
      </c>
      <c r="K151" s="113"/>
      <c r="L151" s="78">
        <f t="shared" si="6"/>
        <v>0.36095058619514309</v>
      </c>
      <c r="M151" s="5">
        <f>SUMIFS(ĐMCP!$Q:$Q,ĐMCP!$P:$P, "="&amp;'HQ1'!B151,ĐMCP!$O:$O, "="&amp;'HQ1'!A151)</f>
        <v>6571834075.549449</v>
      </c>
      <c r="N151" s="89">
        <f t="shared" si="5"/>
        <v>0.45055103302001953</v>
      </c>
    </row>
    <row r="152" spans="1:14" x14ac:dyDescent="0.25">
      <c r="A152" s="123" t="s">
        <v>53</v>
      </c>
      <c r="B152" s="16" t="s">
        <v>138</v>
      </c>
      <c r="C152" s="7">
        <v>64267058522</v>
      </c>
      <c r="D152" s="7">
        <v>26280758461</v>
      </c>
      <c r="E152" s="7">
        <v>1940428608.8999999</v>
      </c>
      <c r="F152" s="7">
        <v>-223754288</v>
      </c>
      <c r="G152" s="7">
        <v>10743127689</v>
      </c>
      <c r="H152" s="7">
        <v>1928011755.6599998</v>
      </c>
      <c r="I152" s="7">
        <v>23598486295.439999</v>
      </c>
      <c r="J152" s="113">
        <f>SUMIFS(PGĐ!$H:$H,PGĐ!$F:$F, "="&amp;B152, PGĐ!$I:$I, "="&amp;'HQ1'!A152)</f>
        <v>0</v>
      </c>
      <c r="K152" s="113"/>
      <c r="L152" s="78">
        <f t="shared" si="6"/>
        <v>0.41807176497959919</v>
      </c>
      <c r="M152" s="5">
        <f>SUMIFS(ĐMCP!$Q:$Q,ĐMCP!$P:$P, "="&amp;'HQ1'!B152,ĐMCP!$O:$O, "="&amp;'HQ1'!A152)</f>
        <v>10743127688.663055</v>
      </c>
      <c r="N152" s="89">
        <f t="shared" si="5"/>
        <v>0.336944580078125</v>
      </c>
    </row>
    <row r="153" spans="1:14" x14ac:dyDescent="0.25">
      <c r="A153" s="123" t="s">
        <v>64</v>
      </c>
      <c r="B153" s="15" t="s">
        <v>45</v>
      </c>
      <c r="C153" s="132">
        <v>120968372844</v>
      </c>
      <c r="D153" s="132">
        <v>36129666479</v>
      </c>
      <c r="E153" s="132">
        <v>9980189248.8500004</v>
      </c>
      <c r="F153" s="132">
        <v>1082299689.5800018</v>
      </c>
      <c r="G153" s="132">
        <v>23783495049</v>
      </c>
      <c r="H153" s="132">
        <v>3629051185.3199997</v>
      </c>
      <c r="I153" s="132">
        <v>46363671192.25</v>
      </c>
      <c r="J153" s="113">
        <f>SUMIFS(PGĐ!$H:$H,PGĐ!$F:$F, "="&amp;B153, PGĐ!$I:$I, "="&amp;'HQ1'!A153)</f>
        <v>0</v>
      </c>
      <c r="K153" s="113"/>
      <c r="L153" s="78">
        <f t="shared" si="6"/>
        <v>0.33527863023975196</v>
      </c>
      <c r="M153" s="5">
        <f>SUMIFS(ĐMCP!$Q:$Q,ĐMCP!$P:$P, "="&amp;'HQ1'!B153,ĐMCP!$O:$O, "="&amp;'HQ1'!A153)</f>
        <v>0</v>
      </c>
      <c r="N153" s="89">
        <f t="shared" si="5"/>
        <v>0</v>
      </c>
    </row>
    <row r="154" spans="1:14" x14ac:dyDescent="0.25">
      <c r="A154" s="123" t="s">
        <v>64</v>
      </c>
      <c r="B154" s="16" t="s">
        <v>135</v>
      </c>
      <c r="C154" s="7">
        <v>2295507599</v>
      </c>
      <c r="D154" s="7">
        <v>607996000</v>
      </c>
      <c r="E154" s="7">
        <v>261506890.5</v>
      </c>
      <c r="F154" s="7">
        <v>54530000</v>
      </c>
      <c r="G154" s="7">
        <v>832133775</v>
      </c>
      <c r="H154" s="7">
        <v>68865227.969999999</v>
      </c>
      <c r="I154" s="7">
        <v>470475705.52999997</v>
      </c>
      <c r="J154" s="113">
        <f>SUMIFS(PGĐ!$H:$H,PGĐ!$F:$F, "="&amp;B154, PGĐ!$I:$I, "="&amp;'HQ1'!A154)</f>
        <v>0</v>
      </c>
      <c r="K154" s="113"/>
      <c r="L154" s="78">
        <f t="shared" si="6"/>
        <v>0.32572555025734889</v>
      </c>
      <c r="M154" s="5">
        <f>SUMIFS(ĐMCP!$Q:$Q,ĐMCP!$P:$P, "="&amp;'HQ1'!B154,ĐMCP!$O:$O, "="&amp;'HQ1'!A154)</f>
        <v>832133775.47253752</v>
      </c>
      <c r="N154" s="89">
        <f t="shared" si="5"/>
        <v>-0.47253751754760742</v>
      </c>
    </row>
    <row r="155" spans="1:14" x14ac:dyDescent="0.25">
      <c r="A155" s="123" t="s">
        <v>64</v>
      </c>
      <c r="B155" s="16" t="s">
        <v>136</v>
      </c>
      <c r="C155" s="7">
        <v>577883100</v>
      </c>
      <c r="D155" s="7">
        <v>6333532</v>
      </c>
      <c r="E155" s="7">
        <v>23096148.900000002</v>
      </c>
      <c r="G155" s="7">
        <v>283741655</v>
      </c>
      <c r="H155" s="7">
        <v>17336493</v>
      </c>
      <c r="I155" s="7">
        <v>247375271.10000002</v>
      </c>
      <c r="J155" s="113">
        <f>SUMIFS(PGĐ!$H:$H,PGĐ!$F:$F, "="&amp;B155, PGĐ!$I:$I, "="&amp;'HQ1'!A155)</f>
        <v>0</v>
      </c>
      <c r="K155" s="113"/>
      <c r="L155" s="78">
        <f t="shared" si="6"/>
        <v>1.1416151709124075E-2</v>
      </c>
      <c r="M155" s="5">
        <f>SUMIFS(ĐMCP!$Q:$Q,ĐMCP!$P:$P, "="&amp;'HQ1'!B155,ĐMCP!$O:$O, "="&amp;'HQ1'!A155)</f>
        <v>283741655.30203825</v>
      </c>
      <c r="N155" s="89">
        <f t="shared" si="5"/>
        <v>-0.30203825235366821</v>
      </c>
    </row>
    <row r="156" spans="1:14" x14ac:dyDescent="0.25">
      <c r="A156" s="123" t="s">
        <v>64</v>
      </c>
      <c r="B156" s="16" t="s">
        <v>137</v>
      </c>
      <c r="C156" s="7">
        <v>23082371675</v>
      </c>
      <c r="D156" s="7">
        <v>7563721263</v>
      </c>
      <c r="E156" s="7">
        <v>1387153970.75</v>
      </c>
      <c r="F156" s="7">
        <v>225111639.58000183</v>
      </c>
      <c r="G156" s="7">
        <v>5177012587</v>
      </c>
      <c r="H156" s="7">
        <v>692471150.25</v>
      </c>
      <c r="I156" s="7">
        <v>8036901064.4199982</v>
      </c>
      <c r="J156" s="113">
        <f>SUMIFS(PGĐ!$H:$H,PGĐ!$F:$F, "="&amp;B156, PGĐ!$I:$I, "="&amp;'HQ1'!A156)</f>
        <v>127000000</v>
      </c>
      <c r="K156" s="113"/>
      <c r="L156" s="78">
        <f t="shared" si="6"/>
        <v>0.35901151160396988</v>
      </c>
      <c r="M156" s="5">
        <f>SUMIFS(ĐMCP!$Q:$Q,ĐMCP!$P:$P, "="&amp;'HQ1'!B156,ĐMCP!$O:$O, "="&amp;'HQ1'!A156)</f>
        <v>5177012587.3104229</v>
      </c>
      <c r="N156" s="89">
        <f t="shared" si="5"/>
        <v>-0.31042289733886719</v>
      </c>
    </row>
    <row r="157" spans="1:14" x14ac:dyDescent="0.25">
      <c r="A157" s="123" t="s">
        <v>64</v>
      </c>
      <c r="B157" s="16" t="s">
        <v>138</v>
      </c>
      <c r="C157" s="7">
        <v>95012610470</v>
      </c>
      <c r="D157" s="7">
        <v>27951615684</v>
      </c>
      <c r="E157" s="7">
        <v>8308432238.6999998</v>
      </c>
      <c r="F157" s="7">
        <v>802658050</v>
      </c>
      <c r="G157" s="7">
        <v>17490607032</v>
      </c>
      <c r="H157" s="7">
        <v>2850378314.0999999</v>
      </c>
      <c r="I157" s="7">
        <v>37608919151.200005</v>
      </c>
      <c r="J157" s="113">
        <f>SUMIFS(PGĐ!$H:$H,PGĐ!$F:$F, "="&amp;B157, PGĐ!$I:$I, "="&amp;'HQ1'!A157)</f>
        <v>0</v>
      </c>
      <c r="K157" s="113"/>
      <c r="L157" s="78">
        <f t="shared" si="6"/>
        <v>0.33163654071309534</v>
      </c>
      <c r="M157" s="5">
        <f>SUMIFS(ĐMCP!$Q:$Q,ĐMCP!$P:$P, "="&amp;'HQ1'!B157,ĐMCP!$O:$O, "="&amp;'HQ1'!A157)</f>
        <v>17490607032.439331</v>
      </c>
      <c r="N157" s="89">
        <f t="shared" si="5"/>
        <v>-0.4393310546875</v>
      </c>
    </row>
    <row r="158" spans="1:14" x14ac:dyDescent="0.25">
      <c r="A158" s="123" t="s">
        <v>104</v>
      </c>
      <c r="B158" s="15" t="s">
        <v>45</v>
      </c>
      <c r="C158" s="132">
        <v>9073197298</v>
      </c>
      <c r="D158" s="132">
        <v>4414077593</v>
      </c>
      <c r="E158" s="132">
        <v>221951728.5</v>
      </c>
      <c r="F158" s="132">
        <v>131072239.88000059</v>
      </c>
      <c r="G158" s="132">
        <v>2920644148</v>
      </c>
      <c r="H158" s="132">
        <v>272195918.94</v>
      </c>
      <c r="I158" s="132">
        <v>1113255669.6799994</v>
      </c>
      <c r="J158" s="113">
        <f>SUMIFS(PGĐ!$H:$H,PGĐ!$F:$F, "="&amp;B158, PGĐ!$I:$I, "="&amp;'HQ1'!A158)</f>
        <v>0</v>
      </c>
      <c r="K158" s="113"/>
      <c r="L158" s="78">
        <f t="shared" si="6"/>
        <v>0.51350398056312807</v>
      </c>
      <c r="M158" s="5">
        <f>SUMIFS(ĐMCP!$Q:$Q,ĐMCP!$P:$P, "="&amp;'HQ1'!B158,ĐMCP!$O:$O, "="&amp;'HQ1'!A158)</f>
        <v>0</v>
      </c>
      <c r="N158" s="89">
        <f t="shared" si="5"/>
        <v>0</v>
      </c>
    </row>
    <row r="159" spans="1:14" x14ac:dyDescent="0.25">
      <c r="A159" s="123" t="s">
        <v>104</v>
      </c>
      <c r="B159" s="16" t="s">
        <v>135</v>
      </c>
      <c r="C159" s="7">
        <v>3388002347</v>
      </c>
      <c r="D159" s="7">
        <v>1855190000</v>
      </c>
      <c r="E159" s="7">
        <v>-198871471.25</v>
      </c>
      <c r="F159" s="7">
        <v>13244000</v>
      </c>
      <c r="G159" s="7">
        <v>908363837</v>
      </c>
      <c r="H159" s="7">
        <v>101640070.41</v>
      </c>
      <c r="I159" s="7">
        <v>708435910.84000003</v>
      </c>
      <c r="J159" s="113">
        <f>SUMIFS(PGĐ!$H:$H,PGĐ!$F:$F, "="&amp;B159, PGĐ!$I:$I, "="&amp;'HQ1'!A159)</f>
        <v>0</v>
      </c>
      <c r="K159" s="113"/>
      <c r="L159" s="78">
        <f t="shared" si="6"/>
        <v>0.52090876196798874</v>
      </c>
      <c r="M159" s="5">
        <f>SUMIFS(ĐMCP!$Q:$Q,ĐMCP!$P:$P, "="&amp;'HQ1'!B159,ĐMCP!$O:$O, "="&amp;'HQ1'!A159)</f>
        <v>908363836.75475621</v>
      </c>
      <c r="N159" s="89">
        <f t="shared" si="5"/>
        <v>0.24524378776550293</v>
      </c>
    </row>
    <row r="160" spans="1:14" x14ac:dyDescent="0.25">
      <c r="A160" s="123" t="s">
        <v>104</v>
      </c>
      <c r="B160" s="16" t="s">
        <v>136</v>
      </c>
      <c r="C160" s="7">
        <v>50846900</v>
      </c>
      <c r="E160" s="7">
        <v>-879060</v>
      </c>
      <c r="G160" s="7">
        <v>26721849</v>
      </c>
      <c r="H160" s="7">
        <v>1525407</v>
      </c>
      <c r="I160" s="7">
        <v>23478704</v>
      </c>
      <c r="J160" s="113">
        <f>SUMIFS(PGĐ!$H:$H,PGĐ!$F:$F, "="&amp;B160, PGĐ!$I:$I, "="&amp;'HQ1'!A160)</f>
        <v>0</v>
      </c>
      <c r="K160" s="113"/>
      <c r="L160" s="78">
        <f t="shared" si="6"/>
        <v>0</v>
      </c>
      <c r="M160" s="5">
        <f>SUMIFS(ĐMCP!$Q:$Q,ĐMCP!$P:$P, "="&amp;'HQ1'!B160,ĐMCP!$O:$O, "="&amp;'HQ1'!A160)</f>
        <v>26721849.454422243</v>
      </c>
      <c r="N160" s="89">
        <f t="shared" si="5"/>
        <v>-0.4544222429394722</v>
      </c>
    </row>
    <row r="161" spans="1:14" x14ac:dyDescent="0.25">
      <c r="A161" s="123" t="s">
        <v>104</v>
      </c>
      <c r="B161" s="16" t="s">
        <v>137</v>
      </c>
      <c r="C161" s="7">
        <v>5385539801</v>
      </c>
      <c r="D161" s="7">
        <v>2549438914</v>
      </c>
      <c r="E161" s="7">
        <v>356489782.25</v>
      </c>
      <c r="F161" s="7">
        <v>121431431.88000059</v>
      </c>
      <c r="G161" s="7">
        <v>1887561241</v>
      </c>
      <c r="H161" s="7">
        <v>161566194.03</v>
      </c>
      <c r="I161" s="7">
        <v>309052237.83999944</v>
      </c>
      <c r="J161" s="113">
        <f>SUMIFS(PGĐ!$H:$H,PGĐ!$F:$F, "="&amp;B161, PGĐ!$I:$I, "="&amp;'HQ1'!A161)</f>
        <v>38067342</v>
      </c>
      <c r="K161" s="113"/>
      <c r="L161" s="78">
        <f t="shared" si="6"/>
        <v>0.53108844332867888</v>
      </c>
      <c r="M161" s="5">
        <f>SUMIFS(ĐMCP!$Q:$Q,ĐMCP!$P:$P, "="&amp;'HQ1'!B161,ĐMCP!$O:$O, "="&amp;'HQ1'!A161)</f>
        <v>1887561241.0814114</v>
      </c>
      <c r="N161" s="89">
        <f t="shared" si="5"/>
        <v>-8.1411361694335938E-2</v>
      </c>
    </row>
    <row r="162" spans="1:14" x14ac:dyDescent="0.25">
      <c r="A162" s="123" t="s">
        <v>104</v>
      </c>
      <c r="B162" s="16" t="s">
        <v>138</v>
      </c>
      <c r="C162" s="7">
        <v>248808250</v>
      </c>
      <c r="D162" s="7">
        <v>9448679</v>
      </c>
      <c r="E162" s="7">
        <v>65212477.5</v>
      </c>
      <c r="F162" s="7">
        <v>-3603192</v>
      </c>
      <c r="G162" s="7">
        <v>97997221</v>
      </c>
      <c r="H162" s="7">
        <v>7464247.5</v>
      </c>
      <c r="I162" s="7">
        <v>72288817</v>
      </c>
      <c r="J162" s="113">
        <f>SUMIFS(PGĐ!$H:$H,PGĐ!$F:$F, "="&amp;B162, PGĐ!$I:$I, "="&amp;'HQ1'!A162)</f>
        <v>0</v>
      </c>
      <c r="K162" s="113"/>
      <c r="L162" s="78">
        <f t="shared" si="6"/>
        <v>3.1838897597710206E-2</v>
      </c>
      <c r="M162" s="5">
        <f>SUMIFS(ĐMCP!$Q:$Q,ĐMCP!$P:$P, "="&amp;'HQ1'!B162,ĐMCP!$O:$O, "="&amp;'HQ1'!A162)</f>
        <v>97997221.129276812</v>
      </c>
      <c r="N162" s="89">
        <f t="shared" si="5"/>
        <v>-0.1292768120765686</v>
      </c>
    </row>
    <row r="163" spans="1:14" x14ac:dyDescent="0.25">
      <c r="A163" s="123" t="s">
        <v>87</v>
      </c>
      <c r="B163" s="15" t="s">
        <v>45</v>
      </c>
      <c r="C163" s="132">
        <v>10670816351</v>
      </c>
      <c r="D163" s="132">
        <v>11992131132</v>
      </c>
      <c r="E163" s="132">
        <v>25652293.549999997</v>
      </c>
      <c r="F163" s="132">
        <v>-2845200037</v>
      </c>
      <c r="G163" s="132">
        <v>3927467311</v>
      </c>
      <c r="H163" s="132">
        <v>320124490.52999997</v>
      </c>
      <c r="I163" s="132">
        <v>-2749358839.0799999</v>
      </c>
      <c r="J163" s="113">
        <f>SUMIFS(PGĐ!$H:$H,PGĐ!$F:$F, "="&amp;B163, PGĐ!$I:$I, "="&amp;'HQ1'!A163)</f>
        <v>0</v>
      </c>
      <c r="K163" s="113"/>
      <c r="L163" s="78">
        <f t="shared" si="6"/>
        <v>0.85925694011249509</v>
      </c>
      <c r="M163" s="5">
        <f>SUMIFS(ĐMCP!$Q:$Q,ĐMCP!$P:$P, "="&amp;'HQ1'!B163,ĐMCP!$O:$O, "="&amp;'HQ1'!A163)</f>
        <v>0</v>
      </c>
      <c r="N163" s="89">
        <f t="shared" si="5"/>
        <v>0</v>
      </c>
    </row>
    <row r="164" spans="1:14" x14ac:dyDescent="0.25">
      <c r="A164" s="123" t="s">
        <v>87</v>
      </c>
      <c r="B164" s="16" t="s">
        <v>135</v>
      </c>
      <c r="C164" s="7">
        <v>4244307400</v>
      </c>
      <c r="D164" s="7">
        <v>6532654000</v>
      </c>
      <c r="E164" s="7">
        <v>-104780458.25</v>
      </c>
      <c r="F164" s="7">
        <v>-58760000</v>
      </c>
      <c r="G164" s="7">
        <v>1421932830</v>
      </c>
      <c r="H164" s="7">
        <v>127329222</v>
      </c>
      <c r="I164" s="7">
        <v>-3674068193.75</v>
      </c>
      <c r="J164" s="113">
        <f>SUMIFS(PGĐ!$H:$H,PGĐ!$F:$F, "="&amp;B164, PGĐ!$I:$I, "="&amp;'HQ1'!A164)</f>
        <v>33030000</v>
      </c>
      <c r="K164" s="113"/>
      <c r="L164" s="78">
        <f t="shared" si="6"/>
        <v>1.4885636278235561</v>
      </c>
      <c r="M164" s="5">
        <f>SUMIFS(ĐMCP!$Q:$Q,ĐMCP!$P:$P, "="&amp;'HQ1'!B164,ĐMCP!$O:$O, "="&amp;'HQ1'!A164)</f>
        <v>1421932829.6646793</v>
      </c>
      <c r="N164" s="89">
        <f t="shared" si="5"/>
        <v>0.33532071113586426</v>
      </c>
    </row>
    <row r="165" spans="1:14" x14ac:dyDescent="0.25">
      <c r="A165" s="123" t="s">
        <v>87</v>
      </c>
      <c r="B165" s="16" t="s">
        <v>136</v>
      </c>
      <c r="C165" s="7">
        <v>168983400</v>
      </c>
      <c r="E165" s="7">
        <v>2144675.4</v>
      </c>
      <c r="G165" s="7">
        <v>98232069</v>
      </c>
      <c r="H165" s="7">
        <v>5069502</v>
      </c>
      <c r="I165" s="7">
        <v>63537153.599999994</v>
      </c>
      <c r="J165" s="113">
        <f>SUMIFS(PGĐ!$H:$H,PGĐ!$F:$F, "="&amp;B165, PGĐ!$I:$I, "="&amp;'HQ1'!A165)</f>
        <v>0</v>
      </c>
      <c r="K165" s="113"/>
      <c r="L165" s="78">
        <f t="shared" si="6"/>
        <v>0</v>
      </c>
      <c r="M165" s="5">
        <f>SUMIFS(ĐMCP!$Q:$Q,ĐMCP!$P:$P, "="&amp;'HQ1'!B165,ĐMCP!$O:$O, "="&amp;'HQ1'!A165)</f>
        <v>98232068.599949941</v>
      </c>
      <c r="N165" s="89">
        <f t="shared" si="5"/>
        <v>0.40005005896091461</v>
      </c>
    </row>
    <row r="166" spans="1:14" x14ac:dyDescent="0.25">
      <c r="A166" s="123" t="s">
        <v>87</v>
      </c>
      <c r="B166" s="16" t="s">
        <v>137</v>
      </c>
      <c r="C166" s="7">
        <v>5666478251</v>
      </c>
      <c r="D166" s="7">
        <v>5281708603</v>
      </c>
      <c r="E166" s="7">
        <v>85176685</v>
      </c>
      <c r="F166" s="7">
        <v>-2828551836</v>
      </c>
      <c r="G166" s="7">
        <v>2150033856</v>
      </c>
      <c r="H166" s="7">
        <v>169994347.53</v>
      </c>
      <c r="I166" s="7">
        <v>808116595.47000003</v>
      </c>
      <c r="J166" s="113">
        <f>SUMIFS(PGĐ!$H:$H,PGĐ!$F:$F, "="&amp;B166, PGĐ!$I:$I, "="&amp;'HQ1'!A166)</f>
        <v>-36500000</v>
      </c>
      <c r="K166" s="113"/>
      <c r="L166" s="78">
        <f t="shared" si="6"/>
        <v>0.43953130609248287</v>
      </c>
      <c r="M166" s="5">
        <f>SUMIFS(ĐMCP!$Q:$Q,ĐMCP!$P:$P, "="&amp;'HQ1'!B166,ĐMCP!$O:$O, "="&amp;'HQ1'!A166)</f>
        <v>2150033856.4025669</v>
      </c>
      <c r="N166" s="89">
        <f t="shared" si="5"/>
        <v>-0.40256690979003906</v>
      </c>
    </row>
    <row r="167" spans="1:14" x14ac:dyDescent="0.25">
      <c r="A167" s="123" t="s">
        <v>87</v>
      </c>
      <c r="B167" s="16" t="s">
        <v>138</v>
      </c>
      <c r="C167" s="7">
        <v>591047300</v>
      </c>
      <c r="D167" s="7">
        <v>177768529</v>
      </c>
      <c r="E167" s="7">
        <v>43111391.399999999</v>
      </c>
      <c r="F167" s="7">
        <v>42111799</v>
      </c>
      <c r="G167" s="7">
        <v>257268556</v>
      </c>
      <c r="H167" s="7">
        <v>17731419</v>
      </c>
      <c r="I167" s="7">
        <v>53055605.600000024</v>
      </c>
      <c r="J167" s="113">
        <f>SUMIFS(PGĐ!$H:$H,PGĐ!$F:$F, "="&amp;B167, PGĐ!$I:$I, "="&amp;'HQ1'!A167)</f>
        <v>0</v>
      </c>
      <c r="K167" s="113"/>
      <c r="L167" s="78">
        <f t="shared" si="6"/>
        <v>0.40128840718215342</v>
      </c>
      <c r="M167" s="5">
        <f>SUMIFS(ĐMCP!$Q:$Q,ĐMCP!$P:$P, "="&amp;'HQ1'!B167,ĐMCP!$O:$O, "="&amp;'HQ1'!A167)</f>
        <v>257268556.31586847</v>
      </c>
      <c r="N167" s="89">
        <f t="shared" si="5"/>
        <v>-0.31586846709251404</v>
      </c>
    </row>
    <row r="168" spans="1:14" x14ac:dyDescent="0.25">
      <c r="A168" s="123" t="s">
        <v>47</v>
      </c>
      <c r="B168" s="15" t="s">
        <v>45</v>
      </c>
      <c r="C168" s="132">
        <v>19264321533</v>
      </c>
      <c r="D168" s="132">
        <v>9749714310</v>
      </c>
      <c r="E168" s="132">
        <v>783327563.44999993</v>
      </c>
      <c r="F168" s="132">
        <v>-2181367057</v>
      </c>
      <c r="G168" s="132">
        <v>5579636777</v>
      </c>
      <c r="H168" s="132">
        <v>577929645.99000001</v>
      </c>
      <c r="I168" s="132">
        <v>4755080293.5599995</v>
      </c>
      <c r="J168" s="113">
        <f>SUMIFS(PGĐ!$H:$H,PGĐ!$F:$F, "="&amp;B168, PGĐ!$I:$I, "="&amp;'HQ1'!A168)</f>
        <v>0</v>
      </c>
      <c r="K168" s="113"/>
      <c r="L168" s="78">
        <f t="shared" si="6"/>
        <v>0.40952057370236156</v>
      </c>
      <c r="M168" s="5">
        <f>SUMIFS(ĐMCP!$Q:$Q,ĐMCP!$P:$P, "="&amp;'HQ1'!B168,ĐMCP!$O:$O, "="&amp;'HQ1'!A168)</f>
        <v>0</v>
      </c>
      <c r="N168" s="89">
        <f t="shared" si="5"/>
        <v>0</v>
      </c>
    </row>
    <row r="169" spans="1:14" x14ac:dyDescent="0.25">
      <c r="A169" s="123" t="s">
        <v>47</v>
      </c>
      <c r="B169" s="16" t="s">
        <v>135</v>
      </c>
      <c r="C169" s="7">
        <v>4863008856</v>
      </c>
      <c r="D169" s="7">
        <v>2951423398</v>
      </c>
      <c r="E169" s="7">
        <v>-62530105.75</v>
      </c>
      <c r="F169" s="7">
        <v>-645385000</v>
      </c>
      <c r="G169" s="7">
        <v>1695935471</v>
      </c>
      <c r="H169" s="7">
        <v>145890265.68000001</v>
      </c>
      <c r="I169" s="7">
        <v>777674827.06999993</v>
      </c>
      <c r="J169" s="113">
        <f>SUMIFS(PGĐ!$H:$H,PGĐ!$F:$F, "="&amp;B169, PGĐ!$I:$I, "="&amp;'HQ1'!A169)</f>
        <v>0</v>
      </c>
      <c r="K169" s="113"/>
      <c r="L169" s="78">
        <f t="shared" si="6"/>
        <v>0.46817991206807652</v>
      </c>
      <c r="M169" s="5">
        <f>SUMIFS(ĐMCP!$Q:$Q,ĐMCP!$P:$P, "="&amp;'HQ1'!B169,ĐMCP!$O:$O, "="&amp;'HQ1'!A169)</f>
        <v>1695935470.6533861</v>
      </c>
      <c r="N169" s="89">
        <f t="shared" si="5"/>
        <v>0.34661388397216797</v>
      </c>
    </row>
    <row r="170" spans="1:14" x14ac:dyDescent="0.25">
      <c r="A170" s="123" t="s">
        <v>47</v>
      </c>
      <c r="B170" s="16" t="s">
        <v>136</v>
      </c>
      <c r="C170" s="7">
        <v>137165140</v>
      </c>
      <c r="E170" s="7">
        <v>-4172481.1</v>
      </c>
      <c r="G170" s="7">
        <v>66947574</v>
      </c>
      <c r="H170" s="7">
        <v>4114954.1999999997</v>
      </c>
      <c r="I170" s="7">
        <v>70275092.899999991</v>
      </c>
      <c r="J170" s="113">
        <f>SUMIFS(PGĐ!$H:$H,PGĐ!$F:$F, "="&amp;B170, PGĐ!$I:$I, "="&amp;'HQ1'!A170)</f>
        <v>0</v>
      </c>
      <c r="K170" s="113"/>
      <c r="L170" s="78">
        <f t="shared" si="6"/>
        <v>0</v>
      </c>
      <c r="M170" s="5">
        <f>SUMIFS(ĐMCP!$Q:$Q,ĐMCP!$P:$P, "="&amp;'HQ1'!B170,ĐMCP!$O:$O, "="&amp;'HQ1'!A170)</f>
        <v>66947573.61243999</v>
      </c>
      <c r="N170" s="89">
        <f t="shared" si="5"/>
        <v>0.38756000995635986</v>
      </c>
    </row>
    <row r="171" spans="1:14" x14ac:dyDescent="0.25">
      <c r="A171" s="123" t="s">
        <v>47</v>
      </c>
      <c r="B171" s="16" t="s">
        <v>137</v>
      </c>
      <c r="C171" s="7">
        <v>6442755552</v>
      </c>
      <c r="D171" s="7">
        <v>3983628831</v>
      </c>
      <c r="E171" s="7">
        <v>164986085.5</v>
      </c>
      <c r="F171" s="7">
        <v>-1388202343</v>
      </c>
      <c r="G171" s="7">
        <v>1845828659</v>
      </c>
      <c r="H171" s="7">
        <v>193282666.56</v>
      </c>
      <c r="I171" s="7">
        <v>1643231652.9400001</v>
      </c>
      <c r="J171" s="113">
        <f>SUMIFS(PGĐ!$H:$H,PGĐ!$F:$F, "="&amp;B171, PGĐ!$I:$I, "="&amp;'HQ1'!A171)</f>
        <v>24100000</v>
      </c>
      <c r="K171" s="113"/>
      <c r="L171" s="78">
        <f t="shared" si="6"/>
        <v>0.41343131535013339</v>
      </c>
      <c r="M171" s="5">
        <f>SUMIFS(ĐMCP!$Q:$Q,ĐMCP!$P:$P, "="&amp;'HQ1'!B171,ĐMCP!$O:$O, "="&amp;'HQ1'!A171)</f>
        <v>1845828658.5196733</v>
      </c>
      <c r="N171" s="89">
        <f t="shared" si="5"/>
        <v>0.48032665252685547</v>
      </c>
    </row>
    <row r="172" spans="1:14" x14ac:dyDescent="0.25">
      <c r="A172" s="123" t="s">
        <v>47</v>
      </c>
      <c r="B172" s="16" t="s">
        <v>138</v>
      </c>
      <c r="C172" s="7">
        <v>7821391985</v>
      </c>
      <c r="D172" s="7">
        <v>2814662081</v>
      </c>
      <c r="E172" s="7">
        <v>685044064.79999995</v>
      </c>
      <c r="F172" s="7">
        <v>-147779714</v>
      </c>
      <c r="G172" s="7">
        <v>1970925073</v>
      </c>
      <c r="H172" s="7">
        <v>234641759.54999998</v>
      </c>
      <c r="I172" s="7">
        <v>2263898720.6499996</v>
      </c>
      <c r="J172" s="113">
        <f>SUMIFS(PGĐ!$H:$H,PGĐ!$F:$F, "="&amp;B172, PGĐ!$I:$I, "="&amp;'HQ1'!A172)</f>
        <v>0</v>
      </c>
      <c r="K172" s="113"/>
      <c r="L172" s="78">
        <f t="shared" si="6"/>
        <v>0.37370408461324839</v>
      </c>
      <c r="M172" s="5">
        <f>SUMIFS(ĐMCP!$Q:$Q,ĐMCP!$P:$P, "="&amp;'HQ1'!B172,ĐMCP!$O:$O, "="&amp;'HQ1'!A172)</f>
        <v>1970925072.8712471</v>
      </c>
      <c r="N172" s="89">
        <f t="shared" si="5"/>
        <v>0.1287529468536377</v>
      </c>
    </row>
    <row r="173" spans="1:14" x14ac:dyDescent="0.25">
      <c r="A173" s="123" t="s">
        <v>113</v>
      </c>
      <c r="B173" s="15" t="s">
        <v>45</v>
      </c>
      <c r="C173" s="132">
        <v>6119639629</v>
      </c>
      <c r="D173" s="132">
        <v>4476235719</v>
      </c>
      <c r="E173" s="132">
        <v>-470437194.89999998</v>
      </c>
      <c r="F173" s="132">
        <v>1206601252</v>
      </c>
      <c r="G173" s="132">
        <v>2692157643</v>
      </c>
      <c r="H173" s="132">
        <v>183589188.87</v>
      </c>
      <c r="I173" s="132">
        <v>-1968506978.9700003</v>
      </c>
      <c r="J173" s="113">
        <f>SUMIFS(PGĐ!$H:$H,PGĐ!$F:$F, "="&amp;B173, PGĐ!$I:$I, "="&amp;'HQ1'!A173)</f>
        <v>0</v>
      </c>
      <c r="K173" s="113"/>
      <c r="L173" s="78">
        <f t="shared" si="6"/>
        <v>0.86233243145061</v>
      </c>
      <c r="M173" s="5">
        <f>SUMIFS(ĐMCP!$Q:$Q,ĐMCP!$P:$P, "="&amp;'HQ1'!B173,ĐMCP!$O:$O, "="&amp;'HQ1'!A173)</f>
        <v>0</v>
      </c>
      <c r="N173" s="89">
        <f t="shared" si="5"/>
        <v>0</v>
      </c>
    </row>
    <row r="174" spans="1:14" x14ac:dyDescent="0.25">
      <c r="A174" s="123" t="s">
        <v>113</v>
      </c>
      <c r="B174" s="16" t="s">
        <v>135</v>
      </c>
      <c r="C174" s="7">
        <v>1503109467</v>
      </c>
      <c r="D174" s="7">
        <v>2492097216</v>
      </c>
      <c r="E174" s="7">
        <v>-185495135.25</v>
      </c>
      <c r="G174" s="7">
        <v>547584305</v>
      </c>
      <c r="H174" s="7">
        <v>45093284.009999998</v>
      </c>
      <c r="I174" s="7">
        <v>-1396170202.76</v>
      </c>
      <c r="J174" s="113">
        <f>SUMIFS(PGĐ!$H:$H,PGĐ!$F:$F, "="&amp;B174, PGĐ!$I:$I, "="&amp;'HQ1'!A174)</f>
        <v>9552000</v>
      </c>
      <c r="K174" s="113"/>
      <c r="L174" s="78">
        <f t="shared" si="6"/>
        <v>1.4758323012263364</v>
      </c>
      <c r="M174" s="5">
        <f>SUMIFS(ĐMCP!$Q:$Q,ĐMCP!$P:$P, "="&amp;'HQ1'!B174,ĐMCP!$O:$O, "="&amp;'HQ1'!A174)</f>
        <v>547584304.63380444</v>
      </c>
      <c r="N174" s="89">
        <f t="shared" si="5"/>
        <v>0.36619555950164795</v>
      </c>
    </row>
    <row r="175" spans="1:14" x14ac:dyDescent="0.25">
      <c r="A175" s="123" t="s">
        <v>113</v>
      </c>
      <c r="B175" s="16" t="s">
        <v>136</v>
      </c>
      <c r="C175" s="7">
        <v>2406600</v>
      </c>
      <c r="E175" s="7">
        <v>-12723340</v>
      </c>
      <c r="G175" s="7">
        <v>1445851</v>
      </c>
      <c r="H175" s="7">
        <v>72198</v>
      </c>
      <c r="I175" s="7">
        <v>13611891</v>
      </c>
      <c r="J175" s="113">
        <f>SUMIFS(PGĐ!$H:$H,PGĐ!$F:$F, "="&amp;B175, PGĐ!$I:$I, "="&amp;'HQ1'!A175)</f>
        <v>0</v>
      </c>
      <c r="K175" s="113"/>
      <c r="L175" s="78">
        <f t="shared" si="6"/>
        <v>0</v>
      </c>
      <c r="M175" s="5">
        <f>SUMIFS(ĐMCP!$Q:$Q,ĐMCP!$P:$P, "="&amp;'HQ1'!B175,ĐMCP!$O:$O, "="&amp;'HQ1'!A175)</f>
        <v>1445850.5501948206</v>
      </c>
      <c r="N175" s="89">
        <f t="shared" si="5"/>
        <v>0.44980517937801778</v>
      </c>
    </row>
    <row r="176" spans="1:14" x14ac:dyDescent="0.25">
      <c r="A176" s="123" t="s">
        <v>113</v>
      </c>
      <c r="B176" s="16" t="s">
        <v>137</v>
      </c>
      <c r="C176" s="7">
        <v>3682246970</v>
      </c>
      <c r="D176" s="7">
        <v>1731150588</v>
      </c>
      <c r="E176" s="7">
        <v>-485689792.25</v>
      </c>
      <c r="F176" s="7">
        <v>1247996555</v>
      </c>
      <c r="G176" s="7">
        <v>1676229722</v>
      </c>
      <c r="H176" s="7">
        <v>110467409.09999999</v>
      </c>
      <c r="I176" s="7">
        <v>-597907511.85000002</v>
      </c>
      <c r="J176" s="113">
        <f>SUMIFS(PGĐ!$H:$H,PGĐ!$F:$F, "="&amp;B176, PGĐ!$I:$I, "="&amp;'HQ1'!A176)</f>
        <v>25500000</v>
      </c>
      <c r="K176" s="113"/>
      <c r="L176" s="78">
        <f t="shared" si="6"/>
        <v>0.71477743376119529</v>
      </c>
      <c r="M176" s="5">
        <f>SUMIFS(ĐMCP!$Q:$Q,ĐMCP!$P:$P, "="&amp;'HQ1'!B176,ĐMCP!$O:$O, "="&amp;'HQ1'!A176)</f>
        <v>1676229721.8708792</v>
      </c>
      <c r="N176" s="89">
        <f t="shared" si="5"/>
        <v>0.12912082672119141</v>
      </c>
    </row>
    <row r="177" spans="1:14" x14ac:dyDescent="0.25">
      <c r="A177" s="123" t="s">
        <v>113</v>
      </c>
      <c r="B177" s="16" t="s">
        <v>138</v>
      </c>
      <c r="C177" s="7">
        <v>931876592</v>
      </c>
      <c r="D177" s="7">
        <v>252987915</v>
      </c>
      <c r="E177" s="7">
        <v>213471072.59999999</v>
      </c>
      <c r="F177" s="7">
        <v>-41395303</v>
      </c>
      <c r="G177" s="7">
        <v>466897765</v>
      </c>
      <c r="H177" s="7">
        <v>27956297.759999998</v>
      </c>
      <c r="I177" s="7">
        <v>11958844.639999978</v>
      </c>
      <c r="J177" s="113">
        <f>SUMIFS(PGĐ!$H:$H,PGĐ!$F:$F, "="&amp;B177, PGĐ!$I:$I, "="&amp;'HQ1'!A177)</f>
        <v>0</v>
      </c>
      <c r="K177" s="113"/>
      <c r="L177" s="78">
        <f t="shared" si="6"/>
        <v>0.2945308830265092</v>
      </c>
      <c r="M177" s="5">
        <f>SUMIFS(ĐMCP!$Q:$Q,ĐMCP!$P:$P, "="&amp;'HQ1'!B177,ĐMCP!$O:$O, "="&amp;'HQ1'!A177)</f>
        <v>466897765.34032178</v>
      </c>
      <c r="N177" s="89">
        <f t="shared" si="5"/>
        <v>-0.34032177925109863</v>
      </c>
    </row>
    <row r="178" spans="1:14" x14ac:dyDescent="0.25">
      <c r="A178" s="123" t="s">
        <v>122</v>
      </c>
      <c r="B178" s="15" t="s">
        <v>45</v>
      </c>
      <c r="C178" s="132">
        <v>4333299427</v>
      </c>
      <c r="D178" s="132">
        <v>1102770861</v>
      </c>
      <c r="E178" s="132">
        <v>-9962961.9000000022</v>
      </c>
      <c r="F178" s="132">
        <v>239784748</v>
      </c>
      <c r="G178" s="132">
        <v>1755451437</v>
      </c>
      <c r="H178" s="132">
        <v>129998982.81</v>
      </c>
      <c r="I178" s="132">
        <v>1115256360.0900002</v>
      </c>
      <c r="J178" s="113">
        <f>SUMIFS(PGĐ!$H:$H,PGĐ!$F:$F, "="&amp;B178, PGĐ!$I:$I, "="&amp;'HQ1'!A178)</f>
        <v>0</v>
      </c>
      <c r="K178" s="113"/>
      <c r="L178" s="78">
        <f t="shared" si="6"/>
        <v>0.30911224991406139</v>
      </c>
      <c r="M178" s="5">
        <f>SUMIFS(ĐMCP!$Q:$Q,ĐMCP!$P:$P, "="&amp;'HQ1'!B178,ĐMCP!$O:$O, "="&amp;'HQ1'!A178)</f>
        <v>0</v>
      </c>
      <c r="N178" s="89">
        <f t="shared" si="5"/>
        <v>0</v>
      </c>
    </row>
    <row r="179" spans="1:14" x14ac:dyDescent="0.25">
      <c r="A179" s="123" t="s">
        <v>122</v>
      </c>
      <c r="B179" s="16" t="s">
        <v>135</v>
      </c>
      <c r="C179" s="7">
        <v>958543260</v>
      </c>
      <c r="D179" s="7">
        <v>664593000</v>
      </c>
      <c r="E179" s="7">
        <v>-45895868.75</v>
      </c>
      <c r="G179" s="7">
        <v>285475942</v>
      </c>
      <c r="H179" s="7">
        <v>28756297.800000001</v>
      </c>
      <c r="I179" s="7">
        <v>25613888.949999999</v>
      </c>
      <c r="J179" s="113">
        <f>SUMIFS(PGĐ!$H:$H,PGĐ!$F:$F, "="&amp;B179, PGĐ!$I:$I, "="&amp;'HQ1'!A179)</f>
        <v>0</v>
      </c>
      <c r="K179" s="113"/>
      <c r="L179" s="78">
        <f t="shared" si="6"/>
        <v>0.66165582460638483</v>
      </c>
      <c r="M179" s="5">
        <f>SUMIFS(ĐMCP!$Q:$Q,ĐMCP!$P:$P, "="&amp;'HQ1'!B179,ĐMCP!$O:$O, "="&amp;'HQ1'!A179)</f>
        <v>285475941.97824466</v>
      </c>
      <c r="N179" s="89">
        <f t="shared" si="5"/>
        <v>2.1755337715148926E-2</v>
      </c>
    </row>
    <row r="180" spans="1:14" x14ac:dyDescent="0.25">
      <c r="A180" s="123" t="s">
        <v>122</v>
      </c>
      <c r="B180" s="16" t="s">
        <v>136</v>
      </c>
      <c r="C180" s="7">
        <v>336264500</v>
      </c>
      <c r="E180" s="7">
        <v>-661750</v>
      </c>
      <c r="G180" s="7">
        <v>182399184</v>
      </c>
      <c r="H180" s="7">
        <v>10087935</v>
      </c>
      <c r="I180" s="7">
        <v>144439131</v>
      </c>
      <c r="J180" s="113">
        <f>SUMIFS(PGĐ!$H:$H,PGĐ!$F:$F, "="&amp;B180, PGĐ!$I:$I, "="&amp;'HQ1'!A180)</f>
        <v>0</v>
      </c>
      <c r="K180" s="113"/>
      <c r="L180" s="78">
        <f t="shared" si="6"/>
        <v>0</v>
      </c>
      <c r="M180" s="5">
        <f>SUMIFS(ĐMCP!$Q:$Q,ĐMCP!$P:$P, "="&amp;'HQ1'!B180,ĐMCP!$O:$O, "="&amp;'HQ1'!A180)</f>
        <v>182399184.3747445</v>
      </c>
      <c r="N180" s="89">
        <f t="shared" si="5"/>
        <v>-0.37474450469017029</v>
      </c>
    </row>
    <row r="181" spans="1:14" x14ac:dyDescent="0.25">
      <c r="A181" s="123" t="s">
        <v>122</v>
      </c>
      <c r="B181" s="16" t="s">
        <v>137</v>
      </c>
      <c r="C181" s="7">
        <v>2641324485</v>
      </c>
      <c r="D181" s="7">
        <v>374107469</v>
      </c>
      <c r="E181" s="7">
        <v>11007419.25</v>
      </c>
      <c r="F181" s="7">
        <v>118156579</v>
      </c>
      <c r="G181" s="7">
        <v>1082323173</v>
      </c>
      <c r="H181" s="7">
        <v>79239734.549999997</v>
      </c>
      <c r="I181" s="7">
        <v>976490110.20000005</v>
      </c>
      <c r="J181" s="113">
        <f>SUMIFS(PGĐ!$H:$H,PGĐ!$F:$F, "="&amp;B181, PGĐ!$I:$I, "="&amp;'HQ1'!A181)</f>
        <v>0</v>
      </c>
      <c r="K181" s="113"/>
      <c r="L181" s="78">
        <f t="shared" si="6"/>
        <v>0.18715007951318502</v>
      </c>
      <c r="M181" s="5">
        <f>SUMIFS(ĐMCP!$Q:$Q,ĐMCP!$P:$P, "="&amp;'HQ1'!B181,ĐMCP!$O:$O, "="&amp;'HQ1'!A181)</f>
        <v>1082323173.0619342</v>
      </c>
      <c r="N181" s="89">
        <f t="shared" si="5"/>
        <v>-6.1934232711791992E-2</v>
      </c>
    </row>
    <row r="182" spans="1:14" x14ac:dyDescent="0.25">
      <c r="A182" s="123" t="s">
        <v>122</v>
      </c>
      <c r="B182" s="16" t="s">
        <v>138</v>
      </c>
      <c r="C182" s="7">
        <v>397167182</v>
      </c>
      <c r="D182" s="7">
        <v>64070392</v>
      </c>
      <c r="E182" s="7">
        <v>25587237.599999998</v>
      </c>
      <c r="F182" s="7">
        <v>121628169</v>
      </c>
      <c r="G182" s="7">
        <v>205253138</v>
      </c>
      <c r="H182" s="7">
        <v>11915015.459999999</v>
      </c>
      <c r="I182" s="7">
        <v>-31286770.060000025</v>
      </c>
      <c r="J182" s="113">
        <f>SUMIFS(PGĐ!$H:$H,PGĐ!$F:$F, "="&amp;B182, PGĐ!$I:$I, "="&amp;'HQ1'!A182)</f>
        <v>0</v>
      </c>
      <c r="K182" s="113"/>
      <c r="L182" s="78">
        <f t="shared" si="6"/>
        <v>0.49975399318133923</v>
      </c>
      <c r="M182" s="5">
        <f>SUMIFS(ĐMCP!$Q:$Q,ĐMCP!$P:$P, "="&amp;'HQ1'!B182,ĐMCP!$O:$O, "="&amp;'HQ1'!A182)</f>
        <v>205253137.6501236</v>
      </c>
      <c r="N182" s="89">
        <f t="shared" si="5"/>
        <v>0.34987640380859375</v>
      </c>
    </row>
    <row r="183" spans="1:14" x14ac:dyDescent="0.25">
      <c r="A183" s="123" t="s">
        <v>72</v>
      </c>
      <c r="B183" s="15" t="s">
        <v>45</v>
      </c>
      <c r="C183" s="132">
        <v>10892546161</v>
      </c>
      <c r="D183" s="132">
        <v>10404749078</v>
      </c>
      <c r="E183" s="132">
        <v>-43184480.75</v>
      </c>
      <c r="F183" s="132">
        <v>37358575</v>
      </c>
      <c r="G183" s="132">
        <v>3513729721</v>
      </c>
      <c r="H183" s="132">
        <v>326776384.82999998</v>
      </c>
      <c r="I183" s="132">
        <v>-3346883117.0799999</v>
      </c>
      <c r="J183" s="113">
        <f>SUMIFS(PGĐ!$H:$H,PGĐ!$F:$F, "="&amp;B183, PGĐ!$I:$I, "="&amp;'HQ1'!A183)</f>
        <v>0</v>
      </c>
      <c r="K183" s="113"/>
      <c r="L183" s="78">
        <f t="shared" si="6"/>
        <v>0.95486145325622185</v>
      </c>
      <c r="M183" s="5">
        <f>SUMIFS(ĐMCP!$Q:$Q,ĐMCP!$P:$P, "="&amp;'HQ1'!B183,ĐMCP!$O:$O, "="&amp;'HQ1'!A183)</f>
        <v>0</v>
      </c>
      <c r="N183" s="89">
        <f t="shared" si="5"/>
        <v>0</v>
      </c>
    </row>
    <row r="184" spans="1:14" x14ac:dyDescent="0.25">
      <c r="A184" s="123" t="s">
        <v>72</v>
      </c>
      <c r="B184" s="16" t="s">
        <v>135</v>
      </c>
      <c r="C184" s="7">
        <v>3791483460</v>
      </c>
      <c r="D184" s="7">
        <v>5430630000</v>
      </c>
      <c r="E184" s="7">
        <v>-68753609</v>
      </c>
      <c r="F184" s="7">
        <v>-208996706</v>
      </c>
      <c r="G184" s="7">
        <v>1121273417</v>
      </c>
      <c r="H184" s="7">
        <v>113744503.8</v>
      </c>
      <c r="I184" s="7">
        <v>-2596414145.8000002</v>
      </c>
      <c r="J184" s="113">
        <f>SUMIFS(PGĐ!$H:$H,PGĐ!$F:$F, "="&amp;B184, PGĐ!$I:$I, "="&amp;'HQ1'!A184)</f>
        <v>0</v>
      </c>
      <c r="K184" s="113"/>
      <c r="L184" s="78">
        <f t="shared" si="6"/>
        <v>1.3526716625600075</v>
      </c>
      <c r="M184" s="5">
        <f>SUMIFS(ĐMCP!$Q:$Q,ĐMCP!$P:$P, "="&amp;'HQ1'!B184,ĐMCP!$O:$O, "="&amp;'HQ1'!A184)</f>
        <v>1121273417.3859231</v>
      </c>
      <c r="N184" s="89">
        <f t="shared" si="5"/>
        <v>-0.38592314720153809</v>
      </c>
    </row>
    <row r="185" spans="1:14" x14ac:dyDescent="0.25">
      <c r="A185" s="123" t="s">
        <v>72</v>
      </c>
      <c r="B185" s="16" t="s">
        <v>136</v>
      </c>
      <c r="C185" s="7">
        <v>15704600</v>
      </c>
      <c r="E185" s="7">
        <v>481410</v>
      </c>
      <c r="G185" s="7">
        <v>8432917</v>
      </c>
      <c r="H185" s="7">
        <v>471138</v>
      </c>
      <c r="I185" s="7">
        <v>6319135</v>
      </c>
      <c r="J185" s="113">
        <f>SUMIFS(PGĐ!$H:$H,PGĐ!$F:$F, "="&amp;B185, PGĐ!$I:$I, "="&amp;'HQ1'!A185)</f>
        <v>0</v>
      </c>
      <c r="K185" s="113"/>
      <c r="L185" s="78">
        <f t="shared" si="6"/>
        <v>0</v>
      </c>
      <c r="M185" s="5">
        <f>SUMIFS(ĐMCP!$Q:$Q,ĐMCP!$P:$P, "="&amp;'HQ1'!B185,ĐMCP!$O:$O, "="&amp;'HQ1'!A185)</f>
        <v>8432916.6147359237</v>
      </c>
      <c r="N185" s="89">
        <f t="shared" si="5"/>
        <v>0.3852640762925148</v>
      </c>
    </row>
    <row r="186" spans="1:14" x14ac:dyDescent="0.25">
      <c r="A186" s="123" t="s">
        <v>72</v>
      </c>
      <c r="B186" s="16" t="s">
        <v>137</v>
      </c>
      <c r="C186" s="7">
        <v>6225438511</v>
      </c>
      <c r="D186" s="7">
        <v>4765648773</v>
      </c>
      <c r="E186" s="7">
        <v>-56449872.75</v>
      </c>
      <c r="F186" s="7">
        <v>411976945</v>
      </c>
      <c r="G186" s="7">
        <v>2063847585</v>
      </c>
      <c r="H186" s="7">
        <v>186763155.32999998</v>
      </c>
      <c r="I186" s="7">
        <v>-1146348074.5799999</v>
      </c>
      <c r="J186" s="113">
        <f>SUMIFS(PGĐ!$H:$H,PGĐ!$F:$F, "="&amp;B186, PGĐ!$I:$I, "="&amp;'HQ1'!A186)</f>
        <v>-47200000</v>
      </c>
      <c r="K186" s="113"/>
      <c r="L186" s="78">
        <f t="shared" si="6"/>
        <v>0.82421485415014561</v>
      </c>
      <c r="M186" s="5">
        <f>SUMIFS(ĐMCP!$Q:$Q,ĐMCP!$P:$P, "="&amp;'HQ1'!B186,ĐMCP!$O:$O, "="&amp;'HQ1'!A186)</f>
        <v>2063847584.9713771</v>
      </c>
      <c r="N186" s="89">
        <f t="shared" si="5"/>
        <v>2.8622865676879883E-2</v>
      </c>
    </row>
    <row r="187" spans="1:14" x14ac:dyDescent="0.25">
      <c r="A187" s="123" t="s">
        <v>72</v>
      </c>
      <c r="B187" s="16" t="s">
        <v>138</v>
      </c>
      <c r="C187" s="7">
        <v>859919590</v>
      </c>
      <c r="D187" s="7">
        <v>208470305</v>
      </c>
      <c r="E187" s="7">
        <v>81537591</v>
      </c>
      <c r="F187" s="7">
        <v>-165621664</v>
      </c>
      <c r="G187" s="7">
        <v>320175802</v>
      </c>
      <c r="H187" s="7">
        <v>25797587.699999999</v>
      </c>
      <c r="I187" s="7">
        <v>389559968.30000001</v>
      </c>
      <c r="J187" s="113">
        <f>SUMIFS(PGĐ!$H:$H,PGĐ!$F:$F, "="&amp;B187, PGĐ!$I:$I, "="&amp;'HQ1'!A187)</f>
        <v>0</v>
      </c>
      <c r="K187" s="113"/>
      <c r="L187" s="78">
        <f t="shared" si="6"/>
        <v>5.5048345227726676E-2</v>
      </c>
      <c r="M187" s="5">
        <f>SUMIFS(ĐMCP!$Q:$Q,ĐMCP!$P:$P, "="&amp;'HQ1'!B187,ĐMCP!$O:$O, "="&amp;'HQ1'!A187)</f>
        <v>320175801.58791101</v>
      </c>
      <c r="N187" s="89">
        <f t="shared" si="5"/>
        <v>0.41208899021148682</v>
      </c>
    </row>
    <row r="188" spans="1:14" x14ac:dyDescent="0.25">
      <c r="A188" s="123" t="s">
        <v>57</v>
      </c>
      <c r="B188" s="15" t="s">
        <v>45</v>
      </c>
      <c r="C188" s="132">
        <v>25378170888</v>
      </c>
      <c r="D188" s="132">
        <v>16250684113</v>
      </c>
      <c r="E188" s="132">
        <v>1517037016.55</v>
      </c>
      <c r="F188" s="132">
        <v>-293898460.70999908</v>
      </c>
      <c r="G188" s="132">
        <v>5575760119</v>
      </c>
      <c r="H188" s="132">
        <v>761345126.63999999</v>
      </c>
      <c r="I188" s="132">
        <v>1567242973.519999</v>
      </c>
      <c r="J188" s="113">
        <f>SUMIFS(PGĐ!$H:$H,PGĐ!$F:$F, "="&amp;B188, PGĐ!$I:$I, "="&amp;'HQ1'!A188)</f>
        <v>0</v>
      </c>
      <c r="K188" s="113"/>
      <c r="L188" s="78">
        <f t="shared" si="6"/>
        <v>0.668735431361139</v>
      </c>
      <c r="M188" s="5">
        <f>SUMIFS(ĐMCP!$Q:$Q,ĐMCP!$P:$P, "="&amp;'HQ1'!B188,ĐMCP!$O:$O, "="&amp;'HQ1'!A188)</f>
        <v>0</v>
      </c>
      <c r="N188" s="89">
        <f t="shared" si="5"/>
        <v>0</v>
      </c>
    </row>
    <row r="189" spans="1:14" x14ac:dyDescent="0.25">
      <c r="A189" s="123" t="s">
        <v>57</v>
      </c>
      <c r="B189" s="16" t="s">
        <v>135</v>
      </c>
      <c r="C189" s="7">
        <v>3204174085</v>
      </c>
      <c r="D189" s="7">
        <v>1574244716</v>
      </c>
      <c r="E189" s="7">
        <v>56300907.75</v>
      </c>
      <c r="G189" s="7">
        <v>740123615</v>
      </c>
      <c r="H189" s="7">
        <v>96125222.549999997</v>
      </c>
      <c r="I189" s="7">
        <v>737379623.70000005</v>
      </c>
      <c r="J189" s="113">
        <f>SUMIFS(PGĐ!$H:$H,PGĐ!$F:$F, "="&amp;B189, PGĐ!$I:$I, "="&amp;'HQ1'!A189)</f>
        <v>720000</v>
      </c>
      <c r="K189" s="113"/>
      <c r="L189" s="78">
        <f t="shared" si="6"/>
        <v>0.50009788430398872</v>
      </c>
      <c r="M189" s="5">
        <f>SUMIFS(ĐMCP!$Q:$Q,ĐMCP!$P:$P, "="&amp;'HQ1'!B189,ĐMCP!$O:$O, "="&amp;'HQ1'!A189)</f>
        <v>740123614.67423344</v>
      </c>
      <c r="N189" s="89">
        <f t="shared" si="5"/>
        <v>0.32576656341552734</v>
      </c>
    </row>
    <row r="190" spans="1:14" x14ac:dyDescent="0.25">
      <c r="A190" s="123" t="s">
        <v>57</v>
      </c>
      <c r="B190" s="16" t="s">
        <v>136</v>
      </c>
      <c r="C190" s="7">
        <v>236940400</v>
      </c>
      <c r="D190" s="7">
        <v>59948849</v>
      </c>
      <c r="E190" s="7">
        <v>6033854.7000000002</v>
      </c>
      <c r="G190" s="7">
        <v>106155672</v>
      </c>
      <c r="H190" s="7">
        <v>7108212</v>
      </c>
      <c r="I190" s="7">
        <v>57693812.300000012</v>
      </c>
      <c r="J190" s="113">
        <f>SUMIFS(PGĐ!$H:$H,PGĐ!$F:$F, "="&amp;B190, PGĐ!$I:$I, "="&amp;'HQ1'!A190)</f>
        <v>0</v>
      </c>
      <c r="K190" s="113"/>
      <c r="L190" s="78">
        <f t="shared" si="6"/>
        <v>0.25962386177538987</v>
      </c>
      <c r="M190" s="5">
        <f>SUMIFS(ĐMCP!$Q:$Q,ĐMCP!$P:$P, "="&amp;'HQ1'!B190,ĐMCP!$O:$O, "="&amp;'HQ1'!A190)</f>
        <v>106155671.6676304</v>
      </c>
      <c r="N190" s="89">
        <f t="shared" si="5"/>
        <v>0.3323695957660675</v>
      </c>
    </row>
    <row r="191" spans="1:14" x14ac:dyDescent="0.25">
      <c r="A191" s="123" t="s">
        <v>57</v>
      </c>
      <c r="B191" s="16" t="s">
        <v>137</v>
      </c>
      <c r="C191" s="7">
        <v>16989330030</v>
      </c>
      <c r="D191" s="7">
        <v>12332996504</v>
      </c>
      <c r="E191" s="7">
        <v>1255807565</v>
      </c>
      <c r="F191" s="7">
        <v>-150004886.70999908</v>
      </c>
      <c r="G191" s="7">
        <v>4145556241</v>
      </c>
      <c r="H191" s="7">
        <v>509679900.89999998</v>
      </c>
      <c r="I191" s="7">
        <v>-1104705294.190001</v>
      </c>
      <c r="J191" s="113">
        <f>SUMIFS(PGĐ!$H:$H,PGĐ!$F:$F, "="&amp;B191, PGĐ!$I:$I, "="&amp;'HQ1'!A191)</f>
        <v>81918519</v>
      </c>
      <c r="K191" s="113"/>
      <c r="L191" s="78">
        <f t="shared" si="6"/>
        <v>0.77433337921572676</v>
      </c>
      <c r="M191" s="5">
        <f>SUMIFS(ĐMCP!$Q:$Q,ĐMCP!$P:$P, "="&amp;'HQ1'!B191,ĐMCP!$O:$O, "="&amp;'HQ1'!A191)</f>
        <v>4145556240.9745808</v>
      </c>
      <c r="N191" s="89">
        <f t="shared" si="5"/>
        <v>2.5419235229492188E-2</v>
      </c>
    </row>
    <row r="192" spans="1:14" x14ac:dyDescent="0.25">
      <c r="A192" s="123" t="s">
        <v>57</v>
      </c>
      <c r="B192" s="16" t="s">
        <v>138</v>
      </c>
      <c r="C192" s="7">
        <v>4947726373</v>
      </c>
      <c r="D192" s="7">
        <v>2283494044</v>
      </c>
      <c r="E192" s="7">
        <v>198894689.09999999</v>
      </c>
      <c r="F192" s="7">
        <v>-143893574</v>
      </c>
      <c r="G192" s="7">
        <v>583924591</v>
      </c>
      <c r="H192" s="7">
        <v>148431791.19</v>
      </c>
      <c r="I192" s="7">
        <v>1876874831.71</v>
      </c>
      <c r="J192" s="113">
        <f>SUMIFS(PGĐ!$H:$H,PGĐ!$F:$F, "="&amp;B192, PGĐ!$I:$I, "="&amp;'HQ1'!A192)</f>
        <v>0</v>
      </c>
      <c r="K192" s="113"/>
      <c r="L192" s="78">
        <f t="shared" si="6"/>
        <v>0.45055302281062176</v>
      </c>
      <c r="M192" s="5">
        <f>SUMIFS(ĐMCP!$Q:$Q,ĐMCP!$P:$P, "="&amp;'HQ1'!B192,ĐMCP!$O:$O, "="&amp;'HQ1'!A192)</f>
        <v>583924591.06655359</v>
      </c>
      <c r="N192" s="89">
        <f t="shared" si="5"/>
        <v>-6.6553592681884766E-2</v>
      </c>
    </row>
    <row r="193" spans="1:14" x14ac:dyDescent="0.25">
      <c r="A193" s="123" t="s">
        <v>67</v>
      </c>
      <c r="B193" s="15" t="s">
        <v>45</v>
      </c>
      <c r="C193" s="132">
        <v>28409914650</v>
      </c>
      <c r="D193" s="132">
        <v>15197110052</v>
      </c>
      <c r="E193" s="132">
        <v>751746507.75</v>
      </c>
      <c r="F193" s="132">
        <v>-442675901</v>
      </c>
      <c r="G193" s="132">
        <v>9664436750</v>
      </c>
      <c r="H193" s="132">
        <v>852297439.5</v>
      </c>
      <c r="I193" s="132">
        <v>2386999801.75</v>
      </c>
      <c r="J193" s="113">
        <f>SUMIFS(PGĐ!$H:$H,PGĐ!$F:$F, "="&amp;B193, PGĐ!$I:$I, "="&amp;'HQ1'!A193)</f>
        <v>0</v>
      </c>
      <c r="K193" s="113"/>
      <c r="L193" s="78">
        <f t="shared" si="6"/>
        <v>0.53345666549989101</v>
      </c>
      <c r="M193" s="5">
        <f>SUMIFS(ĐMCP!$Q:$Q,ĐMCP!$P:$P, "="&amp;'HQ1'!B193,ĐMCP!$O:$O, "="&amp;'HQ1'!A193)</f>
        <v>0</v>
      </c>
      <c r="N193" s="89">
        <f t="shared" si="5"/>
        <v>0</v>
      </c>
    </row>
    <row r="194" spans="1:14" x14ac:dyDescent="0.25">
      <c r="A194" s="123" t="s">
        <v>67</v>
      </c>
      <c r="B194" s="16" t="s">
        <v>135</v>
      </c>
      <c r="C194" s="7">
        <v>16134850410</v>
      </c>
      <c r="D194" s="7">
        <v>8915518640</v>
      </c>
      <c r="E194" s="7">
        <v>520052404.5</v>
      </c>
      <c r="G194" s="7">
        <v>4980094226</v>
      </c>
      <c r="H194" s="7">
        <v>484045512.29999995</v>
      </c>
      <c r="I194" s="7">
        <v>1235139627.2</v>
      </c>
      <c r="J194" s="113">
        <f>SUMIFS(PGĐ!$H:$H,PGĐ!$F:$F, "="&amp;B194, PGĐ!$I:$I, "="&amp;'HQ1'!A194)</f>
        <v>0</v>
      </c>
      <c r="K194" s="113"/>
      <c r="L194" s="78">
        <f t="shared" si="6"/>
        <v>0.57096599244253354</v>
      </c>
      <c r="M194" s="5">
        <f>SUMIFS(ĐMCP!$Q:$Q,ĐMCP!$P:$P, "="&amp;'HQ1'!B194,ĐMCP!$O:$O, "="&amp;'HQ1'!A194)</f>
        <v>4980094226.4841566</v>
      </c>
      <c r="N194" s="89">
        <f t="shared" si="5"/>
        <v>-0.48415660858154297</v>
      </c>
    </row>
    <row r="195" spans="1:14" x14ac:dyDescent="0.25">
      <c r="A195" s="123" t="s">
        <v>67</v>
      </c>
      <c r="B195" s="16" t="s">
        <v>136</v>
      </c>
      <c r="C195" s="7">
        <v>461201200</v>
      </c>
      <c r="D195" s="7">
        <v>730000</v>
      </c>
      <c r="E195" s="7">
        <v>16380450</v>
      </c>
      <c r="G195" s="7">
        <v>237198610</v>
      </c>
      <c r="H195" s="7">
        <v>13836036</v>
      </c>
      <c r="I195" s="7">
        <v>193056104</v>
      </c>
      <c r="J195" s="113">
        <f>SUMIFS(PGĐ!$H:$H,PGĐ!$F:$F, "="&amp;B195, PGĐ!$I:$I, "="&amp;'HQ1'!A195)</f>
        <v>0</v>
      </c>
      <c r="K195" s="113"/>
      <c r="L195" s="78">
        <f t="shared" si="6"/>
        <v>1.6411104922600846E-3</v>
      </c>
      <c r="M195" s="5">
        <f>SUMIFS(ĐMCP!$Q:$Q,ĐMCP!$P:$P, "="&amp;'HQ1'!B195,ĐMCP!$O:$O, "="&amp;'HQ1'!A195)</f>
        <v>237198609.573834</v>
      </c>
      <c r="N195" s="89">
        <f t="shared" ref="N195:N258" si="7">IF(M195=0,0,G195-M195)</f>
        <v>0.42616599798202515</v>
      </c>
    </row>
    <row r="196" spans="1:14" x14ac:dyDescent="0.25">
      <c r="A196" s="123" t="s">
        <v>67</v>
      </c>
      <c r="B196" s="16" t="s">
        <v>137</v>
      </c>
      <c r="C196" s="7">
        <v>10503388425</v>
      </c>
      <c r="D196" s="7">
        <v>6146364234</v>
      </c>
      <c r="E196" s="7">
        <v>-105269997.75</v>
      </c>
      <c r="F196" s="7">
        <v>-425906748</v>
      </c>
      <c r="G196" s="7">
        <v>3707658495</v>
      </c>
      <c r="H196" s="7">
        <v>315101652.75</v>
      </c>
      <c r="I196" s="7">
        <v>865440789</v>
      </c>
      <c r="J196" s="113">
        <f>SUMIFS(PGĐ!$H:$H,PGĐ!$F:$F, "="&amp;B196, PGĐ!$I:$I, "="&amp;'HQ1'!A196)</f>
        <v>30000000</v>
      </c>
      <c r="K196" s="113"/>
      <c r="L196" s="78">
        <f t="shared" ref="L196:L259" si="8">(D196+F196)/(C196-E196)</f>
        <v>0.5392253438693646</v>
      </c>
      <c r="M196" s="5">
        <f>SUMIFS(ĐMCP!$Q:$Q,ĐMCP!$P:$P, "="&amp;'HQ1'!B196,ĐMCP!$O:$O, "="&amp;'HQ1'!A196)</f>
        <v>3707658494.7579727</v>
      </c>
      <c r="N196" s="89">
        <f t="shared" si="7"/>
        <v>0.24202728271484375</v>
      </c>
    </row>
    <row r="197" spans="1:14" x14ac:dyDescent="0.25">
      <c r="A197" s="123" t="s">
        <v>67</v>
      </c>
      <c r="B197" s="16" t="s">
        <v>138</v>
      </c>
      <c r="C197" s="7">
        <v>1310474615</v>
      </c>
      <c r="D197" s="7">
        <v>134497178</v>
      </c>
      <c r="E197" s="7">
        <v>320583651</v>
      </c>
      <c r="F197" s="7">
        <v>-16769153</v>
      </c>
      <c r="G197" s="7">
        <v>739485419</v>
      </c>
      <c r="H197" s="7">
        <v>39314238.449999996</v>
      </c>
      <c r="I197" s="7">
        <v>93363281.550000012</v>
      </c>
      <c r="J197" s="113">
        <f>SUMIFS(PGĐ!$H:$H,PGĐ!$F:$F, "="&amp;B197, PGĐ!$I:$I, "="&amp;'HQ1'!A197)</f>
        <v>0</v>
      </c>
      <c r="K197" s="113"/>
      <c r="L197" s="78">
        <f t="shared" si="8"/>
        <v>0.11893029564011658</v>
      </c>
      <c r="M197" s="5">
        <f>SUMIFS(ĐMCP!$Q:$Q,ĐMCP!$P:$P, "="&amp;'HQ1'!B197,ĐMCP!$O:$O, "="&amp;'HQ1'!A197)</f>
        <v>739485419.42138577</v>
      </c>
      <c r="N197" s="89">
        <f t="shared" si="7"/>
        <v>-0.42138576507568359</v>
      </c>
    </row>
    <row r="198" spans="1:14" x14ac:dyDescent="0.25">
      <c r="A198" s="123" t="s">
        <v>125</v>
      </c>
      <c r="B198" s="15" t="s">
        <v>45</v>
      </c>
      <c r="C198" s="132">
        <v>4793539368</v>
      </c>
      <c r="D198" s="132">
        <v>1839009644</v>
      </c>
      <c r="E198" s="132">
        <v>158076065.75</v>
      </c>
      <c r="F198" s="132">
        <v>1829429356.3599997</v>
      </c>
      <c r="G198" s="132">
        <v>1556878110</v>
      </c>
      <c r="H198" s="132">
        <v>143806181.03999999</v>
      </c>
      <c r="I198" s="132">
        <v>-733659989.14999962</v>
      </c>
      <c r="J198" s="113">
        <f>SUMIFS(PGĐ!$H:$H,PGĐ!$F:$F, "="&amp;B198, PGĐ!$I:$I, "="&amp;'HQ1'!A198)</f>
        <v>0</v>
      </c>
      <c r="K198" s="113"/>
      <c r="L198" s="78">
        <f t="shared" si="8"/>
        <v>0.79138562019882286</v>
      </c>
      <c r="M198" s="5">
        <f>SUMIFS(ĐMCP!$Q:$Q,ĐMCP!$P:$P, "="&amp;'HQ1'!B198,ĐMCP!$O:$O, "="&amp;'HQ1'!A198)</f>
        <v>0</v>
      </c>
      <c r="N198" s="89">
        <f t="shared" si="7"/>
        <v>0</v>
      </c>
    </row>
    <row r="199" spans="1:14" x14ac:dyDescent="0.25">
      <c r="A199" s="123" t="s">
        <v>125</v>
      </c>
      <c r="B199" s="16" t="s">
        <v>135</v>
      </c>
      <c r="C199" s="7">
        <v>383877600</v>
      </c>
      <c r="D199" s="7">
        <v>329089000</v>
      </c>
      <c r="E199" s="7">
        <v>-27066280.5</v>
      </c>
      <c r="G199" s="7">
        <v>121126024</v>
      </c>
      <c r="H199" s="7">
        <v>11516328</v>
      </c>
      <c r="I199" s="7">
        <v>-50787471.5</v>
      </c>
      <c r="J199" s="113">
        <f>SUMIFS(PGĐ!$H:$H,PGĐ!$F:$F, "="&amp;B199, PGĐ!$I:$I, "="&amp;'HQ1'!A199)</f>
        <v>0</v>
      </c>
      <c r="K199" s="113"/>
      <c r="L199" s="78">
        <f t="shared" si="8"/>
        <v>0.8008125089965904</v>
      </c>
      <c r="M199" s="5">
        <f>SUMIFS(ĐMCP!$Q:$Q,ĐMCP!$P:$P, "="&amp;'HQ1'!B199,ĐMCP!$O:$O, "="&amp;'HQ1'!A199)</f>
        <v>121126023.79476582</v>
      </c>
      <c r="N199" s="89">
        <f t="shared" si="7"/>
        <v>0.20523418486118317</v>
      </c>
    </row>
    <row r="200" spans="1:14" x14ac:dyDescent="0.25">
      <c r="A200" s="123" t="s">
        <v>125</v>
      </c>
      <c r="B200" s="16" t="s">
        <v>136</v>
      </c>
      <c r="C200" s="7">
        <v>576000</v>
      </c>
      <c r="E200" s="7">
        <v>-752400</v>
      </c>
      <c r="G200" s="7">
        <v>315064</v>
      </c>
      <c r="H200" s="7">
        <v>17280</v>
      </c>
      <c r="I200" s="7">
        <v>996056</v>
      </c>
      <c r="J200" s="113">
        <f>SUMIFS(PGĐ!$H:$H,PGĐ!$F:$F, "="&amp;B200, PGĐ!$I:$I, "="&amp;'HQ1'!A200)</f>
        <v>0</v>
      </c>
      <c r="K200" s="113"/>
      <c r="L200" s="78">
        <f t="shared" si="8"/>
        <v>0</v>
      </c>
      <c r="M200" s="5">
        <f>SUMIFS(ĐMCP!$Q:$Q,ĐMCP!$P:$P, "="&amp;'HQ1'!B200,ĐMCP!$O:$O, "="&amp;'HQ1'!A200)</f>
        <v>315063.59971455776</v>
      </c>
      <c r="N200" s="89">
        <f t="shared" si="7"/>
        <v>0.40028544224333018</v>
      </c>
    </row>
    <row r="201" spans="1:14" x14ac:dyDescent="0.25">
      <c r="A201" s="123" t="s">
        <v>125</v>
      </c>
      <c r="B201" s="16" t="s">
        <v>137</v>
      </c>
      <c r="C201" s="7">
        <v>4102987168</v>
      </c>
      <c r="D201" s="7">
        <v>1344542110</v>
      </c>
      <c r="E201" s="7">
        <v>140299375.25</v>
      </c>
      <c r="F201" s="7">
        <v>1922532330.3599997</v>
      </c>
      <c r="G201" s="7">
        <v>1295921723</v>
      </c>
      <c r="H201" s="7">
        <v>123089615.03999999</v>
      </c>
      <c r="I201" s="7">
        <v>-723397985.64999962</v>
      </c>
      <c r="J201" s="113">
        <f>SUMIFS(PGĐ!$H:$H,PGĐ!$F:$F, "="&amp;B201, PGĐ!$I:$I, "="&amp;'HQ1'!A201)</f>
        <v>5200000</v>
      </c>
      <c r="K201" s="113"/>
      <c r="L201" s="78">
        <f t="shared" si="8"/>
        <v>0.82445920830233688</v>
      </c>
      <c r="M201" s="5">
        <f>SUMIFS(ĐMCP!$Q:$Q,ĐMCP!$P:$P, "="&amp;'HQ1'!B201,ĐMCP!$O:$O, "="&amp;'HQ1'!A201)</f>
        <v>1295921722.8206491</v>
      </c>
      <c r="N201" s="89">
        <f t="shared" si="7"/>
        <v>0.17935085296630859</v>
      </c>
    </row>
    <row r="202" spans="1:14" x14ac:dyDescent="0.25">
      <c r="A202" s="123" t="s">
        <v>125</v>
      </c>
      <c r="B202" s="16" t="s">
        <v>138</v>
      </c>
      <c r="C202" s="7">
        <v>306098600</v>
      </c>
      <c r="D202" s="7">
        <v>165378534</v>
      </c>
      <c r="E202" s="7">
        <v>45595371</v>
      </c>
      <c r="F202" s="7">
        <v>-93102974</v>
      </c>
      <c r="G202" s="7">
        <v>139515299</v>
      </c>
      <c r="H202" s="7">
        <v>9182958</v>
      </c>
      <c r="I202" s="7">
        <v>39529412</v>
      </c>
      <c r="J202" s="113">
        <f>SUMIFS(PGĐ!$H:$H,PGĐ!$F:$F, "="&amp;B202, PGĐ!$I:$I, "="&amp;'HQ1'!A202)</f>
        <v>0</v>
      </c>
      <c r="K202" s="113"/>
      <c r="L202" s="78">
        <f t="shared" si="8"/>
        <v>0.27744592755124736</v>
      </c>
      <c r="M202" s="5">
        <f>SUMIFS(ĐMCP!$Q:$Q,ĐMCP!$P:$P, "="&amp;'HQ1'!B202,ĐMCP!$O:$O, "="&amp;'HQ1'!A202)</f>
        <v>139515299.11039329</v>
      </c>
      <c r="N202" s="89">
        <f t="shared" si="7"/>
        <v>-0.11039328575134277</v>
      </c>
    </row>
    <row r="203" spans="1:14" x14ac:dyDescent="0.25">
      <c r="A203" s="123" t="s">
        <v>117</v>
      </c>
      <c r="B203" s="15" t="s">
        <v>45</v>
      </c>
      <c r="C203" s="132">
        <v>1982683097</v>
      </c>
      <c r="D203" s="132">
        <v>437160206</v>
      </c>
      <c r="E203" s="132">
        <v>46036608.75</v>
      </c>
      <c r="F203" s="132">
        <v>88603959</v>
      </c>
      <c r="G203" s="132">
        <v>672915086</v>
      </c>
      <c r="H203" s="132">
        <v>59480492.909999996</v>
      </c>
      <c r="I203" s="132">
        <v>678486744.34000003</v>
      </c>
      <c r="J203" s="113">
        <f>SUMIFS(PGĐ!$H:$H,PGĐ!$F:$F, "="&amp;B203, PGĐ!$I:$I, "="&amp;'HQ1'!A203)</f>
        <v>0</v>
      </c>
      <c r="K203" s="113"/>
      <c r="L203" s="78">
        <f t="shared" si="8"/>
        <v>0.27148174341053488</v>
      </c>
      <c r="M203" s="5">
        <f>SUMIFS(ĐMCP!$Q:$Q,ĐMCP!$P:$P, "="&amp;'HQ1'!B203,ĐMCP!$O:$O, "="&amp;'HQ1'!A203)</f>
        <v>0</v>
      </c>
      <c r="N203" s="89">
        <f t="shared" si="7"/>
        <v>0</v>
      </c>
    </row>
    <row r="204" spans="1:14" x14ac:dyDescent="0.25">
      <c r="A204" s="123" t="s">
        <v>117</v>
      </c>
      <c r="B204" s="16" t="s">
        <v>135</v>
      </c>
      <c r="C204" s="7">
        <v>374207851</v>
      </c>
      <c r="D204" s="7">
        <v>98523000</v>
      </c>
      <c r="E204" s="7">
        <v>-31982882.25</v>
      </c>
      <c r="G204" s="7">
        <v>64882372</v>
      </c>
      <c r="H204" s="7">
        <v>11226235.529999999</v>
      </c>
      <c r="I204" s="7">
        <v>231559125.72</v>
      </c>
      <c r="J204" s="113">
        <f>SUMIFS(PGĐ!$H:$H,PGĐ!$F:$F, "="&amp;B204, PGĐ!$I:$I, "="&amp;'HQ1'!A204)</f>
        <v>0</v>
      </c>
      <c r="K204" s="113"/>
      <c r="L204" s="78">
        <f t="shared" si="8"/>
        <v>0.24255353934763849</v>
      </c>
      <c r="M204" s="5">
        <f>SUMIFS(ĐMCP!$Q:$Q,ĐMCP!$P:$P, "="&amp;'HQ1'!B204,ĐMCP!$O:$O, "="&amp;'HQ1'!A204)</f>
        <v>64882372.387232438</v>
      </c>
      <c r="N204" s="89">
        <f t="shared" si="7"/>
        <v>-0.38723243772983551</v>
      </c>
    </row>
    <row r="205" spans="1:14" x14ac:dyDescent="0.25">
      <c r="A205" s="123" t="s">
        <v>117</v>
      </c>
      <c r="B205" s="16" t="s">
        <v>136</v>
      </c>
      <c r="C205" s="7">
        <v>338100000</v>
      </c>
      <c r="E205" s="7">
        <v>33810000</v>
      </c>
      <c r="G205" s="7">
        <v>179280217</v>
      </c>
      <c r="H205" s="7">
        <v>10143000</v>
      </c>
      <c r="I205" s="7">
        <v>114866783</v>
      </c>
      <c r="J205" s="113">
        <f>SUMIFS(PGĐ!$H:$H,PGĐ!$F:$F, "="&amp;B205, PGĐ!$I:$I, "="&amp;'HQ1'!A205)</f>
        <v>0</v>
      </c>
      <c r="K205" s="113"/>
      <c r="L205" s="78">
        <f t="shared" si="8"/>
        <v>0</v>
      </c>
      <c r="M205" s="5">
        <f>SUMIFS(ĐMCP!$Q:$Q,ĐMCP!$P:$P, "="&amp;'HQ1'!B205,ĐMCP!$O:$O, "="&amp;'HQ1'!A205)</f>
        <v>179280217.34212971</v>
      </c>
      <c r="N205" s="89">
        <f t="shared" si="7"/>
        <v>-0.34212970733642578</v>
      </c>
    </row>
    <row r="206" spans="1:14" x14ac:dyDescent="0.25">
      <c r="A206" s="123" t="s">
        <v>117</v>
      </c>
      <c r="B206" s="16" t="s">
        <v>137</v>
      </c>
      <c r="C206" s="7">
        <v>1238456571</v>
      </c>
      <c r="D206" s="7">
        <v>338637206</v>
      </c>
      <c r="E206" s="7">
        <v>45565228.5</v>
      </c>
      <c r="F206" s="7">
        <v>87791959</v>
      </c>
      <c r="G206" s="7">
        <v>415144798</v>
      </c>
      <c r="H206" s="7">
        <v>37153697.129999995</v>
      </c>
      <c r="I206" s="7">
        <v>314163682.37</v>
      </c>
      <c r="J206" s="113">
        <f>SUMIFS(PGĐ!$H:$H,PGĐ!$F:$F, "="&amp;B206, PGĐ!$I:$I, "="&amp;'HQ1'!A206)</f>
        <v>1500000</v>
      </c>
      <c r="K206" s="113"/>
      <c r="L206" s="78">
        <f t="shared" si="8"/>
        <v>0.35747527860023848</v>
      </c>
      <c r="M206" s="5">
        <f>SUMIFS(ĐMCP!$Q:$Q,ĐMCP!$P:$P, "="&amp;'HQ1'!B206,ĐMCP!$O:$O, "="&amp;'HQ1'!A206)</f>
        <v>415144798.48782253</v>
      </c>
      <c r="N206" s="89">
        <f t="shared" si="7"/>
        <v>-0.48782253265380859</v>
      </c>
    </row>
    <row r="207" spans="1:14" x14ac:dyDescent="0.25">
      <c r="A207" s="123" t="s">
        <v>117</v>
      </c>
      <c r="B207" s="16" t="s">
        <v>138</v>
      </c>
      <c r="C207" s="7">
        <v>31918675</v>
      </c>
      <c r="E207" s="7">
        <v>-1355737.5</v>
      </c>
      <c r="F207" s="7">
        <v>812000</v>
      </c>
      <c r="G207" s="7">
        <v>13607699</v>
      </c>
      <c r="H207" s="7">
        <v>957560.25</v>
      </c>
      <c r="I207" s="7">
        <v>17897153.25</v>
      </c>
      <c r="J207" s="113">
        <f>SUMIFS(PGĐ!$H:$H,PGĐ!$F:$F, "="&amp;B207, PGĐ!$I:$I, "="&amp;'HQ1'!A207)</f>
        <v>0</v>
      </c>
      <c r="K207" s="113"/>
      <c r="L207" s="78">
        <f t="shared" si="8"/>
        <v>2.4403135592551785E-2</v>
      </c>
      <c r="M207" s="5">
        <f>SUMIFS(ĐMCP!$Q:$Q,ĐMCP!$P:$P, "="&amp;'HQ1'!B207,ĐMCP!$O:$O, "="&amp;'HQ1'!A207)</f>
        <v>13607698.592052061</v>
      </c>
      <c r="N207" s="89">
        <f t="shared" si="7"/>
        <v>0.40794793888926506</v>
      </c>
    </row>
    <row r="208" spans="1:14" x14ac:dyDescent="0.25">
      <c r="A208" s="123" t="s">
        <v>121</v>
      </c>
      <c r="B208" s="15" t="s">
        <v>45</v>
      </c>
      <c r="C208" s="132">
        <v>11999045307</v>
      </c>
      <c r="D208" s="132">
        <v>4027663200</v>
      </c>
      <c r="E208" s="132">
        <v>185317370</v>
      </c>
      <c r="F208" s="132">
        <v>412268321</v>
      </c>
      <c r="G208" s="132">
        <v>3958771891</v>
      </c>
      <c r="H208" s="132">
        <v>359971359.20999998</v>
      </c>
      <c r="I208" s="132">
        <v>3055053165.79</v>
      </c>
      <c r="J208" s="113">
        <f>SUMIFS(PGĐ!$H:$H,PGĐ!$F:$F, "="&amp;B208, PGĐ!$I:$I, "="&amp;'HQ1'!A208)</f>
        <v>0</v>
      </c>
      <c r="K208" s="113"/>
      <c r="L208" s="78">
        <f t="shared" si="8"/>
        <v>0.37582815049383</v>
      </c>
      <c r="M208" s="5">
        <f>SUMIFS(ĐMCP!$Q:$Q,ĐMCP!$P:$P, "="&amp;'HQ1'!B208,ĐMCP!$O:$O, "="&amp;'HQ1'!A208)</f>
        <v>0</v>
      </c>
      <c r="N208" s="89">
        <f t="shared" si="7"/>
        <v>0</v>
      </c>
    </row>
    <row r="209" spans="1:14" x14ac:dyDescent="0.25">
      <c r="A209" s="123" t="s">
        <v>121</v>
      </c>
      <c r="B209" s="16" t="s">
        <v>135</v>
      </c>
      <c r="C209" s="7">
        <v>672950300</v>
      </c>
      <c r="D209" s="7">
        <v>399365000</v>
      </c>
      <c r="E209" s="7">
        <v>-98156850</v>
      </c>
      <c r="F209" s="7">
        <v>137640000</v>
      </c>
      <c r="G209" s="7">
        <v>171712072</v>
      </c>
      <c r="H209" s="7">
        <v>20188509</v>
      </c>
      <c r="I209" s="7">
        <v>42201569</v>
      </c>
      <c r="J209" s="113">
        <f>SUMIFS(PGĐ!$H:$H,PGĐ!$F:$F, "="&amp;B209, PGĐ!$I:$I, "="&amp;'HQ1'!A209)</f>
        <v>0</v>
      </c>
      <c r="K209" s="113"/>
      <c r="L209" s="78">
        <f t="shared" si="8"/>
        <v>0.69640775604272376</v>
      </c>
      <c r="M209" s="5">
        <f>SUMIFS(ĐMCP!$Q:$Q,ĐMCP!$P:$P, "="&amp;'HQ1'!B209,ĐMCP!$O:$O, "="&amp;'HQ1'!A209)</f>
        <v>171712071.62083146</v>
      </c>
      <c r="N209" s="89">
        <f t="shared" si="7"/>
        <v>0.37916854023933411</v>
      </c>
    </row>
    <row r="210" spans="1:14" x14ac:dyDescent="0.25">
      <c r="A210" s="123" t="s">
        <v>121</v>
      </c>
      <c r="B210" s="16" t="s">
        <v>136</v>
      </c>
      <c r="C210" s="7">
        <v>71713500</v>
      </c>
      <c r="E210" s="7">
        <v>-5199390</v>
      </c>
      <c r="G210" s="7">
        <v>38085141</v>
      </c>
      <c r="H210" s="7">
        <v>2151405</v>
      </c>
      <c r="I210" s="7">
        <v>36676344</v>
      </c>
      <c r="J210" s="113">
        <f>SUMIFS(PGĐ!$H:$H,PGĐ!$F:$F, "="&amp;B210, PGĐ!$I:$I, "="&amp;'HQ1'!A210)</f>
        <v>0</v>
      </c>
      <c r="K210" s="113"/>
      <c r="L210" s="78">
        <f t="shared" si="8"/>
        <v>0</v>
      </c>
      <c r="M210" s="5">
        <f>SUMIFS(ĐMCP!$Q:$Q,ĐMCP!$P:$P, "="&amp;'HQ1'!B210,ĐMCP!$O:$O, "="&amp;'HQ1'!A210)</f>
        <v>38085140.799941927</v>
      </c>
      <c r="N210" s="89">
        <f t="shared" si="7"/>
        <v>0.20005807280540466</v>
      </c>
    </row>
    <row r="211" spans="1:14" x14ac:dyDescent="0.25">
      <c r="A211" s="123" t="s">
        <v>121</v>
      </c>
      <c r="B211" s="16" t="s">
        <v>137</v>
      </c>
      <c r="C211" s="7">
        <v>10326295640</v>
      </c>
      <c r="D211" s="7">
        <v>3365163253</v>
      </c>
      <c r="E211" s="7">
        <v>249519690.5</v>
      </c>
      <c r="F211" s="7">
        <v>97138783</v>
      </c>
      <c r="G211" s="7">
        <v>3398743063</v>
      </c>
      <c r="H211" s="7">
        <v>309788869.19999999</v>
      </c>
      <c r="I211" s="7">
        <v>2905941981.3000002</v>
      </c>
      <c r="J211" s="113">
        <f>SUMIFS(PGĐ!$H:$H,PGĐ!$F:$F, "="&amp;B211, PGĐ!$I:$I, "="&amp;'HQ1'!A211)</f>
        <v>21800000</v>
      </c>
      <c r="K211" s="113"/>
      <c r="L211" s="78">
        <f t="shared" si="8"/>
        <v>0.34359224154148194</v>
      </c>
      <c r="M211" s="5">
        <f>SUMIFS(ĐMCP!$Q:$Q,ĐMCP!$P:$P, "="&amp;'HQ1'!B211,ĐMCP!$O:$O, "="&amp;'HQ1'!A211)</f>
        <v>3398743063.0599537</v>
      </c>
      <c r="N211" s="89">
        <f t="shared" si="7"/>
        <v>-5.9953689575195313E-2</v>
      </c>
    </row>
    <row r="212" spans="1:14" x14ac:dyDescent="0.25">
      <c r="A212" s="123" t="s">
        <v>121</v>
      </c>
      <c r="B212" s="16" t="s">
        <v>138</v>
      </c>
      <c r="C212" s="7">
        <v>928085867</v>
      </c>
      <c r="D212" s="7">
        <v>263134947</v>
      </c>
      <c r="E212" s="7">
        <v>39153919.5</v>
      </c>
      <c r="F212" s="7">
        <v>177489538</v>
      </c>
      <c r="G212" s="7">
        <v>350231615</v>
      </c>
      <c r="H212" s="7">
        <v>27842576.009999998</v>
      </c>
      <c r="I212" s="7">
        <v>70233271.49000001</v>
      </c>
      <c r="J212" s="113">
        <f>SUMIFS(PGĐ!$H:$H,PGĐ!$F:$F, "="&amp;B212, PGĐ!$I:$I, "="&amp;'HQ1'!A212)</f>
        <v>0</v>
      </c>
      <c r="K212" s="113"/>
      <c r="L212" s="78">
        <f t="shared" si="8"/>
        <v>0.49567853449209059</v>
      </c>
      <c r="M212" s="5">
        <f>SUMIFS(ĐMCP!$Q:$Q,ĐMCP!$P:$P, "="&amp;'HQ1'!B212,ĐMCP!$O:$O, "="&amp;'HQ1'!A212)</f>
        <v>350231615.09890068</v>
      </c>
      <c r="N212" s="89">
        <f t="shared" si="7"/>
        <v>-9.8900675773620605E-2</v>
      </c>
    </row>
    <row r="213" spans="1:14" x14ac:dyDescent="0.25">
      <c r="A213" s="123" t="s">
        <v>128</v>
      </c>
      <c r="B213" s="15" t="s">
        <v>45</v>
      </c>
      <c r="C213" s="132">
        <v>4039698310</v>
      </c>
      <c r="D213" s="132">
        <v>1281097302</v>
      </c>
      <c r="E213" s="132">
        <v>60789757</v>
      </c>
      <c r="F213" s="132">
        <v>494329962</v>
      </c>
      <c r="G213" s="132">
        <v>1724753335</v>
      </c>
      <c r="H213" s="132">
        <v>121190949.3</v>
      </c>
      <c r="I213" s="132">
        <v>357537004.70000005</v>
      </c>
      <c r="J213" s="113">
        <f>SUMIFS(PGĐ!$H:$H,PGĐ!$F:$F, "="&amp;B213, PGĐ!$I:$I, "="&amp;'HQ1'!A213)</f>
        <v>0</v>
      </c>
      <c r="K213" s="113"/>
      <c r="L213" s="78">
        <f t="shared" si="8"/>
        <v>0.44620961762525835</v>
      </c>
      <c r="M213" s="5">
        <f>SUMIFS(ĐMCP!$Q:$Q,ĐMCP!$P:$P, "="&amp;'HQ1'!B213,ĐMCP!$O:$O, "="&amp;'HQ1'!A213)</f>
        <v>0</v>
      </c>
      <c r="N213" s="89">
        <f t="shared" si="7"/>
        <v>0</v>
      </c>
    </row>
    <row r="214" spans="1:14" x14ac:dyDescent="0.25">
      <c r="A214" s="123" t="s">
        <v>128</v>
      </c>
      <c r="B214" s="16" t="s">
        <v>135</v>
      </c>
      <c r="C214" s="7">
        <v>1000407900</v>
      </c>
      <c r="D214" s="7">
        <v>816379000</v>
      </c>
      <c r="E214" s="7">
        <v>-48436232.25</v>
      </c>
      <c r="G214" s="7">
        <v>306506601</v>
      </c>
      <c r="H214" s="7">
        <v>30012237</v>
      </c>
      <c r="I214" s="7">
        <v>-104053705.75</v>
      </c>
      <c r="J214" s="113">
        <f>SUMIFS(PGĐ!$H:$H,PGĐ!$F:$F, "="&amp;B214, PGĐ!$I:$I, "="&amp;'HQ1'!A214)</f>
        <v>0</v>
      </c>
      <c r="K214" s="113"/>
      <c r="L214" s="78">
        <f t="shared" si="8"/>
        <v>0.77836064949773665</v>
      </c>
      <c r="M214" s="5">
        <f>SUMIFS(ĐMCP!$Q:$Q,ĐMCP!$P:$P, "="&amp;'HQ1'!B214,ĐMCP!$O:$O, "="&amp;'HQ1'!A214)</f>
        <v>306506601.26117474</v>
      </c>
      <c r="N214" s="89">
        <f t="shared" si="7"/>
        <v>-0.26117473840713501</v>
      </c>
    </row>
    <row r="215" spans="1:14" x14ac:dyDescent="0.25">
      <c r="A215" s="123" t="s">
        <v>128</v>
      </c>
      <c r="B215" s="16" t="s">
        <v>136</v>
      </c>
      <c r="C215" s="7">
        <v>1605000</v>
      </c>
      <c r="E215" s="7">
        <v>-1708350</v>
      </c>
      <c r="G215" s="7">
        <v>887608</v>
      </c>
      <c r="H215" s="7">
        <v>48150</v>
      </c>
      <c r="I215" s="7">
        <v>2377592</v>
      </c>
      <c r="J215" s="113">
        <f>SUMIFS(PGĐ!$H:$H,PGĐ!$F:$F, "="&amp;B215, PGĐ!$I:$I, "="&amp;'HQ1'!A215)</f>
        <v>0</v>
      </c>
      <c r="K215" s="113"/>
      <c r="L215" s="78">
        <f t="shared" si="8"/>
        <v>0</v>
      </c>
      <c r="M215" s="5">
        <f>SUMIFS(ĐMCP!$Q:$Q,ĐMCP!$P:$P, "="&amp;'HQ1'!B215,ĐMCP!$O:$O, "="&amp;'HQ1'!A215)</f>
        <v>887608.40870744945</v>
      </c>
      <c r="N215" s="89">
        <f t="shared" si="7"/>
        <v>-0.40870744944550097</v>
      </c>
    </row>
    <row r="216" spans="1:14" x14ac:dyDescent="0.25">
      <c r="A216" s="123" t="s">
        <v>128</v>
      </c>
      <c r="B216" s="16" t="s">
        <v>137</v>
      </c>
      <c r="C216" s="7">
        <v>2495703330</v>
      </c>
      <c r="D216" s="7">
        <v>339776080</v>
      </c>
      <c r="E216" s="7">
        <v>111107430.25</v>
      </c>
      <c r="F216" s="7">
        <v>379989845</v>
      </c>
      <c r="G216" s="7">
        <v>1188947968</v>
      </c>
      <c r="H216" s="7">
        <v>74871099.899999991</v>
      </c>
      <c r="I216" s="7">
        <v>401010906.85000002</v>
      </c>
      <c r="J216" s="113">
        <f>SUMIFS(PGĐ!$H:$H,PGĐ!$F:$F, "="&amp;B216, PGĐ!$I:$I, "="&amp;'HQ1'!A216)</f>
        <v>6500000</v>
      </c>
      <c r="K216" s="113"/>
      <c r="L216" s="78">
        <f t="shared" si="8"/>
        <v>0.30183978974192649</v>
      </c>
      <c r="M216" s="5">
        <f>SUMIFS(ĐMCP!$Q:$Q,ĐMCP!$P:$P, "="&amp;'HQ1'!B216,ĐMCP!$O:$O, "="&amp;'HQ1'!A216)</f>
        <v>1188947968.1044614</v>
      </c>
      <c r="N216" s="89">
        <f t="shared" si="7"/>
        <v>-0.1044614315032959</v>
      </c>
    </row>
    <row r="217" spans="1:14" x14ac:dyDescent="0.25">
      <c r="A217" s="123" t="s">
        <v>128</v>
      </c>
      <c r="B217" s="16" t="s">
        <v>138</v>
      </c>
      <c r="C217" s="7">
        <v>541982080</v>
      </c>
      <c r="D217" s="7">
        <v>124942222</v>
      </c>
      <c r="E217" s="7">
        <v>-173091</v>
      </c>
      <c r="F217" s="7">
        <v>114340117</v>
      </c>
      <c r="G217" s="7">
        <v>228411158</v>
      </c>
      <c r="H217" s="7">
        <v>16259462.399999999</v>
      </c>
      <c r="I217" s="7">
        <v>58202211.600000001</v>
      </c>
      <c r="J217" s="113">
        <f>SUMIFS(PGĐ!$H:$H,PGĐ!$F:$F, "="&amp;B217, PGĐ!$I:$I, "="&amp;'HQ1'!A217)</f>
        <v>0</v>
      </c>
      <c r="K217" s="113"/>
      <c r="L217" s="78">
        <f t="shared" si="8"/>
        <v>0.44135397354717842</v>
      </c>
      <c r="M217" s="5">
        <f>SUMIFS(ĐMCP!$Q:$Q,ĐMCP!$P:$P, "="&amp;'HQ1'!B217,ĐMCP!$O:$O, "="&amp;'HQ1'!A217)</f>
        <v>228411157.86513406</v>
      </c>
      <c r="N217" s="89">
        <f t="shared" si="7"/>
        <v>0.13486593961715698</v>
      </c>
    </row>
    <row r="218" spans="1:14" x14ac:dyDescent="0.25">
      <c r="A218" s="123" t="s">
        <v>110</v>
      </c>
      <c r="B218" s="15" t="s">
        <v>45</v>
      </c>
      <c r="C218" s="132">
        <v>4483417993</v>
      </c>
      <c r="D218" s="132">
        <v>1424299390</v>
      </c>
      <c r="E218" s="132">
        <v>262403936.25</v>
      </c>
      <c r="F218" s="132">
        <v>-3374460</v>
      </c>
      <c r="G218" s="132">
        <v>1424582616</v>
      </c>
      <c r="H218" s="132">
        <v>134502539.78999999</v>
      </c>
      <c r="I218" s="132">
        <v>1241003970.96</v>
      </c>
      <c r="J218" s="113">
        <f>SUMIFS(PGĐ!$H:$H,PGĐ!$F:$F, "="&amp;B218, PGĐ!$I:$I, "="&amp;'HQ1'!A218)</f>
        <v>0</v>
      </c>
      <c r="K218" s="113"/>
      <c r="L218" s="78">
        <f t="shared" si="8"/>
        <v>0.3366311769864257</v>
      </c>
      <c r="M218" s="5">
        <f>SUMIFS(ĐMCP!$Q:$Q,ĐMCP!$P:$P, "="&amp;'HQ1'!B218,ĐMCP!$O:$O, "="&amp;'HQ1'!A218)</f>
        <v>0</v>
      </c>
      <c r="N218" s="89">
        <f t="shared" si="7"/>
        <v>0</v>
      </c>
    </row>
    <row r="219" spans="1:14" x14ac:dyDescent="0.25">
      <c r="A219" s="123" t="s">
        <v>110</v>
      </c>
      <c r="B219" s="16" t="s">
        <v>135</v>
      </c>
      <c r="C219" s="7">
        <v>1235882998</v>
      </c>
      <c r="D219" s="7">
        <v>741264195</v>
      </c>
      <c r="E219" s="7">
        <v>-30204314.25</v>
      </c>
      <c r="F219" s="7">
        <v>-11176695</v>
      </c>
      <c r="G219" s="7">
        <v>364922297</v>
      </c>
      <c r="H219" s="7">
        <v>37076489.939999998</v>
      </c>
      <c r="I219" s="7">
        <v>134001025.31</v>
      </c>
      <c r="J219" s="113">
        <f>SUMIFS(PGĐ!$H:$H,PGĐ!$F:$F, "="&amp;B219, PGĐ!$I:$I, "="&amp;'HQ1'!A219)</f>
        <v>0</v>
      </c>
      <c r="K219" s="113"/>
      <c r="L219" s="78">
        <f t="shared" si="8"/>
        <v>0.57664861888753993</v>
      </c>
      <c r="M219" s="5">
        <f>SUMIFS(ĐMCP!$Q:$Q,ĐMCP!$P:$P, "="&amp;'HQ1'!B219,ĐMCP!$O:$O, "="&amp;'HQ1'!A219)</f>
        <v>364922296.80482244</v>
      </c>
      <c r="N219" s="89">
        <f t="shared" si="7"/>
        <v>0.19517755508422852</v>
      </c>
    </row>
    <row r="220" spans="1:14" x14ac:dyDescent="0.25">
      <c r="A220" s="123" t="s">
        <v>110</v>
      </c>
      <c r="B220" s="16" t="s">
        <v>136</v>
      </c>
      <c r="G220" s="7">
        <v>0</v>
      </c>
      <c r="I220" s="7">
        <v>0</v>
      </c>
      <c r="J220" s="113">
        <f>SUMIFS(PGĐ!$H:$H,PGĐ!$F:$F, "="&amp;B220, PGĐ!$I:$I, "="&amp;'HQ1'!A220)</f>
        <v>0</v>
      </c>
      <c r="K220" s="113"/>
      <c r="L220" s="78" t="e">
        <f t="shared" si="8"/>
        <v>#DIV/0!</v>
      </c>
      <c r="M220" s="5">
        <f>SUMIFS(ĐMCP!$Q:$Q,ĐMCP!$P:$P, "="&amp;'HQ1'!B220,ĐMCP!$O:$O, "="&amp;'HQ1'!A220)</f>
        <v>0</v>
      </c>
      <c r="N220" s="89">
        <f t="shared" si="7"/>
        <v>0</v>
      </c>
    </row>
    <row r="221" spans="1:14" x14ac:dyDescent="0.25">
      <c r="A221" s="123" t="s">
        <v>110</v>
      </c>
      <c r="B221" s="16" t="s">
        <v>137</v>
      </c>
      <c r="C221" s="7">
        <v>3035942395</v>
      </c>
      <c r="D221" s="7">
        <v>582647193</v>
      </c>
      <c r="E221" s="7">
        <v>293851692</v>
      </c>
      <c r="F221" s="7">
        <v>-158139104</v>
      </c>
      <c r="G221" s="7">
        <v>957336084</v>
      </c>
      <c r="H221" s="7">
        <v>91078271.849999994</v>
      </c>
      <c r="I221" s="7">
        <v>1269168258.1500001</v>
      </c>
      <c r="J221" s="113">
        <f>SUMIFS(PGĐ!$H:$H,PGĐ!$F:$F, "="&amp;B221, PGĐ!$I:$I, "="&amp;'HQ1'!A221)</f>
        <v>7320000</v>
      </c>
      <c r="K221" s="113"/>
      <c r="L221" s="78">
        <f t="shared" si="8"/>
        <v>0.15481183337063376</v>
      </c>
      <c r="M221" s="5">
        <f>SUMIFS(ĐMCP!$Q:$Q,ĐMCP!$P:$P, "="&amp;'HQ1'!B221,ĐMCP!$O:$O, "="&amp;'HQ1'!A221)</f>
        <v>957336084.14959526</v>
      </c>
      <c r="N221" s="89">
        <f t="shared" si="7"/>
        <v>-0.14959526062011719</v>
      </c>
    </row>
    <row r="222" spans="1:14" x14ac:dyDescent="0.25">
      <c r="A222" s="123" t="s">
        <v>110</v>
      </c>
      <c r="B222" s="16" t="s">
        <v>138</v>
      </c>
      <c r="C222" s="7">
        <v>211592600</v>
      </c>
      <c r="D222" s="7">
        <v>100388002</v>
      </c>
      <c r="E222" s="7">
        <v>-1243441.5</v>
      </c>
      <c r="F222" s="7">
        <v>165941339</v>
      </c>
      <c r="G222" s="7">
        <v>102324235</v>
      </c>
      <c r="H222" s="7">
        <v>6347778</v>
      </c>
      <c r="I222" s="7">
        <v>-162165312.5</v>
      </c>
      <c r="J222" s="113">
        <f>SUMIFS(PGĐ!$H:$H,PGĐ!$F:$F, "="&amp;B222, PGĐ!$I:$I, "="&amp;'HQ1'!A222)</f>
        <v>0</v>
      </c>
      <c r="K222" s="113"/>
      <c r="L222" s="78">
        <f t="shared" si="8"/>
        <v>1.2513357189083034</v>
      </c>
      <c r="M222" s="5">
        <f>SUMIFS(ĐMCP!$Q:$Q,ĐMCP!$P:$P, "="&amp;'HQ1'!B222,ĐMCP!$O:$O, "="&amp;'HQ1'!A222)</f>
        <v>102324235.12684053</v>
      </c>
      <c r="N222" s="89">
        <f t="shared" si="7"/>
        <v>-0.12684053182601929</v>
      </c>
    </row>
    <row r="223" spans="1:14" x14ac:dyDescent="0.25">
      <c r="A223" s="123" t="s">
        <v>77</v>
      </c>
      <c r="B223" s="15" t="s">
        <v>45</v>
      </c>
      <c r="C223" s="132">
        <v>7519591244</v>
      </c>
      <c r="D223" s="132">
        <v>2563246631</v>
      </c>
      <c r="E223" s="132">
        <v>152701414.5</v>
      </c>
      <c r="F223" s="132">
        <v>511962005</v>
      </c>
      <c r="G223" s="132">
        <v>2652451883</v>
      </c>
      <c r="H223" s="132">
        <v>225587737.31999999</v>
      </c>
      <c r="I223" s="132">
        <v>1413641573.1799998</v>
      </c>
      <c r="J223" s="113">
        <f>SUMIFS(PGĐ!$H:$H,PGĐ!$F:$F, "="&amp;B223, PGĐ!$I:$I, "="&amp;'HQ1'!A223)</f>
        <v>0</v>
      </c>
      <c r="K223" s="113"/>
      <c r="L223" s="78">
        <f t="shared" si="8"/>
        <v>0.41743649045566333</v>
      </c>
      <c r="M223" s="5">
        <f>SUMIFS(ĐMCP!$Q:$Q,ĐMCP!$P:$P, "="&amp;'HQ1'!B223,ĐMCP!$O:$O, "="&amp;'HQ1'!A223)</f>
        <v>0</v>
      </c>
      <c r="N223" s="89">
        <f t="shared" si="7"/>
        <v>0</v>
      </c>
    </row>
    <row r="224" spans="1:14" x14ac:dyDescent="0.25">
      <c r="A224" s="123" t="s">
        <v>77</v>
      </c>
      <c r="B224" s="16" t="s">
        <v>135</v>
      </c>
      <c r="C224" s="7">
        <v>2573413662</v>
      </c>
      <c r="D224" s="7">
        <v>2014059600</v>
      </c>
      <c r="E224" s="7">
        <v>-92121740.75</v>
      </c>
      <c r="F224" s="7">
        <v>30200000</v>
      </c>
      <c r="G224" s="7">
        <v>784886139</v>
      </c>
      <c r="H224" s="7">
        <v>77202409.859999999</v>
      </c>
      <c r="I224" s="7">
        <v>-240812746.11000001</v>
      </c>
      <c r="J224" s="113">
        <f>SUMIFS(PGĐ!$H:$H,PGĐ!$F:$F, "="&amp;B224, PGĐ!$I:$I, "="&amp;'HQ1'!A224)</f>
        <v>200000</v>
      </c>
      <c r="K224" s="113"/>
      <c r="L224" s="78">
        <f t="shared" si="8"/>
        <v>0.76692269699024163</v>
      </c>
      <c r="M224" s="5">
        <f>SUMIFS(ĐMCP!$Q:$Q,ĐMCP!$P:$P, "="&amp;'HQ1'!B224,ĐMCP!$O:$O, "="&amp;'HQ1'!A224)</f>
        <v>784886139.28093505</v>
      </c>
      <c r="N224" s="89">
        <f t="shared" si="7"/>
        <v>-0.28093504905700684</v>
      </c>
    </row>
    <row r="225" spans="1:14" x14ac:dyDescent="0.25">
      <c r="A225" s="123" t="s">
        <v>77</v>
      </c>
      <c r="B225" s="16" t="s">
        <v>136</v>
      </c>
      <c r="C225" s="7">
        <v>14308600</v>
      </c>
      <c r="E225" s="7">
        <v>-568790</v>
      </c>
      <c r="G225" s="7">
        <v>7653124</v>
      </c>
      <c r="H225" s="7">
        <v>429258</v>
      </c>
      <c r="I225" s="7">
        <v>6795008</v>
      </c>
      <c r="J225" s="113">
        <f>SUMIFS(PGĐ!$H:$H,PGĐ!$F:$F, "="&amp;B225, PGĐ!$I:$I, "="&amp;'HQ1'!A225)</f>
        <v>0</v>
      </c>
      <c r="K225" s="113"/>
      <c r="L225" s="78">
        <f t="shared" si="8"/>
        <v>0</v>
      </c>
      <c r="M225" s="5">
        <f>SUMIFS(ĐMCP!$Q:$Q,ĐMCP!$P:$P, "="&amp;'HQ1'!B225,ĐMCP!$O:$O, "="&amp;'HQ1'!A225)</f>
        <v>7653124.3084897241</v>
      </c>
      <c r="N225" s="89">
        <f t="shared" si="7"/>
        <v>-0.30848972406238317</v>
      </c>
    </row>
    <row r="226" spans="1:14" x14ac:dyDescent="0.25">
      <c r="A226" s="123" t="s">
        <v>77</v>
      </c>
      <c r="B226" s="16" t="s">
        <v>137</v>
      </c>
      <c r="C226" s="7">
        <v>3890006822</v>
      </c>
      <c r="D226" s="7">
        <v>478943618</v>
      </c>
      <c r="E226" s="7">
        <v>41765988.25</v>
      </c>
      <c r="F226" s="7">
        <v>470403940</v>
      </c>
      <c r="G226" s="7">
        <v>1398251753</v>
      </c>
      <c r="H226" s="7">
        <v>116700204.66</v>
      </c>
      <c r="I226" s="7">
        <v>1383941318.0899999</v>
      </c>
      <c r="J226" s="113">
        <f>SUMIFS(PGĐ!$H:$H,PGĐ!$F:$F, "="&amp;B226, PGĐ!$I:$I, "="&amp;'HQ1'!A226)</f>
        <v>-11100000</v>
      </c>
      <c r="K226" s="113"/>
      <c r="L226" s="78">
        <f t="shared" si="8"/>
        <v>0.24669650341891106</v>
      </c>
      <c r="M226" s="5">
        <f>SUMIFS(ĐMCP!$Q:$Q,ĐMCP!$P:$P, "="&amp;'HQ1'!B226,ĐMCP!$O:$O, "="&amp;'HQ1'!A226)</f>
        <v>1398251753.115026</v>
      </c>
      <c r="N226" s="89">
        <f t="shared" si="7"/>
        <v>-0.11502599716186523</v>
      </c>
    </row>
    <row r="227" spans="1:14" x14ac:dyDescent="0.25">
      <c r="A227" s="123" t="s">
        <v>77</v>
      </c>
      <c r="B227" s="16" t="s">
        <v>138</v>
      </c>
      <c r="C227" s="7">
        <v>1041862160</v>
      </c>
      <c r="D227" s="7">
        <v>70243413</v>
      </c>
      <c r="E227" s="7">
        <v>203625957</v>
      </c>
      <c r="F227" s="7">
        <v>11358065</v>
      </c>
      <c r="G227" s="7">
        <v>461660867</v>
      </c>
      <c r="H227" s="7">
        <v>31255864.799999997</v>
      </c>
      <c r="I227" s="7">
        <v>263717993.19999999</v>
      </c>
      <c r="J227" s="113">
        <f>SUMIFS(PGĐ!$H:$H,PGĐ!$F:$F, "="&amp;B227, PGĐ!$I:$I, "="&amp;'HQ1'!A227)</f>
        <v>0</v>
      </c>
      <c r="K227" s="113"/>
      <c r="L227" s="78">
        <f t="shared" si="8"/>
        <v>9.7349026095452471E-2</v>
      </c>
      <c r="M227" s="5">
        <f>SUMIFS(ĐMCP!$Q:$Q,ĐMCP!$P:$P, "="&amp;'HQ1'!B227,ĐMCP!$O:$O, "="&amp;'HQ1'!A227)</f>
        <v>461660866.57016969</v>
      </c>
      <c r="N227" s="89">
        <f t="shared" si="7"/>
        <v>0.42983031272888184</v>
      </c>
    </row>
    <row r="228" spans="1:14" x14ac:dyDescent="0.25">
      <c r="A228" s="123" t="s">
        <v>68</v>
      </c>
      <c r="B228" s="15" t="s">
        <v>45</v>
      </c>
      <c r="C228" s="132">
        <v>6260133604</v>
      </c>
      <c r="D228" s="132">
        <v>3071877014</v>
      </c>
      <c r="E228" s="132">
        <v>131522316.5</v>
      </c>
      <c r="F228" s="132">
        <v>-44380550</v>
      </c>
      <c r="G228" s="132">
        <v>2224308797</v>
      </c>
      <c r="H228" s="132">
        <v>187804008.12</v>
      </c>
      <c r="I228" s="132">
        <v>689002018.38000011</v>
      </c>
      <c r="J228" s="113">
        <f>SUMIFS(PGĐ!$H:$H,PGĐ!$F:$F, "="&amp;B228, PGĐ!$I:$I, "="&amp;'HQ1'!A228)</f>
        <v>0</v>
      </c>
      <c r="K228" s="113"/>
      <c r="L228" s="78">
        <f t="shared" si="8"/>
        <v>0.49399387919656829</v>
      </c>
      <c r="M228" s="5">
        <f>SUMIFS(ĐMCP!$Q:$Q,ĐMCP!$P:$P, "="&amp;'HQ1'!B228,ĐMCP!$O:$O, "="&amp;'HQ1'!A228)</f>
        <v>0</v>
      </c>
      <c r="N228" s="89">
        <f t="shared" si="7"/>
        <v>0</v>
      </c>
    </row>
    <row r="229" spans="1:14" x14ac:dyDescent="0.25">
      <c r="A229" s="123" t="s">
        <v>68</v>
      </c>
      <c r="B229" s="16" t="s">
        <v>135</v>
      </c>
      <c r="C229" s="7">
        <v>678783192</v>
      </c>
      <c r="D229" s="7">
        <v>1436659667</v>
      </c>
      <c r="E229" s="7">
        <v>-84961370.75</v>
      </c>
      <c r="F229" s="7">
        <v>51641000</v>
      </c>
      <c r="G229" s="7">
        <v>321244786</v>
      </c>
      <c r="H229" s="7">
        <v>20363495.759999998</v>
      </c>
      <c r="I229" s="7">
        <v>-1066164386.01</v>
      </c>
      <c r="J229" s="113">
        <f>SUMIFS(PGĐ!$H:$H,PGĐ!$F:$F, "="&amp;B229, PGĐ!$I:$I, "="&amp;'HQ1'!A229)</f>
        <v>6282000</v>
      </c>
      <c r="K229" s="113"/>
      <c r="L229" s="78">
        <f t="shared" si="8"/>
        <v>1.94868905074899</v>
      </c>
      <c r="M229" s="5">
        <f>SUMIFS(ĐMCP!$Q:$Q,ĐMCP!$P:$P, "="&amp;'HQ1'!B229,ĐMCP!$O:$O, "="&amp;'HQ1'!A229)</f>
        <v>321244785.65999281</v>
      </c>
      <c r="N229" s="89">
        <f t="shared" si="7"/>
        <v>0.34000718593597412</v>
      </c>
    </row>
    <row r="230" spans="1:14" x14ac:dyDescent="0.25">
      <c r="A230" s="123" t="s">
        <v>68</v>
      </c>
      <c r="B230" s="16" t="s">
        <v>136</v>
      </c>
      <c r="C230" s="7">
        <v>31058400</v>
      </c>
      <c r="E230" s="7">
        <v>423930</v>
      </c>
      <c r="F230" s="7">
        <v>45543874</v>
      </c>
      <c r="G230" s="7">
        <v>15893987</v>
      </c>
      <c r="H230" s="7">
        <v>931752</v>
      </c>
      <c r="I230" s="7">
        <v>-31735143</v>
      </c>
      <c r="J230" s="113">
        <f>SUMIFS(PGĐ!$H:$H,PGĐ!$F:$F, "="&amp;B230, PGĐ!$I:$I, "="&amp;'HQ1'!A230)</f>
        <v>0</v>
      </c>
      <c r="K230" s="113"/>
      <c r="L230" s="78">
        <f t="shared" si="8"/>
        <v>1.4866871860358608</v>
      </c>
      <c r="M230" s="5">
        <f>SUMIFS(ĐMCP!$Q:$Q,ĐMCP!$P:$P, "="&amp;'HQ1'!B230,ĐMCP!$O:$O, "="&amp;'HQ1'!A230)</f>
        <v>15893986.663637105</v>
      </c>
      <c r="N230" s="89">
        <f t="shared" si="7"/>
        <v>0.33636289462447166</v>
      </c>
    </row>
    <row r="231" spans="1:14" x14ac:dyDescent="0.25">
      <c r="A231" s="123" t="s">
        <v>68</v>
      </c>
      <c r="B231" s="16" t="s">
        <v>137</v>
      </c>
      <c r="C231" s="7">
        <v>3765143806</v>
      </c>
      <c r="D231" s="7">
        <v>1293855827</v>
      </c>
      <c r="E231" s="7">
        <v>222422566.75</v>
      </c>
      <c r="F231" s="7">
        <v>-111043573</v>
      </c>
      <c r="G231" s="7">
        <v>1369279540</v>
      </c>
      <c r="H231" s="7">
        <v>112954314.17999999</v>
      </c>
      <c r="I231" s="7">
        <v>877675131.07000005</v>
      </c>
      <c r="J231" s="113">
        <f>SUMIFS(PGĐ!$H:$H,PGĐ!$F:$F, "="&amp;B231, PGĐ!$I:$I, "="&amp;'HQ1'!A231)</f>
        <v>14200000</v>
      </c>
      <c r="K231" s="113"/>
      <c r="L231" s="78">
        <f t="shared" si="8"/>
        <v>0.33387110475855653</v>
      </c>
      <c r="M231" s="5">
        <f>SUMIFS(ĐMCP!$Q:$Q,ĐMCP!$P:$P, "="&amp;'HQ1'!B231,ĐMCP!$O:$O, "="&amp;'HQ1'!A231)</f>
        <v>1369279539.8026934</v>
      </c>
      <c r="N231" s="89">
        <f t="shared" si="7"/>
        <v>0.19730663299560547</v>
      </c>
    </row>
    <row r="232" spans="1:14" x14ac:dyDescent="0.25">
      <c r="A232" s="123" t="s">
        <v>68</v>
      </c>
      <c r="B232" s="16" t="s">
        <v>138</v>
      </c>
      <c r="C232" s="7">
        <v>1785148206</v>
      </c>
      <c r="D232" s="7">
        <v>341361520</v>
      </c>
      <c r="E232" s="7">
        <v>-6362809.5</v>
      </c>
      <c r="F232" s="7">
        <v>-30521851</v>
      </c>
      <c r="G232" s="7">
        <v>517890484</v>
      </c>
      <c r="H232" s="7">
        <v>53554446.18</v>
      </c>
      <c r="I232" s="7">
        <v>909226416.32000005</v>
      </c>
      <c r="J232" s="113">
        <f>SUMIFS(PGĐ!$H:$H,PGĐ!$F:$F, "="&amp;B232, PGĐ!$I:$I, "="&amp;'HQ1'!A232)</f>
        <v>0</v>
      </c>
      <c r="K232" s="113"/>
      <c r="L232" s="78">
        <f t="shared" si="8"/>
        <v>0.17350698171021098</v>
      </c>
      <c r="M232" s="5">
        <f>SUMIFS(ĐMCP!$Q:$Q,ĐMCP!$P:$P, "="&amp;'HQ1'!B232,ĐMCP!$O:$O, "="&amp;'HQ1'!A232)</f>
        <v>517890484.1132471</v>
      </c>
      <c r="N232" s="89">
        <f t="shared" si="7"/>
        <v>-0.1132470965385437</v>
      </c>
    </row>
    <row r="233" spans="1:14" x14ac:dyDescent="0.25">
      <c r="A233" s="123" t="s">
        <v>84</v>
      </c>
      <c r="B233" s="15" t="s">
        <v>45</v>
      </c>
      <c r="C233" s="132">
        <v>25900712718</v>
      </c>
      <c r="D233" s="132">
        <v>9980614637</v>
      </c>
      <c r="E233" s="132">
        <v>-854603625.75</v>
      </c>
      <c r="F233" s="132">
        <v>-1059818278.5800009</v>
      </c>
      <c r="G233" s="132">
        <v>6332031132</v>
      </c>
      <c r="H233" s="132">
        <v>777021381.53999996</v>
      </c>
      <c r="I233" s="132">
        <v>10725467471.790001</v>
      </c>
      <c r="J233" s="113">
        <f>SUMIFS(PGĐ!$H:$H,PGĐ!$F:$F, "="&amp;B233, PGĐ!$I:$I, "="&amp;'HQ1'!A233)</f>
        <v>0</v>
      </c>
      <c r="K233" s="113"/>
      <c r="L233" s="78">
        <f t="shared" si="8"/>
        <v>0.3334214495469377</v>
      </c>
      <c r="M233" s="5">
        <f>SUMIFS(ĐMCP!$Q:$Q,ĐMCP!$P:$P, "="&amp;'HQ1'!B233,ĐMCP!$O:$O, "="&amp;'HQ1'!A233)</f>
        <v>0</v>
      </c>
      <c r="N233" s="89">
        <f t="shared" si="7"/>
        <v>0</v>
      </c>
    </row>
    <row r="234" spans="1:14" x14ac:dyDescent="0.25">
      <c r="A234" s="123" t="s">
        <v>84</v>
      </c>
      <c r="B234" s="16" t="s">
        <v>135</v>
      </c>
      <c r="C234" s="7">
        <v>836572303</v>
      </c>
      <c r="D234" s="7">
        <v>536512000</v>
      </c>
      <c r="E234" s="7">
        <v>-3980953.25</v>
      </c>
      <c r="F234" s="7">
        <v>-2393000</v>
      </c>
      <c r="G234" s="7">
        <v>263344561</v>
      </c>
      <c r="H234" s="7">
        <v>25097169.09</v>
      </c>
      <c r="I234" s="7">
        <v>17992526.16</v>
      </c>
      <c r="J234" s="113">
        <f>SUMIFS(PGĐ!$H:$H,PGĐ!$F:$F, "="&amp;B234, PGĐ!$I:$I, "="&amp;'HQ1'!A234)</f>
        <v>0</v>
      </c>
      <c r="K234" s="113"/>
      <c r="L234" s="78">
        <f t="shared" si="8"/>
        <v>0.63543742889402433</v>
      </c>
      <c r="M234" s="5">
        <f>SUMIFS(ĐMCP!$Q:$Q,ĐMCP!$P:$P, "="&amp;'HQ1'!B234,ĐMCP!$O:$O, "="&amp;'HQ1'!A234)</f>
        <v>263344561.36083722</v>
      </c>
      <c r="N234" s="89">
        <f t="shared" si="7"/>
        <v>-0.36083722114562988</v>
      </c>
    </row>
    <row r="235" spans="1:14" x14ac:dyDescent="0.25">
      <c r="A235" s="123" t="s">
        <v>84</v>
      </c>
      <c r="B235" s="16" t="s">
        <v>136</v>
      </c>
      <c r="C235" s="7">
        <v>924859750</v>
      </c>
      <c r="D235" s="7">
        <v>29701956</v>
      </c>
      <c r="E235" s="7">
        <v>-11099575.700000001</v>
      </c>
      <c r="F235" s="7">
        <v>-46985907</v>
      </c>
      <c r="G235" s="7">
        <v>467888541</v>
      </c>
      <c r="H235" s="7">
        <v>27745792.5</v>
      </c>
      <c r="I235" s="7">
        <v>457608943.20000005</v>
      </c>
      <c r="J235" s="113">
        <f>SUMIFS(PGĐ!$H:$H,PGĐ!$F:$F, "="&amp;B235, PGĐ!$I:$I, "="&amp;'HQ1'!A235)</f>
        <v>0</v>
      </c>
      <c r="K235" s="113"/>
      <c r="L235" s="78">
        <f t="shared" si="8"/>
        <v>-1.8466562088126432E-2</v>
      </c>
      <c r="M235" s="5">
        <f>SUMIFS(ĐMCP!$Q:$Q,ĐMCP!$P:$P, "="&amp;'HQ1'!B235,ĐMCP!$O:$O, "="&amp;'HQ1'!A235)</f>
        <v>467888540.93238837</v>
      </c>
      <c r="N235" s="89">
        <f t="shared" si="7"/>
        <v>6.7611634731292725E-2</v>
      </c>
    </row>
    <row r="236" spans="1:14" x14ac:dyDescent="0.25">
      <c r="A236" s="123" t="s">
        <v>84</v>
      </c>
      <c r="B236" s="16" t="s">
        <v>137</v>
      </c>
      <c r="C236" s="7">
        <v>15389413053</v>
      </c>
      <c r="D236" s="7">
        <v>5482772700</v>
      </c>
      <c r="E236" s="7">
        <v>-131370522.5</v>
      </c>
      <c r="F236" s="7">
        <v>-643136440.58000088</v>
      </c>
      <c r="G236" s="7">
        <v>3888175990</v>
      </c>
      <c r="H236" s="7">
        <v>461682391.58999997</v>
      </c>
      <c r="I236" s="7">
        <v>6331288934.4900017</v>
      </c>
      <c r="J236" s="113">
        <f>SUMIFS(PGĐ!$H:$H,PGĐ!$F:$F, "="&amp;B236, PGĐ!$I:$I, "="&amp;'HQ1'!A236)</f>
        <v>37000000</v>
      </c>
      <c r="K236" s="113"/>
      <c r="L236" s="78">
        <f t="shared" si="8"/>
        <v>0.31181649018413626</v>
      </c>
      <c r="M236" s="5">
        <f>SUMIFS(ĐMCP!$Q:$Q,ĐMCP!$P:$P, "="&amp;'HQ1'!B236,ĐMCP!$O:$O, "="&amp;'HQ1'!A236)</f>
        <v>3888175989.6217279</v>
      </c>
      <c r="N236" s="89">
        <f t="shared" si="7"/>
        <v>0.37827205657958984</v>
      </c>
    </row>
    <row r="237" spans="1:14" x14ac:dyDescent="0.25">
      <c r="A237" s="123" t="s">
        <v>84</v>
      </c>
      <c r="B237" s="16" t="s">
        <v>138</v>
      </c>
      <c r="C237" s="7">
        <v>8749867612</v>
      </c>
      <c r="D237" s="7">
        <v>3931627981</v>
      </c>
      <c r="E237" s="7">
        <v>-708152574.29999995</v>
      </c>
      <c r="F237" s="7">
        <v>-367302931</v>
      </c>
      <c r="G237" s="7">
        <v>1712622040</v>
      </c>
      <c r="H237" s="7">
        <v>262496028.35999998</v>
      </c>
      <c r="I237" s="7">
        <v>3918577067.9400001</v>
      </c>
      <c r="J237" s="113">
        <f>SUMIFS(PGĐ!$H:$H,PGĐ!$F:$F, "="&amp;B237, PGĐ!$I:$I, "="&amp;'HQ1'!A237)</f>
        <v>0</v>
      </c>
      <c r="K237" s="113"/>
      <c r="L237" s="78">
        <f t="shared" si="8"/>
        <v>0.37685741622363494</v>
      </c>
      <c r="M237" s="5">
        <f>SUMIFS(ĐMCP!$Q:$Q,ĐMCP!$P:$P, "="&amp;'HQ1'!B237,ĐMCP!$O:$O, "="&amp;'HQ1'!A237)</f>
        <v>1712622039.5111933</v>
      </c>
      <c r="N237" s="89">
        <f t="shared" si="7"/>
        <v>0.48880672454833984</v>
      </c>
    </row>
    <row r="238" spans="1:14" x14ac:dyDescent="0.25">
      <c r="A238" s="123" t="s">
        <v>52</v>
      </c>
      <c r="B238" s="15" t="s">
        <v>45</v>
      </c>
      <c r="C238" s="132">
        <v>17663917361</v>
      </c>
      <c r="D238" s="132">
        <v>8340586686</v>
      </c>
      <c r="E238" s="132">
        <v>176507835.89999998</v>
      </c>
      <c r="F238" s="132">
        <v>-1678028328.8900003</v>
      </c>
      <c r="G238" s="132">
        <v>5476142361</v>
      </c>
      <c r="H238" s="132">
        <v>529917520.82999998</v>
      </c>
      <c r="I238" s="132">
        <v>4818791286.1599998</v>
      </c>
      <c r="J238" s="113">
        <f>SUMIFS(PGĐ!$H:$H,PGĐ!$F:$F, "="&amp;B238, PGĐ!$I:$I, "="&amp;'HQ1'!A238)</f>
        <v>0</v>
      </c>
      <c r="K238" s="113"/>
      <c r="L238" s="78">
        <f t="shared" si="8"/>
        <v>0.38099172707925139</v>
      </c>
      <c r="M238" s="5">
        <f>SUMIFS(ĐMCP!$Q:$Q,ĐMCP!$P:$P, "="&amp;'HQ1'!B238,ĐMCP!$O:$O, "="&amp;'HQ1'!A238)</f>
        <v>0</v>
      </c>
      <c r="N238" s="89">
        <f t="shared" si="7"/>
        <v>0</v>
      </c>
    </row>
    <row r="239" spans="1:14" x14ac:dyDescent="0.25">
      <c r="A239" s="123" t="s">
        <v>52</v>
      </c>
      <c r="B239" s="16" t="s">
        <v>135</v>
      </c>
      <c r="C239" s="7">
        <v>1408884977</v>
      </c>
      <c r="D239" s="7">
        <v>270165248</v>
      </c>
      <c r="E239" s="7">
        <v>-34244221</v>
      </c>
      <c r="F239" s="7">
        <v>134084543.28999999</v>
      </c>
      <c r="G239" s="7">
        <v>651591487</v>
      </c>
      <c r="H239" s="7">
        <v>42266549.309999995</v>
      </c>
      <c r="I239" s="7">
        <v>345021370.40000004</v>
      </c>
      <c r="J239" s="113">
        <f>SUMIFS(PGĐ!$H:$H,PGĐ!$F:$F, "="&amp;B239, PGĐ!$I:$I, "="&amp;'HQ1'!A239)</f>
        <v>0</v>
      </c>
      <c r="K239" s="113"/>
      <c r="L239" s="78">
        <f t="shared" si="8"/>
        <v>0.28012030513292957</v>
      </c>
      <c r="M239" s="5">
        <f>SUMIFS(ĐMCP!$Q:$Q,ĐMCP!$P:$P, "="&amp;'HQ1'!B239,ĐMCP!$O:$O, "="&amp;'HQ1'!A239)</f>
        <v>651591486.87147784</v>
      </c>
      <c r="N239" s="89">
        <f t="shared" si="7"/>
        <v>0.12852215766906738</v>
      </c>
    </row>
    <row r="240" spans="1:14" x14ac:dyDescent="0.25">
      <c r="A240" s="123" t="s">
        <v>52</v>
      </c>
      <c r="B240" s="16" t="s">
        <v>136</v>
      </c>
      <c r="C240" s="7">
        <v>46713700</v>
      </c>
      <c r="E240" s="7">
        <v>-1287005.6000000001</v>
      </c>
      <c r="G240" s="7">
        <v>31811393</v>
      </c>
      <c r="H240" s="7">
        <v>1401411</v>
      </c>
      <c r="I240" s="7">
        <v>14787901.600000001</v>
      </c>
      <c r="J240" s="113">
        <f>SUMIFS(PGĐ!$H:$H,PGĐ!$F:$F, "="&amp;B240, PGĐ!$I:$I, "="&amp;'HQ1'!A240)</f>
        <v>0</v>
      </c>
      <c r="K240" s="113"/>
      <c r="L240" s="78">
        <f t="shared" si="8"/>
        <v>0</v>
      </c>
      <c r="M240" s="5">
        <f>SUMIFS(ĐMCP!$Q:$Q,ĐMCP!$P:$P, "="&amp;'HQ1'!B240,ĐMCP!$O:$O, "="&amp;'HQ1'!A240)</f>
        <v>31811393.085986838</v>
      </c>
      <c r="N240" s="89">
        <f t="shared" si="7"/>
        <v>-8.598683774471283E-2</v>
      </c>
    </row>
    <row r="241" spans="1:14" x14ac:dyDescent="0.25">
      <c r="A241" s="123" t="s">
        <v>52</v>
      </c>
      <c r="B241" s="16" t="s">
        <v>137</v>
      </c>
      <c r="C241" s="7">
        <v>12465458045</v>
      </c>
      <c r="D241" s="7">
        <v>5105541721</v>
      </c>
      <c r="E241" s="7">
        <v>486880909.5</v>
      </c>
      <c r="F241" s="7">
        <v>299494092.81999969</v>
      </c>
      <c r="G241" s="7">
        <v>3831246262</v>
      </c>
      <c r="H241" s="7">
        <v>373963741.34999996</v>
      </c>
      <c r="I241" s="7">
        <v>2368331318.3300004</v>
      </c>
      <c r="J241" s="113">
        <f>SUMIFS(PGĐ!$H:$H,PGĐ!$F:$F, "="&amp;B241, PGĐ!$I:$I, "="&amp;'HQ1'!A241)</f>
        <v>10876000</v>
      </c>
      <c r="K241" s="113"/>
      <c r="L241" s="78">
        <f t="shared" si="8"/>
        <v>0.45122519583745097</v>
      </c>
      <c r="M241" s="5">
        <f>SUMIFS(ĐMCP!$Q:$Q,ĐMCP!$P:$P, "="&amp;'HQ1'!B241,ĐMCP!$O:$O, "="&amp;'HQ1'!A241)</f>
        <v>3831246261.5729332</v>
      </c>
      <c r="N241" s="89">
        <f t="shared" si="7"/>
        <v>0.42706680297851563</v>
      </c>
    </row>
    <row r="242" spans="1:14" x14ac:dyDescent="0.25">
      <c r="A242" s="123" t="s">
        <v>52</v>
      </c>
      <c r="B242" s="16" t="s">
        <v>138</v>
      </c>
      <c r="C242" s="7">
        <v>3742860639</v>
      </c>
      <c r="D242" s="7">
        <v>2964879717</v>
      </c>
      <c r="E242" s="7">
        <v>-274841847</v>
      </c>
      <c r="F242" s="7">
        <v>-2111606965</v>
      </c>
      <c r="G242" s="7">
        <v>961493219</v>
      </c>
      <c r="H242" s="7">
        <v>112285819.17</v>
      </c>
      <c r="I242" s="7">
        <v>2090650695.8299999</v>
      </c>
      <c r="J242" s="113">
        <f>SUMIFS(PGĐ!$H:$H,PGĐ!$F:$F, "="&amp;B242, PGĐ!$I:$I, "="&amp;'HQ1'!A242)</f>
        <v>0</v>
      </c>
      <c r="K242" s="113"/>
      <c r="L242" s="78">
        <f t="shared" si="8"/>
        <v>0.21237828210856727</v>
      </c>
      <c r="M242" s="5">
        <f>SUMIFS(ĐMCP!$Q:$Q,ĐMCP!$P:$P, "="&amp;'HQ1'!B242,ĐMCP!$O:$O, "="&amp;'HQ1'!A242)</f>
        <v>961493219.29435134</v>
      </c>
      <c r="N242" s="89">
        <f t="shared" si="7"/>
        <v>-0.29435133934020996</v>
      </c>
    </row>
    <row r="243" spans="1:14" x14ac:dyDescent="0.25">
      <c r="A243" s="123" t="s">
        <v>93</v>
      </c>
      <c r="B243" s="15" t="s">
        <v>45</v>
      </c>
      <c r="C243" s="132">
        <v>4998265757</v>
      </c>
      <c r="D243" s="132">
        <v>2942623866</v>
      </c>
      <c r="E243" s="132">
        <v>64057800.75</v>
      </c>
      <c r="F243" s="132">
        <v>-493288500</v>
      </c>
      <c r="G243" s="132">
        <v>1708900720</v>
      </c>
      <c r="H243" s="132">
        <v>149947972.71000001</v>
      </c>
      <c r="I243" s="132">
        <v>626023897.53999996</v>
      </c>
      <c r="J243" s="113">
        <f>SUMIFS(PGĐ!$H:$H,PGĐ!$F:$F, "="&amp;B243, PGĐ!$I:$I, "="&amp;'HQ1'!A243)</f>
        <v>0</v>
      </c>
      <c r="K243" s="113"/>
      <c r="L243" s="78">
        <f t="shared" si="8"/>
        <v>0.49639889273363658</v>
      </c>
      <c r="M243" s="5">
        <f>SUMIFS(ĐMCP!$Q:$Q,ĐMCP!$P:$P, "="&amp;'HQ1'!B243,ĐMCP!$O:$O, "="&amp;'HQ1'!A243)</f>
        <v>0</v>
      </c>
      <c r="N243" s="89">
        <f t="shared" si="7"/>
        <v>0</v>
      </c>
    </row>
    <row r="244" spans="1:14" x14ac:dyDescent="0.25">
      <c r="A244" s="123" t="s">
        <v>93</v>
      </c>
      <c r="B244" s="16" t="s">
        <v>135</v>
      </c>
      <c r="C244" s="7">
        <v>3018435000</v>
      </c>
      <c r="D244" s="7">
        <v>1948746500</v>
      </c>
      <c r="E244" s="7">
        <v>-51856550</v>
      </c>
      <c r="G244" s="7">
        <v>923576604</v>
      </c>
      <c r="H244" s="7">
        <v>90553050</v>
      </c>
      <c r="I244" s="7">
        <v>107415396</v>
      </c>
      <c r="J244" s="113">
        <f>SUMIFS(PGĐ!$H:$H,PGĐ!$F:$F, "="&amp;B244, PGĐ!$I:$I, "="&amp;'HQ1'!A244)</f>
        <v>0</v>
      </c>
      <c r="K244" s="113"/>
      <c r="L244" s="78">
        <f t="shared" si="8"/>
        <v>0.63471057007599163</v>
      </c>
      <c r="M244" s="5">
        <f>SUMIFS(ĐMCP!$Q:$Q,ĐMCP!$P:$P, "="&amp;'HQ1'!B244,ĐMCP!$O:$O, "="&amp;'HQ1'!A244)</f>
        <v>923576604.43538964</v>
      </c>
      <c r="N244" s="89">
        <f t="shared" si="7"/>
        <v>-0.43538963794708252</v>
      </c>
    </row>
    <row r="245" spans="1:14" x14ac:dyDescent="0.25">
      <c r="A245" s="123" t="s">
        <v>93</v>
      </c>
      <c r="B245" s="16" t="s">
        <v>136</v>
      </c>
      <c r="C245" s="7">
        <v>19291300</v>
      </c>
      <c r="E245" s="7">
        <v>1238580</v>
      </c>
      <c r="G245" s="7">
        <v>10378237</v>
      </c>
      <c r="H245" s="7">
        <v>578739</v>
      </c>
      <c r="I245" s="7">
        <v>7095744</v>
      </c>
      <c r="J245" s="113">
        <f>SUMIFS(PGĐ!$H:$H,PGĐ!$F:$F, "="&amp;B245, PGĐ!$I:$I, "="&amp;'HQ1'!A245)</f>
        <v>0</v>
      </c>
      <c r="K245" s="113"/>
      <c r="L245" s="78">
        <f t="shared" si="8"/>
        <v>0</v>
      </c>
      <c r="M245" s="5">
        <f>SUMIFS(ĐMCP!$Q:$Q,ĐMCP!$P:$P, "="&amp;'HQ1'!B245,ĐMCP!$O:$O, "="&amp;'HQ1'!A245)</f>
        <v>10378237.400694774</v>
      </c>
      <c r="N245" s="89">
        <f t="shared" si="7"/>
        <v>-0.40069477446377277</v>
      </c>
    </row>
    <row r="246" spans="1:14" x14ac:dyDescent="0.25">
      <c r="A246" s="123" t="s">
        <v>93</v>
      </c>
      <c r="B246" s="16" t="s">
        <v>137</v>
      </c>
      <c r="C246" s="7">
        <v>1223475707</v>
      </c>
      <c r="D246" s="7">
        <v>829254747</v>
      </c>
      <c r="E246" s="7">
        <v>-10408548.25</v>
      </c>
      <c r="F246" s="7">
        <v>-504487492</v>
      </c>
      <c r="G246" s="7">
        <v>396663744</v>
      </c>
      <c r="H246" s="7">
        <v>36704271.210000001</v>
      </c>
      <c r="I246" s="7">
        <v>475748985.04000002</v>
      </c>
      <c r="J246" s="113">
        <f>SUMIFS(PGĐ!$H:$H,PGĐ!$F:$F, "="&amp;B246, PGĐ!$I:$I, "="&amp;'HQ1'!A246)</f>
        <v>-18400000</v>
      </c>
      <c r="K246" s="113"/>
      <c r="L246" s="78">
        <f t="shared" si="8"/>
        <v>0.26320722840749611</v>
      </c>
      <c r="M246" s="5">
        <f>SUMIFS(ĐMCP!$Q:$Q,ĐMCP!$P:$P, "="&amp;'HQ1'!B246,ĐMCP!$O:$O, "="&amp;'HQ1'!A246)</f>
        <v>396663743.98002094</v>
      </c>
      <c r="N246" s="89">
        <f t="shared" si="7"/>
        <v>1.997905969619751E-2</v>
      </c>
    </row>
    <row r="247" spans="1:14" x14ac:dyDescent="0.25">
      <c r="A247" s="123" t="s">
        <v>93</v>
      </c>
      <c r="B247" s="16" t="s">
        <v>138</v>
      </c>
      <c r="C247" s="7">
        <v>737063750</v>
      </c>
      <c r="D247" s="7">
        <v>164622619</v>
      </c>
      <c r="E247" s="7">
        <v>125084319</v>
      </c>
      <c r="F247" s="7">
        <v>11198992</v>
      </c>
      <c r="G247" s="7">
        <v>378282135</v>
      </c>
      <c r="H247" s="7">
        <v>22111912.5</v>
      </c>
      <c r="I247" s="7">
        <v>35763772.5</v>
      </c>
      <c r="J247" s="113">
        <f>SUMIFS(PGĐ!$H:$H,PGĐ!$F:$F, "="&amp;B247, PGĐ!$I:$I, "="&amp;'HQ1'!A247)</f>
        <v>0</v>
      </c>
      <c r="K247" s="113"/>
      <c r="L247" s="78">
        <f t="shared" si="8"/>
        <v>0.28729987005069785</v>
      </c>
      <c r="M247" s="5">
        <f>SUMIFS(ĐMCP!$Q:$Q,ĐMCP!$P:$P, "="&amp;'HQ1'!B247,ĐMCP!$O:$O, "="&amp;'HQ1'!A247)</f>
        <v>378282134.7262882</v>
      </c>
      <c r="N247" s="89">
        <f t="shared" si="7"/>
        <v>0.27371180057525635</v>
      </c>
    </row>
    <row r="248" spans="1:14" x14ac:dyDescent="0.25">
      <c r="A248" s="123" t="s">
        <v>70</v>
      </c>
      <c r="B248" s="15" t="s">
        <v>45</v>
      </c>
      <c r="C248" s="132">
        <v>31979609868</v>
      </c>
      <c r="D248" s="132">
        <v>17035679855</v>
      </c>
      <c r="E248" s="132">
        <v>537312700.25</v>
      </c>
      <c r="F248" s="132">
        <v>1375929872</v>
      </c>
      <c r="G248" s="132">
        <v>9141698733</v>
      </c>
      <c r="H248" s="132">
        <v>959388296.03999996</v>
      </c>
      <c r="I248" s="132">
        <v>2929600411.71</v>
      </c>
      <c r="J248" s="113">
        <f>SUMIFS(PGĐ!$H:$H,PGĐ!$F:$F, "="&amp;B248, PGĐ!$I:$I, "="&amp;'HQ1'!A248)</f>
        <v>0</v>
      </c>
      <c r="K248" s="113"/>
      <c r="L248" s="78">
        <f t="shared" si="8"/>
        <v>0.58556821178716467</v>
      </c>
      <c r="M248" s="5">
        <f>SUMIFS(ĐMCP!$Q:$Q,ĐMCP!$P:$P, "="&amp;'HQ1'!B248,ĐMCP!$O:$O, "="&amp;'HQ1'!A248)</f>
        <v>0</v>
      </c>
      <c r="N248" s="89">
        <f t="shared" si="7"/>
        <v>0</v>
      </c>
    </row>
    <row r="249" spans="1:14" x14ac:dyDescent="0.25">
      <c r="A249" s="123" t="s">
        <v>70</v>
      </c>
      <c r="B249" s="16" t="s">
        <v>135</v>
      </c>
      <c r="C249" s="7">
        <v>20392034200</v>
      </c>
      <c r="D249" s="7">
        <v>12577349262</v>
      </c>
      <c r="E249" s="7">
        <v>-242224417.75</v>
      </c>
      <c r="F249" s="7">
        <v>-146957500</v>
      </c>
      <c r="G249" s="7">
        <v>5276757920</v>
      </c>
      <c r="H249" s="7">
        <v>611761026</v>
      </c>
      <c r="I249" s="7">
        <v>2315347909.75</v>
      </c>
      <c r="J249" s="113">
        <f>SUMIFS(PGĐ!$H:$H,PGĐ!$F:$F, "="&amp;B249, PGĐ!$I:$I, "="&amp;'HQ1'!A249)</f>
        <v>21333000</v>
      </c>
      <c r="K249" s="113"/>
      <c r="L249" s="78">
        <f t="shared" si="8"/>
        <v>0.60241523537497632</v>
      </c>
      <c r="M249" s="5">
        <f>SUMIFS(ĐMCP!$Q:$Q,ĐMCP!$P:$P, "="&amp;'HQ1'!B249,ĐMCP!$O:$O, "="&amp;'HQ1'!A249)</f>
        <v>5276757919.9295168</v>
      </c>
      <c r="N249" s="89">
        <f t="shared" si="7"/>
        <v>7.0483207702636719E-2</v>
      </c>
    </row>
    <row r="250" spans="1:14" x14ac:dyDescent="0.25">
      <c r="A250" s="123" t="s">
        <v>70</v>
      </c>
      <c r="B250" s="16" t="s">
        <v>136</v>
      </c>
      <c r="C250" s="7">
        <v>185461000</v>
      </c>
      <c r="E250" s="7">
        <v>15950</v>
      </c>
      <c r="G250" s="7">
        <v>88879606</v>
      </c>
      <c r="H250" s="7">
        <v>5563830</v>
      </c>
      <c r="I250" s="7">
        <v>91001614</v>
      </c>
      <c r="J250" s="113">
        <f>SUMIFS(PGĐ!$H:$H,PGĐ!$F:$F, "="&amp;B250, PGĐ!$I:$I, "="&amp;'HQ1'!A250)</f>
        <v>0</v>
      </c>
      <c r="K250" s="113"/>
      <c r="L250" s="78">
        <f t="shared" si="8"/>
        <v>0</v>
      </c>
      <c r="M250" s="5">
        <f>SUMIFS(ĐMCP!$Q:$Q,ĐMCP!$P:$P, "="&amp;'HQ1'!B250,ĐMCP!$O:$O, "="&amp;'HQ1'!A250)</f>
        <v>88879606.012552455</v>
      </c>
      <c r="N250" s="89">
        <f t="shared" si="7"/>
        <v>-1.2552455067634583E-2</v>
      </c>
    </row>
    <row r="251" spans="1:14" x14ac:dyDescent="0.25">
      <c r="A251" s="123" t="s">
        <v>70</v>
      </c>
      <c r="B251" s="16" t="s">
        <v>137</v>
      </c>
      <c r="C251" s="7">
        <v>10854261928</v>
      </c>
      <c r="D251" s="7">
        <v>4363270171</v>
      </c>
      <c r="E251" s="7">
        <v>704366147.5</v>
      </c>
      <c r="F251" s="7">
        <v>1535315030</v>
      </c>
      <c r="G251" s="7">
        <v>3539885468</v>
      </c>
      <c r="H251" s="7">
        <v>325627857.83999997</v>
      </c>
      <c r="I251" s="7">
        <v>385797253.66000003</v>
      </c>
      <c r="J251" s="113">
        <f>SUMIFS(PGĐ!$H:$H,PGĐ!$F:$F, "="&amp;B251, PGĐ!$I:$I, "="&amp;'HQ1'!A251)</f>
        <v>71673074</v>
      </c>
      <c r="K251" s="113"/>
      <c r="L251" s="78">
        <f t="shared" si="8"/>
        <v>0.58114736629437846</v>
      </c>
      <c r="M251" s="5">
        <f>SUMIFS(ĐMCP!$Q:$Q,ĐMCP!$P:$P, "="&amp;'HQ1'!B251,ĐMCP!$O:$O, "="&amp;'HQ1'!A251)</f>
        <v>3539885467.6738982</v>
      </c>
      <c r="N251" s="89">
        <f t="shared" si="7"/>
        <v>0.32610177993774414</v>
      </c>
    </row>
    <row r="252" spans="1:14" x14ac:dyDescent="0.25">
      <c r="A252" s="123" t="s">
        <v>70</v>
      </c>
      <c r="B252" s="16" t="s">
        <v>138</v>
      </c>
      <c r="C252" s="7">
        <v>547852740</v>
      </c>
      <c r="D252" s="7">
        <v>95060422</v>
      </c>
      <c r="E252" s="7">
        <v>75155020.5</v>
      </c>
      <c r="F252" s="7">
        <v>-12427658</v>
      </c>
      <c r="G252" s="7">
        <v>236175739</v>
      </c>
      <c r="H252" s="7">
        <v>16435582.199999999</v>
      </c>
      <c r="I252" s="7">
        <v>137453634.30000001</v>
      </c>
      <c r="J252" s="113">
        <f>SUMIFS(PGĐ!$H:$H,PGĐ!$F:$F, "="&amp;B252, PGĐ!$I:$I, "="&amp;'HQ1'!A252)</f>
        <v>0</v>
      </c>
      <c r="K252" s="113"/>
      <c r="L252" s="78">
        <f t="shared" si="8"/>
        <v>0.17481100625449494</v>
      </c>
      <c r="M252" s="5">
        <f>SUMIFS(ĐMCP!$Q:$Q,ĐMCP!$P:$P, "="&amp;'HQ1'!B252,ĐMCP!$O:$O, "="&amp;'HQ1'!A252)</f>
        <v>236175739.40714878</v>
      </c>
      <c r="N252" s="89">
        <f t="shared" si="7"/>
        <v>-0.40714877843856812</v>
      </c>
    </row>
    <row r="253" spans="1:14" x14ac:dyDescent="0.25">
      <c r="A253" s="123" t="s">
        <v>94</v>
      </c>
      <c r="B253" s="15" t="s">
        <v>45</v>
      </c>
      <c r="C253" s="132">
        <v>4840612225</v>
      </c>
      <c r="D253" s="132">
        <v>3300894096</v>
      </c>
      <c r="E253" s="132">
        <v>-20403909.200000003</v>
      </c>
      <c r="F253" s="132">
        <v>411814003</v>
      </c>
      <c r="G253" s="132">
        <v>1732558466</v>
      </c>
      <c r="H253" s="132">
        <v>145218366.75</v>
      </c>
      <c r="I253" s="132">
        <v>-729468797.54999983</v>
      </c>
      <c r="J253" s="113">
        <f>SUMIFS(PGĐ!$H:$H,PGĐ!$F:$F, "="&amp;B253, PGĐ!$I:$I, "="&amp;'HQ1'!A253)</f>
        <v>0</v>
      </c>
      <c r="K253" s="113"/>
      <c r="L253" s="78">
        <f t="shared" si="8"/>
        <v>0.76377201731115374</v>
      </c>
      <c r="M253" s="5">
        <f>SUMIFS(ĐMCP!$Q:$Q,ĐMCP!$P:$P, "="&amp;'HQ1'!B253,ĐMCP!$O:$O, "="&amp;'HQ1'!A253)</f>
        <v>0</v>
      </c>
      <c r="N253" s="89">
        <f t="shared" si="7"/>
        <v>0</v>
      </c>
    </row>
    <row r="254" spans="1:14" x14ac:dyDescent="0.25">
      <c r="A254" s="123" t="s">
        <v>94</v>
      </c>
      <c r="B254" s="16" t="s">
        <v>135</v>
      </c>
      <c r="C254" s="7">
        <v>2399088220</v>
      </c>
      <c r="D254" s="7">
        <v>2674415500</v>
      </c>
      <c r="E254" s="7">
        <v>-6046295</v>
      </c>
      <c r="F254" s="7">
        <v>-2000000</v>
      </c>
      <c r="G254" s="7">
        <v>766729193</v>
      </c>
      <c r="H254" s="7">
        <v>71972646.599999994</v>
      </c>
      <c r="I254" s="7">
        <v>-1105982824.5999999</v>
      </c>
      <c r="J254" s="113">
        <f>SUMIFS(PGĐ!$H:$H,PGĐ!$F:$F, "="&amp;B254, PGĐ!$I:$I, "="&amp;'HQ1'!A254)</f>
        <v>0</v>
      </c>
      <c r="K254" s="113"/>
      <c r="L254" s="78">
        <f t="shared" si="8"/>
        <v>1.1111293290803737</v>
      </c>
      <c r="M254" s="5">
        <f>SUMIFS(ĐMCP!$Q:$Q,ĐMCP!$P:$P, "="&amp;'HQ1'!B254,ĐMCP!$O:$O, "="&amp;'HQ1'!A254)</f>
        <v>766729193.07983494</v>
      </c>
      <c r="N254" s="89">
        <f t="shared" si="7"/>
        <v>-7.9834938049316406E-2</v>
      </c>
    </row>
    <row r="255" spans="1:14" x14ac:dyDescent="0.25">
      <c r="A255" s="123" t="s">
        <v>94</v>
      </c>
      <c r="B255" s="16" t="s">
        <v>136</v>
      </c>
      <c r="C255" s="7">
        <v>7485240</v>
      </c>
      <c r="E255" s="7">
        <v>373524</v>
      </c>
      <c r="G255" s="7">
        <v>37552926</v>
      </c>
      <c r="H255" s="7">
        <v>224557.19999999998</v>
      </c>
      <c r="I255" s="7">
        <v>-30665767.199999999</v>
      </c>
      <c r="J255" s="113">
        <f>SUMIFS(PGĐ!$H:$H,PGĐ!$F:$F, "="&amp;B255, PGĐ!$I:$I, "="&amp;'HQ1'!A255)</f>
        <v>0</v>
      </c>
      <c r="K255" s="113"/>
      <c r="L255" s="78">
        <f t="shared" si="8"/>
        <v>0</v>
      </c>
      <c r="M255" s="5">
        <f>SUMIFS(ĐMCP!$Q:$Q,ĐMCP!$P:$P, "="&amp;'HQ1'!B255,ĐMCP!$O:$O, "="&amp;'HQ1'!A255)</f>
        <v>37552926.414039358</v>
      </c>
      <c r="N255" s="89">
        <f t="shared" si="7"/>
        <v>-0.41403935849666595</v>
      </c>
    </row>
    <row r="256" spans="1:14" x14ac:dyDescent="0.25">
      <c r="A256" s="123" t="s">
        <v>94</v>
      </c>
      <c r="B256" s="16" t="s">
        <v>137</v>
      </c>
      <c r="C256" s="7">
        <v>1983067029</v>
      </c>
      <c r="D256" s="7">
        <v>508713643</v>
      </c>
      <c r="E256" s="7">
        <v>-58752363</v>
      </c>
      <c r="F256" s="7">
        <v>400083264</v>
      </c>
      <c r="G256" s="7">
        <v>723007559</v>
      </c>
      <c r="H256" s="7">
        <v>59492010.869999997</v>
      </c>
      <c r="I256" s="7">
        <v>350522915.13</v>
      </c>
      <c r="J256" s="113">
        <f>SUMIFS(PGĐ!$H:$H,PGĐ!$F:$F, "="&amp;B256, PGĐ!$I:$I, "="&amp;'HQ1'!A256)</f>
        <v>-6100000</v>
      </c>
      <c r="K256" s="113"/>
      <c r="L256" s="78">
        <f t="shared" si="8"/>
        <v>0.4450917209233754</v>
      </c>
      <c r="M256" s="5">
        <f>SUMIFS(ĐMCP!$Q:$Q,ĐMCP!$P:$P, "="&amp;'HQ1'!B256,ĐMCP!$O:$O, "="&amp;'HQ1'!A256)</f>
        <v>723007558.63222051</v>
      </c>
      <c r="N256" s="89">
        <f t="shared" si="7"/>
        <v>0.36777949333190918</v>
      </c>
    </row>
    <row r="257" spans="1:14" x14ac:dyDescent="0.25">
      <c r="A257" s="123" t="s">
        <v>94</v>
      </c>
      <c r="B257" s="16" t="s">
        <v>138</v>
      </c>
      <c r="C257" s="7">
        <v>450971736</v>
      </c>
      <c r="D257" s="7">
        <v>117764953</v>
      </c>
      <c r="E257" s="7">
        <v>44021224.799999997</v>
      </c>
      <c r="F257" s="7">
        <v>13730739</v>
      </c>
      <c r="G257" s="7">
        <v>205268788</v>
      </c>
      <c r="H257" s="7">
        <v>13529152.08</v>
      </c>
      <c r="I257" s="7">
        <v>56656879.11999999</v>
      </c>
      <c r="J257" s="113">
        <f>SUMIFS(PGĐ!$H:$H,PGĐ!$F:$F, "="&amp;B257, PGĐ!$I:$I, "="&amp;'HQ1'!A257)</f>
        <v>0</v>
      </c>
      <c r="K257" s="113"/>
      <c r="L257" s="78">
        <f t="shared" si="8"/>
        <v>0.32312452836648509</v>
      </c>
      <c r="M257" s="5">
        <f>SUMIFS(ĐMCP!$Q:$Q,ĐMCP!$P:$P, "="&amp;'HQ1'!B257,ĐMCP!$O:$O, "="&amp;'HQ1'!A257)</f>
        <v>205268788.20688063</v>
      </c>
      <c r="N257" s="89">
        <f t="shared" si="7"/>
        <v>-0.20688062906265259</v>
      </c>
    </row>
    <row r="258" spans="1:14" x14ac:dyDescent="0.25">
      <c r="A258" s="123" t="s">
        <v>89</v>
      </c>
      <c r="B258" s="15" t="s">
        <v>45</v>
      </c>
      <c r="C258" s="132">
        <v>6619063447</v>
      </c>
      <c r="D258" s="132">
        <v>3414344194</v>
      </c>
      <c r="E258" s="132">
        <v>30938514.25</v>
      </c>
      <c r="F258" s="132">
        <v>-505076885</v>
      </c>
      <c r="G258" s="132">
        <v>2083843282</v>
      </c>
      <c r="H258" s="132">
        <v>198571903.41</v>
      </c>
      <c r="I258" s="132">
        <v>1396442438.3400002</v>
      </c>
      <c r="J258" s="113">
        <f>SUMIFS(PGĐ!$H:$H,PGĐ!$F:$F, "="&amp;B258, PGĐ!$I:$I, "="&amp;'HQ1'!A258)</f>
        <v>0</v>
      </c>
      <c r="K258" s="113"/>
      <c r="L258" s="78">
        <f t="shared" si="8"/>
        <v>0.44159261378572862</v>
      </c>
      <c r="M258" s="5">
        <f>SUMIFS(ĐMCP!$Q:$Q,ĐMCP!$P:$P, "="&amp;'HQ1'!B258,ĐMCP!$O:$O, "="&amp;'HQ1'!A258)</f>
        <v>0</v>
      </c>
      <c r="N258" s="89">
        <f t="shared" si="7"/>
        <v>0</v>
      </c>
    </row>
    <row r="259" spans="1:14" x14ac:dyDescent="0.25">
      <c r="A259" s="123" t="s">
        <v>89</v>
      </c>
      <c r="B259" s="16" t="s">
        <v>135</v>
      </c>
      <c r="C259" s="7">
        <v>4731867550</v>
      </c>
      <c r="D259" s="7">
        <v>2464704115</v>
      </c>
      <c r="E259" s="7">
        <v>-8256356</v>
      </c>
      <c r="F259" s="7">
        <v>-202220000</v>
      </c>
      <c r="G259" s="7">
        <v>1410428105</v>
      </c>
      <c r="H259" s="7">
        <v>141956026.5</v>
      </c>
      <c r="I259" s="7">
        <v>925255659.5</v>
      </c>
      <c r="J259" s="113">
        <f>SUMIFS(PGĐ!$H:$H,PGĐ!$F:$F, "="&amp;B259, PGĐ!$I:$I, "="&amp;'HQ1'!A259)</f>
        <v>690000</v>
      </c>
      <c r="K259" s="113"/>
      <c r="L259" s="78">
        <f t="shared" si="8"/>
        <v>0.47730484684929247</v>
      </c>
      <c r="M259" s="5">
        <f>SUMIFS(ĐMCP!$Q:$Q,ĐMCP!$P:$P, "="&amp;'HQ1'!B259,ĐMCP!$O:$O, "="&amp;'HQ1'!A259)</f>
        <v>1410428104.5898051</v>
      </c>
      <c r="N259" s="89">
        <f t="shared" ref="N259:N322" si="9">IF(M259=0,0,G259-M259)</f>
        <v>0.41019487380981445</v>
      </c>
    </row>
    <row r="260" spans="1:14" x14ac:dyDescent="0.25">
      <c r="A260" s="123" t="s">
        <v>89</v>
      </c>
      <c r="B260" s="16" t="s">
        <v>136</v>
      </c>
      <c r="C260" s="7">
        <v>24546750</v>
      </c>
      <c r="E260" s="7">
        <v>1793175</v>
      </c>
      <c r="G260" s="7">
        <v>12851294</v>
      </c>
      <c r="H260" s="7">
        <v>736402.5</v>
      </c>
      <c r="I260" s="7">
        <v>9165878.5</v>
      </c>
      <c r="J260" s="113">
        <f>SUMIFS(PGĐ!$H:$H,PGĐ!$F:$F, "="&amp;B260, PGĐ!$I:$I, "="&amp;'HQ1'!A260)</f>
        <v>0</v>
      </c>
      <c r="K260" s="113"/>
      <c r="L260" s="78">
        <f t="shared" ref="L260:L323" si="10">(D260+F260)/(C260-E260)</f>
        <v>0</v>
      </c>
      <c r="M260" s="5">
        <f>SUMIFS(ĐMCP!$Q:$Q,ĐMCP!$P:$P, "="&amp;'HQ1'!B260,ĐMCP!$O:$O, "="&amp;'HQ1'!A260)</f>
        <v>12851294.176442757</v>
      </c>
      <c r="N260" s="89">
        <f t="shared" si="9"/>
        <v>-0.17644275724887848</v>
      </c>
    </row>
    <row r="261" spans="1:14" x14ac:dyDescent="0.25">
      <c r="A261" s="123" t="s">
        <v>89</v>
      </c>
      <c r="B261" s="16" t="s">
        <v>137</v>
      </c>
      <c r="C261" s="7">
        <v>1568363472</v>
      </c>
      <c r="D261" s="7">
        <v>723443730</v>
      </c>
      <c r="E261" s="7">
        <v>-7536936.75</v>
      </c>
      <c r="F261" s="7">
        <v>-223846643</v>
      </c>
      <c r="G261" s="7">
        <v>555962611</v>
      </c>
      <c r="H261" s="7">
        <v>47050904.159999996</v>
      </c>
      <c r="I261" s="7">
        <v>473289806.59000003</v>
      </c>
      <c r="J261" s="113">
        <f>SUMIFS(PGĐ!$H:$H,PGĐ!$F:$F, "="&amp;B261, PGĐ!$I:$I, "="&amp;'HQ1'!A261)</f>
        <v>5000000</v>
      </c>
      <c r="K261" s="113"/>
      <c r="L261" s="78">
        <f t="shared" si="10"/>
        <v>0.31702326125816482</v>
      </c>
      <c r="M261" s="5">
        <f>SUMIFS(ĐMCP!$Q:$Q,ĐMCP!$P:$P, "="&amp;'HQ1'!B261,ĐMCP!$O:$O, "="&amp;'HQ1'!A261)</f>
        <v>555962611.45329487</v>
      </c>
      <c r="N261" s="89">
        <f t="shared" si="9"/>
        <v>-0.45329487323760986</v>
      </c>
    </row>
    <row r="262" spans="1:14" x14ac:dyDescent="0.25">
      <c r="A262" s="123" t="s">
        <v>89</v>
      </c>
      <c r="B262" s="16" t="s">
        <v>138</v>
      </c>
      <c r="C262" s="7">
        <v>294285675</v>
      </c>
      <c r="D262" s="7">
        <v>226196349</v>
      </c>
      <c r="E262" s="7">
        <v>44938632</v>
      </c>
      <c r="F262" s="7">
        <v>-79010242</v>
      </c>
      <c r="G262" s="7">
        <v>104601272</v>
      </c>
      <c r="H262" s="7">
        <v>8828570.25</v>
      </c>
      <c r="I262" s="7">
        <v>-11268906.25</v>
      </c>
      <c r="J262" s="113">
        <f>SUMIFS(PGĐ!$H:$H,PGĐ!$F:$F, "="&amp;B262, PGĐ!$I:$I, "="&amp;'HQ1'!A262)</f>
        <v>0</v>
      </c>
      <c r="K262" s="113"/>
      <c r="L262" s="78">
        <f t="shared" si="10"/>
        <v>0.59028615390478079</v>
      </c>
      <c r="M262" s="5">
        <f>SUMIFS(ĐMCP!$Q:$Q,ĐMCP!$P:$P, "="&amp;'HQ1'!B262,ĐMCP!$O:$O, "="&amp;'HQ1'!A262)</f>
        <v>104601272.47213078</v>
      </c>
      <c r="N262" s="89">
        <f t="shared" si="9"/>
        <v>-0.47213077545166016</v>
      </c>
    </row>
    <row r="263" spans="1:14" x14ac:dyDescent="0.25">
      <c r="A263" s="123" t="s">
        <v>63</v>
      </c>
      <c r="B263" s="15" t="s">
        <v>45</v>
      </c>
      <c r="C263" s="132">
        <v>29763446452</v>
      </c>
      <c r="D263" s="132">
        <v>12774229577</v>
      </c>
      <c r="E263" s="132">
        <v>1771979999.9000001</v>
      </c>
      <c r="F263" s="132">
        <v>-770152996</v>
      </c>
      <c r="G263" s="132">
        <v>9692739267</v>
      </c>
      <c r="H263" s="132">
        <v>892903393.55999994</v>
      </c>
      <c r="I263" s="132">
        <v>5401747210.54</v>
      </c>
      <c r="J263" s="113">
        <f>SUMIFS(PGĐ!$H:$H,PGĐ!$F:$F, "="&amp;B263, PGĐ!$I:$I, "="&amp;'HQ1'!A263)</f>
        <v>0</v>
      </c>
      <c r="K263" s="113"/>
      <c r="L263" s="78">
        <f t="shared" si="10"/>
        <v>0.42884772048444858</v>
      </c>
      <c r="M263" s="5">
        <f>SUMIFS(ĐMCP!$Q:$Q,ĐMCP!$P:$P, "="&amp;'HQ1'!B263,ĐMCP!$O:$O, "="&amp;'HQ1'!A263)</f>
        <v>0</v>
      </c>
      <c r="N263" s="89">
        <f t="shared" si="9"/>
        <v>0</v>
      </c>
    </row>
    <row r="264" spans="1:14" x14ac:dyDescent="0.25">
      <c r="A264" s="123" t="s">
        <v>63</v>
      </c>
      <c r="B264" s="16" t="s">
        <v>135</v>
      </c>
      <c r="C264" s="7">
        <v>362034463</v>
      </c>
      <c r="D264" s="7">
        <v>57807460</v>
      </c>
      <c r="E264" s="7">
        <v>-310521607.5</v>
      </c>
      <c r="F264" s="7">
        <v>-3034670</v>
      </c>
      <c r="G264" s="7">
        <v>163593725</v>
      </c>
      <c r="H264" s="7">
        <v>10861033.889999999</v>
      </c>
      <c r="I264" s="7">
        <v>443328521.61000001</v>
      </c>
      <c r="J264" s="113">
        <f>SUMIFS(PGĐ!$H:$H,PGĐ!$F:$F, "="&amp;B264, PGĐ!$I:$I, "="&amp;'HQ1'!A264)</f>
        <v>0</v>
      </c>
      <c r="K264" s="113"/>
      <c r="L264" s="78">
        <f t="shared" si="10"/>
        <v>8.1439737744512714E-2</v>
      </c>
      <c r="M264" s="5">
        <f>SUMIFS(ĐMCP!$Q:$Q,ĐMCP!$P:$P, "="&amp;'HQ1'!B264,ĐMCP!$O:$O, "="&amp;'HQ1'!A264)</f>
        <v>163593724.95277458</v>
      </c>
      <c r="N264" s="89">
        <f t="shared" si="9"/>
        <v>4.7225415706634521E-2</v>
      </c>
    </row>
    <row r="265" spans="1:14" x14ac:dyDescent="0.25">
      <c r="A265" s="123" t="s">
        <v>63</v>
      </c>
      <c r="B265" s="16" t="s">
        <v>136</v>
      </c>
      <c r="C265" s="7">
        <v>228607220</v>
      </c>
      <c r="D265" s="7">
        <v>11482276</v>
      </c>
      <c r="E265" s="7">
        <v>-440566994</v>
      </c>
      <c r="F265" s="7">
        <v>-4011705</v>
      </c>
      <c r="G265" s="7">
        <v>244797665</v>
      </c>
      <c r="H265" s="7">
        <v>6858216.5999999996</v>
      </c>
      <c r="I265" s="7">
        <v>410047761.39999998</v>
      </c>
      <c r="J265" s="113">
        <f>SUMIFS(PGĐ!$H:$H,PGĐ!$F:$F, "="&amp;B265, PGĐ!$I:$I, "="&amp;'HQ1'!A265)</f>
        <v>0</v>
      </c>
      <c r="K265" s="113"/>
      <c r="L265" s="78">
        <f t="shared" si="10"/>
        <v>1.1163865617810551E-2</v>
      </c>
      <c r="M265" s="5">
        <f>SUMIFS(ĐMCP!$Q:$Q,ĐMCP!$P:$P, "="&amp;'HQ1'!B265,ĐMCP!$O:$O, "="&amp;'HQ1'!A265)</f>
        <v>244797664.74509507</v>
      </c>
      <c r="N265" s="89">
        <f t="shared" si="9"/>
        <v>0.25490492582321167</v>
      </c>
    </row>
    <row r="266" spans="1:14" x14ac:dyDescent="0.25">
      <c r="A266" s="123" t="s">
        <v>63</v>
      </c>
      <c r="B266" s="16" t="s">
        <v>137</v>
      </c>
      <c r="C266" s="7">
        <v>18833822420</v>
      </c>
      <c r="D266" s="7">
        <v>9498565722</v>
      </c>
      <c r="E266" s="7">
        <v>1610940181</v>
      </c>
      <c r="F266" s="7">
        <v>-593976696</v>
      </c>
      <c r="G266" s="7">
        <v>6988386983</v>
      </c>
      <c r="H266" s="7">
        <v>565014672.60000002</v>
      </c>
      <c r="I266" s="7">
        <v>764891557.39999998</v>
      </c>
      <c r="J266" s="113">
        <f>SUMIFS(PGĐ!$H:$H,PGĐ!$F:$F, "="&amp;B266, PGĐ!$I:$I, "="&amp;'HQ1'!A266)</f>
        <v>73800000</v>
      </c>
      <c r="K266" s="113"/>
      <c r="L266" s="78">
        <f t="shared" si="10"/>
        <v>0.51702083904610274</v>
      </c>
      <c r="M266" s="5">
        <f>SUMIFS(ĐMCP!$Q:$Q,ĐMCP!$P:$P, "="&amp;'HQ1'!B266,ĐMCP!$O:$O, "="&amp;'HQ1'!A266)</f>
        <v>6988386983.3814068</v>
      </c>
      <c r="N266" s="89">
        <f t="shared" si="9"/>
        <v>-0.38140678405761719</v>
      </c>
    </row>
    <row r="267" spans="1:14" x14ac:dyDescent="0.25">
      <c r="A267" s="123" t="s">
        <v>63</v>
      </c>
      <c r="B267" s="16" t="s">
        <v>138</v>
      </c>
      <c r="C267" s="7">
        <v>10338982349</v>
      </c>
      <c r="D267" s="7">
        <v>3206374119</v>
      </c>
      <c r="E267" s="7">
        <v>912128420.39999998</v>
      </c>
      <c r="F267" s="7">
        <v>-169129925</v>
      </c>
      <c r="G267" s="7">
        <v>2295960894</v>
      </c>
      <c r="H267" s="7">
        <v>310169470.46999997</v>
      </c>
      <c r="I267" s="7">
        <v>3783479370.1300006</v>
      </c>
      <c r="J267" s="113">
        <f>SUMIFS(PGĐ!$H:$H,PGĐ!$F:$F, "="&amp;B267, PGĐ!$I:$I, "="&amp;'HQ1'!A267)</f>
        <v>0</v>
      </c>
      <c r="K267" s="113"/>
      <c r="L267" s="78">
        <f t="shared" si="10"/>
        <v>0.32219064992461027</v>
      </c>
      <c r="M267" s="5">
        <f>SUMIFS(ĐMCP!$Q:$Q,ĐMCP!$P:$P, "="&amp;'HQ1'!B267,ĐMCP!$O:$O, "="&amp;'HQ1'!A267)</f>
        <v>2295960894.1589427</v>
      </c>
      <c r="N267" s="89">
        <f t="shared" si="9"/>
        <v>-0.15894269943237305</v>
      </c>
    </row>
    <row r="268" spans="1:14" x14ac:dyDescent="0.25">
      <c r="A268" s="123" t="s">
        <v>95</v>
      </c>
      <c r="B268" s="15" t="s">
        <v>45</v>
      </c>
      <c r="C268" s="132">
        <v>2463693148</v>
      </c>
      <c r="D268" s="132">
        <v>764017988</v>
      </c>
      <c r="E268" s="132">
        <v>40646446.25</v>
      </c>
      <c r="F268" s="132">
        <v>469818532</v>
      </c>
      <c r="G268" s="132">
        <v>913763748</v>
      </c>
      <c r="H268" s="132">
        <v>73910794.439999998</v>
      </c>
      <c r="I268" s="132">
        <v>201535639.31</v>
      </c>
      <c r="J268" s="113">
        <f>SUMIFS(PGĐ!$H:$H,PGĐ!$F:$F, "="&amp;B268, PGĐ!$I:$I, "="&amp;'HQ1'!A268)</f>
        <v>0</v>
      </c>
      <c r="K268" s="113"/>
      <c r="L268" s="78">
        <f t="shared" si="10"/>
        <v>0.50920872433407283</v>
      </c>
      <c r="M268" s="5">
        <f>SUMIFS(ĐMCP!$Q:$Q,ĐMCP!$P:$P, "="&amp;'HQ1'!B268,ĐMCP!$O:$O, "="&amp;'HQ1'!A268)</f>
        <v>0</v>
      </c>
      <c r="N268" s="89">
        <f t="shared" si="9"/>
        <v>0</v>
      </c>
    </row>
    <row r="269" spans="1:14" x14ac:dyDescent="0.25">
      <c r="A269" s="123" t="s">
        <v>95</v>
      </c>
      <c r="B269" s="16" t="s">
        <v>135</v>
      </c>
      <c r="C269" s="7">
        <v>258319450</v>
      </c>
      <c r="D269" s="7">
        <v>305531000</v>
      </c>
      <c r="E269" s="7">
        <v>-21547244</v>
      </c>
      <c r="G269" s="7">
        <v>90245523</v>
      </c>
      <c r="H269" s="7">
        <v>7749583.5</v>
      </c>
      <c r="I269" s="7">
        <v>-123659412.5</v>
      </c>
      <c r="J269" s="113">
        <f>SUMIFS(PGĐ!$H:$H,PGĐ!$F:$F, "="&amp;B269, PGĐ!$I:$I, "="&amp;'HQ1'!A269)</f>
        <v>0</v>
      </c>
      <c r="K269" s="113"/>
      <c r="L269" s="78">
        <f t="shared" si="10"/>
        <v>1.0917018943311632</v>
      </c>
      <c r="M269" s="5">
        <f>SUMIFS(ĐMCP!$Q:$Q,ĐMCP!$P:$P, "="&amp;'HQ1'!B269,ĐMCP!$O:$O, "="&amp;'HQ1'!A269)</f>
        <v>90245522.866591692</v>
      </c>
      <c r="N269" s="89">
        <f t="shared" si="9"/>
        <v>0.1334083080291748</v>
      </c>
    </row>
    <row r="270" spans="1:14" x14ac:dyDescent="0.25">
      <c r="A270" s="123" t="s">
        <v>95</v>
      </c>
      <c r="B270" s="16" t="s">
        <v>136</v>
      </c>
      <c r="C270" s="7">
        <v>107160360</v>
      </c>
      <c r="E270" s="7">
        <v>-400950</v>
      </c>
      <c r="G270" s="7">
        <v>58993201</v>
      </c>
      <c r="H270" s="7">
        <v>3214810.8</v>
      </c>
      <c r="I270" s="7">
        <v>45353298.200000003</v>
      </c>
      <c r="J270" s="113">
        <f>SUMIFS(PGĐ!$H:$H,PGĐ!$F:$F, "="&amp;B270, PGĐ!$I:$I, "="&amp;'HQ1'!A270)</f>
        <v>0</v>
      </c>
      <c r="K270" s="113"/>
      <c r="L270" s="78">
        <f t="shared" si="10"/>
        <v>0</v>
      </c>
      <c r="M270" s="5">
        <f>SUMIFS(ĐMCP!$Q:$Q,ĐMCP!$P:$P, "="&amp;'HQ1'!B270,ĐMCP!$O:$O, "="&amp;'HQ1'!A270)</f>
        <v>58993201.163617156</v>
      </c>
      <c r="N270" s="89">
        <f t="shared" si="9"/>
        <v>-0.16361715644598007</v>
      </c>
    </row>
    <row r="271" spans="1:14" x14ac:dyDescent="0.25">
      <c r="A271" s="123" t="s">
        <v>95</v>
      </c>
      <c r="B271" s="16" t="s">
        <v>137</v>
      </c>
      <c r="C271" s="7">
        <v>1942513838</v>
      </c>
      <c r="D271" s="7">
        <v>393013408</v>
      </c>
      <c r="E271" s="7">
        <v>57140874.25</v>
      </c>
      <c r="F271" s="7">
        <v>487665872</v>
      </c>
      <c r="G271" s="7">
        <v>704675198</v>
      </c>
      <c r="H271" s="7">
        <v>58275415.140000001</v>
      </c>
      <c r="I271" s="7">
        <v>241743070.61000001</v>
      </c>
      <c r="J271" s="113">
        <f>SUMIFS(PGĐ!$H:$H,PGĐ!$F:$F, "="&amp;B271, PGĐ!$I:$I, "="&amp;'HQ1'!A271)</f>
        <v>4900000</v>
      </c>
      <c r="K271" s="113"/>
      <c r="L271" s="78">
        <f t="shared" si="10"/>
        <v>0.46711143998179122</v>
      </c>
      <c r="M271" s="5">
        <f>SUMIFS(ĐMCP!$Q:$Q,ĐMCP!$P:$P, "="&amp;'HQ1'!B271,ĐMCP!$O:$O, "="&amp;'HQ1'!A271)</f>
        <v>704675198.13603282</v>
      </c>
      <c r="N271" s="89">
        <f t="shared" si="9"/>
        <v>-0.1360328197479248</v>
      </c>
    </row>
    <row r="272" spans="1:14" x14ac:dyDescent="0.25">
      <c r="A272" s="123" t="s">
        <v>95</v>
      </c>
      <c r="B272" s="16" t="s">
        <v>138</v>
      </c>
      <c r="C272" s="7">
        <v>155699500</v>
      </c>
      <c r="D272" s="7">
        <v>65473580</v>
      </c>
      <c r="E272" s="7">
        <v>5453766</v>
      </c>
      <c r="F272" s="7">
        <v>-17847340</v>
      </c>
      <c r="G272" s="7">
        <v>59849826</v>
      </c>
      <c r="H272" s="7">
        <v>4670985</v>
      </c>
      <c r="I272" s="7">
        <v>38098683</v>
      </c>
      <c r="J272" s="113">
        <f>SUMIFS(PGĐ!$H:$H,PGĐ!$F:$F, "="&amp;B272, PGĐ!$I:$I, "="&amp;'HQ1'!A272)</f>
        <v>0</v>
      </c>
      <c r="K272" s="113"/>
      <c r="L272" s="78">
        <f t="shared" si="10"/>
        <v>0.31698896688807149</v>
      </c>
      <c r="M272" s="5">
        <f>SUMIFS(ĐMCP!$Q:$Q,ĐMCP!$P:$P, "="&amp;'HQ1'!B272,ĐMCP!$O:$O, "="&amp;'HQ1'!A272)</f>
        <v>59849826.456807815</v>
      </c>
      <c r="N272" s="89">
        <f t="shared" si="9"/>
        <v>-0.45680781453847885</v>
      </c>
    </row>
    <row r="273" spans="1:14" x14ac:dyDescent="0.25">
      <c r="A273" s="123" t="s">
        <v>75</v>
      </c>
      <c r="B273" s="15" t="s">
        <v>45</v>
      </c>
      <c r="C273" s="132">
        <v>11062436102</v>
      </c>
      <c r="D273" s="132">
        <v>4876205390</v>
      </c>
      <c r="E273" s="132">
        <v>152755471.30000001</v>
      </c>
      <c r="F273" s="132">
        <v>569987523</v>
      </c>
      <c r="G273" s="132">
        <v>3059810270</v>
      </c>
      <c r="H273" s="132">
        <v>331873083.06</v>
      </c>
      <c r="I273" s="132">
        <v>2071804364.6399999</v>
      </c>
      <c r="J273" s="113">
        <f>SUMIFS(PGĐ!$H:$H,PGĐ!$F:$F, "="&amp;B273, PGĐ!$I:$I, "="&amp;'HQ1'!A273)</f>
        <v>0</v>
      </c>
      <c r="K273" s="113"/>
      <c r="L273" s="78">
        <f t="shared" si="10"/>
        <v>0.49920736429940338</v>
      </c>
      <c r="M273" s="5">
        <f>SUMIFS(ĐMCP!$Q:$Q,ĐMCP!$P:$P, "="&amp;'HQ1'!B273,ĐMCP!$O:$O, "="&amp;'HQ1'!A273)</f>
        <v>0</v>
      </c>
      <c r="N273" s="89">
        <f t="shared" si="9"/>
        <v>0</v>
      </c>
    </row>
    <row r="274" spans="1:14" x14ac:dyDescent="0.25">
      <c r="A274" s="123" t="s">
        <v>75</v>
      </c>
      <c r="B274" s="16" t="s">
        <v>135</v>
      </c>
      <c r="C274" s="7">
        <v>1561643064</v>
      </c>
      <c r="D274" s="7">
        <v>1916653327</v>
      </c>
      <c r="E274" s="7">
        <v>-26682431.75</v>
      </c>
      <c r="F274" s="7">
        <v>99737000</v>
      </c>
      <c r="G274" s="7">
        <v>448312936</v>
      </c>
      <c r="H274" s="7">
        <v>46849291.920000002</v>
      </c>
      <c r="I274" s="7">
        <v>-923227059.16999996</v>
      </c>
      <c r="J274" s="113">
        <f>SUMIFS(PGĐ!$H:$H,PGĐ!$F:$F, "="&amp;B274, PGĐ!$I:$I, "="&amp;'HQ1'!A274)</f>
        <v>0</v>
      </c>
      <c r="K274" s="113"/>
      <c r="L274" s="78">
        <f t="shared" si="10"/>
        <v>1.2695069948794531</v>
      </c>
      <c r="M274" s="5">
        <f>SUMIFS(ĐMCP!$Q:$Q,ĐMCP!$P:$P, "="&amp;'HQ1'!B274,ĐMCP!$O:$O, "="&amp;'HQ1'!A274)</f>
        <v>448312936.05259037</v>
      </c>
      <c r="N274" s="89">
        <f t="shared" si="9"/>
        <v>-5.2590370178222656E-2</v>
      </c>
    </row>
    <row r="275" spans="1:14" x14ac:dyDescent="0.25">
      <c r="A275" s="123" t="s">
        <v>75</v>
      </c>
      <c r="B275" s="16" t="s">
        <v>136</v>
      </c>
      <c r="C275" s="7">
        <v>23500400</v>
      </c>
      <c r="E275" s="7">
        <v>88540</v>
      </c>
      <c r="G275" s="7">
        <v>12896287</v>
      </c>
      <c r="H275" s="7">
        <v>705012</v>
      </c>
      <c r="I275" s="7">
        <v>9810561</v>
      </c>
      <c r="J275" s="113">
        <f>SUMIFS(PGĐ!$H:$H,PGĐ!$F:$F, "="&amp;B275, PGĐ!$I:$I, "="&amp;'HQ1'!A275)</f>
        <v>0</v>
      </c>
      <c r="K275" s="113"/>
      <c r="L275" s="78">
        <f t="shared" si="10"/>
        <v>0</v>
      </c>
      <c r="M275" s="5">
        <f>SUMIFS(ĐMCP!$Q:$Q,ĐMCP!$P:$P, "="&amp;'HQ1'!B275,ĐMCP!$O:$O, "="&amp;'HQ1'!A275)</f>
        <v>12896286.657819249</v>
      </c>
      <c r="N275" s="89">
        <f t="shared" si="9"/>
        <v>0.34218075126409531</v>
      </c>
    </row>
    <row r="276" spans="1:14" x14ac:dyDescent="0.25">
      <c r="A276" s="123" t="s">
        <v>75</v>
      </c>
      <c r="B276" s="16" t="s">
        <v>137</v>
      </c>
      <c r="C276" s="7">
        <v>4673201641</v>
      </c>
      <c r="D276" s="7">
        <v>1063671334</v>
      </c>
      <c r="E276" s="7">
        <v>144611306.75</v>
      </c>
      <c r="F276" s="7">
        <v>712770866</v>
      </c>
      <c r="G276" s="7">
        <v>1580532175</v>
      </c>
      <c r="H276" s="7">
        <v>140196049.22999999</v>
      </c>
      <c r="I276" s="7">
        <v>1031419910.02</v>
      </c>
      <c r="J276" s="113">
        <f>SUMIFS(PGĐ!$H:$H,PGĐ!$F:$F, "="&amp;B276, PGĐ!$I:$I, "="&amp;'HQ1'!A276)</f>
        <v>6300000</v>
      </c>
      <c r="K276" s="113"/>
      <c r="L276" s="78">
        <f t="shared" si="10"/>
        <v>0.39227266519664217</v>
      </c>
      <c r="M276" s="5">
        <f>SUMIFS(ĐMCP!$Q:$Q,ĐMCP!$P:$P, "="&amp;'HQ1'!B276,ĐMCP!$O:$O, "="&amp;'HQ1'!A276)</f>
        <v>1580532174.6847601</v>
      </c>
      <c r="N276" s="89">
        <f t="shared" si="9"/>
        <v>0.31523990631103516</v>
      </c>
    </row>
    <row r="277" spans="1:14" x14ac:dyDescent="0.25">
      <c r="A277" s="123" t="s">
        <v>75</v>
      </c>
      <c r="B277" s="16" t="s">
        <v>138</v>
      </c>
      <c r="C277" s="7">
        <v>4804090997</v>
      </c>
      <c r="D277" s="7">
        <v>1895880729</v>
      </c>
      <c r="E277" s="7">
        <v>34738056.299999997</v>
      </c>
      <c r="F277" s="7">
        <v>-242520343</v>
      </c>
      <c r="G277" s="7">
        <v>1018068872</v>
      </c>
      <c r="H277" s="7">
        <v>144122729.91</v>
      </c>
      <c r="I277" s="7">
        <v>1953800952.7899997</v>
      </c>
      <c r="J277" s="113">
        <f>SUMIFS(PGĐ!$H:$H,PGĐ!$F:$F, "="&amp;B277, PGĐ!$I:$I, "="&amp;'HQ1'!A277)</f>
        <v>0</v>
      </c>
      <c r="K277" s="113"/>
      <c r="L277" s="78">
        <f t="shared" si="10"/>
        <v>0.34666345866140402</v>
      </c>
      <c r="M277" s="5">
        <f>SUMIFS(ĐMCP!$Q:$Q,ĐMCP!$P:$P, "="&amp;'HQ1'!B277,ĐMCP!$O:$O, "="&amp;'HQ1'!A277)</f>
        <v>1018068872.2272229</v>
      </c>
      <c r="N277" s="89">
        <f t="shared" si="9"/>
        <v>-0.22722291946411133</v>
      </c>
    </row>
    <row r="278" spans="1:14" x14ac:dyDescent="0.25">
      <c r="A278" s="123" t="s">
        <v>105</v>
      </c>
      <c r="B278" s="15" t="s">
        <v>45</v>
      </c>
      <c r="C278" s="132">
        <v>5841935569</v>
      </c>
      <c r="D278" s="132">
        <v>3534846764</v>
      </c>
      <c r="E278" s="132">
        <v>-28140317.650000006</v>
      </c>
      <c r="F278" s="132">
        <v>89783747</v>
      </c>
      <c r="G278" s="132">
        <v>2199191870</v>
      </c>
      <c r="H278" s="132">
        <v>175258067.06999999</v>
      </c>
      <c r="I278" s="132">
        <v>-129004561.41999984</v>
      </c>
      <c r="J278" s="113">
        <f>SUMIFS(PGĐ!$H:$H,PGĐ!$F:$F, "="&amp;B278, PGĐ!$I:$I, "="&amp;'HQ1'!A278)</f>
        <v>0</v>
      </c>
      <c r="K278" s="113"/>
      <c r="L278" s="78">
        <f t="shared" si="10"/>
        <v>0.6174759204124266</v>
      </c>
      <c r="M278" s="5">
        <f>SUMIFS(ĐMCP!$Q:$Q,ĐMCP!$P:$P, "="&amp;'HQ1'!B278,ĐMCP!$O:$O, "="&amp;'HQ1'!A278)</f>
        <v>0</v>
      </c>
      <c r="N278" s="89">
        <f t="shared" si="9"/>
        <v>0</v>
      </c>
    </row>
    <row r="279" spans="1:14" x14ac:dyDescent="0.25">
      <c r="A279" s="123" t="s">
        <v>105</v>
      </c>
      <c r="B279" s="16" t="s">
        <v>135</v>
      </c>
      <c r="C279" s="7">
        <v>2539532500</v>
      </c>
      <c r="D279" s="7">
        <v>2705608140</v>
      </c>
      <c r="E279" s="7">
        <v>-75376302.75</v>
      </c>
      <c r="F279" s="7">
        <v>237817000</v>
      </c>
      <c r="G279" s="7">
        <v>822955409</v>
      </c>
      <c r="H279" s="7">
        <v>76185975</v>
      </c>
      <c r="I279" s="7">
        <v>-1227657721.25</v>
      </c>
      <c r="J279" s="113">
        <f>SUMIFS(PGĐ!$H:$H,PGĐ!$F:$F, "="&amp;B279, PGĐ!$I:$I, "="&amp;'HQ1'!A279)</f>
        <v>200000</v>
      </c>
      <c r="K279" s="113"/>
      <c r="L279" s="78">
        <f t="shared" si="10"/>
        <v>1.1256320438037883</v>
      </c>
      <c r="M279" s="5">
        <f>SUMIFS(ĐMCP!$Q:$Q,ĐMCP!$P:$P, "="&amp;'HQ1'!B279,ĐMCP!$O:$O, "="&amp;'HQ1'!A279)</f>
        <v>822955408.65467346</v>
      </c>
      <c r="N279" s="89">
        <f t="shared" si="9"/>
        <v>0.34532654285430908</v>
      </c>
    </row>
    <row r="280" spans="1:14" x14ac:dyDescent="0.25">
      <c r="A280" s="123" t="s">
        <v>105</v>
      </c>
      <c r="B280" s="16" t="s">
        <v>136</v>
      </c>
      <c r="C280" s="7">
        <v>7322800</v>
      </c>
      <c r="E280" s="7">
        <v>-270620</v>
      </c>
      <c r="G280" s="7">
        <v>4062344</v>
      </c>
      <c r="H280" s="7">
        <v>219684</v>
      </c>
      <c r="I280" s="7">
        <v>3311392</v>
      </c>
      <c r="J280" s="113">
        <f>SUMIFS(PGĐ!$H:$H,PGĐ!$F:$F, "="&amp;B280, PGĐ!$I:$I, "="&amp;'HQ1'!A280)</f>
        <v>0</v>
      </c>
      <c r="K280" s="113"/>
      <c r="L280" s="78">
        <f t="shared" si="10"/>
        <v>0</v>
      </c>
      <c r="M280" s="5">
        <f>SUMIFS(ĐMCP!$Q:$Q,ĐMCP!$P:$P, "="&amp;'HQ1'!B280,ĐMCP!$O:$O, "="&amp;'HQ1'!A280)</f>
        <v>4062343.6857458628</v>
      </c>
      <c r="N280" s="89">
        <f t="shared" si="9"/>
        <v>0.31425413722172379</v>
      </c>
    </row>
    <row r="281" spans="1:14" x14ac:dyDescent="0.25">
      <c r="A281" s="123" t="s">
        <v>105</v>
      </c>
      <c r="B281" s="16" t="s">
        <v>137</v>
      </c>
      <c r="C281" s="7">
        <v>2604220319</v>
      </c>
      <c r="D281" s="7">
        <v>744227252</v>
      </c>
      <c r="E281" s="7">
        <v>-20143602.5</v>
      </c>
      <c r="F281" s="7">
        <v>-225591214</v>
      </c>
      <c r="G281" s="7">
        <v>1021017661</v>
      </c>
      <c r="H281" s="7">
        <v>78126609.569999993</v>
      </c>
      <c r="I281" s="7">
        <v>1006583612.9300001</v>
      </c>
      <c r="J281" s="113">
        <f>SUMIFS(PGĐ!$H:$H,PGĐ!$F:$F, "="&amp;B281, PGĐ!$I:$I, "="&amp;'HQ1'!A281)</f>
        <v>-36100000</v>
      </c>
      <c r="K281" s="113"/>
      <c r="L281" s="78">
        <f t="shared" si="10"/>
        <v>0.19762352078958803</v>
      </c>
      <c r="M281" s="5">
        <f>SUMIFS(ĐMCP!$Q:$Q,ĐMCP!$P:$P, "="&amp;'HQ1'!B281,ĐMCP!$O:$O, "="&amp;'HQ1'!A281)</f>
        <v>1021017661.3973515</v>
      </c>
      <c r="N281" s="89">
        <f t="shared" si="9"/>
        <v>-0.39735150337219238</v>
      </c>
    </row>
    <row r="282" spans="1:14" x14ac:dyDescent="0.25">
      <c r="A282" s="123" t="s">
        <v>105</v>
      </c>
      <c r="B282" s="16" t="s">
        <v>138</v>
      </c>
      <c r="C282" s="7">
        <v>690859950</v>
      </c>
      <c r="D282" s="7">
        <v>85011372</v>
      </c>
      <c r="E282" s="7">
        <v>67650207.599999994</v>
      </c>
      <c r="F282" s="7">
        <v>77557961</v>
      </c>
      <c r="G282" s="7">
        <v>351156456</v>
      </c>
      <c r="H282" s="7">
        <v>20725798.5</v>
      </c>
      <c r="I282" s="7">
        <v>88758154.899999976</v>
      </c>
      <c r="J282" s="113">
        <f>SUMIFS(PGĐ!$H:$H,PGĐ!$F:$F, "="&amp;B282, PGĐ!$I:$I, "="&amp;'HQ1'!A282)</f>
        <v>0</v>
      </c>
      <c r="K282" s="113"/>
      <c r="L282" s="78">
        <f t="shared" si="10"/>
        <v>0.26085813802258684</v>
      </c>
      <c r="M282" s="5">
        <f>SUMIFS(ĐMCP!$Q:$Q,ĐMCP!$P:$P, "="&amp;'HQ1'!B282,ĐMCP!$O:$O, "="&amp;'HQ1'!A282)</f>
        <v>351156455.52892369</v>
      </c>
      <c r="N282" s="89">
        <f t="shared" si="9"/>
        <v>0.47107630968093872</v>
      </c>
    </row>
    <row r="283" spans="1:14" x14ac:dyDescent="0.25">
      <c r="A283" s="123" t="s">
        <v>73</v>
      </c>
      <c r="B283" s="15" t="s">
        <v>45</v>
      </c>
      <c r="C283" s="132">
        <v>7434986981</v>
      </c>
      <c r="D283" s="132">
        <v>4156809322</v>
      </c>
      <c r="E283" s="132">
        <v>-64460561.349999994</v>
      </c>
      <c r="F283" s="132">
        <v>147299631</v>
      </c>
      <c r="G283" s="132">
        <v>2130621066</v>
      </c>
      <c r="H283" s="132">
        <v>223049609.42999998</v>
      </c>
      <c r="I283" s="132">
        <v>841667913.92000008</v>
      </c>
      <c r="J283" s="113">
        <f>SUMIFS(PGĐ!$H:$H,PGĐ!$F:$F, "="&amp;B283, PGĐ!$I:$I, "="&amp;'HQ1'!A283)</f>
        <v>0</v>
      </c>
      <c r="K283" s="113"/>
      <c r="L283" s="78">
        <f t="shared" si="10"/>
        <v>0.5739234695215002</v>
      </c>
      <c r="M283" s="5">
        <f>SUMIFS(ĐMCP!$Q:$Q,ĐMCP!$P:$P, "="&amp;'HQ1'!B283,ĐMCP!$O:$O, "="&amp;'HQ1'!A283)</f>
        <v>0</v>
      </c>
      <c r="N283" s="89">
        <f t="shared" si="9"/>
        <v>0</v>
      </c>
    </row>
    <row r="284" spans="1:14" x14ac:dyDescent="0.25">
      <c r="A284" s="123" t="s">
        <v>73</v>
      </c>
      <c r="B284" s="16" t="s">
        <v>135</v>
      </c>
      <c r="C284" s="7">
        <v>4541438677</v>
      </c>
      <c r="D284" s="7">
        <v>2717178976</v>
      </c>
      <c r="E284" s="7">
        <v>-117550005.5</v>
      </c>
      <c r="G284" s="7">
        <v>1264022104</v>
      </c>
      <c r="H284" s="7">
        <v>136243160.31</v>
      </c>
      <c r="I284" s="7">
        <v>541544442.19000006</v>
      </c>
      <c r="J284" s="113">
        <f>SUMIFS(PGĐ!$H:$H,PGĐ!$F:$F, "="&amp;B284, PGĐ!$I:$I, "="&amp;'HQ1'!A284)</f>
        <v>0</v>
      </c>
      <c r="K284" s="113"/>
      <c r="L284" s="78">
        <f t="shared" si="10"/>
        <v>0.58321218641423478</v>
      </c>
      <c r="M284" s="5">
        <f>SUMIFS(ĐMCP!$Q:$Q,ĐMCP!$P:$P, "="&amp;'HQ1'!B284,ĐMCP!$O:$O, "="&amp;'HQ1'!A284)</f>
        <v>1264022103.5543165</v>
      </c>
      <c r="N284" s="89">
        <f t="shared" si="9"/>
        <v>0.44568347930908203</v>
      </c>
    </row>
    <row r="285" spans="1:14" x14ac:dyDescent="0.25">
      <c r="A285" s="123" t="s">
        <v>73</v>
      </c>
      <c r="B285" s="16" t="s">
        <v>136</v>
      </c>
      <c r="C285" s="7">
        <v>429854160</v>
      </c>
      <c r="E285" s="7">
        <v>-11118418</v>
      </c>
      <c r="G285" s="7">
        <v>98291960</v>
      </c>
      <c r="H285" s="7">
        <v>12895624.799999999</v>
      </c>
      <c r="I285" s="7">
        <v>329784993.19999999</v>
      </c>
      <c r="J285" s="113">
        <f>SUMIFS(PGĐ!$H:$H,PGĐ!$F:$F, "="&amp;B285, PGĐ!$I:$I, "="&amp;'HQ1'!A285)</f>
        <v>0</v>
      </c>
      <c r="K285" s="113"/>
      <c r="L285" s="78">
        <f t="shared" si="10"/>
        <v>0</v>
      </c>
      <c r="M285" s="5">
        <f>SUMIFS(ĐMCP!$Q:$Q,ĐMCP!$P:$P, "="&amp;'HQ1'!B285,ĐMCP!$O:$O, "="&amp;'HQ1'!A285)</f>
        <v>98291960.134230137</v>
      </c>
      <c r="N285" s="89">
        <f t="shared" si="9"/>
        <v>-0.13423013687133789</v>
      </c>
    </row>
    <row r="286" spans="1:14" x14ac:dyDescent="0.25">
      <c r="A286" s="123" t="s">
        <v>73</v>
      </c>
      <c r="B286" s="16" t="s">
        <v>137</v>
      </c>
      <c r="C286" s="7">
        <v>2340572194</v>
      </c>
      <c r="D286" s="7">
        <v>1351414338</v>
      </c>
      <c r="E286" s="7">
        <v>58200794.75</v>
      </c>
      <c r="F286" s="7">
        <v>149194787</v>
      </c>
      <c r="G286" s="7">
        <v>722458488</v>
      </c>
      <c r="H286" s="7">
        <v>70217165.819999993</v>
      </c>
      <c r="I286" s="7">
        <v>-10913379.569999993</v>
      </c>
      <c r="J286" s="113">
        <f>SUMIFS(PGĐ!$H:$H,PGĐ!$F:$F, "="&amp;B286, PGĐ!$I:$I, "="&amp;'HQ1'!A286)</f>
        <v>26900000</v>
      </c>
      <c r="K286" s="113"/>
      <c r="L286" s="78">
        <f t="shared" si="10"/>
        <v>0.6574780622878067</v>
      </c>
      <c r="M286" s="5">
        <f>SUMIFS(ĐMCP!$Q:$Q,ĐMCP!$P:$P, "="&amp;'HQ1'!B286,ĐMCP!$O:$O, "="&amp;'HQ1'!A286)</f>
        <v>722458488.19010592</v>
      </c>
      <c r="N286" s="89">
        <f t="shared" si="9"/>
        <v>-0.19010591506958008</v>
      </c>
    </row>
    <row r="287" spans="1:14" x14ac:dyDescent="0.25">
      <c r="A287" s="123" t="s">
        <v>73</v>
      </c>
      <c r="B287" s="16" t="s">
        <v>138</v>
      </c>
      <c r="C287" s="7">
        <v>123121950</v>
      </c>
      <c r="D287" s="7">
        <v>88216008</v>
      </c>
      <c r="E287" s="7">
        <v>6007067.3999999994</v>
      </c>
      <c r="F287" s="7">
        <v>-1895156</v>
      </c>
      <c r="G287" s="7">
        <v>45848514</v>
      </c>
      <c r="H287" s="7">
        <v>3693658.5</v>
      </c>
      <c r="I287" s="7">
        <v>-18748141.899999999</v>
      </c>
      <c r="J287" s="113">
        <f>SUMIFS(PGĐ!$H:$H,PGĐ!$F:$F, "="&amp;B287, PGĐ!$I:$I, "="&amp;'HQ1'!A287)</f>
        <v>0</v>
      </c>
      <c r="K287" s="113"/>
      <c r="L287" s="78">
        <f t="shared" si="10"/>
        <v>0.73706133741195423</v>
      </c>
      <c r="M287" s="5">
        <f>SUMIFS(ĐMCP!$Q:$Q,ĐMCP!$P:$P, "="&amp;'HQ1'!B287,ĐMCP!$O:$O, "="&amp;'HQ1'!A287)</f>
        <v>45848513.801123492</v>
      </c>
      <c r="N287" s="89">
        <f t="shared" si="9"/>
        <v>0.1988765075802803</v>
      </c>
    </row>
    <row r="288" spans="1:14" x14ac:dyDescent="0.25">
      <c r="A288" s="123" t="s">
        <v>101</v>
      </c>
      <c r="B288" s="15" t="s">
        <v>45</v>
      </c>
      <c r="C288" s="132">
        <v>14033327078</v>
      </c>
      <c r="D288" s="132">
        <v>10655269753</v>
      </c>
      <c r="E288" s="132">
        <v>-231238413</v>
      </c>
      <c r="F288" s="132">
        <v>-1131704815.3000002</v>
      </c>
      <c r="G288" s="132">
        <v>4240121775</v>
      </c>
      <c r="H288" s="132">
        <v>420999812.33999997</v>
      </c>
      <c r="I288" s="132">
        <v>79878965.960000157</v>
      </c>
      <c r="J288" s="113">
        <f>SUMIFS(PGĐ!$H:$H,PGĐ!$F:$F, "="&amp;B288, PGĐ!$I:$I, "="&amp;'HQ1'!A288)</f>
        <v>0</v>
      </c>
      <c r="K288" s="113"/>
      <c r="L288" s="78">
        <f t="shared" si="10"/>
        <v>0.66763792726169913</v>
      </c>
      <c r="M288" s="5">
        <f>SUMIFS(ĐMCP!$Q:$Q,ĐMCP!$P:$P, "="&amp;'HQ1'!B288,ĐMCP!$O:$O, "="&amp;'HQ1'!A288)</f>
        <v>0</v>
      </c>
      <c r="N288" s="89">
        <f t="shared" si="9"/>
        <v>0</v>
      </c>
    </row>
    <row r="289" spans="1:14" x14ac:dyDescent="0.25">
      <c r="A289" s="123" t="s">
        <v>101</v>
      </c>
      <c r="B289" s="16" t="s">
        <v>135</v>
      </c>
      <c r="C289" s="7">
        <v>8237470313</v>
      </c>
      <c r="D289" s="7">
        <v>7365283500</v>
      </c>
      <c r="E289" s="7">
        <v>-230871237.5</v>
      </c>
      <c r="F289" s="7">
        <v>-324695000</v>
      </c>
      <c r="G289" s="7">
        <v>2154616450</v>
      </c>
      <c r="H289" s="7">
        <v>247124109.38999999</v>
      </c>
      <c r="I289" s="7">
        <v>-973987508.88999999</v>
      </c>
      <c r="J289" s="113">
        <f>SUMIFS(PGĐ!$H:$H,PGĐ!$F:$F, "="&amp;B289, PGĐ!$I:$I, "="&amp;'HQ1'!A289)</f>
        <v>0</v>
      </c>
      <c r="K289" s="113"/>
      <c r="L289" s="78">
        <f t="shared" si="10"/>
        <v>0.83140110233086895</v>
      </c>
      <c r="M289" s="5">
        <f>SUMIFS(ĐMCP!$Q:$Q,ĐMCP!$P:$P, "="&amp;'HQ1'!B289,ĐMCP!$O:$O, "="&amp;'HQ1'!A289)</f>
        <v>2154616449.6930385</v>
      </c>
      <c r="N289" s="89">
        <f t="shared" si="9"/>
        <v>0.3069615364074707</v>
      </c>
    </row>
    <row r="290" spans="1:14" x14ac:dyDescent="0.25">
      <c r="A290" s="123" t="s">
        <v>101</v>
      </c>
      <c r="B290" s="16" t="s">
        <v>136</v>
      </c>
      <c r="C290" s="7">
        <v>7833400</v>
      </c>
      <c r="E290" s="7">
        <v>-1351188.5</v>
      </c>
      <c r="G290" s="7">
        <v>4147149</v>
      </c>
      <c r="H290" s="7">
        <v>235002</v>
      </c>
      <c r="I290" s="7">
        <v>4802437.5</v>
      </c>
      <c r="J290" s="113">
        <f>SUMIFS(PGĐ!$H:$H,PGĐ!$F:$F, "="&amp;B290, PGĐ!$I:$I, "="&amp;'HQ1'!A290)</f>
        <v>0</v>
      </c>
      <c r="K290" s="113"/>
      <c r="L290" s="78">
        <f t="shared" si="10"/>
        <v>0</v>
      </c>
      <c r="M290" s="5">
        <f>SUMIFS(ĐMCP!$Q:$Q,ĐMCP!$P:$P, "="&amp;'HQ1'!B290,ĐMCP!$O:$O, "="&amp;'HQ1'!A290)</f>
        <v>4147149.0766743869</v>
      </c>
      <c r="N290" s="89">
        <f t="shared" si="9"/>
        <v>-7.6674386858940125E-2</v>
      </c>
    </row>
    <row r="291" spans="1:14" x14ac:dyDescent="0.25">
      <c r="A291" s="123" t="s">
        <v>101</v>
      </c>
      <c r="B291" s="16" t="s">
        <v>137</v>
      </c>
      <c r="C291" s="7">
        <v>4613731890</v>
      </c>
      <c r="D291" s="7">
        <v>3122476776</v>
      </c>
      <c r="E291" s="7">
        <v>-175388922.5</v>
      </c>
      <c r="F291" s="7">
        <v>-831396611.30000019</v>
      </c>
      <c r="G291" s="7">
        <v>1638662375</v>
      </c>
      <c r="H291" s="7">
        <v>138411956.69999999</v>
      </c>
      <c r="I291" s="7">
        <v>720966316.10000014</v>
      </c>
      <c r="J291" s="113">
        <f>SUMIFS(PGĐ!$H:$H,PGĐ!$F:$F, "="&amp;B291, PGĐ!$I:$I, "="&amp;'HQ1'!A291)</f>
        <v>4500000</v>
      </c>
      <c r="K291" s="113"/>
      <c r="L291" s="78">
        <f t="shared" si="10"/>
        <v>0.47839264332611775</v>
      </c>
      <c r="M291" s="5">
        <f>SUMIFS(ĐMCP!$Q:$Q,ĐMCP!$P:$P, "="&amp;'HQ1'!B291,ĐMCP!$O:$O, "="&amp;'HQ1'!A291)</f>
        <v>1638662375.4303527</v>
      </c>
      <c r="N291" s="89">
        <f t="shared" si="9"/>
        <v>-0.43035268783569336</v>
      </c>
    </row>
    <row r="292" spans="1:14" x14ac:dyDescent="0.25">
      <c r="A292" s="123" t="s">
        <v>101</v>
      </c>
      <c r="B292" s="16" t="s">
        <v>138</v>
      </c>
      <c r="C292" s="7">
        <v>1174291475</v>
      </c>
      <c r="D292" s="7">
        <v>167509477</v>
      </c>
      <c r="E292" s="7">
        <v>176372935.5</v>
      </c>
      <c r="F292" s="7">
        <v>24386796</v>
      </c>
      <c r="G292" s="7">
        <v>442695801</v>
      </c>
      <c r="H292" s="7">
        <v>35228744.25</v>
      </c>
      <c r="I292" s="7">
        <v>328097721.25</v>
      </c>
      <c r="J292" s="113">
        <f>SUMIFS(PGĐ!$H:$H,PGĐ!$F:$F, "="&amp;B292, PGĐ!$I:$I, "="&amp;'HQ1'!A292)</f>
        <v>0</v>
      </c>
      <c r="K292" s="113"/>
      <c r="L292" s="78">
        <f t="shared" si="10"/>
        <v>0.19229653063279922</v>
      </c>
      <c r="M292" s="5">
        <f>SUMIFS(ĐMCP!$Q:$Q,ĐMCP!$P:$P, "="&amp;'HQ1'!B292,ĐMCP!$O:$O, "="&amp;'HQ1'!A292)</f>
        <v>442695800.8717612</v>
      </c>
      <c r="N292" s="89">
        <f t="shared" si="9"/>
        <v>0.12823879718780518</v>
      </c>
    </row>
    <row r="293" spans="1:14" x14ac:dyDescent="0.25">
      <c r="A293" s="123" t="s">
        <v>102</v>
      </c>
      <c r="B293" s="15" t="s">
        <v>45</v>
      </c>
      <c r="C293" s="132">
        <v>6581739401</v>
      </c>
      <c r="D293" s="132">
        <v>3044818400</v>
      </c>
      <c r="E293" s="132">
        <v>-89936934.400000006</v>
      </c>
      <c r="F293" s="132">
        <v>-16074462</v>
      </c>
      <c r="G293" s="132">
        <v>1961478607</v>
      </c>
      <c r="H293" s="132">
        <v>197452182.03</v>
      </c>
      <c r="I293" s="132">
        <v>1484001608.3699999</v>
      </c>
      <c r="J293" s="113">
        <f>SUMIFS(PGĐ!$H:$H,PGĐ!$F:$F, "="&amp;B293, PGĐ!$I:$I, "="&amp;'HQ1'!A293)</f>
        <v>0</v>
      </c>
      <c r="K293" s="113"/>
      <c r="L293" s="78">
        <f t="shared" si="10"/>
        <v>0.45397045446126427</v>
      </c>
      <c r="M293" s="5">
        <f>SUMIFS(ĐMCP!$Q:$Q,ĐMCP!$P:$P, "="&amp;'HQ1'!B293,ĐMCP!$O:$O, "="&amp;'HQ1'!A293)</f>
        <v>0</v>
      </c>
      <c r="N293" s="89">
        <f t="shared" si="9"/>
        <v>0</v>
      </c>
    </row>
    <row r="294" spans="1:14" x14ac:dyDescent="0.25">
      <c r="A294" s="123" t="s">
        <v>102</v>
      </c>
      <c r="B294" s="16" t="s">
        <v>135</v>
      </c>
      <c r="C294" s="7">
        <v>3145320945</v>
      </c>
      <c r="D294" s="7">
        <v>1577031300</v>
      </c>
      <c r="E294" s="7">
        <v>-98263995</v>
      </c>
      <c r="G294" s="7">
        <v>812712979</v>
      </c>
      <c r="H294" s="7">
        <v>94359628.349999994</v>
      </c>
      <c r="I294" s="7">
        <v>759481032.64999998</v>
      </c>
      <c r="J294" s="113">
        <f>SUMIFS(PGĐ!$H:$H,PGĐ!$F:$F, "="&amp;B294, PGĐ!$I:$I, "="&amp;'HQ1'!A294)</f>
        <v>1700000</v>
      </c>
      <c r="K294" s="113"/>
      <c r="L294" s="78">
        <f t="shared" si="10"/>
        <v>0.48620009315988499</v>
      </c>
      <c r="M294" s="5">
        <f>SUMIFS(ĐMCP!$Q:$Q,ĐMCP!$P:$P, "="&amp;'HQ1'!B294,ĐMCP!$O:$O, "="&amp;'HQ1'!A294)</f>
        <v>812712978.72256875</v>
      </c>
      <c r="N294" s="89">
        <f t="shared" si="9"/>
        <v>0.27743124961853027</v>
      </c>
    </row>
    <row r="295" spans="1:14" x14ac:dyDescent="0.25">
      <c r="A295" s="123" t="s">
        <v>102</v>
      </c>
      <c r="B295" s="16" t="s">
        <v>136</v>
      </c>
      <c r="C295" s="7">
        <v>5910000</v>
      </c>
      <c r="E295" s="7">
        <v>-923880</v>
      </c>
      <c r="G295" s="7">
        <v>3064904</v>
      </c>
      <c r="H295" s="7">
        <v>177300</v>
      </c>
      <c r="I295" s="7">
        <v>3591676</v>
      </c>
      <c r="J295" s="113">
        <f>SUMIFS(PGĐ!$H:$H,PGĐ!$F:$F, "="&amp;B295, PGĐ!$I:$I, "="&amp;'HQ1'!A295)</f>
        <v>0</v>
      </c>
      <c r="K295" s="113"/>
      <c r="L295" s="78">
        <f t="shared" si="10"/>
        <v>0</v>
      </c>
      <c r="M295" s="5">
        <f>SUMIFS(ĐMCP!$Q:$Q,ĐMCP!$P:$P, "="&amp;'HQ1'!B295,ĐMCP!$O:$O, "="&amp;'HQ1'!A295)</f>
        <v>3064903.7070203992</v>
      </c>
      <c r="N295" s="89">
        <f t="shared" si="9"/>
        <v>0.29297960083931684</v>
      </c>
    </row>
    <row r="296" spans="1:14" x14ac:dyDescent="0.25">
      <c r="A296" s="123" t="s">
        <v>102</v>
      </c>
      <c r="B296" s="16" t="s">
        <v>137</v>
      </c>
      <c r="C296" s="7">
        <v>2863841054</v>
      </c>
      <c r="D296" s="7">
        <v>1074966138</v>
      </c>
      <c r="E296" s="7">
        <v>-37219337.5</v>
      </c>
      <c r="F296" s="7">
        <v>23171697</v>
      </c>
      <c r="G296" s="7">
        <v>950653280</v>
      </c>
      <c r="H296" s="7">
        <v>85915231.61999999</v>
      </c>
      <c r="I296" s="7">
        <v>766354044.88</v>
      </c>
      <c r="J296" s="113">
        <f>SUMIFS(PGĐ!$H:$H,PGĐ!$F:$F, "="&amp;B296, PGĐ!$I:$I, "="&amp;'HQ1'!A296)</f>
        <v>4300000</v>
      </c>
      <c r="K296" s="113"/>
      <c r="L296" s="78">
        <f t="shared" si="10"/>
        <v>0.37852980869253994</v>
      </c>
      <c r="M296" s="5">
        <f>SUMIFS(ĐMCP!$Q:$Q,ĐMCP!$P:$P, "="&amp;'HQ1'!B296,ĐMCP!$O:$O, "="&amp;'HQ1'!A296)</f>
        <v>950653280.21812856</v>
      </c>
      <c r="N296" s="89">
        <f t="shared" si="9"/>
        <v>-0.21812856197357178</v>
      </c>
    </row>
    <row r="297" spans="1:14" x14ac:dyDescent="0.25">
      <c r="A297" s="123" t="s">
        <v>102</v>
      </c>
      <c r="B297" s="16" t="s">
        <v>138</v>
      </c>
      <c r="C297" s="7">
        <v>566667402</v>
      </c>
      <c r="D297" s="7">
        <v>392820962</v>
      </c>
      <c r="E297" s="7">
        <v>46470278.100000001</v>
      </c>
      <c r="F297" s="7">
        <v>-39246159</v>
      </c>
      <c r="G297" s="7">
        <v>195047444</v>
      </c>
      <c r="H297" s="7">
        <v>17000022.059999999</v>
      </c>
      <c r="I297" s="7">
        <v>-45425145.159999996</v>
      </c>
      <c r="J297" s="113">
        <f>SUMIFS(PGĐ!$H:$H,PGĐ!$F:$F, "="&amp;B297, PGĐ!$I:$I, "="&amp;'HQ1'!A297)</f>
        <v>0</v>
      </c>
      <c r="K297" s="113"/>
      <c r="L297" s="78">
        <f t="shared" si="10"/>
        <v>0.67969388286731358</v>
      </c>
      <c r="M297" s="5">
        <f>SUMIFS(ĐMCP!$Q:$Q,ĐMCP!$P:$P, "="&amp;'HQ1'!B297,ĐMCP!$O:$O, "="&amp;'HQ1'!A297)</f>
        <v>195047444.28281313</v>
      </c>
      <c r="N297" s="89">
        <f t="shared" si="9"/>
        <v>-0.28281313180923462</v>
      </c>
    </row>
    <row r="298" spans="1:14" x14ac:dyDescent="0.25">
      <c r="A298" s="123" t="s">
        <v>69</v>
      </c>
      <c r="B298" s="15" t="s">
        <v>45</v>
      </c>
      <c r="C298" s="132">
        <v>17476403349</v>
      </c>
      <c r="D298" s="132">
        <v>7977163391</v>
      </c>
      <c r="E298" s="132">
        <v>1371067455</v>
      </c>
      <c r="F298" s="132">
        <v>-87722436</v>
      </c>
      <c r="G298" s="132">
        <v>4817813477</v>
      </c>
      <c r="H298" s="132">
        <v>524292100.46999997</v>
      </c>
      <c r="I298" s="132">
        <v>2873789361.5300002</v>
      </c>
      <c r="J298" s="113">
        <f>SUMIFS(PGĐ!$H:$H,PGĐ!$F:$F, "="&amp;B298, PGĐ!$I:$I, "="&amp;'HQ1'!A298)</f>
        <v>0</v>
      </c>
      <c r="K298" s="113"/>
      <c r="L298" s="78">
        <f t="shared" si="10"/>
        <v>0.48986503646528667</v>
      </c>
      <c r="M298" s="5">
        <f>SUMIFS(ĐMCP!$Q:$Q,ĐMCP!$P:$P, "="&amp;'HQ1'!B298,ĐMCP!$O:$O, "="&amp;'HQ1'!A298)</f>
        <v>0</v>
      </c>
      <c r="N298" s="89">
        <f t="shared" si="9"/>
        <v>0</v>
      </c>
    </row>
    <row r="299" spans="1:14" x14ac:dyDescent="0.25">
      <c r="A299" s="123" t="s">
        <v>69</v>
      </c>
      <c r="B299" s="16" t="s">
        <v>135</v>
      </c>
      <c r="C299" s="7">
        <v>3746338424</v>
      </c>
      <c r="D299" s="7">
        <v>1647982600</v>
      </c>
      <c r="E299" s="7">
        <v>193496925</v>
      </c>
      <c r="F299" s="7">
        <v>19490000</v>
      </c>
      <c r="G299" s="7">
        <v>994163676</v>
      </c>
      <c r="H299" s="7">
        <v>112390152.72</v>
      </c>
      <c r="I299" s="7">
        <v>778815070.27999997</v>
      </c>
      <c r="J299" s="113">
        <f>SUMIFS(PGĐ!$H:$H,PGĐ!$F:$F, "="&amp;B299, PGĐ!$I:$I, "="&amp;'HQ1'!A299)</f>
        <v>0</v>
      </c>
      <c r="K299" s="113"/>
      <c r="L299" s="78">
        <f t="shared" si="10"/>
        <v>0.46933492543062644</v>
      </c>
      <c r="M299" s="5">
        <f>SUMIFS(ĐMCP!$Q:$Q,ĐMCP!$P:$P, "="&amp;'HQ1'!B299,ĐMCP!$O:$O, "="&amp;'HQ1'!A299)</f>
        <v>994163676.10271847</v>
      </c>
      <c r="N299" s="89">
        <f t="shared" si="9"/>
        <v>-0.10271847248077393</v>
      </c>
    </row>
    <row r="300" spans="1:14" x14ac:dyDescent="0.25">
      <c r="A300" s="123" t="s">
        <v>69</v>
      </c>
      <c r="B300" s="16" t="s">
        <v>136</v>
      </c>
      <c r="C300" s="7">
        <v>254849040</v>
      </c>
      <c r="E300" s="7">
        <v>10204751.5</v>
      </c>
      <c r="F300" s="7">
        <v>-125000000</v>
      </c>
      <c r="G300" s="7">
        <v>105696276</v>
      </c>
      <c r="H300" s="7">
        <v>7645471.1999999993</v>
      </c>
      <c r="I300" s="7">
        <v>256302541.30000001</v>
      </c>
      <c r="J300" s="113">
        <f>SUMIFS(PGĐ!$H:$H,PGĐ!$F:$F, "="&amp;B300, PGĐ!$I:$I, "="&amp;'HQ1'!A300)</f>
        <v>0</v>
      </c>
      <c r="K300" s="113"/>
      <c r="L300" s="78">
        <f t="shared" si="10"/>
        <v>-0.51094591566563385</v>
      </c>
      <c r="M300" s="5">
        <f>SUMIFS(ĐMCP!$Q:$Q,ĐMCP!$P:$P, "="&amp;'HQ1'!B300,ĐMCP!$O:$O, "="&amp;'HQ1'!A300)</f>
        <v>105696276.36070147</v>
      </c>
      <c r="N300" s="89">
        <f t="shared" si="9"/>
        <v>-0.36070147156715393</v>
      </c>
    </row>
    <row r="301" spans="1:14" x14ac:dyDescent="0.25">
      <c r="A301" s="123" t="s">
        <v>69</v>
      </c>
      <c r="B301" s="16" t="s">
        <v>137</v>
      </c>
      <c r="C301" s="7">
        <v>7980630820</v>
      </c>
      <c r="D301" s="7">
        <v>4480035721</v>
      </c>
      <c r="E301" s="7">
        <v>341005376</v>
      </c>
      <c r="F301" s="7">
        <v>318505486</v>
      </c>
      <c r="G301" s="7">
        <v>2285512024</v>
      </c>
      <c r="H301" s="7">
        <v>239418924.59999999</v>
      </c>
      <c r="I301" s="7">
        <v>316153288.39999998</v>
      </c>
      <c r="J301" s="113">
        <f>SUMIFS(PGĐ!$H:$H,PGĐ!$F:$F, "="&amp;B301, PGĐ!$I:$I, "="&amp;'HQ1'!A301)</f>
        <v>77960000</v>
      </c>
      <c r="K301" s="113"/>
      <c r="L301" s="78">
        <f t="shared" si="10"/>
        <v>0.62811210342369239</v>
      </c>
      <c r="M301" s="5">
        <f>SUMIFS(ĐMCP!$Q:$Q,ĐMCP!$P:$P, "="&amp;'HQ1'!B301,ĐMCP!$O:$O, "="&amp;'HQ1'!A301)</f>
        <v>2285512024.4870243</v>
      </c>
      <c r="N301" s="89">
        <f t="shared" si="9"/>
        <v>-0.48702430725097656</v>
      </c>
    </row>
    <row r="302" spans="1:14" x14ac:dyDescent="0.25">
      <c r="A302" s="123" t="s">
        <v>69</v>
      </c>
      <c r="B302" s="16" t="s">
        <v>138</v>
      </c>
      <c r="C302" s="7">
        <v>5494585065</v>
      </c>
      <c r="D302" s="7">
        <v>1849145070</v>
      </c>
      <c r="E302" s="7">
        <v>826360402.5</v>
      </c>
      <c r="F302" s="7">
        <v>-300717922</v>
      </c>
      <c r="G302" s="7">
        <v>1432441501</v>
      </c>
      <c r="H302" s="7">
        <v>164837551.94999999</v>
      </c>
      <c r="I302" s="7">
        <v>1522518461.55</v>
      </c>
      <c r="J302" s="113">
        <f>SUMIFS(PGĐ!$H:$H,PGĐ!$F:$F, "="&amp;B302, PGĐ!$I:$I, "="&amp;'HQ1'!A302)</f>
        <v>0</v>
      </c>
      <c r="K302" s="113"/>
      <c r="L302" s="78">
        <f t="shared" si="10"/>
        <v>0.33169507895336858</v>
      </c>
      <c r="M302" s="5">
        <f>SUMIFS(ĐMCP!$Q:$Q,ĐMCP!$P:$P, "="&amp;'HQ1'!B302,ĐMCP!$O:$O, "="&amp;'HQ1'!A302)</f>
        <v>1432441500.9049838</v>
      </c>
      <c r="N302" s="89">
        <f t="shared" si="9"/>
        <v>9.5016241073608398E-2</v>
      </c>
    </row>
    <row r="303" spans="1:14" x14ac:dyDescent="0.25">
      <c r="A303" s="123" t="s">
        <v>112</v>
      </c>
      <c r="B303" s="15" t="s">
        <v>45</v>
      </c>
      <c r="C303" s="132">
        <v>11423416265</v>
      </c>
      <c r="D303" s="132">
        <v>5227617723</v>
      </c>
      <c r="E303" s="132">
        <v>396508743.75</v>
      </c>
      <c r="F303" s="132">
        <v>1283901507.9200001</v>
      </c>
      <c r="G303" s="132">
        <v>3757523294</v>
      </c>
      <c r="H303" s="132">
        <v>342702487.94999999</v>
      </c>
      <c r="I303" s="132">
        <v>415162508.38</v>
      </c>
      <c r="J303" s="113">
        <f>SUMIFS(PGĐ!$H:$H,PGĐ!$F:$F, "="&amp;B303, PGĐ!$I:$I, "="&amp;'HQ1'!A303)</f>
        <v>0</v>
      </c>
      <c r="K303" s="113"/>
      <c r="L303" s="78">
        <f t="shared" si="10"/>
        <v>0.5905118201428301</v>
      </c>
      <c r="M303" s="5">
        <f>SUMIFS(ĐMCP!$Q:$Q,ĐMCP!$P:$P, "="&amp;'HQ1'!B303,ĐMCP!$O:$O, "="&amp;'HQ1'!A303)</f>
        <v>0</v>
      </c>
      <c r="N303" s="89">
        <f t="shared" si="9"/>
        <v>0</v>
      </c>
    </row>
    <row r="304" spans="1:14" x14ac:dyDescent="0.25">
      <c r="A304" s="123" t="s">
        <v>112</v>
      </c>
      <c r="B304" s="16" t="s">
        <v>135</v>
      </c>
      <c r="C304" s="7">
        <v>1916427188</v>
      </c>
      <c r="D304" s="7">
        <v>1428546670</v>
      </c>
      <c r="E304" s="7">
        <v>-5187319.25</v>
      </c>
      <c r="G304" s="7">
        <v>647969405</v>
      </c>
      <c r="H304" s="7">
        <v>57492815.640000001</v>
      </c>
      <c r="I304" s="7">
        <v>-212394383.38999999</v>
      </c>
      <c r="J304" s="113">
        <f>SUMIFS(PGĐ!$H:$H,PGĐ!$F:$F, "="&amp;B304, PGĐ!$I:$I, "="&amp;'HQ1'!A304)</f>
        <v>0</v>
      </c>
      <c r="K304" s="113"/>
      <c r="L304" s="78">
        <f t="shared" si="10"/>
        <v>0.74340959886089553</v>
      </c>
      <c r="M304" s="5">
        <f>SUMIFS(ĐMCP!$Q:$Q,ĐMCP!$P:$P, "="&amp;'HQ1'!B304,ĐMCP!$O:$O, "="&amp;'HQ1'!A304)</f>
        <v>647969405.49668312</v>
      </c>
      <c r="N304" s="89">
        <f t="shared" si="9"/>
        <v>-0.49668312072753906</v>
      </c>
    </row>
    <row r="305" spans="1:14" x14ac:dyDescent="0.25">
      <c r="A305" s="123" t="s">
        <v>112</v>
      </c>
      <c r="B305" s="16" t="s">
        <v>136</v>
      </c>
      <c r="C305" s="7">
        <v>23620500</v>
      </c>
      <c r="E305" s="7">
        <v>1381190</v>
      </c>
      <c r="G305" s="7">
        <v>12842176</v>
      </c>
      <c r="H305" s="7">
        <v>708615</v>
      </c>
      <c r="I305" s="7">
        <v>8688519</v>
      </c>
      <c r="J305" s="113">
        <f>SUMIFS(PGĐ!$H:$H,PGĐ!$F:$F, "="&amp;B305, PGĐ!$I:$I, "="&amp;'HQ1'!A305)</f>
        <v>0</v>
      </c>
      <c r="K305" s="113"/>
      <c r="L305" s="78">
        <f t="shared" si="10"/>
        <v>0</v>
      </c>
      <c r="M305" s="5">
        <f>SUMIFS(ĐMCP!$Q:$Q,ĐMCP!$P:$P, "="&amp;'HQ1'!B305,ĐMCP!$O:$O, "="&amp;'HQ1'!A305)</f>
        <v>12842176.139644092</v>
      </c>
      <c r="N305" s="89">
        <f t="shared" si="9"/>
        <v>-0.13964409194886684</v>
      </c>
    </row>
    <row r="306" spans="1:14" x14ac:dyDescent="0.25">
      <c r="A306" s="123" t="s">
        <v>112</v>
      </c>
      <c r="B306" s="16" t="s">
        <v>137</v>
      </c>
      <c r="C306" s="7">
        <v>8023636193</v>
      </c>
      <c r="D306" s="7">
        <v>3556043706</v>
      </c>
      <c r="E306" s="7">
        <v>264226711.5</v>
      </c>
      <c r="F306" s="7">
        <v>1261513787.9200001</v>
      </c>
      <c r="G306" s="7">
        <v>2759569355</v>
      </c>
      <c r="H306" s="7">
        <v>240709085.78999999</v>
      </c>
      <c r="I306" s="7">
        <v>-58426453.210000068</v>
      </c>
      <c r="J306" s="113">
        <f>SUMIFS(PGĐ!$H:$H,PGĐ!$F:$F, "="&amp;B306, PGĐ!$I:$I, "="&amp;'HQ1'!A306)</f>
        <v>23394200</v>
      </c>
      <c r="K306" s="113"/>
      <c r="L306" s="78">
        <f t="shared" si="10"/>
        <v>0.62086651122176639</v>
      </c>
      <c r="M306" s="5">
        <f>SUMIFS(ĐMCP!$Q:$Q,ĐMCP!$P:$P, "="&amp;'HQ1'!B306,ĐMCP!$O:$O, "="&amp;'HQ1'!A306)</f>
        <v>2759569354.8493848</v>
      </c>
      <c r="N306" s="89">
        <f t="shared" si="9"/>
        <v>0.15061521530151367</v>
      </c>
    </row>
    <row r="307" spans="1:14" x14ac:dyDescent="0.25">
      <c r="A307" s="123" t="s">
        <v>112</v>
      </c>
      <c r="B307" s="16" t="s">
        <v>138</v>
      </c>
      <c r="C307" s="7">
        <v>1459732384</v>
      </c>
      <c r="D307" s="7">
        <v>243027347</v>
      </c>
      <c r="E307" s="7">
        <v>136088161.5</v>
      </c>
      <c r="F307" s="7">
        <v>22387720</v>
      </c>
      <c r="G307" s="7">
        <v>337142358</v>
      </c>
      <c r="H307" s="7">
        <v>43791971.519999996</v>
      </c>
      <c r="I307" s="7">
        <v>677294825.98000002</v>
      </c>
      <c r="J307" s="113">
        <f>SUMIFS(PGĐ!$H:$H,PGĐ!$F:$F, "="&amp;B307, PGĐ!$I:$I, "="&amp;'HQ1'!A307)</f>
        <v>0</v>
      </c>
      <c r="K307" s="113"/>
      <c r="L307" s="78">
        <f t="shared" si="10"/>
        <v>0.20051843425018237</v>
      </c>
      <c r="M307" s="5">
        <f>SUMIFS(ĐMCP!$Q:$Q,ĐMCP!$P:$P, "="&amp;'HQ1'!B307,ĐMCP!$O:$O, "="&amp;'HQ1'!A307)</f>
        <v>337142357.83099741</v>
      </c>
      <c r="N307" s="89">
        <f t="shared" si="9"/>
        <v>0.16900259256362915</v>
      </c>
    </row>
    <row r="308" spans="1:14" x14ac:dyDescent="0.25">
      <c r="A308" s="123" t="s">
        <v>46</v>
      </c>
      <c r="B308" s="15" t="s">
        <v>45</v>
      </c>
      <c r="C308" s="132">
        <v>113123560634</v>
      </c>
      <c r="D308" s="132">
        <v>51271700856</v>
      </c>
      <c r="E308" s="132">
        <v>-7355422014.75</v>
      </c>
      <c r="F308" s="132">
        <v>-7497350413</v>
      </c>
      <c r="G308" s="132">
        <v>27842748492</v>
      </c>
      <c r="H308" s="132">
        <v>3393706819.02</v>
      </c>
      <c r="I308" s="132">
        <v>45468176894.730003</v>
      </c>
      <c r="J308" s="113">
        <f>SUMIFS(PGĐ!$H:$H,PGĐ!$F:$F, "="&amp;B308, PGĐ!$I:$I, "="&amp;'HQ1'!A308)</f>
        <v>0</v>
      </c>
      <c r="K308" s="113"/>
      <c r="L308" s="78">
        <f t="shared" si="10"/>
        <v>0.36333599006742751</v>
      </c>
      <c r="M308" s="5">
        <f>SUMIFS(ĐMCP!$Q:$Q,ĐMCP!$P:$P, "="&amp;'HQ1'!B308,ĐMCP!$O:$O, "="&amp;'HQ1'!A308)</f>
        <v>0</v>
      </c>
      <c r="N308" s="89">
        <f t="shared" si="9"/>
        <v>0</v>
      </c>
    </row>
    <row r="309" spans="1:14" x14ac:dyDescent="0.25">
      <c r="A309" s="123" t="s">
        <v>46</v>
      </c>
      <c r="B309" s="16" t="s">
        <v>135</v>
      </c>
      <c r="C309" s="7">
        <v>5067283702</v>
      </c>
      <c r="D309" s="7">
        <v>1299041929</v>
      </c>
      <c r="E309" s="7">
        <v>-24671749.25</v>
      </c>
      <c r="F309" s="7">
        <v>-6318021908</v>
      </c>
      <c r="G309" s="7">
        <v>2288529660</v>
      </c>
      <c r="H309" s="7">
        <v>152018511.06</v>
      </c>
      <c r="I309" s="7">
        <v>7670387259.1899996</v>
      </c>
      <c r="J309" s="113">
        <f>SUMIFS(PGĐ!$H:$H,PGĐ!$F:$F, "="&amp;B309, PGĐ!$I:$I, "="&amp;'HQ1'!A309)</f>
        <v>0</v>
      </c>
      <c r="K309" s="113"/>
      <c r="L309" s="78">
        <f t="shared" si="10"/>
        <v>-0.98566847786696843</v>
      </c>
      <c r="M309" s="5">
        <f>SUMIFS(ĐMCP!$Q:$Q,ĐMCP!$P:$P, "="&amp;'HQ1'!B309,ĐMCP!$O:$O, "="&amp;'HQ1'!A309)</f>
        <v>2288529659.8059893</v>
      </c>
      <c r="N309" s="89">
        <f t="shared" si="9"/>
        <v>0.19401073455810547</v>
      </c>
    </row>
    <row r="310" spans="1:14" x14ac:dyDescent="0.25">
      <c r="A310" s="123" t="s">
        <v>46</v>
      </c>
      <c r="B310" s="16" t="s">
        <v>136</v>
      </c>
      <c r="C310" s="7">
        <v>1344565037</v>
      </c>
      <c r="D310" s="7">
        <v>60501605</v>
      </c>
      <c r="E310" s="7">
        <v>836902.5</v>
      </c>
      <c r="F310" s="7">
        <v>-418410046</v>
      </c>
      <c r="G310" s="7">
        <v>639044257</v>
      </c>
      <c r="H310" s="7">
        <v>40336951.109999999</v>
      </c>
      <c r="I310" s="7">
        <v>1022255367.39</v>
      </c>
      <c r="J310" s="113">
        <f>SUMIFS(PGĐ!$H:$H,PGĐ!$F:$F, "="&amp;B310, PGĐ!$I:$I, "="&amp;'HQ1'!A310)</f>
        <v>0</v>
      </c>
      <c r="K310" s="113"/>
      <c r="L310" s="78">
        <f t="shared" si="10"/>
        <v>-0.26635480184626587</v>
      </c>
      <c r="M310" s="5">
        <f>SUMIFS(ĐMCP!$Q:$Q,ĐMCP!$P:$P, "="&amp;'HQ1'!B310,ĐMCP!$O:$O, "="&amp;'HQ1'!A310)</f>
        <v>639044256.76058924</v>
      </c>
      <c r="N310" s="89">
        <f t="shared" si="9"/>
        <v>0.23941075801849365</v>
      </c>
    </row>
    <row r="311" spans="1:14" x14ac:dyDescent="0.25">
      <c r="A311" s="123" t="s">
        <v>46</v>
      </c>
      <c r="B311" s="16" t="s">
        <v>137</v>
      </c>
      <c r="C311" s="7">
        <v>24035896107</v>
      </c>
      <c r="D311" s="7">
        <v>10666287719</v>
      </c>
      <c r="E311" s="7">
        <v>-1765540</v>
      </c>
      <c r="F311" s="7">
        <v>3801329400</v>
      </c>
      <c r="G311" s="7">
        <v>7036469023</v>
      </c>
      <c r="H311" s="7">
        <v>721076883.20999992</v>
      </c>
      <c r="I311" s="7">
        <v>1812498621.79</v>
      </c>
      <c r="J311" s="113">
        <f>SUMIFS(PGĐ!$H:$H,PGĐ!$F:$F, "="&amp;B311, PGĐ!$I:$I, "="&amp;'HQ1'!A311)</f>
        <v>110200000</v>
      </c>
      <c r="K311" s="113"/>
      <c r="L311" s="78">
        <f t="shared" si="10"/>
        <v>0.60187289976292757</v>
      </c>
      <c r="M311" s="5">
        <f>SUMIFS(ĐMCP!$Q:$Q,ĐMCP!$P:$P, "="&amp;'HQ1'!B311,ĐMCP!$O:$O, "="&amp;'HQ1'!A311)</f>
        <v>7036469023.1317301</v>
      </c>
      <c r="N311" s="89">
        <f t="shared" si="9"/>
        <v>-0.13173007965087891</v>
      </c>
    </row>
    <row r="312" spans="1:14" x14ac:dyDescent="0.25">
      <c r="A312" s="123" t="s">
        <v>46</v>
      </c>
      <c r="B312" s="16" t="s">
        <v>138</v>
      </c>
      <c r="C312" s="7">
        <v>82675815788</v>
      </c>
      <c r="D312" s="7">
        <v>39245869603</v>
      </c>
      <c r="E312" s="7">
        <v>-7329821628</v>
      </c>
      <c r="F312" s="7">
        <v>-4562247859</v>
      </c>
      <c r="G312" s="7">
        <v>17878705552</v>
      </c>
      <c r="H312" s="7">
        <v>2480274473.6399999</v>
      </c>
      <c r="I312" s="7">
        <v>34963035646.360001</v>
      </c>
      <c r="J312" s="113">
        <f>SUMIFS(PGĐ!$H:$H,PGĐ!$F:$F, "="&amp;B312, PGĐ!$I:$I, "="&amp;'HQ1'!A312)</f>
        <v>0</v>
      </c>
      <c r="K312" s="113"/>
      <c r="L312" s="78">
        <f t="shared" si="10"/>
        <v>0.38534943743239808</v>
      </c>
      <c r="M312" s="5">
        <f>SUMIFS(ĐMCP!$Q:$Q,ĐMCP!$P:$P, "="&amp;'HQ1'!B312,ĐMCP!$O:$O, "="&amp;'HQ1'!A312)</f>
        <v>17878705552.081604</v>
      </c>
      <c r="N312" s="89">
        <f t="shared" si="9"/>
        <v>-8.160400390625E-2</v>
      </c>
    </row>
    <row r="313" spans="1:14" x14ac:dyDescent="0.25">
      <c r="A313" s="123" t="s">
        <v>114</v>
      </c>
      <c r="B313" s="15" t="s">
        <v>45</v>
      </c>
      <c r="C313" s="132">
        <v>4599927105</v>
      </c>
      <c r="D313" s="132">
        <v>3219809778</v>
      </c>
      <c r="E313" s="132">
        <v>-374451077.5</v>
      </c>
      <c r="F313" s="132">
        <v>87324260</v>
      </c>
      <c r="G313" s="132">
        <v>1789021496</v>
      </c>
      <c r="H313" s="132">
        <v>137997813.15000001</v>
      </c>
      <c r="I313" s="132">
        <v>-259775164.64999986</v>
      </c>
      <c r="J313" s="113">
        <f>SUMIFS(PGĐ!$H:$H,PGĐ!$F:$F, "="&amp;B313, PGĐ!$I:$I, "="&amp;'HQ1'!A313)</f>
        <v>0</v>
      </c>
      <c r="K313" s="113"/>
      <c r="L313" s="78">
        <f t="shared" si="10"/>
        <v>0.66483365692511864</v>
      </c>
      <c r="M313" s="5">
        <f>SUMIFS(ĐMCP!$Q:$Q,ĐMCP!$P:$P, "="&amp;'HQ1'!B313,ĐMCP!$O:$O, "="&amp;'HQ1'!A313)</f>
        <v>0</v>
      </c>
      <c r="N313" s="89">
        <f t="shared" si="9"/>
        <v>0</v>
      </c>
    </row>
    <row r="314" spans="1:14" x14ac:dyDescent="0.25">
      <c r="A314" s="123" t="s">
        <v>114</v>
      </c>
      <c r="B314" s="16" t="s">
        <v>135</v>
      </c>
      <c r="C314" s="7">
        <v>1163675060</v>
      </c>
      <c r="D314" s="7">
        <v>1926670751</v>
      </c>
      <c r="E314" s="7">
        <v>-136446163.75</v>
      </c>
      <c r="G314" s="7">
        <v>362158071</v>
      </c>
      <c r="H314" s="7">
        <v>34910251.799999997</v>
      </c>
      <c r="I314" s="7">
        <v>-1023617850.05</v>
      </c>
      <c r="J314" s="113">
        <f>SUMIFS(PGĐ!$H:$H,PGĐ!$F:$F, "="&amp;B314, PGĐ!$I:$I, "="&amp;'HQ1'!A314)</f>
        <v>0</v>
      </c>
      <c r="K314" s="113"/>
      <c r="L314" s="78">
        <f t="shared" si="10"/>
        <v>1.481916236582012</v>
      </c>
      <c r="M314" s="5">
        <f>SUMIFS(ĐMCP!$Q:$Q,ĐMCP!$P:$P, "="&amp;'HQ1'!B314,ĐMCP!$O:$O, "="&amp;'HQ1'!A314)</f>
        <v>362158070.54790312</v>
      </c>
      <c r="N314" s="89">
        <f t="shared" si="9"/>
        <v>0.45209687948226929</v>
      </c>
    </row>
    <row r="315" spans="1:14" x14ac:dyDescent="0.25">
      <c r="A315" s="123" t="s">
        <v>114</v>
      </c>
      <c r="B315" s="16" t="s">
        <v>136</v>
      </c>
      <c r="C315" s="7">
        <v>15698700</v>
      </c>
      <c r="E315" s="7">
        <v>-1582180</v>
      </c>
      <c r="G315" s="7">
        <v>8856958</v>
      </c>
      <c r="H315" s="7">
        <v>470961</v>
      </c>
      <c r="I315" s="7">
        <v>7952961</v>
      </c>
      <c r="J315" s="113">
        <f>SUMIFS(PGĐ!$H:$H,PGĐ!$F:$F, "="&amp;B315, PGĐ!$I:$I, "="&amp;'HQ1'!A315)</f>
        <v>0</v>
      </c>
      <c r="K315" s="113"/>
      <c r="L315" s="78">
        <f t="shared" si="10"/>
        <v>0</v>
      </c>
      <c r="M315" s="5">
        <f>SUMIFS(ĐMCP!$Q:$Q,ĐMCP!$P:$P, "="&amp;'HQ1'!B315,ĐMCP!$O:$O, "="&amp;'HQ1'!A315)</f>
        <v>8856958.3618367836</v>
      </c>
      <c r="N315" s="89">
        <f t="shared" si="9"/>
        <v>-0.36183678358793259</v>
      </c>
    </row>
    <row r="316" spans="1:14" x14ac:dyDescent="0.25">
      <c r="A316" s="123" t="s">
        <v>114</v>
      </c>
      <c r="B316" s="16" t="s">
        <v>137</v>
      </c>
      <c r="C316" s="7">
        <v>2738078035</v>
      </c>
      <c r="D316" s="7">
        <v>1079234884</v>
      </c>
      <c r="E316" s="7">
        <v>-319831418.75</v>
      </c>
      <c r="F316" s="7">
        <v>96508588</v>
      </c>
      <c r="G316" s="7">
        <v>1081223079</v>
      </c>
      <c r="H316" s="7">
        <v>82142341.049999997</v>
      </c>
      <c r="I316" s="7">
        <v>718800561.70000005</v>
      </c>
      <c r="J316" s="113">
        <f>SUMIFS(PGĐ!$H:$H,PGĐ!$F:$F, "="&amp;B316, PGĐ!$I:$I, "="&amp;'HQ1'!A316)</f>
        <v>14400000</v>
      </c>
      <c r="K316" s="113"/>
      <c r="L316" s="78">
        <f t="shared" si="10"/>
        <v>0.38449257238737167</v>
      </c>
      <c r="M316" s="5">
        <f>SUMIFS(ĐMCP!$Q:$Q,ĐMCP!$P:$P, "="&amp;'HQ1'!B316,ĐMCP!$O:$O, "="&amp;'HQ1'!A316)</f>
        <v>1081223078.7344675</v>
      </c>
      <c r="N316" s="89">
        <f t="shared" si="9"/>
        <v>0.26553249359130859</v>
      </c>
    </row>
    <row r="317" spans="1:14" x14ac:dyDescent="0.25">
      <c r="A317" s="123" t="s">
        <v>114</v>
      </c>
      <c r="B317" s="16" t="s">
        <v>138</v>
      </c>
      <c r="C317" s="7">
        <v>682475310</v>
      </c>
      <c r="D317" s="7">
        <v>213904143</v>
      </c>
      <c r="E317" s="7">
        <v>83408685</v>
      </c>
      <c r="F317" s="7">
        <v>-9184328</v>
      </c>
      <c r="G317" s="7">
        <v>336783388</v>
      </c>
      <c r="H317" s="7">
        <v>20474259.300000001</v>
      </c>
      <c r="I317" s="7">
        <v>37089162.700000003</v>
      </c>
      <c r="J317" s="113">
        <f>SUMIFS(PGĐ!$H:$H,PGĐ!$F:$F, "="&amp;B317, PGĐ!$I:$I, "="&amp;'HQ1'!A317)</f>
        <v>0</v>
      </c>
      <c r="K317" s="113"/>
      <c r="L317" s="78">
        <f t="shared" si="10"/>
        <v>0.34173129741620978</v>
      </c>
      <c r="M317" s="5">
        <f>SUMIFS(ĐMCP!$Q:$Q,ĐMCP!$P:$P, "="&amp;'HQ1'!B317,ĐMCP!$O:$O, "="&amp;'HQ1'!A317)</f>
        <v>336783387.96220648</v>
      </c>
      <c r="N317" s="89">
        <f t="shared" si="9"/>
        <v>3.7793517112731934E-2</v>
      </c>
    </row>
    <row r="318" spans="1:14" x14ac:dyDescent="0.25">
      <c r="A318" s="123" t="s">
        <v>107</v>
      </c>
      <c r="B318" s="15" t="s">
        <v>45</v>
      </c>
      <c r="C318" s="132">
        <v>8484479985</v>
      </c>
      <c r="D318" s="132">
        <v>2473248227</v>
      </c>
      <c r="E318" s="132">
        <v>285439678.5</v>
      </c>
      <c r="F318" s="132">
        <v>2141573679</v>
      </c>
      <c r="G318" s="132">
        <v>3288209393</v>
      </c>
      <c r="H318" s="132">
        <v>254534399.54999998</v>
      </c>
      <c r="I318" s="132">
        <v>41474607.950000018</v>
      </c>
      <c r="J318" s="113">
        <f>SUMIFS(PGĐ!$H:$H,PGĐ!$F:$F, "="&amp;B318, PGĐ!$I:$I, "="&amp;'HQ1'!A318)</f>
        <v>0</v>
      </c>
      <c r="K318" s="113"/>
      <c r="L318" s="78">
        <f t="shared" si="10"/>
        <v>0.56284903275100151</v>
      </c>
      <c r="M318" s="5">
        <f>SUMIFS(ĐMCP!$Q:$Q,ĐMCP!$P:$P, "="&amp;'HQ1'!B318,ĐMCP!$O:$O, "="&amp;'HQ1'!A318)</f>
        <v>0</v>
      </c>
      <c r="N318" s="89">
        <f t="shared" si="9"/>
        <v>0</v>
      </c>
    </row>
    <row r="319" spans="1:14" x14ac:dyDescent="0.25">
      <c r="A319" s="123" t="s">
        <v>107</v>
      </c>
      <c r="B319" s="16" t="s">
        <v>135</v>
      </c>
      <c r="C319" s="7">
        <v>1602080023</v>
      </c>
      <c r="D319" s="7">
        <v>1071437000</v>
      </c>
      <c r="E319" s="7">
        <v>-94600714.25</v>
      </c>
      <c r="F319" s="7">
        <v>-20624000</v>
      </c>
      <c r="G319" s="7">
        <v>450899558</v>
      </c>
      <c r="H319" s="7">
        <v>48062400.689999998</v>
      </c>
      <c r="I319" s="7">
        <v>146905778.56</v>
      </c>
      <c r="J319" s="113">
        <f>SUMIFS(PGĐ!$H:$H,PGĐ!$F:$F, "="&amp;B319, PGĐ!$I:$I, "="&amp;'HQ1'!A319)</f>
        <v>0</v>
      </c>
      <c r="K319" s="113"/>
      <c r="L319" s="78">
        <f t="shared" si="10"/>
        <v>0.61933454947049738</v>
      </c>
      <c r="M319" s="5">
        <f>SUMIFS(ĐMCP!$Q:$Q,ĐMCP!$P:$P, "="&amp;'HQ1'!B319,ĐMCP!$O:$O, "="&amp;'HQ1'!A319)</f>
        <v>450899557.85389602</v>
      </c>
      <c r="N319" s="89">
        <f t="shared" si="9"/>
        <v>0.14610397815704346</v>
      </c>
    </row>
    <row r="320" spans="1:14" x14ac:dyDescent="0.25">
      <c r="A320" s="123" t="s">
        <v>107</v>
      </c>
      <c r="B320" s="16" t="s">
        <v>136</v>
      </c>
      <c r="C320" s="7">
        <v>11559000</v>
      </c>
      <c r="E320" s="7">
        <v>-448900</v>
      </c>
      <c r="G320" s="7">
        <v>6017418</v>
      </c>
      <c r="H320" s="7">
        <v>346770</v>
      </c>
      <c r="I320" s="7">
        <v>5643712</v>
      </c>
      <c r="J320" s="113">
        <f>SUMIFS(PGĐ!$H:$H,PGĐ!$F:$F, "="&amp;B320, PGĐ!$I:$I, "="&amp;'HQ1'!A320)</f>
        <v>0</v>
      </c>
      <c r="K320" s="113"/>
      <c r="L320" s="78">
        <f t="shared" si="10"/>
        <v>0</v>
      </c>
      <c r="M320" s="5">
        <f>SUMIFS(ĐMCP!$Q:$Q,ĐMCP!$P:$P, "="&amp;'HQ1'!B320,ĐMCP!$O:$O, "="&amp;'HQ1'!A320)</f>
        <v>6017417.722250713</v>
      </c>
      <c r="N320" s="89">
        <f t="shared" si="9"/>
        <v>0.27774928696453571</v>
      </c>
    </row>
    <row r="321" spans="1:14" x14ac:dyDescent="0.25">
      <c r="A321" s="123" t="s">
        <v>107</v>
      </c>
      <c r="B321" s="16" t="s">
        <v>137</v>
      </c>
      <c r="C321" s="7">
        <v>6568454367</v>
      </c>
      <c r="D321" s="7">
        <v>1316512794</v>
      </c>
      <c r="E321" s="7">
        <v>334316480.25</v>
      </c>
      <c r="F321" s="7">
        <v>2164680045</v>
      </c>
      <c r="G321" s="7">
        <v>2722263666</v>
      </c>
      <c r="H321" s="7">
        <v>197053631.00999999</v>
      </c>
      <c r="I321" s="7">
        <v>-166372249.25999999</v>
      </c>
      <c r="J321" s="113">
        <f>SUMIFS(PGĐ!$H:$H,PGĐ!$F:$F, "="&amp;B321, PGĐ!$I:$I, "="&amp;'HQ1'!A321)</f>
        <v>2800000</v>
      </c>
      <c r="K321" s="113"/>
      <c r="L321" s="78">
        <f t="shared" si="10"/>
        <v>0.55840805934031501</v>
      </c>
      <c r="M321" s="5">
        <f>SUMIFS(ĐMCP!$Q:$Q,ĐMCP!$P:$P, "="&amp;'HQ1'!B321,ĐMCP!$O:$O, "="&amp;'HQ1'!A321)</f>
        <v>2722263666.0459852</v>
      </c>
      <c r="N321" s="89">
        <f t="shared" si="9"/>
        <v>-4.5985221862792969E-2</v>
      </c>
    </row>
    <row r="322" spans="1:14" x14ac:dyDescent="0.25">
      <c r="A322" s="123" t="s">
        <v>107</v>
      </c>
      <c r="B322" s="16" t="s">
        <v>138</v>
      </c>
      <c r="C322" s="7">
        <v>302386595</v>
      </c>
      <c r="D322" s="7">
        <v>85298433</v>
      </c>
      <c r="E322" s="7">
        <v>46172812.5</v>
      </c>
      <c r="F322" s="7">
        <v>-2482366</v>
      </c>
      <c r="G322" s="7">
        <v>109028751</v>
      </c>
      <c r="H322" s="7">
        <v>9071597.8499999996</v>
      </c>
      <c r="I322" s="7">
        <v>55297366.649999999</v>
      </c>
      <c r="J322" s="113">
        <f>SUMIFS(PGĐ!$H:$H,PGĐ!$F:$F, "="&amp;B322, PGĐ!$I:$I, "="&amp;'HQ1'!A322)</f>
        <v>0</v>
      </c>
      <c r="K322" s="113"/>
      <c r="L322" s="78">
        <f t="shared" si="10"/>
        <v>0.32323033597929102</v>
      </c>
      <c r="M322" s="5">
        <f>SUMIFS(ĐMCP!$Q:$Q,ĐMCP!$P:$P, "="&amp;'HQ1'!B322,ĐMCP!$O:$O, "="&amp;'HQ1'!A322)</f>
        <v>109028751.45312302</v>
      </c>
      <c r="N322" s="89">
        <f t="shared" si="9"/>
        <v>-0.45312301814556122</v>
      </c>
    </row>
    <row r="323" spans="1:14" x14ac:dyDescent="0.25">
      <c r="A323" s="123" t="s">
        <v>90</v>
      </c>
      <c r="B323" s="15" t="s">
        <v>45</v>
      </c>
      <c r="C323" s="132">
        <v>12695383039</v>
      </c>
      <c r="D323" s="132">
        <v>8471940434</v>
      </c>
      <c r="E323" s="132">
        <v>-76869622</v>
      </c>
      <c r="F323" s="132">
        <v>-347360891</v>
      </c>
      <c r="G323" s="132">
        <v>3645752268</v>
      </c>
      <c r="H323" s="132">
        <v>380861491.16999996</v>
      </c>
      <c r="I323" s="132">
        <v>621059358.83000004</v>
      </c>
      <c r="J323" s="113">
        <f>SUMIFS(PGĐ!$H:$H,PGĐ!$F:$F, "="&amp;B323, PGĐ!$I:$I, "="&amp;'HQ1'!A323)</f>
        <v>0</v>
      </c>
      <c r="K323" s="113"/>
      <c r="L323" s="78">
        <f t="shared" si="10"/>
        <v>0.63611171487456997</v>
      </c>
      <c r="M323" s="5">
        <f>SUMIFS(ĐMCP!$Q:$Q,ĐMCP!$P:$P, "="&amp;'HQ1'!B323,ĐMCP!$O:$O, "="&amp;'HQ1'!A323)</f>
        <v>0</v>
      </c>
      <c r="N323" s="89">
        <f t="shared" ref="N323:N386" si="11">IF(M323=0,0,G323-M323)</f>
        <v>0</v>
      </c>
    </row>
    <row r="324" spans="1:14" x14ac:dyDescent="0.25">
      <c r="A324" s="123" t="s">
        <v>90</v>
      </c>
      <c r="B324" s="16" t="s">
        <v>135</v>
      </c>
      <c r="C324" s="7">
        <v>7814487340</v>
      </c>
      <c r="D324" s="7">
        <v>6191721860</v>
      </c>
      <c r="E324" s="7">
        <v>-458098739.75</v>
      </c>
      <c r="F324" s="7">
        <v>-10155000</v>
      </c>
      <c r="G324" s="7">
        <v>2100331181</v>
      </c>
      <c r="H324" s="7">
        <v>234434620.19999999</v>
      </c>
      <c r="I324" s="7">
        <v>-243746581.44999999</v>
      </c>
      <c r="J324" s="113">
        <f>SUMIFS(PGĐ!$H:$H,PGĐ!$F:$F, "="&amp;B324, PGĐ!$I:$I, "="&amp;'HQ1'!A324)</f>
        <v>10858000</v>
      </c>
      <c r="K324" s="113"/>
      <c r="L324" s="78">
        <f t="shared" ref="L324:L387" si="12">(D324+F324)/(C324-E324)</f>
        <v>0.74723512096556011</v>
      </c>
      <c r="M324" s="5">
        <f>SUMIFS(ĐMCP!$Q:$Q,ĐMCP!$P:$P, "="&amp;'HQ1'!B324,ĐMCP!$O:$O, "="&amp;'HQ1'!A324)</f>
        <v>2100331180.8814399</v>
      </c>
      <c r="N324" s="89">
        <f t="shared" si="11"/>
        <v>0.1185600757598877</v>
      </c>
    </row>
    <row r="325" spans="1:14" x14ac:dyDescent="0.25">
      <c r="A325" s="123" t="s">
        <v>90</v>
      </c>
      <c r="B325" s="16" t="s">
        <v>136</v>
      </c>
      <c r="C325" s="7">
        <v>54952500</v>
      </c>
      <c r="D325" s="7">
        <v>1500000</v>
      </c>
      <c r="E325" s="7">
        <v>-12265877.5</v>
      </c>
      <c r="F325" s="7">
        <v>-1024295</v>
      </c>
      <c r="G325" s="7">
        <v>30013760</v>
      </c>
      <c r="H325" s="7">
        <v>1648575</v>
      </c>
      <c r="I325" s="7">
        <v>35080337.5</v>
      </c>
      <c r="J325" s="113">
        <f>SUMIFS(PGĐ!$H:$H,PGĐ!$F:$F, "="&amp;B325, PGĐ!$I:$I, "="&amp;'HQ1'!A325)</f>
        <v>0</v>
      </c>
      <c r="K325" s="113"/>
      <c r="L325" s="78">
        <f t="shared" si="12"/>
        <v>7.0770080697053423E-3</v>
      </c>
      <c r="M325" s="5">
        <f>SUMIFS(ĐMCP!$Q:$Q,ĐMCP!$P:$P, "="&amp;'HQ1'!B325,ĐMCP!$O:$O, "="&amp;'HQ1'!A325)</f>
        <v>30013759.650751811</v>
      </c>
      <c r="N325" s="89">
        <f t="shared" si="11"/>
        <v>0.34924818947911263</v>
      </c>
    </row>
    <row r="326" spans="1:14" x14ac:dyDescent="0.25">
      <c r="A326" s="123" t="s">
        <v>90</v>
      </c>
      <c r="B326" s="16" t="s">
        <v>137</v>
      </c>
      <c r="C326" s="7">
        <v>2427433905</v>
      </c>
      <c r="D326" s="7">
        <v>1010940449</v>
      </c>
      <c r="E326" s="7">
        <v>171434770.25</v>
      </c>
      <c r="F326" s="7">
        <v>-139037272</v>
      </c>
      <c r="G326" s="7">
        <v>905392275</v>
      </c>
      <c r="H326" s="7">
        <v>72823017.149999991</v>
      </c>
      <c r="I326" s="7">
        <v>405880665.60000002</v>
      </c>
      <c r="J326" s="113">
        <f>SUMIFS(PGĐ!$H:$H,PGĐ!$F:$F, "="&amp;B326, PGĐ!$I:$I, "="&amp;'HQ1'!A326)</f>
        <v>2900000</v>
      </c>
      <c r="K326" s="113"/>
      <c r="L326" s="78">
        <f t="shared" si="12"/>
        <v>0.38648205292712601</v>
      </c>
      <c r="M326" s="5">
        <f>SUMIFS(ĐMCP!$Q:$Q,ĐMCP!$P:$P, "="&amp;'HQ1'!B326,ĐMCP!$O:$O, "="&amp;'HQ1'!A326)</f>
        <v>905392274.91762424</v>
      </c>
      <c r="N326" s="89">
        <f t="shared" si="11"/>
        <v>8.2375764846801758E-2</v>
      </c>
    </row>
    <row r="327" spans="1:14" x14ac:dyDescent="0.25">
      <c r="A327" s="123" t="s">
        <v>90</v>
      </c>
      <c r="B327" s="16" t="s">
        <v>138</v>
      </c>
      <c r="C327" s="7">
        <v>2398509294</v>
      </c>
      <c r="D327" s="7">
        <v>1267778125</v>
      </c>
      <c r="E327" s="7">
        <v>222060225</v>
      </c>
      <c r="F327" s="7">
        <v>-197144324</v>
      </c>
      <c r="G327" s="7">
        <v>610015052</v>
      </c>
      <c r="H327" s="7">
        <v>71955278.819999993</v>
      </c>
      <c r="I327" s="7">
        <v>423844937.18000001</v>
      </c>
      <c r="J327" s="113">
        <f>SUMIFS(PGĐ!$H:$H,PGĐ!$F:$F, "="&amp;B327, PGĐ!$I:$I, "="&amp;'HQ1'!A327)</f>
        <v>0</v>
      </c>
      <c r="K327" s="113"/>
      <c r="L327" s="78">
        <f t="shared" si="12"/>
        <v>0.49191769118305978</v>
      </c>
      <c r="M327" s="5">
        <f>SUMIFS(ĐMCP!$Q:$Q,ĐMCP!$P:$P, "="&amp;'HQ1'!B327,ĐMCP!$O:$O, "="&amp;'HQ1'!A327)</f>
        <v>610015052.20662832</v>
      </c>
      <c r="N327" s="89">
        <f t="shared" si="11"/>
        <v>-0.20662832260131836</v>
      </c>
    </row>
    <row r="328" spans="1:14" x14ac:dyDescent="0.25">
      <c r="A328" s="123" t="s">
        <v>96</v>
      </c>
      <c r="B328" s="15" t="s">
        <v>45</v>
      </c>
      <c r="C328" s="132">
        <v>5526939400</v>
      </c>
      <c r="D328" s="132">
        <v>6633268924</v>
      </c>
      <c r="E328" s="132">
        <v>28713680.149999991</v>
      </c>
      <c r="F328" s="132">
        <v>179953245</v>
      </c>
      <c r="G328" s="132">
        <v>1865992855</v>
      </c>
      <c r="H328" s="132">
        <v>165808182</v>
      </c>
      <c r="I328" s="132">
        <v>-3346797486.1500001</v>
      </c>
      <c r="J328" s="113">
        <f>SUMIFS(PGĐ!$H:$H,PGĐ!$F:$F, "="&amp;B328, PGĐ!$I:$I, "="&amp;'HQ1'!A328)</f>
        <v>0</v>
      </c>
      <c r="K328" s="113"/>
      <c r="L328" s="78">
        <f t="shared" si="12"/>
        <v>1.2391674180276968</v>
      </c>
      <c r="M328" s="5">
        <f>SUMIFS(ĐMCP!$Q:$Q,ĐMCP!$P:$P, "="&amp;'HQ1'!B328,ĐMCP!$O:$O, "="&amp;'HQ1'!A328)</f>
        <v>0</v>
      </c>
      <c r="N328" s="89">
        <f t="shared" si="11"/>
        <v>0</v>
      </c>
    </row>
    <row r="329" spans="1:14" x14ac:dyDescent="0.25">
      <c r="A329" s="123" t="s">
        <v>96</v>
      </c>
      <c r="B329" s="16" t="s">
        <v>135</v>
      </c>
      <c r="C329" s="7">
        <v>1124466600</v>
      </c>
      <c r="D329" s="7">
        <v>1832714900</v>
      </c>
      <c r="E329" s="7">
        <v>-31525586</v>
      </c>
      <c r="F329" s="7">
        <v>25680000</v>
      </c>
      <c r="G329" s="7">
        <v>389130401</v>
      </c>
      <c r="H329" s="7">
        <v>33733998</v>
      </c>
      <c r="I329" s="7">
        <v>-1125267113</v>
      </c>
      <c r="J329" s="113">
        <f>SUMIFS(PGĐ!$H:$H,PGĐ!$F:$F, "="&amp;B329, PGĐ!$I:$I, "="&amp;'HQ1'!A329)</f>
        <v>0</v>
      </c>
      <c r="K329" s="113"/>
      <c r="L329" s="78">
        <f t="shared" si="12"/>
        <v>1.6076189117077648</v>
      </c>
      <c r="M329" s="5">
        <f>SUMIFS(ĐMCP!$Q:$Q,ĐMCP!$P:$P, "="&amp;'HQ1'!B329,ĐMCP!$O:$O, "="&amp;'HQ1'!A329)</f>
        <v>389130401.17939675</v>
      </c>
      <c r="N329" s="89">
        <f t="shared" si="11"/>
        <v>-0.17939674854278564</v>
      </c>
    </row>
    <row r="330" spans="1:14" x14ac:dyDescent="0.25">
      <c r="A330" s="123" t="s">
        <v>96</v>
      </c>
      <c r="B330" s="16" t="s">
        <v>136</v>
      </c>
      <c r="C330" s="7">
        <v>6231000</v>
      </c>
      <c r="E330" s="7">
        <v>103100</v>
      </c>
      <c r="G330" s="7">
        <v>3555556</v>
      </c>
      <c r="H330" s="7">
        <v>186930</v>
      </c>
      <c r="I330" s="7">
        <v>2385414</v>
      </c>
      <c r="J330" s="113">
        <f>SUMIFS(PGĐ!$H:$H,PGĐ!$F:$F, "="&amp;B330, PGĐ!$I:$I, "="&amp;'HQ1'!A330)</f>
        <v>0</v>
      </c>
      <c r="K330" s="113"/>
      <c r="L330" s="78">
        <f t="shared" si="12"/>
        <v>0</v>
      </c>
      <c r="M330" s="5">
        <f>SUMIFS(ĐMCP!$Q:$Q,ĐMCP!$P:$P, "="&amp;'HQ1'!B330,ĐMCP!$O:$O, "="&amp;'HQ1'!A330)</f>
        <v>3555556.1714156927</v>
      </c>
      <c r="N330" s="89">
        <f t="shared" si="11"/>
        <v>-0.17141569266095757</v>
      </c>
    </row>
    <row r="331" spans="1:14" x14ac:dyDescent="0.25">
      <c r="A331" s="123" t="s">
        <v>96</v>
      </c>
      <c r="B331" s="16" t="s">
        <v>137</v>
      </c>
      <c r="C331" s="7">
        <v>3613290312</v>
      </c>
      <c r="D331" s="7">
        <v>1987331047</v>
      </c>
      <c r="E331" s="7">
        <v>-9617772.25</v>
      </c>
      <c r="F331" s="7">
        <v>-9323053</v>
      </c>
      <c r="G331" s="7">
        <v>1145586739</v>
      </c>
      <c r="H331" s="7">
        <v>108398709.36</v>
      </c>
      <c r="I331" s="7">
        <v>390914641.88999999</v>
      </c>
      <c r="J331" s="113">
        <f>SUMIFS(PGĐ!$H:$H,PGĐ!$F:$F, "="&amp;B331, PGĐ!$I:$I, "="&amp;'HQ1'!A331)</f>
        <v>18580000</v>
      </c>
      <c r="K331" s="113"/>
      <c r="L331" s="78">
        <f t="shared" si="12"/>
        <v>0.54597244754816332</v>
      </c>
      <c r="M331" s="5">
        <f>SUMIFS(ĐMCP!$Q:$Q,ĐMCP!$P:$P, "="&amp;'HQ1'!B331,ĐMCP!$O:$O, "="&amp;'HQ1'!A331)</f>
        <v>1145586739.3694887</v>
      </c>
      <c r="N331" s="89">
        <f t="shared" si="11"/>
        <v>-0.36948871612548828</v>
      </c>
    </row>
    <row r="332" spans="1:14" x14ac:dyDescent="0.25">
      <c r="A332" s="123" t="s">
        <v>96</v>
      </c>
      <c r="B332" s="16" t="s">
        <v>138</v>
      </c>
      <c r="C332" s="7">
        <v>782951488</v>
      </c>
      <c r="D332" s="7">
        <v>2813222977</v>
      </c>
      <c r="E332" s="7">
        <v>69753938.399999991</v>
      </c>
      <c r="F332" s="7">
        <v>163596298</v>
      </c>
      <c r="G332" s="7">
        <v>327720159</v>
      </c>
      <c r="H332" s="7">
        <v>23488544.640000001</v>
      </c>
      <c r="I332" s="7">
        <v>-2614830429.04</v>
      </c>
      <c r="J332" s="113">
        <f>SUMIFS(PGĐ!$H:$H,PGĐ!$F:$F, "="&amp;B332, PGĐ!$I:$I, "="&amp;'HQ1'!A332)</f>
        <v>0</v>
      </c>
      <c r="K332" s="113"/>
      <c r="L332" s="78">
        <f t="shared" si="12"/>
        <v>4.1739056404071526</v>
      </c>
      <c r="M332" s="5">
        <f>SUMIFS(ĐMCP!$Q:$Q,ĐMCP!$P:$P, "="&amp;'HQ1'!B332,ĐMCP!$O:$O, "="&amp;'HQ1'!A332)</f>
        <v>327720158.7849558</v>
      </c>
      <c r="N332" s="89">
        <f t="shared" si="11"/>
        <v>0.21504420042037964</v>
      </c>
    </row>
    <row r="333" spans="1:14" x14ac:dyDescent="0.25">
      <c r="A333" s="123" t="s">
        <v>108</v>
      </c>
      <c r="B333" s="15" t="s">
        <v>45</v>
      </c>
      <c r="C333" s="132">
        <v>9409899589</v>
      </c>
      <c r="D333" s="132">
        <v>6071859761</v>
      </c>
      <c r="E333" s="132">
        <v>-907454004.25</v>
      </c>
      <c r="F333" s="132">
        <v>-195705566.89999998</v>
      </c>
      <c r="G333" s="132">
        <v>2991794554</v>
      </c>
      <c r="H333" s="132">
        <v>282296987.67000002</v>
      </c>
      <c r="I333" s="132">
        <v>1167107857.48</v>
      </c>
      <c r="J333" s="113">
        <f>SUMIFS(PGĐ!$H:$H,PGĐ!$F:$F, "="&amp;B333, PGĐ!$I:$I, "="&amp;'HQ1'!A333)</f>
        <v>0</v>
      </c>
      <c r="K333" s="113"/>
      <c r="L333" s="78">
        <f t="shared" si="12"/>
        <v>0.56954083631915076</v>
      </c>
      <c r="M333" s="5">
        <f>SUMIFS(ĐMCP!$Q:$Q,ĐMCP!$P:$P, "="&amp;'HQ1'!B333,ĐMCP!$O:$O, "="&amp;'HQ1'!A333)</f>
        <v>0</v>
      </c>
      <c r="N333" s="89">
        <f t="shared" si="11"/>
        <v>0</v>
      </c>
    </row>
    <row r="334" spans="1:14" x14ac:dyDescent="0.25">
      <c r="A334" s="123" t="s">
        <v>108</v>
      </c>
      <c r="B334" s="16" t="s">
        <v>135</v>
      </c>
      <c r="C334" s="7">
        <v>6736502350</v>
      </c>
      <c r="D334" s="7">
        <v>5386332839</v>
      </c>
      <c r="E334" s="7">
        <v>-942550578.75</v>
      </c>
      <c r="G334" s="7">
        <v>2004343333</v>
      </c>
      <c r="H334" s="7">
        <v>202095070.5</v>
      </c>
      <c r="I334" s="7">
        <v>86281686.25</v>
      </c>
      <c r="J334" s="113">
        <f>SUMIFS(PGĐ!$H:$H,PGĐ!$F:$F, "="&amp;B334, PGĐ!$I:$I, "="&amp;'HQ1'!A334)</f>
        <v>0</v>
      </c>
      <c r="K334" s="113"/>
      <c r="L334" s="78">
        <f t="shared" si="12"/>
        <v>0.70143191992255094</v>
      </c>
      <c r="M334" s="5">
        <f>SUMIFS(ĐMCP!$Q:$Q,ĐMCP!$P:$P, "="&amp;'HQ1'!B334,ĐMCP!$O:$O, "="&amp;'HQ1'!A334)</f>
        <v>2004343333.1084991</v>
      </c>
      <c r="N334" s="89">
        <f t="shared" si="11"/>
        <v>-0.10849905014038086</v>
      </c>
    </row>
    <row r="335" spans="1:14" x14ac:dyDescent="0.25">
      <c r="A335" s="123" t="s">
        <v>108</v>
      </c>
      <c r="B335" s="16" t="s">
        <v>136</v>
      </c>
      <c r="C335" s="7">
        <v>9023800</v>
      </c>
      <c r="D335" s="7">
        <v>50000000</v>
      </c>
      <c r="E335" s="7">
        <v>-13813270</v>
      </c>
      <c r="G335" s="7">
        <v>4845285</v>
      </c>
      <c r="H335" s="7">
        <v>270714</v>
      </c>
      <c r="I335" s="7">
        <v>-32278929</v>
      </c>
      <c r="J335" s="113">
        <f>SUMIFS(PGĐ!$H:$H,PGĐ!$F:$F, "="&amp;B335, PGĐ!$I:$I, "="&amp;'HQ1'!A335)</f>
        <v>0</v>
      </c>
      <c r="K335" s="113"/>
      <c r="L335" s="78">
        <f t="shared" si="12"/>
        <v>2.1894227236681414</v>
      </c>
      <c r="M335" s="5">
        <f>SUMIFS(ĐMCP!$Q:$Q,ĐMCP!$P:$P, "="&amp;'HQ1'!B335,ĐMCP!$O:$O, "="&amp;'HQ1'!A335)</f>
        <v>4845285.1050792625</v>
      </c>
      <c r="N335" s="89">
        <f t="shared" si="11"/>
        <v>-0.10507926251739264</v>
      </c>
    </row>
    <row r="336" spans="1:14" x14ac:dyDescent="0.25">
      <c r="A336" s="123" t="s">
        <v>108</v>
      </c>
      <c r="B336" s="16" t="s">
        <v>137</v>
      </c>
      <c r="C336" s="7">
        <v>1910827559</v>
      </c>
      <c r="D336" s="7">
        <v>520125998</v>
      </c>
      <c r="E336" s="7">
        <v>-71512215</v>
      </c>
      <c r="F336" s="7">
        <v>-193826435.89999998</v>
      </c>
      <c r="G336" s="7">
        <v>638962151</v>
      </c>
      <c r="H336" s="7">
        <v>57324826.769999996</v>
      </c>
      <c r="I336" s="7">
        <v>959753234.13000011</v>
      </c>
      <c r="J336" s="113">
        <f>SUMIFS(PGĐ!$H:$H,PGĐ!$F:$F, "="&amp;B336, PGĐ!$I:$I, "="&amp;'HQ1'!A336)</f>
        <v>3800000</v>
      </c>
      <c r="K336" s="113"/>
      <c r="L336" s="78">
        <f t="shared" si="12"/>
        <v>0.16460324631512943</v>
      </c>
      <c r="M336" s="5">
        <f>SUMIFS(ĐMCP!$Q:$Q,ĐMCP!$P:$P, "="&amp;'HQ1'!B336,ĐMCP!$O:$O, "="&amp;'HQ1'!A336)</f>
        <v>638962151.120579</v>
      </c>
      <c r="N336" s="89">
        <f t="shared" si="11"/>
        <v>-0.12057900428771973</v>
      </c>
    </row>
    <row r="337" spans="1:14" x14ac:dyDescent="0.25">
      <c r="A337" s="123" t="s">
        <v>108</v>
      </c>
      <c r="B337" s="16" t="s">
        <v>138</v>
      </c>
      <c r="C337" s="7">
        <v>753545880</v>
      </c>
      <c r="D337" s="7">
        <v>115400924</v>
      </c>
      <c r="E337" s="7">
        <v>120422059.5</v>
      </c>
      <c r="F337" s="7">
        <v>-1879131</v>
      </c>
      <c r="G337" s="7">
        <v>343643785</v>
      </c>
      <c r="H337" s="7">
        <v>22606376.399999999</v>
      </c>
      <c r="I337" s="7">
        <v>153351866.09999999</v>
      </c>
      <c r="J337" s="113">
        <f>SUMIFS(PGĐ!$H:$H,PGĐ!$F:$F, "="&amp;B337, PGĐ!$I:$I, "="&amp;'HQ1'!A337)</f>
        <v>0</v>
      </c>
      <c r="K337" s="113"/>
      <c r="L337" s="78">
        <f t="shared" si="12"/>
        <v>0.17930425190817789</v>
      </c>
      <c r="M337" s="5">
        <f>SUMIFS(ĐMCP!$Q:$Q,ĐMCP!$P:$P, "="&amp;'HQ1'!B337,ĐMCP!$O:$O, "="&amp;'HQ1'!A337)</f>
        <v>343643785.48146421</v>
      </c>
      <c r="N337" s="89">
        <f t="shared" si="11"/>
        <v>-0.4814642071723938</v>
      </c>
    </row>
    <row r="338" spans="1:14" x14ac:dyDescent="0.25">
      <c r="A338" s="123" t="s">
        <v>98</v>
      </c>
      <c r="B338" s="15" t="s">
        <v>45</v>
      </c>
      <c r="C338" s="132">
        <v>10631004622</v>
      </c>
      <c r="D338" s="132">
        <v>9999501113</v>
      </c>
      <c r="E338" s="132">
        <v>220041234.25</v>
      </c>
      <c r="F338" s="132">
        <v>-3495766198</v>
      </c>
      <c r="G338" s="132">
        <v>3698367183</v>
      </c>
      <c r="H338" s="132">
        <v>318930138.65999997</v>
      </c>
      <c r="I338" s="132">
        <v>-110068848.91000003</v>
      </c>
      <c r="J338" s="113">
        <f>SUMIFS(PGĐ!$H:$H,PGĐ!$F:$F, "="&amp;B338, PGĐ!$I:$I, "="&amp;'HQ1'!A338)</f>
        <v>0</v>
      </c>
      <c r="K338" s="113"/>
      <c r="L338" s="78">
        <f t="shared" si="12"/>
        <v>0.62470058464066658</v>
      </c>
      <c r="M338" s="5">
        <f>SUMIFS(ĐMCP!$Q:$Q,ĐMCP!$P:$P, "="&amp;'HQ1'!B338,ĐMCP!$O:$O, "="&amp;'HQ1'!A338)</f>
        <v>0</v>
      </c>
      <c r="N338" s="89">
        <f t="shared" si="11"/>
        <v>0</v>
      </c>
    </row>
    <row r="339" spans="1:14" x14ac:dyDescent="0.25">
      <c r="A339" s="123" t="s">
        <v>98</v>
      </c>
      <c r="B339" s="16" t="s">
        <v>135</v>
      </c>
      <c r="C339" s="7">
        <v>4218137100</v>
      </c>
      <c r="D339" s="7">
        <v>2997361143</v>
      </c>
      <c r="E339" s="7">
        <v>-103301250.5</v>
      </c>
      <c r="G339" s="7">
        <v>1240118884</v>
      </c>
      <c r="H339" s="7">
        <v>126544113</v>
      </c>
      <c r="I339" s="7">
        <v>-42585789.5</v>
      </c>
      <c r="J339" s="113">
        <f>SUMIFS(PGĐ!$H:$H,PGĐ!$F:$F, "="&amp;B339, PGĐ!$I:$I, "="&amp;'HQ1'!A339)</f>
        <v>2270824</v>
      </c>
      <c r="K339" s="113"/>
      <c r="L339" s="78">
        <f t="shared" si="12"/>
        <v>0.69360266186678299</v>
      </c>
      <c r="M339" s="5">
        <f>SUMIFS(ĐMCP!$Q:$Q,ĐMCP!$P:$P, "="&amp;'HQ1'!B339,ĐMCP!$O:$O, "="&amp;'HQ1'!A339)</f>
        <v>1240118883.5054405</v>
      </c>
      <c r="N339" s="89">
        <f t="shared" si="11"/>
        <v>0.49455952644348145</v>
      </c>
    </row>
    <row r="340" spans="1:14" x14ac:dyDescent="0.25">
      <c r="A340" s="123" t="s">
        <v>98</v>
      </c>
      <c r="B340" s="16" t="s">
        <v>136</v>
      </c>
      <c r="C340" s="7">
        <v>35172600</v>
      </c>
      <c r="E340" s="7">
        <v>-1399740</v>
      </c>
      <c r="G340" s="7">
        <v>18839286</v>
      </c>
      <c r="H340" s="7">
        <v>1055178</v>
      </c>
      <c r="I340" s="7">
        <v>16677876</v>
      </c>
      <c r="J340" s="113">
        <f>SUMIFS(PGĐ!$H:$H,PGĐ!$F:$F, "="&amp;B340, PGĐ!$I:$I, "="&amp;'HQ1'!A340)</f>
        <v>0</v>
      </c>
      <c r="K340" s="113"/>
      <c r="L340" s="78">
        <f t="shared" si="12"/>
        <v>0</v>
      </c>
      <c r="M340" s="5">
        <f>SUMIFS(ĐMCP!$Q:$Q,ĐMCP!$P:$P, "="&amp;'HQ1'!B340,ĐMCP!$O:$O, "="&amp;'HQ1'!A340)</f>
        <v>18839285.551571347</v>
      </c>
      <c r="N340" s="89">
        <f t="shared" si="11"/>
        <v>0.44842865318059921</v>
      </c>
    </row>
    <row r="341" spans="1:14" x14ac:dyDescent="0.25">
      <c r="A341" s="123" t="s">
        <v>98</v>
      </c>
      <c r="B341" s="16" t="s">
        <v>137</v>
      </c>
      <c r="C341" s="7">
        <v>5399477120</v>
      </c>
      <c r="D341" s="7">
        <v>6737003929</v>
      </c>
      <c r="E341" s="7">
        <v>259341110.25</v>
      </c>
      <c r="F341" s="7">
        <v>-3379787653</v>
      </c>
      <c r="G341" s="7">
        <v>2074192324</v>
      </c>
      <c r="H341" s="7">
        <v>161984313.59999999</v>
      </c>
      <c r="I341" s="7">
        <v>-453256903.85000002</v>
      </c>
      <c r="J341" s="113">
        <f>SUMIFS(PGĐ!$H:$H,PGĐ!$F:$F, "="&amp;B341, PGĐ!$I:$I, "="&amp;'HQ1'!A341)</f>
        <v>24984666</v>
      </c>
      <c r="K341" s="113"/>
      <c r="L341" s="78">
        <f t="shared" si="12"/>
        <v>0.6531376348080884</v>
      </c>
      <c r="M341" s="5">
        <f>SUMIFS(ĐMCP!$Q:$Q,ĐMCP!$P:$P, "="&amp;'HQ1'!B341,ĐMCP!$O:$O, "="&amp;'HQ1'!A341)</f>
        <v>2074192323.6608815</v>
      </c>
      <c r="N341" s="89">
        <f t="shared" si="11"/>
        <v>0.33911848068237305</v>
      </c>
    </row>
    <row r="342" spans="1:14" x14ac:dyDescent="0.25">
      <c r="A342" s="123" t="s">
        <v>98</v>
      </c>
      <c r="B342" s="16" t="s">
        <v>138</v>
      </c>
      <c r="C342" s="7">
        <v>978217802</v>
      </c>
      <c r="D342" s="7">
        <v>265136041</v>
      </c>
      <c r="E342" s="7">
        <v>65401114.5</v>
      </c>
      <c r="F342" s="7">
        <v>-115978545</v>
      </c>
      <c r="G342" s="7">
        <v>365216689</v>
      </c>
      <c r="H342" s="7">
        <v>29346534.059999999</v>
      </c>
      <c r="I342" s="7">
        <v>369095968.44</v>
      </c>
      <c r="J342" s="113">
        <f>SUMIFS(PGĐ!$H:$H,PGĐ!$F:$F, "="&amp;B342, PGĐ!$I:$I, "="&amp;'HQ1'!A342)</f>
        <v>1542162</v>
      </c>
      <c r="K342" s="113"/>
      <c r="L342" s="78">
        <f t="shared" si="12"/>
        <v>0.16340355960024011</v>
      </c>
      <c r="M342" s="5">
        <f>SUMIFS(ĐMCP!$Q:$Q,ĐMCP!$P:$P, "="&amp;'HQ1'!B342,ĐMCP!$O:$O, "="&amp;'HQ1'!A342)</f>
        <v>365216688.69815755</v>
      </c>
      <c r="N342" s="89">
        <f t="shared" si="11"/>
        <v>0.30184245109558105</v>
      </c>
    </row>
    <row r="343" spans="1:14" x14ac:dyDescent="0.25">
      <c r="A343" s="123" t="s">
        <v>58</v>
      </c>
      <c r="B343" s="15" t="s">
        <v>45</v>
      </c>
      <c r="C343" s="132">
        <v>26152465236</v>
      </c>
      <c r="D343" s="132">
        <v>16449155849</v>
      </c>
      <c r="E343" s="132">
        <v>334957816.65000004</v>
      </c>
      <c r="F343" s="132">
        <v>-1719866127.2599983</v>
      </c>
      <c r="G343" s="132">
        <v>7899369445</v>
      </c>
      <c r="H343" s="132">
        <v>784573957.07999992</v>
      </c>
      <c r="I343" s="132">
        <v>2404274295.5299978</v>
      </c>
      <c r="J343" s="113">
        <f>SUMIFS(PGĐ!$H:$H,PGĐ!$F:$F, "="&amp;B343, PGĐ!$I:$I, "="&amp;'HQ1'!A343)</f>
        <v>0</v>
      </c>
      <c r="K343" s="113"/>
      <c r="L343" s="78">
        <f t="shared" si="12"/>
        <v>0.57051556071987519</v>
      </c>
      <c r="M343" s="5">
        <f>SUMIFS(ĐMCP!$Q:$Q,ĐMCP!$P:$P, "="&amp;'HQ1'!B343,ĐMCP!$O:$O, "="&amp;'HQ1'!A343)</f>
        <v>0</v>
      </c>
      <c r="N343" s="89">
        <f t="shared" si="11"/>
        <v>0</v>
      </c>
    </row>
    <row r="344" spans="1:14" x14ac:dyDescent="0.25">
      <c r="A344" s="123" t="s">
        <v>58</v>
      </c>
      <c r="B344" s="16" t="s">
        <v>135</v>
      </c>
      <c r="C344" s="7">
        <v>681946664</v>
      </c>
      <c r="D344" s="7">
        <v>731147000</v>
      </c>
      <c r="E344" s="7">
        <v>-262097922.75</v>
      </c>
      <c r="G344" s="7">
        <v>248792295</v>
      </c>
      <c r="H344" s="7">
        <v>20458399.919999998</v>
      </c>
      <c r="I344" s="7">
        <v>-56353108.170000002</v>
      </c>
      <c r="J344" s="113">
        <f>SUMIFS(PGĐ!$H:$H,PGĐ!$F:$F, "="&amp;B344, PGĐ!$I:$I, "="&amp;'HQ1'!A344)</f>
        <v>0</v>
      </c>
      <c r="K344" s="113"/>
      <c r="L344" s="78">
        <f t="shared" si="12"/>
        <v>0.77448354692342603</v>
      </c>
      <c r="M344" s="5">
        <f>SUMIFS(ĐMCP!$Q:$Q,ĐMCP!$P:$P, "="&amp;'HQ1'!B344,ĐMCP!$O:$O, "="&amp;'HQ1'!A344)</f>
        <v>248792294.52995023</v>
      </c>
      <c r="N344" s="89">
        <f t="shared" si="11"/>
        <v>0.47004976868629456</v>
      </c>
    </row>
    <row r="345" spans="1:14" x14ac:dyDescent="0.25">
      <c r="A345" s="123" t="s">
        <v>58</v>
      </c>
      <c r="B345" s="16" t="s">
        <v>136</v>
      </c>
      <c r="C345" s="7">
        <v>463007150</v>
      </c>
      <c r="D345" s="7">
        <v>1163775296</v>
      </c>
      <c r="E345" s="7">
        <v>-14311439.700000001</v>
      </c>
      <c r="F345" s="7">
        <v>21240240</v>
      </c>
      <c r="G345" s="7">
        <v>240687139</v>
      </c>
      <c r="H345" s="7">
        <v>13890214.5</v>
      </c>
      <c r="I345" s="7">
        <v>-962274299.79999995</v>
      </c>
      <c r="J345" s="113">
        <f>SUMIFS(PGĐ!$H:$H,PGĐ!$F:$F, "="&amp;B345, PGĐ!$I:$I, "="&amp;'HQ1'!A345)</f>
        <v>0</v>
      </c>
      <c r="K345" s="113"/>
      <c r="L345" s="78">
        <f t="shared" si="12"/>
        <v>2.4826511298141467</v>
      </c>
      <c r="M345" s="5">
        <f>SUMIFS(ĐMCP!$Q:$Q,ĐMCP!$P:$P, "="&amp;'HQ1'!B345,ĐMCP!$O:$O, "="&amp;'HQ1'!A345)</f>
        <v>240687139.35440969</v>
      </c>
      <c r="N345" s="89">
        <f t="shared" si="11"/>
        <v>-0.35440969467163086</v>
      </c>
    </row>
    <row r="346" spans="1:14" x14ac:dyDescent="0.25">
      <c r="A346" s="123" t="s">
        <v>58</v>
      </c>
      <c r="B346" s="16" t="s">
        <v>137</v>
      </c>
      <c r="C346" s="7">
        <v>12129958280</v>
      </c>
      <c r="D346" s="7">
        <v>8536444336</v>
      </c>
      <c r="E346" s="7">
        <v>-19789392</v>
      </c>
      <c r="F346" s="7">
        <v>-1511123626.2599983</v>
      </c>
      <c r="G346" s="7">
        <v>3633106933</v>
      </c>
      <c r="H346" s="7">
        <v>363898748.39999998</v>
      </c>
      <c r="I346" s="7">
        <v>1127421280.8599982</v>
      </c>
      <c r="J346" s="113">
        <f>SUMIFS(PGĐ!$H:$H,PGĐ!$F:$F, "="&amp;B346, PGĐ!$I:$I, "="&amp;'HQ1'!A346)</f>
        <v>47400000</v>
      </c>
      <c r="K346" s="113"/>
      <c r="L346" s="78">
        <f t="shared" si="12"/>
        <v>0.57822770475557916</v>
      </c>
      <c r="M346" s="5">
        <f>SUMIFS(ĐMCP!$Q:$Q,ĐMCP!$P:$P, "="&amp;'HQ1'!B346,ĐMCP!$O:$O, "="&amp;'HQ1'!A346)</f>
        <v>3633106933.2277112</v>
      </c>
      <c r="N346" s="89">
        <f t="shared" si="11"/>
        <v>-0.22771120071411133</v>
      </c>
    </row>
    <row r="347" spans="1:14" x14ac:dyDescent="0.25">
      <c r="A347" s="123" t="s">
        <v>58</v>
      </c>
      <c r="B347" s="16" t="s">
        <v>138</v>
      </c>
      <c r="C347" s="7">
        <v>12877553142</v>
      </c>
      <c r="D347" s="7">
        <v>6017789217</v>
      </c>
      <c r="E347" s="7">
        <v>631156571.10000002</v>
      </c>
      <c r="F347" s="7">
        <v>-229982741</v>
      </c>
      <c r="G347" s="7">
        <v>3776783078</v>
      </c>
      <c r="H347" s="7">
        <v>386326594.25999999</v>
      </c>
      <c r="I347" s="7">
        <v>2295480422.6399994</v>
      </c>
      <c r="J347" s="113">
        <f>SUMIFS(PGĐ!$H:$H,PGĐ!$F:$F, "="&amp;B347, PGĐ!$I:$I, "="&amp;'HQ1'!A347)</f>
        <v>0</v>
      </c>
      <c r="K347" s="113"/>
      <c r="L347" s="78">
        <f t="shared" si="12"/>
        <v>0.47261302069484168</v>
      </c>
      <c r="M347" s="5">
        <f>SUMIFS(ĐMCP!$Q:$Q,ĐMCP!$P:$P, "="&amp;'HQ1'!B347,ĐMCP!$O:$O, "="&amp;'HQ1'!A347)</f>
        <v>3776783077.6697912</v>
      </c>
      <c r="N347" s="89">
        <f t="shared" si="11"/>
        <v>0.33020877838134766</v>
      </c>
    </row>
    <row r="348" spans="1:14" x14ac:dyDescent="0.25">
      <c r="A348" s="123" t="s">
        <v>97</v>
      </c>
      <c r="B348" s="15" t="s">
        <v>45</v>
      </c>
      <c r="C348" s="132">
        <v>8962180997</v>
      </c>
      <c r="D348" s="132">
        <v>4916503821</v>
      </c>
      <c r="E348" s="132">
        <v>25484187.300000012</v>
      </c>
      <c r="F348" s="132">
        <v>-224926099.02999973</v>
      </c>
      <c r="G348" s="132">
        <v>2813811019</v>
      </c>
      <c r="H348" s="132">
        <v>268865429.90999997</v>
      </c>
      <c r="I348" s="132">
        <v>1162442638.8199997</v>
      </c>
      <c r="J348" s="113">
        <f>SUMIFS(PGĐ!$H:$H,PGĐ!$F:$F, "="&amp;B348, PGĐ!$I:$I, "="&amp;'HQ1'!A348)</f>
        <v>0</v>
      </c>
      <c r="K348" s="113"/>
      <c r="L348" s="78">
        <f t="shared" si="12"/>
        <v>0.52497895160521768</v>
      </c>
      <c r="M348" s="5">
        <f>SUMIFS(ĐMCP!$Q:$Q,ĐMCP!$P:$P, "="&amp;'HQ1'!B348,ĐMCP!$O:$O, "="&amp;'HQ1'!A348)</f>
        <v>0</v>
      </c>
      <c r="N348" s="89">
        <f t="shared" si="11"/>
        <v>0</v>
      </c>
    </row>
    <row r="349" spans="1:14" x14ac:dyDescent="0.25">
      <c r="A349" s="123" t="s">
        <v>97</v>
      </c>
      <c r="B349" s="16" t="s">
        <v>135</v>
      </c>
      <c r="C349" s="7">
        <v>3517306077</v>
      </c>
      <c r="D349" s="7">
        <v>2795106000</v>
      </c>
      <c r="E349" s="7">
        <v>-55540420.5</v>
      </c>
      <c r="F349" s="7">
        <v>56180000</v>
      </c>
      <c r="G349" s="7">
        <v>945077383</v>
      </c>
      <c r="H349" s="7">
        <v>105519182.31</v>
      </c>
      <c r="I349" s="7">
        <v>-329036067.81</v>
      </c>
      <c r="J349" s="113">
        <f>SUMIFS(PGĐ!$H:$H,PGĐ!$F:$F, "="&amp;B349, PGĐ!$I:$I, "="&amp;'HQ1'!A349)</f>
        <v>42653551</v>
      </c>
      <c r="K349" s="113"/>
      <c r="L349" s="78">
        <f t="shared" si="12"/>
        <v>0.79804324143091732</v>
      </c>
      <c r="M349" s="5">
        <f>SUMIFS(ĐMCP!$Q:$Q,ĐMCP!$P:$P, "="&amp;'HQ1'!B349,ĐMCP!$O:$O, "="&amp;'HQ1'!A349)</f>
        <v>945077382.8657825</v>
      </c>
      <c r="N349" s="89">
        <f t="shared" si="11"/>
        <v>0.13421750068664551</v>
      </c>
    </row>
    <row r="350" spans="1:14" x14ac:dyDescent="0.25">
      <c r="A350" s="123" t="s">
        <v>97</v>
      </c>
      <c r="B350" s="16" t="s">
        <v>136</v>
      </c>
      <c r="C350" s="7">
        <v>19682900</v>
      </c>
      <c r="E350" s="7">
        <v>1522100</v>
      </c>
      <c r="G350" s="7">
        <v>9850755</v>
      </c>
      <c r="H350" s="7">
        <v>590487</v>
      </c>
      <c r="I350" s="7">
        <v>7719558</v>
      </c>
      <c r="J350" s="113">
        <f>SUMIFS(PGĐ!$H:$H,PGĐ!$F:$F, "="&amp;B350, PGĐ!$I:$I, "="&amp;'HQ1'!A350)</f>
        <v>0</v>
      </c>
      <c r="K350" s="113"/>
      <c r="L350" s="78">
        <f t="shared" si="12"/>
        <v>0</v>
      </c>
      <c r="M350" s="5">
        <f>SUMIFS(ĐMCP!$Q:$Q,ĐMCP!$P:$P, "="&amp;'HQ1'!B350,ĐMCP!$O:$O, "="&amp;'HQ1'!A350)</f>
        <v>9850754.851283906</v>
      </c>
      <c r="N350" s="89">
        <f t="shared" si="11"/>
        <v>0.14871609397232533</v>
      </c>
    </row>
    <row r="351" spans="1:14" x14ac:dyDescent="0.25">
      <c r="A351" s="123" t="s">
        <v>97</v>
      </c>
      <c r="B351" s="16" t="s">
        <v>137</v>
      </c>
      <c r="C351" s="7">
        <v>5016010720</v>
      </c>
      <c r="D351" s="7">
        <v>2002002982</v>
      </c>
      <c r="E351" s="7">
        <v>295288717</v>
      </c>
      <c r="F351" s="7">
        <v>-316042567.02999973</v>
      </c>
      <c r="G351" s="7">
        <v>1485194171</v>
      </c>
      <c r="H351" s="7">
        <v>150480321.59999999</v>
      </c>
      <c r="I351" s="7">
        <v>1399087095.4299998</v>
      </c>
      <c r="J351" s="113">
        <f>SUMIFS(PGĐ!$H:$H,PGĐ!$F:$F, "="&amp;B351, PGĐ!$I:$I, "="&amp;'HQ1'!A351)</f>
        <v>24717171</v>
      </c>
      <c r="K351" s="113"/>
      <c r="L351" s="78">
        <f t="shared" si="12"/>
        <v>0.35714037257406372</v>
      </c>
      <c r="M351" s="5">
        <f>SUMIFS(ĐMCP!$Q:$Q,ĐMCP!$P:$P, "="&amp;'HQ1'!B351,ĐMCP!$O:$O, "="&amp;'HQ1'!A351)</f>
        <v>1485194170.8704548</v>
      </c>
      <c r="N351" s="89">
        <f t="shared" si="11"/>
        <v>0.12954521179199219</v>
      </c>
    </row>
    <row r="352" spans="1:14" x14ac:dyDescent="0.25">
      <c r="A352" s="123" t="s">
        <v>97</v>
      </c>
      <c r="B352" s="16" t="s">
        <v>138</v>
      </c>
      <c r="C352" s="7">
        <v>409181300</v>
      </c>
      <c r="D352" s="7">
        <v>119394839</v>
      </c>
      <c r="E352" s="7">
        <v>-215786209.19999999</v>
      </c>
      <c r="F352" s="7">
        <v>34936468</v>
      </c>
      <c r="G352" s="7">
        <v>373688710</v>
      </c>
      <c r="H352" s="7">
        <v>12275439</v>
      </c>
      <c r="I352" s="7">
        <v>84672053.199999988</v>
      </c>
      <c r="J352" s="113">
        <f>SUMIFS(PGĐ!$H:$H,PGĐ!$F:$F, "="&amp;B352, PGĐ!$I:$I, "="&amp;'HQ1'!A352)</f>
        <v>1972247</v>
      </c>
      <c r="K352" s="113"/>
      <c r="L352" s="78">
        <f t="shared" si="12"/>
        <v>0.24694292859728714</v>
      </c>
      <c r="M352" s="5">
        <f>SUMIFS(ĐMCP!$Q:$Q,ĐMCP!$P:$P, "="&amp;'HQ1'!B352,ĐMCP!$O:$O, "="&amp;'HQ1'!A352)</f>
        <v>373688709.86467862</v>
      </c>
      <c r="N352" s="89">
        <f t="shared" si="11"/>
        <v>0.13532137870788574</v>
      </c>
    </row>
    <row r="353" spans="1:14" x14ac:dyDescent="0.25">
      <c r="A353" s="123" t="s">
        <v>51</v>
      </c>
      <c r="B353" s="15" t="s">
        <v>45</v>
      </c>
      <c r="C353" s="132">
        <v>59764646857</v>
      </c>
      <c r="D353" s="132">
        <v>24289531082</v>
      </c>
      <c r="E353" s="132">
        <v>-230137617.19999999</v>
      </c>
      <c r="F353" s="132">
        <v>-375331098</v>
      </c>
      <c r="G353" s="132">
        <v>17998856137</v>
      </c>
      <c r="H353" s="132">
        <v>1792939405.71</v>
      </c>
      <c r="I353" s="132">
        <v>16288788947.49</v>
      </c>
      <c r="J353" s="113">
        <f>SUMIFS(PGĐ!$H:$H,PGĐ!$F:$F, "="&amp;B353, PGĐ!$I:$I, "="&amp;'HQ1'!A353)</f>
        <v>0</v>
      </c>
      <c r="K353" s="113"/>
      <c r="L353" s="78">
        <f t="shared" si="12"/>
        <v>0.39860464861381412</v>
      </c>
      <c r="M353" s="5">
        <f>SUMIFS(ĐMCP!$Q:$Q,ĐMCP!$P:$P, "="&amp;'HQ1'!B353,ĐMCP!$O:$O, "="&amp;'HQ1'!A353)</f>
        <v>0</v>
      </c>
      <c r="N353" s="89">
        <f t="shared" si="11"/>
        <v>0</v>
      </c>
    </row>
    <row r="354" spans="1:14" x14ac:dyDescent="0.25">
      <c r="A354" s="123" t="s">
        <v>51</v>
      </c>
      <c r="B354" s="16" t="s">
        <v>135</v>
      </c>
      <c r="C354" s="7">
        <v>1972162099</v>
      </c>
      <c r="D354" s="7">
        <v>128877882</v>
      </c>
      <c r="E354" s="7">
        <v>101817383.5</v>
      </c>
      <c r="F354" s="7">
        <v>-43422172</v>
      </c>
      <c r="G354" s="7">
        <v>678287850</v>
      </c>
      <c r="H354" s="7">
        <v>59164862.969999999</v>
      </c>
      <c r="I354" s="7">
        <v>1047436292.53</v>
      </c>
      <c r="J354" s="113">
        <f>SUMIFS(PGĐ!$H:$H,PGĐ!$F:$F, "="&amp;B354, PGĐ!$I:$I, "="&amp;'HQ1'!A354)</f>
        <v>0</v>
      </c>
      <c r="K354" s="113"/>
      <c r="L354" s="78">
        <f t="shared" si="12"/>
        <v>4.568981818795638E-2</v>
      </c>
      <c r="M354" s="5">
        <f>SUMIFS(ĐMCP!$Q:$Q,ĐMCP!$P:$P, "="&amp;'HQ1'!B354,ĐMCP!$O:$O, "="&amp;'HQ1'!A354)</f>
        <v>678287850.41779852</v>
      </c>
      <c r="N354" s="89">
        <f t="shared" si="11"/>
        <v>-0.41779851913452148</v>
      </c>
    </row>
    <row r="355" spans="1:14" x14ac:dyDescent="0.25">
      <c r="A355" s="123" t="s">
        <v>51</v>
      </c>
      <c r="B355" s="16" t="s">
        <v>136</v>
      </c>
      <c r="C355" s="7">
        <v>945925265</v>
      </c>
      <c r="D355" s="7">
        <v>124678214</v>
      </c>
      <c r="E355" s="7">
        <v>-7444045.5</v>
      </c>
      <c r="F355" s="7">
        <v>20001790</v>
      </c>
      <c r="G355" s="7">
        <v>493601962</v>
      </c>
      <c r="H355" s="7">
        <v>28377757.949999999</v>
      </c>
      <c r="I355" s="7">
        <v>286709586.55000001</v>
      </c>
      <c r="J355" s="113">
        <f>SUMIFS(PGĐ!$H:$H,PGĐ!$F:$F, "="&amp;B355, PGĐ!$I:$I, "="&amp;'HQ1'!A355)</f>
        <v>0</v>
      </c>
      <c r="K355" s="113"/>
      <c r="L355" s="78">
        <f t="shared" si="12"/>
        <v>0.15175651492717102</v>
      </c>
      <c r="M355" s="5">
        <f>SUMIFS(ĐMCP!$Q:$Q,ĐMCP!$P:$P, "="&amp;'HQ1'!B355,ĐMCP!$O:$O, "="&amp;'HQ1'!A355)</f>
        <v>493601961.74652493</v>
      </c>
      <c r="N355" s="89">
        <f t="shared" si="11"/>
        <v>0.25347506999969482</v>
      </c>
    </row>
    <row r="356" spans="1:14" x14ac:dyDescent="0.25">
      <c r="A356" s="123" t="s">
        <v>51</v>
      </c>
      <c r="B356" s="16" t="s">
        <v>137</v>
      </c>
      <c r="C356" s="7">
        <v>14635242048</v>
      </c>
      <c r="D356" s="7">
        <v>6897086279</v>
      </c>
      <c r="E356" s="7">
        <v>-55917250.5</v>
      </c>
      <c r="F356" s="7">
        <v>138969870</v>
      </c>
      <c r="G356" s="7">
        <v>4728152474</v>
      </c>
      <c r="H356" s="7">
        <v>439057261.44</v>
      </c>
      <c r="I356" s="7">
        <v>2487893414.0599999</v>
      </c>
      <c r="J356" s="113">
        <f>SUMIFS(PGĐ!$H:$H,PGĐ!$F:$F, "="&amp;B356, PGĐ!$I:$I, "="&amp;'HQ1'!A356)</f>
        <v>53000000</v>
      </c>
      <c r="K356" s="113"/>
      <c r="L356" s="78">
        <f t="shared" si="12"/>
        <v>0.47893130868973677</v>
      </c>
      <c r="M356" s="5">
        <f>SUMIFS(ĐMCP!$Q:$Q,ĐMCP!$P:$P, "="&amp;'HQ1'!B356,ĐMCP!$O:$O, "="&amp;'HQ1'!A356)</f>
        <v>4728152473.8613338</v>
      </c>
      <c r="N356" s="89">
        <f t="shared" si="11"/>
        <v>0.13866615295410156</v>
      </c>
    </row>
    <row r="357" spans="1:14" x14ac:dyDescent="0.25">
      <c r="A357" s="123" t="s">
        <v>51</v>
      </c>
      <c r="B357" s="16" t="s">
        <v>138</v>
      </c>
      <c r="C357" s="7">
        <v>42211317445</v>
      </c>
      <c r="D357" s="7">
        <v>17138888707</v>
      </c>
      <c r="E357" s="7">
        <v>-268593704.69999999</v>
      </c>
      <c r="F357" s="7">
        <v>-490880586</v>
      </c>
      <c r="G357" s="7">
        <v>12098813851</v>
      </c>
      <c r="H357" s="7">
        <v>1266339523.3499999</v>
      </c>
      <c r="I357" s="7">
        <v>12466749654.35</v>
      </c>
      <c r="J357" s="113">
        <f>SUMIFS(PGĐ!$H:$H,PGĐ!$F:$F, "="&amp;B357, PGĐ!$I:$I, "="&amp;'HQ1'!A357)</f>
        <v>0</v>
      </c>
      <c r="K357" s="113"/>
      <c r="L357" s="78">
        <f t="shared" si="12"/>
        <v>0.39190308243188432</v>
      </c>
      <c r="M357" s="5">
        <f>SUMIFS(ĐMCP!$Q:$Q,ĐMCP!$P:$P, "="&amp;'HQ1'!B357,ĐMCP!$O:$O, "="&amp;'HQ1'!A357)</f>
        <v>12098813850.77593</v>
      </c>
      <c r="N357" s="89">
        <f t="shared" si="11"/>
        <v>0.22406959533691406</v>
      </c>
    </row>
    <row r="358" spans="1:14" x14ac:dyDescent="0.25">
      <c r="A358" s="123" t="s">
        <v>109</v>
      </c>
      <c r="B358" s="15" t="s">
        <v>45</v>
      </c>
      <c r="C358" s="132">
        <v>10830210588</v>
      </c>
      <c r="D358" s="132">
        <v>5871855741</v>
      </c>
      <c r="E358" s="132">
        <v>111926271.84999999</v>
      </c>
      <c r="F358" s="132">
        <v>-795813011</v>
      </c>
      <c r="G358" s="132">
        <v>3537694533</v>
      </c>
      <c r="H358" s="132">
        <v>324906317.63999999</v>
      </c>
      <c r="I358" s="132">
        <v>1779640735.51</v>
      </c>
      <c r="J358" s="113">
        <f>SUMIFS(PGĐ!$H:$H,PGĐ!$F:$F, "="&amp;B358, PGĐ!$I:$I, "="&amp;'HQ1'!A358)</f>
        <v>0</v>
      </c>
      <c r="K358" s="113"/>
      <c r="L358" s="78">
        <f t="shared" si="12"/>
        <v>0.4735872440285584</v>
      </c>
      <c r="M358" s="5">
        <f>SUMIFS(ĐMCP!$Q:$Q,ĐMCP!$P:$P, "="&amp;'HQ1'!B358,ĐMCP!$O:$O, "="&amp;'HQ1'!A358)</f>
        <v>0</v>
      </c>
      <c r="N358" s="89">
        <f t="shared" si="11"/>
        <v>0</v>
      </c>
    </row>
    <row r="359" spans="1:14" x14ac:dyDescent="0.25">
      <c r="A359" s="123" t="s">
        <v>109</v>
      </c>
      <c r="B359" s="16" t="s">
        <v>135</v>
      </c>
      <c r="C359" s="7">
        <v>3237376471</v>
      </c>
      <c r="D359" s="7">
        <v>2027793873</v>
      </c>
      <c r="E359" s="7">
        <v>7438917</v>
      </c>
      <c r="F359" s="7">
        <v>-33760000</v>
      </c>
      <c r="G359" s="7">
        <v>981627237</v>
      </c>
      <c r="H359" s="7">
        <v>97121294.129999995</v>
      </c>
      <c r="I359" s="7">
        <v>157155149.87</v>
      </c>
      <c r="J359" s="113">
        <f>SUMIFS(PGĐ!$H:$H,PGĐ!$F:$F, "="&amp;B359, PGĐ!$I:$I, "="&amp;'HQ1'!A359)</f>
        <v>0</v>
      </c>
      <c r="K359" s="113"/>
      <c r="L359" s="78">
        <f t="shared" si="12"/>
        <v>0.61735988379421158</v>
      </c>
      <c r="M359" s="5">
        <f>SUMIFS(ĐMCP!$Q:$Q,ĐMCP!$P:$P, "="&amp;'HQ1'!B359,ĐMCP!$O:$O, "="&amp;'HQ1'!A359)</f>
        <v>981627236.65249634</v>
      </c>
      <c r="N359" s="89">
        <f t="shared" si="11"/>
        <v>0.347503662109375</v>
      </c>
    </row>
    <row r="360" spans="1:14" x14ac:dyDescent="0.25">
      <c r="A360" s="123" t="s">
        <v>109</v>
      </c>
      <c r="B360" s="16" t="s">
        <v>136</v>
      </c>
      <c r="C360" s="7">
        <v>71911765</v>
      </c>
      <c r="D360" s="7">
        <v>4044536</v>
      </c>
      <c r="E360" s="7">
        <v>1291106</v>
      </c>
      <c r="G360" s="7">
        <v>37493009</v>
      </c>
      <c r="H360" s="7">
        <v>2157352.9499999997</v>
      </c>
      <c r="I360" s="7">
        <v>26925761.050000001</v>
      </c>
      <c r="J360" s="113">
        <f>SUMIFS(PGĐ!$H:$H,PGĐ!$F:$F, "="&amp;B360, PGĐ!$I:$I, "="&amp;'HQ1'!A360)</f>
        <v>0</v>
      </c>
      <c r="K360" s="113"/>
      <c r="L360" s="78">
        <f t="shared" si="12"/>
        <v>5.7271286579186412E-2</v>
      </c>
      <c r="M360" s="5">
        <f>SUMIFS(ĐMCP!$Q:$Q,ĐMCP!$P:$P, "="&amp;'HQ1'!B360,ĐMCP!$O:$O, "="&amp;'HQ1'!A360)</f>
        <v>37493008.984547667</v>
      </c>
      <c r="N360" s="89">
        <f t="shared" si="11"/>
        <v>1.545233279466629E-2</v>
      </c>
    </row>
    <row r="361" spans="1:14" x14ac:dyDescent="0.25">
      <c r="A361" s="123" t="s">
        <v>109</v>
      </c>
      <c r="B361" s="16" t="s">
        <v>137</v>
      </c>
      <c r="C361" s="7">
        <v>4834695247</v>
      </c>
      <c r="D361" s="7">
        <v>2901333897</v>
      </c>
      <c r="E361" s="7">
        <v>-31937299.75</v>
      </c>
      <c r="F361" s="7">
        <v>-932156392</v>
      </c>
      <c r="G361" s="7">
        <v>1591877874</v>
      </c>
      <c r="H361" s="7">
        <v>145040857.41</v>
      </c>
      <c r="I361" s="7">
        <v>1160536310.3399999</v>
      </c>
      <c r="J361" s="113">
        <f>SUMIFS(PGĐ!$H:$H,PGĐ!$F:$F, "="&amp;B361, PGĐ!$I:$I, "="&amp;'HQ1'!A361)</f>
        <v>4600000</v>
      </c>
      <c r="K361" s="113"/>
      <c r="L361" s="78">
        <f t="shared" si="12"/>
        <v>0.40462835155184301</v>
      </c>
      <c r="M361" s="5">
        <f>SUMIFS(ĐMCP!$Q:$Q,ĐMCP!$P:$P, "="&amp;'HQ1'!B361,ĐMCP!$O:$O, "="&amp;'HQ1'!A361)</f>
        <v>1591877873.8619184</v>
      </c>
      <c r="N361" s="89">
        <f t="shared" si="11"/>
        <v>0.13808155059814453</v>
      </c>
    </row>
    <row r="362" spans="1:14" x14ac:dyDescent="0.25">
      <c r="A362" s="123" t="s">
        <v>109</v>
      </c>
      <c r="B362" s="16" t="s">
        <v>138</v>
      </c>
      <c r="C362" s="7">
        <v>2686227105</v>
      </c>
      <c r="D362" s="7">
        <v>938683435</v>
      </c>
      <c r="E362" s="7">
        <v>135133548.59999999</v>
      </c>
      <c r="F362" s="7">
        <v>170103381</v>
      </c>
      <c r="G362" s="7">
        <v>926696413</v>
      </c>
      <c r="H362" s="7">
        <v>80586813.149999991</v>
      </c>
      <c r="I362" s="7">
        <v>435023514.25000012</v>
      </c>
      <c r="J362" s="113">
        <f>SUMIFS(PGĐ!$H:$H,PGĐ!$F:$F, "="&amp;B362, PGĐ!$I:$I, "="&amp;'HQ1'!A362)</f>
        <v>0</v>
      </c>
      <c r="K362" s="113"/>
      <c r="L362" s="78">
        <f t="shared" si="12"/>
        <v>0.43463196918762753</v>
      </c>
      <c r="M362" s="5">
        <f>SUMIFS(ĐMCP!$Q:$Q,ĐMCP!$P:$P, "="&amp;'HQ1'!B362,ĐMCP!$O:$O, "="&amp;'HQ1'!A362)</f>
        <v>926696413.38792264</v>
      </c>
      <c r="N362" s="89">
        <f t="shared" si="11"/>
        <v>-0.38792264461517334</v>
      </c>
    </row>
    <row r="363" spans="1:14" x14ac:dyDescent="0.25">
      <c r="A363" s="123" t="s">
        <v>80</v>
      </c>
      <c r="B363" s="15" t="s">
        <v>45</v>
      </c>
      <c r="C363" s="132">
        <v>6657654159</v>
      </c>
      <c r="D363" s="132">
        <v>5485018787</v>
      </c>
      <c r="E363" s="132">
        <v>131283923.5</v>
      </c>
      <c r="F363" s="132">
        <v>1188018490</v>
      </c>
      <c r="G363" s="132">
        <v>2432429882</v>
      </c>
      <c r="H363" s="132">
        <v>199729624.76999998</v>
      </c>
      <c r="I363" s="132">
        <v>-2778826548.2700005</v>
      </c>
      <c r="J363" s="113">
        <f>SUMIFS(PGĐ!$H:$H,PGĐ!$F:$F, "="&amp;B363, PGĐ!$I:$I, "="&amp;'HQ1'!A363)</f>
        <v>0</v>
      </c>
      <c r="K363" s="113"/>
      <c r="L363" s="78">
        <f t="shared" si="12"/>
        <v>1.0224729882319898</v>
      </c>
      <c r="M363" s="5">
        <f>SUMIFS(ĐMCP!$Q:$Q,ĐMCP!$P:$P, "="&amp;'HQ1'!B363,ĐMCP!$O:$O, "="&amp;'HQ1'!A363)</f>
        <v>0</v>
      </c>
      <c r="N363" s="89">
        <f t="shared" si="11"/>
        <v>0</v>
      </c>
    </row>
    <row r="364" spans="1:14" x14ac:dyDescent="0.25">
      <c r="A364" s="123" t="s">
        <v>80</v>
      </c>
      <c r="B364" s="16" t="s">
        <v>135</v>
      </c>
      <c r="C364" s="7">
        <v>2192254162</v>
      </c>
      <c r="D364" s="7">
        <v>4239324600</v>
      </c>
      <c r="E364" s="7">
        <v>-78403509.75</v>
      </c>
      <c r="G364" s="7">
        <v>683863904</v>
      </c>
      <c r="H364" s="7">
        <v>65767624.859999999</v>
      </c>
      <c r="I364" s="7">
        <v>-2718298457.1100001</v>
      </c>
      <c r="J364" s="113">
        <f>SUMIFS(PGĐ!$H:$H,PGĐ!$F:$F, "="&amp;B364, PGĐ!$I:$I, "="&amp;'HQ1'!A364)</f>
        <v>100000</v>
      </c>
      <c r="K364" s="113"/>
      <c r="L364" s="78">
        <f t="shared" si="12"/>
        <v>1.8670029625085427</v>
      </c>
      <c r="M364" s="5">
        <f>SUMIFS(ĐMCP!$Q:$Q,ĐMCP!$P:$P, "="&amp;'HQ1'!B364,ĐMCP!$O:$O, "="&amp;'HQ1'!A364)</f>
        <v>683863904.36780143</v>
      </c>
      <c r="N364" s="89">
        <f t="shared" si="11"/>
        <v>-0.36780142784118652</v>
      </c>
    </row>
    <row r="365" spans="1:14" x14ac:dyDescent="0.25">
      <c r="A365" s="123" t="s">
        <v>80</v>
      </c>
      <c r="B365" s="16" t="s">
        <v>136</v>
      </c>
      <c r="C365" s="7">
        <v>59082800</v>
      </c>
      <c r="E365" s="7">
        <v>1630830</v>
      </c>
      <c r="G365" s="7">
        <v>31801462</v>
      </c>
      <c r="H365" s="7">
        <v>1772484</v>
      </c>
      <c r="I365" s="7">
        <v>23878024</v>
      </c>
      <c r="J365" s="113">
        <f>SUMIFS(PGĐ!$H:$H,PGĐ!$F:$F, "="&amp;B365, PGĐ!$I:$I, "="&amp;'HQ1'!A365)</f>
        <v>0</v>
      </c>
      <c r="K365" s="113"/>
      <c r="L365" s="78">
        <f t="shared" si="12"/>
        <v>0</v>
      </c>
      <c r="M365" s="5">
        <f>SUMIFS(ĐMCP!$Q:$Q,ĐMCP!$P:$P, "="&amp;'HQ1'!B365,ĐMCP!$O:$O, "="&amp;'HQ1'!A365)</f>
        <v>31801461.917773593</v>
      </c>
      <c r="N365" s="89">
        <f t="shared" si="11"/>
        <v>8.2226406782865524E-2</v>
      </c>
    </row>
    <row r="366" spans="1:14" x14ac:dyDescent="0.25">
      <c r="A366" s="123" t="s">
        <v>80</v>
      </c>
      <c r="B366" s="16" t="s">
        <v>137</v>
      </c>
      <c r="C366" s="7">
        <v>3434242487</v>
      </c>
      <c r="D366" s="7">
        <v>1122375046</v>
      </c>
      <c r="E366" s="7">
        <v>77778861.25</v>
      </c>
      <c r="F366" s="7">
        <v>1213059453</v>
      </c>
      <c r="G366" s="7">
        <v>1312385358</v>
      </c>
      <c r="H366" s="7">
        <v>103027274.61</v>
      </c>
      <c r="I366" s="7">
        <v>-394383505.86000001</v>
      </c>
      <c r="J366" s="113">
        <f>SUMIFS(PGĐ!$H:$H,PGĐ!$F:$F, "="&amp;B366, PGĐ!$I:$I, "="&amp;'HQ1'!A366)</f>
        <v>7820741</v>
      </c>
      <c r="K366" s="113"/>
      <c r="L366" s="78">
        <f t="shared" si="12"/>
        <v>0.69580211776558387</v>
      </c>
      <c r="M366" s="5">
        <f>SUMIFS(ĐMCP!$Q:$Q,ĐMCP!$P:$P, "="&amp;'HQ1'!B366,ĐMCP!$O:$O, "="&amp;'HQ1'!A366)</f>
        <v>1312385358.1894169</v>
      </c>
      <c r="N366" s="89">
        <f t="shared" si="11"/>
        <v>-0.18941688537597656</v>
      </c>
    </row>
    <row r="367" spans="1:14" x14ac:dyDescent="0.25">
      <c r="A367" s="123" t="s">
        <v>80</v>
      </c>
      <c r="B367" s="16" t="s">
        <v>138</v>
      </c>
      <c r="C367" s="7">
        <v>972074710</v>
      </c>
      <c r="D367" s="7">
        <v>123319141</v>
      </c>
      <c r="E367" s="7">
        <v>130277742</v>
      </c>
      <c r="F367" s="7">
        <v>-25040963</v>
      </c>
      <c r="G367" s="7">
        <v>404379158</v>
      </c>
      <c r="H367" s="7">
        <v>29162241.300000001</v>
      </c>
      <c r="I367" s="7">
        <v>309977390.69999999</v>
      </c>
      <c r="J367" s="113">
        <f>SUMIFS(PGĐ!$H:$H,PGĐ!$F:$F, "="&amp;B367, PGĐ!$I:$I, "="&amp;'HQ1'!A367)</f>
        <v>160000</v>
      </c>
      <c r="K367" s="113"/>
      <c r="L367" s="78">
        <f t="shared" si="12"/>
        <v>0.11674807790469495</v>
      </c>
      <c r="M367" s="5">
        <f>SUMIFS(ĐMCP!$Q:$Q,ĐMCP!$P:$P, "="&amp;'HQ1'!B367,ĐMCP!$O:$O, "="&amp;'HQ1'!A367)</f>
        <v>404379157.50854683</v>
      </c>
      <c r="N367" s="89">
        <f t="shared" si="11"/>
        <v>0.49145317077636719</v>
      </c>
    </row>
    <row r="368" spans="1:14" x14ac:dyDescent="0.25">
      <c r="A368" s="123" t="s">
        <v>99</v>
      </c>
      <c r="B368" s="15" t="s">
        <v>45</v>
      </c>
      <c r="C368" s="132">
        <v>4983645037</v>
      </c>
      <c r="D368" s="132">
        <v>2293486203</v>
      </c>
      <c r="E368" s="132">
        <v>73606767.75</v>
      </c>
      <c r="F368" s="132">
        <v>-350327666</v>
      </c>
      <c r="G368" s="132">
        <v>1965990837</v>
      </c>
      <c r="H368" s="132">
        <v>149509351.10999998</v>
      </c>
      <c r="I368" s="132">
        <v>851379544.13999999</v>
      </c>
      <c r="J368" s="113">
        <f>SUMIFS(PGĐ!$H:$H,PGĐ!$F:$F, "="&amp;B368, PGĐ!$I:$I, "="&amp;'HQ1'!A368)</f>
        <v>0</v>
      </c>
      <c r="K368" s="113"/>
      <c r="L368" s="78">
        <f t="shared" si="12"/>
        <v>0.39575221830130747</v>
      </c>
      <c r="M368" s="5">
        <f>SUMIFS(ĐMCP!$Q:$Q,ĐMCP!$P:$P, "="&amp;'HQ1'!B368,ĐMCP!$O:$O, "="&amp;'HQ1'!A368)</f>
        <v>0</v>
      </c>
      <c r="N368" s="89">
        <f t="shared" si="11"/>
        <v>0</v>
      </c>
    </row>
    <row r="369" spans="1:14" x14ac:dyDescent="0.25">
      <c r="A369" s="123" t="s">
        <v>99</v>
      </c>
      <c r="B369" s="16" t="s">
        <v>135</v>
      </c>
      <c r="C369" s="7">
        <v>437085650</v>
      </c>
      <c r="D369" s="7">
        <v>731029000</v>
      </c>
      <c r="E369" s="7">
        <v>-82527550</v>
      </c>
      <c r="G369" s="7">
        <v>154945644</v>
      </c>
      <c r="H369" s="7">
        <v>13112569.5</v>
      </c>
      <c r="I369" s="7">
        <v>-379474013.5</v>
      </c>
      <c r="J369" s="113">
        <f>SUMIFS(PGĐ!$H:$H,PGĐ!$F:$F, "="&amp;B369, PGĐ!$I:$I, "="&amp;'HQ1'!A369)</f>
        <v>0</v>
      </c>
      <c r="K369" s="113"/>
      <c r="L369" s="78">
        <f t="shared" si="12"/>
        <v>1.4068714959512192</v>
      </c>
      <c r="M369" s="5">
        <f>SUMIFS(ĐMCP!$Q:$Q,ĐMCP!$P:$P, "="&amp;'HQ1'!B369,ĐMCP!$O:$O, "="&amp;'HQ1'!A369)</f>
        <v>154945644.33120015</v>
      </c>
      <c r="N369" s="89">
        <f t="shared" si="11"/>
        <v>-0.33120015263557434</v>
      </c>
    </row>
    <row r="370" spans="1:14" x14ac:dyDescent="0.25">
      <c r="A370" s="123" t="s">
        <v>99</v>
      </c>
      <c r="B370" s="16" t="s">
        <v>136</v>
      </c>
      <c r="C370" s="7">
        <v>42701500</v>
      </c>
      <c r="E370" s="7">
        <v>236650</v>
      </c>
      <c r="G370" s="7">
        <v>23621075</v>
      </c>
      <c r="H370" s="7">
        <v>1281045</v>
      </c>
      <c r="I370" s="7">
        <v>17562730</v>
      </c>
      <c r="J370" s="113">
        <f>SUMIFS(PGĐ!$H:$H,PGĐ!$F:$F, "="&amp;B370, PGĐ!$I:$I, "="&amp;'HQ1'!A370)</f>
        <v>0</v>
      </c>
      <c r="K370" s="113"/>
      <c r="L370" s="78">
        <f t="shared" si="12"/>
        <v>0</v>
      </c>
      <c r="M370" s="5">
        <f>SUMIFS(ĐMCP!$Q:$Q,ĐMCP!$P:$P, "="&amp;'HQ1'!B370,ĐMCP!$O:$O, "="&amp;'HQ1'!A370)</f>
        <v>23621075.19109533</v>
      </c>
      <c r="N370" s="89">
        <f t="shared" si="11"/>
        <v>-0.19109532982110977</v>
      </c>
    </row>
    <row r="371" spans="1:14" x14ac:dyDescent="0.25">
      <c r="A371" s="123" t="s">
        <v>99</v>
      </c>
      <c r="B371" s="16" t="s">
        <v>137</v>
      </c>
      <c r="C371" s="7">
        <v>3147149837</v>
      </c>
      <c r="D371" s="7">
        <v>1471997938</v>
      </c>
      <c r="E371" s="7">
        <v>-21297227.25</v>
      </c>
      <c r="F371" s="7">
        <v>-354916120</v>
      </c>
      <c r="G371" s="7">
        <v>1157890764</v>
      </c>
      <c r="H371" s="7">
        <v>94414495.109999999</v>
      </c>
      <c r="I371" s="7">
        <v>799059987.13999999</v>
      </c>
      <c r="J371" s="113">
        <f>SUMIFS(PGĐ!$H:$H,PGĐ!$F:$F, "="&amp;B371, PGĐ!$I:$I, "="&amp;'HQ1'!A371)</f>
        <v>13000000</v>
      </c>
      <c r="K371" s="113"/>
      <c r="L371" s="78">
        <f t="shared" si="12"/>
        <v>0.35256445676627496</v>
      </c>
      <c r="M371" s="5">
        <f>SUMIFS(ĐMCP!$Q:$Q,ĐMCP!$P:$P, "="&amp;'HQ1'!B371,ĐMCP!$O:$O, "="&amp;'HQ1'!A371)</f>
        <v>1157890763.7409949</v>
      </c>
      <c r="N371" s="89">
        <f t="shared" si="11"/>
        <v>0.25900506973266602</v>
      </c>
    </row>
    <row r="372" spans="1:14" x14ac:dyDescent="0.25">
      <c r="A372" s="123" t="s">
        <v>99</v>
      </c>
      <c r="B372" s="16" t="s">
        <v>138</v>
      </c>
      <c r="C372" s="7">
        <v>1356708050</v>
      </c>
      <c r="D372" s="7">
        <v>90459265</v>
      </c>
      <c r="E372" s="7">
        <v>177194895</v>
      </c>
      <c r="F372" s="7">
        <v>4588454</v>
      </c>
      <c r="G372" s="7">
        <v>629533354</v>
      </c>
      <c r="H372" s="7">
        <v>40701241.5</v>
      </c>
      <c r="I372" s="7">
        <v>414230840.5</v>
      </c>
      <c r="J372" s="113">
        <f>SUMIFS(PGĐ!$H:$H,PGĐ!$F:$F, "="&amp;B372, PGĐ!$I:$I, "="&amp;'HQ1'!A372)</f>
        <v>0</v>
      </c>
      <c r="K372" s="113"/>
      <c r="L372" s="78">
        <f t="shared" si="12"/>
        <v>8.0582161035753774E-2</v>
      </c>
      <c r="M372" s="5">
        <f>SUMIFS(ĐMCP!$Q:$Q,ĐMCP!$P:$P, "="&amp;'HQ1'!B372,ĐMCP!$O:$O, "="&amp;'HQ1'!A372)</f>
        <v>629533353.51643181</v>
      </c>
      <c r="N372" s="89">
        <f t="shared" si="11"/>
        <v>0.48356819152832031</v>
      </c>
    </row>
    <row r="373" spans="1:14" x14ac:dyDescent="0.25">
      <c r="A373" s="123" t="s">
        <v>66</v>
      </c>
      <c r="B373" s="15" t="s">
        <v>45</v>
      </c>
      <c r="C373" s="132">
        <v>18400233163</v>
      </c>
      <c r="D373" s="132">
        <v>8136047311</v>
      </c>
      <c r="E373" s="132">
        <v>720874817.75</v>
      </c>
      <c r="F373" s="132">
        <v>-1406043786.7399998</v>
      </c>
      <c r="G373" s="132">
        <v>5964366811</v>
      </c>
      <c r="H373" s="132">
        <v>552006994.88999999</v>
      </c>
      <c r="I373" s="132">
        <v>4432981015.1000004</v>
      </c>
      <c r="J373" s="113">
        <f>SUMIFS(PGĐ!$H:$H,PGĐ!$F:$F, "="&amp;B373, PGĐ!$I:$I, "="&amp;'HQ1'!A373)</f>
        <v>0</v>
      </c>
      <c r="K373" s="113"/>
      <c r="L373" s="78">
        <f t="shared" si="12"/>
        <v>0.38067012347584339</v>
      </c>
      <c r="M373" s="5">
        <f>SUMIFS(ĐMCP!$Q:$Q,ĐMCP!$P:$P, "="&amp;'HQ1'!B373,ĐMCP!$O:$O, "="&amp;'HQ1'!A373)</f>
        <v>0</v>
      </c>
      <c r="N373" s="89">
        <f t="shared" si="11"/>
        <v>0</v>
      </c>
    </row>
    <row r="374" spans="1:14" x14ac:dyDescent="0.25">
      <c r="A374" s="123" t="s">
        <v>66</v>
      </c>
      <c r="B374" s="16" t="s">
        <v>135</v>
      </c>
      <c r="C374" s="7">
        <v>4307165996</v>
      </c>
      <c r="D374" s="7">
        <v>1728141383</v>
      </c>
      <c r="E374" s="7">
        <v>130565791.75</v>
      </c>
      <c r="F374" s="7">
        <v>-91732000</v>
      </c>
      <c r="G374" s="7">
        <v>1466976406</v>
      </c>
      <c r="H374" s="7">
        <v>129214979.88</v>
      </c>
      <c r="I374" s="7">
        <v>943999435.37</v>
      </c>
      <c r="J374" s="113">
        <f>SUMIFS(PGĐ!$H:$H,PGĐ!$F:$F, "="&amp;B374, PGĐ!$I:$I, "="&amp;'HQ1'!A374)</f>
        <v>0</v>
      </c>
      <c r="K374" s="113"/>
      <c r="L374" s="78">
        <f t="shared" si="12"/>
        <v>0.39180417156873965</v>
      </c>
      <c r="M374" s="5">
        <f>SUMIFS(ĐMCP!$Q:$Q,ĐMCP!$P:$P, "="&amp;'HQ1'!B374,ĐMCP!$O:$O, "="&amp;'HQ1'!A374)</f>
        <v>1466976406.2289371</v>
      </c>
      <c r="N374" s="89">
        <f t="shared" si="11"/>
        <v>-0.22893714904785156</v>
      </c>
    </row>
    <row r="375" spans="1:14" x14ac:dyDescent="0.25">
      <c r="A375" s="123" t="s">
        <v>66</v>
      </c>
      <c r="B375" s="16" t="s">
        <v>136</v>
      </c>
      <c r="C375" s="7">
        <v>753234396</v>
      </c>
      <c r="E375" s="7">
        <v>21777632.800000001</v>
      </c>
      <c r="F375" s="7">
        <v>1704293</v>
      </c>
      <c r="G375" s="7">
        <v>405544153</v>
      </c>
      <c r="H375" s="7">
        <v>22597031.879999999</v>
      </c>
      <c r="I375" s="7">
        <v>301611285.32000005</v>
      </c>
      <c r="J375" s="113">
        <f>SUMIFS(PGĐ!$H:$H,PGĐ!$F:$F, "="&amp;B375, PGĐ!$I:$I, "="&amp;'HQ1'!A375)</f>
        <v>0</v>
      </c>
      <c r="K375" s="113"/>
      <c r="L375" s="78">
        <f t="shared" si="12"/>
        <v>2.3299982797944274E-3</v>
      </c>
      <c r="M375" s="5">
        <f>SUMIFS(ĐMCP!$Q:$Q,ĐMCP!$P:$P, "="&amp;'HQ1'!B375,ĐMCP!$O:$O, "="&amp;'HQ1'!A375)</f>
        <v>405544153.44369447</v>
      </c>
      <c r="N375" s="89">
        <f t="shared" si="11"/>
        <v>-0.44369447231292725</v>
      </c>
    </row>
    <row r="376" spans="1:14" x14ac:dyDescent="0.25">
      <c r="A376" s="123" t="s">
        <v>66</v>
      </c>
      <c r="B376" s="16" t="s">
        <v>137</v>
      </c>
      <c r="C376" s="7">
        <v>5677768890</v>
      </c>
      <c r="D376" s="7">
        <v>4212671883</v>
      </c>
      <c r="E376" s="7">
        <v>532005681</v>
      </c>
      <c r="F376" s="7">
        <v>-1357106455.7399998</v>
      </c>
      <c r="G376" s="7">
        <v>1772938629</v>
      </c>
      <c r="H376" s="7">
        <v>170333066.69999999</v>
      </c>
      <c r="I376" s="7">
        <v>346926086.03999978</v>
      </c>
      <c r="J376" s="113">
        <f>SUMIFS(PGĐ!$H:$H,PGĐ!$F:$F, "="&amp;B376, PGĐ!$I:$I, "="&amp;'HQ1'!A376)</f>
        <v>36200000</v>
      </c>
      <c r="K376" s="113"/>
      <c r="L376" s="78">
        <f t="shared" si="12"/>
        <v>0.55493525669148225</v>
      </c>
      <c r="M376" s="5">
        <f>SUMIFS(ĐMCP!$Q:$Q,ĐMCP!$P:$P, "="&amp;'HQ1'!B376,ĐMCP!$O:$O, "="&amp;'HQ1'!A376)</f>
        <v>1772938629.3182602</v>
      </c>
      <c r="N376" s="89">
        <f t="shared" si="11"/>
        <v>-0.31826019287109375</v>
      </c>
    </row>
    <row r="377" spans="1:14" x14ac:dyDescent="0.25">
      <c r="A377" s="123" t="s">
        <v>66</v>
      </c>
      <c r="B377" s="16" t="s">
        <v>138</v>
      </c>
      <c r="C377" s="7">
        <v>7662063881</v>
      </c>
      <c r="D377" s="7">
        <v>2195234045</v>
      </c>
      <c r="E377" s="7">
        <v>36525712.199999996</v>
      </c>
      <c r="F377" s="7">
        <v>41090376</v>
      </c>
      <c r="G377" s="7">
        <v>2318907623</v>
      </c>
      <c r="H377" s="7">
        <v>229861916.42999998</v>
      </c>
      <c r="I377" s="7">
        <v>2840444208.3700004</v>
      </c>
      <c r="J377" s="113">
        <f>SUMIFS(PGĐ!$H:$H,PGĐ!$F:$F, "="&amp;B377, PGĐ!$I:$I, "="&amp;'HQ1'!A377)</f>
        <v>0</v>
      </c>
      <c r="K377" s="113"/>
      <c r="L377" s="78">
        <f t="shared" si="12"/>
        <v>0.29326774996025246</v>
      </c>
      <c r="M377" s="5">
        <f>SUMIFS(ĐMCP!$Q:$Q,ĐMCP!$P:$P, "="&amp;'HQ1'!B377,ĐMCP!$O:$O, "="&amp;'HQ1'!A377)</f>
        <v>2318907622.93859</v>
      </c>
      <c r="N377" s="89">
        <f t="shared" si="11"/>
        <v>6.1409950256347656E-2</v>
      </c>
    </row>
    <row r="378" spans="1:14" x14ac:dyDescent="0.25">
      <c r="A378" s="123" t="s">
        <v>116</v>
      </c>
      <c r="B378" s="15" t="s">
        <v>45</v>
      </c>
      <c r="C378" s="132">
        <v>4854779180</v>
      </c>
      <c r="D378" s="132">
        <v>2190681305</v>
      </c>
      <c r="E378" s="132">
        <v>89089032.75</v>
      </c>
      <c r="F378" s="132">
        <v>573345370</v>
      </c>
      <c r="G378" s="132">
        <v>1347658929</v>
      </c>
      <c r="H378" s="132">
        <v>145643375.40000001</v>
      </c>
      <c r="I378" s="132">
        <v>508361167.85000002</v>
      </c>
      <c r="J378" s="113">
        <f>SUMIFS(PGĐ!$H:$H,PGĐ!$F:$F, "="&amp;B378, PGĐ!$I:$I, "="&amp;'HQ1'!A378)</f>
        <v>0</v>
      </c>
      <c r="K378" s="113"/>
      <c r="L378" s="78">
        <f t="shared" si="12"/>
        <v>0.57998455409337879</v>
      </c>
      <c r="M378" s="5">
        <f>SUMIFS(ĐMCP!$Q:$Q,ĐMCP!$P:$P, "="&amp;'HQ1'!B378,ĐMCP!$O:$O, "="&amp;'HQ1'!A378)</f>
        <v>0</v>
      </c>
      <c r="N378" s="89">
        <f t="shared" si="11"/>
        <v>0</v>
      </c>
    </row>
    <row r="379" spans="1:14" x14ac:dyDescent="0.25">
      <c r="A379" s="123" t="s">
        <v>116</v>
      </c>
      <c r="B379" s="16" t="s">
        <v>135</v>
      </c>
      <c r="C379" s="7">
        <v>2451080900</v>
      </c>
      <c r="D379" s="7">
        <v>1959093954</v>
      </c>
      <c r="E379" s="7">
        <v>-44720030.75</v>
      </c>
      <c r="G379" s="7">
        <v>611399013</v>
      </c>
      <c r="H379" s="7">
        <v>73532427</v>
      </c>
      <c r="I379" s="7">
        <v>-148224463.25</v>
      </c>
      <c r="J379" s="113">
        <f>SUMIFS(PGĐ!$H:$H,PGĐ!$F:$F, "="&amp;B379, PGĐ!$I:$I, "="&amp;'HQ1'!A379)</f>
        <v>0</v>
      </c>
      <c r="K379" s="113"/>
      <c r="L379" s="78">
        <f t="shared" si="12"/>
        <v>0.78495601546685978</v>
      </c>
      <c r="M379" s="5">
        <f>SUMIFS(ĐMCP!$Q:$Q,ĐMCP!$P:$P, "="&amp;'HQ1'!B379,ĐMCP!$O:$O, "="&amp;'HQ1'!A379)</f>
        <v>611399012.74028587</v>
      </c>
      <c r="N379" s="89">
        <f t="shared" si="11"/>
        <v>0.25971412658691406</v>
      </c>
    </row>
    <row r="380" spans="1:14" x14ac:dyDescent="0.25">
      <c r="A380" s="123" t="s">
        <v>116</v>
      </c>
      <c r="B380" s="16" t="s">
        <v>136</v>
      </c>
      <c r="C380" s="7">
        <v>5550000</v>
      </c>
      <c r="E380" s="7">
        <v>-2039400</v>
      </c>
      <c r="G380" s="7">
        <v>2884873</v>
      </c>
      <c r="H380" s="7">
        <v>166500</v>
      </c>
      <c r="I380" s="7">
        <v>4538027</v>
      </c>
      <c r="J380" s="113">
        <f>SUMIFS(PGĐ!$H:$H,PGĐ!$F:$F, "="&amp;B380, PGĐ!$I:$I, "="&amp;'HQ1'!A380)</f>
        <v>0</v>
      </c>
      <c r="K380" s="113"/>
      <c r="L380" s="78">
        <f t="shared" si="12"/>
        <v>0</v>
      </c>
      <c r="M380" s="5">
        <f>SUMIFS(ĐMCP!$Q:$Q,ĐMCP!$P:$P, "="&amp;'HQ1'!B380,ĐMCP!$O:$O, "="&amp;'HQ1'!A380)</f>
        <v>2884873.099450442</v>
      </c>
      <c r="N380" s="89">
        <f t="shared" si="11"/>
        <v>-9.9450442008674145E-2</v>
      </c>
    </row>
    <row r="381" spans="1:14" x14ac:dyDescent="0.25">
      <c r="A381" s="123" t="s">
        <v>116</v>
      </c>
      <c r="B381" s="16" t="s">
        <v>137</v>
      </c>
      <c r="C381" s="7">
        <v>2054118575</v>
      </c>
      <c r="D381" s="7">
        <v>156201109</v>
      </c>
      <c r="E381" s="7">
        <v>62606615</v>
      </c>
      <c r="F381" s="7">
        <v>578072045</v>
      </c>
      <c r="G381" s="7">
        <v>608760354</v>
      </c>
      <c r="H381" s="7">
        <v>61623557.25</v>
      </c>
      <c r="I381" s="7">
        <v>586854894.75</v>
      </c>
      <c r="J381" s="113">
        <f>SUMIFS(PGĐ!$H:$H,PGĐ!$F:$F, "="&amp;B381, PGĐ!$I:$I, "="&amp;'HQ1'!A381)</f>
        <v>1700000</v>
      </c>
      <c r="K381" s="113"/>
      <c r="L381" s="78">
        <f t="shared" si="12"/>
        <v>0.36870135291580169</v>
      </c>
      <c r="M381" s="5">
        <f>SUMIFS(ĐMCP!$Q:$Q,ĐMCP!$P:$P, "="&amp;'HQ1'!B381,ĐMCP!$O:$O, "="&amp;'HQ1'!A381)</f>
        <v>608760353.7221508</v>
      </c>
      <c r="N381" s="89">
        <f t="shared" si="11"/>
        <v>0.27784919738769531</v>
      </c>
    </row>
    <row r="382" spans="1:14" x14ac:dyDescent="0.25">
      <c r="A382" s="123" t="s">
        <v>116</v>
      </c>
      <c r="B382" s="16" t="s">
        <v>138</v>
      </c>
      <c r="C382" s="7">
        <v>344029705</v>
      </c>
      <c r="D382" s="7">
        <v>75386242</v>
      </c>
      <c r="E382" s="7">
        <v>73241848.5</v>
      </c>
      <c r="F382" s="7">
        <v>-4726675</v>
      </c>
      <c r="G382" s="7">
        <v>124614689</v>
      </c>
      <c r="H382" s="7">
        <v>10320891.15</v>
      </c>
      <c r="I382" s="7">
        <v>65192709.350000001</v>
      </c>
      <c r="J382" s="113">
        <f>SUMIFS(PGĐ!$H:$H,PGĐ!$F:$F, "="&amp;B382, PGĐ!$I:$I, "="&amp;'HQ1'!A382)</f>
        <v>0</v>
      </c>
      <c r="K382" s="113"/>
      <c r="L382" s="78">
        <f t="shared" si="12"/>
        <v>0.26094067848275171</v>
      </c>
      <c r="M382" s="5">
        <f>SUMIFS(ĐMCP!$Q:$Q,ĐMCP!$P:$P, "="&amp;'HQ1'!B382,ĐMCP!$O:$O, "="&amp;'HQ1'!A382)</f>
        <v>124614688.50076021</v>
      </c>
      <c r="N382" s="89">
        <f t="shared" si="11"/>
        <v>0.49923978745937347</v>
      </c>
    </row>
    <row r="383" spans="1:14" x14ac:dyDescent="0.25">
      <c r="A383" s="123" t="s">
        <v>86</v>
      </c>
      <c r="B383" s="15" t="s">
        <v>45</v>
      </c>
      <c r="C383" s="132">
        <v>6632793201</v>
      </c>
      <c r="D383" s="132">
        <v>5337908410</v>
      </c>
      <c r="E383" s="132">
        <v>-196662897.05000001</v>
      </c>
      <c r="F383" s="132">
        <v>-553164438</v>
      </c>
      <c r="G383" s="132">
        <v>2548049980</v>
      </c>
      <c r="H383" s="132">
        <v>198983796.03</v>
      </c>
      <c r="I383" s="132">
        <v>-702321649.98000002</v>
      </c>
      <c r="J383" s="113">
        <f>SUMIFS(PGĐ!$H:$H,PGĐ!$F:$F, "="&amp;B383, PGĐ!$I:$I, "="&amp;'HQ1'!A383)</f>
        <v>0</v>
      </c>
      <c r="K383" s="113"/>
      <c r="L383" s="78">
        <f t="shared" si="12"/>
        <v>0.70060395781242046</v>
      </c>
      <c r="M383" s="5">
        <f>SUMIFS(ĐMCP!$Q:$Q,ĐMCP!$P:$P, "="&amp;'HQ1'!B383,ĐMCP!$O:$O, "="&amp;'HQ1'!A383)</f>
        <v>0</v>
      </c>
      <c r="N383" s="89">
        <f t="shared" si="11"/>
        <v>0</v>
      </c>
    </row>
    <row r="384" spans="1:14" x14ac:dyDescent="0.25">
      <c r="A384" s="123" t="s">
        <v>86</v>
      </c>
      <c r="B384" s="16" t="s">
        <v>135</v>
      </c>
      <c r="C384" s="7">
        <v>1364467106</v>
      </c>
      <c r="D384" s="7">
        <v>3262052000</v>
      </c>
      <c r="E384" s="7">
        <v>-82016666.75</v>
      </c>
      <c r="F384" s="7">
        <v>-95600000</v>
      </c>
      <c r="G384" s="7">
        <v>407720860</v>
      </c>
      <c r="H384" s="7">
        <v>40934013.18</v>
      </c>
      <c r="I384" s="7">
        <v>-2168623100.4299998</v>
      </c>
      <c r="J384" s="113">
        <f>SUMIFS(PGĐ!$H:$H,PGĐ!$F:$F, "="&amp;B384, PGĐ!$I:$I, "="&amp;'HQ1'!A384)</f>
        <v>0</v>
      </c>
      <c r="K384" s="113"/>
      <c r="L384" s="78">
        <f t="shared" si="12"/>
        <v>2.1890684566616754</v>
      </c>
      <c r="M384" s="5">
        <f>SUMIFS(ĐMCP!$Q:$Q,ĐMCP!$P:$P, "="&amp;'HQ1'!B384,ĐMCP!$O:$O, "="&amp;'HQ1'!A384)</f>
        <v>407720860.04501987</v>
      </c>
      <c r="N384" s="89">
        <f t="shared" si="11"/>
        <v>-4.5019865036010742E-2</v>
      </c>
    </row>
    <row r="385" spans="1:14" x14ac:dyDescent="0.25">
      <c r="A385" s="123" t="s">
        <v>86</v>
      </c>
      <c r="B385" s="16" t="s">
        <v>136</v>
      </c>
      <c r="C385" s="7">
        <v>19242300</v>
      </c>
      <c r="E385" s="7">
        <v>-338810</v>
      </c>
      <c r="G385" s="7">
        <v>10760750</v>
      </c>
      <c r="H385" s="7">
        <v>577269</v>
      </c>
      <c r="I385" s="7">
        <v>8243091</v>
      </c>
      <c r="J385" s="113">
        <f>SUMIFS(PGĐ!$H:$H,PGĐ!$F:$F, "="&amp;B385, PGĐ!$I:$I, "="&amp;'HQ1'!A385)</f>
        <v>0</v>
      </c>
      <c r="K385" s="113"/>
      <c r="L385" s="78">
        <f t="shared" si="12"/>
        <v>0</v>
      </c>
      <c r="M385" s="5">
        <f>SUMIFS(ĐMCP!$Q:$Q,ĐMCP!$P:$P, "="&amp;'HQ1'!B385,ĐMCP!$O:$O, "="&amp;'HQ1'!A385)</f>
        <v>10760749.692340033</v>
      </c>
      <c r="N385" s="89">
        <f t="shared" si="11"/>
        <v>0.30765996687114239</v>
      </c>
    </row>
    <row r="386" spans="1:14" x14ac:dyDescent="0.25">
      <c r="A386" s="123" t="s">
        <v>86</v>
      </c>
      <c r="B386" s="16" t="s">
        <v>137</v>
      </c>
      <c r="C386" s="7">
        <v>3846640405</v>
      </c>
      <c r="D386" s="7">
        <v>1550539877</v>
      </c>
      <c r="E386" s="7">
        <v>-291606673</v>
      </c>
      <c r="F386" s="7">
        <v>-415031981</v>
      </c>
      <c r="G386" s="7">
        <v>1514574429</v>
      </c>
      <c r="H386" s="7">
        <v>115399212.14999999</v>
      </c>
      <c r="I386" s="7">
        <v>1372765540.8499999</v>
      </c>
      <c r="J386" s="113">
        <f>SUMIFS(PGĐ!$H:$H,PGĐ!$F:$F, "="&amp;B386, PGĐ!$I:$I, "="&amp;'HQ1'!A386)</f>
        <v>43840000</v>
      </c>
      <c r="K386" s="113"/>
      <c r="L386" s="78">
        <f t="shared" si="12"/>
        <v>0.27439345080110272</v>
      </c>
      <c r="M386" s="5">
        <f>SUMIFS(ĐMCP!$Q:$Q,ĐMCP!$P:$P, "="&amp;'HQ1'!B386,ĐMCP!$O:$O, "="&amp;'HQ1'!A386)</f>
        <v>1514574428.9421854</v>
      </c>
      <c r="N386" s="89">
        <f t="shared" si="11"/>
        <v>5.7814598083496094E-2</v>
      </c>
    </row>
    <row r="387" spans="1:14" x14ac:dyDescent="0.25">
      <c r="A387" s="123" t="s">
        <v>86</v>
      </c>
      <c r="B387" s="16" t="s">
        <v>138</v>
      </c>
      <c r="C387" s="7">
        <v>1402443390</v>
      </c>
      <c r="D387" s="7">
        <v>525316533</v>
      </c>
      <c r="E387" s="7">
        <v>177299252.69999999</v>
      </c>
      <c r="F387" s="7">
        <v>-42532457</v>
      </c>
      <c r="G387" s="7">
        <v>614993941</v>
      </c>
      <c r="H387" s="7">
        <v>42073301.699999996</v>
      </c>
      <c r="I387" s="7">
        <v>85292818.599999964</v>
      </c>
      <c r="J387" s="113">
        <f>SUMIFS(PGĐ!$H:$H,PGĐ!$F:$F, "="&amp;B387, PGĐ!$I:$I, "="&amp;'HQ1'!A387)</f>
        <v>0</v>
      </c>
      <c r="K387" s="113"/>
      <c r="L387" s="78">
        <f t="shared" si="12"/>
        <v>0.39406308311115973</v>
      </c>
      <c r="M387" s="5">
        <f>SUMIFS(ĐMCP!$Q:$Q,ĐMCP!$P:$P, "="&amp;'HQ1'!B387,ĐMCP!$O:$O, "="&amp;'HQ1'!A387)</f>
        <v>614993941.02714431</v>
      </c>
      <c r="N387" s="89">
        <f t="shared" ref="N387:N436" si="13">IF(M387=0,0,G387-M387)</f>
        <v>-2.7144312858581543E-2</v>
      </c>
    </row>
    <row r="388" spans="1:14" x14ac:dyDescent="0.25">
      <c r="A388" s="123" t="s">
        <v>85</v>
      </c>
      <c r="B388" s="15" t="s">
        <v>45</v>
      </c>
      <c r="C388" s="132">
        <v>8945844328</v>
      </c>
      <c r="D388" s="132">
        <v>3596124453</v>
      </c>
      <c r="E388" s="132">
        <v>239036681.34999999</v>
      </c>
      <c r="F388" s="132">
        <v>503656643</v>
      </c>
      <c r="G388" s="132">
        <v>2914715250</v>
      </c>
      <c r="H388" s="132">
        <v>268375329.84</v>
      </c>
      <c r="I388" s="132">
        <v>1423935970.8100002</v>
      </c>
      <c r="J388" s="113">
        <f>SUMIFS(PGĐ!$H:$H,PGĐ!$F:$F, "="&amp;B388, PGĐ!$I:$I, "="&amp;'HQ1'!A388)</f>
        <v>0</v>
      </c>
      <c r="K388" s="113"/>
      <c r="L388" s="78">
        <f t="shared" ref="L388:L438" si="14">(D388+F388)/(C388-E388)</f>
        <v>0.47087075566409431</v>
      </c>
      <c r="M388" s="5">
        <f>SUMIFS(ĐMCP!$Q:$Q,ĐMCP!$P:$P, "="&amp;'HQ1'!B388,ĐMCP!$O:$O, "="&amp;'HQ1'!A388)</f>
        <v>0</v>
      </c>
      <c r="N388" s="89">
        <f t="shared" si="13"/>
        <v>0</v>
      </c>
    </row>
    <row r="389" spans="1:14" x14ac:dyDescent="0.25">
      <c r="A389" s="123" t="s">
        <v>85</v>
      </c>
      <c r="B389" s="16" t="s">
        <v>135</v>
      </c>
      <c r="C389" s="7">
        <v>3836121865</v>
      </c>
      <c r="D389" s="7">
        <v>2258772407</v>
      </c>
      <c r="E389" s="7">
        <v>-90782594</v>
      </c>
      <c r="F389" s="7">
        <v>52920000</v>
      </c>
      <c r="G389" s="7">
        <v>1333067925</v>
      </c>
      <c r="H389" s="7">
        <v>115083655.95</v>
      </c>
      <c r="I389" s="7">
        <v>167060471.05000001</v>
      </c>
      <c r="J389" s="113">
        <f>SUMIFS(PGĐ!$H:$H,PGĐ!$F:$F, "="&amp;B389, PGĐ!$I:$I, "="&amp;'HQ1'!A389)</f>
        <v>0</v>
      </c>
      <c r="K389" s="113"/>
      <c r="L389" s="78">
        <f t="shared" si="14"/>
        <v>0.5886805831758587</v>
      </c>
      <c r="M389" s="5">
        <f>SUMIFS(ĐMCP!$Q:$Q,ĐMCP!$P:$P, "="&amp;'HQ1'!B389,ĐMCP!$O:$O, "="&amp;'HQ1'!A389)</f>
        <v>1333067924.6095161</v>
      </c>
      <c r="N389" s="89">
        <f t="shared" si="13"/>
        <v>0.39048385620117188</v>
      </c>
    </row>
    <row r="390" spans="1:14" x14ac:dyDescent="0.25">
      <c r="A390" s="123" t="s">
        <v>85</v>
      </c>
      <c r="B390" s="16" t="s">
        <v>136</v>
      </c>
      <c r="C390" s="7">
        <v>55692400</v>
      </c>
      <c r="E390" s="7">
        <v>-1555160</v>
      </c>
      <c r="G390" s="7">
        <v>29483538</v>
      </c>
      <c r="H390" s="7">
        <v>1670772</v>
      </c>
      <c r="I390" s="7">
        <v>26093250</v>
      </c>
      <c r="J390" s="113">
        <f>SUMIFS(PGĐ!$H:$H,PGĐ!$F:$F, "="&amp;B390, PGĐ!$I:$I, "="&amp;'HQ1'!A390)</f>
        <v>0</v>
      </c>
      <c r="K390" s="113"/>
      <c r="L390" s="78">
        <f t="shared" si="14"/>
        <v>0</v>
      </c>
      <c r="M390" s="5">
        <f>SUMIFS(ĐMCP!$Q:$Q,ĐMCP!$P:$P, "="&amp;'HQ1'!B390,ĐMCP!$O:$O, "="&amp;'HQ1'!A390)</f>
        <v>29483538.34130419</v>
      </c>
      <c r="N390" s="89">
        <f t="shared" si="13"/>
        <v>-0.34130419045686722</v>
      </c>
    </row>
    <row r="391" spans="1:14" x14ac:dyDescent="0.25">
      <c r="A391" s="123" t="s">
        <v>85</v>
      </c>
      <c r="B391" s="16" t="s">
        <v>137</v>
      </c>
      <c r="C391" s="7">
        <v>2337341258</v>
      </c>
      <c r="D391" s="7">
        <v>569970628</v>
      </c>
      <c r="E391" s="7">
        <v>156821690.75</v>
      </c>
      <c r="F391" s="7">
        <v>395857521</v>
      </c>
      <c r="G391" s="7">
        <v>689122048</v>
      </c>
      <c r="H391" s="7">
        <v>70120237.739999995</v>
      </c>
      <c r="I391" s="7">
        <v>455449132.50999999</v>
      </c>
      <c r="J391" s="113">
        <f>SUMIFS(PGĐ!$H:$H,PGĐ!$F:$F, "="&amp;B391, PGĐ!$I:$I, "="&amp;'HQ1'!A391)</f>
        <v>7726000</v>
      </c>
      <c r="K391" s="113"/>
      <c r="L391" s="78">
        <f t="shared" si="14"/>
        <v>0.44293486905878626</v>
      </c>
      <c r="M391" s="5">
        <f>SUMIFS(ĐMCP!$Q:$Q,ĐMCP!$P:$P, "="&amp;'HQ1'!B391,ĐMCP!$O:$O, "="&amp;'HQ1'!A391)</f>
        <v>689122048.2709192</v>
      </c>
      <c r="N391" s="89">
        <f t="shared" si="13"/>
        <v>-0.27091920375823975</v>
      </c>
    </row>
    <row r="392" spans="1:14" x14ac:dyDescent="0.25">
      <c r="A392" s="123" t="s">
        <v>85</v>
      </c>
      <c r="B392" s="16" t="s">
        <v>138</v>
      </c>
      <c r="C392" s="7">
        <v>2716688805</v>
      </c>
      <c r="D392" s="7">
        <v>767381418</v>
      </c>
      <c r="E392" s="7">
        <v>174552744.59999999</v>
      </c>
      <c r="F392" s="7">
        <v>54879122</v>
      </c>
      <c r="G392" s="7">
        <v>863041739</v>
      </c>
      <c r="H392" s="7">
        <v>81500664.149999991</v>
      </c>
      <c r="I392" s="7">
        <v>775333117.25000012</v>
      </c>
      <c r="J392" s="113">
        <f>SUMIFS(PGĐ!$H:$H,PGĐ!$F:$F, "="&amp;B392, PGĐ!$I:$I, "="&amp;'HQ1'!A392)</f>
        <v>0</v>
      </c>
      <c r="K392" s="113"/>
      <c r="L392" s="78">
        <f t="shared" si="14"/>
        <v>0.32345260854000824</v>
      </c>
      <c r="M392" s="5">
        <f>SUMIFS(ĐMCP!$Q:$Q,ĐMCP!$P:$P, "="&amp;'HQ1'!B392,ĐMCP!$O:$O, "="&amp;'HQ1'!A392)</f>
        <v>863041738.69371235</v>
      </c>
      <c r="N392" s="89">
        <f t="shared" si="13"/>
        <v>0.30628764629364014</v>
      </c>
    </row>
    <row r="393" spans="1:14" x14ac:dyDescent="0.25">
      <c r="A393" s="123" t="s">
        <v>129</v>
      </c>
      <c r="B393" s="15" t="s">
        <v>45</v>
      </c>
      <c r="C393" s="132">
        <v>3463224553</v>
      </c>
      <c r="D393" s="132">
        <v>1730904837</v>
      </c>
      <c r="E393" s="132">
        <v>50117245</v>
      </c>
      <c r="F393" s="132">
        <v>398915432</v>
      </c>
      <c r="G393" s="132">
        <v>1299516051</v>
      </c>
      <c r="H393" s="132">
        <v>103896736.59</v>
      </c>
      <c r="I393" s="132">
        <v>-120125748.58999997</v>
      </c>
      <c r="J393" s="113">
        <f>SUMIFS(PGĐ!$H:$H,PGĐ!$F:$F, "="&amp;B393, PGĐ!$I:$I, "="&amp;'HQ1'!A393)</f>
        <v>0</v>
      </c>
      <c r="K393" s="113"/>
      <c r="L393" s="78">
        <f t="shared" si="14"/>
        <v>0.62401210299128396</v>
      </c>
      <c r="M393" s="5">
        <f>SUMIFS(ĐMCP!$Q:$Q,ĐMCP!$P:$P, "="&amp;'HQ1'!B393,ĐMCP!$O:$O, "="&amp;'HQ1'!A393)</f>
        <v>0</v>
      </c>
      <c r="N393" s="89">
        <f t="shared" si="13"/>
        <v>0</v>
      </c>
    </row>
    <row r="394" spans="1:14" x14ac:dyDescent="0.25">
      <c r="A394" s="123" t="s">
        <v>129</v>
      </c>
      <c r="B394" s="16" t="s">
        <v>135</v>
      </c>
      <c r="C394" s="7">
        <v>1488547865</v>
      </c>
      <c r="D394" s="7">
        <v>1415665828</v>
      </c>
      <c r="E394" s="7">
        <v>-78637946</v>
      </c>
      <c r="G394" s="7">
        <v>469689094</v>
      </c>
      <c r="H394" s="7">
        <v>44656435.949999996</v>
      </c>
      <c r="I394" s="7">
        <v>-362825546.94999999</v>
      </c>
      <c r="J394" s="113">
        <f>SUMIFS(PGĐ!$H:$H,PGĐ!$F:$F, "="&amp;B394, PGĐ!$I:$I, "="&amp;'HQ1'!A394)</f>
        <v>0</v>
      </c>
      <c r="K394" s="113"/>
      <c r="L394" s="78">
        <f t="shared" si="14"/>
        <v>0.90331715490499676</v>
      </c>
      <c r="M394" s="5">
        <f>SUMIFS(ĐMCP!$Q:$Q,ĐMCP!$P:$P, "="&amp;'HQ1'!B394,ĐMCP!$O:$O, "="&amp;'HQ1'!A394)</f>
        <v>469689094.01801026</v>
      </c>
      <c r="N394" s="89">
        <f t="shared" si="13"/>
        <v>-1.8010258674621582E-2</v>
      </c>
    </row>
    <row r="395" spans="1:14" x14ac:dyDescent="0.25">
      <c r="A395" s="123" t="s">
        <v>129</v>
      </c>
      <c r="B395" s="16" t="s">
        <v>136</v>
      </c>
      <c r="C395" s="7">
        <v>49529025</v>
      </c>
      <c r="E395" s="7">
        <v>3084802.5</v>
      </c>
      <c r="G395" s="7">
        <v>15383237</v>
      </c>
      <c r="H395" s="7">
        <v>1485870.75</v>
      </c>
      <c r="I395" s="7">
        <v>29575114.75</v>
      </c>
      <c r="J395" s="113">
        <f>SUMIFS(PGĐ!$H:$H,PGĐ!$F:$F, "="&amp;B395, PGĐ!$I:$I, "="&amp;'HQ1'!A395)</f>
        <v>0</v>
      </c>
      <c r="K395" s="113"/>
      <c r="L395" s="78">
        <f t="shared" si="14"/>
        <v>0</v>
      </c>
      <c r="M395" s="5">
        <f>SUMIFS(ĐMCP!$Q:$Q,ĐMCP!$P:$P, "="&amp;'HQ1'!B395,ĐMCP!$O:$O, "="&amp;'HQ1'!A395)</f>
        <v>15383237.189174458</v>
      </c>
      <c r="N395" s="89">
        <f t="shared" si="13"/>
        <v>-0.18917445838451385</v>
      </c>
    </row>
    <row r="396" spans="1:14" x14ac:dyDescent="0.25">
      <c r="A396" s="123" t="s">
        <v>129</v>
      </c>
      <c r="B396" s="16" t="s">
        <v>137</v>
      </c>
      <c r="C396" s="7">
        <v>1819003363</v>
      </c>
      <c r="D396" s="7">
        <v>201669065</v>
      </c>
      <c r="E396" s="7">
        <v>102732817.5</v>
      </c>
      <c r="F396" s="7">
        <v>413897126</v>
      </c>
      <c r="G396" s="7">
        <v>766014665</v>
      </c>
      <c r="H396" s="7">
        <v>54570100.890000001</v>
      </c>
      <c r="I396" s="7">
        <v>280119588.61000001</v>
      </c>
      <c r="J396" s="113">
        <f>SUMIFS(PGĐ!$H:$H,PGĐ!$F:$F, "="&amp;B396, PGĐ!$I:$I, "="&amp;'HQ1'!A396)</f>
        <v>3510000</v>
      </c>
      <c r="K396" s="113"/>
      <c r="L396" s="78">
        <f t="shared" si="14"/>
        <v>0.35866500920498379</v>
      </c>
      <c r="M396" s="5">
        <f>SUMIFS(ĐMCP!$Q:$Q,ĐMCP!$P:$P, "="&amp;'HQ1'!B396,ĐMCP!$O:$O, "="&amp;'HQ1'!A396)</f>
        <v>766014664.99896312</v>
      </c>
      <c r="N396" s="89">
        <f t="shared" si="13"/>
        <v>1.0368824005126953E-3</v>
      </c>
    </row>
    <row r="397" spans="1:14" x14ac:dyDescent="0.25">
      <c r="A397" s="123" t="s">
        <v>129</v>
      </c>
      <c r="B397" s="16" t="s">
        <v>138</v>
      </c>
      <c r="C397" s="7">
        <v>106144300</v>
      </c>
      <c r="D397" s="7">
        <v>113569944</v>
      </c>
      <c r="E397" s="7">
        <v>22937571</v>
      </c>
      <c r="F397" s="7">
        <v>-14981694</v>
      </c>
      <c r="G397" s="7">
        <v>48429055</v>
      </c>
      <c r="H397" s="7">
        <v>3184329</v>
      </c>
      <c r="I397" s="7">
        <v>-66994905</v>
      </c>
      <c r="J397" s="113">
        <f>SUMIFS(PGĐ!$H:$H,PGĐ!$F:$F, "="&amp;B397, PGĐ!$I:$I, "="&amp;'HQ1'!A397)</f>
        <v>0</v>
      </c>
      <c r="K397" s="113"/>
      <c r="L397" s="78">
        <f t="shared" si="14"/>
        <v>1.1848590995567196</v>
      </c>
      <c r="M397" s="5">
        <f>SUMIFS(ĐMCP!$Q:$Q,ĐMCP!$P:$P, "="&amp;'HQ1'!B397,ĐMCP!$O:$O, "="&amp;'HQ1'!A397)</f>
        <v>48429054.829461575</v>
      </c>
      <c r="N397" s="89">
        <f t="shared" si="13"/>
        <v>0.17053842544555664</v>
      </c>
    </row>
    <row r="398" spans="1:14" x14ac:dyDescent="0.25">
      <c r="A398" s="123" t="s">
        <v>131</v>
      </c>
      <c r="B398" s="15" t="s">
        <v>45</v>
      </c>
      <c r="C398" s="132"/>
      <c r="D398" s="132"/>
      <c r="E398" s="132">
        <v>-171214133393.5</v>
      </c>
      <c r="F398" s="132"/>
      <c r="G398" s="132"/>
      <c r="H398" s="132"/>
      <c r="I398" s="132">
        <v>171214133393.5</v>
      </c>
      <c r="J398" s="113">
        <f>SUMIFS(PGĐ!$H:$H,PGĐ!$F:$F, "="&amp;B398, PGĐ!$I:$I, "="&amp;'HQ1'!A398)</f>
        <v>0</v>
      </c>
      <c r="K398" s="113"/>
      <c r="L398" s="78">
        <f t="shared" si="14"/>
        <v>0</v>
      </c>
      <c r="M398" s="5">
        <f>SUMIFS(ĐMCP!$Q:$Q,ĐMCP!$P:$P, "="&amp;'HQ1'!B398,ĐMCP!$O:$O, "="&amp;'HQ1'!A398)</f>
        <v>0</v>
      </c>
      <c r="N398" s="89">
        <f t="shared" si="13"/>
        <v>0</v>
      </c>
    </row>
    <row r="399" spans="1:14" x14ac:dyDescent="0.25">
      <c r="A399" s="123" t="s">
        <v>131</v>
      </c>
      <c r="B399" s="16" t="s">
        <v>135</v>
      </c>
      <c r="E399" s="7">
        <v>-2783912074.75</v>
      </c>
      <c r="I399" s="7">
        <v>2783912074.75</v>
      </c>
      <c r="J399" s="113">
        <f>SUMIFS(PGĐ!$H:$H,PGĐ!$F:$F, "="&amp;B399, PGĐ!$I:$I, "="&amp;'HQ1'!A399)</f>
        <v>0</v>
      </c>
      <c r="K399" s="113"/>
      <c r="L399" s="78">
        <f t="shared" si="14"/>
        <v>0</v>
      </c>
      <c r="M399" s="5">
        <f>SUMIFS(ĐMCP!$Q:$Q,ĐMCP!$P:$P, "="&amp;'HQ1'!B399,ĐMCP!$O:$O, "="&amp;'HQ1'!A399)</f>
        <v>0</v>
      </c>
      <c r="N399" s="89">
        <f t="shared" si="13"/>
        <v>0</v>
      </c>
    </row>
    <row r="400" spans="1:14" x14ac:dyDescent="0.25">
      <c r="A400" s="123" t="s">
        <v>131</v>
      </c>
      <c r="B400" s="16" t="s">
        <v>136</v>
      </c>
      <c r="E400" s="7">
        <v>-1179900681.5</v>
      </c>
      <c r="I400" s="7">
        <v>1179900681.5</v>
      </c>
      <c r="J400" s="113">
        <f>SUMIFS(PGĐ!$H:$H,PGĐ!$F:$F, "="&amp;B400, PGĐ!$I:$I, "="&amp;'HQ1'!A400)</f>
        <v>0</v>
      </c>
      <c r="K400" s="113"/>
      <c r="L400" s="78">
        <f t="shared" si="14"/>
        <v>0</v>
      </c>
      <c r="M400" s="5">
        <f>SUMIFS(ĐMCP!$Q:$Q,ĐMCP!$P:$P, "="&amp;'HQ1'!B400,ĐMCP!$O:$O, "="&amp;'HQ1'!A400)</f>
        <v>0</v>
      </c>
      <c r="N400" s="89">
        <f t="shared" si="13"/>
        <v>0</v>
      </c>
    </row>
    <row r="401" spans="1:14" x14ac:dyDescent="0.25">
      <c r="A401" s="123" t="s">
        <v>131</v>
      </c>
      <c r="B401" s="16" t="s">
        <v>137</v>
      </c>
      <c r="E401" s="7">
        <v>-489783376.75</v>
      </c>
      <c r="I401" s="7">
        <v>489783376.75</v>
      </c>
      <c r="J401" s="113">
        <f>SUMIFS(PGĐ!$H:$H,PGĐ!$F:$F, "="&amp;B401, PGĐ!$I:$I, "="&amp;'HQ1'!A401)</f>
        <v>0</v>
      </c>
      <c r="K401" s="113"/>
      <c r="L401" s="78">
        <f t="shared" si="14"/>
        <v>0</v>
      </c>
      <c r="M401" s="5">
        <f>SUMIFS(ĐMCP!$Q:$Q,ĐMCP!$P:$P, "="&amp;'HQ1'!B401,ĐMCP!$O:$O, "="&amp;'HQ1'!A401)</f>
        <v>0</v>
      </c>
      <c r="N401" s="89">
        <f t="shared" si="13"/>
        <v>0</v>
      </c>
    </row>
    <row r="402" spans="1:14" x14ac:dyDescent="0.25">
      <c r="A402" s="123" t="s">
        <v>131</v>
      </c>
      <c r="B402" s="16" t="s">
        <v>138</v>
      </c>
      <c r="E402" s="7">
        <v>-166760537260.5</v>
      </c>
      <c r="I402" s="7">
        <v>166760537260.5</v>
      </c>
      <c r="J402" s="113">
        <f>SUMIFS(PGĐ!$H:$H,PGĐ!$F:$F, "="&amp;B402, PGĐ!$I:$I, "="&amp;'HQ1'!A402)</f>
        <v>0</v>
      </c>
      <c r="K402" s="113"/>
      <c r="L402" s="78">
        <f t="shared" si="14"/>
        <v>0</v>
      </c>
      <c r="M402" s="5">
        <f>SUMIFS(ĐMCP!$Q:$Q,ĐMCP!$P:$P, "="&amp;'HQ1'!B402,ĐMCP!$O:$O, "="&amp;'HQ1'!A402)</f>
        <v>0</v>
      </c>
      <c r="N402" s="89">
        <f t="shared" si="13"/>
        <v>0</v>
      </c>
    </row>
    <row r="403" spans="1:14" x14ac:dyDescent="0.25">
      <c r="A403" s="123" t="s">
        <v>115</v>
      </c>
      <c r="B403" s="15" t="s">
        <v>45</v>
      </c>
      <c r="C403" s="132">
        <v>18512880302</v>
      </c>
      <c r="D403" s="132">
        <v>4170906516</v>
      </c>
      <c r="E403" s="132">
        <v>2592059150.75</v>
      </c>
      <c r="F403" s="132">
        <v>217881185.6500001</v>
      </c>
      <c r="G403" s="132">
        <v>4593665613.8999996</v>
      </c>
      <c r="H403" s="132">
        <v>555386409.05999994</v>
      </c>
      <c r="I403" s="132">
        <v>6382981426.6400013</v>
      </c>
      <c r="J403" s="113">
        <f>SUMIFS(PGĐ!$H:$H,PGĐ!$F:$F, "="&amp;B403, PGĐ!$I:$I, "="&amp;'HQ1'!A403)</f>
        <v>0</v>
      </c>
      <c r="K403" s="113"/>
      <c r="L403" s="78">
        <f t="shared" si="14"/>
        <v>0.2756634007728565</v>
      </c>
      <c r="M403" s="5">
        <f>SUMIFS(ĐMCP!$Q:$Q,ĐMCP!$P:$P, "="&amp;'HQ1'!B403,ĐMCP!$O:$O, "="&amp;'HQ1'!A403)</f>
        <v>0</v>
      </c>
      <c r="N403" s="89">
        <f t="shared" si="13"/>
        <v>0</v>
      </c>
    </row>
    <row r="404" spans="1:14" x14ac:dyDescent="0.25">
      <c r="A404" s="123" t="s">
        <v>115</v>
      </c>
      <c r="B404" s="16" t="s">
        <v>135</v>
      </c>
      <c r="C404" s="7">
        <v>2002318061</v>
      </c>
      <c r="D404" s="7">
        <v>5320000</v>
      </c>
      <c r="E404" s="7">
        <v>500579515.25</v>
      </c>
      <c r="F404" s="7">
        <v>2000000</v>
      </c>
      <c r="G404" s="7">
        <v>191390749.30000001</v>
      </c>
      <c r="H404" s="7">
        <v>60069541.829999998</v>
      </c>
      <c r="I404" s="7">
        <v>1242958254.6200001</v>
      </c>
      <c r="J404" s="113">
        <f>SUMIFS(PGĐ!$H:$H,PGĐ!$F:$F, "="&amp;B404, PGĐ!$I:$I, "="&amp;'HQ1'!A404)</f>
        <v>0</v>
      </c>
      <c r="K404" s="113"/>
      <c r="L404" s="78">
        <f t="shared" si="14"/>
        <v>4.8743504791270023E-3</v>
      </c>
      <c r="M404" s="5">
        <f>SUMIFS(ĐMCP!$Q:$Q,ĐMCP!$P:$P, "="&amp;'HQ1'!B404,ĐMCP!$O:$O, "="&amp;'HQ1'!A404)</f>
        <v>191390749.31999999</v>
      </c>
      <c r="N404" s="89">
        <f t="shared" si="13"/>
        <v>-1.9999980926513672E-2</v>
      </c>
    </row>
    <row r="405" spans="1:14" x14ac:dyDescent="0.25">
      <c r="A405" s="123" t="s">
        <v>115</v>
      </c>
      <c r="B405" s="16" t="s">
        <v>136</v>
      </c>
      <c r="C405" s="7">
        <v>14147840510</v>
      </c>
      <c r="D405" s="7">
        <v>2878712325</v>
      </c>
      <c r="E405" s="7">
        <v>1414784051</v>
      </c>
      <c r="F405" s="7">
        <v>120447300.64999998</v>
      </c>
      <c r="G405" s="7">
        <v>3837626503</v>
      </c>
      <c r="H405" s="7">
        <v>424435215.30000001</v>
      </c>
      <c r="I405" s="7">
        <v>5471835115.0500002</v>
      </c>
      <c r="J405" s="113">
        <f>SUMIFS(PGĐ!$H:$H,PGĐ!$F:$F, "="&amp;B405, PGĐ!$I:$I, "="&amp;'HQ1'!A405)</f>
        <v>0</v>
      </c>
      <c r="K405" s="113"/>
      <c r="L405" s="78">
        <f t="shared" si="14"/>
        <v>0.23554121787704232</v>
      </c>
      <c r="M405" s="5">
        <f>SUMIFS(ĐMCP!$Q:$Q,ĐMCP!$P:$P, "="&amp;'HQ1'!B405,ĐMCP!$O:$O, "="&amp;'HQ1'!A405)</f>
        <v>3837626503</v>
      </c>
      <c r="N405" s="89">
        <f t="shared" si="13"/>
        <v>0</v>
      </c>
    </row>
    <row r="406" spans="1:14" x14ac:dyDescent="0.25">
      <c r="A406" s="123" t="s">
        <v>115</v>
      </c>
      <c r="B406" s="16" t="s">
        <v>137</v>
      </c>
      <c r="C406" s="7">
        <v>642418696</v>
      </c>
      <c r="D406" s="7">
        <v>572163315</v>
      </c>
      <c r="E406" s="7">
        <v>160604674</v>
      </c>
      <c r="F406" s="7">
        <v>65986296</v>
      </c>
      <c r="G406" s="7">
        <v>390502353.60000002</v>
      </c>
      <c r="H406" s="7">
        <v>19272560.879999999</v>
      </c>
      <c r="I406" s="7">
        <v>-566110503.48000002</v>
      </c>
      <c r="J406" s="113">
        <f>SUMIFS(PGĐ!$H:$H,PGĐ!$F:$F, "="&amp;B406, PGĐ!$I:$I, "="&amp;'HQ1'!A406)</f>
        <v>9200000</v>
      </c>
      <c r="K406" s="113"/>
      <c r="L406" s="78">
        <f t="shared" si="14"/>
        <v>1.3244728917416189</v>
      </c>
      <c r="M406" s="5">
        <f>SUMIFS(ĐMCP!$Q:$Q,ĐMCP!$P:$P, "="&amp;'HQ1'!B406,ĐMCP!$O:$O, "="&amp;'HQ1'!A406)</f>
        <v>390502353.60000002</v>
      </c>
      <c r="N406" s="89">
        <f t="shared" si="13"/>
        <v>0</v>
      </c>
    </row>
    <row r="407" spans="1:14" x14ac:dyDescent="0.25">
      <c r="A407" s="123" t="s">
        <v>115</v>
      </c>
      <c r="B407" s="16" t="s">
        <v>138</v>
      </c>
      <c r="C407" s="7">
        <v>1720303035</v>
      </c>
      <c r="D407" s="7">
        <v>714710876</v>
      </c>
      <c r="E407" s="7">
        <v>516090910.5</v>
      </c>
      <c r="F407" s="7">
        <v>29447589</v>
      </c>
      <c r="G407" s="7">
        <v>174146008</v>
      </c>
      <c r="H407" s="7">
        <v>51609091.049999997</v>
      </c>
      <c r="I407" s="7">
        <v>234298560.44999999</v>
      </c>
      <c r="J407" s="113">
        <f>SUMIFS(PGĐ!$H:$H,PGĐ!$F:$F, "="&amp;B407, PGĐ!$I:$I, "="&amp;'HQ1'!A407)</f>
        <v>0</v>
      </c>
      <c r="K407" s="113"/>
      <c r="L407" s="78">
        <f t="shared" si="14"/>
        <v>0.61796294013314435</v>
      </c>
      <c r="M407" s="5">
        <f>SUMIFS(ĐMCP!$Q:$Q,ĐMCP!$P:$P, "="&amp;'HQ1'!B407,ĐMCP!$O:$O, "="&amp;'HQ1'!A407)</f>
        <v>174146008</v>
      </c>
      <c r="N407" s="89">
        <f t="shared" si="13"/>
        <v>0</v>
      </c>
    </row>
    <row r="408" spans="1:14" x14ac:dyDescent="0.25">
      <c r="A408" s="123" t="s">
        <v>423</v>
      </c>
      <c r="B408" s="15" t="s">
        <v>45</v>
      </c>
      <c r="C408" s="132">
        <v>5526210114</v>
      </c>
      <c r="D408" s="132"/>
      <c r="E408" s="132">
        <v>1601498880.2</v>
      </c>
      <c r="F408" s="132"/>
      <c r="G408" s="132"/>
      <c r="H408" s="132">
        <v>165786303.41999999</v>
      </c>
      <c r="I408" s="132">
        <v>3758924930.3800001</v>
      </c>
      <c r="J408" s="113">
        <f>SUMIFS(PGĐ!$H:$H,PGĐ!$F:$F, "="&amp;B408, PGĐ!$I:$I, "="&amp;'HQ1'!A408)</f>
        <v>0</v>
      </c>
      <c r="K408" s="113"/>
      <c r="L408" s="78">
        <f t="shared" si="14"/>
        <v>0</v>
      </c>
      <c r="M408" s="5">
        <f>SUMIFS(ĐMCP!$Q:$Q,ĐMCP!$P:$P, "="&amp;'HQ1'!B408,ĐMCP!$O:$O, "="&amp;'HQ1'!A408)</f>
        <v>0</v>
      </c>
      <c r="N408" s="89">
        <f t="shared" si="13"/>
        <v>0</v>
      </c>
    </row>
    <row r="409" spans="1:14" x14ac:dyDescent="0.25">
      <c r="A409" s="123" t="s">
        <v>423</v>
      </c>
      <c r="B409" s="16" t="s">
        <v>135</v>
      </c>
      <c r="C409" s="7">
        <v>234339080</v>
      </c>
      <c r="E409" s="7">
        <v>58584770</v>
      </c>
      <c r="H409" s="7">
        <v>7030172.3999999994</v>
      </c>
      <c r="I409" s="7">
        <v>168724137.59999999</v>
      </c>
      <c r="J409" s="113">
        <f>SUMIFS(PGĐ!$H:$H,PGĐ!$F:$F, "="&amp;B409, PGĐ!$I:$I, "="&amp;'HQ1'!A409)</f>
        <v>0</v>
      </c>
      <c r="K409" s="113"/>
      <c r="L409" s="78">
        <f t="shared" si="14"/>
        <v>0</v>
      </c>
      <c r="M409" s="5">
        <f>SUMIFS(ĐMCP!$Q:$Q,ĐMCP!$P:$P, "="&amp;'HQ1'!B409,ĐMCP!$O:$O, "="&amp;'HQ1'!A409)</f>
        <v>0</v>
      </c>
      <c r="N409" s="89">
        <f t="shared" si="13"/>
        <v>0</v>
      </c>
    </row>
    <row r="410" spans="1:14" x14ac:dyDescent="0.25">
      <c r="A410" s="123" t="s">
        <v>423</v>
      </c>
      <c r="B410" s="16" t="s">
        <v>136</v>
      </c>
      <c r="C410" s="7">
        <v>223236000</v>
      </c>
      <c r="E410" s="7">
        <v>22323600</v>
      </c>
      <c r="H410" s="7">
        <v>6697080</v>
      </c>
      <c r="I410" s="7">
        <v>194215320</v>
      </c>
      <c r="J410" s="113">
        <f>SUMIFS(PGĐ!$H:$H,PGĐ!$F:$F, "="&amp;B410, PGĐ!$I:$I, "="&amp;'HQ1'!A410)</f>
        <v>0</v>
      </c>
      <c r="K410" s="113"/>
      <c r="L410" s="78">
        <f t="shared" si="14"/>
        <v>0</v>
      </c>
      <c r="M410" s="5">
        <f>SUMIFS(ĐMCP!$Q:$Q,ĐMCP!$P:$P, "="&amp;'HQ1'!B410,ĐMCP!$O:$O, "="&amp;'HQ1'!A410)</f>
        <v>0</v>
      </c>
      <c r="N410" s="89">
        <f t="shared" si="13"/>
        <v>0</v>
      </c>
    </row>
    <row r="411" spans="1:14" x14ac:dyDescent="0.25">
      <c r="A411" s="123" t="s">
        <v>423</v>
      </c>
      <c r="B411" s="16" t="s">
        <v>138</v>
      </c>
      <c r="C411" s="7">
        <v>5068635034</v>
      </c>
      <c r="E411" s="7">
        <v>1520590510.2</v>
      </c>
      <c r="H411" s="7">
        <v>152059051.01999998</v>
      </c>
      <c r="I411" s="7">
        <v>3395985472.7800002</v>
      </c>
      <c r="J411" s="113">
        <f>SUMIFS(PGĐ!$H:$H,PGĐ!$F:$F, "="&amp;B411, PGĐ!$I:$I, "="&amp;'HQ1'!A411)</f>
        <v>0</v>
      </c>
      <c r="K411" s="113"/>
      <c r="L411" s="78">
        <f t="shared" si="14"/>
        <v>0</v>
      </c>
      <c r="M411" s="5">
        <f>SUMIFS(ĐMCP!$Q:$Q,ĐMCP!$P:$P, "="&amp;'HQ1'!B411,ĐMCP!$O:$O, "="&amp;'HQ1'!A411)</f>
        <v>0</v>
      </c>
      <c r="N411" s="89">
        <f t="shared" si="13"/>
        <v>0</v>
      </c>
    </row>
    <row r="412" spans="1:14" x14ac:dyDescent="0.25">
      <c r="A412" s="123" t="s">
        <v>424</v>
      </c>
      <c r="B412" s="15" t="s">
        <v>45</v>
      </c>
      <c r="C412" s="132">
        <v>69545281</v>
      </c>
      <c r="D412" s="132">
        <v>2638850171</v>
      </c>
      <c r="E412" s="132">
        <v>19316260.399999999</v>
      </c>
      <c r="F412" s="132">
        <v>0</v>
      </c>
      <c r="G412" s="132">
        <v>10035688.779999999</v>
      </c>
      <c r="H412" s="132">
        <v>2086358.43</v>
      </c>
      <c r="I412" s="132">
        <v>-2600743197.6100006</v>
      </c>
      <c r="J412" s="113">
        <f>SUMIFS(PGĐ!$H:$H,PGĐ!$F:$F, "="&amp;B412, PGĐ!$I:$I, "="&amp;'HQ1'!A412)</f>
        <v>0</v>
      </c>
      <c r="K412" s="113"/>
      <c r="L412" s="78">
        <f t="shared" si="14"/>
        <v>52.536365222299395</v>
      </c>
      <c r="M412" s="5">
        <f>SUMIFS(ĐMCP!$Q:$Q,ĐMCP!$P:$P, "="&amp;'HQ1'!B412,ĐMCP!$O:$O, "="&amp;'HQ1'!A412)</f>
        <v>0</v>
      </c>
      <c r="N412" s="89">
        <f t="shared" si="13"/>
        <v>0</v>
      </c>
    </row>
    <row r="413" spans="1:14" x14ac:dyDescent="0.25">
      <c r="A413" s="123" t="s">
        <v>424</v>
      </c>
      <c r="B413" s="16" t="s">
        <v>135</v>
      </c>
      <c r="C413" s="7">
        <v>168000</v>
      </c>
      <c r="D413" s="7">
        <v>57794008</v>
      </c>
      <c r="E413" s="7">
        <v>42000</v>
      </c>
      <c r="H413" s="7">
        <v>5040</v>
      </c>
      <c r="I413" s="7">
        <v>-57673048</v>
      </c>
      <c r="J413" s="113">
        <f>SUMIFS(PGĐ!$H:$H,PGĐ!$F:$F, "="&amp;B413, PGĐ!$I:$I, "="&amp;'HQ1'!A413)</f>
        <v>0</v>
      </c>
      <c r="K413" s="113"/>
      <c r="L413" s="78">
        <f t="shared" si="14"/>
        <v>458.68260317460317</v>
      </c>
      <c r="M413" s="5">
        <f>SUMIFS(ĐMCP!$Q:$Q,ĐMCP!$P:$P, "="&amp;'HQ1'!B413,ĐMCP!$O:$O, "="&amp;'HQ1'!A413)</f>
        <v>0</v>
      </c>
      <c r="N413" s="89">
        <f t="shared" si="13"/>
        <v>0</v>
      </c>
    </row>
    <row r="414" spans="1:14" x14ac:dyDescent="0.25">
      <c r="A414" s="123" t="s">
        <v>424</v>
      </c>
      <c r="B414" s="16" t="s">
        <v>137</v>
      </c>
      <c r="C414" s="7">
        <v>30778478</v>
      </c>
      <c r="E414" s="7">
        <v>7694619.5</v>
      </c>
      <c r="H414" s="7">
        <v>923354.34</v>
      </c>
      <c r="I414" s="7">
        <v>22160504.16</v>
      </c>
      <c r="J414" s="113">
        <f>SUMIFS(PGĐ!$H:$H,PGĐ!$F:$F, "="&amp;B414, PGĐ!$I:$I, "="&amp;'HQ1'!A414)</f>
        <v>0</v>
      </c>
      <c r="K414" s="113"/>
      <c r="L414" s="78">
        <f t="shared" si="14"/>
        <v>0</v>
      </c>
      <c r="M414" s="5">
        <f>SUMIFS(ĐMCP!$Q:$Q,ĐMCP!$P:$P, "="&amp;'HQ1'!B414,ĐMCP!$O:$O, "="&amp;'HQ1'!A414)</f>
        <v>0</v>
      </c>
      <c r="N414" s="89">
        <f t="shared" si="13"/>
        <v>0</v>
      </c>
    </row>
    <row r="415" spans="1:14" x14ac:dyDescent="0.25">
      <c r="A415" s="123" t="s">
        <v>424</v>
      </c>
      <c r="B415" s="16" t="s">
        <v>138</v>
      </c>
      <c r="C415" s="7">
        <v>38598803</v>
      </c>
      <c r="D415" s="7">
        <v>2581056163</v>
      </c>
      <c r="E415" s="7">
        <v>11579640.9</v>
      </c>
      <c r="F415" s="7">
        <v>0</v>
      </c>
      <c r="G415" s="7">
        <v>10035688.779999999</v>
      </c>
      <c r="H415" s="7">
        <v>1157964.0899999999</v>
      </c>
      <c r="I415" s="7">
        <v>-2565230653.7700005</v>
      </c>
      <c r="J415" s="113">
        <f>SUMIFS(PGĐ!$H:$H,PGĐ!$F:$F, "="&amp;B415, PGĐ!$I:$I, "="&amp;'HQ1'!A415)</f>
        <v>0</v>
      </c>
      <c r="K415" s="113"/>
      <c r="L415" s="78">
        <f t="shared" si="14"/>
        <v>95.526876571794205</v>
      </c>
      <c r="M415" s="5">
        <f>SUMIFS(ĐMCP!$Q:$Q,ĐMCP!$P:$P, "="&amp;'HQ1'!B415,ĐMCP!$O:$O, "="&amp;'HQ1'!A415)</f>
        <v>10035688.780000001</v>
      </c>
      <c r="N415" s="89">
        <f t="shared" si="13"/>
        <v>-1.862645149230957E-9</v>
      </c>
    </row>
    <row r="416" spans="1:14" x14ac:dyDescent="0.25">
      <c r="A416" s="123" t="s">
        <v>130</v>
      </c>
      <c r="B416" s="15" t="s">
        <v>45</v>
      </c>
      <c r="C416" s="132">
        <v>489327179462</v>
      </c>
      <c r="D416" s="132">
        <v>138542343922</v>
      </c>
      <c r="E416" s="132">
        <v>146614598521.39999</v>
      </c>
      <c r="F416" s="132">
        <v>-12278382580</v>
      </c>
      <c r="G416" s="132">
        <v>92428737516.149994</v>
      </c>
      <c r="H416" s="132">
        <v>14679815383.859999</v>
      </c>
      <c r="I416" s="132">
        <v>109340066698.59</v>
      </c>
      <c r="J416" s="113">
        <f>SUMIFS(PGĐ!$H:$H,PGĐ!$F:$F, "="&amp;B416, PGĐ!$I:$I, "="&amp;'HQ1'!A416)</f>
        <v>0</v>
      </c>
      <c r="K416" s="113"/>
      <c r="L416" s="78">
        <f t="shared" si="14"/>
        <v>0.36842522966463398</v>
      </c>
      <c r="M416" s="5">
        <f>SUMIFS(ĐMCP!$Q:$Q,ĐMCP!$P:$P, "="&amp;'HQ1'!B416,ĐMCP!$O:$O, "="&amp;'HQ1'!A416)</f>
        <v>0</v>
      </c>
      <c r="N416" s="89">
        <f t="shared" si="13"/>
        <v>0</v>
      </c>
    </row>
    <row r="417" spans="1:14" x14ac:dyDescent="0.25">
      <c r="A417" s="123" t="s">
        <v>130</v>
      </c>
      <c r="B417" s="16" t="s">
        <v>135</v>
      </c>
      <c r="C417" s="7">
        <v>3238181764</v>
      </c>
      <c r="D417" s="7">
        <v>716276692</v>
      </c>
      <c r="E417" s="7">
        <v>809545441</v>
      </c>
      <c r="F417" s="7">
        <v>87560406</v>
      </c>
      <c r="G417" s="7">
        <v>762317671.89999998</v>
      </c>
      <c r="H417" s="7">
        <v>97145452.920000002</v>
      </c>
      <c r="I417" s="7">
        <v>765336100.18000007</v>
      </c>
      <c r="J417" s="113">
        <f>SUMIFS(PGĐ!$H:$H,PGĐ!$F:$F, "="&amp;B417, PGĐ!$I:$I, "="&amp;'HQ1'!A417)</f>
        <v>0</v>
      </c>
      <c r="K417" s="113"/>
      <c r="L417" s="78">
        <f t="shared" si="14"/>
        <v>0.33098290196329244</v>
      </c>
      <c r="M417" s="5">
        <f>SUMIFS(ĐMCP!$Q:$Q,ĐMCP!$P:$P, "="&amp;'HQ1'!B417,ĐMCP!$O:$O, "="&amp;'HQ1'!A417)</f>
        <v>762317671.90300012</v>
      </c>
      <c r="N417" s="89">
        <f t="shared" si="13"/>
        <v>-3.0001401901245117E-3</v>
      </c>
    </row>
    <row r="418" spans="1:14" x14ac:dyDescent="0.25">
      <c r="A418" s="123" t="s">
        <v>130</v>
      </c>
      <c r="B418" s="16" t="s">
        <v>136</v>
      </c>
      <c r="C418" s="7">
        <v>108231145</v>
      </c>
      <c r="E418" s="7">
        <v>10823114.5</v>
      </c>
      <c r="G418" s="7">
        <v>5411557.25</v>
      </c>
      <c r="H418" s="7">
        <v>3246934.35</v>
      </c>
      <c r="I418" s="7">
        <v>88749538.900000006</v>
      </c>
      <c r="J418" s="113">
        <f>SUMIFS(PGĐ!$H:$H,PGĐ!$F:$F, "="&amp;B418, PGĐ!$I:$I, "="&amp;'HQ1'!A418)</f>
        <v>0</v>
      </c>
      <c r="K418" s="113"/>
      <c r="L418" s="78">
        <f t="shared" si="14"/>
        <v>0</v>
      </c>
      <c r="M418" s="5">
        <f>SUMIFS(ĐMCP!$Q:$Q,ĐMCP!$P:$P, "="&amp;'HQ1'!B418,ĐMCP!$O:$O, "="&amp;'HQ1'!A418)</f>
        <v>5411557.25</v>
      </c>
      <c r="N418" s="89">
        <f t="shared" si="13"/>
        <v>0</v>
      </c>
    </row>
    <row r="419" spans="1:14" x14ac:dyDescent="0.25">
      <c r="A419" s="123" t="s">
        <v>130</v>
      </c>
      <c r="B419" s="16" t="s">
        <v>138</v>
      </c>
      <c r="C419" s="7">
        <v>485980766553</v>
      </c>
      <c r="D419" s="7">
        <v>137826067230</v>
      </c>
      <c r="E419" s="7">
        <v>145794229965.89999</v>
      </c>
      <c r="F419" s="7">
        <v>-12365942986</v>
      </c>
      <c r="G419" s="7">
        <v>91661008287</v>
      </c>
      <c r="H419" s="7">
        <v>14579422996.59</v>
      </c>
      <c r="I419" s="7">
        <v>108485981059.51001</v>
      </c>
      <c r="J419" s="113">
        <f>SUMIFS(PGĐ!$H:$H,PGĐ!$F:$F, "="&amp;B419, PGĐ!$I:$I, "="&amp;'HQ1'!A419)</f>
        <v>0</v>
      </c>
      <c r="K419" s="113"/>
      <c r="L419" s="78">
        <f t="shared" si="14"/>
        <v>0.36879802917149751</v>
      </c>
      <c r="M419" s="5">
        <f>SUMIFS(ĐMCP!$Q:$Q,ĐMCP!$P:$P, "="&amp;'HQ1'!B419,ĐMCP!$O:$O, "="&amp;'HQ1'!A419)</f>
        <v>91661008287.260315</v>
      </c>
      <c r="N419" s="89">
        <f t="shared" si="13"/>
        <v>-0.26031494140625</v>
      </c>
    </row>
    <row r="420" spans="1:14" x14ac:dyDescent="0.25">
      <c r="A420" s="123" t="s">
        <v>55</v>
      </c>
      <c r="B420" s="15" t="s">
        <v>45</v>
      </c>
      <c r="C420" s="132">
        <v>751489102</v>
      </c>
      <c r="D420" s="132">
        <v>1045955231</v>
      </c>
      <c r="E420" s="132">
        <v>211507437.65000001</v>
      </c>
      <c r="F420" s="132">
        <v>-84359254</v>
      </c>
      <c r="G420" s="132">
        <v>176542915.69999999</v>
      </c>
      <c r="H420" s="132">
        <v>22544673.059999999</v>
      </c>
      <c r="I420" s="132">
        <v>-620701901.40999997</v>
      </c>
      <c r="J420" s="113">
        <f>SUMIFS(PGĐ!$H:$H,PGĐ!$F:$F, "="&amp;B420, PGĐ!$I:$I, "="&amp;'HQ1'!A420)</f>
        <v>0</v>
      </c>
      <c r="K420" s="113"/>
      <c r="L420" s="78">
        <f t="shared" si="14"/>
        <v>1.7807937574278858</v>
      </c>
      <c r="M420" s="5">
        <f>SUMIFS(ĐMCP!$Q:$Q,ĐMCP!$P:$P, "="&amp;'HQ1'!B420,ĐMCP!$O:$O, "="&amp;'HQ1'!A420)</f>
        <v>0</v>
      </c>
      <c r="N420" s="89">
        <f t="shared" si="13"/>
        <v>0</v>
      </c>
    </row>
    <row r="421" spans="1:14" x14ac:dyDescent="0.25">
      <c r="A421" s="123" t="s">
        <v>55</v>
      </c>
      <c r="B421" s="16" t="s">
        <v>135</v>
      </c>
      <c r="C421" s="7">
        <v>7075450</v>
      </c>
      <c r="E421" s="7">
        <v>1768862.5</v>
      </c>
      <c r="G421" s="7">
        <v>844254</v>
      </c>
      <c r="H421" s="7">
        <v>212263.5</v>
      </c>
      <c r="I421" s="7">
        <v>4250070</v>
      </c>
      <c r="J421" s="113">
        <f>SUMIFS(PGĐ!$H:$H,PGĐ!$F:$F, "="&amp;B421, PGĐ!$I:$I, "="&amp;'HQ1'!A421)</f>
        <v>0</v>
      </c>
      <c r="K421" s="113"/>
      <c r="L421" s="78">
        <f t="shared" si="14"/>
        <v>0</v>
      </c>
      <c r="M421" s="5">
        <f>SUMIFS(ĐMCP!$Q:$Q,ĐMCP!$P:$P, "="&amp;'HQ1'!B421,ĐMCP!$O:$O, "="&amp;'HQ1'!A421)</f>
        <v>844254</v>
      </c>
      <c r="N421" s="89">
        <f t="shared" si="13"/>
        <v>0</v>
      </c>
    </row>
    <row r="422" spans="1:14" x14ac:dyDescent="0.25">
      <c r="A422" s="123" t="s">
        <v>55</v>
      </c>
      <c r="B422" s="16" t="s">
        <v>136</v>
      </c>
      <c r="C422" s="7">
        <v>4603200</v>
      </c>
      <c r="E422" s="7">
        <v>460320</v>
      </c>
      <c r="G422" s="7">
        <v>1609280</v>
      </c>
      <c r="H422" s="7">
        <v>138096</v>
      </c>
      <c r="I422" s="7">
        <v>2395504</v>
      </c>
      <c r="J422" s="113">
        <f>SUMIFS(PGĐ!$H:$H,PGĐ!$F:$F, "="&amp;B422, PGĐ!$I:$I, "="&amp;'HQ1'!A422)</f>
        <v>0</v>
      </c>
      <c r="K422" s="113"/>
      <c r="L422" s="78">
        <f t="shared" si="14"/>
        <v>0</v>
      </c>
      <c r="M422" s="5">
        <f>SUMIFS(ĐMCP!$Q:$Q,ĐMCP!$P:$P, "="&amp;'HQ1'!B422,ĐMCP!$O:$O, "="&amp;'HQ1'!A422)</f>
        <v>1609280</v>
      </c>
      <c r="N422" s="89">
        <f t="shared" si="13"/>
        <v>0</v>
      </c>
    </row>
    <row r="423" spans="1:14" x14ac:dyDescent="0.25">
      <c r="A423" s="123" t="s">
        <v>55</v>
      </c>
      <c r="B423" s="16" t="s">
        <v>137</v>
      </c>
      <c r="C423" s="7">
        <v>253297609</v>
      </c>
      <c r="D423" s="7">
        <v>35933452</v>
      </c>
      <c r="E423" s="7">
        <v>63324402.25</v>
      </c>
      <c r="F423" s="7">
        <v>37949255</v>
      </c>
      <c r="G423" s="7">
        <v>51607612.600000001</v>
      </c>
      <c r="H423" s="7">
        <v>7598928.2699999996</v>
      </c>
      <c r="I423" s="7">
        <v>56883958.879999995</v>
      </c>
      <c r="J423" s="113">
        <f>SUMIFS(PGĐ!$H:$H,PGĐ!$F:$F, "="&amp;B423, PGĐ!$I:$I, "="&amp;'HQ1'!A423)</f>
        <v>1500000</v>
      </c>
      <c r="K423" s="113"/>
      <c r="L423" s="78">
        <f t="shared" si="14"/>
        <v>0.38891119576260985</v>
      </c>
      <c r="M423" s="5">
        <f>SUMIFS(ĐMCP!$Q:$Q,ĐMCP!$P:$P, "="&amp;'HQ1'!B423,ĐMCP!$O:$O, "="&amp;'HQ1'!A423)</f>
        <v>51607612.600000001</v>
      </c>
      <c r="N423" s="89">
        <f t="shared" si="13"/>
        <v>0</v>
      </c>
    </row>
    <row r="424" spans="1:14" x14ac:dyDescent="0.25">
      <c r="A424" s="123" t="s">
        <v>55</v>
      </c>
      <c r="B424" s="16" t="s">
        <v>138</v>
      </c>
      <c r="C424" s="7">
        <v>486512843</v>
      </c>
      <c r="D424" s="7">
        <v>1010021779</v>
      </c>
      <c r="E424" s="7">
        <v>145953852.90000001</v>
      </c>
      <c r="F424" s="7">
        <v>-122308509</v>
      </c>
      <c r="G424" s="7">
        <v>122481769.09999999</v>
      </c>
      <c r="H424" s="7">
        <v>14595385.289999999</v>
      </c>
      <c r="I424" s="7">
        <v>-684231434.28999996</v>
      </c>
      <c r="J424" s="113">
        <f>SUMIFS(PGĐ!$H:$H,PGĐ!$F:$F, "="&amp;B424, PGĐ!$I:$I, "="&amp;'HQ1'!A424)</f>
        <v>0</v>
      </c>
      <c r="K424" s="113"/>
      <c r="L424" s="78">
        <f t="shared" si="14"/>
        <v>2.6066358422643208</v>
      </c>
      <c r="M424" s="5">
        <f>SUMIFS(ĐMCP!$Q:$Q,ĐMCP!$P:$P, "="&amp;'HQ1'!B424,ĐMCP!$O:$O, "="&amp;'HQ1'!A424)</f>
        <v>122481769.06</v>
      </c>
      <c r="N424" s="89">
        <f t="shared" si="13"/>
        <v>3.9999991655349731E-2</v>
      </c>
    </row>
    <row r="425" spans="1:14" x14ac:dyDescent="0.25">
      <c r="A425" s="123" t="s">
        <v>126</v>
      </c>
      <c r="B425" s="15" t="s">
        <v>45</v>
      </c>
      <c r="C425" s="132">
        <v>168738067865</v>
      </c>
      <c r="D425" s="132">
        <v>78126403322</v>
      </c>
      <c r="E425" s="132">
        <v>50498361404.25</v>
      </c>
      <c r="F425" s="132">
        <v>-8570647252</v>
      </c>
      <c r="G425" s="132">
        <v>30372460564.400002</v>
      </c>
      <c r="H425" s="132">
        <v>5062142035.9499998</v>
      </c>
      <c r="I425" s="132">
        <v>13249347790.400003</v>
      </c>
      <c r="J425" s="113">
        <f>SUMIFS(PGĐ!$H:$H,PGĐ!$F:$F, "="&amp;B425, PGĐ!$I:$I, "="&amp;'HQ1'!A425)</f>
        <v>0</v>
      </c>
      <c r="K425" s="113"/>
      <c r="L425" s="78">
        <f t="shared" si="14"/>
        <v>0.58826056112621716</v>
      </c>
      <c r="M425" s="5">
        <f>SUMIFS(ĐMCP!$Q:$Q,ĐMCP!$P:$P, "="&amp;'HQ1'!B425,ĐMCP!$O:$O, "="&amp;'HQ1'!A425)</f>
        <v>0</v>
      </c>
      <c r="N425" s="89">
        <f t="shared" si="13"/>
        <v>0</v>
      </c>
    </row>
    <row r="426" spans="1:14" x14ac:dyDescent="0.25">
      <c r="A426" s="123" t="s">
        <v>126</v>
      </c>
      <c r="B426" s="16" t="s">
        <v>135</v>
      </c>
      <c r="C426" s="7">
        <v>857289275</v>
      </c>
      <c r="D426" s="7">
        <v>156658400</v>
      </c>
      <c r="E426" s="7">
        <v>214322318.75</v>
      </c>
      <c r="F426" s="7">
        <v>45504242</v>
      </c>
      <c r="G426" s="7">
        <v>149694471.80000001</v>
      </c>
      <c r="H426" s="7">
        <v>25718678.25</v>
      </c>
      <c r="I426" s="7">
        <v>265391164.19999999</v>
      </c>
      <c r="J426" s="113">
        <f>SUMIFS(PGĐ!$H:$H,PGĐ!$F:$F, "="&amp;B426, PGĐ!$I:$I, "="&amp;'HQ1'!A426)</f>
        <v>0</v>
      </c>
      <c r="K426" s="113"/>
      <c r="L426" s="78">
        <f t="shared" si="14"/>
        <v>0.31442151114433731</v>
      </c>
      <c r="M426" s="5">
        <f>SUMIFS(ĐMCP!$Q:$Q,ĐMCP!$P:$P, "="&amp;'HQ1'!B426,ĐMCP!$O:$O, "="&amp;'HQ1'!A426)</f>
        <v>149694471.80000001</v>
      </c>
      <c r="N426" s="89">
        <f t="shared" si="13"/>
        <v>0</v>
      </c>
    </row>
    <row r="427" spans="1:14" x14ac:dyDescent="0.25">
      <c r="A427" s="123" t="s">
        <v>126</v>
      </c>
      <c r="B427" s="16" t="s">
        <v>136</v>
      </c>
      <c r="C427" s="7">
        <v>165630349</v>
      </c>
      <c r="D427" s="7">
        <v>15638844</v>
      </c>
      <c r="E427" s="7">
        <v>16563034.9</v>
      </c>
      <c r="F427" s="7">
        <v>-8378210</v>
      </c>
      <c r="G427" s="7">
        <v>65079639.600000001</v>
      </c>
      <c r="H427" s="7">
        <v>4968910.47</v>
      </c>
      <c r="I427" s="7">
        <v>71758130.030000001</v>
      </c>
      <c r="J427" s="113">
        <f>SUMIFS(PGĐ!$H:$H,PGĐ!$F:$F, "="&amp;B427, PGĐ!$I:$I, "="&amp;'HQ1'!A427)</f>
        <v>0</v>
      </c>
      <c r="K427" s="113"/>
      <c r="L427" s="78">
        <f t="shared" si="14"/>
        <v>4.8707082728607375E-2</v>
      </c>
      <c r="M427" s="5">
        <f>SUMIFS(ĐMCP!$Q:$Q,ĐMCP!$P:$P, "="&amp;'HQ1'!B427,ĐMCP!$O:$O, "="&amp;'HQ1'!A427)</f>
        <v>65079639.600000001</v>
      </c>
      <c r="N427" s="89">
        <f t="shared" si="13"/>
        <v>0</v>
      </c>
    </row>
    <row r="428" spans="1:14" x14ac:dyDescent="0.25">
      <c r="A428" s="123" t="s">
        <v>126</v>
      </c>
      <c r="B428" s="16" t="s">
        <v>137</v>
      </c>
      <c r="C428" s="7">
        <v>941368434</v>
      </c>
      <c r="D428" s="7">
        <v>81351221</v>
      </c>
      <c r="E428" s="7">
        <v>235342108.5</v>
      </c>
      <c r="F428" s="7">
        <v>-50961587</v>
      </c>
      <c r="G428" s="7">
        <v>190504778</v>
      </c>
      <c r="H428" s="7">
        <v>28241053.02</v>
      </c>
      <c r="I428" s="7">
        <v>456890860.48000002</v>
      </c>
      <c r="J428" s="113">
        <f>SUMIFS(PGĐ!$H:$H,PGĐ!$F:$F, "="&amp;B428, PGĐ!$I:$I, "="&amp;'HQ1'!A428)</f>
        <v>0</v>
      </c>
      <c r="K428" s="113"/>
      <c r="L428" s="78">
        <f t="shared" si="14"/>
        <v>4.3043202360023049E-2</v>
      </c>
      <c r="M428" s="5">
        <f>SUMIFS(ĐMCP!$Q:$Q,ĐMCP!$P:$P, "="&amp;'HQ1'!B428,ĐMCP!$O:$O, "="&amp;'HQ1'!A428)</f>
        <v>190504778</v>
      </c>
      <c r="N428" s="89">
        <f t="shared" si="13"/>
        <v>0</v>
      </c>
    </row>
    <row r="429" spans="1:14" x14ac:dyDescent="0.25">
      <c r="A429" s="123" t="s">
        <v>126</v>
      </c>
      <c r="B429" s="16" t="s">
        <v>138</v>
      </c>
      <c r="C429" s="7">
        <v>166773779807</v>
      </c>
      <c r="D429" s="7">
        <v>77872754857</v>
      </c>
      <c r="E429" s="7">
        <v>50032133942.099998</v>
      </c>
      <c r="F429" s="7">
        <v>-8556811697</v>
      </c>
      <c r="G429" s="7">
        <v>29967181675</v>
      </c>
      <c r="H429" s="7">
        <v>5003213394.21</v>
      </c>
      <c r="I429" s="7">
        <v>12455307635.690002</v>
      </c>
      <c r="J429" s="113">
        <f>SUMIFS(PGĐ!$H:$H,PGĐ!$F:$F, "="&amp;B429, PGĐ!$I:$I, "="&amp;'HQ1'!A429)</f>
        <v>0</v>
      </c>
      <c r="K429" s="113"/>
      <c r="L429" s="78">
        <f t="shared" si="14"/>
        <v>0.5937550618415669</v>
      </c>
      <c r="M429" s="5">
        <f>SUMIFS(ĐMCP!$Q:$Q,ĐMCP!$P:$P, "="&amp;'HQ1'!B429,ĐMCP!$O:$O, "="&amp;'HQ1'!A429)</f>
        <v>29967181675.080002</v>
      </c>
      <c r="N429" s="89">
        <f t="shared" si="13"/>
        <v>-8.00018310546875E-2</v>
      </c>
    </row>
    <row r="430" spans="1:14" x14ac:dyDescent="0.25">
      <c r="A430" s="123" t="s">
        <v>50</v>
      </c>
      <c r="B430" s="15" t="s">
        <v>45</v>
      </c>
      <c r="C430" s="132">
        <v>494684094</v>
      </c>
      <c r="D430" s="132">
        <v>95915134</v>
      </c>
      <c r="E430" s="132">
        <v>124381788.5</v>
      </c>
      <c r="F430" s="132">
        <v>-17900000</v>
      </c>
      <c r="G430" s="132">
        <v>160724927</v>
      </c>
      <c r="H430" s="132">
        <v>14840522.82</v>
      </c>
      <c r="I430" s="132">
        <v>116721721.68000001</v>
      </c>
      <c r="J430" s="113">
        <f>SUMIFS(PGĐ!$H:$H,PGĐ!$F:$F, "="&amp;B430, PGĐ!$I:$I, "="&amp;'HQ1'!A430)</f>
        <v>0</v>
      </c>
      <c r="K430" s="113"/>
      <c r="L430" s="78">
        <f t="shared" si="14"/>
        <v>0.21067957947131927</v>
      </c>
      <c r="M430" s="5">
        <f>SUMIFS(ĐMCP!$Q:$Q,ĐMCP!$P:$P, "="&amp;'HQ1'!B430,ĐMCP!$O:$O, "="&amp;'HQ1'!A430)</f>
        <v>0</v>
      </c>
      <c r="N430" s="89">
        <f t="shared" si="13"/>
        <v>0</v>
      </c>
    </row>
    <row r="431" spans="1:14" x14ac:dyDescent="0.25">
      <c r="A431" s="123" t="s">
        <v>50</v>
      </c>
      <c r="B431" s="16" t="s">
        <v>135</v>
      </c>
      <c r="C431" s="7">
        <v>420366344</v>
      </c>
      <c r="E431" s="7">
        <v>105091586</v>
      </c>
      <c r="G431" s="7">
        <v>142162016</v>
      </c>
      <c r="H431" s="7">
        <v>12610990.32</v>
      </c>
      <c r="I431" s="7">
        <v>160501751.68000001</v>
      </c>
      <c r="J431" s="113">
        <f>SUMIFS(PGĐ!$H:$H,PGĐ!$F:$F, "="&amp;B431, PGĐ!$I:$I, "="&amp;'HQ1'!A431)</f>
        <v>0</v>
      </c>
      <c r="K431" s="113"/>
      <c r="L431" s="78">
        <f t="shared" si="14"/>
        <v>0</v>
      </c>
      <c r="M431" s="5">
        <f>SUMIFS(ĐMCP!$Q:$Q,ĐMCP!$P:$P, "="&amp;'HQ1'!B431,ĐMCP!$O:$O, "="&amp;'HQ1'!A431)</f>
        <v>142162016</v>
      </c>
      <c r="N431" s="89">
        <f t="shared" si="13"/>
        <v>0</v>
      </c>
    </row>
    <row r="432" spans="1:14" x14ac:dyDescent="0.25">
      <c r="A432" s="123" t="s">
        <v>50</v>
      </c>
      <c r="B432" s="16" t="s">
        <v>136</v>
      </c>
      <c r="C432" s="7">
        <v>9692000</v>
      </c>
      <c r="E432" s="7">
        <v>969200</v>
      </c>
      <c r="G432" s="7">
        <v>3876800</v>
      </c>
      <c r="H432" s="7">
        <v>290760</v>
      </c>
      <c r="I432" s="7">
        <v>4555240</v>
      </c>
      <c r="J432" s="113">
        <f>SUMIFS(PGĐ!$H:$H,PGĐ!$F:$F, "="&amp;B432, PGĐ!$I:$I, "="&amp;'HQ1'!A432)</f>
        <v>0</v>
      </c>
      <c r="K432" s="113"/>
      <c r="L432" s="78">
        <f t="shared" si="14"/>
        <v>0</v>
      </c>
      <c r="M432" s="5">
        <f>SUMIFS(ĐMCP!$Q:$Q,ĐMCP!$P:$P, "="&amp;'HQ1'!B432,ĐMCP!$O:$O, "="&amp;'HQ1'!A432)</f>
        <v>3876800</v>
      </c>
      <c r="N432" s="89">
        <f t="shared" si="13"/>
        <v>0</v>
      </c>
    </row>
    <row r="433" spans="1:14" x14ac:dyDescent="0.25">
      <c r="A433" s="123" t="s">
        <v>50</v>
      </c>
      <c r="B433" s="16" t="s">
        <v>137</v>
      </c>
      <c r="C433" s="7">
        <v>21334450</v>
      </c>
      <c r="E433" s="7">
        <v>5333612.5</v>
      </c>
      <c r="G433" s="7">
        <v>4296199</v>
      </c>
      <c r="H433" s="7">
        <v>640033.5</v>
      </c>
      <c r="I433" s="7">
        <v>11064605</v>
      </c>
      <c r="J433" s="113">
        <f>SUMIFS(PGĐ!$H:$H,PGĐ!$F:$F, "="&amp;B433, PGĐ!$I:$I, "="&amp;'HQ1'!A433)</f>
        <v>0</v>
      </c>
      <c r="K433" s="113"/>
      <c r="L433" s="78">
        <f t="shared" si="14"/>
        <v>0</v>
      </c>
      <c r="M433" s="5">
        <f>SUMIFS(ĐMCP!$Q:$Q,ĐMCP!$P:$P, "="&amp;'HQ1'!B433,ĐMCP!$O:$O, "="&amp;'HQ1'!A433)</f>
        <v>4296199</v>
      </c>
      <c r="N433" s="89">
        <f t="shared" si="13"/>
        <v>0</v>
      </c>
    </row>
    <row r="434" spans="1:14" x14ac:dyDescent="0.25">
      <c r="A434" s="123" t="s">
        <v>50</v>
      </c>
      <c r="B434" s="16" t="s">
        <v>138</v>
      </c>
      <c r="C434" s="7">
        <v>43291300</v>
      </c>
      <c r="D434" s="7">
        <v>95915134</v>
      </c>
      <c r="E434" s="7">
        <v>12987390</v>
      </c>
      <c r="F434" s="7">
        <v>-17900000</v>
      </c>
      <c r="G434" s="7">
        <v>10389912</v>
      </c>
      <c r="H434" s="7">
        <v>1298739</v>
      </c>
      <c r="I434" s="7">
        <v>-59399875</v>
      </c>
      <c r="J434" s="113">
        <f>SUMIFS(PGĐ!$H:$H,PGĐ!$F:$F, "="&amp;B434, PGĐ!$I:$I, "="&amp;'HQ1'!A434)</f>
        <v>0</v>
      </c>
      <c r="K434" s="113"/>
      <c r="L434" s="78">
        <f t="shared" si="14"/>
        <v>2.5744246864513523</v>
      </c>
      <c r="M434" s="5">
        <f>SUMIFS(ĐMCP!$Q:$Q,ĐMCP!$P:$P, "="&amp;'HQ1'!B434,ĐMCP!$O:$O, "="&amp;'HQ1'!A434)</f>
        <v>10389912</v>
      </c>
      <c r="N434" s="89">
        <f t="shared" si="13"/>
        <v>0</v>
      </c>
    </row>
    <row r="435" spans="1:14" x14ac:dyDescent="0.25">
      <c r="A435" s="123" t="s">
        <v>56</v>
      </c>
      <c r="B435" s="15" t="s">
        <v>45</v>
      </c>
      <c r="C435" s="132">
        <v>22350000</v>
      </c>
      <c r="D435" s="132"/>
      <c r="E435" s="132">
        <v>5587500</v>
      </c>
      <c r="F435" s="132"/>
      <c r="G435" s="132">
        <v>5699250</v>
      </c>
      <c r="H435" s="132">
        <v>670500</v>
      </c>
      <c r="I435" s="132">
        <v>10392750</v>
      </c>
      <c r="J435" s="113">
        <f>SUMIFS(PGĐ!$H:$H,PGĐ!$F:$F, "="&amp;B435, PGĐ!$I:$I, "="&amp;'HQ1'!A435)</f>
        <v>0</v>
      </c>
      <c r="K435" s="113"/>
      <c r="L435" s="78">
        <f t="shared" si="14"/>
        <v>0</v>
      </c>
      <c r="M435" s="5">
        <f>SUMIFS(ĐMCP!$Q:$Q,ĐMCP!$P:$P, "="&amp;'HQ1'!B435,ĐMCP!$O:$O, "="&amp;'HQ1'!A435)</f>
        <v>0</v>
      </c>
      <c r="N435" s="89">
        <f t="shared" si="13"/>
        <v>0</v>
      </c>
    </row>
    <row r="436" spans="1:14" x14ac:dyDescent="0.25">
      <c r="A436" s="123" t="s">
        <v>56</v>
      </c>
      <c r="B436" s="16" t="s">
        <v>137</v>
      </c>
      <c r="C436" s="7">
        <v>22350000</v>
      </c>
      <c r="E436" s="7">
        <v>5587500</v>
      </c>
      <c r="G436" s="7">
        <v>5699250</v>
      </c>
      <c r="H436" s="7">
        <v>670500</v>
      </c>
      <c r="I436" s="7">
        <v>10392750</v>
      </c>
      <c r="J436" s="113">
        <f>SUMIFS(PGĐ!$H:$H,PGĐ!$F:$F, "="&amp;B436, PGĐ!$I:$I, "="&amp;'HQ1'!A436)</f>
        <v>0</v>
      </c>
      <c r="K436" s="113"/>
      <c r="L436" s="78">
        <f t="shared" si="14"/>
        <v>0</v>
      </c>
      <c r="M436" s="5">
        <f>SUMIFS(ĐMCP!$Q:$Q,ĐMCP!$P:$P, "="&amp;'HQ1'!B436,ĐMCP!$O:$O, "="&amp;'HQ1'!A436)</f>
        <v>5699250</v>
      </c>
      <c r="N436" s="89">
        <f t="shared" si="13"/>
        <v>0</v>
      </c>
    </row>
    <row r="437" spans="1:14" x14ac:dyDescent="0.25">
      <c r="A437" s="123" t="s">
        <v>139</v>
      </c>
      <c r="B437" s="15" t="s">
        <v>45</v>
      </c>
      <c r="C437" s="132">
        <v>83568545350</v>
      </c>
      <c r="D437" s="132">
        <v>26906398361</v>
      </c>
      <c r="E437" s="132">
        <v>25070563605</v>
      </c>
      <c r="F437" s="132">
        <v>-115201673.8</v>
      </c>
      <c r="G437" s="132">
        <v>12772543704</v>
      </c>
      <c r="H437" s="132">
        <v>2507056360.5</v>
      </c>
      <c r="I437" s="132">
        <v>16427184993.299999</v>
      </c>
      <c r="J437" s="113">
        <f>SUMIFS(PGĐ!$H:$H,PGĐ!$F:$F, "="&amp;B437, PGĐ!$I:$I, "="&amp;'HQ1'!A437)</f>
        <v>0</v>
      </c>
      <c r="K437" s="113"/>
      <c r="L437" s="78">
        <f t="shared" si="14"/>
        <v>0.45798497466094079</v>
      </c>
      <c r="M437" s="5">
        <f>SUMIFS(ĐMCP!$Q:$Q,ĐMCP!$P:$P, "="&amp;'HQ1'!B437,ĐMCP!$O:$O, "="&amp;'HQ1'!A437)</f>
        <v>0</v>
      </c>
      <c r="N437" s="89">
        <f>IF(M437=0,0,G437-M437)</f>
        <v>0</v>
      </c>
    </row>
    <row r="438" spans="1:14" x14ac:dyDescent="0.25">
      <c r="A438" s="123" t="s">
        <v>139</v>
      </c>
      <c r="B438" s="16" t="s">
        <v>138</v>
      </c>
      <c r="C438" s="7">
        <v>83568545350</v>
      </c>
      <c r="D438" s="7">
        <v>26906398361</v>
      </c>
      <c r="E438" s="7">
        <v>25070563605</v>
      </c>
      <c r="F438" s="7">
        <v>-115201673.8</v>
      </c>
      <c r="G438" s="7">
        <v>12772543704</v>
      </c>
      <c r="H438" s="7">
        <v>2507056360.5</v>
      </c>
      <c r="I438" s="7">
        <v>16427184993.299999</v>
      </c>
      <c r="J438" s="113">
        <f>SUMIFS(PGĐ!$H:$H,PGĐ!$F:$F, "="&amp;B438, PGĐ!$I:$I, "="&amp;'HQ1'!A438)</f>
        <v>0</v>
      </c>
      <c r="K438" s="113"/>
      <c r="L438" s="78">
        <f t="shared" si="14"/>
        <v>0.45798497466094079</v>
      </c>
      <c r="M438" s="5">
        <f>SUMIFS(ĐMCP!$Q:$Q,ĐMCP!$P:$P, "="&amp;'HQ1'!B438,ĐMCP!$O:$O, "="&amp;'HQ1'!A438)</f>
        <v>12772543703.549999</v>
      </c>
      <c r="N438" s="89">
        <f>IF(M438=0,G438-M438,0)</f>
        <v>0</v>
      </c>
    </row>
  </sheetData>
  <autoFilter ref="A2:I438"/>
  <mergeCells count="89">
    <mergeCell ref="A435:A436"/>
    <mergeCell ref="A437:A438"/>
    <mergeCell ref="A28:A32"/>
    <mergeCell ref="A3:A7"/>
    <mergeCell ref="A8:A12"/>
    <mergeCell ref="A13:A17"/>
    <mergeCell ref="A18:A22"/>
    <mergeCell ref="A23:A27"/>
    <mergeCell ref="A88:A92"/>
    <mergeCell ref="A33:A37"/>
    <mergeCell ref="A38:A42"/>
    <mergeCell ref="A43:A47"/>
    <mergeCell ref="A48:A52"/>
    <mergeCell ref="A53:A57"/>
    <mergeCell ref="A58:A62"/>
    <mergeCell ref="A63:A67"/>
    <mergeCell ref="A68:A72"/>
    <mergeCell ref="A73:A77"/>
    <mergeCell ref="A78:A82"/>
    <mergeCell ref="A83:A87"/>
    <mergeCell ref="A148:A152"/>
    <mergeCell ref="A93:A97"/>
    <mergeCell ref="A98:A102"/>
    <mergeCell ref="A103:A107"/>
    <mergeCell ref="A108:A112"/>
    <mergeCell ref="A113:A117"/>
    <mergeCell ref="A118:A122"/>
    <mergeCell ref="A123:A127"/>
    <mergeCell ref="A128:A132"/>
    <mergeCell ref="A133:A137"/>
    <mergeCell ref="A138:A142"/>
    <mergeCell ref="A143:A147"/>
    <mergeCell ref="A208:A212"/>
    <mergeCell ref="A153:A157"/>
    <mergeCell ref="A158:A162"/>
    <mergeCell ref="A163:A167"/>
    <mergeCell ref="A168:A172"/>
    <mergeCell ref="A173:A177"/>
    <mergeCell ref="A178:A182"/>
    <mergeCell ref="A183:A187"/>
    <mergeCell ref="A188:A192"/>
    <mergeCell ref="A193:A197"/>
    <mergeCell ref="A198:A202"/>
    <mergeCell ref="A203:A207"/>
    <mergeCell ref="A268:A272"/>
    <mergeCell ref="A213:A217"/>
    <mergeCell ref="A218:A222"/>
    <mergeCell ref="A223:A227"/>
    <mergeCell ref="A228:A232"/>
    <mergeCell ref="A233:A237"/>
    <mergeCell ref="A238:A242"/>
    <mergeCell ref="A243:A247"/>
    <mergeCell ref="A248:A252"/>
    <mergeCell ref="A253:A257"/>
    <mergeCell ref="A258:A262"/>
    <mergeCell ref="A263:A267"/>
    <mergeCell ref="A328:A332"/>
    <mergeCell ref="A273:A277"/>
    <mergeCell ref="A278:A282"/>
    <mergeCell ref="A283:A287"/>
    <mergeCell ref="A288:A292"/>
    <mergeCell ref="A293:A297"/>
    <mergeCell ref="A298:A302"/>
    <mergeCell ref="A303:A307"/>
    <mergeCell ref="A308:A312"/>
    <mergeCell ref="A313:A317"/>
    <mergeCell ref="A318:A322"/>
    <mergeCell ref="A323:A327"/>
    <mergeCell ref="A388:A392"/>
    <mergeCell ref="A333:A337"/>
    <mergeCell ref="A338:A342"/>
    <mergeCell ref="A343:A347"/>
    <mergeCell ref="A348:A352"/>
    <mergeCell ref="A353:A357"/>
    <mergeCell ref="A358:A362"/>
    <mergeCell ref="A363:A367"/>
    <mergeCell ref="A368:A372"/>
    <mergeCell ref="A373:A377"/>
    <mergeCell ref="A378:A382"/>
    <mergeCell ref="A383:A387"/>
    <mergeCell ref="A416:A419"/>
    <mergeCell ref="A420:A424"/>
    <mergeCell ref="A425:A429"/>
    <mergeCell ref="A430:A434"/>
    <mergeCell ref="A393:A397"/>
    <mergeCell ref="A398:A402"/>
    <mergeCell ref="A403:A407"/>
    <mergeCell ref="A408:A411"/>
    <mergeCell ref="A412:A4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AH748"/>
  <sheetViews>
    <sheetView tabSelected="1" workbookViewId="0">
      <pane xSplit="2" ySplit="2" topLeftCell="Y3" activePane="bottomRight" state="frozen"/>
      <selection pane="topRight" activeCell="C1" sqref="C1"/>
      <selection pane="bottomLeft" activeCell="A2" sqref="A2"/>
      <selection pane="bottomRight" activeCell="AA15" sqref="AA15"/>
    </sheetView>
  </sheetViews>
  <sheetFormatPr defaultRowHeight="15" x14ac:dyDescent="0.25"/>
  <cols>
    <col min="1" max="1" width="32.85546875" bestFit="1" customWidth="1"/>
    <col min="2" max="2" width="24.42578125" customWidth="1"/>
    <col min="3" max="3" width="18.85546875" style="7" customWidth="1"/>
    <col min="4" max="4" width="26.28515625" style="7" customWidth="1"/>
    <col min="5" max="5" width="24.28515625" style="7" bestFit="1" customWidth="1"/>
    <col min="6" max="6" width="25.5703125" style="7" bestFit="1" customWidth="1"/>
    <col min="7" max="7" width="24.28515625" style="7" customWidth="1"/>
    <col min="8" max="8" width="24" style="7" bestFit="1" customWidth="1"/>
    <col min="9" max="9" width="24.28515625" style="7" bestFit="1" customWidth="1"/>
    <col min="10" max="10" width="25" style="7" customWidth="1"/>
    <col min="11" max="12" width="22.28515625" style="7" bestFit="1" customWidth="1"/>
    <col min="13" max="14" width="23.28515625" style="7" bestFit="1" customWidth="1"/>
    <col min="15" max="15" width="26" style="7" bestFit="1" customWidth="1"/>
    <col min="16" max="17" width="24.28515625" style="7" bestFit="1" customWidth="1"/>
    <col min="18" max="18" width="26" style="7" bestFit="1" customWidth="1"/>
    <col min="19" max="21" width="24.28515625" style="7" bestFit="1" customWidth="1"/>
    <col min="22" max="22" width="18" style="7" bestFit="1" customWidth="1"/>
    <col min="23" max="26" width="24.28515625" style="7" bestFit="1" customWidth="1"/>
    <col min="27" max="27" width="24.28515625" style="7" customWidth="1"/>
    <col min="28" max="28" width="23.140625" style="7" bestFit="1" customWidth="1"/>
    <col min="29" max="29" width="24.85546875" style="7" bestFit="1" customWidth="1"/>
    <col min="31" max="31" width="16.85546875" bestFit="1" customWidth="1"/>
    <col min="33" max="33" width="16.85546875" bestFit="1" customWidth="1"/>
    <col min="34" max="34" width="16" bestFit="1" customWidth="1"/>
  </cols>
  <sheetData>
    <row r="1" spans="1:34" x14ac:dyDescent="0.25">
      <c r="B1" s="7">
        <f>'HQ1'!C1</f>
        <v>4089825555492</v>
      </c>
      <c r="C1" s="7">
        <f>SUBTOTAL(9,C3:C672)</f>
        <v>2265735315676</v>
      </c>
      <c r="D1" s="7">
        <f>C1+B1</f>
        <v>6355560871168</v>
      </c>
      <c r="AE1" s="24">
        <f>SUM(AE3:AE748)</f>
        <v>35221168324</v>
      </c>
    </row>
    <row r="2" spans="1:34" x14ac:dyDescent="0.25">
      <c r="A2" s="14" t="s">
        <v>40</v>
      </c>
      <c r="B2" s="14" t="s">
        <v>41</v>
      </c>
      <c r="C2" s="34" t="s">
        <v>244</v>
      </c>
      <c r="D2" s="34" t="s">
        <v>245</v>
      </c>
      <c r="E2" s="34" t="s">
        <v>246</v>
      </c>
      <c r="F2" s="34" t="s">
        <v>247</v>
      </c>
      <c r="G2" s="34" t="s">
        <v>248</v>
      </c>
      <c r="H2" s="34" t="s">
        <v>42</v>
      </c>
      <c r="I2" s="34" t="s">
        <v>249</v>
      </c>
      <c r="J2" s="34" t="s">
        <v>250</v>
      </c>
      <c r="K2" s="34" t="s">
        <v>251</v>
      </c>
      <c r="L2" s="34" t="s">
        <v>252</v>
      </c>
      <c r="M2" s="34" t="s">
        <v>253</v>
      </c>
      <c r="N2" s="34" t="s">
        <v>254</v>
      </c>
      <c r="O2" s="34" t="s">
        <v>255</v>
      </c>
      <c r="P2" s="34" t="s">
        <v>256</v>
      </c>
      <c r="Q2" s="34" t="s">
        <v>257</v>
      </c>
      <c r="R2" s="34" t="s">
        <v>258</v>
      </c>
      <c r="S2" s="34" t="s">
        <v>259</v>
      </c>
      <c r="T2" s="34" t="s">
        <v>260</v>
      </c>
      <c r="U2" s="34" t="s">
        <v>261</v>
      </c>
      <c r="V2" s="34" t="s">
        <v>262</v>
      </c>
      <c r="W2" s="34" t="s">
        <v>263</v>
      </c>
      <c r="X2" s="34" t="s">
        <v>264</v>
      </c>
      <c r="Y2" s="34" t="s">
        <v>265</v>
      </c>
      <c r="Z2" s="34" t="s">
        <v>266</v>
      </c>
      <c r="AA2" s="34" t="s">
        <v>1476</v>
      </c>
      <c r="AB2" s="34" t="s">
        <v>43</v>
      </c>
      <c r="AC2" s="34" t="s">
        <v>44</v>
      </c>
      <c r="AD2" s="14" t="s">
        <v>267</v>
      </c>
      <c r="AE2" s="91" t="s">
        <v>1475</v>
      </c>
      <c r="AF2" s="28"/>
      <c r="AG2" s="91" t="s">
        <v>420</v>
      </c>
      <c r="AH2" s="24">
        <f>SUM(AH3:AH748)</f>
        <v>-4.7777113094343804</v>
      </c>
    </row>
    <row r="3" spans="1:34" x14ac:dyDescent="0.25">
      <c r="A3" s="123" t="s">
        <v>423</v>
      </c>
      <c r="B3" s="15" t="s">
        <v>45</v>
      </c>
      <c r="C3" s="132">
        <v>339858738533</v>
      </c>
      <c r="D3" s="132">
        <v>3344932980</v>
      </c>
      <c r="E3" s="132">
        <v>336513805553</v>
      </c>
      <c r="F3" s="132">
        <v>238489959420.505</v>
      </c>
      <c r="G3" s="132"/>
      <c r="H3" s="132">
        <v>33537310923.996002</v>
      </c>
      <c r="I3" s="132">
        <v>204952648496.509</v>
      </c>
      <c r="J3" s="132"/>
      <c r="K3" s="132"/>
      <c r="L3" s="132"/>
      <c r="M3" s="132"/>
      <c r="N3" s="132"/>
      <c r="O3" s="132">
        <v>116703683728.73999</v>
      </c>
      <c r="P3" s="132"/>
      <c r="Q3" s="132"/>
      <c r="R3" s="132">
        <v>116703683728.73999</v>
      </c>
      <c r="S3" s="132">
        <v>68795874080.074005</v>
      </c>
      <c r="T3" s="132">
        <v>194916809399.73999</v>
      </c>
      <c r="U3" s="132"/>
      <c r="V3" s="132"/>
      <c r="W3" s="132">
        <v>194916809399.73999</v>
      </c>
      <c r="X3" s="132">
        <v>111670938053.724</v>
      </c>
      <c r="Y3" s="132">
        <v>-42875063973.649994</v>
      </c>
      <c r="Z3" s="132">
        <v>-42875063973.649994</v>
      </c>
      <c r="AA3" s="132">
        <v>7154698782.6151495</v>
      </c>
      <c r="AB3" s="132"/>
      <c r="AC3" s="132">
        <v>240673013687.54388</v>
      </c>
      <c r="AD3" s="96">
        <v>-0.20919497400093512</v>
      </c>
      <c r="AE3" s="5">
        <f>SUMIFS(PGĐ!$H:$H,PGĐ!$F:$F,"="&amp;'HQ2'!B3,PGĐ!$I:$I,"="&amp;'HQ2'!A3)</f>
        <v>0</v>
      </c>
      <c r="AF3" s="96"/>
      <c r="AG3" s="7">
        <f>SUMIFS(ĐMCP!$Q:$Q,ĐMCP!$P:$P,"="&amp;'HQ2'!B3,ĐMCP!$O:$O,"="&amp;'HQ2'!A3)</f>
        <v>0</v>
      </c>
      <c r="AH3" s="7">
        <f>IF(AG3=0,0,AG3-AB3)</f>
        <v>0</v>
      </c>
    </row>
    <row r="4" spans="1:34" x14ac:dyDescent="0.25">
      <c r="A4" s="123" t="s">
        <v>423</v>
      </c>
      <c r="B4" s="16" t="s">
        <v>268</v>
      </c>
      <c r="C4" s="7">
        <v>252674568117</v>
      </c>
      <c r="D4" s="7">
        <v>2957158803</v>
      </c>
      <c r="E4" s="7">
        <v>249717409314</v>
      </c>
      <c r="F4" s="7">
        <v>177670630558.70999</v>
      </c>
      <c r="H4" s="7">
        <v>26650594583.806499</v>
      </c>
      <c r="I4" s="7">
        <v>151020035974.9035</v>
      </c>
      <c r="O4" s="7">
        <v>24526723143.400002</v>
      </c>
      <c r="R4" s="7">
        <v>24526723143.400002</v>
      </c>
      <c r="S4" s="7">
        <v>13489697728.870003</v>
      </c>
      <c r="T4" s="7">
        <v>105582951722.39999</v>
      </c>
      <c r="W4" s="7">
        <v>105582951722.39999</v>
      </c>
      <c r="X4" s="7">
        <v>58070623447.32</v>
      </c>
      <c r="Y4" s="7">
        <v>-44580925718.449997</v>
      </c>
      <c r="Z4" s="7">
        <v>-44580925718.449997</v>
      </c>
      <c r="AA4" s="7">
        <v>5330118916.7612991</v>
      </c>
      <c r="AC4" s="7">
        <v>190270842776.59222</v>
      </c>
      <c r="AD4" s="17">
        <v>-0.29519874916370997</v>
      </c>
      <c r="AE4" s="5">
        <f>SUMIFS(PGĐ!$H:$H,PGĐ!$F:$F,"="&amp;'HQ2'!B4,PGĐ!$I:$I,"="&amp;'HQ2'!A4)</f>
        <v>1733620520</v>
      </c>
      <c r="AF4" s="17"/>
      <c r="AG4" s="7">
        <f>SUMIFS(ĐMCP!$Q:$Q,ĐMCP!$P:$P,"="&amp;'HQ2'!B4,ĐMCP!$O:$O,"="&amp;'HQ2'!A4)</f>
        <v>0</v>
      </c>
      <c r="AH4" s="7">
        <f t="shared" ref="AH4:AH67" si="0">IF(AG4=0,0,AG4-AB4)</f>
        <v>0</v>
      </c>
    </row>
    <row r="5" spans="1:34" x14ac:dyDescent="0.25">
      <c r="A5" s="123" t="s">
        <v>423</v>
      </c>
      <c r="B5" s="16" t="s">
        <v>270</v>
      </c>
      <c r="C5" s="7">
        <v>32916923680</v>
      </c>
      <c r="D5" s="7">
        <v>387774177</v>
      </c>
      <c r="E5" s="7">
        <v>32529149503</v>
      </c>
      <c r="F5" s="7">
        <v>26385888457.895</v>
      </c>
      <c r="H5" s="7">
        <v>2638588845.7895002</v>
      </c>
      <c r="I5" s="7">
        <v>23747299612.105499</v>
      </c>
      <c r="AA5" s="7">
        <v>791576653.73685002</v>
      </c>
      <c r="AC5" s="7">
        <v>22955722958.368649</v>
      </c>
      <c r="AD5" s="17"/>
      <c r="AE5" s="5">
        <f>SUMIFS(PGĐ!$H:$H,PGĐ!$F:$F,"="&amp;'HQ2'!B5,PGĐ!$I:$I,"="&amp;'HQ2'!A5)</f>
        <v>1000036650</v>
      </c>
      <c r="AF5" s="17"/>
      <c r="AG5" s="7">
        <f>SUMIFS(ĐMCP!$Q:$Q,ĐMCP!$P:$P,"="&amp;'HQ2'!B5,ĐMCP!$O:$O,"="&amp;'HQ2'!A5)</f>
        <v>0</v>
      </c>
      <c r="AH5" s="7">
        <f t="shared" si="0"/>
        <v>0</v>
      </c>
    </row>
    <row r="6" spans="1:34" x14ac:dyDescent="0.25">
      <c r="A6" s="123" t="s">
        <v>423</v>
      </c>
      <c r="B6" s="16" t="s">
        <v>269</v>
      </c>
      <c r="C6" s="7">
        <v>43976009773</v>
      </c>
      <c r="E6" s="7">
        <v>43976009773</v>
      </c>
      <c r="F6" s="7">
        <v>26385605863.799999</v>
      </c>
      <c r="H6" s="7">
        <v>2638560586.3800001</v>
      </c>
      <c r="I6" s="7">
        <v>23747045277.419998</v>
      </c>
      <c r="O6" s="7">
        <v>72542680410</v>
      </c>
      <c r="R6" s="7">
        <v>72542680410</v>
      </c>
      <c r="S6" s="7">
        <v>43525608246</v>
      </c>
      <c r="T6" s="7">
        <v>70899577502</v>
      </c>
      <c r="W6" s="7">
        <v>70899577502</v>
      </c>
      <c r="X6" s="7">
        <v>42539746501.199997</v>
      </c>
      <c r="Y6" s="7">
        <v>985861744.80000305</v>
      </c>
      <c r="Z6" s="7">
        <v>985861744.80000305</v>
      </c>
      <c r="AA6" s="7">
        <v>791568175.91399992</v>
      </c>
      <c r="AC6" s="7">
        <v>21969615356.705994</v>
      </c>
      <c r="AD6" s="17">
        <v>4.1515133073730857E-2</v>
      </c>
      <c r="AE6" s="5">
        <f>SUMIFS(PGĐ!$H:$H,PGĐ!$F:$F,"="&amp;'HQ2'!B6,PGĐ!$I:$I,"="&amp;'HQ2'!A6)</f>
        <v>0</v>
      </c>
      <c r="AF6" s="17"/>
      <c r="AG6" s="7">
        <f>SUMIFS(ĐMCP!$Q:$Q,ĐMCP!$P:$P,"="&amp;'HQ2'!B6,ĐMCP!$O:$O,"="&amp;'HQ2'!A6)</f>
        <v>0</v>
      </c>
      <c r="AH6" s="7">
        <f t="shared" si="0"/>
        <v>0</v>
      </c>
    </row>
    <row r="7" spans="1:34" x14ac:dyDescent="0.25">
      <c r="A7" s="123" t="s">
        <v>423</v>
      </c>
      <c r="B7" s="16" t="s">
        <v>272</v>
      </c>
      <c r="C7" s="7">
        <v>8439686660</v>
      </c>
      <c r="E7" s="7">
        <v>8439686660</v>
      </c>
      <c r="F7" s="7">
        <v>6751749328</v>
      </c>
      <c r="H7" s="7">
        <v>1350349865.6000001</v>
      </c>
      <c r="I7" s="7">
        <v>5401399462.3999996</v>
      </c>
      <c r="AA7" s="7">
        <v>202552479.84</v>
      </c>
      <c r="AC7" s="7">
        <v>5198846982.5599995</v>
      </c>
      <c r="AD7" s="17"/>
      <c r="AE7" s="5">
        <f>SUMIFS(PGĐ!$H:$H,PGĐ!$F:$F,"="&amp;'HQ2'!B7,PGĐ!$I:$I,"="&amp;'HQ2'!A7)</f>
        <v>0</v>
      </c>
      <c r="AF7" s="17"/>
      <c r="AG7" s="7">
        <f>SUMIFS(ĐMCP!$Q:$Q,ĐMCP!$P:$P,"="&amp;'HQ2'!B7,ĐMCP!$O:$O,"="&amp;'HQ2'!A7)</f>
        <v>0</v>
      </c>
      <c r="AH7" s="7">
        <f t="shared" si="0"/>
        <v>0</v>
      </c>
    </row>
    <row r="8" spans="1:34" x14ac:dyDescent="0.25">
      <c r="A8" s="123" t="s">
        <v>423</v>
      </c>
      <c r="B8" s="16" t="s">
        <v>271</v>
      </c>
      <c r="C8" s="7">
        <v>1851550303</v>
      </c>
      <c r="E8" s="7">
        <v>1851550303</v>
      </c>
      <c r="F8" s="7">
        <v>1296085212.0999999</v>
      </c>
      <c r="H8" s="7">
        <v>259217042.41999999</v>
      </c>
      <c r="I8" s="7">
        <v>1036868169.6799999</v>
      </c>
      <c r="O8" s="7">
        <v>19634280175.34</v>
      </c>
      <c r="R8" s="7">
        <v>19634280175.34</v>
      </c>
      <c r="S8" s="7">
        <v>11780568105.204</v>
      </c>
      <c r="T8" s="7">
        <v>18434280175.34</v>
      </c>
      <c r="W8" s="7">
        <v>18434280175.34</v>
      </c>
      <c r="X8" s="7">
        <v>11060568105.204</v>
      </c>
      <c r="Y8" s="7">
        <v>720000000</v>
      </c>
      <c r="Z8" s="7">
        <v>720000000</v>
      </c>
      <c r="AA8" s="7">
        <v>38882556.362999998</v>
      </c>
      <c r="AC8" s="7">
        <v>277985613.31699997</v>
      </c>
      <c r="AD8" s="17">
        <v>0.69439878767057495</v>
      </c>
      <c r="AE8" s="5">
        <f>SUMIFS(PGĐ!$H:$H,PGĐ!$F:$F,"="&amp;'HQ2'!B8,PGĐ!$I:$I,"="&amp;'HQ2'!A8)</f>
        <v>76638527</v>
      </c>
      <c r="AF8" s="17"/>
      <c r="AG8" s="7">
        <f>SUMIFS(ĐMCP!$Q:$Q,ĐMCP!$P:$P,"="&amp;'HQ2'!B8,ĐMCP!$O:$O,"="&amp;'HQ2'!A8)</f>
        <v>0</v>
      </c>
      <c r="AH8" s="7">
        <f t="shared" si="0"/>
        <v>0</v>
      </c>
    </row>
    <row r="9" spans="1:34" x14ac:dyDescent="0.25">
      <c r="A9" s="123" t="s">
        <v>46</v>
      </c>
      <c r="B9" s="15" t="s">
        <v>45</v>
      </c>
      <c r="C9" s="132">
        <v>72125426494</v>
      </c>
      <c r="D9" s="132">
        <v>16278357544</v>
      </c>
      <c r="E9" s="132">
        <v>55847068950</v>
      </c>
      <c r="F9" s="132">
        <v>50774551023.32</v>
      </c>
      <c r="G9" s="132">
        <v>42490295910.149994</v>
      </c>
      <c r="H9" s="132">
        <v>1016349893.57625</v>
      </c>
      <c r="I9" s="132">
        <v>49758201129.743752</v>
      </c>
      <c r="J9" s="132">
        <v>13734562143</v>
      </c>
      <c r="K9" s="132">
        <v>4390013836</v>
      </c>
      <c r="L9" s="132"/>
      <c r="M9" s="132">
        <v>9344548307</v>
      </c>
      <c r="N9" s="132">
        <v>6147129891.5500002</v>
      </c>
      <c r="O9" s="132">
        <v>180317902371.75003</v>
      </c>
      <c r="P9" s="132">
        <v>105966056604</v>
      </c>
      <c r="Q9" s="132">
        <v>8961573610.5900002</v>
      </c>
      <c r="R9" s="132">
        <v>65390272157.160034</v>
      </c>
      <c r="S9" s="132">
        <v>72761086400.318512</v>
      </c>
      <c r="T9" s="132">
        <v>184910196250.08002</v>
      </c>
      <c r="U9" s="132">
        <v>110556380956</v>
      </c>
      <c r="V9" s="132">
        <v>6351898590.1199999</v>
      </c>
      <c r="W9" s="132">
        <v>68001916703.960014</v>
      </c>
      <c r="X9" s="132">
        <v>71532667635.106506</v>
      </c>
      <c r="Y9" s="132">
        <v>1228418765.2120056</v>
      </c>
      <c r="Z9" s="132">
        <v>7375548656.7620058</v>
      </c>
      <c r="AA9" s="132">
        <v>1523236530.6996</v>
      </c>
      <c r="AB9" s="132">
        <v>15915058421</v>
      </c>
      <c r="AC9" s="132">
        <v>24944357521.282146</v>
      </c>
      <c r="AD9" s="96">
        <v>0.1482277994240663</v>
      </c>
      <c r="AE9" s="5">
        <f>SUMIFS(PGĐ!$H:$H,PGĐ!$F:$F,"="&amp;'HQ2'!B9,PGĐ!$I:$I,"="&amp;'HQ2'!A9)</f>
        <v>0</v>
      </c>
      <c r="AF9" s="96"/>
      <c r="AG9" s="7">
        <f>SUMIFS(ĐMCP!$Q:$Q,ĐMCP!$P:$P,"="&amp;'HQ2'!B9,ĐMCP!$O:$O,"="&amp;'HQ2'!A9)</f>
        <v>0</v>
      </c>
      <c r="AH9" s="7">
        <f t="shared" si="0"/>
        <v>0</v>
      </c>
    </row>
    <row r="10" spans="1:34" x14ac:dyDescent="0.25">
      <c r="A10" s="123" t="s">
        <v>46</v>
      </c>
      <c r="B10" s="16" t="s">
        <v>270</v>
      </c>
      <c r="C10" s="7">
        <v>22286811440</v>
      </c>
      <c r="D10" s="7">
        <v>10666344490</v>
      </c>
      <c r="E10" s="7">
        <v>11620466950</v>
      </c>
      <c r="F10" s="7">
        <v>19269405658.150002</v>
      </c>
      <c r="G10" s="7">
        <v>14985250800</v>
      </c>
      <c r="H10" s="7">
        <v>428415485.81500018</v>
      </c>
      <c r="I10" s="7">
        <v>18840990172.335003</v>
      </c>
      <c r="J10" s="7">
        <v>5890583324</v>
      </c>
      <c r="M10" s="7">
        <v>5890583324</v>
      </c>
      <c r="N10" s="7">
        <v>3534349994.4000001</v>
      </c>
      <c r="O10" s="7">
        <v>9449118318.3999996</v>
      </c>
      <c r="Q10" s="7">
        <v>5877261901.5899992</v>
      </c>
      <c r="R10" s="7">
        <v>3571856416.8100004</v>
      </c>
      <c r="S10" s="7">
        <v>8020375751.6759996</v>
      </c>
      <c r="T10" s="7">
        <v>8220170567.0899992</v>
      </c>
      <c r="V10" s="7">
        <v>3816275580.1199999</v>
      </c>
      <c r="W10" s="7">
        <v>4403894986.9699993</v>
      </c>
      <c r="X10" s="7">
        <v>6458612572.302</v>
      </c>
      <c r="Y10" s="7">
        <v>1561763179.3739996</v>
      </c>
      <c r="Z10" s="7">
        <v>5096113173.7740002</v>
      </c>
      <c r="AA10" s="7">
        <v>578082169.74450004</v>
      </c>
      <c r="AB10" s="7">
        <v>6607749221</v>
      </c>
      <c r="AC10" s="7">
        <v>6559045607.8165007</v>
      </c>
      <c r="AD10" s="17">
        <v>0.27048011421697105</v>
      </c>
      <c r="AE10" s="5">
        <f>SUMIFS(PGĐ!$H:$H,PGĐ!$F:$F,"="&amp;'HQ2'!B10,PGĐ!$I:$I,"="&amp;'HQ2'!A10)</f>
        <v>914198958</v>
      </c>
      <c r="AF10" s="17"/>
      <c r="AG10" s="7">
        <f>SUMIFS(ĐMCP!$Q:$Q,ĐMCP!$P:$P,"="&amp;'HQ2'!B10,ĐMCP!$O:$O,"="&amp;'HQ2'!A10)</f>
        <v>6607749221.4666557</v>
      </c>
      <c r="AH10" s="7">
        <f t="shared" si="0"/>
        <v>0.46665573120117188</v>
      </c>
    </row>
    <row r="11" spans="1:34" x14ac:dyDescent="0.25">
      <c r="A11" s="123" t="s">
        <v>46</v>
      </c>
      <c r="B11" s="16" t="s">
        <v>268</v>
      </c>
      <c r="C11" s="7">
        <v>23535327613</v>
      </c>
      <c r="D11" s="7">
        <v>3275754988</v>
      </c>
      <c r="E11" s="7">
        <v>20259572625</v>
      </c>
      <c r="F11" s="7">
        <v>17359183175.860001</v>
      </c>
      <c r="G11" s="7">
        <v>15153056704.799999</v>
      </c>
      <c r="H11" s="7">
        <v>330918970.65900022</v>
      </c>
      <c r="I11" s="7">
        <v>17028264205.201</v>
      </c>
      <c r="J11" s="7">
        <v>5022564961</v>
      </c>
      <c r="K11" s="7">
        <v>4390013836</v>
      </c>
      <c r="M11" s="7">
        <v>632551125</v>
      </c>
      <c r="N11" s="7">
        <v>994032918.75</v>
      </c>
      <c r="O11" s="7">
        <v>67460382387.349991</v>
      </c>
      <c r="P11" s="7">
        <v>30027129998</v>
      </c>
      <c r="Q11" s="7">
        <v>1584311709</v>
      </c>
      <c r="R11" s="7">
        <v>35848940680.349991</v>
      </c>
      <c r="S11" s="7">
        <v>32617229437.642498</v>
      </c>
      <c r="T11" s="7">
        <v>73241173289.98999</v>
      </c>
      <c r="U11" s="7">
        <v>34617454350</v>
      </c>
      <c r="V11" s="7">
        <v>2535623010</v>
      </c>
      <c r="W11" s="7">
        <v>36088095929.98999</v>
      </c>
      <c r="X11" s="7">
        <v>33594746040.554497</v>
      </c>
      <c r="Y11" s="7">
        <v>-977516602.91199875</v>
      </c>
      <c r="Z11" s="7">
        <v>16516315.838001251</v>
      </c>
      <c r="AA11" s="7">
        <v>520775495.27579999</v>
      </c>
      <c r="AB11" s="7">
        <v>5830261314</v>
      </c>
      <c r="AC11" s="7">
        <v>10660711080.087198</v>
      </c>
      <c r="AD11" s="17">
        <v>9.699353756184155E-4</v>
      </c>
      <c r="AE11" s="5">
        <f>SUMIFS(PGĐ!$H:$H,PGĐ!$F:$F,"="&amp;'HQ2'!B11,PGĐ!$I:$I,"="&amp;'HQ2'!A11)</f>
        <v>1754210976</v>
      </c>
      <c r="AF11" s="17"/>
      <c r="AG11" s="7">
        <f>SUMIFS(ĐMCP!$Q:$Q,ĐMCP!$P:$P,"="&amp;'HQ2'!B11,ĐMCP!$O:$O,"="&amp;'HQ2'!A11)</f>
        <v>5830261314.3871288</v>
      </c>
      <c r="AH11" s="7">
        <f t="shared" si="0"/>
        <v>0.38712882995605469</v>
      </c>
    </row>
    <row r="12" spans="1:34" s="30" customFormat="1" x14ac:dyDescent="0.25">
      <c r="A12" s="123" t="s">
        <v>46</v>
      </c>
      <c r="B12" s="16" t="s">
        <v>269</v>
      </c>
      <c r="C12" s="7">
        <v>7133918677</v>
      </c>
      <c r="D12" s="7"/>
      <c r="E12" s="7">
        <v>7133918677</v>
      </c>
      <c r="F12" s="7">
        <v>4280351206.1999998</v>
      </c>
      <c r="G12" s="7">
        <v>3218801537.4000001</v>
      </c>
      <c r="H12" s="7">
        <v>106154966.87999998</v>
      </c>
      <c r="I12" s="7">
        <v>4174196239.3199997</v>
      </c>
      <c r="J12" s="7">
        <v>-5658255</v>
      </c>
      <c r="K12" s="7"/>
      <c r="L12" s="7"/>
      <c r="M12" s="7">
        <v>-5658255</v>
      </c>
      <c r="N12" s="7">
        <v>-3394953</v>
      </c>
      <c r="O12" s="7">
        <v>3771404320</v>
      </c>
      <c r="P12" s="7"/>
      <c r="Q12" s="7"/>
      <c r="R12" s="7">
        <v>3771404320</v>
      </c>
      <c r="S12" s="7">
        <v>2262842592</v>
      </c>
      <c r="T12" s="7">
        <v>3515766690</v>
      </c>
      <c r="U12" s="7"/>
      <c r="V12" s="7"/>
      <c r="W12" s="7">
        <v>3515766690</v>
      </c>
      <c r="X12" s="7">
        <v>2109460014</v>
      </c>
      <c r="Y12" s="7">
        <v>153382578</v>
      </c>
      <c r="Z12" s="7">
        <v>149987625</v>
      </c>
      <c r="AA12" s="7">
        <v>128410536.18599999</v>
      </c>
      <c r="AB12" s="7">
        <v>986070941</v>
      </c>
      <c r="AC12" s="7">
        <v>2909727137.1339998</v>
      </c>
      <c r="AD12" s="17">
        <v>3.5932097199252389E-2</v>
      </c>
      <c r="AE12" s="5">
        <f>SUMIFS(PGĐ!$H:$H,PGĐ!$F:$F,"="&amp;'HQ2'!B12,PGĐ!$I:$I,"="&amp;'HQ2'!A12)</f>
        <v>0</v>
      </c>
      <c r="AF12" s="17"/>
      <c r="AG12" s="26">
        <f>SUMIFS(ĐMCP!$Q:$Q,ĐMCP!$P:$P,"="&amp;'HQ2'!B12,ĐMCP!$O:$O,"="&amp;'HQ2'!A12)</f>
        <v>986070941.31136739</v>
      </c>
      <c r="AH12" s="26">
        <f t="shared" si="0"/>
        <v>0.31136739253997803</v>
      </c>
    </row>
    <row r="13" spans="1:34" x14ac:dyDescent="0.25">
      <c r="A13" s="123" t="s">
        <v>46</v>
      </c>
      <c r="B13" s="16" t="s">
        <v>23</v>
      </c>
      <c r="C13" s="7">
        <v>11091919355</v>
      </c>
      <c r="E13" s="7">
        <v>11091919355</v>
      </c>
      <c r="F13" s="7">
        <v>3882171774.2499995</v>
      </c>
      <c r="G13" s="7">
        <v>3429710975.25</v>
      </c>
      <c r="H13" s="7">
        <v>113115199.74999988</v>
      </c>
      <c r="I13" s="7">
        <v>3769056574.4999995</v>
      </c>
      <c r="J13" s="7">
        <v>307257690</v>
      </c>
      <c r="M13" s="7">
        <v>307257690</v>
      </c>
      <c r="N13" s="7">
        <v>76814422.5</v>
      </c>
      <c r="O13" s="7">
        <v>46910961606</v>
      </c>
      <c r="P13" s="7">
        <v>39193126606</v>
      </c>
      <c r="R13" s="7">
        <v>7717835000</v>
      </c>
      <c r="S13" s="7">
        <v>9439933015</v>
      </c>
      <c r="T13" s="7">
        <v>46881096763</v>
      </c>
      <c r="U13" s="7">
        <v>39193126606</v>
      </c>
      <c r="W13" s="7">
        <v>7687970157</v>
      </c>
      <c r="X13" s="7">
        <v>9432466804.25</v>
      </c>
      <c r="Y13" s="7">
        <v>7466210.75</v>
      </c>
      <c r="Z13" s="7">
        <v>84280633.25</v>
      </c>
      <c r="AA13" s="7">
        <v>116465153.22749998</v>
      </c>
      <c r="AB13" s="7">
        <v>923103685</v>
      </c>
      <c r="AC13" s="7">
        <v>2645207103.0224996</v>
      </c>
      <c r="AD13" s="17">
        <v>2.2361201426428737E-2</v>
      </c>
      <c r="AE13" s="5">
        <f>SUMIFS(PGĐ!$H:$H,PGĐ!$F:$F,"="&amp;'HQ2'!B13,PGĐ!$I:$I,"="&amp;'HQ2'!A13)</f>
        <v>0</v>
      </c>
      <c r="AF13" s="17"/>
      <c r="AG13" s="7">
        <f>SUMIFS(ĐMCP!$Q:$Q,ĐMCP!$P:$P,"="&amp;'HQ2'!B13,ĐMCP!$O:$O,"="&amp;'HQ2'!A13)</f>
        <v>923103684.65142715</v>
      </c>
      <c r="AH13" s="7">
        <f t="shared" si="0"/>
        <v>-0.34857285022735596</v>
      </c>
    </row>
    <row r="14" spans="1:34" x14ac:dyDescent="0.25">
      <c r="A14" s="123" t="s">
        <v>46</v>
      </c>
      <c r="B14" s="16" t="s">
        <v>271</v>
      </c>
      <c r="C14" s="7">
        <v>3552949433</v>
      </c>
      <c r="D14" s="7">
        <v>1313603537</v>
      </c>
      <c r="E14" s="7">
        <v>2239345896</v>
      </c>
      <c r="F14" s="7">
        <v>2861441611.1449995</v>
      </c>
      <c r="G14" s="7">
        <v>2378222380.0999999</v>
      </c>
      <c r="H14" s="7">
        <v>96643846.208999932</v>
      </c>
      <c r="I14" s="7">
        <v>2764797764.9359994</v>
      </c>
      <c r="J14" s="7">
        <v>1988253976</v>
      </c>
      <c r="M14" s="7">
        <v>1988253976</v>
      </c>
      <c r="N14" s="7">
        <v>1192952385.5999999</v>
      </c>
      <c r="O14" s="7">
        <v>42074548340</v>
      </c>
      <c r="P14" s="7">
        <v>36745800000</v>
      </c>
      <c r="R14" s="7">
        <v>5328748340</v>
      </c>
      <c r="S14" s="7">
        <v>14239361904</v>
      </c>
      <c r="T14" s="7">
        <v>44167548340</v>
      </c>
      <c r="U14" s="7">
        <v>36745800000</v>
      </c>
      <c r="W14" s="7">
        <v>7421748340</v>
      </c>
      <c r="X14" s="7">
        <v>15495161904</v>
      </c>
      <c r="Y14" s="7">
        <v>-1255800000</v>
      </c>
      <c r="Z14" s="7">
        <v>-62847614.400000095</v>
      </c>
      <c r="AA14" s="7">
        <v>85843248.334349975</v>
      </c>
      <c r="AB14" s="7">
        <v>600184688</v>
      </c>
      <c r="AC14" s="7">
        <v>2141617443.0016496</v>
      </c>
      <c r="AD14" s="17">
        <v>-2.2731360389918038E-2</v>
      </c>
      <c r="AE14" s="5">
        <f>SUMIFS(PGĐ!$H:$H,PGĐ!$F:$F,"="&amp;'HQ2'!B14,PGĐ!$I:$I,"="&amp;'HQ2'!A14)</f>
        <v>16610000</v>
      </c>
      <c r="AF14" s="17"/>
      <c r="AG14" s="7">
        <f>SUMIFS(ĐMCP!$Q:$Q,ĐMCP!$P:$P,"="&amp;'HQ2'!B14,ĐMCP!$O:$O,"="&amp;'HQ2'!A14)</f>
        <v>600184688.11594069</v>
      </c>
      <c r="AH14" s="7">
        <f t="shared" si="0"/>
        <v>0.11594069004058838</v>
      </c>
    </row>
    <row r="15" spans="1:34" s="30" customFormat="1" x14ac:dyDescent="0.25">
      <c r="A15" s="123" t="s">
        <v>46</v>
      </c>
      <c r="B15" s="16" t="s">
        <v>272</v>
      </c>
      <c r="C15" s="7">
        <v>1961954335</v>
      </c>
      <c r="D15" s="7">
        <v>1002751866</v>
      </c>
      <c r="E15" s="7">
        <v>959202469</v>
      </c>
      <c r="F15" s="7">
        <v>1704934969.9100001</v>
      </c>
      <c r="G15" s="7">
        <v>1543243029.6000001</v>
      </c>
      <c r="H15" s="7">
        <v>32338388.061999992</v>
      </c>
      <c r="I15" s="7">
        <v>1672596581.848</v>
      </c>
      <c r="J15" s="7">
        <v>288649666</v>
      </c>
      <c r="K15" s="7"/>
      <c r="L15" s="7"/>
      <c r="M15" s="7">
        <v>288649666</v>
      </c>
      <c r="N15" s="7">
        <v>230919732.80000001</v>
      </c>
      <c r="O15" s="7">
        <v>1852000000</v>
      </c>
      <c r="P15" s="7"/>
      <c r="Q15" s="7">
        <v>1500000000</v>
      </c>
      <c r="R15" s="7">
        <v>352000000</v>
      </c>
      <c r="S15" s="7">
        <v>1781600000</v>
      </c>
      <c r="T15" s="7"/>
      <c r="U15" s="7"/>
      <c r="V15" s="7"/>
      <c r="W15" s="7"/>
      <c r="X15" s="7"/>
      <c r="Y15" s="7">
        <v>1781600000</v>
      </c>
      <c r="Z15" s="7">
        <v>2012519732.8</v>
      </c>
      <c r="AA15" s="7">
        <v>51148049.0973</v>
      </c>
      <c r="AB15" s="7">
        <v>625004793</v>
      </c>
      <c r="AC15" s="7">
        <v>-1016075993.0493</v>
      </c>
      <c r="AD15" s="17">
        <v>1.2032308057071535</v>
      </c>
      <c r="AE15" s="5">
        <f>SUMIFS(PGĐ!$H:$H,PGĐ!$F:$F,"="&amp;'HQ2'!B15,PGĐ!$I:$I,"="&amp;'HQ2'!A15)</f>
        <v>33430000</v>
      </c>
      <c r="AF15" s="17"/>
      <c r="AG15" s="26">
        <f>SUMIFS(ĐMCP!$Q:$Q,ĐMCP!$P:$P,"="&amp;'HQ2'!B15,ĐMCP!$O:$O,"="&amp;'HQ2'!A15)</f>
        <v>625004793.11227274</v>
      </c>
      <c r="AH15" s="26">
        <f t="shared" si="0"/>
        <v>0.11227273941040039</v>
      </c>
    </row>
    <row r="16" spans="1:34" x14ac:dyDescent="0.25">
      <c r="A16" s="123" t="s">
        <v>46</v>
      </c>
      <c r="B16" s="16" t="s">
        <v>273</v>
      </c>
      <c r="C16" s="7">
        <v>2562545641</v>
      </c>
      <c r="D16" s="7">
        <v>19902663</v>
      </c>
      <c r="E16" s="7">
        <v>2542642978</v>
      </c>
      <c r="F16" s="7">
        <v>1417062627.8050001</v>
      </c>
      <c r="G16" s="7">
        <v>1782010483.0000002</v>
      </c>
      <c r="H16" s="7">
        <v>-91236963.798750043</v>
      </c>
      <c r="I16" s="7">
        <v>1508299591.6037502</v>
      </c>
      <c r="J16" s="7">
        <v>242910781</v>
      </c>
      <c r="M16" s="7">
        <v>242910781</v>
      </c>
      <c r="N16" s="7">
        <v>121455390.5</v>
      </c>
      <c r="O16" s="7">
        <v>8799487400</v>
      </c>
      <c r="R16" s="7">
        <v>8799487400</v>
      </c>
      <c r="S16" s="7">
        <v>4399743700</v>
      </c>
      <c r="T16" s="7">
        <v>8884440600</v>
      </c>
      <c r="W16" s="7">
        <v>8884440600</v>
      </c>
      <c r="X16" s="7">
        <v>4442220300</v>
      </c>
      <c r="Y16" s="7">
        <v>-42476600</v>
      </c>
      <c r="Z16" s="7">
        <v>78978790.5</v>
      </c>
      <c r="AA16" s="7">
        <v>42511878.834150001</v>
      </c>
      <c r="AB16" s="7">
        <v>342683779</v>
      </c>
      <c r="AC16" s="7">
        <v>1044125143.2696003</v>
      </c>
      <c r="AD16" s="17">
        <v>5.2362800427482148E-2</v>
      </c>
      <c r="AE16" s="5">
        <f>SUMIFS(PGĐ!$H:$H,PGĐ!$F:$F,"="&amp;'HQ2'!B16,PGĐ!$I:$I,"="&amp;'HQ2'!A16)</f>
        <v>771190412</v>
      </c>
      <c r="AF16" s="17"/>
      <c r="AG16" s="7">
        <f>SUMIFS(ĐMCP!$Q:$Q,ĐMCP!$P:$P,"="&amp;'HQ2'!B16,ĐMCP!$O:$O,"="&amp;'HQ2'!A16)</f>
        <v>342683779.17529619</v>
      </c>
      <c r="AH16" s="7">
        <f t="shared" si="0"/>
        <v>0.17529618740081787</v>
      </c>
    </row>
    <row r="17" spans="1:34" x14ac:dyDescent="0.25">
      <c r="A17" s="123" t="s">
        <v>47</v>
      </c>
      <c r="B17" s="15" t="s">
        <v>45</v>
      </c>
      <c r="C17" s="132">
        <v>95631239628</v>
      </c>
      <c r="D17" s="132">
        <v>8073629760</v>
      </c>
      <c r="E17" s="132">
        <v>87557609868</v>
      </c>
      <c r="F17" s="132">
        <v>44621696447.489998</v>
      </c>
      <c r="G17" s="132">
        <v>46549936034.600006</v>
      </c>
      <c r="H17" s="132">
        <v>459053839.57749921</v>
      </c>
      <c r="I17" s="132">
        <v>44162642607.912498</v>
      </c>
      <c r="J17" s="132">
        <v>26771534050</v>
      </c>
      <c r="K17" s="132">
        <v>360596642</v>
      </c>
      <c r="L17" s="132"/>
      <c r="M17" s="132">
        <v>26410937408</v>
      </c>
      <c r="N17" s="132">
        <v>9386602670.75</v>
      </c>
      <c r="O17" s="132">
        <v>108524592380.56</v>
      </c>
      <c r="P17" s="132">
        <v>828728967</v>
      </c>
      <c r="Q17" s="132">
        <v>4453003283</v>
      </c>
      <c r="R17" s="132">
        <v>103242860130.56</v>
      </c>
      <c r="S17" s="132">
        <v>45175178856.015999</v>
      </c>
      <c r="T17" s="132">
        <v>118144723368.44</v>
      </c>
      <c r="U17" s="132">
        <v>1071161654</v>
      </c>
      <c r="V17" s="132">
        <v>4268138308</v>
      </c>
      <c r="W17" s="132">
        <v>112805423406.44</v>
      </c>
      <c r="X17" s="132">
        <v>45828311329.695</v>
      </c>
      <c r="Y17" s="132">
        <v>-653132473.67900085</v>
      </c>
      <c r="Z17" s="132">
        <v>8733470197.0709991</v>
      </c>
      <c r="AA17" s="132">
        <v>1338650893.4246998</v>
      </c>
      <c r="AB17" s="132">
        <v>13991865550</v>
      </c>
      <c r="AC17" s="132">
        <v>20098655967.416798</v>
      </c>
      <c r="AD17" s="96">
        <v>0.19775696564648618</v>
      </c>
      <c r="AE17" s="5">
        <f>SUMIFS(PGĐ!$H:$H,PGĐ!$F:$F,"="&amp;'HQ2'!B17,PGĐ!$I:$I,"="&amp;'HQ2'!A17)</f>
        <v>0</v>
      </c>
      <c r="AF17" s="96"/>
      <c r="AG17" s="7">
        <f>SUMIFS(ĐMCP!$Q:$Q,ĐMCP!$P:$P,"="&amp;'HQ2'!B17,ĐMCP!$O:$O,"="&amp;'HQ2'!A17)</f>
        <v>0</v>
      </c>
      <c r="AH17" s="7">
        <f t="shared" si="0"/>
        <v>0</v>
      </c>
    </row>
    <row r="18" spans="1:34" x14ac:dyDescent="0.25">
      <c r="A18" s="123" t="s">
        <v>47</v>
      </c>
      <c r="B18" s="16" t="s">
        <v>23</v>
      </c>
      <c r="C18" s="7">
        <v>63029965102</v>
      </c>
      <c r="E18" s="7">
        <v>63029965102</v>
      </c>
      <c r="F18" s="7">
        <v>22060487785.699997</v>
      </c>
      <c r="G18" s="7">
        <v>19685706510.049999</v>
      </c>
      <c r="H18" s="7">
        <v>593695318.91249943</v>
      </c>
      <c r="I18" s="7">
        <v>21466792466.787498</v>
      </c>
      <c r="J18" s="7">
        <v>16525591421</v>
      </c>
      <c r="M18" s="7">
        <v>16525591421</v>
      </c>
      <c r="N18" s="7">
        <v>4131397855.25</v>
      </c>
      <c r="O18" s="7">
        <v>51673103721.199997</v>
      </c>
      <c r="R18" s="7">
        <v>51673103721.199997</v>
      </c>
      <c r="S18" s="7">
        <v>12918275930.299999</v>
      </c>
      <c r="T18" s="7">
        <v>66330445623.539993</v>
      </c>
      <c r="W18" s="7">
        <v>66330445623.539993</v>
      </c>
      <c r="X18" s="7">
        <v>16582611405.884998</v>
      </c>
      <c r="Y18" s="7">
        <v>-3664335475.5849991</v>
      </c>
      <c r="Z18" s="7">
        <v>467062379.66500092</v>
      </c>
      <c r="AA18" s="7">
        <v>661814633.57099986</v>
      </c>
      <c r="AB18" s="7">
        <v>7647704793</v>
      </c>
      <c r="AC18" s="7">
        <v>12690210660.551498</v>
      </c>
      <c r="AD18" s="17">
        <v>2.1757436766001247E-2</v>
      </c>
      <c r="AE18" s="5">
        <f>SUMIFS(PGĐ!$H:$H,PGĐ!$F:$F,"="&amp;'HQ2'!B18,PGĐ!$I:$I,"="&amp;'HQ2'!A18)</f>
        <v>-52762000</v>
      </c>
      <c r="AF18" s="17"/>
      <c r="AG18" s="7">
        <f>SUMIFS(ĐMCP!$Q:$Q,ĐMCP!$P:$P,"="&amp;'HQ2'!B18,ĐMCP!$O:$O,"="&amp;'HQ2'!A18)</f>
        <v>7647704792.6360598</v>
      </c>
      <c r="AH18" s="7">
        <f t="shared" si="0"/>
        <v>-0.36394023895263672</v>
      </c>
    </row>
    <row r="19" spans="1:34" x14ac:dyDescent="0.25">
      <c r="A19" s="123" t="s">
        <v>47</v>
      </c>
      <c r="B19" s="16" t="s">
        <v>273</v>
      </c>
      <c r="C19" s="7">
        <v>16677456590</v>
      </c>
      <c r="D19" s="7">
        <v>106738476</v>
      </c>
      <c r="E19" s="7">
        <v>16570718114</v>
      </c>
      <c r="F19" s="7">
        <v>9213695437.7600002</v>
      </c>
      <c r="G19" s="7">
        <v>7848353961.250001</v>
      </c>
      <c r="H19" s="7">
        <v>341335369.12749982</v>
      </c>
      <c r="I19" s="7">
        <v>8872360068.6324997</v>
      </c>
      <c r="J19" s="7">
        <v>7447941515</v>
      </c>
      <c r="M19" s="7">
        <v>7447941515</v>
      </c>
      <c r="N19" s="7">
        <v>3723970757.5</v>
      </c>
      <c r="O19" s="7">
        <v>33013564585</v>
      </c>
      <c r="Q19" s="7">
        <v>170000000</v>
      </c>
      <c r="R19" s="7">
        <v>32843564585</v>
      </c>
      <c r="S19" s="7">
        <v>16591782292.5</v>
      </c>
      <c r="T19" s="7">
        <v>29896296196</v>
      </c>
      <c r="V19" s="7">
        <v>204000000</v>
      </c>
      <c r="W19" s="7">
        <v>29692296196</v>
      </c>
      <c r="X19" s="7">
        <v>15050148098</v>
      </c>
      <c r="Y19" s="7">
        <v>1541634194.5</v>
      </c>
      <c r="Z19" s="7">
        <v>5265604952</v>
      </c>
      <c r="AA19" s="7">
        <v>276410863.13279998</v>
      </c>
      <c r="AB19" s="7">
        <v>2652268203</v>
      </c>
      <c r="AC19" s="7">
        <v>678076050.49970067</v>
      </c>
      <c r="AD19" s="17">
        <v>0.59348413626900853</v>
      </c>
      <c r="AE19" s="5">
        <f>SUMIFS(PGĐ!$H:$H,PGĐ!$F:$F,"="&amp;'HQ2'!B19,PGĐ!$I:$I,"="&amp;'HQ2'!A19)</f>
        <v>612351357</v>
      </c>
      <c r="AF19" s="17"/>
      <c r="AG19" s="7">
        <f>SUMIFS(ĐMCP!$Q:$Q,ĐMCP!$P:$P,"="&amp;'HQ2'!B19,ĐMCP!$O:$O,"="&amp;'HQ2'!A19)</f>
        <v>2652268203.164382</v>
      </c>
      <c r="AH19" s="7">
        <f t="shared" si="0"/>
        <v>0.16438198089599609</v>
      </c>
    </row>
    <row r="20" spans="1:34" x14ac:dyDescent="0.25">
      <c r="A20" s="123" t="s">
        <v>47</v>
      </c>
      <c r="B20" s="16" t="s">
        <v>270</v>
      </c>
      <c r="C20" s="7">
        <v>6741787112</v>
      </c>
      <c r="D20" s="7">
        <v>3971136587</v>
      </c>
      <c r="E20" s="7">
        <v>2770650525</v>
      </c>
      <c r="F20" s="7">
        <v>5929533128.8450003</v>
      </c>
      <c r="G20" s="7">
        <v>12111794040.800001</v>
      </c>
      <c r="H20" s="7">
        <v>-618226091.19550014</v>
      </c>
      <c r="I20" s="7">
        <v>6547759220.0405006</v>
      </c>
      <c r="J20" s="7">
        <v>1511199360</v>
      </c>
      <c r="M20" s="7">
        <v>1511199360</v>
      </c>
      <c r="N20" s="7">
        <v>906719616</v>
      </c>
      <c r="O20" s="7">
        <v>5151010409.3000002</v>
      </c>
      <c r="Q20" s="7">
        <v>1585003283</v>
      </c>
      <c r="R20" s="7">
        <v>3566007126.3000002</v>
      </c>
      <c r="S20" s="7">
        <v>3724607558.7799997</v>
      </c>
      <c r="T20" s="7">
        <v>6350777193.8999996</v>
      </c>
      <c r="V20" s="7">
        <v>2001138308</v>
      </c>
      <c r="W20" s="7">
        <v>4349638885.8999996</v>
      </c>
      <c r="X20" s="7">
        <v>4610921639.539999</v>
      </c>
      <c r="Y20" s="7">
        <v>-886314080.75999928</v>
      </c>
      <c r="Z20" s="7">
        <v>20405535.240000725</v>
      </c>
      <c r="AA20" s="7">
        <v>177885993.86535001</v>
      </c>
      <c r="AB20" s="7">
        <v>2082597460</v>
      </c>
      <c r="AC20" s="7">
        <v>4266870230.9351501</v>
      </c>
      <c r="AD20" s="17">
        <v>3.1164150290600495E-3</v>
      </c>
      <c r="AE20" s="5">
        <f>SUMIFS(PGĐ!$H:$H,PGĐ!$F:$F,"="&amp;'HQ2'!B20,PGĐ!$I:$I,"="&amp;'HQ2'!A20)</f>
        <v>288567278</v>
      </c>
      <c r="AF20" s="17"/>
      <c r="AG20" s="7">
        <f>SUMIFS(ĐMCP!$Q:$Q,ĐMCP!$P:$P,"="&amp;'HQ2'!B20,ĐMCP!$O:$O,"="&amp;'HQ2'!A20)</f>
        <v>2082597460.1019812</v>
      </c>
      <c r="AH20" s="7">
        <f t="shared" si="0"/>
        <v>0.10198116302490234</v>
      </c>
    </row>
    <row r="21" spans="1:34" x14ac:dyDescent="0.25">
      <c r="A21" s="123" t="s">
        <v>47</v>
      </c>
      <c r="B21" s="16" t="s">
        <v>268</v>
      </c>
      <c r="C21" s="7">
        <v>3792615206</v>
      </c>
      <c r="D21" s="7">
        <v>968041854</v>
      </c>
      <c r="E21" s="7">
        <v>2824573352</v>
      </c>
      <c r="F21" s="7">
        <v>2916201944.7799997</v>
      </c>
      <c r="G21" s="7">
        <v>3863043481.4999995</v>
      </c>
      <c r="H21" s="7">
        <v>-142026230.50799996</v>
      </c>
      <c r="I21" s="7">
        <v>3058228175.2879996</v>
      </c>
      <c r="J21" s="7">
        <v>360596642</v>
      </c>
      <c r="K21" s="7">
        <v>360596642</v>
      </c>
      <c r="M21" s="7">
        <v>0</v>
      </c>
      <c r="N21" s="7">
        <v>33064740</v>
      </c>
      <c r="O21" s="7">
        <v>348853558</v>
      </c>
      <c r="P21" s="7">
        <v>146353558</v>
      </c>
      <c r="R21" s="7">
        <v>202500000</v>
      </c>
      <c r="S21" s="7">
        <v>157518070</v>
      </c>
      <c r="T21" s="7">
        <v>479661654</v>
      </c>
      <c r="U21" s="7">
        <v>244161654</v>
      </c>
      <c r="V21" s="7">
        <v>63000000</v>
      </c>
      <c r="W21" s="7">
        <v>172500000</v>
      </c>
      <c r="X21" s="7">
        <v>198568594.34000003</v>
      </c>
      <c r="Y21" s="7">
        <v>-41050524.340000033</v>
      </c>
      <c r="Z21" s="7">
        <v>-7985784.3400000334</v>
      </c>
      <c r="AA21" s="7">
        <v>87486058.343399987</v>
      </c>
      <c r="AB21" s="7">
        <v>434276382</v>
      </c>
      <c r="AC21" s="7">
        <v>2544451519.2845998</v>
      </c>
      <c r="AD21" s="17">
        <v>-2.6112454278360035E-3</v>
      </c>
      <c r="AE21" s="5">
        <f>SUMIFS(PGĐ!$H:$H,PGĐ!$F:$F,"="&amp;'HQ2'!B21,PGĐ!$I:$I,"="&amp;'HQ2'!A21)</f>
        <v>109894000</v>
      </c>
      <c r="AF21" s="17"/>
      <c r="AG21" s="7">
        <f>SUMIFS(ĐMCP!$Q:$Q,ĐMCP!$P:$P,"="&amp;'HQ2'!B21,ĐMCP!$O:$O,"="&amp;'HQ2'!A21)</f>
        <v>434276382.07311302</v>
      </c>
      <c r="AH21" s="7">
        <f t="shared" si="0"/>
        <v>7.3113024234771729E-2</v>
      </c>
    </row>
    <row r="22" spans="1:34" s="30" customFormat="1" x14ac:dyDescent="0.25">
      <c r="A22" s="123" t="s">
        <v>47</v>
      </c>
      <c r="B22" s="16" t="s">
        <v>272</v>
      </c>
      <c r="C22" s="7">
        <v>2291236287</v>
      </c>
      <c r="D22" s="7">
        <v>2055620933</v>
      </c>
      <c r="E22" s="7">
        <v>235615354</v>
      </c>
      <c r="F22" s="7">
        <v>2110497855.5550001</v>
      </c>
      <c r="G22" s="7">
        <v>1427553948</v>
      </c>
      <c r="H22" s="7">
        <v>136588781.51100001</v>
      </c>
      <c r="I22" s="7">
        <v>1973909074.0440001</v>
      </c>
      <c r="J22" s="7">
        <v>178633174</v>
      </c>
      <c r="K22" s="7"/>
      <c r="L22" s="7"/>
      <c r="M22" s="7">
        <v>178633174</v>
      </c>
      <c r="N22" s="7">
        <v>142906539.20000002</v>
      </c>
      <c r="O22" s="7">
        <v>979934792</v>
      </c>
      <c r="P22" s="7"/>
      <c r="Q22" s="7">
        <v>630000000</v>
      </c>
      <c r="R22" s="7">
        <v>349934792</v>
      </c>
      <c r="S22" s="7">
        <v>909947833.60000002</v>
      </c>
      <c r="T22" s="7"/>
      <c r="U22" s="7"/>
      <c r="V22" s="7"/>
      <c r="W22" s="7"/>
      <c r="X22" s="7"/>
      <c r="Y22" s="7">
        <v>909947833.60000002</v>
      </c>
      <c r="Z22" s="7">
        <v>1052854372.8000001</v>
      </c>
      <c r="AA22" s="7">
        <v>63314935.666649997</v>
      </c>
      <c r="AB22" s="7">
        <v>789892340</v>
      </c>
      <c r="AC22" s="7">
        <v>67847425.57735008</v>
      </c>
      <c r="AD22" s="17">
        <v>0.53338544649525788</v>
      </c>
      <c r="AE22" s="5">
        <f>SUMIFS(PGĐ!$H:$H,PGĐ!$F:$F,"="&amp;'HQ2'!B22,PGĐ!$I:$I,"="&amp;'HQ2'!A22)</f>
        <v>71085000</v>
      </c>
      <c r="AF22" s="17"/>
      <c r="AG22" s="26">
        <f>SUMIFS(ĐMCP!$Q:$Q,ĐMCP!$P:$P,"="&amp;'HQ2'!B22,ĐMCP!$O:$O,"="&amp;'HQ2'!A22)</f>
        <v>789892339.70816708</v>
      </c>
      <c r="AH22" s="26">
        <f t="shared" si="0"/>
        <v>-0.29183292388916016</v>
      </c>
    </row>
    <row r="23" spans="1:34" x14ac:dyDescent="0.25">
      <c r="A23" s="123" t="s">
        <v>47</v>
      </c>
      <c r="B23" s="16" t="s">
        <v>271</v>
      </c>
      <c r="C23" s="7">
        <v>2553265019</v>
      </c>
      <c r="D23" s="7">
        <v>972091910</v>
      </c>
      <c r="E23" s="7">
        <v>1581173109</v>
      </c>
      <c r="F23" s="7">
        <v>2064331707.6500001</v>
      </c>
      <c r="G23" s="7">
        <v>1365260992.1999998</v>
      </c>
      <c r="H23" s="7">
        <v>139814143.09000006</v>
      </c>
      <c r="I23" s="7">
        <v>1924517564.5599999</v>
      </c>
      <c r="J23" s="7">
        <v>36416097</v>
      </c>
      <c r="M23" s="7">
        <v>36416097</v>
      </c>
      <c r="N23" s="7">
        <v>21849658.199999999</v>
      </c>
      <c r="O23" s="7">
        <v>10870785208.059999</v>
      </c>
      <c r="P23" s="7">
        <v>682375409</v>
      </c>
      <c r="Q23" s="7">
        <v>2068000000</v>
      </c>
      <c r="R23" s="7">
        <v>8120409799.0599995</v>
      </c>
      <c r="S23" s="7">
        <v>6980643106.6359997</v>
      </c>
      <c r="T23" s="7">
        <v>10983185557</v>
      </c>
      <c r="U23" s="7">
        <v>827000000</v>
      </c>
      <c r="V23" s="7">
        <v>2000000000</v>
      </c>
      <c r="W23" s="7">
        <v>8156185557</v>
      </c>
      <c r="X23" s="7">
        <v>6923447305.5299997</v>
      </c>
      <c r="Y23" s="7">
        <v>57195801.105999947</v>
      </c>
      <c r="Z23" s="7">
        <v>79045459.30599995</v>
      </c>
      <c r="AA23" s="7">
        <v>61929951.229500003</v>
      </c>
      <c r="AB23" s="7">
        <v>243289342</v>
      </c>
      <c r="AC23" s="7">
        <v>1540252812.0244999</v>
      </c>
      <c r="AD23" s="17">
        <v>4.1072869773507117E-2</v>
      </c>
      <c r="AE23" s="5">
        <f>SUMIFS(PGĐ!$H:$H,PGĐ!$F:$F,"="&amp;'HQ2'!B23,PGĐ!$I:$I,"="&amp;'HQ2'!A23)</f>
        <v>47744984</v>
      </c>
      <c r="AF23" s="17"/>
      <c r="AG23" s="7">
        <f>SUMIFS(ĐMCP!$Q:$Q,ĐMCP!$P:$P,"="&amp;'HQ2'!B23,ĐMCP!$O:$O,"="&amp;'HQ2'!A23)</f>
        <v>243289342.12297034</v>
      </c>
      <c r="AH23" s="7">
        <f t="shared" si="0"/>
        <v>0.1229703426361084</v>
      </c>
    </row>
    <row r="24" spans="1:34" s="30" customFormat="1" x14ac:dyDescent="0.25">
      <c r="A24" s="123" t="s">
        <v>47</v>
      </c>
      <c r="B24" s="16" t="s">
        <v>269</v>
      </c>
      <c r="C24" s="7">
        <v>544914312</v>
      </c>
      <c r="D24" s="7"/>
      <c r="E24" s="7">
        <v>544914312</v>
      </c>
      <c r="F24" s="7">
        <v>326948587.19999999</v>
      </c>
      <c r="G24" s="7">
        <v>248223100.79999998</v>
      </c>
      <c r="H24" s="7">
        <v>7872548.6400000006</v>
      </c>
      <c r="I24" s="7">
        <v>319076038.56</v>
      </c>
      <c r="J24" s="7">
        <v>711155841</v>
      </c>
      <c r="K24" s="7"/>
      <c r="L24" s="7"/>
      <c r="M24" s="7">
        <v>711155841</v>
      </c>
      <c r="N24" s="7">
        <v>426693504.59999996</v>
      </c>
      <c r="O24" s="7">
        <v>6487340107</v>
      </c>
      <c r="P24" s="7"/>
      <c r="Q24" s="7"/>
      <c r="R24" s="7">
        <v>6487340107</v>
      </c>
      <c r="S24" s="7">
        <v>3892404064.1999998</v>
      </c>
      <c r="T24" s="7">
        <v>4104357144</v>
      </c>
      <c r="U24" s="7"/>
      <c r="V24" s="7"/>
      <c r="W24" s="7">
        <v>4104357144</v>
      </c>
      <c r="X24" s="7">
        <v>2462614286.4000001</v>
      </c>
      <c r="Y24" s="7">
        <v>1429789777.7999997</v>
      </c>
      <c r="Z24" s="7">
        <v>1856483282.3999996</v>
      </c>
      <c r="AA24" s="7">
        <v>9808457.6159999985</v>
      </c>
      <c r="AB24" s="7">
        <v>141837030</v>
      </c>
      <c r="AC24" s="7">
        <v>-1689052731.4559996</v>
      </c>
      <c r="AD24" s="17">
        <v>5.8183099263058606</v>
      </c>
      <c r="AE24" s="5">
        <f>SUMIFS(PGĐ!$H:$H,PGĐ!$F:$F,"="&amp;'HQ2'!B24,PGĐ!$I:$I,"="&amp;'HQ2'!A24)</f>
        <v>162758426</v>
      </c>
      <c r="AF24" s="17"/>
      <c r="AG24" s="26">
        <f>SUMIFS(ĐMCP!$Q:$Q,ĐMCP!$P:$P,"="&amp;'HQ2'!B24,ĐMCP!$O:$O,"="&amp;'HQ2'!A24)</f>
        <v>141837029.53657982</v>
      </c>
      <c r="AH24" s="26">
        <f t="shared" si="0"/>
        <v>-0.46342018246650696</v>
      </c>
    </row>
    <row r="25" spans="1:34" x14ac:dyDescent="0.25">
      <c r="A25" s="123" t="s">
        <v>274</v>
      </c>
      <c r="B25" s="15" t="s">
        <v>45</v>
      </c>
      <c r="C25" s="132">
        <v>46095228250</v>
      </c>
      <c r="D25" s="132"/>
      <c r="E25" s="132">
        <v>46095228250</v>
      </c>
      <c r="F25" s="132">
        <v>32249588574.999996</v>
      </c>
      <c r="G25" s="132"/>
      <c r="H25" s="132">
        <v>6474923527.4099998</v>
      </c>
      <c r="I25" s="132">
        <v>25774665047.589996</v>
      </c>
      <c r="J25" s="132"/>
      <c r="K25" s="132"/>
      <c r="L25" s="132"/>
      <c r="M25" s="132"/>
      <c r="N25" s="132"/>
      <c r="O25" s="132"/>
      <c r="P25" s="132"/>
      <c r="Q25" s="132"/>
      <c r="R25" s="132"/>
      <c r="S25" s="132"/>
      <c r="T25" s="132"/>
      <c r="U25" s="132"/>
      <c r="V25" s="132"/>
      <c r="W25" s="132"/>
      <c r="X25" s="132"/>
      <c r="Y25" s="132"/>
      <c r="Z25" s="132"/>
      <c r="AA25" s="132">
        <v>967487657.24999988</v>
      </c>
      <c r="AB25" s="132"/>
      <c r="AC25" s="132">
        <v>24807177390.34</v>
      </c>
      <c r="AD25" s="96"/>
      <c r="AE25" s="5">
        <f>SUMIFS(PGĐ!$H:$H,PGĐ!$F:$F,"="&amp;'HQ2'!B25,PGĐ!$I:$I,"="&amp;'HQ2'!A25)</f>
        <v>0</v>
      </c>
      <c r="AF25" s="96"/>
      <c r="AG25" s="7">
        <f>SUMIFS(ĐMCP!$Q:$Q,ĐMCP!$P:$P,"="&amp;'HQ2'!B25,ĐMCP!$O:$O,"="&amp;'HQ2'!A25)</f>
        <v>0</v>
      </c>
      <c r="AH25" s="7">
        <f t="shared" si="0"/>
        <v>0</v>
      </c>
    </row>
    <row r="26" spans="1:34" x14ac:dyDescent="0.25">
      <c r="A26" s="123" t="s">
        <v>274</v>
      </c>
      <c r="B26" s="16" t="s">
        <v>271</v>
      </c>
      <c r="C26" s="7">
        <v>46931617176</v>
      </c>
      <c r="E26" s="7">
        <v>46931617176</v>
      </c>
      <c r="F26" s="7">
        <v>32852132023.199997</v>
      </c>
      <c r="H26" s="7">
        <v>6570426404.6399994</v>
      </c>
      <c r="I26" s="7">
        <v>26281705618.559998</v>
      </c>
      <c r="AA26" s="7">
        <v>985563960.69599986</v>
      </c>
      <c r="AC26" s="7">
        <v>25296141657.863998</v>
      </c>
      <c r="AD26" s="17"/>
      <c r="AE26" s="5">
        <f>SUMIFS(PGĐ!$H:$H,PGĐ!$F:$F,"="&amp;'HQ2'!B26,PGĐ!$I:$I,"="&amp;'HQ2'!A26)</f>
        <v>0</v>
      </c>
      <c r="AF26" s="17"/>
      <c r="AG26" s="7">
        <f>SUMIFS(ĐMCP!$Q:$Q,ĐMCP!$P:$P,"="&amp;'HQ2'!B26,ĐMCP!$O:$O,"="&amp;'HQ2'!A26)</f>
        <v>0</v>
      </c>
      <c r="AH26" s="7">
        <f t="shared" si="0"/>
        <v>0</v>
      </c>
    </row>
    <row r="27" spans="1:34" x14ac:dyDescent="0.25">
      <c r="A27" s="123" t="s">
        <v>274</v>
      </c>
      <c r="B27" s="16" t="s">
        <v>269</v>
      </c>
      <c r="C27" s="7">
        <v>170712000</v>
      </c>
      <c r="E27" s="7">
        <v>170712000</v>
      </c>
      <c r="F27" s="7">
        <v>102427200</v>
      </c>
      <c r="H27" s="7">
        <v>10242720</v>
      </c>
      <c r="I27" s="7">
        <v>92184480</v>
      </c>
      <c r="AA27" s="7">
        <v>3072816</v>
      </c>
      <c r="AC27" s="7">
        <v>89111664</v>
      </c>
      <c r="AD27" s="17"/>
      <c r="AE27" s="5">
        <f>SUMIFS(PGĐ!$H:$H,PGĐ!$F:$F,"="&amp;'HQ2'!B27,PGĐ!$I:$I,"="&amp;'HQ2'!A27)</f>
        <v>0</v>
      </c>
      <c r="AF27" s="17"/>
      <c r="AG27" s="7">
        <f>SUMIFS(ĐMCP!$Q:$Q,ĐMCP!$P:$P,"="&amp;'HQ2'!B27,ĐMCP!$O:$O,"="&amp;'HQ2'!A27)</f>
        <v>0</v>
      </c>
      <c r="AH27" s="7">
        <f t="shared" si="0"/>
        <v>0</v>
      </c>
    </row>
    <row r="28" spans="1:34" x14ac:dyDescent="0.25">
      <c r="A28" s="123" t="s">
        <v>274</v>
      </c>
      <c r="B28" s="16" t="s">
        <v>268</v>
      </c>
      <c r="C28" s="7">
        <v>-1007100926</v>
      </c>
      <c r="E28" s="7">
        <v>-1007100926</v>
      </c>
      <c r="F28" s="7">
        <v>-704970648.19999993</v>
      </c>
      <c r="H28" s="7">
        <v>-105745597.22999999</v>
      </c>
      <c r="I28" s="7">
        <v>-599225050.96999991</v>
      </c>
      <c r="AA28" s="7">
        <v>-21149119.445999999</v>
      </c>
      <c r="AC28" s="7">
        <v>-578075931.52399993</v>
      </c>
      <c r="AD28" s="17"/>
      <c r="AE28" s="5">
        <f>SUMIFS(PGĐ!$H:$H,PGĐ!$F:$F,"="&amp;'HQ2'!B28,PGĐ!$I:$I,"="&amp;'HQ2'!A28)</f>
        <v>0</v>
      </c>
      <c r="AF28" s="17"/>
      <c r="AG28" s="7">
        <f>SUMIFS(ĐMCP!$Q:$Q,ĐMCP!$P:$P,"="&amp;'HQ2'!B28,ĐMCP!$O:$O,"="&amp;'HQ2'!A28)</f>
        <v>0</v>
      </c>
      <c r="AH28" s="7">
        <f t="shared" si="0"/>
        <v>0</v>
      </c>
    </row>
    <row r="29" spans="1:34" x14ac:dyDescent="0.25">
      <c r="A29" s="123" t="s">
        <v>424</v>
      </c>
      <c r="B29" s="15" t="s">
        <v>45</v>
      </c>
      <c r="C29" s="132">
        <v>42634852815</v>
      </c>
      <c r="D29" s="132">
        <v>319866357</v>
      </c>
      <c r="E29" s="132">
        <v>42314986458</v>
      </c>
      <c r="F29" s="132">
        <v>29757972346.024998</v>
      </c>
      <c r="G29" s="132"/>
      <c r="H29" s="132">
        <v>4844313263.0475006</v>
      </c>
      <c r="I29" s="132">
        <v>24913659082.977497</v>
      </c>
      <c r="J29" s="132">
        <v>81017838566</v>
      </c>
      <c r="K29" s="132"/>
      <c r="L29" s="132"/>
      <c r="M29" s="132">
        <v>81017838566</v>
      </c>
      <c r="N29" s="132">
        <v>48314530808.649994</v>
      </c>
      <c r="O29" s="132">
        <v>103113814206.89</v>
      </c>
      <c r="P29" s="132"/>
      <c r="Q29" s="132">
        <v>60000000</v>
      </c>
      <c r="R29" s="132">
        <v>103053814206.89</v>
      </c>
      <c r="S29" s="132">
        <v>57420351827.819</v>
      </c>
      <c r="T29" s="132">
        <v>133876292705.46001</v>
      </c>
      <c r="U29" s="132"/>
      <c r="V29" s="132">
        <v>60000000</v>
      </c>
      <c r="W29" s="132">
        <v>133816292705.46001</v>
      </c>
      <c r="X29" s="132">
        <v>74645593000.587509</v>
      </c>
      <c r="Y29" s="132">
        <v>-17225241172.768509</v>
      </c>
      <c r="Z29" s="132">
        <v>31089289635.881485</v>
      </c>
      <c r="AA29" s="132">
        <v>892739170.38074994</v>
      </c>
      <c r="AB29" s="132">
        <v>5041979252.1999998</v>
      </c>
      <c r="AC29" s="132">
        <v>-12110348975.484737</v>
      </c>
      <c r="AD29" s="96">
        <v>1.2478813141150971</v>
      </c>
      <c r="AE29" s="5">
        <f>SUMIFS(PGĐ!$H:$H,PGĐ!$F:$F,"="&amp;'HQ2'!B29,PGĐ!$I:$I,"="&amp;'HQ2'!A29)</f>
        <v>0</v>
      </c>
      <c r="AF29" s="96"/>
      <c r="AG29" s="7">
        <f>SUMIFS(ĐMCP!$Q:$Q,ĐMCP!$P:$P,"="&amp;'HQ2'!B29,ĐMCP!$O:$O,"="&amp;'HQ2'!A29)</f>
        <v>0</v>
      </c>
      <c r="AH29" s="7">
        <f>IF(AG29=0,0,AG29-AB29)</f>
        <v>0</v>
      </c>
    </row>
    <row r="30" spans="1:34" x14ac:dyDescent="0.25">
      <c r="A30" s="123" t="s">
        <v>424</v>
      </c>
      <c r="B30" s="16" t="s">
        <v>271</v>
      </c>
      <c r="C30" s="7">
        <v>20171112614</v>
      </c>
      <c r="D30" s="7">
        <v>1371812</v>
      </c>
      <c r="E30" s="7">
        <v>20169740802</v>
      </c>
      <c r="F30" s="7">
        <v>14120169796.219999</v>
      </c>
      <c r="H30" s="7">
        <v>2824033959.244</v>
      </c>
      <c r="I30" s="7">
        <v>11296135836.976</v>
      </c>
      <c r="J30" s="7">
        <v>5174014718</v>
      </c>
      <c r="M30" s="7">
        <v>5174014718</v>
      </c>
      <c r="N30" s="7">
        <v>3104408830.7999997</v>
      </c>
      <c r="O30" s="7">
        <v>11817934051.559999</v>
      </c>
      <c r="R30" s="7">
        <v>11817934051.559999</v>
      </c>
      <c r="S30" s="7">
        <v>7090760430.9359999</v>
      </c>
      <c r="T30" s="7">
        <v>15962830099.059999</v>
      </c>
      <c r="W30" s="7">
        <v>15962830099.059999</v>
      </c>
      <c r="X30" s="7">
        <v>9577698059.4359989</v>
      </c>
      <c r="Y30" s="7">
        <v>-2486937628.499999</v>
      </c>
      <c r="Z30" s="7">
        <v>617471202.30000067</v>
      </c>
      <c r="AA30" s="7">
        <v>423605093.88659996</v>
      </c>
      <c r="AB30" s="7">
        <v>315125440</v>
      </c>
      <c r="AC30" s="7">
        <v>9939934100.7893982</v>
      </c>
      <c r="AD30" s="17">
        <v>5.4662161575537417E-2</v>
      </c>
      <c r="AE30" s="5">
        <f>SUMIFS(PGĐ!$H:$H,PGĐ!$F:$F,"="&amp;'HQ2'!B30,PGĐ!$I:$I,"="&amp;'HQ2'!A30)</f>
        <v>0</v>
      </c>
      <c r="AF30" s="17"/>
      <c r="AG30" s="7">
        <f>SUMIFS(ĐMCP!$Q:$Q,ĐMCP!$P:$P,"="&amp;'HQ2'!B30,ĐMCP!$O:$O,"="&amp;'HQ2'!A30)</f>
        <v>315125439.98000002</v>
      </c>
      <c r="AH30" s="7">
        <f t="shared" si="0"/>
        <v>-1.9999980926513672E-2</v>
      </c>
    </row>
    <row r="31" spans="1:34" x14ac:dyDescent="0.25">
      <c r="A31" s="123" t="s">
        <v>424</v>
      </c>
      <c r="B31" s="16" t="s">
        <v>268</v>
      </c>
      <c r="C31" s="7">
        <v>12920949568</v>
      </c>
      <c r="D31" s="7">
        <v>315986218</v>
      </c>
      <c r="E31" s="7">
        <v>12604963350</v>
      </c>
      <c r="F31" s="7">
        <v>9129980976.4599991</v>
      </c>
      <c r="H31" s="7">
        <v>1369497146.4689999</v>
      </c>
      <c r="I31" s="7">
        <v>7760483829.9909992</v>
      </c>
      <c r="J31" s="7">
        <v>5923446619</v>
      </c>
      <c r="M31" s="7">
        <v>5923446619</v>
      </c>
      <c r="N31" s="7">
        <v>3257895640.4500003</v>
      </c>
      <c r="O31" s="7">
        <v>89438733926.300003</v>
      </c>
      <c r="R31" s="7">
        <v>89438733926.300003</v>
      </c>
      <c r="S31" s="7">
        <v>49191303659.465004</v>
      </c>
      <c r="T31" s="7">
        <v>114083652453.77</v>
      </c>
      <c r="W31" s="7">
        <v>114083652453.77</v>
      </c>
      <c r="X31" s="7">
        <v>62746008849.573509</v>
      </c>
      <c r="Y31" s="7">
        <v>-13554705190.108505</v>
      </c>
      <c r="Z31" s="7">
        <v>-10296809549.658504</v>
      </c>
      <c r="AA31" s="7">
        <v>273899429.29379994</v>
      </c>
      <c r="AB31" s="7">
        <v>3317863841</v>
      </c>
      <c r="AC31" s="7">
        <v>14465530109.355705</v>
      </c>
      <c r="AD31" s="17">
        <v>-1.3268257205646992</v>
      </c>
      <c r="AE31" s="5">
        <f>SUMIFS(PGĐ!$H:$H,PGĐ!$F:$F,"="&amp;'HQ2'!B31,PGĐ!$I:$I,"="&amp;'HQ2'!A31)</f>
        <v>0</v>
      </c>
      <c r="AF31" s="17"/>
      <c r="AG31" s="7">
        <f>SUMIFS(ĐMCP!$Q:$Q,ĐMCP!$P:$P,"="&amp;'HQ2'!B31,ĐMCP!$O:$O,"="&amp;'HQ2'!A31)</f>
        <v>3317863840.7200003</v>
      </c>
      <c r="AH31" s="7">
        <f t="shared" si="0"/>
        <v>-0.27999973297119141</v>
      </c>
    </row>
    <row r="32" spans="1:34" x14ac:dyDescent="0.25">
      <c r="A32" s="123" t="s">
        <v>424</v>
      </c>
      <c r="B32" s="16" t="s">
        <v>269</v>
      </c>
      <c r="C32" s="7">
        <v>5633747786</v>
      </c>
      <c r="E32" s="7">
        <v>5633747786</v>
      </c>
      <c r="F32" s="7">
        <v>3380248671.5999999</v>
      </c>
      <c r="H32" s="7">
        <v>338024867.16000003</v>
      </c>
      <c r="I32" s="7">
        <v>3042223804.4400001</v>
      </c>
      <c r="J32" s="7">
        <v>91397591</v>
      </c>
      <c r="M32" s="7">
        <v>91397591</v>
      </c>
      <c r="N32" s="7">
        <v>54838554.600000001</v>
      </c>
      <c r="T32" s="7">
        <v>1609911000</v>
      </c>
      <c r="W32" s="7">
        <v>1609911000</v>
      </c>
      <c r="X32" s="7">
        <v>965946600</v>
      </c>
      <c r="Y32" s="7">
        <v>-965946600</v>
      </c>
      <c r="Z32" s="7">
        <v>-911108045.39999998</v>
      </c>
      <c r="AA32" s="7">
        <v>101407460.14799999</v>
      </c>
      <c r="AB32" s="7">
        <v>510838411.19999999</v>
      </c>
      <c r="AC32" s="7">
        <v>3341085978.4920006</v>
      </c>
      <c r="AD32" s="17">
        <v>-0.2994875143867704</v>
      </c>
      <c r="AE32" s="5">
        <f>SUMIFS(PGĐ!$H:$H,PGĐ!$F:$F,"="&amp;'HQ2'!B32,PGĐ!$I:$I,"="&amp;'HQ2'!A32)</f>
        <v>0</v>
      </c>
      <c r="AF32" s="17"/>
      <c r="AG32" s="7">
        <f>SUMIFS(ĐMCP!$Q:$Q,ĐMCP!$P:$P,"="&amp;'HQ2'!B32,ĐMCP!$O:$O,"="&amp;'HQ2'!A32)</f>
        <v>510838411.20000005</v>
      </c>
      <c r="AH32" s="7">
        <f t="shared" si="0"/>
        <v>5.9604644775390625E-8</v>
      </c>
    </row>
    <row r="33" spans="1:34" x14ac:dyDescent="0.25">
      <c r="A33" s="123" t="s">
        <v>424</v>
      </c>
      <c r="B33" s="16" t="s">
        <v>270</v>
      </c>
      <c r="C33" s="7">
        <v>3909042847</v>
      </c>
      <c r="D33" s="7">
        <v>2508327</v>
      </c>
      <c r="E33" s="7">
        <v>3906534520</v>
      </c>
      <c r="F33" s="7">
        <v>3127572901.7449999</v>
      </c>
      <c r="H33" s="7">
        <v>312757290.17449999</v>
      </c>
      <c r="I33" s="7">
        <v>2814815611.5704999</v>
      </c>
      <c r="J33" s="7">
        <v>69828979638</v>
      </c>
      <c r="M33" s="7">
        <v>69828979638</v>
      </c>
      <c r="N33" s="7">
        <v>41897387782.799995</v>
      </c>
      <c r="O33" s="7">
        <v>1857146229.03</v>
      </c>
      <c r="Q33" s="7">
        <v>60000000</v>
      </c>
      <c r="R33" s="7">
        <v>1797146229.03</v>
      </c>
      <c r="S33" s="7">
        <v>1138287737.418</v>
      </c>
      <c r="T33" s="7">
        <v>2219899152.6300001</v>
      </c>
      <c r="V33" s="7">
        <v>60000000</v>
      </c>
      <c r="W33" s="7">
        <v>2159899152.6300001</v>
      </c>
      <c r="X33" s="7">
        <v>1355939491.5780001</v>
      </c>
      <c r="Y33" s="7">
        <v>-217651754.16000009</v>
      </c>
      <c r="Z33" s="7">
        <v>41679736028.639992</v>
      </c>
      <c r="AA33" s="7">
        <v>93827187.05235</v>
      </c>
      <c r="AB33" s="7">
        <v>898151560</v>
      </c>
      <c r="AC33" s="7">
        <v>-39856899164.121841</v>
      </c>
      <c r="AD33" s="17">
        <v>14.8072704504382</v>
      </c>
      <c r="AE33" s="5">
        <f>SUMIFS(PGĐ!$H:$H,PGĐ!$F:$F,"="&amp;'HQ2'!B33,PGĐ!$I:$I,"="&amp;'HQ2'!A33)</f>
        <v>0</v>
      </c>
      <c r="AF33" s="17"/>
      <c r="AG33" s="7">
        <f>SUMIFS(ĐMCP!$Q:$Q,ĐMCP!$P:$P,"="&amp;'HQ2'!B33,ĐMCP!$O:$O,"="&amp;'HQ2'!A33)</f>
        <v>898151560.0200001</v>
      </c>
      <c r="AH33" s="7">
        <f t="shared" si="0"/>
        <v>2.0000100135803223E-2</v>
      </c>
    </row>
    <row r="34" spans="1:34" x14ac:dyDescent="0.25">
      <c r="A34" s="123" t="s">
        <v>48</v>
      </c>
      <c r="B34" s="15" t="s">
        <v>45</v>
      </c>
      <c r="C34" s="132">
        <v>53600268295</v>
      </c>
      <c r="D34" s="132">
        <v>1750475125</v>
      </c>
      <c r="E34" s="132">
        <v>51849793170</v>
      </c>
      <c r="F34" s="132">
        <v>23754607793.475002</v>
      </c>
      <c r="G34" s="132">
        <v>13519223689</v>
      </c>
      <c r="H34" s="132">
        <v>2267098143.4264994</v>
      </c>
      <c r="I34" s="132">
        <v>21487509650.048504</v>
      </c>
      <c r="J34" s="132">
        <v>15343971176</v>
      </c>
      <c r="K34" s="132"/>
      <c r="L34" s="132"/>
      <c r="M34" s="132">
        <v>15343971176</v>
      </c>
      <c r="N34" s="132">
        <v>4092487321.5500002</v>
      </c>
      <c r="O34" s="132">
        <v>75988605175</v>
      </c>
      <c r="P34" s="132">
        <v>52871853844</v>
      </c>
      <c r="Q34" s="132"/>
      <c r="R34" s="132">
        <v>23116751331</v>
      </c>
      <c r="S34" s="132">
        <v>18458217284.790001</v>
      </c>
      <c r="T34" s="132">
        <v>27186305650</v>
      </c>
      <c r="U34" s="132">
        <v>377853844</v>
      </c>
      <c r="V34" s="132"/>
      <c r="W34" s="132">
        <v>26808451806</v>
      </c>
      <c r="X34" s="132">
        <v>8672774562.1300011</v>
      </c>
      <c r="Y34" s="132">
        <v>9785442722.6599998</v>
      </c>
      <c r="Z34" s="132">
        <v>13877930044.209999</v>
      </c>
      <c r="AA34" s="132">
        <v>712638233.80425</v>
      </c>
      <c r="AB34" s="132">
        <v>6136329392</v>
      </c>
      <c r="AC34" s="132">
        <v>760611980.0342499</v>
      </c>
      <c r="AD34" s="96">
        <v>0.64586032863881326</v>
      </c>
      <c r="AE34" s="5">
        <f>SUMIFS(PGĐ!$H:$H,PGĐ!$F:$F,"="&amp;'HQ2'!B34,PGĐ!$I:$I,"="&amp;'HQ2'!A34)</f>
        <v>0</v>
      </c>
      <c r="AF34" s="96"/>
      <c r="AG34" s="7">
        <f>SUMIFS(ĐMCP!$Q:$Q,ĐMCP!$P:$P,"="&amp;'HQ2'!B34,ĐMCP!$O:$O,"="&amp;'HQ2'!A34)</f>
        <v>0</v>
      </c>
      <c r="AH34" s="7">
        <f t="shared" si="0"/>
        <v>0</v>
      </c>
    </row>
    <row r="35" spans="1:34" x14ac:dyDescent="0.25">
      <c r="A35" s="123" t="s">
        <v>48</v>
      </c>
      <c r="B35" s="16" t="s">
        <v>23</v>
      </c>
      <c r="C35" s="7">
        <v>36185320317</v>
      </c>
      <c r="E35" s="7">
        <v>36185320317</v>
      </c>
      <c r="F35" s="7">
        <v>12664862110.949999</v>
      </c>
      <c r="G35" s="7">
        <v>7184901716.6499996</v>
      </c>
      <c r="H35" s="7">
        <v>1369990098.5749998</v>
      </c>
      <c r="I35" s="7">
        <v>11294872012.375</v>
      </c>
      <c r="J35" s="7">
        <v>14426487285</v>
      </c>
      <c r="M35" s="7">
        <v>14426487285</v>
      </c>
      <c r="N35" s="7">
        <v>3606621821.25</v>
      </c>
      <c r="O35" s="7">
        <v>65878341616</v>
      </c>
      <c r="P35" s="7">
        <v>52494000000</v>
      </c>
      <c r="R35" s="7">
        <v>13384341616</v>
      </c>
      <c r="S35" s="7">
        <v>13383725614</v>
      </c>
      <c r="T35" s="7">
        <v>19718035715</v>
      </c>
      <c r="W35" s="7">
        <v>19718035715</v>
      </c>
      <c r="X35" s="7">
        <v>4929508928.75</v>
      </c>
      <c r="Y35" s="7">
        <v>8454216685.25</v>
      </c>
      <c r="Z35" s="7">
        <v>12060838506.5</v>
      </c>
      <c r="AA35" s="7">
        <v>379945863.32849997</v>
      </c>
      <c r="AB35" s="7">
        <v>3633601724</v>
      </c>
      <c r="AC35" s="7">
        <v>-4779514081.4535007</v>
      </c>
      <c r="AD35" s="17">
        <v>1.0678154204213899</v>
      </c>
      <c r="AE35" s="5">
        <f>SUMIFS(PGĐ!$H:$H,PGĐ!$F:$F,"="&amp;'HQ2'!B35,PGĐ!$I:$I,"="&amp;'HQ2'!A35)</f>
        <v>0</v>
      </c>
      <c r="AF35" s="17"/>
      <c r="AG35" s="7">
        <f>SUMIFS(ĐMCP!$Q:$Q,ĐMCP!$P:$P,"="&amp;'HQ2'!B35,ĐMCP!$O:$O,"="&amp;'HQ2'!A35)</f>
        <v>3633601723.9962101</v>
      </c>
      <c r="AH35" s="7">
        <f t="shared" si="0"/>
        <v>-3.7899017333984375E-3</v>
      </c>
    </row>
    <row r="36" spans="1:34" x14ac:dyDescent="0.25">
      <c r="A36" s="123" t="s">
        <v>48</v>
      </c>
      <c r="B36" s="16" t="s">
        <v>273</v>
      </c>
      <c r="C36" s="7">
        <v>11180926806</v>
      </c>
      <c r="D36" s="7">
        <v>248250000</v>
      </c>
      <c r="E36" s="7">
        <v>10932676806</v>
      </c>
      <c r="F36" s="7">
        <v>6245085993.3000002</v>
      </c>
      <c r="G36" s="7">
        <v>3803902374.2500005</v>
      </c>
      <c r="H36" s="7">
        <v>610295904.76249993</v>
      </c>
      <c r="I36" s="7">
        <v>5634790088.5375004</v>
      </c>
      <c r="J36" s="7">
        <v>646248343</v>
      </c>
      <c r="M36" s="7">
        <v>646248343</v>
      </c>
      <c r="N36" s="7">
        <v>323124171.5</v>
      </c>
      <c r="O36" s="7">
        <v>7875974680</v>
      </c>
      <c r="R36" s="7">
        <v>7875974680</v>
      </c>
      <c r="S36" s="7">
        <v>3937987340</v>
      </c>
      <c r="T36" s="7">
        <v>5233981056</v>
      </c>
      <c r="W36" s="7">
        <v>5233981056</v>
      </c>
      <c r="X36" s="7">
        <v>2616990528</v>
      </c>
      <c r="Y36" s="7">
        <v>1320996812</v>
      </c>
      <c r="Z36" s="7">
        <v>1644120983.5</v>
      </c>
      <c r="AA36" s="7">
        <v>187352579.79899999</v>
      </c>
      <c r="AB36" s="7">
        <v>1435361546</v>
      </c>
      <c r="AC36" s="7">
        <v>2367954979.2385006</v>
      </c>
      <c r="AD36" s="17">
        <v>0.29178034277524056</v>
      </c>
      <c r="AE36" s="5">
        <f>SUMIFS(PGĐ!$H:$H,PGĐ!$F:$F,"="&amp;'HQ2'!B36,PGĐ!$I:$I,"="&amp;'HQ2'!A36)</f>
        <v>93663583</v>
      </c>
      <c r="AF36" s="17"/>
      <c r="AG36" s="7">
        <f>SUMIFS(ĐMCP!$Q:$Q,ĐMCP!$P:$P,"="&amp;'HQ2'!B36,ĐMCP!$O:$O,"="&amp;'HQ2'!A36)</f>
        <v>1435361546.2185397</v>
      </c>
      <c r="AH36" s="7">
        <f t="shared" si="0"/>
        <v>0.21853971481323242</v>
      </c>
    </row>
    <row r="37" spans="1:34" x14ac:dyDescent="0.25">
      <c r="A37" s="123" t="s">
        <v>48</v>
      </c>
      <c r="B37" s="16" t="s">
        <v>270</v>
      </c>
      <c r="C37" s="7">
        <v>2335925467</v>
      </c>
      <c r="D37" s="7">
        <v>1058190376</v>
      </c>
      <c r="E37" s="7">
        <v>1277735091</v>
      </c>
      <c r="F37" s="7">
        <v>2011596074.3600001</v>
      </c>
      <c r="G37" s="7">
        <v>875582556</v>
      </c>
      <c r="H37" s="7">
        <v>113601351.83600003</v>
      </c>
      <c r="I37" s="7">
        <v>1897994722.5240002</v>
      </c>
      <c r="O37" s="7">
        <v>159500000</v>
      </c>
      <c r="R37" s="7">
        <v>159500000</v>
      </c>
      <c r="S37" s="7">
        <v>95700000</v>
      </c>
      <c r="T37" s="7">
        <v>159500000</v>
      </c>
      <c r="W37" s="7">
        <v>159500000</v>
      </c>
      <c r="X37" s="7">
        <v>95700000</v>
      </c>
      <c r="Y37" s="7">
        <v>0</v>
      </c>
      <c r="Z37" s="7">
        <v>0</v>
      </c>
      <c r="AA37" s="7">
        <v>60347882.230800003</v>
      </c>
      <c r="AB37" s="7">
        <v>549861480</v>
      </c>
      <c r="AC37" s="7">
        <v>1287785360.2932003</v>
      </c>
      <c r="AD37" s="17">
        <v>0</v>
      </c>
      <c r="AE37" s="5">
        <f>SUMIFS(PGĐ!$H:$H,PGĐ!$F:$F,"="&amp;'HQ2'!B37,PGĐ!$I:$I,"="&amp;'HQ2'!A37)</f>
        <v>12400000</v>
      </c>
      <c r="AF37" s="17"/>
      <c r="AG37" s="7">
        <f>SUMIFS(ĐMCP!$Q:$Q,ĐMCP!$P:$P,"="&amp;'HQ2'!B37,ĐMCP!$O:$O,"="&amp;'HQ2'!A37)</f>
        <v>549861479.7614466</v>
      </c>
      <c r="AH37" s="7">
        <f t="shared" si="0"/>
        <v>-0.23855340480804443</v>
      </c>
    </row>
    <row r="38" spans="1:34" x14ac:dyDescent="0.25">
      <c r="A38" s="123" t="s">
        <v>48</v>
      </c>
      <c r="B38" s="16" t="s">
        <v>268</v>
      </c>
      <c r="C38" s="7">
        <v>2662954115</v>
      </c>
      <c r="D38" s="7">
        <v>299319220</v>
      </c>
      <c r="E38" s="7">
        <v>2363634895</v>
      </c>
      <c r="F38" s="7">
        <v>1944884069.9000001</v>
      </c>
      <c r="G38" s="7">
        <v>779410985.5</v>
      </c>
      <c r="H38" s="7">
        <v>174820962.66</v>
      </c>
      <c r="I38" s="7">
        <v>1770063107.24</v>
      </c>
      <c r="O38" s="7">
        <v>377853844</v>
      </c>
      <c r="P38" s="7">
        <v>377853844</v>
      </c>
      <c r="R38" s="7">
        <v>0</v>
      </c>
      <c r="S38" s="7">
        <v>22643309.789999999</v>
      </c>
      <c r="T38" s="7">
        <v>377853844</v>
      </c>
      <c r="U38" s="7">
        <v>377853844</v>
      </c>
      <c r="W38" s="7">
        <v>0</v>
      </c>
      <c r="X38" s="7">
        <v>12414084.380000001</v>
      </c>
      <c r="Y38" s="7">
        <v>10229225.409999998</v>
      </c>
      <c r="Z38" s="7">
        <v>10229225.409999998</v>
      </c>
      <c r="AA38" s="7">
        <v>58346522.097000003</v>
      </c>
      <c r="AB38" s="7">
        <v>430755508</v>
      </c>
      <c r="AC38" s="7">
        <v>1270731851.7329998</v>
      </c>
      <c r="AD38" s="17">
        <v>5.7790173515056683E-3</v>
      </c>
      <c r="AE38" s="5">
        <f>SUMIFS(PGĐ!$H:$H,PGĐ!$F:$F,"="&amp;'HQ2'!B38,PGĐ!$I:$I,"="&amp;'HQ2'!A38)</f>
        <v>37195000</v>
      </c>
      <c r="AF38" s="17"/>
      <c r="AG38" s="7">
        <f>SUMIFS(ĐMCP!$Q:$Q,ĐMCP!$P:$P,"="&amp;'HQ2'!B38,ĐMCP!$O:$O,"="&amp;'HQ2'!A38)</f>
        <v>430755508.02518594</v>
      </c>
      <c r="AH38" s="7">
        <f t="shared" si="0"/>
        <v>2.5185942649841309E-2</v>
      </c>
    </row>
    <row r="39" spans="1:34" x14ac:dyDescent="0.25">
      <c r="A39" s="123" t="s">
        <v>48</v>
      </c>
      <c r="B39" s="16" t="s">
        <v>271</v>
      </c>
      <c r="C39" s="7">
        <v>923617828</v>
      </c>
      <c r="D39" s="7">
        <v>88609729</v>
      </c>
      <c r="E39" s="7">
        <v>835008099</v>
      </c>
      <c r="F39" s="7">
        <v>671786252.36500001</v>
      </c>
      <c r="G39" s="7">
        <v>768858777.39999998</v>
      </c>
      <c r="H39" s="7">
        <v>-19414505.006999996</v>
      </c>
      <c r="I39" s="7">
        <v>691200757.37199998</v>
      </c>
      <c r="J39" s="7">
        <v>271235548</v>
      </c>
      <c r="M39" s="7">
        <v>271235548</v>
      </c>
      <c r="N39" s="7">
        <v>162741328.79999998</v>
      </c>
      <c r="O39" s="7">
        <v>1696935035</v>
      </c>
      <c r="R39" s="7">
        <v>1696935035</v>
      </c>
      <c r="S39" s="7">
        <v>1018161021</v>
      </c>
      <c r="T39" s="7">
        <v>1696935035</v>
      </c>
      <c r="W39" s="7">
        <v>1696935035</v>
      </c>
      <c r="X39" s="7">
        <v>1018161021</v>
      </c>
      <c r="Y39" s="7">
        <v>0</v>
      </c>
      <c r="Z39" s="7">
        <v>162741328.79999998</v>
      </c>
      <c r="AA39" s="7">
        <v>20153587.570949998</v>
      </c>
      <c r="AB39" s="7">
        <v>17418663</v>
      </c>
      <c r="AC39" s="7">
        <v>490887178.00105006</v>
      </c>
      <c r="AD39" s="17">
        <v>0.23544726631775609</v>
      </c>
      <c r="AE39" s="5">
        <f>SUMIFS(PGĐ!$H:$H,PGĐ!$F:$F,"="&amp;'HQ2'!B39,PGĐ!$I:$I,"="&amp;'HQ2'!A39)</f>
        <v>125650000</v>
      </c>
      <c r="AF39" s="17"/>
      <c r="AG39" s="7">
        <f>SUMIFS(ĐMCP!$Q:$Q,ĐMCP!$P:$P,"="&amp;'HQ2'!B39,ĐMCP!$O:$O,"="&amp;'HQ2'!A39)</f>
        <v>17418662.793677881</v>
      </c>
      <c r="AH39" s="7">
        <f t="shared" si="0"/>
        <v>-0.20632211863994598</v>
      </c>
    </row>
    <row r="40" spans="1:34" x14ac:dyDescent="0.25">
      <c r="A40" s="123" t="s">
        <v>48</v>
      </c>
      <c r="B40" s="16" t="s">
        <v>269</v>
      </c>
      <c r="C40" s="7">
        <v>202000000</v>
      </c>
      <c r="E40" s="7">
        <v>202000000</v>
      </c>
      <c r="F40" s="7">
        <v>121200000</v>
      </c>
      <c r="G40" s="7">
        <v>79591279.200000003</v>
      </c>
      <c r="H40" s="7">
        <v>4160872.08</v>
      </c>
      <c r="I40" s="7">
        <v>117039127.92</v>
      </c>
      <c r="AA40" s="7">
        <v>3636000</v>
      </c>
      <c r="AB40" s="7">
        <v>50533189</v>
      </c>
      <c r="AC40" s="7">
        <v>62869938.920000002</v>
      </c>
      <c r="AD40" s="17"/>
      <c r="AE40" s="5">
        <f>SUMIFS(PGĐ!$H:$H,PGĐ!$F:$F,"="&amp;'HQ2'!B40,PGĐ!$I:$I,"="&amp;'HQ2'!A40)</f>
        <v>40875000</v>
      </c>
      <c r="AF40" s="17"/>
      <c r="AG40" s="7">
        <f>SUMIFS(ĐMCP!$Q:$Q,ĐMCP!$P:$P,"="&amp;'HQ2'!B40,ĐMCP!$O:$O,"="&amp;'HQ2'!A40)</f>
        <v>50533188.584243082</v>
      </c>
      <c r="AH40" s="7">
        <f t="shared" si="0"/>
        <v>-0.41575691848993301</v>
      </c>
    </row>
    <row r="41" spans="1:34" x14ac:dyDescent="0.25">
      <c r="A41" s="123" t="s">
        <v>48</v>
      </c>
      <c r="B41" s="16" t="s">
        <v>272</v>
      </c>
      <c r="C41" s="7">
        <v>109523762</v>
      </c>
      <c r="D41" s="7">
        <v>56105800</v>
      </c>
      <c r="E41" s="7">
        <v>53417962</v>
      </c>
      <c r="F41" s="7">
        <v>95193292.599999994</v>
      </c>
      <c r="G41" s="7">
        <v>26976000</v>
      </c>
      <c r="H41" s="7">
        <v>13643458.52</v>
      </c>
      <c r="I41" s="7">
        <v>81549834.079999998</v>
      </c>
      <c r="AA41" s="7">
        <v>2855798.7779999999</v>
      </c>
      <c r="AB41" s="7">
        <v>18797282</v>
      </c>
      <c r="AC41" s="7">
        <v>59896753.302000001</v>
      </c>
      <c r="AD41" s="17"/>
      <c r="AE41" s="5">
        <f>SUMIFS(PGĐ!$H:$H,PGĐ!$F:$F,"="&amp;'HQ2'!B41,PGĐ!$I:$I,"="&amp;'HQ2'!A41)</f>
        <v>0</v>
      </c>
      <c r="AF41" s="17"/>
      <c r="AG41" s="7">
        <f>SUMIFS(ĐMCP!$Q:$Q,ĐMCP!$P:$P,"="&amp;'HQ2'!B41,ĐMCP!$O:$O,"="&amp;'HQ2'!A41)</f>
        <v>18797282.405579105</v>
      </c>
      <c r="AH41" s="7">
        <f t="shared" si="0"/>
        <v>0.4055791050195694</v>
      </c>
    </row>
    <row r="42" spans="1:34" x14ac:dyDescent="0.25">
      <c r="A42" s="123" t="s">
        <v>49</v>
      </c>
      <c r="B42" s="15" t="s">
        <v>45</v>
      </c>
      <c r="C42" s="132">
        <v>26537418198</v>
      </c>
      <c r="D42" s="132">
        <v>3078785917</v>
      </c>
      <c r="E42" s="132">
        <v>23458632281</v>
      </c>
      <c r="F42" s="132">
        <v>19428822320.880001</v>
      </c>
      <c r="G42" s="132">
        <v>12944045152.9</v>
      </c>
      <c r="H42" s="132">
        <v>948510233.42100024</v>
      </c>
      <c r="I42" s="132">
        <v>18480312087.459</v>
      </c>
      <c r="J42" s="132">
        <v>196343705</v>
      </c>
      <c r="K42" s="132"/>
      <c r="L42" s="132"/>
      <c r="M42" s="132">
        <v>196343705</v>
      </c>
      <c r="N42" s="132">
        <v>132100223</v>
      </c>
      <c r="O42" s="132">
        <v>7153622464</v>
      </c>
      <c r="P42" s="132">
        <v>5539041964</v>
      </c>
      <c r="Q42" s="132">
        <v>6600000000</v>
      </c>
      <c r="R42" s="132">
        <v>-4985419500</v>
      </c>
      <c r="S42" s="132">
        <v>5420900917.9699993</v>
      </c>
      <c r="T42" s="132">
        <v>7289041964</v>
      </c>
      <c r="U42" s="132">
        <v>5539041964</v>
      </c>
      <c r="V42" s="132">
        <v>6600000000</v>
      </c>
      <c r="W42" s="132">
        <v>-4850000000</v>
      </c>
      <c r="X42" s="132">
        <v>5185890139.4499998</v>
      </c>
      <c r="Y42" s="132">
        <v>235010778.5199995</v>
      </c>
      <c r="Z42" s="132">
        <v>367111001.5199995</v>
      </c>
      <c r="AA42" s="132">
        <v>582864669.62639999</v>
      </c>
      <c r="AB42" s="132">
        <v>4920285227</v>
      </c>
      <c r="AC42" s="132">
        <v>12610051189.312601</v>
      </c>
      <c r="AD42" s="96">
        <v>1.9864978458298127E-2</v>
      </c>
      <c r="AE42" s="5">
        <f>SUMIFS(PGĐ!$H:$H,PGĐ!$F:$F,"="&amp;'HQ2'!B42,PGĐ!$I:$I,"="&amp;'HQ2'!A42)</f>
        <v>0</v>
      </c>
      <c r="AF42" s="96"/>
      <c r="AG42" s="7">
        <f>SUMIFS(ĐMCP!$Q:$Q,ĐMCP!$P:$P,"="&amp;'HQ2'!B42,ĐMCP!$O:$O,"="&amp;'HQ2'!A42)</f>
        <v>0</v>
      </c>
      <c r="AH42" s="7">
        <f t="shared" si="0"/>
        <v>0</v>
      </c>
    </row>
    <row r="43" spans="1:34" x14ac:dyDescent="0.25">
      <c r="A43" s="123" t="s">
        <v>49</v>
      </c>
      <c r="B43" s="16" t="s">
        <v>268</v>
      </c>
      <c r="C43" s="7">
        <v>24855746168</v>
      </c>
      <c r="D43" s="7">
        <v>2214793661</v>
      </c>
      <c r="E43" s="7">
        <v>22640952507</v>
      </c>
      <c r="F43" s="7">
        <v>17997016606.07</v>
      </c>
      <c r="G43" s="7">
        <v>10063894723.4</v>
      </c>
      <c r="H43" s="7">
        <v>1189968282.4005001</v>
      </c>
      <c r="I43" s="7">
        <v>16807048323.6695</v>
      </c>
      <c r="O43" s="7">
        <v>5439041964</v>
      </c>
      <c r="P43" s="7">
        <v>5439041964</v>
      </c>
      <c r="Q43" s="7">
        <v>5100000000</v>
      </c>
      <c r="R43" s="7">
        <v>-5100000000</v>
      </c>
      <c r="S43" s="7">
        <v>3805871236.2399998</v>
      </c>
      <c r="T43" s="7">
        <v>5589041964</v>
      </c>
      <c r="U43" s="7">
        <v>5439041964</v>
      </c>
      <c r="V43" s="7">
        <v>5100000000</v>
      </c>
      <c r="W43" s="7">
        <v>-4950000000</v>
      </c>
      <c r="X43" s="7">
        <v>3589932860.3999996</v>
      </c>
      <c r="Y43" s="7">
        <v>215938375.84000015</v>
      </c>
      <c r="Z43" s="7">
        <v>215938375.84000015</v>
      </c>
      <c r="AA43" s="7">
        <v>539910498.18209994</v>
      </c>
      <c r="AB43" s="7">
        <v>4473554437</v>
      </c>
      <c r="AC43" s="7">
        <v>11577645012.6474</v>
      </c>
      <c r="AD43" s="17">
        <v>1.2848084427525112E-2</v>
      </c>
      <c r="AE43" s="5">
        <f>SUMIFS(PGĐ!$H:$H,PGĐ!$F:$F,"="&amp;'HQ2'!B43,PGĐ!$I:$I,"="&amp;'HQ2'!A43)</f>
        <v>123754400</v>
      </c>
      <c r="AF43" s="17"/>
      <c r="AG43" s="7">
        <f>SUMIFS(ĐMCP!$Q:$Q,ĐMCP!$P:$P,"="&amp;'HQ2'!B43,ĐMCP!$O:$O,"="&amp;'HQ2'!A43)</f>
        <v>4473554437.4212608</v>
      </c>
      <c r="AH43" s="7">
        <f t="shared" si="0"/>
        <v>0.42126083374023438</v>
      </c>
    </row>
    <row r="44" spans="1:34" x14ac:dyDescent="0.25">
      <c r="A44" s="123" t="s">
        <v>49</v>
      </c>
      <c r="B44" s="16" t="s">
        <v>271</v>
      </c>
      <c r="C44" s="7">
        <v>671674448</v>
      </c>
      <c r="D44" s="7">
        <v>326991607</v>
      </c>
      <c r="E44" s="7">
        <v>344682841</v>
      </c>
      <c r="F44" s="7">
        <v>563364721.59500003</v>
      </c>
      <c r="G44" s="7">
        <v>1513584582.3</v>
      </c>
      <c r="H44" s="7">
        <v>-190043972.141</v>
      </c>
      <c r="I44" s="7">
        <v>753408693.73600006</v>
      </c>
      <c r="O44" s="7">
        <v>1700000000</v>
      </c>
      <c r="P44" s="7">
        <v>100000000</v>
      </c>
      <c r="Q44" s="7">
        <v>1500000000</v>
      </c>
      <c r="R44" s="7">
        <v>100000000</v>
      </c>
      <c r="S44" s="7">
        <v>1603365281.73</v>
      </c>
      <c r="T44" s="7">
        <v>1700000000</v>
      </c>
      <c r="U44" s="7">
        <v>100000000</v>
      </c>
      <c r="V44" s="7">
        <v>1500000000</v>
      </c>
      <c r="W44" s="7">
        <v>100000000</v>
      </c>
      <c r="X44" s="7">
        <v>1595957279.05</v>
      </c>
      <c r="Y44" s="7">
        <v>7408002.6800000668</v>
      </c>
      <c r="Z44" s="7">
        <v>7408002.6800000668</v>
      </c>
      <c r="AA44" s="7">
        <v>16900941.647849999</v>
      </c>
      <c r="AB44" s="7">
        <v>106741885</v>
      </c>
      <c r="AC44" s="7">
        <v>622357864.40814996</v>
      </c>
      <c r="AD44" s="17">
        <v>9.8326482579664601E-3</v>
      </c>
      <c r="AE44" s="5">
        <f>SUMIFS(PGĐ!$H:$H,PGĐ!$F:$F,"="&amp;'HQ2'!B44,PGĐ!$I:$I,"="&amp;'HQ2'!A44)</f>
        <v>0</v>
      </c>
      <c r="AF44" s="17"/>
      <c r="AG44" s="7">
        <f>SUMIFS(ĐMCP!$Q:$Q,ĐMCP!$P:$P,"="&amp;'HQ2'!B44,ĐMCP!$O:$O,"="&amp;'HQ2'!A44)</f>
        <v>106741884.6088514</v>
      </c>
      <c r="AH44" s="7">
        <f t="shared" si="0"/>
        <v>-0.39114859700202942</v>
      </c>
    </row>
    <row r="45" spans="1:34" x14ac:dyDescent="0.25">
      <c r="A45" s="123" t="s">
        <v>49</v>
      </c>
      <c r="B45" s="16" t="s">
        <v>270</v>
      </c>
      <c r="C45" s="7">
        <v>595859015</v>
      </c>
      <c r="D45" s="7">
        <v>537000649</v>
      </c>
      <c r="E45" s="7">
        <v>58858366</v>
      </c>
      <c r="F45" s="7">
        <v>549182299.61500001</v>
      </c>
      <c r="G45" s="7">
        <v>777791239.20000005</v>
      </c>
      <c r="H45" s="7">
        <v>-22860893.958500005</v>
      </c>
      <c r="I45" s="7">
        <v>572043193.57350004</v>
      </c>
      <c r="J45" s="7">
        <v>124873705</v>
      </c>
      <c r="M45" s="7">
        <v>124873705</v>
      </c>
      <c r="N45" s="7">
        <v>74924223</v>
      </c>
      <c r="Z45" s="7">
        <v>74924223</v>
      </c>
      <c r="AA45" s="7">
        <v>16475468.98845</v>
      </c>
      <c r="AB45" s="7">
        <v>207856088</v>
      </c>
      <c r="AC45" s="7">
        <v>272787413.58505005</v>
      </c>
      <c r="AD45" s="17">
        <v>0.13097651338521385</v>
      </c>
      <c r="AE45" s="5">
        <f>SUMIFS(PGĐ!$H:$H,PGĐ!$F:$F,"="&amp;'HQ2'!B45,PGĐ!$I:$I,"="&amp;'HQ2'!A45)</f>
        <v>152223259</v>
      </c>
      <c r="AF45" s="17"/>
      <c r="AG45" s="7">
        <f>SUMIFS(ĐMCP!$Q:$Q,ĐMCP!$P:$P,"="&amp;'HQ2'!B45,ĐMCP!$O:$O,"="&amp;'HQ2'!A45)</f>
        <v>207856087.90640509</v>
      </c>
      <c r="AH45" s="7">
        <f t="shared" si="0"/>
        <v>-9.3594908714294434E-2</v>
      </c>
    </row>
    <row r="46" spans="1:34" x14ac:dyDescent="0.25">
      <c r="A46" s="123" t="s">
        <v>49</v>
      </c>
      <c r="B46" s="16" t="s">
        <v>272</v>
      </c>
      <c r="C46" s="7">
        <v>353877767</v>
      </c>
      <c r="E46" s="7">
        <v>353877767</v>
      </c>
      <c r="F46" s="7">
        <v>283102213.60000002</v>
      </c>
      <c r="G46" s="7">
        <v>299118128</v>
      </c>
      <c r="H46" s="7">
        <v>-3203182.8799999952</v>
      </c>
      <c r="I46" s="7">
        <v>286305396.48000002</v>
      </c>
      <c r="J46" s="7">
        <v>71470000</v>
      </c>
      <c r="M46" s="7">
        <v>71470000</v>
      </c>
      <c r="N46" s="7">
        <v>57176000</v>
      </c>
      <c r="O46" s="7">
        <v>14580500</v>
      </c>
      <c r="R46" s="7">
        <v>14580500</v>
      </c>
      <c r="S46" s="7">
        <v>11664400</v>
      </c>
      <c r="Y46" s="7">
        <v>11664400</v>
      </c>
      <c r="Z46" s="7">
        <v>68840400</v>
      </c>
      <c r="AA46" s="7">
        <v>8493066.4079999998</v>
      </c>
      <c r="AB46" s="7">
        <v>121717572</v>
      </c>
      <c r="AC46" s="7">
        <v>87254358.072000027</v>
      </c>
      <c r="AD46" s="17">
        <v>0.24044394847726483</v>
      </c>
      <c r="AE46" s="5">
        <f>SUMIFS(PGĐ!$H:$H,PGĐ!$F:$F,"="&amp;'HQ2'!B46,PGĐ!$I:$I,"="&amp;'HQ2'!A46)</f>
        <v>0</v>
      </c>
      <c r="AF46" s="17"/>
      <c r="AG46" s="7">
        <f>SUMIFS(ĐMCP!$Q:$Q,ĐMCP!$P:$P,"="&amp;'HQ2'!B46,ĐMCP!$O:$O,"="&amp;'HQ2'!A46)</f>
        <v>121717571.75709565</v>
      </c>
      <c r="AH46" s="7">
        <f t="shared" si="0"/>
        <v>-0.24290435016155243</v>
      </c>
    </row>
    <row r="47" spans="1:34" x14ac:dyDescent="0.25">
      <c r="A47" s="123" t="s">
        <v>49</v>
      </c>
      <c r="B47" s="16" t="s">
        <v>269</v>
      </c>
      <c r="C47" s="7">
        <v>60260800</v>
      </c>
      <c r="E47" s="7">
        <v>60260800</v>
      </c>
      <c r="F47" s="7">
        <v>36156480</v>
      </c>
      <c r="G47" s="7">
        <v>289656480</v>
      </c>
      <c r="H47" s="7">
        <v>-25350000</v>
      </c>
      <c r="I47" s="7">
        <v>61506480</v>
      </c>
      <c r="AA47" s="7">
        <v>1084694.3999999999</v>
      </c>
      <c r="AB47" s="7">
        <v>10415245</v>
      </c>
      <c r="AC47" s="7">
        <v>50006540.600000001</v>
      </c>
      <c r="AD47" s="17"/>
      <c r="AE47" s="5">
        <f>SUMIFS(PGĐ!$H:$H,PGĐ!$F:$F,"="&amp;'HQ2'!B47,PGĐ!$I:$I,"="&amp;'HQ2'!A47)</f>
        <v>0</v>
      </c>
      <c r="AF47" s="17"/>
      <c r="AG47" s="7">
        <f>SUMIFS(ĐMCP!$Q:$Q,ĐMCP!$P:$P,"="&amp;'HQ2'!B47,ĐMCP!$O:$O,"="&amp;'HQ2'!A47)</f>
        <v>10415245.120721046</v>
      </c>
      <c r="AH47" s="7">
        <f t="shared" si="0"/>
        <v>0.12072104588150978</v>
      </c>
    </row>
    <row r="48" spans="1:34" x14ac:dyDescent="0.25">
      <c r="A48" s="123" t="s">
        <v>49</v>
      </c>
      <c r="B48" s="16" t="s">
        <v>273</v>
      </c>
      <c r="AB48" s="7">
        <v>0</v>
      </c>
      <c r="AC48" s="7">
        <v>0</v>
      </c>
      <c r="AD48" s="17"/>
      <c r="AE48" s="5">
        <f>SUMIFS(PGĐ!$H:$H,PGĐ!$F:$F,"="&amp;'HQ2'!B48,PGĐ!$I:$I,"="&amp;'HQ2'!A48)</f>
        <v>13720000</v>
      </c>
      <c r="AF48" s="17"/>
      <c r="AG48" s="7">
        <f>SUMIFS(ĐMCP!$Q:$Q,ĐMCP!$P:$P,"="&amp;'HQ2'!B48,ĐMCP!$O:$O,"="&amp;'HQ2'!A48)</f>
        <v>0</v>
      </c>
      <c r="AH48" s="7">
        <f t="shared" si="0"/>
        <v>0</v>
      </c>
    </row>
    <row r="49" spans="1:34" x14ac:dyDescent="0.25">
      <c r="A49" s="123" t="s">
        <v>49</v>
      </c>
      <c r="B49" s="16" t="s">
        <v>23</v>
      </c>
      <c r="AB49" s="7">
        <v>0</v>
      </c>
      <c r="AC49" s="7">
        <v>0</v>
      </c>
      <c r="AD49" s="17"/>
      <c r="AE49" s="5">
        <f>SUMIFS(PGĐ!$H:$H,PGĐ!$F:$F,"="&amp;'HQ2'!B49,PGĐ!$I:$I,"="&amp;'HQ2'!A49)</f>
        <v>0</v>
      </c>
      <c r="AF49" s="17"/>
      <c r="AG49" s="7">
        <f>SUMIFS(ĐMCP!$Q:$Q,ĐMCP!$P:$P,"="&amp;'HQ2'!B49,ĐMCP!$O:$O,"="&amp;'HQ2'!A49)</f>
        <v>0</v>
      </c>
      <c r="AH49" s="7">
        <f t="shared" si="0"/>
        <v>0</v>
      </c>
    </row>
    <row r="50" spans="1:34" x14ac:dyDescent="0.25">
      <c r="A50" s="123" t="s">
        <v>50</v>
      </c>
      <c r="B50" s="15" t="s">
        <v>45</v>
      </c>
      <c r="C50" s="132">
        <v>40532894644</v>
      </c>
      <c r="D50" s="132">
        <v>930968305</v>
      </c>
      <c r="E50" s="132">
        <v>39601926339</v>
      </c>
      <c r="F50" s="132">
        <v>18961542810.184998</v>
      </c>
      <c r="G50" s="132"/>
      <c r="H50" s="132">
        <v>4355091250.5795002</v>
      </c>
      <c r="I50" s="132">
        <v>14606451559.605497</v>
      </c>
      <c r="J50" s="132">
        <v>8477571931</v>
      </c>
      <c r="K50" s="132"/>
      <c r="L50" s="132"/>
      <c r="M50" s="132">
        <v>8477571931</v>
      </c>
      <c r="N50" s="132">
        <v>2987934554.9000001</v>
      </c>
      <c r="O50" s="132">
        <v>365230242655.5</v>
      </c>
      <c r="P50" s="132">
        <v>286170215153</v>
      </c>
      <c r="Q50" s="132">
        <v>1313146377</v>
      </c>
      <c r="R50" s="132">
        <v>77746881125.5</v>
      </c>
      <c r="S50" s="132">
        <v>48040385999.375</v>
      </c>
      <c r="T50" s="132">
        <v>357690110308.09998</v>
      </c>
      <c r="U50" s="132">
        <v>286759128673</v>
      </c>
      <c r="V50" s="132">
        <v>1345700000</v>
      </c>
      <c r="W50" s="132">
        <v>69585281635.099976</v>
      </c>
      <c r="X50" s="132">
        <v>42186763312.725006</v>
      </c>
      <c r="Y50" s="132">
        <v>5853622686.6499939</v>
      </c>
      <c r="Z50" s="132">
        <v>8841557241.5499935</v>
      </c>
      <c r="AA50" s="132">
        <v>568846284.30554986</v>
      </c>
      <c r="AB50" s="132">
        <v>1818799357.6600001</v>
      </c>
      <c r="AC50" s="132">
        <v>3377248676.0899515</v>
      </c>
      <c r="AD50" s="96">
        <v>0.60531862961169425</v>
      </c>
      <c r="AE50" s="5">
        <f>SUMIFS(PGĐ!$H:$H,PGĐ!$F:$F,"="&amp;'HQ2'!B50,PGĐ!$I:$I,"="&amp;'HQ2'!A50)</f>
        <v>0</v>
      </c>
      <c r="AF50" s="96"/>
      <c r="AG50" s="7">
        <f>SUMIFS(ĐMCP!$Q:$Q,ĐMCP!$P:$P,"="&amp;'HQ2'!B50,ĐMCP!$O:$O,"="&amp;'HQ2'!A50)</f>
        <v>0</v>
      </c>
      <c r="AH50" s="7">
        <f t="shared" si="0"/>
        <v>0</v>
      </c>
    </row>
    <row r="51" spans="1:34" x14ac:dyDescent="0.25">
      <c r="A51" s="123" t="s">
        <v>50</v>
      </c>
      <c r="B51" s="16" t="s">
        <v>273</v>
      </c>
      <c r="C51" s="7">
        <v>14114425548</v>
      </c>
      <c r="E51" s="7">
        <v>14114425548</v>
      </c>
      <c r="F51" s="7">
        <v>7762934051.4000006</v>
      </c>
      <c r="H51" s="7">
        <v>1940733512.8500001</v>
      </c>
      <c r="I51" s="7">
        <v>5822200538.5500002</v>
      </c>
      <c r="J51" s="7">
        <v>2908190971</v>
      </c>
      <c r="M51" s="7">
        <v>2908190971</v>
      </c>
      <c r="N51" s="7">
        <v>1454095485.5</v>
      </c>
      <c r="O51" s="7">
        <v>32657343459</v>
      </c>
      <c r="Q51" s="7">
        <v>496400000</v>
      </c>
      <c r="R51" s="7">
        <v>32160943459</v>
      </c>
      <c r="S51" s="7">
        <v>16576871729.5</v>
      </c>
      <c r="T51" s="7">
        <v>37510128657</v>
      </c>
      <c r="V51" s="7">
        <v>545700000</v>
      </c>
      <c r="W51" s="7">
        <v>36964428657</v>
      </c>
      <c r="X51" s="7">
        <v>19027914328.5</v>
      </c>
      <c r="Y51" s="7">
        <v>-2451042599</v>
      </c>
      <c r="Z51" s="7">
        <v>-996947113.5</v>
      </c>
      <c r="AA51" s="7">
        <v>232888021.542</v>
      </c>
      <c r="AB51" s="7">
        <v>408338326.60000002</v>
      </c>
      <c r="AC51" s="7">
        <v>6177921303.908</v>
      </c>
      <c r="AD51" s="17">
        <v>-0.17123201217460751</v>
      </c>
      <c r="AE51" s="5">
        <f>SUMIFS(PGĐ!$H:$H,PGĐ!$F:$F,"="&amp;'HQ2'!B51,PGĐ!$I:$I,"="&amp;'HQ2'!A51)</f>
        <v>207111738</v>
      </c>
      <c r="AF51" s="17"/>
      <c r="AG51" s="7">
        <f>SUMIFS(ĐMCP!$Q:$Q,ĐMCP!$P:$P,"="&amp;'HQ2'!B51,ĐMCP!$O:$O,"="&amp;'HQ2'!A51)</f>
        <v>408338326.56999999</v>
      </c>
      <c r="AH51" s="7">
        <f t="shared" si="0"/>
        <v>-3.0000030994415283E-2</v>
      </c>
    </row>
    <row r="52" spans="1:34" x14ac:dyDescent="0.25">
      <c r="A52" s="123" t="s">
        <v>50</v>
      </c>
      <c r="B52" s="16" t="s">
        <v>23</v>
      </c>
      <c r="C52" s="7">
        <v>22138127185</v>
      </c>
      <c r="E52" s="7">
        <v>22138127185</v>
      </c>
      <c r="F52" s="7">
        <v>7748344514.749999</v>
      </c>
      <c r="H52" s="7">
        <v>1937086128.6874998</v>
      </c>
      <c r="I52" s="7">
        <v>5811258386.062499</v>
      </c>
      <c r="J52" s="7">
        <v>5165112876</v>
      </c>
      <c r="M52" s="7">
        <v>5165112876</v>
      </c>
      <c r="N52" s="7">
        <v>1291278219</v>
      </c>
      <c r="O52" s="7">
        <v>124027547586.5</v>
      </c>
      <c r="P52" s="7">
        <v>80574215153</v>
      </c>
      <c r="R52" s="7">
        <v>43453332433.5</v>
      </c>
      <c r="S52" s="7">
        <v>17030509299.475</v>
      </c>
      <c r="T52" s="7">
        <v>109343756651.10001</v>
      </c>
      <c r="U52" s="7">
        <v>80543128673</v>
      </c>
      <c r="W52" s="7">
        <v>28800627978.100006</v>
      </c>
      <c r="X52" s="7">
        <v>13367333185.625002</v>
      </c>
      <c r="Y52" s="7">
        <v>3663176113.8499985</v>
      </c>
      <c r="Z52" s="7">
        <v>4954454332.8499985</v>
      </c>
      <c r="AA52" s="7">
        <v>232450335.44249997</v>
      </c>
      <c r="AB52" s="7">
        <v>959408881.20000005</v>
      </c>
      <c r="AC52" s="7">
        <v>-335055163.42999947</v>
      </c>
      <c r="AD52" s="17">
        <v>0.85256135654414766</v>
      </c>
      <c r="AE52" s="5">
        <f>SUMIFS(PGĐ!$H:$H,PGĐ!$F:$F,"="&amp;'HQ2'!B52,PGĐ!$I:$I,"="&amp;'HQ2'!A52)</f>
        <v>0</v>
      </c>
      <c r="AF52" s="17"/>
      <c r="AG52" s="7">
        <f>SUMIFS(ĐMCP!$Q:$Q,ĐMCP!$P:$P,"="&amp;'HQ2'!B52,ĐMCP!$O:$O,"="&amp;'HQ2'!A52)</f>
        <v>959408881.22500014</v>
      </c>
      <c r="AH52" s="7">
        <f t="shared" si="0"/>
        <v>2.5000095367431641E-2</v>
      </c>
    </row>
    <row r="53" spans="1:34" x14ac:dyDescent="0.25">
      <c r="A53" s="123" t="s">
        <v>50</v>
      </c>
      <c r="B53" s="16" t="s">
        <v>270</v>
      </c>
      <c r="C53" s="7">
        <v>2160593437</v>
      </c>
      <c r="D53" s="7">
        <v>660453074</v>
      </c>
      <c r="E53" s="7">
        <v>1500140363</v>
      </c>
      <c r="F53" s="7">
        <v>1817635914.5900002</v>
      </c>
      <c r="H53" s="7">
        <v>181763591.45900002</v>
      </c>
      <c r="I53" s="7">
        <v>1635872323.131</v>
      </c>
      <c r="O53" s="7">
        <v>16500000</v>
      </c>
      <c r="R53" s="7">
        <v>16500000</v>
      </c>
      <c r="S53" s="7">
        <v>9900000</v>
      </c>
      <c r="Y53" s="7">
        <v>9900000</v>
      </c>
      <c r="Z53" s="7">
        <v>9900000</v>
      </c>
      <c r="AA53" s="7">
        <v>54529077.437700003</v>
      </c>
      <c r="AB53" s="7">
        <v>285701247.89999998</v>
      </c>
      <c r="AC53" s="7">
        <v>1285741997.7932999</v>
      </c>
      <c r="AD53" s="17">
        <v>6.0518170397624678E-3</v>
      </c>
      <c r="AE53" s="5">
        <f>SUMIFS(PGĐ!$H:$H,PGĐ!$F:$F,"="&amp;'HQ2'!B53,PGĐ!$I:$I,"="&amp;'HQ2'!A53)</f>
        <v>0</v>
      </c>
      <c r="AF53" s="17"/>
      <c r="AG53" s="7">
        <f>SUMIFS(ĐMCP!$Q:$Q,ĐMCP!$P:$P,"="&amp;'HQ2'!B53,ĐMCP!$O:$O,"="&amp;'HQ2'!A53)</f>
        <v>285701247.90999997</v>
      </c>
      <c r="AH53" s="7">
        <f t="shared" si="0"/>
        <v>9.9999904632568359E-3</v>
      </c>
    </row>
    <row r="54" spans="1:34" x14ac:dyDescent="0.25">
      <c r="A54" s="123" t="s">
        <v>50</v>
      </c>
      <c r="B54" s="16" t="s">
        <v>272</v>
      </c>
      <c r="C54" s="7">
        <v>1539776151</v>
      </c>
      <c r="D54" s="7">
        <v>224198650</v>
      </c>
      <c r="E54" s="7">
        <v>1315577501</v>
      </c>
      <c r="F54" s="7">
        <v>1262087738.5500002</v>
      </c>
      <c r="H54" s="7">
        <v>252417547.71000004</v>
      </c>
      <c r="I54" s="7">
        <v>1009670190.8400002</v>
      </c>
      <c r="O54" s="7">
        <v>1304317222</v>
      </c>
      <c r="Q54" s="7">
        <v>816746377</v>
      </c>
      <c r="R54" s="7">
        <v>487570845</v>
      </c>
      <c r="S54" s="7">
        <v>1206803053</v>
      </c>
      <c r="Y54" s="7">
        <v>1206803053</v>
      </c>
      <c r="Z54" s="7">
        <v>1206803053</v>
      </c>
      <c r="AA54" s="7">
        <v>37862632.156500004</v>
      </c>
      <c r="AB54" s="7">
        <v>83608438.789999992</v>
      </c>
      <c r="AC54" s="7">
        <v>-318603933.10649979</v>
      </c>
      <c r="AD54" s="17">
        <v>1.1952448076098932</v>
      </c>
      <c r="AE54" s="5">
        <f>SUMIFS(PGĐ!$H:$H,PGĐ!$F:$F,"="&amp;'HQ2'!B54,PGĐ!$I:$I,"="&amp;'HQ2'!A54)</f>
        <v>31307000</v>
      </c>
      <c r="AF54" s="17"/>
      <c r="AG54" s="7">
        <f>SUMIFS(ĐMCP!$Q:$Q,ĐMCP!$P:$P,"="&amp;'HQ2'!B54,ĐMCP!$O:$O,"="&amp;'HQ2'!A54)</f>
        <v>83608438.789999992</v>
      </c>
      <c r="AH54" s="7">
        <f t="shared" si="0"/>
        <v>0</v>
      </c>
    </row>
    <row r="55" spans="1:34" x14ac:dyDescent="0.25">
      <c r="A55" s="123" t="s">
        <v>50</v>
      </c>
      <c r="B55" s="16" t="s">
        <v>269</v>
      </c>
      <c r="C55" s="7">
        <v>485800489</v>
      </c>
      <c r="E55" s="7">
        <v>485800489</v>
      </c>
      <c r="F55" s="7">
        <v>291480293.39999998</v>
      </c>
      <c r="H55" s="7">
        <v>29148029.34</v>
      </c>
      <c r="I55" s="7">
        <v>262332264.05999997</v>
      </c>
      <c r="AA55" s="7">
        <v>8744408.8019999992</v>
      </c>
      <c r="AB55" s="7">
        <v>60597623.850000001</v>
      </c>
      <c r="AC55" s="7">
        <v>192990231.40799999</v>
      </c>
      <c r="AD55" s="17"/>
      <c r="AE55" s="5">
        <f>SUMIFS(PGĐ!$H:$H,PGĐ!$F:$F,"="&amp;'HQ2'!B55,PGĐ!$I:$I,"="&amp;'HQ2'!A55)</f>
        <v>0</v>
      </c>
      <c r="AF55" s="17"/>
      <c r="AG55" s="7">
        <f>SUMIFS(ĐMCP!$Q:$Q,ĐMCP!$P:$P,"="&amp;'HQ2'!B55,ĐMCP!$O:$O,"="&amp;'HQ2'!A55)</f>
        <v>60597623.849999994</v>
      </c>
      <c r="AH55" s="7">
        <f t="shared" si="0"/>
        <v>-7.4505805969238281E-9</v>
      </c>
    </row>
    <row r="56" spans="1:34" x14ac:dyDescent="0.25">
      <c r="A56" s="123" t="s">
        <v>50</v>
      </c>
      <c r="B56" s="16" t="s">
        <v>271</v>
      </c>
      <c r="C56" s="7">
        <v>42302455</v>
      </c>
      <c r="D56" s="7">
        <v>42302455</v>
      </c>
      <c r="F56" s="7">
        <v>41667918.174999997</v>
      </c>
      <c r="H56" s="7">
        <v>8333583.6349999998</v>
      </c>
      <c r="I56" s="7">
        <v>33334334.539999999</v>
      </c>
      <c r="J56" s="7">
        <v>404268084</v>
      </c>
      <c r="M56" s="7">
        <v>404268084</v>
      </c>
      <c r="N56" s="7">
        <v>242560850.39999998</v>
      </c>
      <c r="O56" s="7">
        <v>205596500000</v>
      </c>
      <c r="P56" s="7">
        <v>205596000000</v>
      </c>
      <c r="R56" s="7">
        <v>500000</v>
      </c>
      <c r="S56" s="7">
        <v>12320883004</v>
      </c>
      <c r="T56" s="7">
        <v>206216500000</v>
      </c>
      <c r="U56" s="7">
        <v>206216000000</v>
      </c>
      <c r="V56" s="7">
        <v>800000000</v>
      </c>
      <c r="W56" s="7">
        <v>-799500000</v>
      </c>
      <c r="X56" s="7">
        <v>7250667048.6000004</v>
      </c>
      <c r="Y56" s="7">
        <v>5070215955.3999996</v>
      </c>
      <c r="Z56" s="7">
        <v>5312776805.7999992</v>
      </c>
      <c r="AA56" s="7">
        <v>1250037.54525</v>
      </c>
      <c r="AB56" s="7">
        <v>11534870.5</v>
      </c>
      <c r="AC56" s="7">
        <v>-5292227379.3052492</v>
      </c>
      <c r="AD56" s="17">
        <v>159.3785170489862</v>
      </c>
      <c r="AE56" s="5">
        <f>SUMIFS(PGĐ!$H:$H,PGĐ!$F:$F,"="&amp;'HQ2'!B56,PGĐ!$I:$I,"="&amp;'HQ2'!A56)</f>
        <v>2060709798</v>
      </c>
      <c r="AF56" s="17"/>
      <c r="AG56" s="7">
        <f>SUMIFS(ĐMCP!$Q:$Q,ĐMCP!$P:$P,"="&amp;'HQ2'!B56,ĐMCP!$O:$O,"="&amp;'HQ2'!A56)</f>
        <v>11534870.5</v>
      </c>
      <c r="AH56" s="7">
        <f t="shared" si="0"/>
        <v>0</v>
      </c>
    </row>
    <row r="57" spans="1:34" x14ac:dyDescent="0.25">
      <c r="A57" s="123" t="s">
        <v>50</v>
      </c>
      <c r="B57" s="16" t="s">
        <v>268</v>
      </c>
      <c r="C57" s="7">
        <v>51869379</v>
      </c>
      <c r="D57" s="7">
        <v>4014126</v>
      </c>
      <c r="E57" s="7">
        <v>47855253</v>
      </c>
      <c r="F57" s="7">
        <v>37392379.32</v>
      </c>
      <c r="H57" s="7">
        <v>5608856.898</v>
      </c>
      <c r="I57" s="7">
        <v>31783522.421999998</v>
      </c>
      <c r="O57" s="7">
        <v>1628034388</v>
      </c>
      <c r="R57" s="7">
        <v>1628034388</v>
      </c>
      <c r="S57" s="7">
        <v>895418913.4000001</v>
      </c>
      <c r="T57" s="7">
        <v>4619725000</v>
      </c>
      <c r="W57" s="7">
        <v>4619725000</v>
      </c>
      <c r="X57" s="7">
        <v>2540848750</v>
      </c>
      <c r="Y57" s="7">
        <v>-1645429836.5999999</v>
      </c>
      <c r="Z57" s="7">
        <v>-1645429836.5999999</v>
      </c>
      <c r="AA57" s="7">
        <v>1121771.3795999999</v>
      </c>
      <c r="AB57" s="7">
        <v>9609968.8200000003</v>
      </c>
      <c r="AC57" s="7">
        <v>1666481618.8223999</v>
      </c>
      <c r="AD57" s="17">
        <v>-51.769901861508657</v>
      </c>
      <c r="AE57" s="5">
        <f>SUMIFS(PGĐ!$H:$H,PGĐ!$F:$F,"="&amp;'HQ2'!B57,PGĐ!$I:$I,"="&amp;'HQ2'!A57)</f>
        <v>0</v>
      </c>
      <c r="AF57" s="17"/>
      <c r="AG57" s="7">
        <f>SUMIFS(ĐMCP!$Q:$Q,ĐMCP!$P:$P,"="&amp;'HQ2'!B57,ĐMCP!$O:$O,"="&amp;'HQ2'!A57)</f>
        <v>9609968.8200000003</v>
      </c>
      <c r="AH57" s="7">
        <f t="shared" si="0"/>
        <v>0</v>
      </c>
    </row>
    <row r="58" spans="1:34" x14ac:dyDescent="0.25">
      <c r="A58" s="123" t="s">
        <v>51</v>
      </c>
      <c r="B58" s="15" t="s">
        <v>45</v>
      </c>
      <c r="C58" s="132">
        <v>29930102224</v>
      </c>
      <c r="D58" s="132">
        <v>4349903661</v>
      </c>
      <c r="E58" s="132">
        <v>25580198563</v>
      </c>
      <c r="F58" s="132">
        <v>18836064740.185001</v>
      </c>
      <c r="G58" s="132">
        <v>16645672268.4</v>
      </c>
      <c r="H58" s="132">
        <v>472961682.86524999</v>
      </c>
      <c r="I58" s="132">
        <v>18363103057.319752</v>
      </c>
      <c r="J58" s="132">
        <v>9272665187</v>
      </c>
      <c r="K58" s="132">
        <v>7701501426</v>
      </c>
      <c r="L58" s="132"/>
      <c r="M58" s="132">
        <v>1571163761</v>
      </c>
      <c r="N58" s="132">
        <v>1154860280.75</v>
      </c>
      <c r="O58" s="132">
        <v>25257305691.299999</v>
      </c>
      <c r="P58" s="132">
        <v>2193208512.8000002</v>
      </c>
      <c r="Q58" s="132">
        <v>2701519520</v>
      </c>
      <c r="R58" s="132">
        <v>20362577658.5</v>
      </c>
      <c r="S58" s="132">
        <v>14860306687.1</v>
      </c>
      <c r="T58" s="132">
        <v>37663512393.300003</v>
      </c>
      <c r="U58" s="132">
        <v>9723386503.7999992</v>
      </c>
      <c r="V58" s="132">
        <v>2651019520</v>
      </c>
      <c r="W58" s="132">
        <v>25289106369.500004</v>
      </c>
      <c r="X58" s="132">
        <v>17808264914.459999</v>
      </c>
      <c r="Y58" s="132">
        <v>-2947958227.3599987</v>
      </c>
      <c r="Z58" s="132">
        <v>-1793097946.6099987</v>
      </c>
      <c r="AA58" s="132">
        <v>565081942.20555007</v>
      </c>
      <c r="AB58" s="132">
        <v>8598647234</v>
      </c>
      <c r="AC58" s="132">
        <v>10992471827.724197</v>
      </c>
      <c r="AD58" s="96">
        <v>-9.7646783390198777E-2</v>
      </c>
      <c r="AE58" s="5">
        <f>SUMIFS(PGĐ!$H:$H,PGĐ!$F:$F,"="&amp;'HQ2'!B58,PGĐ!$I:$I,"="&amp;'HQ2'!A58)</f>
        <v>0</v>
      </c>
      <c r="AF58" s="96"/>
      <c r="AG58" s="7">
        <f>SUMIFS(ĐMCP!$Q:$Q,ĐMCP!$P:$P,"="&amp;'HQ2'!B58,ĐMCP!$O:$O,"="&amp;'HQ2'!A58)</f>
        <v>0</v>
      </c>
      <c r="AH58" s="7">
        <f t="shared" si="0"/>
        <v>0</v>
      </c>
    </row>
    <row r="59" spans="1:34" x14ac:dyDescent="0.25">
      <c r="A59" s="123" t="s">
        <v>51</v>
      </c>
      <c r="B59" s="16" t="s">
        <v>268</v>
      </c>
      <c r="C59" s="7">
        <v>8885872378</v>
      </c>
      <c r="D59" s="7">
        <v>1683013680</v>
      </c>
      <c r="E59" s="7">
        <v>7202858698</v>
      </c>
      <c r="F59" s="7">
        <v>6674524358.1999989</v>
      </c>
      <c r="G59" s="7">
        <v>8123620160.5999994</v>
      </c>
      <c r="H59" s="7">
        <v>-217364370.36000007</v>
      </c>
      <c r="I59" s="7">
        <v>6891888728.5599985</v>
      </c>
      <c r="J59" s="7">
        <v>8168033003</v>
      </c>
      <c r="K59" s="7">
        <v>7701501426</v>
      </c>
      <c r="M59" s="7">
        <v>466531577</v>
      </c>
      <c r="N59" s="7">
        <v>718113364.35000002</v>
      </c>
      <c r="O59" s="7">
        <v>11321649734</v>
      </c>
      <c r="P59" s="7">
        <v>1947144000</v>
      </c>
      <c r="Q59" s="7">
        <v>1204644000</v>
      </c>
      <c r="R59" s="7">
        <v>8169861734</v>
      </c>
      <c r="S59" s="7">
        <v>6027737099.6000004</v>
      </c>
      <c r="T59" s="7">
        <v>18813899725</v>
      </c>
      <c r="U59" s="7">
        <v>9477321991</v>
      </c>
      <c r="V59" s="7">
        <v>1213644000</v>
      </c>
      <c r="W59" s="7">
        <v>8122933734</v>
      </c>
      <c r="X59" s="7">
        <v>6217439797.1600008</v>
      </c>
      <c r="Y59" s="7">
        <v>-189702697.56000042</v>
      </c>
      <c r="Z59" s="7">
        <v>528410666.7899996</v>
      </c>
      <c r="AA59" s="7">
        <v>200235730.74599996</v>
      </c>
      <c r="AB59" s="7">
        <v>4239198290</v>
      </c>
      <c r="AC59" s="7">
        <v>1924044041.0239985</v>
      </c>
      <c r="AD59" s="17">
        <v>7.6671386843531711E-2</v>
      </c>
      <c r="AE59" s="5">
        <f>SUMIFS(PGĐ!$H:$H,PGĐ!$F:$F,"="&amp;'HQ2'!B59,PGĐ!$I:$I,"="&amp;'HQ2'!A59)</f>
        <v>550337397</v>
      </c>
      <c r="AF59" s="17"/>
      <c r="AG59" s="7">
        <f>SUMIFS(ĐMCP!$Q:$Q,ĐMCP!$P:$P,"="&amp;'HQ2'!B59,ĐMCP!$O:$O,"="&amp;'HQ2'!A59)</f>
        <v>4239198290.1592484</v>
      </c>
      <c r="AH59" s="7">
        <f t="shared" si="0"/>
        <v>0.15924835205078125</v>
      </c>
    </row>
    <row r="60" spans="1:34" x14ac:dyDescent="0.25">
      <c r="A60" s="123" t="s">
        <v>51</v>
      </c>
      <c r="B60" s="16" t="s">
        <v>270</v>
      </c>
      <c r="C60" s="7">
        <v>5242002145</v>
      </c>
      <c r="D60" s="7">
        <v>1782222354</v>
      </c>
      <c r="E60" s="7">
        <v>3459779791</v>
      </c>
      <c r="F60" s="7">
        <v>4434201733.79</v>
      </c>
      <c r="G60" s="7">
        <v>3386362304.8000002</v>
      </c>
      <c r="H60" s="7">
        <v>104783942.89899999</v>
      </c>
      <c r="I60" s="7">
        <v>4329417790.8909998</v>
      </c>
      <c r="J60" s="7">
        <v>432845669</v>
      </c>
      <c r="M60" s="7">
        <v>432845669</v>
      </c>
      <c r="N60" s="7">
        <v>259707401.39999998</v>
      </c>
      <c r="O60" s="7">
        <v>9749248258</v>
      </c>
      <c r="Q60" s="7">
        <v>1471875520</v>
      </c>
      <c r="R60" s="7">
        <v>8277372738</v>
      </c>
      <c r="S60" s="7">
        <v>6438299162.8000002</v>
      </c>
      <c r="T60" s="7">
        <v>14226588756</v>
      </c>
      <c r="V60" s="7">
        <v>1345375520</v>
      </c>
      <c r="W60" s="7">
        <v>12881213236</v>
      </c>
      <c r="X60" s="7">
        <v>9074103461.5999985</v>
      </c>
      <c r="Y60" s="7">
        <v>-2635804298.7999983</v>
      </c>
      <c r="Z60" s="7">
        <v>-2376096897.3999982</v>
      </c>
      <c r="AA60" s="7">
        <v>133026052.01369999</v>
      </c>
      <c r="AB60" s="7">
        <v>1562382619</v>
      </c>
      <c r="AC60" s="7">
        <v>5010106017.2772989</v>
      </c>
      <c r="AD60" s="17">
        <v>-0.54882596509841441</v>
      </c>
      <c r="AE60" s="5">
        <f>SUMIFS(PGĐ!$H:$H,PGĐ!$F:$F,"="&amp;'HQ2'!B60,PGĐ!$I:$I,"="&amp;'HQ2'!A60)</f>
        <v>223532960</v>
      </c>
      <c r="AF60" s="17"/>
      <c r="AG60" s="7">
        <f>SUMIFS(ĐMCP!$Q:$Q,ĐMCP!$P:$P,"="&amp;'HQ2'!B60,ĐMCP!$O:$O,"="&amp;'HQ2'!A60)</f>
        <v>1562382618.6778688</v>
      </c>
      <c r="AH60" s="7">
        <f t="shared" si="0"/>
        <v>-0.32213115692138672</v>
      </c>
    </row>
    <row r="61" spans="1:34" x14ac:dyDescent="0.25">
      <c r="A61" s="123" t="s">
        <v>51</v>
      </c>
      <c r="B61" s="16" t="s">
        <v>23</v>
      </c>
      <c r="C61" s="7">
        <v>8712036705</v>
      </c>
      <c r="E61" s="7">
        <v>8712036705</v>
      </c>
      <c r="F61" s="7">
        <v>3049212846.75</v>
      </c>
      <c r="G61" s="7">
        <v>2309063476.2999997</v>
      </c>
      <c r="H61" s="7">
        <v>185037342.61250007</v>
      </c>
      <c r="I61" s="7">
        <v>2864175504.1374998</v>
      </c>
      <c r="J61" s="7">
        <v>645806840</v>
      </c>
      <c r="M61" s="7">
        <v>645806840</v>
      </c>
      <c r="N61" s="7">
        <v>161451710</v>
      </c>
      <c r="O61" s="7">
        <v>528000000</v>
      </c>
      <c r="R61" s="7">
        <v>528000000</v>
      </c>
      <c r="S61" s="7">
        <v>132000000</v>
      </c>
      <c r="T61" s="7">
        <v>901052848</v>
      </c>
      <c r="W61" s="7">
        <v>901052848</v>
      </c>
      <c r="X61" s="7">
        <v>225263212</v>
      </c>
      <c r="Y61" s="7">
        <v>-93263212</v>
      </c>
      <c r="Z61" s="7">
        <v>68188498</v>
      </c>
      <c r="AA61" s="7">
        <v>91476385.402500004</v>
      </c>
      <c r="AB61" s="7">
        <v>1220395965</v>
      </c>
      <c r="AC61" s="7">
        <v>1484114655.7349999</v>
      </c>
      <c r="AD61" s="17">
        <v>2.380737419948498E-2</v>
      </c>
      <c r="AE61" s="5">
        <f>SUMIFS(PGĐ!$H:$H,PGĐ!$F:$F,"="&amp;'HQ2'!B61,PGĐ!$I:$I,"="&amp;'HQ2'!A61)</f>
        <v>0</v>
      </c>
      <c r="AF61" s="17"/>
      <c r="AG61" s="7">
        <f>SUMIFS(ĐMCP!$Q:$Q,ĐMCP!$P:$P,"="&amp;'HQ2'!B61,ĐMCP!$O:$O,"="&amp;'HQ2'!A61)</f>
        <v>1220395965.2407374</v>
      </c>
      <c r="AH61" s="7">
        <f t="shared" si="0"/>
        <v>0.2407374382019043</v>
      </c>
    </row>
    <row r="62" spans="1:34" x14ac:dyDescent="0.25">
      <c r="A62" s="123" t="s">
        <v>51</v>
      </c>
      <c r="B62" s="16" t="s">
        <v>271</v>
      </c>
      <c r="C62" s="7">
        <v>2420019864</v>
      </c>
      <c r="D62" s="7">
        <v>271024669</v>
      </c>
      <c r="E62" s="7">
        <v>2148995195</v>
      </c>
      <c r="F62" s="7">
        <v>1771255935.4649999</v>
      </c>
      <c r="G62" s="7">
        <v>699354681.89999998</v>
      </c>
      <c r="H62" s="7">
        <v>214380250.713</v>
      </c>
      <c r="I62" s="7">
        <v>1556875684.7519999</v>
      </c>
      <c r="J62" s="7">
        <v>17987068</v>
      </c>
      <c r="M62" s="7">
        <v>17987068</v>
      </c>
      <c r="N62" s="7">
        <v>10792240.799999999</v>
      </c>
      <c r="O62" s="7">
        <v>2127407699.3</v>
      </c>
      <c r="P62" s="7">
        <v>246064512.80000001</v>
      </c>
      <c r="R62" s="7">
        <v>1881343186.5</v>
      </c>
      <c r="S62" s="7">
        <v>1374870424.6999998</v>
      </c>
      <c r="T62" s="7">
        <v>2219407699.3000002</v>
      </c>
      <c r="U62" s="7">
        <v>246064512.80000001</v>
      </c>
      <c r="V62" s="7">
        <v>92000000</v>
      </c>
      <c r="W62" s="7">
        <v>1881343186.5000002</v>
      </c>
      <c r="X62" s="7">
        <v>1466870424.7</v>
      </c>
      <c r="Y62" s="7">
        <v>-92000000.000000238</v>
      </c>
      <c r="Z62" s="7">
        <v>-81207759.200000241</v>
      </c>
      <c r="AA62" s="7">
        <v>53137678.063949995</v>
      </c>
      <c r="AB62" s="7">
        <v>720618422</v>
      </c>
      <c r="AC62" s="7">
        <v>864327343.8880502</v>
      </c>
      <c r="AD62" s="17">
        <v>-5.2160721626875503E-2</v>
      </c>
      <c r="AE62" s="5">
        <f>SUMIFS(PGĐ!$H:$H,PGĐ!$F:$F,"="&amp;'HQ2'!B62,PGĐ!$I:$I,"="&amp;'HQ2'!A62)</f>
        <v>0</v>
      </c>
      <c r="AF62" s="17"/>
      <c r="AG62" s="7">
        <f>SUMIFS(ĐMCP!$Q:$Q,ĐMCP!$P:$P,"="&amp;'HQ2'!B62,ĐMCP!$O:$O,"="&amp;'HQ2'!A62)</f>
        <v>720618422.1894697</v>
      </c>
      <c r="AH62" s="7">
        <f t="shared" si="0"/>
        <v>0.18946969509124756</v>
      </c>
    </row>
    <row r="63" spans="1:34" x14ac:dyDescent="0.25">
      <c r="A63" s="123" t="s">
        <v>51</v>
      </c>
      <c r="B63" s="16" t="s">
        <v>273</v>
      </c>
      <c r="C63" s="7">
        <v>3088467662</v>
      </c>
      <c r="D63" s="7">
        <v>109465787</v>
      </c>
      <c r="E63" s="7">
        <v>2979001875</v>
      </c>
      <c r="F63" s="7">
        <v>1740801542.0950003</v>
      </c>
      <c r="G63" s="7">
        <v>1109486892.8000002</v>
      </c>
      <c r="H63" s="7">
        <v>157828662.32375002</v>
      </c>
      <c r="I63" s="7">
        <v>1582972879.7712502</v>
      </c>
      <c r="O63" s="7">
        <v>672000000</v>
      </c>
      <c r="R63" s="7">
        <v>672000000</v>
      </c>
      <c r="S63" s="7">
        <v>336000000</v>
      </c>
      <c r="T63" s="7">
        <v>769500000</v>
      </c>
      <c r="W63" s="7">
        <v>769500000</v>
      </c>
      <c r="X63" s="7">
        <v>384750000</v>
      </c>
      <c r="Y63" s="7">
        <v>-48750000</v>
      </c>
      <c r="Z63" s="7">
        <v>-48750000</v>
      </c>
      <c r="AA63" s="7">
        <v>52224046.262850009</v>
      </c>
      <c r="AB63" s="7">
        <v>384612985</v>
      </c>
      <c r="AC63" s="7">
        <v>1194885848.5084002</v>
      </c>
      <c r="AD63" s="17">
        <v>-3.0796484654269433E-2</v>
      </c>
      <c r="AE63" s="5">
        <f>SUMIFS(PGĐ!$H:$H,PGĐ!$F:$F,"="&amp;'HQ2'!B63,PGĐ!$I:$I,"="&amp;'HQ2'!A63)</f>
        <v>0</v>
      </c>
      <c r="AF63" s="17"/>
      <c r="AG63" s="7">
        <f>SUMIFS(ĐMCP!$Q:$Q,ĐMCP!$P:$P,"="&amp;'HQ2'!B63,ĐMCP!$O:$O,"="&amp;'HQ2'!A63)</f>
        <v>384612985.31099874</v>
      </c>
      <c r="AH63" s="7">
        <f t="shared" si="0"/>
        <v>0.31099873781204224</v>
      </c>
    </row>
    <row r="64" spans="1:34" x14ac:dyDescent="0.25">
      <c r="A64" s="123" t="s">
        <v>51</v>
      </c>
      <c r="B64" s="16" t="s">
        <v>272</v>
      </c>
      <c r="C64" s="7">
        <v>744911619</v>
      </c>
      <c r="D64" s="7">
        <v>504177171</v>
      </c>
      <c r="E64" s="7">
        <v>240734448</v>
      </c>
      <c r="F64" s="7">
        <v>663993213.28500009</v>
      </c>
      <c r="G64" s="7">
        <v>529318238.40000004</v>
      </c>
      <c r="H64" s="7">
        <v>26934994.977000013</v>
      </c>
      <c r="I64" s="7">
        <v>637058218.30800009</v>
      </c>
      <c r="O64" s="7">
        <v>155000000</v>
      </c>
      <c r="Q64" s="7">
        <v>25000000</v>
      </c>
      <c r="R64" s="7">
        <v>130000000</v>
      </c>
      <c r="S64" s="7">
        <v>129000000</v>
      </c>
      <c r="Y64" s="7">
        <v>129000000</v>
      </c>
      <c r="Z64" s="7">
        <v>129000000</v>
      </c>
      <c r="AA64" s="7">
        <v>19919796.39855</v>
      </c>
      <c r="AB64" s="7">
        <v>255167855</v>
      </c>
      <c r="AC64" s="7">
        <v>232970566.90945008</v>
      </c>
      <c r="AD64" s="17">
        <v>0.20249326716578367</v>
      </c>
      <c r="AE64" s="5">
        <f>SUMIFS(PGĐ!$H:$H,PGĐ!$F:$F,"="&amp;'HQ2'!B64,PGĐ!$I:$I,"="&amp;'HQ2'!A64)</f>
        <v>0</v>
      </c>
      <c r="AF64" s="17"/>
      <c r="AG64" s="7">
        <f>SUMIFS(ĐMCP!$Q:$Q,ĐMCP!$P:$P,"="&amp;'HQ2'!B64,ĐMCP!$O:$O,"="&amp;'HQ2'!A64)</f>
        <v>255167854.56178927</v>
      </c>
      <c r="AH64" s="7">
        <f t="shared" si="0"/>
        <v>-0.43821072578430176</v>
      </c>
    </row>
    <row r="65" spans="1:34" x14ac:dyDescent="0.25">
      <c r="A65" s="123" t="s">
        <v>51</v>
      </c>
      <c r="B65" s="16" t="s">
        <v>269</v>
      </c>
      <c r="C65" s="7">
        <v>836791851</v>
      </c>
      <c r="E65" s="7">
        <v>836791851</v>
      </c>
      <c r="F65" s="7">
        <v>502075110.59999996</v>
      </c>
      <c r="G65" s="7">
        <v>488466513.59999996</v>
      </c>
      <c r="H65" s="7">
        <v>1360859.7000000002</v>
      </c>
      <c r="I65" s="7">
        <v>500714250.89999998</v>
      </c>
      <c r="J65" s="7">
        <v>7992607</v>
      </c>
      <c r="M65" s="7">
        <v>7992607</v>
      </c>
      <c r="N65" s="7">
        <v>4795564.2</v>
      </c>
      <c r="O65" s="7">
        <v>704000000</v>
      </c>
      <c r="R65" s="7">
        <v>704000000</v>
      </c>
      <c r="S65" s="7">
        <v>422400000</v>
      </c>
      <c r="T65" s="7">
        <v>733063365</v>
      </c>
      <c r="W65" s="7">
        <v>733063365</v>
      </c>
      <c r="X65" s="7">
        <v>439838019</v>
      </c>
      <c r="Y65" s="7">
        <v>-17438019</v>
      </c>
      <c r="Z65" s="7">
        <v>-12642454.800000001</v>
      </c>
      <c r="AA65" s="7">
        <v>15062253.317999998</v>
      </c>
      <c r="AB65" s="7">
        <v>216271098</v>
      </c>
      <c r="AC65" s="7">
        <v>282023354.38199997</v>
      </c>
      <c r="AD65" s="17">
        <v>-2.5248841584348845E-2</v>
      </c>
      <c r="AE65" s="5">
        <f>SUMIFS(PGĐ!$H:$H,PGĐ!$F:$F,"="&amp;'HQ2'!B65,PGĐ!$I:$I,"="&amp;'HQ2'!A65)</f>
        <v>0</v>
      </c>
      <c r="AF65" s="17"/>
      <c r="AG65" s="7">
        <f>SUMIFS(ĐMCP!$Q:$Q,ĐMCP!$P:$P,"="&amp;'HQ2'!B65,ĐMCP!$O:$O,"="&amp;'HQ2'!A65)</f>
        <v>216271097.72692868</v>
      </c>
      <c r="AH65" s="7">
        <f t="shared" si="0"/>
        <v>-0.27307131886482239</v>
      </c>
    </row>
    <row r="66" spans="1:34" x14ac:dyDescent="0.25">
      <c r="A66" s="123" t="s">
        <v>52</v>
      </c>
      <c r="B66" s="15" t="s">
        <v>45</v>
      </c>
      <c r="C66" s="132">
        <v>21498206211</v>
      </c>
      <c r="D66" s="132">
        <v>4238249192</v>
      </c>
      <c r="E66" s="132">
        <v>17259957019</v>
      </c>
      <c r="F66" s="132">
        <v>16574719010.129999</v>
      </c>
      <c r="G66" s="132">
        <v>11747466120.5</v>
      </c>
      <c r="H66" s="132">
        <v>580916957.07299995</v>
      </c>
      <c r="I66" s="132">
        <v>15993802053.056999</v>
      </c>
      <c r="J66" s="132">
        <v>1888592113</v>
      </c>
      <c r="K66" s="132"/>
      <c r="L66" s="132">
        <v>571598823</v>
      </c>
      <c r="M66" s="132">
        <v>1316993290</v>
      </c>
      <c r="N66" s="132">
        <v>1359110574.8499999</v>
      </c>
      <c r="O66" s="132">
        <v>5466325241.7199993</v>
      </c>
      <c r="P66" s="132">
        <v>165000000</v>
      </c>
      <c r="Q66" s="132">
        <v>994691744.58999991</v>
      </c>
      <c r="R66" s="132">
        <v>4306633497.1299992</v>
      </c>
      <c r="S66" s="132">
        <v>3482283878.553</v>
      </c>
      <c r="T66" s="132">
        <v>6107514041.5300016</v>
      </c>
      <c r="U66" s="132"/>
      <c r="V66" s="132">
        <v>1458943296.5900004</v>
      </c>
      <c r="W66" s="132">
        <v>4648570744.9400015</v>
      </c>
      <c r="X66" s="132">
        <v>4076491798.2640004</v>
      </c>
      <c r="Y66" s="132">
        <v>-594207919.71100044</v>
      </c>
      <c r="Z66" s="132">
        <v>764902655.13899946</v>
      </c>
      <c r="AA66" s="132">
        <v>497241570.30389994</v>
      </c>
      <c r="AB66" s="132">
        <v>5961472435</v>
      </c>
      <c r="AC66" s="132">
        <v>8770185392.6141014</v>
      </c>
      <c r="AD66" s="96">
        <v>4.7824941974494342E-2</v>
      </c>
      <c r="AE66" s="5">
        <f>SUMIFS(PGĐ!$H:$H,PGĐ!$F:$F,"="&amp;'HQ2'!B66,PGĐ!$I:$I,"="&amp;'HQ2'!A66)</f>
        <v>0</v>
      </c>
      <c r="AF66" s="96"/>
      <c r="AG66" s="7">
        <f>SUMIFS(ĐMCP!$Q:$Q,ĐMCP!$P:$P,"="&amp;'HQ2'!B66,ĐMCP!$O:$O,"="&amp;'HQ2'!A66)</f>
        <v>0</v>
      </c>
      <c r="AH66" s="7">
        <f t="shared" si="0"/>
        <v>0</v>
      </c>
    </row>
    <row r="67" spans="1:34" x14ac:dyDescent="0.25">
      <c r="A67" s="123" t="s">
        <v>52</v>
      </c>
      <c r="B67" s="16" t="s">
        <v>268</v>
      </c>
      <c r="C67" s="7">
        <v>11392854526</v>
      </c>
      <c r="D67" s="7">
        <v>730174686</v>
      </c>
      <c r="E67" s="7">
        <v>10662679840</v>
      </c>
      <c r="F67" s="7">
        <v>8172145333.4200001</v>
      </c>
      <c r="G67" s="7">
        <v>6269274404.3999996</v>
      </c>
      <c r="H67" s="7">
        <v>285430639.35300004</v>
      </c>
      <c r="I67" s="7">
        <v>7886714694.0670004</v>
      </c>
      <c r="J67" s="7">
        <v>53684443</v>
      </c>
      <c r="M67" s="7">
        <v>53684443</v>
      </c>
      <c r="N67" s="7">
        <v>29526443.650000002</v>
      </c>
      <c r="O67" s="7">
        <v>3523813583.3000002</v>
      </c>
      <c r="P67" s="7">
        <v>165000000</v>
      </c>
      <c r="R67" s="7">
        <v>3358813583.3000002</v>
      </c>
      <c r="S67" s="7">
        <v>1918900185.6650002</v>
      </c>
      <c r="T67" s="7">
        <v>3431878905.8000002</v>
      </c>
      <c r="W67" s="7">
        <v>3431878905.8000002</v>
      </c>
      <c r="X67" s="7">
        <v>1887533398.1900003</v>
      </c>
      <c r="Y67" s="7">
        <v>31366787.474999905</v>
      </c>
      <c r="Z67" s="7">
        <v>60893231.124999911</v>
      </c>
      <c r="AA67" s="7">
        <v>245164360.00259998</v>
      </c>
      <c r="AB67" s="7">
        <v>2868176514</v>
      </c>
      <c r="AC67" s="7">
        <v>4712480588.9394016</v>
      </c>
      <c r="AD67" s="17">
        <v>7.7209882044812061E-3</v>
      </c>
      <c r="AE67" s="5">
        <f>SUMIFS(PGĐ!$H:$H,PGĐ!$F:$F,"="&amp;'HQ2'!B67,PGĐ!$I:$I,"="&amp;'HQ2'!A67)</f>
        <v>0</v>
      </c>
      <c r="AF67" s="17"/>
      <c r="AG67" s="7">
        <f>SUMIFS(ĐMCP!$Q:$Q,ĐMCP!$P:$P,"="&amp;'HQ2'!B67,ĐMCP!$O:$O,"="&amp;'HQ2'!A67)</f>
        <v>2868176513.7967248</v>
      </c>
      <c r="AH67" s="7">
        <f t="shared" si="0"/>
        <v>-0.20327520370483398</v>
      </c>
    </row>
    <row r="68" spans="1:34" x14ac:dyDescent="0.25">
      <c r="A68" s="123" t="s">
        <v>52</v>
      </c>
      <c r="B68" s="16" t="s">
        <v>270</v>
      </c>
      <c r="C68" s="7">
        <v>8626129701</v>
      </c>
      <c r="D68" s="7">
        <v>3179859852</v>
      </c>
      <c r="E68" s="7">
        <v>5446269849</v>
      </c>
      <c r="F68" s="7">
        <v>7330184840.8199997</v>
      </c>
      <c r="G68" s="7">
        <v>4450575432</v>
      </c>
      <c r="H68" s="7">
        <v>287960940.88199997</v>
      </c>
      <c r="I68" s="7">
        <v>7042223899.9379997</v>
      </c>
      <c r="J68" s="7">
        <v>1834907670</v>
      </c>
      <c r="L68" s="7">
        <v>571598823</v>
      </c>
      <c r="M68" s="7">
        <v>1263308847</v>
      </c>
      <c r="N68" s="7">
        <v>1329584131.1999998</v>
      </c>
      <c r="O68" s="7">
        <v>1705091909.4200001</v>
      </c>
      <c r="Q68" s="7">
        <v>994691744.58999991</v>
      </c>
      <c r="R68" s="7">
        <v>710400164.83000016</v>
      </c>
      <c r="S68" s="7">
        <v>1420931843.4879999</v>
      </c>
      <c r="T68" s="7">
        <v>2518215386.7299995</v>
      </c>
      <c r="V68" s="7">
        <v>1458943296.5900004</v>
      </c>
      <c r="W68" s="7">
        <v>1059272090.1399992</v>
      </c>
      <c r="X68" s="7">
        <v>2094506550.6739998</v>
      </c>
      <c r="Y68" s="7">
        <v>-673574707.18599987</v>
      </c>
      <c r="Z68" s="7">
        <v>656009424.01399994</v>
      </c>
      <c r="AA68" s="7">
        <v>219905545.22459999</v>
      </c>
      <c r="AB68" s="7">
        <v>2735321403</v>
      </c>
      <c r="AC68" s="7">
        <v>3430987527.6993999</v>
      </c>
      <c r="AD68" s="17">
        <v>9.3153730034027396E-2</v>
      </c>
      <c r="AE68" s="5">
        <f>SUMIFS(PGĐ!$H:$H,PGĐ!$F:$F,"="&amp;'HQ2'!B68,PGĐ!$I:$I,"="&amp;'HQ2'!A68)</f>
        <v>1440173378</v>
      </c>
      <c r="AF68" s="17"/>
      <c r="AG68" s="7">
        <f>SUMIFS(ĐMCP!$Q:$Q,ĐMCP!$P:$P,"="&amp;'HQ2'!B68,ĐMCP!$O:$O,"="&amp;'HQ2'!A68)</f>
        <v>2735321403.0047836</v>
      </c>
      <c r="AH68" s="7">
        <f t="shared" ref="AH68:AH131" si="1">IF(AG68=0,0,AG68-AB68)</f>
        <v>4.78363037109375E-3</v>
      </c>
    </row>
    <row r="69" spans="1:34" x14ac:dyDescent="0.25">
      <c r="A69" s="123" t="s">
        <v>52</v>
      </c>
      <c r="B69" s="16" t="s">
        <v>271</v>
      </c>
      <c r="C69" s="7">
        <v>899409691</v>
      </c>
      <c r="D69" s="7">
        <v>300744654</v>
      </c>
      <c r="E69" s="7">
        <v>598665037</v>
      </c>
      <c r="F69" s="7">
        <v>715299010.08999991</v>
      </c>
      <c r="G69" s="7">
        <v>710502243.5</v>
      </c>
      <c r="H69" s="7">
        <v>959353.31799998286</v>
      </c>
      <c r="I69" s="7">
        <v>714339656.77199996</v>
      </c>
      <c r="O69" s="7">
        <v>80000000</v>
      </c>
      <c r="R69" s="7">
        <v>80000000</v>
      </c>
      <c r="S69" s="7">
        <v>48000000</v>
      </c>
      <c r="Y69" s="7">
        <v>48000000</v>
      </c>
      <c r="Z69" s="7">
        <v>48000000</v>
      </c>
      <c r="AA69" s="7">
        <v>21458970.302699998</v>
      </c>
      <c r="AB69" s="7">
        <v>223434794</v>
      </c>
      <c r="AC69" s="7">
        <v>421445892.46929997</v>
      </c>
      <c r="AD69" s="17">
        <v>6.7194925474115805E-2</v>
      </c>
      <c r="AE69" s="5">
        <f>SUMIFS(PGĐ!$H:$H,PGĐ!$F:$F,"="&amp;'HQ2'!B69,PGĐ!$I:$I,"="&amp;'HQ2'!A69)</f>
        <v>0</v>
      </c>
      <c r="AF69" s="17"/>
      <c r="AG69" s="7">
        <f>SUMIFS(ĐMCP!$Q:$Q,ĐMCP!$P:$P,"="&amp;'HQ2'!B69,ĐMCP!$O:$O,"="&amp;'HQ2'!A69)</f>
        <v>223434793.69617164</v>
      </c>
      <c r="AH69" s="7">
        <f t="shared" si="1"/>
        <v>-0.30382835865020752</v>
      </c>
    </row>
    <row r="70" spans="1:34" x14ac:dyDescent="0.25">
      <c r="A70" s="123" t="s">
        <v>52</v>
      </c>
      <c r="B70" s="16" t="s">
        <v>269</v>
      </c>
      <c r="C70" s="7">
        <v>552342293</v>
      </c>
      <c r="E70" s="7">
        <v>552342293</v>
      </c>
      <c r="F70" s="7">
        <v>331405375.80000001</v>
      </c>
      <c r="G70" s="7">
        <v>317114040.59999996</v>
      </c>
      <c r="H70" s="7">
        <v>1429133.5200000049</v>
      </c>
      <c r="I70" s="7">
        <v>329976242.28000003</v>
      </c>
      <c r="O70" s="7">
        <v>157419749</v>
      </c>
      <c r="R70" s="7">
        <v>157419749</v>
      </c>
      <c r="S70" s="7">
        <v>94451849.399999991</v>
      </c>
      <c r="T70" s="7">
        <v>157419749</v>
      </c>
      <c r="W70" s="7">
        <v>157419749</v>
      </c>
      <c r="X70" s="7">
        <v>94451849.399999991</v>
      </c>
      <c r="Y70" s="7">
        <v>0</v>
      </c>
      <c r="Z70" s="7">
        <v>0</v>
      </c>
      <c r="AA70" s="7">
        <v>9942161.2740000002</v>
      </c>
      <c r="AB70" s="7">
        <v>134539724</v>
      </c>
      <c r="AC70" s="7">
        <v>185494357.00600004</v>
      </c>
      <c r="AD70" s="17">
        <v>0</v>
      </c>
      <c r="AE70" s="5">
        <f>SUMIFS(PGĐ!$H:$H,PGĐ!$F:$F,"="&amp;'HQ2'!B70,PGĐ!$I:$I,"="&amp;'HQ2'!A70)</f>
        <v>0</v>
      </c>
      <c r="AF70" s="17"/>
      <c r="AG70" s="7">
        <f>SUMIFS(ĐMCP!$Q:$Q,ĐMCP!$P:$P,"="&amp;'HQ2'!B70,ĐMCP!$O:$O,"="&amp;'HQ2'!A70)</f>
        <v>134539724.24453884</v>
      </c>
      <c r="AH70" s="7">
        <f t="shared" si="1"/>
        <v>0.24453884363174438</v>
      </c>
    </row>
    <row r="71" spans="1:34" x14ac:dyDescent="0.25">
      <c r="A71" s="123" t="s">
        <v>52</v>
      </c>
      <c r="B71" s="16" t="s">
        <v>272</v>
      </c>
      <c r="C71" s="7">
        <v>27470000</v>
      </c>
      <c r="D71" s="7">
        <v>27470000</v>
      </c>
      <c r="F71" s="7">
        <v>25684450</v>
      </c>
      <c r="H71" s="7">
        <v>5136890</v>
      </c>
      <c r="I71" s="7">
        <v>20547560</v>
      </c>
      <c r="AA71" s="7">
        <v>770533.5</v>
      </c>
      <c r="AB71" s="7">
        <v>0</v>
      </c>
      <c r="AC71" s="7">
        <v>19777026.5</v>
      </c>
      <c r="AD71" s="17"/>
      <c r="AE71" s="5">
        <f>SUMIFS(PGĐ!$H:$H,PGĐ!$F:$F,"="&amp;'HQ2'!B71,PGĐ!$I:$I,"="&amp;'HQ2'!A71)</f>
        <v>0</v>
      </c>
      <c r="AF71" s="17"/>
      <c r="AG71" s="7">
        <f>SUMIFS(ĐMCP!$Q:$Q,ĐMCP!$P:$P,"="&amp;'HQ2'!B71,ĐMCP!$O:$O,"="&amp;'HQ2'!A71)</f>
        <v>0</v>
      </c>
      <c r="AH71" s="7">
        <f t="shared" si="1"/>
        <v>0</v>
      </c>
    </row>
    <row r="72" spans="1:34" x14ac:dyDescent="0.25">
      <c r="A72" s="123" t="s">
        <v>52</v>
      </c>
      <c r="B72" s="16" t="s">
        <v>273</v>
      </c>
      <c r="AB72" s="7">
        <v>0</v>
      </c>
      <c r="AC72" s="7">
        <v>0</v>
      </c>
      <c r="AD72" s="17"/>
      <c r="AE72" s="5">
        <f>SUMIFS(PGĐ!$H:$H,PGĐ!$F:$F,"="&amp;'HQ2'!B72,PGĐ!$I:$I,"="&amp;'HQ2'!A72)</f>
        <v>0</v>
      </c>
      <c r="AF72" s="17"/>
      <c r="AG72" s="7">
        <f>SUMIFS(ĐMCP!$Q:$Q,ĐMCP!$P:$P,"="&amp;'HQ2'!B72,ĐMCP!$O:$O,"="&amp;'HQ2'!A72)</f>
        <v>0</v>
      </c>
      <c r="AH72" s="7">
        <f t="shared" si="1"/>
        <v>0</v>
      </c>
    </row>
    <row r="73" spans="1:34" x14ac:dyDescent="0.25">
      <c r="A73" s="123" t="s">
        <v>52</v>
      </c>
      <c r="B73" s="16" t="s">
        <v>23</v>
      </c>
      <c r="AB73" s="7">
        <v>0</v>
      </c>
      <c r="AC73" s="7">
        <v>0</v>
      </c>
      <c r="AD73" s="17"/>
      <c r="AE73" s="5">
        <f>SUMIFS(PGĐ!$H:$H,PGĐ!$F:$F,"="&amp;'HQ2'!B73,PGĐ!$I:$I,"="&amp;'HQ2'!A73)</f>
        <v>0</v>
      </c>
      <c r="AF73" s="17"/>
      <c r="AG73" s="7">
        <f>SUMIFS(ĐMCP!$Q:$Q,ĐMCP!$P:$P,"="&amp;'HQ2'!B73,ĐMCP!$O:$O,"="&amp;'HQ2'!A73)</f>
        <v>0</v>
      </c>
      <c r="AH73" s="7">
        <f t="shared" si="1"/>
        <v>0</v>
      </c>
    </row>
    <row r="74" spans="1:34" x14ac:dyDescent="0.25">
      <c r="A74" s="123" t="s">
        <v>53</v>
      </c>
      <c r="B74" s="15" t="s">
        <v>45</v>
      </c>
      <c r="C74" s="132">
        <v>21114053213</v>
      </c>
      <c r="D74" s="132">
        <v>2188709329</v>
      </c>
      <c r="E74" s="132">
        <v>18925343884</v>
      </c>
      <c r="F74" s="132">
        <v>15049088266.16</v>
      </c>
      <c r="G74" s="132">
        <v>12211356272.549999</v>
      </c>
      <c r="H74" s="132">
        <v>510942441.67050004</v>
      </c>
      <c r="I74" s="132">
        <v>14538145824.4895</v>
      </c>
      <c r="J74" s="132">
        <v>1964415552</v>
      </c>
      <c r="K74" s="132">
        <v>1851307895</v>
      </c>
      <c r="L74" s="132"/>
      <c r="M74" s="132">
        <v>113107657</v>
      </c>
      <c r="N74" s="132">
        <v>175445161</v>
      </c>
      <c r="O74" s="132">
        <v>69543996174.25</v>
      </c>
      <c r="P74" s="132">
        <v>44703321076.449997</v>
      </c>
      <c r="Q74" s="132">
        <v>1161099117</v>
      </c>
      <c r="R74" s="132">
        <v>23679575980.800003</v>
      </c>
      <c r="S74" s="132">
        <v>34666430066.459999</v>
      </c>
      <c r="T74" s="132">
        <v>75250595076.149994</v>
      </c>
      <c r="U74" s="132">
        <v>49047153471.449997</v>
      </c>
      <c r="V74" s="132">
        <v>1074700000</v>
      </c>
      <c r="W74" s="132">
        <v>25128741604.699997</v>
      </c>
      <c r="X74" s="132">
        <v>35438814984.959999</v>
      </c>
      <c r="Y74" s="132">
        <v>-772384918.5</v>
      </c>
      <c r="Z74" s="132">
        <v>-596939757.5</v>
      </c>
      <c r="AA74" s="132">
        <v>451472647.98479998</v>
      </c>
      <c r="AB74" s="132">
        <v>8025380974</v>
      </c>
      <c r="AC74" s="132">
        <v>6658231960.0046968</v>
      </c>
      <c r="AD74" s="96">
        <v>-4.106024005444045E-2</v>
      </c>
      <c r="AE74" s="5">
        <f>SUMIFS(PGĐ!$H:$H,PGĐ!$F:$F,"="&amp;'HQ2'!B74,PGĐ!$I:$I,"="&amp;'HQ2'!A74)</f>
        <v>0</v>
      </c>
      <c r="AF74" s="96"/>
      <c r="AG74" s="7">
        <f>SUMIFS(ĐMCP!$Q:$Q,ĐMCP!$P:$P,"="&amp;'HQ2'!B74,ĐMCP!$O:$O,"="&amp;'HQ2'!A74)</f>
        <v>0</v>
      </c>
      <c r="AH74" s="7">
        <f t="shared" si="1"/>
        <v>0</v>
      </c>
    </row>
    <row r="75" spans="1:34" x14ac:dyDescent="0.25">
      <c r="A75" s="123" t="s">
        <v>53</v>
      </c>
      <c r="B75" s="16" t="s">
        <v>268</v>
      </c>
      <c r="C75" s="7">
        <v>9050938257</v>
      </c>
      <c r="D75" s="7">
        <v>762236797</v>
      </c>
      <c r="E75" s="7">
        <v>8288701460</v>
      </c>
      <c r="F75" s="7">
        <v>6541460715.0900002</v>
      </c>
      <c r="G75" s="7">
        <v>7039500972.6999998</v>
      </c>
      <c r="H75" s="7">
        <v>-74706038.641499951</v>
      </c>
      <c r="I75" s="7">
        <v>6616166753.7314997</v>
      </c>
      <c r="J75" s="7">
        <v>693284331</v>
      </c>
      <c r="K75" s="7">
        <v>626062167</v>
      </c>
      <c r="M75" s="7">
        <v>67222164</v>
      </c>
      <c r="N75" s="7">
        <v>74489658.200000003</v>
      </c>
      <c r="O75" s="7">
        <v>65352686768.25</v>
      </c>
      <c r="P75" s="7">
        <v>43041921959.449997</v>
      </c>
      <c r="Q75" s="7">
        <v>903000000</v>
      </c>
      <c r="R75" s="7">
        <v>21407764808.800003</v>
      </c>
      <c r="S75" s="7">
        <v>32571459794.690002</v>
      </c>
      <c r="T75" s="7">
        <v>64706074245.849998</v>
      </c>
      <c r="U75" s="7">
        <v>43041921959.449997</v>
      </c>
      <c r="V75" s="7">
        <v>903000000</v>
      </c>
      <c r="W75" s="7">
        <v>20761152286.400002</v>
      </c>
      <c r="X75" s="7">
        <v>32154888824</v>
      </c>
      <c r="Y75" s="7">
        <v>416570970.69000244</v>
      </c>
      <c r="Z75" s="7">
        <v>491060628.89000243</v>
      </c>
      <c r="AA75" s="7">
        <v>196243821.45269999</v>
      </c>
      <c r="AB75" s="7">
        <v>2815779348</v>
      </c>
      <c r="AC75" s="7">
        <v>3113082955.3887973</v>
      </c>
      <c r="AD75" s="17">
        <v>7.4221319862146098E-2</v>
      </c>
      <c r="AE75" s="5">
        <f>SUMIFS(PGĐ!$H:$H,PGĐ!$F:$F,"="&amp;'HQ2'!B75,PGĐ!$I:$I,"="&amp;'HQ2'!A75)</f>
        <v>107060176</v>
      </c>
      <c r="AF75" s="17"/>
      <c r="AG75" s="7">
        <f>SUMIFS(ĐMCP!$Q:$Q,ĐMCP!$P:$P,"="&amp;'HQ2'!B75,ĐMCP!$O:$O,"="&amp;'HQ2'!A75)</f>
        <v>2815779347.5096531</v>
      </c>
      <c r="AH75" s="7">
        <f t="shared" si="1"/>
        <v>-0.49034690856933594</v>
      </c>
    </row>
    <row r="76" spans="1:34" x14ac:dyDescent="0.25">
      <c r="A76" s="123" t="s">
        <v>53</v>
      </c>
      <c r="B76" s="16" t="s">
        <v>271</v>
      </c>
      <c r="C76" s="7">
        <v>4814977238</v>
      </c>
      <c r="D76" s="7">
        <v>84193205</v>
      </c>
      <c r="E76" s="7">
        <v>4730784033</v>
      </c>
      <c r="F76" s="7">
        <v>3394479130.0250001</v>
      </c>
      <c r="G76" s="7">
        <v>832831714.39999998</v>
      </c>
      <c r="H76" s="7">
        <v>512329483.125</v>
      </c>
      <c r="I76" s="7">
        <v>2882149646.9000001</v>
      </c>
      <c r="J76" s="7">
        <v>1246311193</v>
      </c>
      <c r="K76" s="7">
        <v>1225245728</v>
      </c>
      <c r="M76" s="7">
        <v>21065465</v>
      </c>
      <c r="N76" s="7">
        <v>86063486</v>
      </c>
      <c r="O76" s="7">
        <v>4031145406</v>
      </c>
      <c r="P76" s="7">
        <v>1661399117</v>
      </c>
      <c r="Q76" s="7">
        <v>211399117</v>
      </c>
      <c r="R76" s="7">
        <v>2158347172</v>
      </c>
      <c r="S76" s="7">
        <v>1980191871.77</v>
      </c>
      <c r="T76" s="7">
        <v>10429356830.299999</v>
      </c>
      <c r="U76" s="7">
        <v>6005231512</v>
      </c>
      <c r="V76" s="7">
        <v>170000000</v>
      </c>
      <c r="W76" s="7">
        <v>4254125318.2999992</v>
      </c>
      <c r="X76" s="7">
        <v>3214147760.9599996</v>
      </c>
      <c r="Y76" s="7">
        <v>-1233955889.1899996</v>
      </c>
      <c r="Z76" s="7">
        <v>-1147892403.1899996</v>
      </c>
      <c r="AA76" s="7">
        <v>101834373.90075</v>
      </c>
      <c r="AB76" s="7">
        <v>3413504773</v>
      </c>
      <c r="AC76" s="7">
        <v>514702903.18924969</v>
      </c>
      <c r="AD76" s="17">
        <v>-0.39827647548580852</v>
      </c>
      <c r="AE76" s="5">
        <f>SUMIFS(PGĐ!$H:$H,PGĐ!$F:$F,"="&amp;'HQ2'!B76,PGĐ!$I:$I,"="&amp;'HQ2'!A76)</f>
        <v>580963550</v>
      </c>
      <c r="AF76" s="17"/>
      <c r="AG76" s="7">
        <f>SUMIFS(ĐMCP!$Q:$Q,ĐMCP!$P:$P,"="&amp;'HQ2'!B76,ĐMCP!$O:$O,"="&amp;'HQ2'!A76)</f>
        <v>3413504772.8470979</v>
      </c>
      <c r="AH76" s="7">
        <f t="shared" si="1"/>
        <v>-0.15290212631225586</v>
      </c>
    </row>
    <row r="77" spans="1:34" x14ac:dyDescent="0.25">
      <c r="A77" s="123" t="s">
        <v>53</v>
      </c>
      <c r="B77" s="16" t="s">
        <v>270</v>
      </c>
      <c r="C77" s="7">
        <v>3807049372</v>
      </c>
      <c r="D77" s="7">
        <v>1342279327</v>
      </c>
      <c r="E77" s="7">
        <v>2464770045</v>
      </c>
      <c r="F77" s="7">
        <v>3226847206.7449999</v>
      </c>
      <c r="G77" s="7">
        <v>1932755926.4000001</v>
      </c>
      <c r="H77" s="7">
        <v>129409128.03449999</v>
      </c>
      <c r="I77" s="7">
        <v>3097438078.7104998</v>
      </c>
      <c r="J77" s="7">
        <v>24820028</v>
      </c>
      <c r="M77" s="7">
        <v>24820028</v>
      </c>
      <c r="N77" s="7">
        <v>14892016.799999999</v>
      </c>
      <c r="O77" s="7">
        <v>160164000</v>
      </c>
      <c r="Q77" s="7">
        <v>46700000</v>
      </c>
      <c r="R77" s="7">
        <v>113464000</v>
      </c>
      <c r="S77" s="7">
        <v>114778400</v>
      </c>
      <c r="T77" s="7">
        <v>115164000</v>
      </c>
      <c r="V77" s="7">
        <v>1700000</v>
      </c>
      <c r="W77" s="7">
        <v>113464000</v>
      </c>
      <c r="X77" s="7">
        <v>69778400</v>
      </c>
      <c r="Y77" s="7">
        <v>45000000</v>
      </c>
      <c r="Z77" s="7">
        <v>59892016.799999997</v>
      </c>
      <c r="AA77" s="7">
        <v>96805416.202349991</v>
      </c>
      <c r="AB77" s="7">
        <v>896532230</v>
      </c>
      <c r="AC77" s="7">
        <v>2044208415.7081497</v>
      </c>
      <c r="AD77" s="17">
        <v>1.9335985184547662E-2</v>
      </c>
      <c r="AE77" s="5">
        <f>SUMIFS(PGĐ!$H:$H,PGĐ!$F:$F,"="&amp;'HQ2'!B77,PGĐ!$I:$I,"="&amp;'HQ2'!A77)</f>
        <v>41757604</v>
      </c>
      <c r="AF77" s="17"/>
      <c r="AG77" s="7">
        <f>SUMIFS(ĐMCP!$Q:$Q,ĐMCP!$P:$P,"="&amp;'HQ2'!B77,ĐMCP!$O:$O,"="&amp;'HQ2'!A77)</f>
        <v>896532229.92640114</v>
      </c>
      <c r="AH77" s="7">
        <f t="shared" si="1"/>
        <v>-7.3598861694335938E-2</v>
      </c>
    </row>
    <row r="78" spans="1:34" x14ac:dyDescent="0.25">
      <c r="A78" s="123" t="s">
        <v>53</v>
      </c>
      <c r="B78" s="16" t="s">
        <v>269</v>
      </c>
      <c r="C78" s="7">
        <v>2600496532</v>
      </c>
      <c r="E78" s="7">
        <v>2600496532</v>
      </c>
      <c r="F78" s="7">
        <v>1560297919.2</v>
      </c>
      <c r="G78" s="7">
        <v>2039334454.8</v>
      </c>
      <c r="H78" s="7">
        <v>-47903653.559999995</v>
      </c>
      <c r="I78" s="7">
        <v>1608201572.76</v>
      </c>
      <c r="AA78" s="7">
        <v>46808937.575999998</v>
      </c>
      <c r="AB78" s="7">
        <v>784823471</v>
      </c>
      <c r="AC78" s="7">
        <v>776569164.18400002</v>
      </c>
      <c r="AD78" s="17"/>
      <c r="AE78" s="5">
        <f>SUMIFS(PGĐ!$H:$H,PGĐ!$F:$F,"="&amp;'HQ2'!B78,PGĐ!$I:$I,"="&amp;'HQ2'!A78)</f>
        <v>0</v>
      </c>
      <c r="AF78" s="17"/>
      <c r="AG78" s="7">
        <f>SUMIFS(ĐMCP!$Q:$Q,ĐMCP!$P:$P,"="&amp;'HQ2'!B78,ĐMCP!$O:$O,"="&amp;'HQ2'!A78)</f>
        <v>784823470.57491541</v>
      </c>
      <c r="AH78" s="7">
        <f t="shared" si="1"/>
        <v>-0.42508459091186523</v>
      </c>
    </row>
    <row r="79" spans="1:34" x14ac:dyDescent="0.25">
      <c r="A79" s="123" t="s">
        <v>53</v>
      </c>
      <c r="B79" s="16" t="s">
        <v>23</v>
      </c>
      <c r="C79" s="7">
        <v>681611013</v>
      </c>
      <c r="E79" s="7">
        <v>681611013</v>
      </c>
      <c r="F79" s="7">
        <v>238563854.54999998</v>
      </c>
      <c r="G79" s="7">
        <v>226252301.79999998</v>
      </c>
      <c r="H79" s="7">
        <v>3077888.1875</v>
      </c>
      <c r="I79" s="7">
        <v>235485966.36249998</v>
      </c>
      <c r="AA79" s="7">
        <v>7156915.6364999991</v>
      </c>
      <c r="AB79" s="7">
        <v>92395639</v>
      </c>
      <c r="AC79" s="7">
        <v>135933411.72599998</v>
      </c>
      <c r="AD79" s="17"/>
      <c r="AE79" s="5">
        <f>SUMIFS(PGĐ!$H:$H,PGĐ!$F:$F,"="&amp;'HQ2'!B79,PGĐ!$I:$I,"="&amp;'HQ2'!A79)</f>
        <v>0</v>
      </c>
      <c r="AF79" s="17"/>
      <c r="AG79" s="7">
        <f>SUMIFS(ĐMCP!$Q:$Q,ĐMCP!$P:$P,"="&amp;'HQ2'!B79,ĐMCP!$O:$O,"="&amp;'HQ2'!A79)</f>
        <v>92395638.635576636</v>
      </c>
      <c r="AH79" s="7">
        <f t="shared" si="1"/>
        <v>-0.36442336440086365</v>
      </c>
    </row>
    <row r="80" spans="1:34" x14ac:dyDescent="0.25">
      <c r="A80" s="123" t="s">
        <v>53</v>
      </c>
      <c r="B80" s="16" t="s">
        <v>273</v>
      </c>
      <c r="C80" s="7">
        <v>158980801</v>
      </c>
      <c r="E80" s="7">
        <v>158980801</v>
      </c>
      <c r="F80" s="7">
        <v>87439440.550000012</v>
      </c>
      <c r="G80" s="7">
        <v>99760902.450000003</v>
      </c>
      <c r="H80" s="7">
        <v>-3080365.4749999978</v>
      </c>
      <c r="I80" s="7">
        <v>90519806.025000006</v>
      </c>
      <c r="AA80" s="7">
        <v>2623183.2165000001</v>
      </c>
      <c r="AB80" s="7">
        <v>22345513</v>
      </c>
      <c r="AC80" s="7">
        <v>65551109.808500007</v>
      </c>
      <c r="AD80" s="17"/>
      <c r="AE80" s="5">
        <f>SUMIFS(PGĐ!$H:$H,PGĐ!$F:$F,"="&amp;'HQ2'!B80,PGĐ!$I:$I,"="&amp;'HQ2'!A80)</f>
        <v>0</v>
      </c>
      <c r="AF80" s="17"/>
      <c r="AG80" s="7">
        <f>SUMIFS(ĐMCP!$Q:$Q,ĐMCP!$P:$P,"="&amp;'HQ2'!B80,ĐMCP!$O:$O,"="&amp;'HQ2'!A80)</f>
        <v>22345513.285195567</v>
      </c>
      <c r="AH80" s="7">
        <f t="shared" si="1"/>
        <v>0.28519556671380997</v>
      </c>
    </row>
    <row r="81" spans="1:34" x14ac:dyDescent="0.25">
      <c r="A81" s="123" t="s">
        <v>53</v>
      </c>
      <c r="B81" s="16" t="s">
        <v>272</v>
      </c>
      <c r="G81" s="7">
        <v>40920000</v>
      </c>
      <c r="H81" s="7">
        <v>-8184000</v>
      </c>
      <c r="I81" s="7">
        <v>8184000</v>
      </c>
      <c r="AB81" s="7">
        <v>0</v>
      </c>
      <c r="AC81" s="7">
        <v>8184000</v>
      </c>
      <c r="AD81" s="17"/>
      <c r="AE81" s="5">
        <f>SUMIFS(PGĐ!$H:$H,PGĐ!$F:$F,"="&amp;'HQ2'!B81,PGĐ!$I:$I,"="&amp;'HQ2'!A81)</f>
        <v>0</v>
      </c>
      <c r="AF81" s="17"/>
      <c r="AG81" s="7">
        <f>SUMIFS(ĐMCP!$Q:$Q,ĐMCP!$P:$P,"="&amp;'HQ2'!B81,ĐMCP!$O:$O,"="&amp;'HQ2'!A81)</f>
        <v>0</v>
      </c>
      <c r="AH81" s="7">
        <f t="shared" si="1"/>
        <v>0</v>
      </c>
    </row>
    <row r="82" spans="1:34" x14ac:dyDescent="0.25">
      <c r="A82" s="123" t="s">
        <v>57</v>
      </c>
      <c r="B82" s="15" t="s">
        <v>45</v>
      </c>
      <c r="C82" s="132">
        <v>17201575431</v>
      </c>
      <c r="D82" s="132">
        <v>3686998326</v>
      </c>
      <c r="E82" s="132">
        <v>13514577105</v>
      </c>
      <c r="F82" s="132">
        <v>13132092050.875002</v>
      </c>
      <c r="G82" s="132">
        <v>9263226779.2999992</v>
      </c>
      <c r="H82" s="132">
        <v>618200638.20249987</v>
      </c>
      <c r="I82" s="132">
        <v>12513891412.672503</v>
      </c>
      <c r="J82" s="132">
        <v>12121127536</v>
      </c>
      <c r="K82" s="132">
        <v>8075763941</v>
      </c>
      <c r="L82" s="132">
        <v>165142000</v>
      </c>
      <c r="M82" s="132">
        <v>3880221595</v>
      </c>
      <c r="N82" s="132">
        <v>2970620674.25</v>
      </c>
      <c r="O82" s="132">
        <v>66352543170.699997</v>
      </c>
      <c r="P82" s="132">
        <v>64304443927.699997</v>
      </c>
      <c r="Q82" s="132">
        <v>17965037074</v>
      </c>
      <c r="R82" s="132">
        <v>-15916937831</v>
      </c>
      <c r="S82" s="132">
        <v>13958171572.269999</v>
      </c>
      <c r="T82" s="132">
        <v>74080191020</v>
      </c>
      <c r="U82" s="132">
        <v>72690550889</v>
      </c>
      <c r="V82" s="132">
        <v>24342825174</v>
      </c>
      <c r="W82" s="132">
        <v>-22953185043</v>
      </c>
      <c r="X82" s="132">
        <v>16077856969.679998</v>
      </c>
      <c r="Y82" s="132">
        <v>-2119685397.4099998</v>
      </c>
      <c r="Z82" s="132">
        <v>850935276.84000015</v>
      </c>
      <c r="AA82" s="132">
        <v>393962761.52625006</v>
      </c>
      <c r="AB82" s="132">
        <v>3394193694</v>
      </c>
      <c r="AC82" s="132">
        <v>7874799680.3062506</v>
      </c>
      <c r="AD82" s="96">
        <v>6.7999253691643793E-2</v>
      </c>
      <c r="AE82" s="5">
        <f>SUMIFS(PGĐ!$H:$H,PGĐ!$F:$F,"="&amp;'HQ2'!B82,PGĐ!$I:$I,"="&amp;'HQ2'!A82)</f>
        <v>0</v>
      </c>
      <c r="AF82" s="96"/>
      <c r="AG82" s="7">
        <f>SUMIFS(ĐMCP!$Q:$Q,ĐMCP!$P:$P,"="&amp;'HQ2'!B82,ĐMCP!$O:$O,"="&amp;'HQ2'!A82)</f>
        <v>0</v>
      </c>
      <c r="AH82" s="7">
        <f t="shared" si="1"/>
        <v>0</v>
      </c>
    </row>
    <row r="83" spans="1:34" x14ac:dyDescent="0.25">
      <c r="A83" s="123" t="s">
        <v>57</v>
      </c>
      <c r="B83" s="16" t="s">
        <v>268</v>
      </c>
      <c r="C83" s="7">
        <v>9701188685</v>
      </c>
      <c r="D83" s="7">
        <v>830123989</v>
      </c>
      <c r="E83" s="7">
        <v>8871064696</v>
      </c>
      <c r="F83" s="7">
        <v>7014965556.5299997</v>
      </c>
      <c r="G83" s="7">
        <v>3812930767.7999997</v>
      </c>
      <c r="H83" s="7">
        <v>480305218.30949998</v>
      </c>
      <c r="I83" s="7">
        <v>6534660338.2205</v>
      </c>
      <c r="J83" s="7">
        <v>12098485536</v>
      </c>
      <c r="K83" s="7">
        <v>8075763941</v>
      </c>
      <c r="L83" s="7">
        <v>142500000</v>
      </c>
      <c r="M83" s="7">
        <v>3880221595</v>
      </c>
      <c r="N83" s="7">
        <v>2947978674.25</v>
      </c>
      <c r="O83" s="7">
        <v>65262152170.699997</v>
      </c>
      <c r="P83" s="7">
        <v>63954443927.699997</v>
      </c>
      <c r="Q83" s="7">
        <v>17517537074</v>
      </c>
      <c r="R83" s="7">
        <v>-16209828831</v>
      </c>
      <c r="S83" s="7">
        <v>13303090686.109999</v>
      </c>
      <c r="T83" s="7">
        <v>73507300020</v>
      </c>
      <c r="U83" s="7">
        <v>72340550889</v>
      </c>
      <c r="V83" s="7">
        <v>24342825174</v>
      </c>
      <c r="W83" s="7">
        <v>-23176076043</v>
      </c>
      <c r="X83" s="7">
        <v>15928133686.779999</v>
      </c>
      <c r="Y83" s="7">
        <v>-2625043000.6700001</v>
      </c>
      <c r="Z83" s="7">
        <v>322935673.57999992</v>
      </c>
      <c r="AA83" s="7">
        <v>210448966.69589999</v>
      </c>
      <c r="AB83" s="7">
        <v>1067621249</v>
      </c>
      <c r="AC83" s="7">
        <v>4933654448.9446001</v>
      </c>
      <c r="AD83" s="17">
        <v>4.9418892010528098E-2</v>
      </c>
      <c r="AE83" s="5">
        <f>SUMIFS(PGĐ!$H:$H,PGĐ!$F:$F,"="&amp;'HQ2'!B83,PGĐ!$I:$I,"="&amp;'HQ2'!A83)</f>
        <v>182109055</v>
      </c>
      <c r="AF83" s="17"/>
      <c r="AG83" s="7">
        <f>SUMIFS(ĐMCP!$Q:$Q,ĐMCP!$P:$P,"="&amp;'HQ2'!B83,ĐMCP!$O:$O,"="&amp;'HQ2'!A83)</f>
        <v>1067621248.6401422</v>
      </c>
      <c r="AH83" s="7">
        <f t="shared" si="1"/>
        <v>-0.35985779762268066</v>
      </c>
    </row>
    <row r="84" spans="1:34" x14ac:dyDescent="0.25">
      <c r="A84" s="123" t="s">
        <v>57</v>
      </c>
      <c r="B84" s="16" t="s">
        <v>270</v>
      </c>
      <c r="C84" s="7">
        <v>2790840351</v>
      </c>
      <c r="D84" s="7">
        <v>378094016</v>
      </c>
      <c r="E84" s="7">
        <v>2412746335</v>
      </c>
      <c r="F84" s="7">
        <v>2283714972.96</v>
      </c>
      <c r="G84" s="7">
        <v>2425087384</v>
      </c>
      <c r="H84" s="7">
        <v>-14137241.103999997</v>
      </c>
      <c r="I84" s="7">
        <v>2297852214.0640001</v>
      </c>
      <c r="AA84" s="7">
        <v>68511449.188799992</v>
      </c>
      <c r="AB84" s="7">
        <v>837312206</v>
      </c>
      <c r="AC84" s="7">
        <v>1392028558.8752</v>
      </c>
      <c r="AD84" s="17"/>
      <c r="AE84" s="5">
        <f>SUMIFS(PGĐ!$H:$H,PGĐ!$F:$F,"="&amp;'HQ2'!B84,PGĐ!$I:$I,"="&amp;'HQ2'!A84)</f>
        <v>0</v>
      </c>
      <c r="AF84" s="17"/>
      <c r="AG84" s="7">
        <f>SUMIFS(ĐMCP!$Q:$Q,ĐMCP!$P:$P,"="&amp;'HQ2'!B84,ĐMCP!$O:$O,"="&amp;'HQ2'!A84)</f>
        <v>837312206.33413696</v>
      </c>
      <c r="AH84" s="7">
        <f t="shared" si="1"/>
        <v>0.334136962890625</v>
      </c>
    </row>
    <row r="85" spans="1:34" x14ac:dyDescent="0.25">
      <c r="A85" s="123" t="s">
        <v>57</v>
      </c>
      <c r="B85" s="16" t="s">
        <v>272</v>
      </c>
      <c r="C85" s="7">
        <v>2338471688</v>
      </c>
      <c r="D85" s="7">
        <v>2338471688</v>
      </c>
      <c r="F85" s="7">
        <v>2186471028.2800002</v>
      </c>
      <c r="G85" s="7">
        <v>1706852625.6000001</v>
      </c>
      <c r="H85" s="7">
        <v>95923680.536000013</v>
      </c>
      <c r="I85" s="7">
        <v>2090547347.7440002</v>
      </c>
      <c r="J85" s="7">
        <v>22642000</v>
      </c>
      <c r="L85" s="7">
        <v>22642000</v>
      </c>
      <c r="M85" s="7">
        <v>0</v>
      </c>
      <c r="N85" s="7">
        <v>22642000</v>
      </c>
      <c r="O85" s="7">
        <v>517500000</v>
      </c>
      <c r="Q85" s="7">
        <v>447500000</v>
      </c>
      <c r="R85" s="7">
        <v>70000000</v>
      </c>
      <c r="S85" s="7">
        <v>503500000</v>
      </c>
      <c r="Y85" s="7">
        <v>503500000</v>
      </c>
      <c r="Z85" s="7">
        <v>526142000</v>
      </c>
      <c r="AA85" s="7">
        <v>65594130.848400004</v>
      </c>
      <c r="AB85" s="7">
        <v>657410635</v>
      </c>
      <c r="AC85" s="7">
        <v>841400581.8956002</v>
      </c>
      <c r="AD85" s="17">
        <v>0.25167667241202768</v>
      </c>
      <c r="AE85" s="5">
        <f>SUMIFS(PGĐ!$H:$H,PGĐ!$F:$F,"="&amp;'HQ2'!B85,PGĐ!$I:$I,"="&amp;'HQ2'!A85)</f>
        <v>2000000</v>
      </c>
      <c r="AF85" s="17"/>
      <c r="AG85" s="7">
        <f>SUMIFS(ĐMCP!$Q:$Q,ĐMCP!$P:$P,"="&amp;'HQ2'!B85,ĐMCP!$O:$O,"="&amp;'HQ2'!A85)</f>
        <v>657410634.67146599</v>
      </c>
      <c r="AH85" s="7">
        <f t="shared" si="1"/>
        <v>-0.32853400707244873</v>
      </c>
    </row>
    <row r="86" spans="1:34" x14ac:dyDescent="0.25">
      <c r="A86" s="123" t="s">
        <v>57</v>
      </c>
      <c r="B86" s="16" t="s">
        <v>271</v>
      </c>
      <c r="C86" s="7">
        <v>1843077085</v>
      </c>
      <c r="D86" s="7">
        <v>140308633</v>
      </c>
      <c r="E86" s="7">
        <v>1702768452</v>
      </c>
      <c r="F86" s="7">
        <v>1330141919.9049997</v>
      </c>
      <c r="G86" s="7">
        <v>1097636606.5</v>
      </c>
      <c r="H86" s="7">
        <v>46501062.68099995</v>
      </c>
      <c r="I86" s="7">
        <v>1283640857.2239997</v>
      </c>
      <c r="O86" s="7">
        <v>572891000</v>
      </c>
      <c r="P86" s="7">
        <v>350000000</v>
      </c>
      <c r="R86" s="7">
        <v>222891000</v>
      </c>
      <c r="S86" s="7">
        <v>151580886.16</v>
      </c>
      <c r="T86" s="7">
        <v>572891000</v>
      </c>
      <c r="U86" s="7">
        <v>350000000</v>
      </c>
      <c r="W86" s="7">
        <v>222891000</v>
      </c>
      <c r="X86" s="7">
        <v>149723282.90000001</v>
      </c>
      <c r="Y86" s="7">
        <v>1857603.2599999905</v>
      </c>
      <c r="Z86" s="7">
        <v>1857603.2599999905</v>
      </c>
      <c r="AA86" s="7">
        <v>39904257.59714999</v>
      </c>
      <c r="AB86" s="7">
        <v>656055459</v>
      </c>
      <c r="AC86" s="7">
        <v>585823537.36684978</v>
      </c>
      <c r="AD86" s="17">
        <v>1.4471362839114058E-3</v>
      </c>
      <c r="AE86" s="5">
        <f>SUMIFS(PGĐ!$H:$H,PGĐ!$F:$F,"="&amp;'HQ2'!B86,PGĐ!$I:$I,"="&amp;'HQ2'!A86)</f>
        <v>0</v>
      </c>
      <c r="AF86" s="17"/>
      <c r="AG86" s="7">
        <f>SUMIFS(ĐMCP!$Q:$Q,ĐMCP!$P:$P,"="&amp;'HQ2'!B86,ĐMCP!$O:$O,"="&amp;'HQ2'!A86)</f>
        <v>656055459.2141459</v>
      </c>
      <c r="AH86" s="7">
        <f t="shared" si="1"/>
        <v>0.21414589881896973</v>
      </c>
    </row>
    <row r="87" spans="1:34" x14ac:dyDescent="0.25">
      <c r="A87" s="123" t="s">
        <v>57</v>
      </c>
      <c r="B87" s="16" t="s">
        <v>269</v>
      </c>
      <c r="C87" s="7">
        <v>527997622</v>
      </c>
      <c r="E87" s="7">
        <v>527997622</v>
      </c>
      <c r="F87" s="7">
        <v>316798573.19999999</v>
      </c>
      <c r="G87" s="7">
        <v>220719395.40000001</v>
      </c>
      <c r="H87" s="7">
        <v>9607917.7799999993</v>
      </c>
      <c r="I87" s="7">
        <v>307190655.42000002</v>
      </c>
      <c r="AA87" s="7">
        <v>9503957.1959999986</v>
      </c>
      <c r="AB87" s="7">
        <v>175794145</v>
      </c>
      <c r="AC87" s="7">
        <v>121892553.22400002</v>
      </c>
      <c r="AD87" s="17"/>
      <c r="AE87" s="5">
        <f>SUMIFS(PGĐ!$H:$H,PGĐ!$F:$F,"="&amp;'HQ2'!B87,PGĐ!$I:$I,"="&amp;'HQ2'!A87)</f>
        <v>0</v>
      </c>
      <c r="AF87" s="17"/>
      <c r="AG87" s="7">
        <f>SUMIFS(ĐMCP!$Q:$Q,ĐMCP!$P:$P,"="&amp;'HQ2'!B87,ĐMCP!$O:$O,"="&amp;'HQ2'!A87)</f>
        <v>175794144.50839588</v>
      </c>
      <c r="AH87" s="7">
        <f t="shared" si="1"/>
        <v>-0.49160411953926086</v>
      </c>
    </row>
    <row r="88" spans="1:34" x14ac:dyDescent="0.25">
      <c r="A88" s="123" t="s">
        <v>57</v>
      </c>
      <c r="B88" s="16" t="s">
        <v>273</v>
      </c>
      <c r="AB88" s="7">
        <v>0</v>
      </c>
      <c r="AC88" s="7">
        <v>0</v>
      </c>
      <c r="AD88" s="17"/>
      <c r="AE88" s="5">
        <f>SUMIFS(PGĐ!$H:$H,PGĐ!$F:$F,"="&amp;'HQ2'!B88,PGĐ!$I:$I,"="&amp;'HQ2'!A88)</f>
        <v>0</v>
      </c>
      <c r="AF88" s="17"/>
      <c r="AG88" s="7">
        <f>SUMIFS(ĐMCP!$Q:$Q,ĐMCP!$P:$P,"="&amp;'HQ2'!B88,ĐMCP!$O:$O,"="&amp;'HQ2'!A88)</f>
        <v>0</v>
      </c>
      <c r="AH88" s="7">
        <f t="shared" si="1"/>
        <v>0</v>
      </c>
    </row>
    <row r="89" spans="1:34" x14ac:dyDescent="0.25">
      <c r="A89" s="123" t="s">
        <v>57</v>
      </c>
      <c r="B89" s="16" t="s">
        <v>23</v>
      </c>
      <c r="AB89" s="7">
        <v>0</v>
      </c>
      <c r="AC89" s="7">
        <v>0</v>
      </c>
      <c r="AD89" s="17"/>
      <c r="AE89" s="5">
        <f>SUMIFS(PGĐ!$H:$H,PGĐ!$F:$F,"="&amp;'HQ2'!B89,PGĐ!$I:$I,"="&amp;'HQ2'!A89)</f>
        <v>0</v>
      </c>
      <c r="AF89" s="17"/>
      <c r="AG89" s="7">
        <f>SUMIFS(ĐMCP!$Q:$Q,ĐMCP!$P:$P,"="&amp;'HQ2'!B89,ĐMCP!$O:$O,"="&amp;'HQ2'!A89)</f>
        <v>0</v>
      </c>
      <c r="AH89" s="7">
        <f t="shared" si="1"/>
        <v>0</v>
      </c>
    </row>
    <row r="90" spans="1:34" x14ac:dyDescent="0.25">
      <c r="A90" s="123" t="s">
        <v>54</v>
      </c>
      <c r="B90" s="15" t="s">
        <v>45</v>
      </c>
      <c r="C90" s="132">
        <v>14804971411</v>
      </c>
      <c r="D90" s="132">
        <v>2020820950</v>
      </c>
      <c r="E90" s="132">
        <v>12784150461</v>
      </c>
      <c r="F90" s="132">
        <v>11137246252.689999</v>
      </c>
      <c r="G90" s="132">
        <v>8299910741.5999994</v>
      </c>
      <c r="H90" s="132">
        <v>383081735.49949992</v>
      </c>
      <c r="I90" s="132">
        <v>10754164517.190498</v>
      </c>
      <c r="J90" s="132">
        <v>102990443</v>
      </c>
      <c r="K90" s="132"/>
      <c r="L90" s="132">
        <v>15440443</v>
      </c>
      <c r="M90" s="132">
        <v>87550000</v>
      </c>
      <c r="N90" s="132">
        <v>63592943.000000007</v>
      </c>
      <c r="O90" s="132">
        <v>3807467150.0999999</v>
      </c>
      <c r="P90" s="132"/>
      <c r="Q90" s="132">
        <v>958000000</v>
      </c>
      <c r="R90" s="132">
        <v>2849467150.0999999</v>
      </c>
      <c r="S90" s="132">
        <v>2655031542.5599999</v>
      </c>
      <c r="T90" s="132">
        <v>1545517831.0999999</v>
      </c>
      <c r="U90" s="132"/>
      <c r="V90" s="132">
        <v>3000000</v>
      </c>
      <c r="W90" s="132">
        <v>1542517831.0999999</v>
      </c>
      <c r="X90" s="132">
        <v>915301951.15999997</v>
      </c>
      <c r="Y90" s="132">
        <v>1739729591.4000001</v>
      </c>
      <c r="Z90" s="132">
        <v>1803322534.4000001</v>
      </c>
      <c r="AA90" s="132">
        <v>334117387.58069992</v>
      </c>
      <c r="AB90" s="132">
        <v>3364405059</v>
      </c>
      <c r="AC90" s="132">
        <v>5252319536.2097979</v>
      </c>
      <c r="AD90" s="96">
        <v>0.16768597239863633</v>
      </c>
      <c r="AE90" s="5">
        <f>SUMIFS(PGĐ!$H:$H,PGĐ!$F:$F,"="&amp;'HQ2'!B90,PGĐ!$I:$I,"="&amp;'HQ2'!A90)</f>
        <v>0</v>
      </c>
      <c r="AF90" s="96"/>
      <c r="AG90" s="7">
        <f>SUMIFS(ĐMCP!$Q:$Q,ĐMCP!$P:$P,"="&amp;'HQ2'!B90,ĐMCP!$O:$O,"="&amp;'HQ2'!A90)</f>
        <v>0</v>
      </c>
      <c r="AH90" s="7">
        <f t="shared" si="1"/>
        <v>0</v>
      </c>
    </row>
    <row r="91" spans="1:34" x14ac:dyDescent="0.25">
      <c r="A91" s="123" t="s">
        <v>54</v>
      </c>
      <c r="B91" s="16" t="s">
        <v>268</v>
      </c>
      <c r="C91" s="7">
        <v>10170000233</v>
      </c>
      <c r="D91" s="7">
        <v>891009234</v>
      </c>
      <c r="E91" s="7">
        <v>9278990999</v>
      </c>
      <c r="F91" s="7">
        <v>7359572656.2799988</v>
      </c>
      <c r="G91" s="7">
        <v>6388877182.7999992</v>
      </c>
      <c r="H91" s="7">
        <v>145604321.02199993</v>
      </c>
      <c r="I91" s="7">
        <v>7213968335.2579985</v>
      </c>
      <c r="J91" s="7">
        <v>87550000</v>
      </c>
      <c r="M91" s="7">
        <v>87550000</v>
      </c>
      <c r="N91" s="7">
        <v>48152500.000000007</v>
      </c>
      <c r="O91" s="7">
        <v>252974950</v>
      </c>
      <c r="R91" s="7">
        <v>252974950</v>
      </c>
      <c r="S91" s="7">
        <v>139136222.5</v>
      </c>
      <c r="T91" s="7">
        <v>264174950</v>
      </c>
      <c r="W91" s="7">
        <v>264174950</v>
      </c>
      <c r="X91" s="7">
        <v>145296222.5</v>
      </c>
      <c r="Y91" s="7">
        <v>-6160000</v>
      </c>
      <c r="Z91" s="7">
        <v>41992500.000000007</v>
      </c>
      <c r="AA91" s="7">
        <v>220787179.68839994</v>
      </c>
      <c r="AB91" s="7">
        <v>2445778726</v>
      </c>
      <c r="AC91" s="7">
        <v>4505409929.5695982</v>
      </c>
      <c r="AD91" s="17">
        <v>5.8209986582229986E-3</v>
      </c>
      <c r="AE91" s="5">
        <f>SUMIFS(PGĐ!$H:$H,PGĐ!$F:$F,"="&amp;'HQ2'!B91,PGĐ!$I:$I,"="&amp;'HQ2'!A91)</f>
        <v>0</v>
      </c>
      <c r="AF91" s="17"/>
      <c r="AG91" s="7">
        <f>SUMIFS(ĐMCP!$Q:$Q,ĐMCP!$P:$P,"="&amp;'HQ2'!B91,ĐMCP!$O:$O,"="&amp;'HQ2'!A91)</f>
        <v>2445778726.090147</v>
      </c>
      <c r="AH91" s="7">
        <f t="shared" si="1"/>
        <v>9.0147018432617188E-2</v>
      </c>
    </row>
    <row r="92" spans="1:34" x14ac:dyDescent="0.25">
      <c r="A92" s="123" t="s">
        <v>54</v>
      </c>
      <c r="B92" s="16" t="s">
        <v>270</v>
      </c>
      <c r="C92" s="7">
        <v>3533621088</v>
      </c>
      <c r="D92" s="7">
        <v>818813467</v>
      </c>
      <c r="E92" s="7">
        <v>2714807621</v>
      </c>
      <c r="F92" s="7">
        <v>2937436688.4450002</v>
      </c>
      <c r="G92" s="7">
        <v>1600567292</v>
      </c>
      <c r="H92" s="7">
        <v>133686939.64450002</v>
      </c>
      <c r="I92" s="7">
        <v>2803749748.8004999</v>
      </c>
      <c r="J92" s="7">
        <v>15440443</v>
      </c>
      <c r="L92" s="7">
        <v>15440443</v>
      </c>
      <c r="M92" s="7">
        <v>0</v>
      </c>
      <c r="N92" s="7">
        <v>15440443</v>
      </c>
      <c r="O92" s="7">
        <v>2502536720.0999999</v>
      </c>
      <c r="Q92" s="7">
        <v>3000000</v>
      </c>
      <c r="R92" s="7">
        <v>2499536720.0999999</v>
      </c>
      <c r="S92" s="7">
        <v>1502722032.0599999</v>
      </c>
      <c r="T92" s="7">
        <v>1184387401.0999999</v>
      </c>
      <c r="V92" s="7">
        <v>3000000</v>
      </c>
      <c r="W92" s="7">
        <v>1181387401.0999999</v>
      </c>
      <c r="X92" s="7">
        <v>711832440.65999997</v>
      </c>
      <c r="Y92" s="7">
        <v>790889591.39999998</v>
      </c>
      <c r="Z92" s="7">
        <v>806330034.39999998</v>
      </c>
      <c r="AA92" s="7">
        <v>88123100.653349996</v>
      </c>
      <c r="AB92" s="7">
        <v>634140596</v>
      </c>
      <c r="AC92" s="7">
        <v>1275156017.7471499</v>
      </c>
      <c r="AD92" s="17">
        <v>0.28758987307799638</v>
      </c>
      <c r="AE92" s="5">
        <f>SUMIFS(PGĐ!$H:$H,PGĐ!$F:$F,"="&amp;'HQ2'!B92,PGĐ!$I:$I,"="&amp;'HQ2'!A92)</f>
        <v>334337262</v>
      </c>
      <c r="AF92" s="17"/>
      <c r="AG92" s="7">
        <f>SUMIFS(ĐMCP!$Q:$Q,ĐMCP!$P:$P,"="&amp;'HQ2'!B92,ĐMCP!$O:$O,"="&amp;'HQ2'!A92)</f>
        <v>634140595.96816587</v>
      </c>
      <c r="AH92" s="7">
        <f t="shared" si="1"/>
        <v>-3.1834125518798828E-2</v>
      </c>
    </row>
    <row r="93" spans="1:34" x14ac:dyDescent="0.25">
      <c r="A93" s="123" t="s">
        <v>54</v>
      </c>
      <c r="B93" s="16" t="s">
        <v>271</v>
      </c>
      <c r="C93" s="7">
        <v>648975860</v>
      </c>
      <c r="D93" s="7">
        <v>9750909</v>
      </c>
      <c r="E93" s="7">
        <v>639224951</v>
      </c>
      <c r="F93" s="7">
        <v>457062111.065</v>
      </c>
      <c r="G93" s="7">
        <v>134765414</v>
      </c>
      <c r="H93" s="7">
        <v>64459339.413000003</v>
      </c>
      <c r="I93" s="7">
        <v>392602771.65200001</v>
      </c>
      <c r="O93" s="7">
        <v>96955480</v>
      </c>
      <c r="R93" s="7">
        <v>96955480</v>
      </c>
      <c r="S93" s="7">
        <v>58173288</v>
      </c>
      <c r="T93" s="7">
        <v>96955480</v>
      </c>
      <c r="W93" s="7">
        <v>96955480</v>
      </c>
      <c r="X93" s="7">
        <v>58173288</v>
      </c>
      <c r="Y93" s="7">
        <v>0</v>
      </c>
      <c r="Z93" s="7">
        <v>0</v>
      </c>
      <c r="AA93" s="7">
        <v>13711863.33195</v>
      </c>
      <c r="AB93" s="7">
        <v>176207913</v>
      </c>
      <c r="AC93" s="7">
        <v>202682995.32005</v>
      </c>
      <c r="AD93" s="17">
        <v>0</v>
      </c>
      <c r="AE93" s="5">
        <f>SUMIFS(PGĐ!$H:$H,PGĐ!$F:$F,"="&amp;'HQ2'!B93,PGĐ!$I:$I,"="&amp;'HQ2'!A93)</f>
        <v>0</v>
      </c>
      <c r="AF93" s="17"/>
      <c r="AG93" s="7">
        <f>SUMIFS(ĐMCP!$Q:$Q,ĐMCP!$P:$P,"="&amp;'HQ2'!B93,ĐMCP!$O:$O,"="&amp;'HQ2'!A93)</f>
        <v>176207913.19638985</v>
      </c>
      <c r="AH93" s="7">
        <f t="shared" si="1"/>
        <v>0.19638985395431519</v>
      </c>
    </row>
    <row r="94" spans="1:34" x14ac:dyDescent="0.25">
      <c r="A94" s="123" t="s">
        <v>54</v>
      </c>
      <c r="B94" s="16" t="s">
        <v>272</v>
      </c>
      <c r="C94" s="7">
        <v>355409340</v>
      </c>
      <c r="D94" s="7">
        <v>301247340</v>
      </c>
      <c r="E94" s="7">
        <v>54162000</v>
      </c>
      <c r="F94" s="7">
        <v>324995862.90000004</v>
      </c>
      <c r="G94" s="7">
        <v>139158452.80000001</v>
      </c>
      <c r="H94" s="7">
        <v>37167482.020000003</v>
      </c>
      <c r="I94" s="7">
        <v>287828380.88000005</v>
      </c>
      <c r="O94" s="7">
        <v>955000000</v>
      </c>
      <c r="Q94" s="7">
        <v>955000000</v>
      </c>
      <c r="R94" s="7">
        <v>0</v>
      </c>
      <c r="S94" s="7">
        <v>955000000</v>
      </c>
      <c r="Y94" s="7">
        <v>955000000</v>
      </c>
      <c r="Z94" s="7">
        <v>955000000</v>
      </c>
      <c r="AA94" s="7">
        <v>9749875.8870000001</v>
      </c>
      <c r="AB94" s="7">
        <v>80102296</v>
      </c>
      <c r="AC94" s="7">
        <v>-757023791.00699985</v>
      </c>
      <c r="AD94" s="17">
        <v>3.3179493873404851</v>
      </c>
      <c r="AE94" s="5">
        <f>SUMIFS(PGĐ!$H:$H,PGĐ!$F:$F,"="&amp;'HQ2'!B94,PGĐ!$I:$I,"="&amp;'HQ2'!A94)</f>
        <v>0</v>
      </c>
      <c r="AF94" s="17"/>
      <c r="AG94" s="7">
        <f>SUMIFS(ĐMCP!$Q:$Q,ĐMCP!$P:$P,"="&amp;'HQ2'!B94,ĐMCP!$O:$O,"="&amp;'HQ2'!A94)</f>
        <v>80102296.300380558</v>
      </c>
      <c r="AH94" s="7">
        <f t="shared" si="1"/>
        <v>0.30038055777549744</v>
      </c>
    </row>
    <row r="95" spans="1:34" x14ac:dyDescent="0.25">
      <c r="A95" s="123" t="s">
        <v>54</v>
      </c>
      <c r="B95" s="16" t="s">
        <v>269</v>
      </c>
      <c r="C95" s="7">
        <v>96964890</v>
      </c>
      <c r="E95" s="7">
        <v>96964890</v>
      </c>
      <c r="F95" s="7">
        <v>58178934</v>
      </c>
      <c r="G95" s="7">
        <v>36542400</v>
      </c>
      <c r="H95" s="7">
        <v>2163653.4</v>
      </c>
      <c r="I95" s="7">
        <v>56015280.600000001</v>
      </c>
      <c r="AA95" s="7">
        <v>1745368.02</v>
      </c>
      <c r="AB95" s="7">
        <v>28175528</v>
      </c>
      <c r="AC95" s="7">
        <v>26094384.580000002</v>
      </c>
      <c r="AD95" s="17"/>
      <c r="AE95" s="5">
        <f>SUMIFS(PGĐ!$H:$H,PGĐ!$F:$F,"="&amp;'HQ2'!B95,PGĐ!$I:$I,"="&amp;'HQ2'!A95)</f>
        <v>0</v>
      </c>
      <c r="AF95" s="17"/>
      <c r="AG95" s="7">
        <f>SUMIFS(ĐMCP!$Q:$Q,ĐMCP!$P:$P,"="&amp;'HQ2'!B95,ĐMCP!$O:$O,"="&amp;'HQ2'!A95)</f>
        <v>28175528.033072196</v>
      </c>
      <c r="AH95" s="7">
        <f t="shared" si="1"/>
        <v>3.3072195947170258E-2</v>
      </c>
    </row>
    <row r="96" spans="1:34" x14ac:dyDescent="0.25">
      <c r="A96" s="123" t="s">
        <v>54</v>
      </c>
      <c r="B96" s="16" t="s">
        <v>273</v>
      </c>
      <c r="AB96" s="7">
        <v>0</v>
      </c>
      <c r="AC96" s="7">
        <v>0</v>
      </c>
      <c r="AD96" s="17"/>
      <c r="AE96" s="5">
        <f>SUMIFS(PGĐ!$H:$H,PGĐ!$F:$F,"="&amp;'HQ2'!B96,PGĐ!$I:$I,"="&amp;'HQ2'!A96)</f>
        <v>0</v>
      </c>
      <c r="AF96" s="17"/>
      <c r="AG96" s="7">
        <f>SUMIFS(ĐMCP!$Q:$Q,ĐMCP!$P:$P,"="&amp;'HQ2'!B96,ĐMCP!$O:$O,"="&amp;'HQ2'!A96)</f>
        <v>0</v>
      </c>
      <c r="AH96" s="7">
        <f t="shared" si="1"/>
        <v>0</v>
      </c>
    </row>
    <row r="97" spans="1:34" x14ac:dyDescent="0.25">
      <c r="A97" s="123" t="s">
        <v>54</v>
      </c>
      <c r="B97" s="16" t="s">
        <v>23</v>
      </c>
      <c r="AB97" s="7">
        <v>0</v>
      </c>
      <c r="AC97" s="7">
        <v>0</v>
      </c>
      <c r="AD97" s="17"/>
      <c r="AE97" s="5">
        <f>SUMIFS(PGĐ!$H:$H,PGĐ!$F:$F,"="&amp;'HQ2'!B97,PGĐ!$I:$I,"="&amp;'HQ2'!A97)</f>
        <v>0</v>
      </c>
      <c r="AF97" s="17"/>
      <c r="AG97" s="7">
        <f>SUMIFS(ĐMCP!$Q:$Q,ĐMCP!$P:$P,"="&amp;'HQ2'!B97,ĐMCP!$O:$O,"="&amp;'HQ2'!A97)</f>
        <v>0</v>
      </c>
      <c r="AH97" s="7">
        <f t="shared" si="1"/>
        <v>0</v>
      </c>
    </row>
    <row r="98" spans="1:34" x14ac:dyDescent="0.25">
      <c r="A98" s="123" t="s">
        <v>55</v>
      </c>
      <c r="B98" s="15" t="s">
        <v>45</v>
      </c>
      <c r="C98" s="132">
        <v>13346946569</v>
      </c>
      <c r="D98" s="132">
        <v>4318066187</v>
      </c>
      <c r="E98" s="132">
        <v>9028880382</v>
      </c>
      <c r="F98" s="132">
        <v>11087155634.005001</v>
      </c>
      <c r="G98" s="132"/>
      <c r="H98" s="132">
        <v>1184895461.0015001</v>
      </c>
      <c r="I98" s="132">
        <v>9902260173.0035019</v>
      </c>
      <c r="J98" s="132">
        <v>5677567166</v>
      </c>
      <c r="K98" s="132"/>
      <c r="L98" s="132"/>
      <c r="M98" s="132">
        <v>5677567166</v>
      </c>
      <c r="N98" s="132">
        <v>3404226211.5500002</v>
      </c>
      <c r="O98" s="132">
        <v>9014584897.7800007</v>
      </c>
      <c r="P98" s="132"/>
      <c r="Q98" s="132">
        <v>895266465.11000001</v>
      </c>
      <c r="R98" s="132">
        <v>8119318432.670001</v>
      </c>
      <c r="S98" s="132">
        <v>5750275962.4904995</v>
      </c>
      <c r="T98" s="132">
        <v>14243553554.540001</v>
      </c>
      <c r="U98" s="132"/>
      <c r="V98" s="132">
        <v>5723987782.3000002</v>
      </c>
      <c r="W98" s="132">
        <v>8519565772.2400007</v>
      </c>
      <c r="X98" s="132">
        <v>10806010977.144001</v>
      </c>
      <c r="Y98" s="132">
        <v>-5055735014.6535015</v>
      </c>
      <c r="Z98" s="132">
        <v>-1651508803.1035013</v>
      </c>
      <c r="AA98" s="132">
        <v>332614669.02015001</v>
      </c>
      <c r="AB98" s="132">
        <v>2393551065.4199996</v>
      </c>
      <c r="AC98" s="132">
        <v>8827603241.6668491</v>
      </c>
      <c r="AD98" s="96">
        <v>-0.16678099486882844</v>
      </c>
      <c r="AE98" s="5">
        <f>SUMIFS(PGĐ!$H:$H,PGĐ!$F:$F,"="&amp;'HQ2'!B98,PGĐ!$I:$I,"="&amp;'HQ2'!A98)</f>
        <v>0</v>
      </c>
      <c r="AF98" s="96"/>
      <c r="AG98" s="7">
        <f>SUMIFS(ĐMCP!$Q:$Q,ĐMCP!$P:$P,"="&amp;'HQ2'!B98,ĐMCP!$O:$O,"="&amp;'HQ2'!A98)</f>
        <v>0</v>
      </c>
      <c r="AH98" s="7">
        <f t="shared" si="1"/>
        <v>0</v>
      </c>
    </row>
    <row r="99" spans="1:34" x14ac:dyDescent="0.25">
      <c r="A99" s="123" t="s">
        <v>55</v>
      </c>
      <c r="B99" s="16" t="s">
        <v>270</v>
      </c>
      <c r="C99" s="7">
        <v>11752986008</v>
      </c>
      <c r="D99" s="7">
        <v>4152866211</v>
      </c>
      <c r="E99" s="7">
        <v>7600119797</v>
      </c>
      <c r="F99" s="7">
        <v>9963025744.8850002</v>
      </c>
      <c r="H99" s="7">
        <v>996302574.48850012</v>
      </c>
      <c r="I99" s="7">
        <v>8966723170.3964996</v>
      </c>
      <c r="J99" s="7">
        <v>5631285405</v>
      </c>
      <c r="M99" s="7">
        <v>5631285405</v>
      </c>
      <c r="N99" s="7">
        <v>3378771243</v>
      </c>
      <c r="O99" s="7">
        <v>8682953653.3500004</v>
      </c>
      <c r="Q99" s="7">
        <v>895266465.11000001</v>
      </c>
      <c r="R99" s="7">
        <v>7787687188.2400007</v>
      </c>
      <c r="S99" s="7">
        <v>5567878778.0539999</v>
      </c>
      <c r="T99" s="7">
        <v>13649228184.540001</v>
      </c>
      <c r="V99" s="7">
        <v>5723987782.3000002</v>
      </c>
      <c r="W99" s="7">
        <v>7925240402.2400007</v>
      </c>
      <c r="X99" s="7">
        <v>10479132023.644001</v>
      </c>
      <c r="Y99" s="7">
        <v>-4911253245.5900011</v>
      </c>
      <c r="Z99" s="7">
        <v>-1532482002.5900011</v>
      </c>
      <c r="AA99" s="7">
        <v>298890772.34654999</v>
      </c>
      <c r="AB99" s="7">
        <v>2132727078</v>
      </c>
      <c r="AC99" s="7">
        <v>8067587322.6399498</v>
      </c>
      <c r="AD99" s="17">
        <v>-0.17090769654286497</v>
      </c>
      <c r="AE99" s="5">
        <f>SUMIFS(PGĐ!$H:$H,PGĐ!$F:$F,"="&amp;'HQ2'!B99,PGĐ!$I:$I,"="&amp;'HQ2'!A99)</f>
        <v>489136499</v>
      </c>
      <c r="AF99" s="17"/>
      <c r="AG99" s="7">
        <f>SUMIFS(ĐMCP!$Q:$Q,ĐMCP!$P:$P,"="&amp;'HQ2'!B99,ĐMCP!$O:$O,"="&amp;'HQ2'!A99)</f>
        <v>2132727077.7750003</v>
      </c>
      <c r="AH99" s="7">
        <f t="shared" si="1"/>
        <v>-0.22499966621398926</v>
      </c>
    </row>
    <row r="100" spans="1:34" x14ac:dyDescent="0.25">
      <c r="A100" s="123" t="s">
        <v>55</v>
      </c>
      <c r="B100" s="16" t="s">
        <v>268</v>
      </c>
      <c r="C100" s="7">
        <v>1189221152</v>
      </c>
      <c r="D100" s="7">
        <v>12770466</v>
      </c>
      <c r="E100" s="7">
        <v>1176450686</v>
      </c>
      <c r="F100" s="7">
        <v>835902832.21999991</v>
      </c>
      <c r="H100" s="7">
        <v>125385424.83299997</v>
      </c>
      <c r="I100" s="7">
        <v>710517407.38699996</v>
      </c>
      <c r="J100" s="7">
        <v>46281761</v>
      </c>
      <c r="M100" s="7">
        <v>46281761</v>
      </c>
      <c r="N100" s="7">
        <v>25454968.550000001</v>
      </c>
      <c r="O100" s="7">
        <v>331631244.42999995</v>
      </c>
      <c r="R100" s="7">
        <v>331631244.42999995</v>
      </c>
      <c r="S100" s="7">
        <v>182397184.43649998</v>
      </c>
      <c r="T100" s="7">
        <v>594325370</v>
      </c>
      <c r="W100" s="7">
        <v>594325370</v>
      </c>
      <c r="X100" s="7">
        <v>326878953.5</v>
      </c>
      <c r="Y100" s="7">
        <v>-144481769.06350002</v>
      </c>
      <c r="Z100" s="7">
        <v>-119026800.51350002</v>
      </c>
      <c r="AA100" s="7">
        <v>25077084.966599997</v>
      </c>
      <c r="AB100" s="7">
        <v>205140842.19999999</v>
      </c>
      <c r="AC100" s="7">
        <v>599326280.73390007</v>
      </c>
      <c r="AD100" s="17">
        <v>-0.16752130106316915</v>
      </c>
      <c r="AE100" s="5">
        <f>SUMIFS(PGĐ!$H:$H,PGĐ!$F:$F,"="&amp;'HQ2'!B100,PGĐ!$I:$I,"="&amp;'HQ2'!A100)</f>
        <v>56620806</v>
      </c>
      <c r="AF100" s="17"/>
      <c r="AG100" s="7">
        <f>SUMIFS(ĐMCP!$Q:$Q,ĐMCP!$P:$P,"="&amp;'HQ2'!B100,ĐMCP!$O:$O,"="&amp;'HQ2'!A100)</f>
        <v>205140842.20000005</v>
      </c>
      <c r="AH100" s="7">
        <f t="shared" si="1"/>
        <v>5.9604644775390625E-8</v>
      </c>
    </row>
    <row r="101" spans="1:34" x14ac:dyDescent="0.25">
      <c r="A101" s="123" t="s">
        <v>55</v>
      </c>
      <c r="B101" s="16" t="s">
        <v>272</v>
      </c>
      <c r="C101" s="7">
        <v>169322972</v>
      </c>
      <c r="D101" s="7">
        <v>144723993</v>
      </c>
      <c r="E101" s="7">
        <v>24598979</v>
      </c>
      <c r="F101" s="7">
        <v>154996116.655</v>
      </c>
      <c r="H101" s="7">
        <v>30999223.331</v>
      </c>
      <c r="I101" s="7">
        <v>123996893.324</v>
      </c>
      <c r="AA101" s="7">
        <v>4649883.4996499997</v>
      </c>
      <c r="AB101" s="7">
        <v>37716368.32</v>
      </c>
      <c r="AC101" s="7">
        <v>81630641.504350007</v>
      </c>
      <c r="AD101" s="17"/>
      <c r="AE101" s="5">
        <f>SUMIFS(PGĐ!$H:$H,PGĐ!$F:$F,"="&amp;'HQ2'!B101,PGĐ!$I:$I,"="&amp;'HQ2'!A101)</f>
        <v>0</v>
      </c>
      <c r="AF101" s="17"/>
      <c r="AG101" s="7">
        <f>SUMIFS(ĐMCP!$Q:$Q,ĐMCP!$P:$P,"="&amp;'HQ2'!B101,ĐMCP!$O:$O,"="&amp;'HQ2'!A101)</f>
        <v>37716368.32</v>
      </c>
      <c r="AH101" s="7">
        <f t="shared" si="1"/>
        <v>0</v>
      </c>
    </row>
    <row r="102" spans="1:34" x14ac:dyDescent="0.25">
      <c r="A102" s="123" t="s">
        <v>55</v>
      </c>
      <c r="B102" s="16" t="s">
        <v>273</v>
      </c>
      <c r="C102" s="7">
        <v>219710920</v>
      </c>
      <c r="E102" s="7">
        <v>219710920</v>
      </c>
      <c r="F102" s="7">
        <v>120841006.00000001</v>
      </c>
      <c r="H102" s="7">
        <v>30210251.500000004</v>
      </c>
      <c r="I102" s="7">
        <v>90630754.500000015</v>
      </c>
      <c r="AA102" s="7">
        <v>3625230.18</v>
      </c>
      <c r="AB102" s="7">
        <v>15379764.4</v>
      </c>
      <c r="AC102" s="7">
        <v>71625759.920000002</v>
      </c>
      <c r="AD102" s="17"/>
      <c r="AE102" s="5">
        <f>SUMIFS(PGĐ!$H:$H,PGĐ!$F:$F,"="&amp;'HQ2'!B102,PGĐ!$I:$I,"="&amp;'HQ2'!A102)</f>
        <v>0</v>
      </c>
      <c r="AF102" s="17"/>
      <c r="AG102" s="7">
        <f>SUMIFS(ĐMCP!$Q:$Q,ĐMCP!$P:$P,"="&amp;'HQ2'!B102,ĐMCP!$O:$O,"="&amp;'HQ2'!A102)</f>
        <v>15379764.4</v>
      </c>
      <c r="AH102" s="7">
        <f t="shared" si="1"/>
        <v>0</v>
      </c>
    </row>
    <row r="103" spans="1:34" x14ac:dyDescent="0.25">
      <c r="A103" s="123" t="s">
        <v>55</v>
      </c>
      <c r="B103" s="16" t="s">
        <v>271</v>
      </c>
      <c r="C103" s="7">
        <v>7705517</v>
      </c>
      <c r="D103" s="7">
        <v>7705517</v>
      </c>
      <c r="F103" s="7">
        <v>7589934.2450000001</v>
      </c>
      <c r="H103" s="7">
        <v>1517986.8490000002</v>
      </c>
      <c r="I103" s="7">
        <v>6071947.3959999997</v>
      </c>
      <c r="AA103" s="7">
        <v>227698.02734999999</v>
      </c>
      <c r="AB103" s="7">
        <v>1387012.5</v>
      </c>
      <c r="AC103" s="7">
        <v>4457236.8686499996</v>
      </c>
      <c r="AD103" s="17"/>
      <c r="AE103" s="5">
        <f>SUMIFS(PGĐ!$H:$H,PGĐ!$F:$F,"="&amp;'HQ2'!B103,PGĐ!$I:$I,"="&amp;'HQ2'!A103)</f>
        <v>0</v>
      </c>
      <c r="AF103" s="17"/>
      <c r="AG103" s="7">
        <f>SUMIFS(ĐMCP!$Q:$Q,ĐMCP!$P:$P,"="&amp;'HQ2'!B103,ĐMCP!$O:$O,"="&amp;'HQ2'!A103)</f>
        <v>1387012.5</v>
      </c>
      <c r="AH103" s="7">
        <f t="shared" si="1"/>
        <v>0</v>
      </c>
    </row>
    <row r="104" spans="1:34" x14ac:dyDescent="0.25">
      <c r="A104" s="123" t="s">
        <v>55</v>
      </c>
      <c r="B104" s="16" t="s">
        <v>269</v>
      </c>
      <c r="C104" s="7">
        <v>8000000</v>
      </c>
      <c r="E104" s="7">
        <v>8000000</v>
      </c>
      <c r="F104" s="7">
        <v>4800000</v>
      </c>
      <c r="H104" s="7">
        <v>480000</v>
      </c>
      <c r="I104" s="7">
        <v>4320000</v>
      </c>
      <c r="AA104" s="7">
        <v>144000</v>
      </c>
      <c r="AB104" s="7">
        <v>1200000</v>
      </c>
      <c r="AC104" s="7">
        <v>2976000</v>
      </c>
      <c r="AD104" s="17"/>
      <c r="AE104" s="5">
        <f>SUMIFS(PGĐ!$H:$H,PGĐ!$F:$F,"="&amp;'HQ2'!B104,PGĐ!$I:$I,"="&amp;'HQ2'!A104)</f>
        <v>0</v>
      </c>
      <c r="AF104" s="17"/>
      <c r="AG104" s="7">
        <f>SUMIFS(ĐMCP!$Q:$Q,ĐMCP!$P:$P,"="&amp;'HQ2'!B104,ĐMCP!$O:$O,"="&amp;'HQ2'!A104)</f>
        <v>1200000</v>
      </c>
      <c r="AH104" s="7">
        <f t="shared" si="1"/>
        <v>0</v>
      </c>
    </row>
    <row r="105" spans="1:34" x14ac:dyDescent="0.25">
      <c r="A105" s="123" t="s">
        <v>56</v>
      </c>
      <c r="B105" s="15" t="s">
        <v>45</v>
      </c>
      <c r="C105" s="132">
        <v>15346657294</v>
      </c>
      <c r="D105" s="132"/>
      <c r="E105" s="132">
        <v>15346657294</v>
      </c>
      <c r="F105" s="132">
        <v>10813120704.300001</v>
      </c>
      <c r="G105" s="132"/>
      <c r="H105" s="132">
        <v>1605038119.0799999</v>
      </c>
      <c r="I105" s="132">
        <v>9208082585.2200012</v>
      </c>
      <c r="J105" s="132"/>
      <c r="K105" s="132"/>
      <c r="L105" s="132"/>
      <c r="M105" s="132"/>
      <c r="N105" s="132"/>
      <c r="O105" s="132">
        <v>126320840992.93001</v>
      </c>
      <c r="P105" s="132">
        <v>62876986909</v>
      </c>
      <c r="Q105" s="132">
        <v>2016295065</v>
      </c>
      <c r="R105" s="132">
        <v>61427559018.930008</v>
      </c>
      <c r="S105" s="132">
        <v>49583990652.999008</v>
      </c>
      <c r="T105" s="132">
        <v>139321231417.64999</v>
      </c>
      <c r="U105" s="132">
        <v>73765098400</v>
      </c>
      <c r="V105" s="132">
        <v>2039277047.4000001</v>
      </c>
      <c r="W105" s="132">
        <v>63516855970.249992</v>
      </c>
      <c r="X105" s="132">
        <v>59502827322.865005</v>
      </c>
      <c r="Y105" s="132">
        <v>-9918836669.8659973</v>
      </c>
      <c r="Z105" s="132">
        <v>-9918836669.8659973</v>
      </c>
      <c r="AA105" s="132">
        <v>324393621.12900001</v>
      </c>
      <c r="AB105" s="132">
        <v>8016731802.5599995</v>
      </c>
      <c r="AC105" s="132">
        <v>10785793831.396999</v>
      </c>
      <c r="AD105" s="96">
        <v>-1.0771880658180495</v>
      </c>
      <c r="AE105" s="5">
        <f>SUMIFS(PGĐ!$H:$H,PGĐ!$F:$F,"="&amp;'HQ2'!B105,PGĐ!$I:$I,"="&amp;'HQ2'!A105)</f>
        <v>0</v>
      </c>
      <c r="AF105" s="96"/>
      <c r="AG105" s="7">
        <f>SUMIFS(ĐMCP!$Q:$Q,ĐMCP!$P:$P,"="&amp;'HQ2'!B105,ĐMCP!$O:$O,"="&amp;'HQ2'!A105)</f>
        <v>0</v>
      </c>
      <c r="AH105" s="7">
        <f t="shared" si="1"/>
        <v>0</v>
      </c>
    </row>
    <row r="106" spans="1:34" x14ac:dyDescent="0.25">
      <c r="A106" s="123" t="s">
        <v>56</v>
      </c>
      <c r="B106" s="16" t="s">
        <v>268</v>
      </c>
      <c r="C106" s="7">
        <v>12691412720</v>
      </c>
      <c r="E106" s="7">
        <v>12691412720</v>
      </c>
      <c r="F106" s="7">
        <v>8883988904</v>
      </c>
      <c r="H106" s="7">
        <v>1332598335.5999999</v>
      </c>
      <c r="I106" s="7">
        <v>7551390568.3999996</v>
      </c>
      <c r="O106" s="7">
        <v>53164654536.580002</v>
      </c>
      <c r="P106" s="7">
        <v>3994636206</v>
      </c>
      <c r="R106" s="7">
        <v>49170018330.580002</v>
      </c>
      <c r="S106" s="7">
        <v>27309053947.199005</v>
      </c>
      <c r="T106" s="7">
        <v>58164625607.099998</v>
      </c>
      <c r="U106" s="7">
        <v>5994632276</v>
      </c>
      <c r="W106" s="7">
        <v>52169993331.099998</v>
      </c>
      <c r="X106" s="7">
        <v>28913315459.535004</v>
      </c>
      <c r="Y106" s="7">
        <v>-1604261512.3359985</v>
      </c>
      <c r="Z106" s="7">
        <v>-1604261512.3359985</v>
      </c>
      <c r="AA106" s="7">
        <v>266519667.12</v>
      </c>
      <c r="AB106" s="7">
        <v>7361062772</v>
      </c>
      <c r="AC106" s="7">
        <v>1528069641.6159983</v>
      </c>
      <c r="AD106" s="17">
        <v>-0.21244583998201433</v>
      </c>
      <c r="AE106" s="5">
        <f>SUMIFS(PGĐ!$H:$H,PGĐ!$F:$F,"="&amp;'HQ2'!B106,PGĐ!$I:$I,"="&amp;'HQ2'!A106)</f>
        <v>0</v>
      </c>
      <c r="AF106" s="17"/>
      <c r="AG106" s="7">
        <f>SUMIFS(ĐMCP!$Q:$Q,ĐMCP!$P:$P,"="&amp;'HQ2'!B106,ĐMCP!$O:$O,"="&amp;'HQ2'!A106)</f>
        <v>7361062771.4235001</v>
      </c>
      <c r="AH106" s="7">
        <f t="shared" si="1"/>
        <v>-0.57649993896484375</v>
      </c>
    </row>
    <row r="107" spans="1:34" x14ac:dyDescent="0.25">
      <c r="A107" s="123" t="s">
        <v>56</v>
      </c>
      <c r="B107" s="16" t="s">
        <v>270</v>
      </c>
      <c r="C107" s="7">
        <v>1111878112</v>
      </c>
      <c r="E107" s="7">
        <v>1111878112</v>
      </c>
      <c r="F107" s="7">
        <v>889502489.60000002</v>
      </c>
      <c r="H107" s="7">
        <v>88950248.960000008</v>
      </c>
      <c r="I107" s="7">
        <v>800552240.63999999</v>
      </c>
      <c r="O107" s="7">
        <v>55348645768</v>
      </c>
      <c r="P107" s="7">
        <v>53332350703</v>
      </c>
      <c r="Q107" s="7">
        <v>2016295065</v>
      </c>
      <c r="R107" s="7">
        <v>0</v>
      </c>
      <c r="S107" s="7">
        <v>12820529768</v>
      </c>
      <c r="T107" s="7">
        <v>64259743171.400002</v>
      </c>
      <c r="U107" s="7">
        <v>62220466124</v>
      </c>
      <c r="V107" s="7">
        <v>2039277047.4000001</v>
      </c>
      <c r="W107" s="7">
        <v>1.430511474609375E-6</v>
      </c>
      <c r="X107" s="7">
        <v>21709527047.400002</v>
      </c>
      <c r="Y107" s="7">
        <v>-8888997279.4000015</v>
      </c>
      <c r="Z107" s="7">
        <v>-8888997279.4000015</v>
      </c>
      <c r="AA107" s="7">
        <v>26685074.688000001</v>
      </c>
      <c r="AB107" s="7">
        <v>249268659.52999997</v>
      </c>
      <c r="AC107" s="7">
        <v>9413595785.8220005</v>
      </c>
      <c r="AD107" s="17">
        <v>-11.103581787858978</v>
      </c>
      <c r="AE107" s="5">
        <f>SUMIFS(PGĐ!$H:$H,PGĐ!$F:$F,"="&amp;'HQ2'!B107,PGĐ!$I:$I,"="&amp;'HQ2'!A107)</f>
        <v>0</v>
      </c>
      <c r="AF107" s="17"/>
      <c r="AG107" s="7">
        <f>SUMIFS(ĐMCP!$Q:$Q,ĐMCP!$P:$P,"="&amp;'HQ2'!B107,ĐMCP!$O:$O,"="&amp;'HQ2'!A107)</f>
        <v>249268659.54499999</v>
      </c>
      <c r="AH107" s="7">
        <f t="shared" si="1"/>
        <v>1.5000015497207642E-2</v>
      </c>
    </row>
    <row r="108" spans="1:34" x14ac:dyDescent="0.25">
      <c r="A108" s="123" t="s">
        <v>56</v>
      </c>
      <c r="B108" s="16" t="s">
        <v>271</v>
      </c>
      <c r="C108" s="7">
        <v>1136094335</v>
      </c>
      <c r="E108" s="7">
        <v>1136094335</v>
      </c>
      <c r="F108" s="7">
        <v>795266034.5</v>
      </c>
      <c r="H108" s="7">
        <v>159053206.90000001</v>
      </c>
      <c r="I108" s="7">
        <v>636212827.60000002</v>
      </c>
      <c r="O108" s="7">
        <v>17800540688.350002</v>
      </c>
      <c r="P108" s="7">
        <v>5550000000</v>
      </c>
      <c r="R108" s="7">
        <v>12250540688.350002</v>
      </c>
      <c r="S108" s="7">
        <v>9450206937.8000011</v>
      </c>
      <c r="T108" s="7">
        <v>16889862639.150002</v>
      </c>
      <c r="U108" s="7">
        <v>5550000000</v>
      </c>
      <c r="W108" s="7">
        <v>11339862639.150002</v>
      </c>
      <c r="X108" s="7">
        <v>8875784815.9300003</v>
      </c>
      <c r="Y108" s="7">
        <v>574422121.87000084</v>
      </c>
      <c r="Z108" s="7">
        <v>574422121.87000084</v>
      </c>
      <c r="AA108" s="7">
        <v>23857981.035</v>
      </c>
      <c r="AB108" s="7">
        <v>363238684.75</v>
      </c>
      <c r="AC108" s="7">
        <v>-325305960.05500084</v>
      </c>
      <c r="AD108" s="17">
        <v>0.9028773029253534</v>
      </c>
      <c r="AE108" s="5">
        <f>SUMIFS(PGĐ!$H:$H,PGĐ!$F:$F,"="&amp;'HQ2'!B108,PGĐ!$I:$I,"="&amp;'HQ2'!A108)</f>
        <v>0</v>
      </c>
      <c r="AF108" s="17"/>
      <c r="AG108" s="7">
        <f>SUMIFS(ĐMCP!$Q:$Q,ĐMCP!$P:$P,"="&amp;'HQ2'!B108,ĐMCP!$O:$O,"="&amp;'HQ2'!A108)</f>
        <v>363238684.76000005</v>
      </c>
      <c r="AH108" s="7">
        <f t="shared" si="1"/>
        <v>1.0000050067901611E-2</v>
      </c>
    </row>
    <row r="109" spans="1:34" x14ac:dyDescent="0.25">
      <c r="A109" s="123" t="s">
        <v>56</v>
      </c>
      <c r="B109" s="16" t="s">
        <v>269</v>
      </c>
      <c r="C109" s="7">
        <v>407272127</v>
      </c>
      <c r="E109" s="7">
        <v>407272127</v>
      </c>
      <c r="F109" s="7">
        <v>244363276.19999999</v>
      </c>
      <c r="H109" s="7">
        <v>24436327.620000001</v>
      </c>
      <c r="I109" s="7">
        <v>219926948.57999998</v>
      </c>
      <c r="O109" s="7">
        <v>7000000</v>
      </c>
      <c r="R109" s="7">
        <v>7000000</v>
      </c>
      <c r="S109" s="7">
        <v>4200000</v>
      </c>
      <c r="T109" s="7">
        <v>7000000</v>
      </c>
      <c r="W109" s="7">
        <v>7000000</v>
      </c>
      <c r="X109" s="7">
        <v>4200000</v>
      </c>
      <c r="Y109" s="7">
        <v>0</v>
      </c>
      <c r="Z109" s="7">
        <v>0</v>
      </c>
      <c r="AA109" s="7">
        <v>7330898.2859999994</v>
      </c>
      <c r="AB109" s="7">
        <v>43161686.280000001</v>
      </c>
      <c r="AC109" s="7">
        <v>169434364.01399997</v>
      </c>
      <c r="AD109" s="17">
        <v>0</v>
      </c>
      <c r="AE109" s="5">
        <f>SUMIFS(PGĐ!$H:$H,PGĐ!$F:$F,"="&amp;'HQ2'!B109,PGĐ!$I:$I,"="&amp;'HQ2'!A109)</f>
        <v>0</v>
      </c>
      <c r="AF109" s="17"/>
      <c r="AG109" s="7">
        <f>SUMIFS(ĐMCP!$Q:$Q,ĐMCP!$P:$P,"="&amp;'HQ2'!B109,ĐMCP!$O:$O,"="&amp;'HQ2'!A109)</f>
        <v>43161686.280000001</v>
      </c>
      <c r="AH109" s="7">
        <f t="shared" si="1"/>
        <v>0</v>
      </c>
    </row>
    <row r="110" spans="1:34" x14ac:dyDescent="0.25">
      <c r="A110" s="123" t="s">
        <v>58</v>
      </c>
      <c r="B110" s="15" t="s">
        <v>45</v>
      </c>
      <c r="C110" s="132">
        <v>14985676396</v>
      </c>
      <c r="D110" s="132">
        <v>1143772045</v>
      </c>
      <c r="E110" s="132">
        <v>13841904351</v>
      </c>
      <c r="F110" s="132">
        <v>10184137226.565001</v>
      </c>
      <c r="G110" s="132">
        <v>6945021788.75</v>
      </c>
      <c r="H110" s="132">
        <v>675080901.0964998</v>
      </c>
      <c r="I110" s="132">
        <v>9509056325.4685001</v>
      </c>
      <c r="J110" s="132">
        <v>1074239506</v>
      </c>
      <c r="K110" s="132"/>
      <c r="L110" s="132"/>
      <c r="M110" s="132">
        <v>1074239506</v>
      </c>
      <c r="N110" s="132">
        <v>606468116.95000005</v>
      </c>
      <c r="O110" s="132">
        <v>5580210660.6999998</v>
      </c>
      <c r="P110" s="132">
        <v>841067535</v>
      </c>
      <c r="Q110" s="132">
        <v>236898859</v>
      </c>
      <c r="R110" s="132">
        <v>4502244266.6999998</v>
      </c>
      <c r="S110" s="132">
        <v>3073608478.5999999</v>
      </c>
      <c r="T110" s="132">
        <v>5605599220.3999996</v>
      </c>
      <c r="U110" s="132">
        <v>841067535</v>
      </c>
      <c r="V110" s="132">
        <v>425722386</v>
      </c>
      <c r="W110" s="132">
        <v>4338809299.3999996</v>
      </c>
      <c r="X110" s="132">
        <v>3143871744.0100002</v>
      </c>
      <c r="Y110" s="132">
        <v>-70263265.410000324</v>
      </c>
      <c r="Z110" s="132">
        <v>536204851.53999972</v>
      </c>
      <c r="AA110" s="132">
        <v>305524116.79694998</v>
      </c>
      <c r="AB110" s="132">
        <v>4807120244</v>
      </c>
      <c r="AC110" s="132">
        <v>3860207113.1315494</v>
      </c>
      <c r="AD110" s="96">
        <v>5.6388860596383261E-2</v>
      </c>
      <c r="AE110" s="5">
        <f>SUMIFS(PGĐ!$H:$H,PGĐ!$F:$F,"="&amp;'HQ2'!B110,PGĐ!$I:$I,"="&amp;'HQ2'!A110)</f>
        <v>0</v>
      </c>
      <c r="AF110" s="96"/>
      <c r="AG110" s="7">
        <f>SUMIFS(ĐMCP!$Q:$Q,ĐMCP!$P:$P,"="&amp;'HQ2'!B110,ĐMCP!$O:$O,"="&amp;'HQ2'!A110)</f>
        <v>0</v>
      </c>
      <c r="AH110" s="7">
        <f t="shared" si="1"/>
        <v>0</v>
      </c>
    </row>
    <row r="111" spans="1:34" x14ac:dyDescent="0.25">
      <c r="A111" s="123" t="s">
        <v>58</v>
      </c>
      <c r="B111" s="16" t="s">
        <v>268</v>
      </c>
      <c r="C111" s="7">
        <v>7974867596</v>
      </c>
      <c r="D111" s="7">
        <v>656100084</v>
      </c>
      <c r="E111" s="7">
        <v>7318767512</v>
      </c>
      <c r="F111" s="7">
        <v>5759554339.8799992</v>
      </c>
      <c r="G111" s="7">
        <v>3880386750.0999999</v>
      </c>
      <c r="H111" s="7">
        <v>281875138.46699989</v>
      </c>
      <c r="I111" s="7">
        <v>5477679201.4129992</v>
      </c>
      <c r="J111" s="7">
        <v>761511733</v>
      </c>
      <c r="M111" s="7">
        <v>761511733</v>
      </c>
      <c r="N111" s="7">
        <v>418831453.15000004</v>
      </c>
      <c r="O111" s="7">
        <v>2481433352</v>
      </c>
      <c r="P111" s="7">
        <v>841067535</v>
      </c>
      <c r="Q111" s="7">
        <v>234098859</v>
      </c>
      <c r="R111" s="7">
        <v>1406266958</v>
      </c>
      <c r="S111" s="7">
        <v>1213222093.3800001</v>
      </c>
      <c r="T111" s="7">
        <v>2418641932</v>
      </c>
      <c r="U111" s="7">
        <v>841067535</v>
      </c>
      <c r="V111" s="7">
        <v>295543859</v>
      </c>
      <c r="W111" s="7">
        <v>1282030538</v>
      </c>
      <c r="X111" s="7">
        <v>1179625960.1700001</v>
      </c>
      <c r="Y111" s="7">
        <v>33596133.210000038</v>
      </c>
      <c r="Z111" s="7">
        <v>452427586.36000007</v>
      </c>
      <c r="AA111" s="7">
        <v>172786630.19639996</v>
      </c>
      <c r="AB111" s="7">
        <v>2577780482</v>
      </c>
      <c r="AC111" s="7">
        <v>2274684502.8565993</v>
      </c>
      <c r="AD111" s="17">
        <v>8.259475769287361E-2</v>
      </c>
      <c r="AE111" s="5">
        <f>SUMIFS(PGĐ!$H:$H,PGĐ!$F:$F,"="&amp;'HQ2'!B111,PGĐ!$I:$I,"="&amp;'HQ2'!A111)</f>
        <v>69267922</v>
      </c>
      <c r="AF111" s="17"/>
      <c r="AG111" s="7">
        <f>SUMIFS(ĐMCP!$Q:$Q,ĐMCP!$P:$P,"="&amp;'HQ2'!B111,ĐMCP!$O:$O,"="&amp;'HQ2'!A111)</f>
        <v>2577780482.1956882</v>
      </c>
      <c r="AH111" s="7">
        <f t="shared" si="1"/>
        <v>0.19568824768066406</v>
      </c>
    </row>
    <row r="112" spans="1:34" x14ac:dyDescent="0.25">
      <c r="A112" s="123" t="s">
        <v>58</v>
      </c>
      <c r="B112" s="16" t="s">
        <v>271</v>
      </c>
      <c r="C112" s="7">
        <v>3262818102</v>
      </c>
      <c r="D112" s="7">
        <v>186533891</v>
      </c>
      <c r="E112" s="7">
        <v>3076284211</v>
      </c>
      <c r="F112" s="7">
        <v>2337134830.335</v>
      </c>
      <c r="G112" s="7">
        <v>728151517.0999999</v>
      </c>
      <c r="H112" s="7">
        <v>321796662.64700001</v>
      </c>
      <c r="I112" s="7">
        <v>2015338167.688</v>
      </c>
      <c r="J112" s="7">
        <v>5610000</v>
      </c>
      <c r="M112" s="7">
        <v>5610000</v>
      </c>
      <c r="N112" s="7">
        <v>3366000</v>
      </c>
      <c r="O112" s="7">
        <v>1147559888.3999999</v>
      </c>
      <c r="R112" s="7">
        <v>1147559888.3999999</v>
      </c>
      <c r="S112" s="7">
        <v>688535933.03999984</v>
      </c>
      <c r="T112" s="7">
        <v>1147559888.3999999</v>
      </c>
      <c r="W112" s="7">
        <v>1147559888.3999999</v>
      </c>
      <c r="X112" s="7">
        <v>688535933.03999984</v>
      </c>
      <c r="Y112" s="7">
        <v>0</v>
      </c>
      <c r="Z112" s="7">
        <v>3366000</v>
      </c>
      <c r="AA112" s="7">
        <v>70114044.910050005</v>
      </c>
      <c r="AB112" s="7">
        <v>1300663103</v>
      </c>
      <c r="AC112" s="7">
        <v>641195019.77794993</v>
      </c>
      <c r="AD112" s="17">
        <v>1.6701911639283257E-3</v>
      </c>
      <c r="AE112" s="5">
        <f>SUMIFS(PGĐ!$H:$H,PGĐ!$F:$F,"="&amp;'HQ2'!B112,PGĐ!$I:$I,"="&amp;'HQ2'!A112)</f>
        <v>3750000</v>
      </c>
      <c r="AF112" s="17"/>
      <c r="AG112" s="7">
        <f>SUMIFS(ĐMCP!$Q:$Q,ĐMCP!$P:$P,"="&amp;'HQ2'!B112,ĐMCP!$O:$O,"="&amp;'HQ2'!A112)</f>
        <v>1300663102.586591</v>
      </c>
      <c r="AH112" s="7">
        <f t="shared" si="1"/>
        <v>-0.41340899467468262</v>
      </c>
    </row>
    <row r="113" spans="1:34" x14ac:dyDescent="0.25">
      <c r="A113" s="123" t="s">
        <v>58</v>
      </c>
      <c r="B113" s="16" t="s">
        <v>270</v>
      </c>
      <c r="C113" s="7">
        <v>803180946</v>
      </c>
      <c r="D113" s="7">
        <v>301138070</v>
      </c>
      <c r="E113" s="7">
        <v>502042876</v>
      </c>
      <c r="F113" s="7">
        <v>683198396.25</v>
      </c>
      <c r="G113" s="7">
        <v>1523121582.4000001</v>
      </c>
      <c r="H113" s="7">
        <v>-83992318.61500001</v>
      </c>
      <c r="I113" s="7">
        <v>767190714.86500001</v>
      </c>
      <c r="J113" s="7">
        <v>307117773</v>
      </c>
      <c r="M113" s="7">
        <v>307117773</v>
      </c>
      <c r="N113" s="7">
        <v>184270663.79999998</v>
      </c>
      <c r="O113" s="7">
        <v>1785716920.3</v>
      </c>
      <c r="Q113" s="7">
        <v>2800000</v>
      </c>
      <c r="R113" s="7">
        <v>1782916920.3</v>
      </c>
      <c r="S113" s="7">
        <v>1072550152.1799999</v>
      </c>
      <c r="T113" s="7">
        <v>1873896900</v>
      </c>
      <c r="V113" s="7">
        <v>130178527</v>
      </c>
      <c r="W113" s="7">
        <v>1743718373</v>
      </c>
      <c r="X113" s="7">
        <v>1176409550.8</v>
      </c>
      <c r="Y113" s="7">
        <v>-103859398.62</v>
      </c>
      <c r="Z113" s="7">
        <v>80411265.179999977</v>
      </c>
      <c r="AA113" s="7">
        <v>20495951.887499999</v>
      </c>
      <c r="AB113" s="7">
        <v>304284421</v>
      </c>
      <c r="AC113" s="7">
        <v>361999076.79750007</v>
      </c>
      <c r="AD113" s="17">
        <v>0.10481261519718689</v>
      </c>
      <c r="AE113" s="5">
        <f>SUMIFS(PGĐ!$H:$H,PGĐ!$F:$F,"="&amp;'HQ2'!B113,PGĐ!$I:$I,"="&amp;'HQ2'!A113)</f>
        <v>31531450</v>
      </c>
      <c r="AF113" s="17"/>
      <c r="AG113" s="7">
        <f>SUMIFS(ĐMCP!$Q:$Q,ĐMCP!$P:$P,"="&amp;'HQ2'!B113,ĐMCP!$O:$O,"="&amp;'HQ2'!A113)</f>
        <v>304284421.27990967</v>
      </c>
      <c r="AH113" s="7">
        <f t="shared" si="1"/>
        <v>0.27990967035293579</v>
      </c>
    </row>
    <row r="114" spans="1:34" x14ac:dyDescent="0.25">
      <c r="A114" s="123" t="s">
        <v>58</v>
      </c>
      <c r="B114" s="16" t="s">
        <v>273</v>
      </c>
      <c r="C114" s="7">
        <v>1086762102</v>
      </c>
      <c r="E114" s="7">
        <v>1086762102</v>
      </c>
      <c r="F114" s="7">
        <v>597719156.10000002</v>
      </c>
      <c r="G114" s="7">
        <v>181329733.75</v>
      </c>
      <c r="H114" s="7">
        <v>104097355.58750001</v>
      </c>
      <c r="I114" s="7">
        <v>493621800.51250005</v>
      </c>
      <c r="AA114" s="7">
        <v>17931574.682999998</v>
      </c>
      <c r="AB114" s="7">
        <v>240141226</v>
      </c>
      <c r="AC114" s="7">
        <v>235548999.82950005</v>
      </c>
      <c r="AD114" s="17"/>
      <c r="AE114" s="5">
        <f>SUMIFS(PGĐ!$H:$H,PGĐ!$F:$F,"="&amp;'HQ2'!B114,PGĐ!$I:$I,"="&amp;'HQ2'!A114)</f>
        <v>0</v>
      </c>
      <c r="AF114" s="17"/>
      <c r="AG114" s="7">
        <f>SUMIFS(ĐMCP!$Q:$Q,ĐMCP!$P:$P,"="&amp;'HQ2'!B114,ĐMCP!$O:$O,"="&amp;'HQ2'!A114)</f>
        <v>240141226.40948254</v>
      </c>
      <c r="AH114" s="7">
        <f t="shared" si="1"/>
        <v>0.40948253870010376</v>
      </c>
    </row>
    <row r="115" spans="1:34" x14ac:dyDescent="0.25">
      <c r="A115" s="123" t="s">
        <v>58</v>
      </c>
      <c r="B115" s="16" t="s">
        <v>23</v>
      </c>
      <c r="C115" s="7">
        <v>1233192344</v>
      </c>
      <c r="E115" s="7">
        <v>1233192344</v>
      </c>
      <c r="F115" s="7">
        <v>431617320.39999998</v>
      </c>
      <c r="G115" s="7">
        <v>80991555.399999991</v>
      </c>
      <c r="H115" s="7">
        <v>87656441.25</v>
      </c>
      <c r="I115" s="7">
        <v>343960879.14999998</v>
      </c>
      <c r="AA115" s="7">
        <v>12948519.612</v>
      </c>
      <c r="AB115" s="7">
        <v>162135787</v>
      </c>
      <c r="AC115" s="7">
        <v>168876572.53799999</v>
      </c>
      <c r="AD115" s="17"/>
      <c r="AE115" s="5">
        <f>SUMIFS(PGĐ!$H:$H,PGĐ!$F:$F,"="&amp;'HQ2'!B115,PGĐ!$I:$I,"="&amp;'HQ2'!A115)</f>
        <v>0</v>
      </c>
      <c r="AF115" s="17"/>
      <c r="AG115" s="7">
        <f>SUMIFS(ĐMCP!$Q:$Q,ĐMCP!$P:$P,"="&amp;'HQ2'!B115,ĐMCP!$O:$O,"="&amp;'HQ2'!A115)</f>
        <v>162135786.88368422</v>
      </c>
      <c r="AH115" s="7">
        <f t="shared" si="1"/>
        <v>-0.11631578207015991</v>
      </c>
    </row>
    <row r="116" spans="1:34" x14ac:dyDescent="0.25">
      <c r="A116" s="123" t="s">
        <v>58</v>
      </c>
      <c r="B116" s="16" t="s">
        <v>269</v>
      </c>
      <c r="C116" s="7">
        <v>624855306</v>
      </c>
      <c r="E116" s="7">
        <v>624855306</v>
      </c>
      <c r="F116" s="7">
        <v>374913183.59999996</v>
      </c>
      <c r="G116" s="7">
        <v>363644334</v>
      </c>
      <c r="H116" s="7">
        <v>1126884.9599999965</v>
      </c>
      <c r="I116" s="7">
        <v>373786298.63999999</v>
      </c>
      <c r="O116" s="7">
        <v>165500500</v>
      </c>
      <c r="R116" s="7">
        <v>165500500</v>
      </c>
      <c r="S116" s="7">
        <v>99300300</v>
      </c>
      <c r="T116" s="7">
        <v>165500500</v>
      </c>
      <c r="W116" s="7">
        <v>165500500</v>
      </c>
      <c r="X116" s="7">
        <v>99300300</v>
      </c>
      <c r="Y116" s="7">
        <v>0</v>
      </c>
      <c r="Z116" s="7">
        <v>0</v>
      </c>
      <c r="AA116" s="7">
        <v>11247395.507999998</v>
      </c>
      <c r="AB116" s="7">
        <v>222115225</v>
      </c>
      <c r="AC116" s="7">
        <v>140423678.132</v>
      </c>
      <c r="AD116" s="17">
        <v>0</v>
      </c>
      <c r="AE116" s="5">
        <f>SUMIFS(PGĐ!$H:$H,PGĐ!$F:$F,"="&amp;'HQ2'!B116,PGĐ!$I:$I,"="&amp;'HQ2'!A116)</f>
        <v>0</v>
      </c>
      <c r="AF116" s="17"/>
      <c r="AG116" s="7">
        <f>SUMIFS(ĐMCP!$Q:$Q,ĐMCP!$P:$P,"="&amp;'HQ2'!B116,ĐMCP!$O:$O,"="&amp;'HQ2'!A116)</f>
        <v>222115224.5114305</v>
      </c>
      <c r="AH116" s="7">
        <f t="shared" si="1"/>
        <v>-0.48856949806213379</v>
      </c>
    </row>
    <row r="117" spans="1:34" x14ac:dyDescent="0.25">
      <c r="A117" s="123" t="s">
        <v>58</v>
      </c>
      <c r="B117" s="16" t="s">
        <v>272</v>
      </c>
      <c r="G117" s="7">
        <v>187396316</v>
      </c>
      <c r="H117" s="7">
        <v>-37479263.200000003</v>
      </c>
      <c r="I117" s="7">
        <v>37479263.200000003</v>
      </c>
      <c r="AB117" s="7">
        <v>0</v>
      </c>
      <c r="AC117" s="7">
        <v>37479263.200000003</v>
      </c>
      <c r="AD117" s="17"/>
      <c r="AE117" s="5">
        <f>SUMIFS(PGĐ!$H:$H,PGĐ!$F:$F,"="&amp;'HQ2'!B117,PGĐ!$I:$I,"="&amp;'HQ2'!A117)</f>
        <v>0</v>
      </c>
      <c r="AF117" s="17"/>
      <c r="AG117" s="7">
        <f>SUMIFS(ĐMCP!$Q:$Q,ĐMCP!$P:$P,"="&amp;'HQ2'!B117,ĐMCP!$O:$O,"="&amp;'HQ2'!A117)</f>
        <v>0</v>
      </c>
      <c r="AH117" s="7">
        <f t="shared" si="1"/>
        <v>0</v>
      </c>
    </row>
    <row r="118" spans="1:34" x14ac:dyDescent="0.25">
      <c r="A118" s="123" t="s">
        <v>59</v>
      </c>
      <c r="B118" s="15" t="s">
        <v>45</v>
      </c>
      <c r="C118" s="132">
        <v>11693205733</v>
      </c>
      <c r="D118" s="132">
        <v>4540559993</v>
      </c>
      <c r="E118" s="132">
        <v>7152645740</v>
      </c>
      <c r="F118" s="132">
        <v>9280014792.6749992</v>
      </c>
      <c r="G118" s="132">
        <v>10444120063.449999</v>
      </c>
      <c r="H118" s="132">
        <v>-184845082.09199995</v>
      </c>
      <c r="I118" s="132">
        <v>9464859874.7669983</v>
      </c>
      <c r="J118" s="132">
        <v>2042507264</v>
      </c>
      <c r="K118" s="132">
        <v>1557979921</v>
      </c>
      <c r="L118" s="132">
        <v>449773305</v>
      </c>
      <c r="M118" s="132">
        <v>34754038</v>
      </c>
      <c r="N118" s="132">
        <v>1963848025.8</v>
      </c>
      <c r="O118" s="132">
        <v>20942503457.299999</v>
      </c>
      <c r="P118" s="132">
        <v>12530396193</v>
      </c>
      <c r="Q118" s="132">
        <v>2743000000</v>
      </c>
      <c r="R118" s="132">
        <v>5669107264.2999992</v>
      </c>
      <c r="S118" s="132">
        <v>13652161308.674999</v>
      </c>
      <c r="T118" s="132">
        <v>23374777696.84</v>
      </c>
      <c r="U118" s="132">
        <v>14833258793</v>
      </c>
      <c r="V118" s="132">
        <v>3315046525.8400002</v>
      </c>
      <c r="W118" s="132">
        <v>5226472378</v>
      </c>
      <c r="X118" s="132">
        <v>16414964749.74</v>
      </c>
      <c r="Y118" s="132">
        <v>-2762803441.0650005</v>
      </c>
      <c r="Z118" s="132">
        <v>-798955415.26500058</v>
      </c>
      <c r="AA118" s="132">
        <v>278400443.78024995</v>
      </c>
      <c r="AB118" s="132">
        <v>4415875939</v>
      </c>
      <c r="AC118" s="132">
        <v>5569538907.2517509</v>
      </c>
      <c r="AD118" s="96">
        <v>-8.4412809680890169E-2</v>
      </c>
      <c r="AE118" s="5">
        <f>SUMIFS(PGĐ!$H:$H,PGĐ!$F:$F,"="&amp;'HQ2'!B118,PGĐ!$I:$I,"="&amp;'HQ2'!A118)</f>
        <v>0</v>
      </c>
      <c r="AF118" s="96"/>
      <c r="AG118" s="7">
        <f>SUMIFS(ĐMCP!$Q:$Q,ĐMCP!$P:$P,"="&amp;'HQ2'!B118,ĐMCP!$O:$O,"="&amp;'HQ2'!A118)</f>
        <v>0</v>
      </c>
      <c r="AH118" s="7">
        <f t="shared" si="1"/>
        <v>0</v>
      </c>
    </row>
    <row r="119" spans="1:34" x14ac:dyDescent="0.25">
      <c r="A119" s="123" t="s">
        <v>59</v>
      </c>
      <c r="B119" s="16" t="s">
        <v>268</v>
      </c>
      <c r="C119" s="7">
        <v>6425724644</v>
      </c>
      <c r="D119" s="7">
        <v>1109746652</v>
      </c>
      <c r="E119" s="7">
        <v>5315977992</v>
      </c>
      <c r="F119" s="7">
        <v>4797638846.8400002</v>
      </c>
      <c r="G119" s="7">
        <v>5609670942.3999996</v>
      </c>
      <c r="H119" s="7">
        <v>-121804814.33399992</v>
      </c>
      <c r="I119" s="7">
        <v>4919443661.1739998</v>
      </c>
      <c r="J119" s="7">
        <v>1073988825</v>
      </c>
      <c r="K119" s="7">
        <v>859568344</v>
      </c>
      <c r="L119" s="7">
        <v>195447481</v>
      </c>
      <c r="M119" s="7">
        <v>18973000</v>
      </c>
      <c r="N119" s="7">
        <v>1001642002</v>
      </c>
      <c r="O119" s="7">
        <v>16818830834.299999</v>
      </c>
      <c r="P119" s="7">
        <v>12530396193</v>
      </c>
      <c r="Q119" s="7">
        <v>2523000000</v>
      </c>
      <c r="R119" s="7">
        <v>1765434641.2999992</v>
      </c>
      <c r="S119" s="7">
        <v>11089957734.875</v>
      </c>
      <c r="T119" s="7">
        <v>16787163548</v>
      </c>
      <c r="U119" s="7">
        <v>12395158793</v>
      </c>
      <c r="V119" s="7">
        <v>2910000000</v>
      </c>
      <c r="W119" s="7">
        <v>1482004755</v>
      </c>
      <c r="X119" s="7">
        <v>11325137650.1</v>
      </c>
      <c r="Y119" s="7">
        <v>-235179915.22500038</v>
      </c>
      <c r="Z119" s="7">
        <v>766462086.77499962</v>
      </c>
      <c r="AA119" s="7">
        <v>143929165.4052</v>
      </c>
      <c r="AB119" s="7">
        <v>2344065929</v>
      </c>
      <c r="AC119" s="7">
        <v>1664986479.9938006</v>
      </c>
      <c r="AD119" s="17">
        <v>0.15580259467634341</v>
      </c>
      <c r="AE119" s="5">
        <f>SUMIFS(PGĐ!$H:$H,PGĐ!$F:$F,"="&amp;'HQ2'!B119,PGĐ!$I:$I,"="&amp;'HQ2'!A119)</f>
        <v>4188248178</v>
      </c>
      <c r="AF119" s="17"/>
      <c r="AG119" s="7">
        <f>SUMIFS(ĐMCP!$Q:$Q,ĐMCP!$P:$P,"="&amp;'HQ2'!B119,ĐMCP!$O:$O,"="&amp;'HQ2'!A119)</f>
        <v>2344065929.3515072</v>
      </c>
      <c r="AH119" s="7">
        <f t="shared" si="1"/>
        <v>0.35150718688964844</v>
      </c>
    </row>
    <row r="120" spans="1:34" x14ac:dyDescent="0.25">
      <c r="A120" s="123" t="s">
        <v>59</v>
      </c>
      <c r="B120" s="16" t="s">
        <v>270</v>
      </c>
      <c r="C120" s="7">
        <v>3519582182</v>
      </c>
      <c r="D120" s="7">
        <v>2710585490</v>
      </c>
      <c r="E120" s="7">
        <v>808996692</v>
      </c>
      <c r="F120" s="7">
        <v>3181594786.75</v>
      </c>
      <c r="G120" s="7">
        <v>3272315842.4000001</v>
      </c>
      <c r="H120" s="7">
        <v>-9072105.5650000107</v>
      </c>
      <c r="I120" s="7">
        <v>3190666892.3150001</v>
      </c>
      <c r="J120" s="7">
        <v>220428077</v>
      </c>
      <c r="L120" s="7">
        <v>220428077</v>
      </c>
      <c r="M120" s="7">
        <v>0</v>
      </c>
      <c r="N120" s="7">
        <v>220428077</v>
      </c>
      <c r="O120" s="7">
        <v>12000000</v>
      </c>
      <c r="R120" s="7">
        <v>12000000</v>
      </c>
      <c r="S120" s="7">
        <v>7200000</v>
      </c>
      <c r="T120" s="7">
        <v>255046525.84</v>
      </c>
      <c r="V120" s="7">
        <v>255046525.84</v>
      </c>
      <c r="W120" s="7">
        <v>0</v>
      </c>
      <c r="X120" s="7">
        <v>255046525.84</v>
      </c>
      <c r="Y120" s="7">
        <v>-247846525.84</v>
      </c>
      <c r="Z120" s="7">
        <v>-27418448.840000004</v>
      </c>
      <c r="AA120" s="7">
        <v>95447843.602499992</v>
      </c>
      <c r="AB120" s="7">
        <v>1045010049</v>
      </c>
      <c r="AC120" s="7">
        <v>2077627448.5525002</v>
      </c>
      <c r="AD120" s="17">
        <v>-8.593328531423864E-3</v>
      </c>
      <c r="AE120" s="5">
        <f>SUMIFS(PGĐ!$H:$H,PGĐ!$F:$F,"="&amp;'HQ2'!B120,PGĐ!$I:$I,"="&amp;'HQ2'!A120)</f>
        <v>18634250</v>
      </c>
      <c r="AF120" s="17"/>
      <c r="AG120" s="7">
        <f>SUMIFS(ĐMCP!$Q:$Q,ĐMCP!$P:$P,"="&amp;'HQ2'!B120,ĐMCP!$O:$O,"="&amp;'HQ2'!A120)</f>
        <v>1045010048.869103</v>
      </c>
      <c r="AH120" s="7">
        <f t="shared" si="1"/>
        <v>-0.13089704513549805</v>
      </c>
    </row>
    <row r="121" spans="1:34" x14ac:dyDescent="0.25">
      <c r="A121" s="123" t="s">
        <v>59</v>
      </c>
      <c r="B121" s="16" t="s">
        <v>271</v>
      </c>
      <c r="C121" s="7">
        <v>550542431</v>
      </c>
      <c r="D121" s="7">
        <v>225822551</v>
      </c>
      <c r="E121" s="7">
        <v>324719880</v>
      </c>
      <c r="F121" s="7">
        <v>449739128.73500001</v>
      </c>
      <c r="G121" s="7">
        <v>287414297.79999995</v>
      </c>
      <c r="H121" s="7">
        <v>32464966.187000014</v>
      </c>
      <c r="I121" s="7">
        <v>417274162.54799998</v>
      </c>
      <c r="J121" s="7">
        <v>698411577</v>
      </c>
      <c r="K121" s="7">
        <v>698411577</v>
      </c>
      <c r="M121" s="7">
        <v>0</v>
      </c>
      <c r="N121" s="7">
        <v>698411577</v>
      </c>
      <c r="O121" s="7">
        <v>2704700000</v>
      </c>
      <c r="Q121" s="7">
        <v>150000000</v>
      </c>
      <c r="R121" s="7">
        <v>2554700000</v>
      </c>
      <c r="S121" s="7">
        <v>1682820000</v>
      </c>
      <c r="T121" s="7">
        <v>5142800000</v>
      </c>
      <c r="U121" s="7">
        <v>2438100000</v>
      </c>
      <c r="V121" s="7">
        <v>150000000</v>
      </c>
      <c r="W121" s="7">
        <v>2554700000</v>
      </c>
      <c r="X121" s="7">
        <v>4120920000</v>
      </c>
      <c r="Y121" s="7">
        <v>-2438100000</v>
      </c>
      <c r="Z121" s="7">
        <v>-1739688423</v>
      </c>
      <c r="AA121" s="7">
        <v>13492173.862050001</v>
      </c>
      <c r="AB121" s="7">
        <v>691695415</v>
      </c>
      <c r="AC121" s="7">
        <v>1451774996.6859498</v>
      </c>
      <c r="AD121" s="17">
        <v>-4.1691736013007512</v>
      </c>
      <c r="AE121" s="5">
        <f>SUMIFS(PGĐ!$H:$H,PGĐ!$F:$F,"="&amp;'HQ2'!B121,PGĐ!$I:$I,"="&amp;'HQ2'!A121)</f>
        <v>653507624</v>
      </c>
      <c r="AF121" s="17"/>
      <c r="AG121" s="7">
        <f>SUMIFS(ĐMCP!$Q:$Q,ĐMCP!$P:$P,"="&amp;'HQ2'!B121,ĐMCP!$O:$O,"="&amp;'HQ2'!A121)</f>
        <v>691695415.25905669</v>
      </c>
      <c r="AH121" s="7">
        <f t="shared" si="1"/>
        <v>0.2590566873550415</v>
      </c>
    </row>
    <row r="122" spans="1:34" x14ac:dyDescent="0.25">
      <c r="A122" s="123" t="s">
        <v>59</v>
      </c>
      <c r="B122" s="16" t="s">
        <v>272</v>
      </c>
      <c r="C122" s="7">
        <v>473065060</v>
      </c>
      <c r="D122" s="7">
        <v>465675300</v>
      </c>
      <c r="E122" s="7">
        <v>7389760</v>
      </c>
      <c r="F122" s="7">
        <v>441318213.5</v>
      </c>
      <c r="G122" s="7">
        <v>748210763.20000005</v>
      </c>
      <c r="H122" s="7">
        <v>-61378509.940000013</v>
      </c>
      <c r="I122" s="7">
        <v>502696723.44</v>
      </c>
      <c r="J122" s="7">
        <v>33897747</v>
      </c>
      <c r="L122" s="7">
        <v>33897747</v>
      </c>
      <c r="M122" s="7">
        <v>0</v>
      </c>
      <c r="N122" s="7">
        <v>33897747</v>
      </c>
      <c r="O122" s="7">
        <v>70000000</v>
      </c>
      <c r="Q122" s="7">
        <v>70000000</v>
      </c>
      <c r="R122" s="7">
        <v>0</v>
      </c>
      <c r="S122" s="7">
        <v>70000000</v>
      </c>
      <c r="Y122" s="7">
        <v>70000000</v>
      </c>
      <c r="Z122" s="7">
        <v>103897747</v>
      </c>
      <c r="AA122" s="7">
        <v>13239546.404999999</v>
      </c>
      <c r="AB122" s="7">
        <v>162589334</v>
      </c>
      <c r="AC122" s="7">
        <v>222970096.035</v>
      </c>
      <c r="AD122" s="17">
        <v>0.2066807722338394</v>
      </c>
      <c r="AE122" s="5">
        <f>SUMIFS(PGĐ!$H:$H,PGĐ!$F:$F,"="&amp;'HQ2'!B122,PGĐ!$I:$I,"="&amp;'HQ2'!A122)</f>
        <v>0</v>
      </c>
      <c r="AF122" s="17"/>
      <c r="AG122" s="7">
        <f>SUMIFS(ĐMCP!$Q:$Q,ĐMCP!$P:$P,"="&amp;'HQ2'!B122,ĐMCP!$O:$O,"="&amp;'HQ2'!A122)</f>
        <v>162589333.69307816</v>
      </c>
      <c r="AH122" s="7">
        <f t="shared" si="1"/>
        <v>-0.30692183971405029</v>
      </c>
    </row>
    <row r="123" spans="1:34" x14ac:dyDescent="0.25">
      <c r="A123" s="123" t="s">
        <v>59</v>
      </c>
      <c r="B123" s="16" t="s">
        <v>269</v>
      </c>
      <c r="C123" s="7">
        <v>461275085</v>
      </c>
      <c r="E123" s="7">
        <v>461275085</v>
      </c>
      <c r="F123" s="7">
        <v>276765051</v>
      </c>
      <c r="G123" s="7">
        <v>304374929.39999998</v>
      </c>
      <c r="H123" s="7">
        <v>-2760987.839999998</v>
      </c>
      <c r="I123" s="7">
        <v>279526038.83999997</v>
      </c>
      <c r="J123" s="7">
        <v>15781038</v>
      </c>
      <c r="M123" s="7">
        <v>15781038</v>
      </c>
      <c r="N123" s="7">
        <v>9468622.7999999989</v>
      </c>
      <c r="O123" s="7">
        <v>1336972623</v>
      </c>
      <c r="R123" s="7">
        <v>1336972623</v>
      </c>
      <c r="S123" s="7">
        <v>802183573.79999995</v>
      </c>
      <c r="T123" s="7">
        <v>1189767623</v>
      </c>
      <c r="W123" s="7">
        <v>1189767623</v>
      </c>
      <c r="X123" s="7">
        <v>713860573.79999995</v>
      </c>
      <c r="Y123" s="7">
        <v>88323000</v>
      </c>
      <c r="Z123" s="7">
        <v>97791622.799999997</v>
      </c>
      <c r="AA123" s="7">
        <v>8302951.5299999993</v>
      </c>
      <c r="AB123" s="7">
        <v>126433596</v>
      </c>
      <c r="AC123" s="7">
        <v>46997868.509999961</v>
      </c>
      <c r="AD123" s="17">
        <v>0.34984798985391014</v>
      </c>
      <c r="AE123" s="5">
        <f>SUMIFS(PGĐ!$H:$H,PGĐ!$F:$F,"="&amp;'HQ2'!B123,PGĐ!$I:$I,"="&amp;'HQ2'!A123)</f>
        <v>0</v>
      </c>
      <c r="AF123" s="17"/>
      <c r="AG123" s="7">
        <f>SUMIFS(ĐMCP!$Q:$Q,ĐMCP!$P:$P,"="&amp;'HQ2'!B123,ĐMCP!$O:$O,"="&amp;'HQ2'!A123)</f>
        <v>126433596.20297849</v>
      </c>
      <c r="AH123" s="7">
        <f t="shared" si="1"/>
        <v>0.20297849178314209</v>
      </c>
    </row>
    <row r="124" spans="1:34" x14ac:dyDescent="0.25">
      <c r="A124" s="123" t="s">
        <v>59</v>
      </c>
      <c r="B124" s="16" t="s">
        <v>273</v>
      </c>
      <c r="C124" s="7">
        <v>149210000</v>
      </c>
      <c r="D124" s="7">
        <v>28730000</v>
      </c>
      <c r="E124" s="7">
        <v>120480000</v>
      </c>
      <c r="F124" s="7">
        <v>93126550</v>
      </c>
      <c r="G124" s="7">
        <v>47742951.850000001</v>
      </c>
      <c r="H124" s="7">
        <v>11345899.5375</v>
      </c>
      <c r="I124" s="7">
        <v>81780650.462500006</v>
      </c>
      <c r="AA124" s="7">
        <v>2793796.5</v>
      </c>
      <c r="AB124" s="7">
        <v>29857505</v>
      </c>
      <c r="AC124" s="7">
        <v>49129348.962500006</v>
      </c>
      <c r="AD124" s="17"/>
      <c r="AE124" s="5">
        <f>SUMIFS(PGĐ!$H:$H,PGĐ!$F:$F,"="&amp;'HQ2'!B124,PGĐ!$I:$I,"="&amp;'HQ2'!A124)</f>
        <v>0</v>
      </c>
      <c r="AF124" s="17"/>
      <c r="AG124" s="7">
        <f>SUMIFS(ĐMCP!$Q:$Q,ĐMCP!$P:$P,"="&amp;'HQ2'!B124,ĐMCP!$O:$O,"="&amp;'HQ2'!A124)</f>
        <v>29857505.25170435</v>
      </c>
      <c r="AH124" s="7">
        <f t="shared" si="1"/>
        <v>0.25170435011386871</v>
      </c>
    </row>
    <row r="125" spans="1:34" x14ac:dyDescent="0.25">
      <c r="A125" s="123" t="s">
        <v>59</v>
      </c>
      <c r="B125" s="16" t="s">
        <v>23</v>
      </c>
      <c r="C125" s="7">
        <v>113806331</v>
      </c>
      <c r="E125" s="7">
        <v>113806331</v>
      </c>
      <c r="F125" s="7">
        <v>39832215.849999994</v>
      </c>
      <c r="G125" s="7">
        <v>174390336.39999998</v>
      </c>
      <c r="H125" s="7">
        <v>-33639530.137499996</v>
      </c>
      <c r="I125" s="7">
        <v>73471745.987499982</v>
      </c>
      <c r="AA125" s="7">
        <v>1194966.4754999997</v>
      </c>
      <c r="AB125" s="7">
        <v>16224111</v>
      </c>
      <c r="AC125" s="7">
        <v>56052668.51199998</v>
      </c>
      <c r="AD125" s="17"/>
      <c r="AE125" s="5">
        <f>SUMIFS(PGĐ!$H:$H,PGĐ!$F:$F,"="&amp;'HQ2'!B125,PGĐ!$I:$I,"="&amp;'HQ2'!A125)</f>
        <v>0</v>
      </c>
      <c r="AF125" s="17"/>
      <c r="AG125" s="7">
        <f>SUMIFS(ĐMCP!$Q:$Q,ĐMCP!$P:$P,"="&amp;'HQ2'!B125,ĐMCP!$O:$O,"="&amp;'HQ2'!A125)</f>
        <v>16224110.583351983</v>
      </c>
      <c r="AH125" s="7">
        <f t="shared" si="1"/>
        <v>-0.41664801724255085</v>
      </c>
    </row>
    <row r="126" spans="1:34" x14ac:dyDescent="0.25">
      <c r="A126" s="123" t="s">
        <v>60</v>
      </c>
      <c r="B126" s="15" t="s">
        <v>45</v>
      </c>
      <c r="C126" s="132">
        <v>10947032173</v>
      </c>
      <c r="D126" s="132">
        <v>4524398245</v>
      </c>
      <c r="E126" s="132">
        <v>6422633928</v>
      </c>
      <c r="F126" s="132">
        <v>9007989849.7299995</v>
      </c>
      <c r="G126" s="132">
        <v>6896380580.7999983</v>
      </c>
      <c r="H126" s="132">
        <v>283224600.66600013</v>
      </c>
      <c r="I126" s="132">
        <v>8724765249.0639992</v>
      </c>
      <c r="J126" s="132">
        <v>1423763120</v>
      </c>
      <c r="K126" s="132"/>
      <c r="L126" s="132">
        <v>903845370</v>
      </c>
      <c r="M126" s="132">
        <v>519917750</v>
      </c>
      <c r="N126" s="132">
        <v>1215796020</v>
      </c>
      <c r="O126" s="132">
        <v>2570536472.6999998</v>
      </c>
      <c r="P126" s="132"/>
      <c r="Q126" s="132">
        <v>750000000</v>
      </c>
      <c r="R126" s="132">
        <v>1820536472.6999998</v>
      </c>
      <c r="S126" s="132">
        <v>1757790633.6199999</v>
      </c>
      <c r="T126" s="132">
        <v>2235536472.6999998</v>
      </c>
      <c r="U126" s="132"/>
      <c r="V126" s="132">
        <v>415000000</v>
      </c>
      <c r="W126" s="132">
        <v>1820536472.6999998</v>
      </c>
      <c r="X126" s="132">
        <v>1422790633.6199999</v>
      </c>
      <c r="Y126" s="132">
        <v>335000000</v>
      </c>
      <c r="Z126" s="132">
        <v>1550796020</v>
      </c>
      <c r="AA126" s="132">
        <v>270239695.49189997</v>
      </c>
      <c r="AB126" s="132">
        <v>3421373762</v>
      </c>
      <c r="AC126" s="132">
        <v>3482355771.5721006</v>
      </c>
      <c r="AD126" s="96">
        <v>0.17774644654953561</v>
      </c>
      <c r="AE126" s="5">
        <f>SUMIFS(PGĐ!$H:$H,PGĐ!$F:$F,"="&amp;'HQ2'!B126,PGĐ!$I:$I,"="&amp;'HQ2'!A126)</f>
        <v>0</v>
      </c>
      <c r="AF126" s="96"/>
      <c r="AG126" s="7">
        <f>SUMIFS(ĐMCP!$Q:$Q,ĐMCP!$P:$P,"="&amp;'HQ2'!B126,ĐMCP!$O:$O,"="&amp;'HQ2'!A126)</f>
        <v>0</v>
      </c>
      <c r="AH126" s="7">
        <f t="shared" si="1"/>
        <v>0</v>
      </c>
    </row>
    <row r="127" spans="1:34" x14ac:dyDescent="0.25">
      <c r="A127" s="123" t="s">
        <v>60</v>
      </c>
      <c r="B127" s="16" t="s">
        <v>268</v>
      </c>
      <c r="C127" s="7">
        <v>6678411654</v>
      </c>
      <c r="D127" s="7">
        <v>2329772053</v>
      </c>
      <c r="E127" s="7">
        <v>4348639601</v>
      </c>
      <c r="F127" s="7">
        <v>5303926612.1099997</v>
      </c>
      <c r="G127" s="7">
        <v>4103128742.9999995</v>
      </c>
      <c r="H127" s="7">
        <v>180119680.36650002</v>
      </c>
      <c r="I127" s="7">
        <v>5123806931.7434998</v>
      </c>
      <c r="J127" s="7">
        <v>330617870</v>
      </c>
      <c r="L127" s="7">
        <v>330617870</v>
      </c>
      <c r="M127" s="7">
        <v>0</v>
      </c>
      <c r="N127" s="7">
        <v>330617870</v>
      </c>
      <c r="O127" s="7">
        <v>1790625000</v>
      </c>
      <c r="Q127" s="7">
        <v>100000000</v>
      </c>
      <c r="R127" s="7">
        <v>1690625000</v>
      </c>
      <c r="S127" s="7">
        <v>1029843750.0000001</v>
      </c>
      <c r="T127" s="7">
        <v>2105625000</v>
      </c>
      <c r="V127" s="7">
        <v>415000000</v>
      </c>
      <c r="W127" s="7">
        <v>1690625000</v>
      </c>
      <c r="X127" s="7">
        <v>1344843750</v>
      </c>
      <c r="Y127" s="7">
        <v>-314999999.99999988</v>
      </c>
      <c r="Z127" s="7">
        <v>15617870.000000119</v>
      </c>
      <c r="AA127" s="7">
        <v>159117798.3633</v>
      </c>
      <c r="AB127" s="7">
        <v>1789240297</v>
      </c>
      <c r="AC127" s="7">
        <v>3159830966.3801999</v>
      </c>
      <c r="AD127" s="17">
        <v>3.0480988468247691E-3</v>
      </c>
      <c r="AE127" s="5">
        <f>SUMIFS(PGĐ!$H:$H,PGĐ!$F:$F,"="&amp;'HQ2'!B127,PGĐ!$I:$I,"="&amp;'HQ2'!A127)</f>
        <v>0</v>
      </c>
      <c r="AF127" s="17"/>
      <c r="AG127" s="7">
        <f>SUMIFS(ĐMCP!$Q:$Q,ĐMCP!$P:$P,"="&amp;'HQ2'!B127,ĐMCP!$O:$O,"="&amp;'HQ2'!A127)</f>
        <v>1789240297.3055015</v>
      </c>
      <c r="AH127" s="7">
        <f t="shared" si="1"/>
        <v>0.30550146102905273</v>
      </c>
    </row>
    <row r="128" spans="1:34" x14ac:dyDescent="0.25">
      <c r="A128" s="123" t="s">
        <v>60</v>
      </c>
      <c r="B128" s="16" t="s">
        <v>270</v>
      </c>
      <c r="C128" s="7">
        <v>3450311011</v>
      </c>
      <c r="D128" s="7">
        <v>1456234547</v>
      </c>
      <c r="E128" s="7">
        <v>1994076464</v>
      </c>
      <c r="F128" s="7">
        <v>2956840472.6450005</v>
      </c>
      <c r="G128" s="7">
        <v>2187575057.5999999</v>
      </c>
      <c r="H128" s="7">
        <v>76926541.504500061</v>
      </c>
      <c r="I128" s="7">
        <v>2879913931.1405005</v>
      </c>
      <c r="J128" s="7">
        <v>930009750</v>
      </c>
      <c r="L128" s="7">
        <v>410092000</v>
      </c>
      <c r="M128" s="7">
        <v>519917750</v>
      </c>
      <c r="N128" s="7">
        <v>722042650</v>
      </c>
      <c r="Z128" s="7">
        <v>722042650</v>
      </c>
      <c r="AA128" s="7">
        <v>88705214.179350004</v>
      </c>
      <c r="AB128" s="7">
        <v>1156442461</v>
      </c>
      <c r="AC128" s="7">
        <v>912723605.96115053</v>
      </c>
      <c r="AD128" s="17">
        <v>0.2507167461473605</v>
      </c>
      <c r="AE128" s="5">
        <f>SUMIFS(PGĐ!$H:$H,PGĐ!$F:$F,"="&amp;'HQ2'!B128,PGĐ!$I:$I,"="&amp;'HQ2'!A128)</f>
        <v>238715881</v>
      </c>
      <c r="AF128" s="17"/>
      <c r="AG128" s="7">
        <f>SUMIFS(ĐMCP!$Q:$Q,ĐMCP!$P:$P,"="&amp;'HQ2'!B128,ĐMCP!$O:$O,"="&amp;'HQ2'!A128)</f>
        <v>1156442461.0975747</v>
      </c>
      <c r="AH128" s="7">
        <f t="shared" si="1"/>
        <v>9.7574710845947266E-2</v>
      </c>
    </row>
    <row r="129" spans="1:34" x14ac:dyDescent="0.25">
      <c r="A129" s="123" t="s">
        <v>60</v>
      </c>
      <c r="B129" s="16" t="s">
        <v>272</v>
      </c>
      <c r="C129" s="7">
        <v>703213778</v>
      </c>
      <c r="D129" s="7">
        <v>674745915</v>
      </c>
      <c r="E129" s="7">
        <v>28467863</v>
      </c>
      <c r="F129" s="7">
        <v>653661720.92500007</v>
      </c>
      <c r="G129" s="7">
        <v>432246469.60000002</v>
      </c>
      <c r="H129" s="7">
        <v>44283050.265000015</v>
      </c>
      <c r="I129" s="7">
        <v>609378670.66000009</v>
      </c>
      <c r="J129" s="7">
        <v>163135500</v>
      </c>
      <c r="L129" s="7">
        <v>163135500</v>
      </c>
      <c r="M129" s="7">
        <v>0</v>
      </c>
      <c r="N129" s="7">
        <v>163135500</v>
      </c>
      <c r="O129" s="7">
        <v>650000000</v>
      </c>
      <c r="Q129" s="7">
        <v>650000000</v>
      </c>
      <c r="R129" s="7">
        <v>0</v>
      </c>
      <c r="S129" s="7">
        <v>650000000</v>
      </c>
      <c r="Y129" s="7">
        <v>650000000</v>
      </c>
      <c r="Z129" s="7">
        <v>813135500</v>
      </c>
      <c r="AA129" s="7">
        <v>19609851.627750002</v>
      </c>
      <c r="AB129" s="7">
        <v>330931568</v>
      </c>
      <c r="AC129" s="7">
        <v>-554298248.96774995</v>
      </c>
      <c r="AD129" s="17">
        <v>1.3343681673651573</v>
      </c>
      <c r="AE129" s="5">
        <f>SUMIFS(PGĐ!$H:$H,PGĐ!$F:$F,"="&amp;'HQ2'!B129,PGĐ!$I:$I,"="&amp;'HQ2'!A129)</f>
        <v>6000000</v>
      </c>
      <c r="AF129" s="17"/>
      <c r="AG129" s="7">
        <f>SUMIFS(ĐMCP!$Q:$Q,ĐMCP!$P:$P,"="&amp;'HQ2'!B129,ĐMCP!$O:$O,"="&amp;'HQ2'!A129)</f>
        <v>330931568.18550074</v>
      </c>
      <c r="AH129" s="7">
        <f t="shared" si="1"/>
        <v>0.18550074100494385</v>
      </c>
    </row>
    <row r="130" spans="1:34" x14ac:dyDescent="0.25">
      <c r="A130" s="123" t="s">
        <v>60</v>
      </c>
      <c r="B130" s="16" t="s">
        <v>271</v>
      </c>
      <c r="C130" s="7">
        <v>63645730</v>
      </c>
      <c r="D130" s="7">
        <v>63645730</v>
      </c>
      <c r="F130" s="7">
        <v>62691044.049999997</v>
      </c>
      <c r="G130" s="7">
        <v>163868492.19999999</v>
      </c>
      <c r="H130" s="7">
        <v>-20235489.629999999</v>
      </c>
      <c r="I130" s="7">
        <v>82926533.679999992</v>
      </c>
      <c r="O130" s="7">
        <v>129911472.7</v>
      </c>
      <c r="R130" s="7">
        <v>129911472.7</v>
      </c>
      <c r="S130" s="7">
        <v>77946883.620000005</v>
      </c>
      <c r="T130" s="7">
        <v>129911472.7</v>
      </c>
      <c r="W130" s="7">
        <v>129911472.7</v>
      </c>
      <c r="X130" s="7">
        <v>77946883.620000005</v>
      </c>
      <c r="Y130" s="7">
        <v>0</v>
      </c>
      <c r="Z130" s="7">
        <v>0</v>
      </c>
      <c r="AA130" s="7">
        <v>1880731.3214999998</v>
      </c>
      <c r="AB130" s="7">
        <v>140928145</v>
      </c>
      <c r="AC130" s="7">
        <v>-59882342.641500011</v>
      </c>
      <c r="AD130" s="17">
        <v>0</v>
      </c>
      <c r="AE130" s="5">
        <f>SUMIFS(PGĐ!$H:$H,PGĐ!$F:$F,"="&amp;'HQ2'!B130,PGĐ!$I:$I,"="&amp;'HQ2'!A130)</f>
        <v>27777778</v>
      </c>
      <c r="AF130" s="17"/>
      <c r="AG130" s="7">
        <f>SUMIFS(ĐMCP!$Q:$Q,ĐMCP!$P:$P,"="&amp;'HQ2'!B130,ĐMCP!$O:$O,"="&amp;'HQ2'!A130)</f>
        <v>140928144.65849826</v>
      </c>
      <c r="AH130" s="7">
        <f t="shared" si="1"/>
        <v>-0.34150174260139465</v>
      </c>
    </row>
    <row r="131" spans="1:34" x14ac:dyDescent="0.25">
      <c r="A131" s="123" t="s">
        <v>60</v>
      </c>
      <c r="B131" s="16" t="s">
        <v>269</v>
      </c>
      <c r="C131" s="7">
        <v>51450000</v>
      </c>
      <c r="E131" s="7">
        <v>51450000</v>
      </c>
      <c r="F131" s="7">
        <v>30870000</v>
      </c>
      <c r="G131" s="7">
        <v>9561818.4000000004</v>
      </c>
      <c r="H131" s="7">
        <v>2130818.16</v>
      </c>
      <c r="I131" s="7">
        <v>28739181.84</v>
      </c>
      <c r="AA131" s="7">
        <v>926100</v>
      </c>
      <c r="AB131" s="7">
        <v>3831291</v>
      </c>
      <c r="AC131" s="7">
        <v>23981790.84</v>
      </c>
      <c r="AD131" s="17"/>
      <c r="AE131" s="5">
        <f>SUMIFS(PGĐ!$H:$H,PGĐ!$F:$F,"="&amp;'HQ2'!B131,PGĐ!$I:$I,"="&amp;'HQ2'!A131)</f>
        <v>0</v>
      </c>
      <c r="AF131" s="17"/>
      <c r="AG131" s="7">
        <f>SUMIFS(ĐMCP!$Q:$Q,ĐMCP!$P:$P,"="&amp;'HQ2'!B131,ĐMCP!$O:$O,"="&amp;'HQ2'!A131)</f>
        <v>3831291.1005167076</v>
      </c>
      <c r="AH131" s="7">
        <f t="shared" si="1"/>
        <v>0.10051670763641596</v>
      </c>
    </row>
    <row r="132" spans="1:34" x14ac:dyDescent="0.25">
      <c r="A132" s="123" t="s">
        <v>60</v>
      </c>
      <c r="B132" s="16" t="s">
        <v>273</v>
      </c>
      <c r="AB132" s="7">
        <v>0</v>
      </c>
      <c r="AC132" s="7">
        <v>0</v>
      </c>
      <c r="AD132" s="17"/>
      <c r="AE132" s="5">
        <f>SUMIFS(PGĐ!$H:$H,PGĐ!$F:$F,"="&amp;'HQ2'!B132,PGĐ!$I:$I,"="&amp;'HQ2'!A132)</f>
        <v>0</v>
      </c>
      <c r="AF132" s="17"/>
      <c r="AG132" s="7">
        <f>SUMIFS(ĐMCP!$Q:$Q,ĐMCP!$P:$P,"="&amp;'HQ2'!B132,ĐMCP!$O:$O,"="&amp;'HQ2'!A132)</f>
        <v>0</v>
      </c>
      <c r="AH132" s="7">
        <f t="shared" ref="AH132:AH195" si="2">IF(AG132=0,0,AG132-AB132)</f>
        <v>0</v>
      </c>
    </row>
    <row r="133" spans="1:34" x14ac:dyDescent="0.25">
      <c r="A133" s="123" t="s">
        <v>60</v>
      </c>
      <c r="B133" s="16" t="s">
        <v>23</v>
      </c>
      <c r="AB133" s="7">
        <v>0</v>
      </c>
      <c r="AC133" s="7">
        <v>0</v>
      </c>
      <c r="AD133" s="17"/>
      <c r="AE133" s="5">
        <f>SUMIFS(PGĐ!$H:$H,PGĐ!$F:$F,"="&amp;'HQ2'!B133,PGĐ!$I:$I,"="&amp;'HQ2'!A133)</f>
        <v>0</v>
      </c>
      <c r="AF133" s="17"/>
      <c r="AG133" s="7">
        <f>SUMIFS(ĐMCP!$Q:$Q,ĐMCP!$P:$P,"="&amp;'HQ2'!B133,ĐMCP!$O:$O,"="&amp;'HQ2'!A133)</f>
        <v>0</v>
      </c>
      <c r="AH133" s="7">
        <f t="shared" si="2"/>
        <v>0</v>
      </c>
    </row>
    <row r="134" spans="1:34" x14ac:dyDescent="0.25">
      <c r="A134" s="123" t="s">
        <v>61</v>
      </c>
      <c r="B134" s="15" t="s">
        <v>45</v>
      </c>
      <c r="C134" s="132">
        <v>10485166208</v>
      </c>
      <c r="D134" s="132">
        <v>5612965716</v>
      </c>
      <c r="E134" s="132">
        <v>4872200492</v>
      </c>
      <c r="F134" s="132">
        <v>8715711623.0299988</v>
      </c>
      <c r="G134" s="132">
        <v>5639802334.9000006</v>
      </c>
      <c r="H134" s="132">
        <v>351643538.71099997</v>
      </c>
      <c r="I134" s="132">
        <v>8364068084.3189983</v>
      </c>
      <c r="J134" s="132">
        <v>712004790</v>
      </c>
      <c r="K134" s="132"/>
      <c r="L134" s="132"/>
      <c r="M134" s="132">
        <v>712004790</v>
      </c>
      <c r="N134" s="132">
        <v>426327874</v>
      </c>
      <c r="O134" s="132">
        <v>3728705525.6999998</v>
      </c>
      <c r="P134" s="132"/>
      <c r="Q134" s="132">
        <v>535887623.69999999</v>
      </c>
      <c r="R134" s="132">
        <v>3192817902</v>
      </c>
      <c r="S134" s="132">
        <v>2384063267.1350002</v>
      </c>
      <c r="T134" s="132">
        <v>4050712093.6999998</v>
      </c>
      <c r="U134" s="132"/>
      <c r="V134" s="132">
        <v>535479281.69999999</v>
      </c>
      <c r="W134" s="132">
        <v>3515232812</v>
      </c>
      <c r="X134" s="132">
        <v>2575978871.1350002</v>
      </c>
      <c r="Y134" s="132">
        <v>-191915604</v>
      </c>
      <c r="Z134" s="132">
        <v>234412270</v>
      </c>
      <c r="AA134" s="132">
        <v>261471348.69089997</v>
      </c>
      <c r="AB134" s="132">
        <v>3724942219</v>
      </c>
      <c r="AC134" s="132">
        <v>4143242246.6280994</v>
      </c>
      <c r="AD134" s="96">
        <v>2.8026107348346128E-2</v>
      </c>
      <c r="AE134" s="5">
        <f>SUMIFS(PGĐ!$H:$H,PGĐ!$F:$F,"="&amp;'HQ2'!B134,PGĐ!$I:$I,"="&amp;'HQ2'!A134)</f>
        <v>0</v>
      </c>
      <c r="AF134" s="96"/>
      <c r="AG134" s="7">
        <f>SUMIFS(ĐMCP!$Q:$Q,ĐMCP!$P:$P,"="&amp;'HQ2'!B134,ĐMCP!$O:$O,"="&amp;'HQ2'!A134)</f>
        <v>0</v>
      </c>
      <c r="AH134" s="7">
        <f t="shared" si="2"/>
        <v>0</v>
      </c>
    </row>
    <row r="135" spans="1:34" x14ac:dyDescent="0.25">
      <c r="A135" s="123" t="s">
        <v>61</v>
      </c>
      <c r="B135" s="16" t="s">
        <v>270</v>
      </c>
      <c r="C135" s="7">
        <v>4558057898</v>
      </c>
      <c r="D135" s="7">
        <v>4202559498</v>
      </c>
      <c r="E135" s="7">
        <v>355498400</v>
      </c>
      <c r="F135" s="7">
        <v>4213791850.6300001</v>
      </c>
      <c r="G135" s="7">
        <v>2263859045.5999999</v>
      </c>
      <c r="H135" s="7">
        <v>194993280.50300002</v>
      </c>
      <c r="I135" s="7">
        <v>4018798570.1269999</v>
      </c>
      <c r="J135" s="7">
        <v>694504790</v>
      </c>
      <c r="M135" s="7">
        <v>694504790</v>
      </c>
      <c r="N135" s="7">
        <v>416702874</v>
      </c>
      <c r="O135" s="7">
        <v>647555485.20000005</v>
      </c>
      <c r="Q135" s="7">
        <v>535887623.69999999</v>
      </c>
      <c r="R135" s="7">
        <v>111667861.50000006</v>
      </c>
      <c r="S135" s="7">
        <v>602888340.60000002</v>
      </c>
      <c r="T135" s="7">
        <v>647062053.20000005</v>
      </c>
      <c r="V135" s="7">
        <v>535479281.69999999</v>
      </c>
      <c r="W135" s="7">
        <v>111582771.50000006</v>
      </c>
      <c r="X135" s="7">
        <v>602428944.60000002</v>
      </c>
      <c r="Y135" s="7">
        <v>459396</v>
      </c>
      <c r="Z135" s="7">
        <v>417162270</v>
      </c>
      <c r="AA135" s="7">
        <v>126413755.51889999</v>
      </c>
      <c r="AB135" s="7">
        <v>1365238436</v>
      </c>
      <c r="AC135" s="7">
        <v>2109984108.6080999</v>
      </c>
      <c r="AD135" s="17">
        <v>0.10380273176687656</v>
      </c>
      <c r="AE135" s="5">
        <f>SUMIFS(PGĐ!$H:$H,PGĐ!$F:$F,"="&amp;'HQ2'!B135,PGĐ!$I:$I,"="&amp;'HQ2'!A135)</f>
        <v>305083464</v>
      </c>
      <c r="AF135" s="17"/>
      <c r="AG135" s="7">
        <f>SUMIFS(ĐMCP!$Q:$Q,ĐMCP!$P:$P,"="&amp;'HQ2'!B135,ĐMCP!$O:$O,"="&amp;'HQ2'!A135)</f>
        <v>1365238435.7691624</v>
      </c>
      <c r="AH135" s="7">
        <f t="shared" si="2"/>
        <v>-0.23083758354187012</v>
      </c>
    </row>
    <row r="136" spans="1:34" x14ac:dyDescent="0.25">
      <c r="A136" s="123" t="s">
        <v>61</v>
      </c>
      <c r="B136" s="16" t="s">
        <v>268</v>
      </c>
      <c r="C136" s="7">
        <v>5466525780</v>
      </c>
      <c r="D136" s="7">
        <v>1367202022</v>
      </c>
      <c r="E136" s="7">
        <v>4099323758</v>
      </c>
      <c r="F136" s="7">
        <v>4195712591.9399996</v>
      </c>
      <c r="G136" s="7">
        <v>2988105158.5</v>
      </c>
      <c r="H136" s="7">
        <v>181141115.01599994</v>
      </c>
      <c r="I136" s="7">
        <v>4014571476.9239998</v>
      </c>
      <c r="J136" s="7">
        <v>17500000</v>
      </c>
      <c r="M136" s="7">
        <v>17500000</v>
      </c>
      <c r="N136" s="7">
        <v>9625000</v>
      </c>
      <c r="O136" s="7">
        <v>1350301955.3</v>
      </c>
      <c r="R136" s="7">
        <v>1350301955.3</v>
      </c>
      <c r="S136" s="7">
        <v>742666075.41500008</v>
      </c>
      <c r="T136" s="7">
        <v>1372801955.3</v>
      </c>
      <c r="W136" s="7">
        <v>1372801955.3</v>
      </c>
      <c r="X136" s="7">
        <v>755041075.41500008</v>
      </c>
      <c r="Y136" s="7">
        <v>-12375000</v>
      </c>
      <c r="Z136" s="7">
        <v>-2750000</v>
      </c>
      <c r="AA136" s="7">
        <v>125871377.75819999</v>
      </c>
      <c r="AB136" s="7">
        <v>2178617457</v>
      </c>
      <c r="AC136" s="7">
        <v>1712832642.1657999</v>
      </c>
      <c r="AD136" s="17">
        <v>-6.8500461775488784E-4</v>
      </c>
      <c r="AE136" s="5">
        <f>SUMIFS(PGĐ!$H:$H,PGĐ!$F:$F,"="&amp;'HQ2'!B136,PGĐ!$I:$I,"="&amp;'HQ2'!A136)</f>
        <v>0</v>
      </c>
      <c r="AF136" s="17"/>
      <c r="AG136" s="7">
        <f>SUMIFS(ĐMCP!$Q:$Q,ĐMCP!$P:$P,"="&amp;'HQ2'!B136,ĐMCP!$O:$O,"="&amp;'HQ2'!A136)</f>
        <v>2178617457.4501214</v>
      </c>
      <c r="AH136" s="7">
        <f t="shared" si="2"/>
        <v>0.45012140274047852</v>
      </c>
    </row>
    <row r="137" spans="1:34" x14ac:dyDescent="0.25">
      <c r="A137" s="123" t="s">
        <v>61</v>
      </c>
      <c r="B137" s="16" t="s">
        <v>269</v>
      </c>
      <c r="C137" s="7">
        <v>301096664</v>
      </c>
      <c r="E137" s="7">
        <v>301096664</v>
      </c>
      <c r="F137" s="7">
        <v>180657998.40000001</v>
      </c>
      <c r="G137" s="7">
        <v>99011331</v>
      </c>
      <c r="H137" s="7">
        <v>8164666.7400000012</v>
      </c>
      <c r="I137" s="7">
        <v>172493331.66</v>
      </c>
      <c r="O137" s="7">
        <v>156000000</v>
      </c>
      <c r="R137" s="7">
        <v>156000000</v>
      </c>
      <c r="S137" s="7">
        <v>93600000</v>
      </c>
      <c r="T137" s="7">
        <v>456000000</v>
      </c>
      <c r="W137" s="7">
        <v>456000000</v>
      </c>
      <c r="X137" s="7">
        <v>273600000</v>
      </c>
      <c r="Y137" s="7">
        <v>-180000000</v>
      </c>
      <c r="Z137" s="7">
        <v>-180000000</v>
      </c>
      <c r="AA137" s="7">
        <v>5419739.9519999996</v>
      </c>
      <c r="AB137" s="7">
        <v>164642399</v>
      </c>
      <c r="AC137" s="7">
        <v>182431192.70799997</v>
      </c>
      <c r="AD137" s="17">
        <v>-1.043518600213464</v>
      </c>
      <c r="AE137" s="5">
        <f>SUMIFS(PGĐ!$H:$H,PGĐ!$F:$F,"="&amp;'HQ2'!B137,PGĐ!$I:$I,"="&amp;'HQ2'!A137)</f>
        <v>20226400</v>
      </c>
      <c r="AF137" s="17"/>
      <c r="AG137" s="7">
        <f>SUMIFS(ĐMCP!$Q:$Q,ĐMCP!$P:$P,"="&amp;'HQ2'!B137,ĐMCP!$O:$O,"="&amp;'HQ2'!A137)</f>
        <v>164642398.839477</v>
      </c>
      <c r="AH137" s="7">
        <f t="shared" si="2"/>
        <v>-0.16052299737930298</v>
      </c>
    </row>
    <row r="138" spans="1:34" x14ac:dyDescent="0.25">
      <c r="A138" s="123" t="s">
        <v>61</v>
      </c>
      <c r="B138" s="16" t="s">
        <v>271</v>
      </c>
      <c r="C138" s="7">
        <v>143527066</v>
      </c>
      <c r="D138" s="7">
        <v>43204196</v>
      </c>
      <c r="E138" s="7">
        <v>100322870</v>
      </c>
      <c r="F138" s="7">
        <v>112782142.06</v>
      </c>
      <c r="G138" s="7">
        <v>280221839.80000001</v>
      </c>
      <c r="H138" s="7">
        <v>-33487939.548000004</v>
      </c>
      <c r="I138" s="7">
        <v>146270081.60800001</v>
      </c>
      <c r="O138" s="7">
        <v>1574848085.2</v>
      </c>
      <c r="R138" s="7">
        <v>1574848085.2</v>
      </c>
      <c r="S138" s="7">
        <v>944908851.12</v>
      </c>
      <c r="T138" s="7">
        <v>1574848085.2</v>
      </c>
      <c r="W138" s="7">
        <v>1574848085.2</v>
      </c>
      <c r="X138" s="7">
        <v>944908851.12</v>
      </c>
      <c r="Y138" s="7">
        <v>0</v>
      </c>
      <c r="Z138" s="7">
        <v>0</v>
      </c>
      <c r="AA138" s="7">
        <v>3383464.2618</v>
      </c>
      <c r="AB138" s="7">
        <v>11107472</v>
      </c>
      <c r="AC138" s="7">
        <v>131779145.3462</v>
      </c>
      <c r="AD138" s="17">
        <v>0</v>
      </c>
      <c r="AE138" s="5">
        <f>SUMIFS(PGĐ!$H:$H,PGĐ!$F:$F,"="&amp;'HQ2'!B138,PGĐ!$I:$I,"="&amp;'HQ2'!A138)</f>
        <v>0</v>
      </c>
      <c r="AF138" s="17"/>
      <c r="AG138" s="7">
        <f>SUMIFS(ĐMCP!$Q:$Q,ĐMCP!$P:$P,"="&amp;'HQ2'!B138,ĐMCP!$O:$O,"="&amp;'HQ2'!A138)</f>
        <v>11107471.71321783</v>
      </c>
      <c r="AH138" s="7">
        <f t="shared" si="2"/>
        <v>-0.28678216971457005</v>
      </c>
    </row>
    <row r="139" spans="1:34" x14ac:dyDescent="0.25">
      <c r="A139" s="123" t="s">
        <v>61</v>
      </c>
      <c r="B139" s="16" t="s">
        <v>272</v>
      </c>
      <c r="C139" s="7">
        <v>15958800</v>
      </c>
      <c r="E139" s="7">
        <v>15958800</v>
      </c>
      <c r="F139" s="7">
        <v>12767040</v>
      </c>
      <c r="G139" s="7">
        <v>8604960</v>
      </c>
      <c r="H139" s="7">
        <v>832416</v>
      </c>
      <c r="I139" s="7">
        <v>11934624</v>
      </c>
      <c r="AA139" s="7">
        <v>383011.2</v>
      </c>
      <c r="AB139" s="7">
        <v>5336455</v>
      </c>
      <c r="AC139" s="7">
        <v>6215157.7999999998</v>
      </c>
      <c r="AD139" s="17"/>
      <c r="AE139" s="5">
        <f>SUMIFS(PGĐ!$H:$H,PGĐ!$F:$F,"="&amp;'HQ2'!B139,PGĐ!$I:$I,"="&amp;'HQ2'!A139)</f>
        <v>0</v>
      </c>
      <c r="AF139" s="17"/>
      <c r="AG139" s="7">
        <f>SUMIFS(ĐMCP!$Q:$Q,ĐMCP!$P:$P,"="&amp;'HQ2'!B139,ĐMCP!$O:$O,"="&amp;'HQ2'!A139)</f>
        <v>5336455.4262882592</v>
      </c>
      <c r="AH139" s="7">
        <f t="shared" si="2"/>
        <v>0.42628825921565294</v>
      </c>
    </row>
    <row r="140" spans="1:34" x14ac:dyDescent="0.25">
      <c r="A140" s="123" t="s">
        <v>61</v>
      </c>
      <c r="B140" s="16" t="s">
        <v>273</v>
      </c>
      <c r="AB140" s="7">
        <v>0</v>
      </c>
      <c r="AC140" s="7">
        <v>0</v>
      </c>
      <c r="AD140" s="17"/>
      <c r="AE140" s="5">
        <f>SUMIFS(PGĐ!$H:$H,PGĐ!$F:$F,"="&amp;'HQ2'!B140,PGĐ!$I:$I,"="&amp;'HQ2'!A140)</f>
        <v>0</v>
      </c>
      <c r="AF140" s="17"/>
      <c r="AG140" s="7">
        <f>SUMIFS(ĐMCP!$Q:$Q,ĐMCP!$P:$P,"="&amp;'HQ2'!B140,ĐMCP!$O:$O,"="&amp;'HQ2'!A140)</f>
        <v>0</v>
      </c>
      <c r="AH140" s="7">
        <f t="shared" si="2"/>
        <v>0</v>
      </c>
    </row>
    <row r="141" spans="1:34" x14ac:dyDescent="0.25">
      <c r="A141" s="123" t="s">
        <v>61</v>
      </c>
      <c r="B141" s="16" t="s">
        <v>23</v>
      </c>
      <c r="AB141" s="7">
        <v>0</v>
      </c>
      <c r="AC141" s="7">
        <v>0</v>
      </c>
      <c r="AD141" s="17"/>
      <c r="AE141" s="5">
        <f>SUMIFS(PGĐ!$H:$H,PGĐ!$F:$F,"="&amp;'HQ2'!B141,PGĐ!$I:$I,"="&amp;'HQ2'!A141)</f>
        <v>0</v>
      </c>
      <c r="AF141" s="17"/>
      <c r="AG141" s="7">
        <f>SUMIFS(ĐMCP!$Q:$Q,ĐMCP!$P:$P,"="&amp;'HQ2'!B141,ĐMCP!$O:$O,"="&amp;'HQ2'!A141)</f>
        <v>0</v>
      </c>
      <c r="AH141" s="7">
        <f t="shared" si="2"/>
        <v>0</v>
      </c>
    </row>
    <row r="142" spans="1:34" x14ac:dyDescent="0.25">
      <c r="A142" s="123" t="s">
        <v>62</v>
      </c>
      <c r="B142" s="15" t="s">
        <v>45</v>
      </c>
      <c r="C142" s="132">
        <v>9634483674</v>
      </c>
      <c r="D142" s="132">
        <v>7494462537</v>
      </c>
      <c r="E142" s="132">
        <v>2140021137</v>
      </c>
      <c r="F142" s="132">
        <v>8552598967.7000008</v>
      </c>
      <c r="G142" s="132">
        <v>7034635999.2000008</v>
      </c>
      <c r="H142" s="132">
        <v>287044544.61049992</v>
      </c>
      <c r="I142" s="132">
        <v>8265554423.0895004</v>
      </c>
      <c r="J142" s="132">
        <v>5565507342</v>
      </c>
      <c r="K142" s="132">
        <v>1718355817</v>
      </c>
      <c r="L142" s="132">
        <v>1546104312</v>
      </c>
      <c r="M142" s="132">
        <v>2301047213</v>
      </c>
      <c r="N142" s="132">
        <v>4577622789.1499996</v>
      </c>
      <c r="O142" s="132">
        <v>18483600637.099998</v>
      </c>
      <c r="P142" s="132">
        <v>12360524591</v>
      </c>
      <c r="Q142" s="132">
        <v>8436300191</v>
      </c>
      <c r="R142" s="132">
        <v>-2313224144.9000015</v>
      </c>
      <c r="S142" s="132">
        <v>13509965049.830002</v>
      </c>
      <c r="T142" s="132">
        <v>15628476797.1</v>
      </c>
      <c r="U142" s="132">
        <v>15300524591</v>
      </c>
      <c r="V142" s="132">
        <v>5624524591</v>
      </c>
      <c r="W142" s="132">
        <v>-5296572384.8999996</v>
      </c>
      <c r="X142" s="132">
        <v>10362198928.25</v>
      </c>
      <c r="Y142" s="132">
        <v>3147766121.5800018</v>
      </c>
      <c r="Z142" s="132">
        <v>7725388910.7300014</v>
      </c>
      <c r="AA142" s="132">
        <v>256577969.03100002</v>
      </c>
      <c r="AB142" s="132">
        <v>3113837523</v>
      </c>
      <c r="AC142" s="132">
        <v>-2830249979.6715021</v>
      </c>
      <c r="AD142" s="96">
        <v>0.93464860495618207</v>
      </c>
      <c r="AE142" s="5">
        <f>SUMIFS(PGĐ!$H:$H,PGĐ!$F:$F,"="&amp;'HQ2'!B142,PGĐ!$I:$I,"="&amp;'HQ2'!A142)</f>
        <v>0</v>
      </c>
      <c r="AF142" s="96"/>
      <c r="AG142" s="7">
        <f>SUMIFS(ĐMCP!$Q:$Q,ĐMCP!$P:$P,"="&amp;'HQ2'!B142,ĐMCP!$O:$O,"="&amp;'HQ2'!A142)</f>
        <v>0</v>
      </c>
      <c r="AH142" s="7">
        <f t="shared" si="2"/>
        <v>0</v>
      </c>
    </row>
    <row r="143" spans="1:34" x14ac:dyDescent="0.25">
      <c r="A143" s="123" t="s">
        <v>62</v>
      </c>
      <c r="B143" s="16" t="s">
        <v>272</v>
      </c>
      <c r="C143" s="7">
        <v>6437218600</v>
      </c>
      <c r="D143" s="7">
        <v>6367914600</v>
      </c>
      <c r="E143" s="7">
        <v>69304000</v>
      </c>
      <c r="F143" s="7">
        <v>6009443351</v>
      </c>
      <c r="G143" s="7">
        <v>5619232766.4000006</v>
      </c>
      <c r="H143" s="7">
        <v>78042116.919999883</v>
      </c>
      <c r="I143" s="7">
        <v>5931401234.0799999</v>
      </c>
      <c r="J143" s="7">
        <v>3820509620</v>
      </c>
      <c r="L143" s="7">
        <v>1505620000</v>
      </c>
      <c r="M143" s="7">
        <v>2314889620</v>
      </c>
      <c r="N143" s="7">
        <v>3357531696</v>
      </c>
      <c r="O143" s="7">
        <v>5876860600</v>
      </c>
      <c r="Q143" s="7">
        <v>4091775600</v>
      </c>
      <c r="R143" s="7">
        <v>1785085000</v>
      </c>
      <c r="S143" s="7">
        <v>5519843600</v>
      </c>
      <c r="Y143" s="7">
        <v>5519843600</v>
      </c>
      <c r="Z143" s="7">
        <v>8877375296</v>
      </c>
      <c r="AA143" s="7">
        <v>180283300.53</v>
      </c>
      <c r="AB143" s="7">
        <v>2310266541</v>
      </c>
      <c r="AC143" s="7">
        <v>-5436523903.4499998</v>
      </c>
      <c r="AD143" s="17">
        <v>1.4966742167084133</v>
      </c>
      <c r="AE143" s="5">
        <f>SUMIFS(PGĐ!$H:$H,PGĐ!$F:$F,"="&amp;'HQ2'!B143,PGĐ!$I:$I,"="&amp;'HQ2'!A143)</f>
        <v>92460000</v>
      </c>
      <c r="AF143" s="17"/>
      <c r="AG143" s="7">
        <f>SUMIFS(ĐMCP!$Q:$Q,ĐMCP!$P:$P,"="&amp;'HQ2'!B143,ĐMCP!$O:$O,"="&amp;'HQ2'!A143)</f>
        <v>2310266540.9938669</v>
      </c>
      <c r="AH143" s="7">
        <f t="shared" si="2"/>
        <v>-6.1330795288085938E-3</v>
      </c>
    </row>
    <row r="144" spans="1:34" x14ac:dyDescent="0.25">
      <c r="A144" s="123" t="s">
        <v>62</v>
      </c>
      <c r="B144" s="16" t="s">
        <v>271</v>
      </c>
      <c r="C144" s="7">
        <v>1883313960</v>
      </c>
      <c r="D144" s="7">
        <v>478189010</v>
      </c>
      <c r="E144" s="7">
        <v>1405124950</v>
      </c>
      <c r="F144" s="7">
        <v>1454603639.8499999</v>
      </c>
      <c r="G144" s="7">
        <v>578869487.69999993</v>
      </c>
      <c r="H144" s="7">
        <v>175146830.43000001</v>
      </c>
      <c r="I144" s="7">
        <v>1279456809.4199998</v>
      </c>
      <c r="J144" s="7">
        <v>53257680</v>
      </c>
      <c r="M144" s="7">
        <v>53257680</v>
      </c>
      <c r="N144" s="7">
        <v>31954608</v>
      </c>
      <c r="O144" s="7">
        <v>546215446.10000002</v>
      </c>
      <c r="P144" s="7">
        <v>300000000</v>
      </c>
      <c r="R144" s="7">
        <v>246215446.10000002</v>
      </c>
      <c r="S144" s="7">
        <v>163026084.37</v>
      </c>
      <c r="T144" s="7">
        <v>627952206.10000002</v>
      </c>
      <c r="U144" s="7">
        <v>300000000</v>
      </c>
      <c r="W144" s="7">
        <v>327952206.10000002</v>
      </c>
      <c r="X144" s="7">
        <v>210475909</v>
      </c>
      <c r="Y144" s="7">
        <v>-47449824.629999995</v>
      </c>
      <c r="Z144" s="7">
        <v>-15495216.629999995</v>
      </c>
      <c r="AA144" s="7">
        <v>43638109.195499994</v>
      </c>
      <c r="AB144" s="7">
        <v>491040531</v>
      </c>
      <c r="AC144" s="7">
        <v>760273385.8544997</v>
      </c>
      <c r="AD144" s="17">
        <v>-1.2110777414224908E-2</v>
      </c>
      <c r="AE144" s="5">
        <f>SUMIFS(PGĐ!$H:$H,PGĐ!$F:$F,"="&amp;'HQ2'!B144,PGĐ!$I:$I,"="&amp;'HQ2'!A144)</f>
        <v>0</v>
      </c>
      <c r="AF144" s="17"/>
      <c r="AG144" s="7">
        <f>SUMIFS(ĐMCP!$Q:$Q,ĐMCP!$P:$P,"="&amp;'HQ2'!B144,ĐMCP!$O:$O,"="&amp;'HQ2'!A144)</f>
        <v>491040531.33899945</v>
      </c>
      <c r="AH144" s="7">
        <f t="shared" si="2"/>
        <v>0.33899945020675659</v>
      </c>
    </row>
    <row r="145" spans="1:34" x14ac:dyDescent="0.25">
      <c r="A145" s="123" t="s">
        <v>62</v>
      </c>
      <c r="B145" s="16" t="s">
        <v>268</v>
      </c>
      <c r="C145" s="7">
        <v>1148716450</v>
      </c>
      <c r="D145" s="7">
        <v>490624263</v>
      </c>
      <c r="E145" s="7">
        <v>658092187</v>
      </c>
      <c r="F145" s="7">
        <v>936570066.00999999</v>
      </c>
      <c r="G145" s="7">
        <v>763494584.29999995</v>
      </c>
      <c r="H145" s="7">
        <v>25961322.256500006</v>
      </c>
      <c r="I145" s="7">
        <v>910608743.75349998</v>
      </c>
      <c r="J145" s="7">
        <v>1691740042</v>
      </c>
      <c r="K145" s="7">
        <v>1718355817</v>
      </c>
      <c r="L145" s="7">
        <v>40484312</v>
      </c>
      <c r="M145" s="7">
        <v>-67100087</v>
      </c>
      <c r="N145" s="7">
        <v>1188136485.1500001</v>
      </c>
      <c r="O145" s="7">
        <v>12060524591</v>
      </c>
      <c r="P145" s="7">
        <v>12060524591</v>
      </c>
      <c r="Q145" s="7">
        <v>4344524591</v>
      </c>
      <c r="R145" s="7">
        <v>-4344524591</v>
      </c>
      <c r="S145" s="7">
        <v>7827095365.4600019</v>
      </c>
      <c r="T145" s="7">
        <v>15000524591</v>
      </c>
      <c r="U145" s="7">
        <v>15000524591</v>
      </c>
      <c r="V145" s="7">
        <v>5624524591</v>
      </c>
      <c r="W145" s="7">
        <v>-5624524591</v>
      </c>
      <c r="X145" s="7">
        <v>10151723019.25</v>
      </c>
      <c r="Y145" s="7">
        <v>-2324627653.7899981</v>
      </c>
      <c r="Z145" s="7">
        <v>-1136491168.639998</v>
      </c>
      <c r="AA145" s="7">
        <v>28097101.980299998</v>
      </c>
      <c r="AB145" s="7">
        <v>260938932</v>
      </c>
      <c r="AC145" s="7">
        <v>1758063878.413198</v>
      </c>
      <c r="AD145" s="17">
        <v>-1.2480565077328578</v>
      </c>
      <c r="AE145" s="5">
        <f>SUMIFS(PGĐ!$H:$H,PGĐ!$F:$F,"="&amp;'HQ2'!B145,PGĐ!$I:$I,"="&amp;'HQ2'!A145)</f>
        <v>621804365</v>
      </c>
      <c r="AF145" s="17"/>
      <c r="AG145" s="7">
        <f>SUMIFS(ĐMCP!$Q:$Q,ĐMCP!$P:$P,"="&amp;'HQ2'!B145,ĐMCP!$O:$O,"="&amp;'HQ2'!A145)</f>
        <v>260938931.70416003</v>
      </c>
      <c r="AH145" s="7">
        <f t="shared" si="2"/>
        <v>-0.29583996534347534</v>
      </c>
    </row>
    <row r="146" spans="1:34" x14ac:dyDescent="0.25">
      <c r="A146" s="123" t="s">
        <v>62</v>
      </c>
      <c r="B146" s="16" t="s">
        <v>270</v>
      </c>
      <c r="C146" s="7">
        <v>157734664</v>
      </c>
      <c r="D146" s="7">
        <v>157734664</v>
      </c>
      <c r="F146" s="7">
        <v>147481910.84</v>
      </c>
      <c r="G146" s="7">
        <v>68539160.799999997</v>
      </c>
      <c r="H146" s="7">
        <v>7894275.0040000007</v>
      </c>
      <c r="I146" s="7">
        <v>139587635.836</v>
      </c>
      <c r="AA146" s="7">
        <v>4424457.3251999998</v>
      </c>
      <c r="AB146" s="7">
        <v>49537202</v>
      </c>
      <c r="AC146" s="7">
        <v>85625976.510799989</v>
      </c>
      <c r="AD146" s="17"/>
      <c r="AE146" s="5">
        <f>SUMIFS(PGĐ!$H:$H,PGĐ!$F:$F,"="&amp;'HQ2'!B146,PGĐ!$I:$I,"="&amp;'HQ2'!A146)</f>
        <v>0</v>
      </c>
      <c r="AF146" s="17"/>
      <c r="AG146" s="7">
        <f>SUMIFS(ĐMCP!$Q:$Q,ĐMCP!$P:$P,"="&amp;'HQ2'!B146,ĐMCP!$O:$O,"="&amp;'HQ2'!A146)</f>
        <v>49537201.767506011</v>
      </c>
      <c r="AH146" s="7">
        <f t="shared" si="2"/>
        <v>-0.23249398916959763</v>
      </c>
    </row>
    <row r="147" spans="1:34" x14ac:dyDescent="0.25">
      <c r="A147" s="123" t="s">
        <v>62</v>
      </c>
      <c r="B147" s="16" t="s">
        <v>269</v>
      </c>
      <c r="C147" s="7">
        <v>7500000</v>
      </c>
      <c r="E147" s="7">
        <v>7500000</v>
      </c>
      <c r="F147" s="7">
        <v>4500000</v>
      </c>
      <c r="G147" s="7">
        <v>4500000</v>
      </c>
      <c r="H147" s="7">
        <v>0</v>
      </c>
      <c r="I147" s="7">
        <v>4500000</v>
      </c>
      <c r="AA147" s="7">
        <v>135000</v>
      </c>
      <c r="AB147" s="7">
        <v>2054317</v>
      </c>
      <c r="AC147" s="7">
        <v>2310683</v>
      </c>
      <c r="AD147" s="17"/>
      <c r="AE147" s="5">
        <f>SUMIFS(PGĐ!$H:$H,PGĐ!$F:$F,"="&amp;'HQ2'!B147,PGĐ!$I:$I,"="&amp;'HQ2'!A147)</f>
        <v>0</v>
      </c>
      <c r="AF147" s="17"/>
      <c r="AG147" s="7">
        <f>SUMIFS(ĐMCP!$Q:$Q,ĐMCP!$P:$P,"="&amp;'HQ2'!B147,ĐMCP!$O:$O,"="&amp;'HQ2'!A147)</f>
        <v>2054316.8947150563</v>
      </c>
      <c r="AH147" s="7">
        <f t="shared" si="2"/>
        <v>-0.1052849437110126</v>
      </c>
    </row>
    <row r="148" spans="1:34" x14ac:dyDescent="0.25">
      <c r="A148" s="123" t="s">
        <v>62</v>
      </c>
      <c r="B148" s="16" t="s">
        <v>273</v>
      </c>
      <c r="AB148" s="7">
        <v>0</v>
      </c>
      <c r="AC148" s="7">
        <v>0</v>
      </c>
      <c r="AD148" s="17"/>
      <c r="AE148" s="5">
        <f>SUMIFS(PGĐ!$H:$H,PGĐ!$F:$F,"="&amp;'HQ2'!B148,PGĐ!$I:$I,"="&amp;'HQ2'!A148)</f>
        <v>0</v>
      </c>
      <c r="AF148" s="17"/>
      <c r="AG148" s="7">
        <f>SUMIFS(ĐMCP!$Q:$Q,ĐMCP!$P:$P,"="&amp;'HQ2'!B148,ĐMCP!$O:$O,"="&amp;'HQ2'!A148)</f>
        <v>0</v>
      </c>
      <c r="AH148" s="7">
        <f t="shared" si="2"/>
        <v>0</v>
      </c>
    </row>
    <row r="149" spans="1:34" x14ac:dyDescent="0.25">
      <c r="A149" s="123" t="s">
        <v>62</v>
      </c>
      <c r="B149" s="16" t="s">
        <v>23</v>
      </c>
      <c r="AB149" s="7">
        <v>0</v>
      </c>
      <c r="AC149" s="7">
        <v>0</v>
      </c>
      <c r="AD149" s="17"/>
      <c r="AE149" s="5">
        <f>SUMIFS(PGĐ!$H:$H,PGĐ!$F:$F,"="&amp;'HQ2'!B149,PGĐ!$I:$I,"="&amp;'HQ2'!A149)</f>
        <v>0</v>
      </c>
      <c r="AF149" s="17"/>
      <c r="AG149" s="7">
        <f>SUMIFS(ĐMCP!$Q:$Q,ĐMCP!$P:$P,"="&amp;'HQ2'!B149,ĐMCP!$O:$O,"="&amp;'HQ2'!A149)</f>
        <v>0</v>
      </c>
      <c r="AH149" s="7">
        <f t="shared" si="2"/>
        <v>0</v>
      </c>
    </row>
    <row r="150" spans="1:34" x14ac:dyDescent="0.25">
      <c r="A150" s="123" t="s">
        <v>63</v>
      </c>
      <c r="B150" s="15" t="s">
        <v>45</v>
      </c>
      <c r="C150" s="132">
        <v>16177270005</v>
      </c>
      <c r="D150" s="132">
        <v>1940128748</v>
      </c>
      <c r="E150" s="132">
        <v>14237141257</v>
      </c>
      <c r="F150" s="132">
        <v>8296465288.4200001</v>
      </c>
      <c r="G150" s="132">
        <v>7886368012.4499998</v>
      </c>
      <c r="H150" s="132">
        <v>52226300.291500047</v>
      </c>
      <c r="I150" s="132">
        <v>8244238988.1285</v>
      </c>
      <c r="J150" s="132">
        <v>3420414126</v>
      </c>
      <c r="K150" s="132">
        <v>1100000000</v>
      </c>
      <c r="L150" s="132"/>
      <c r="M150" s="132">
        <v>2320414126</v>
      </c>
      <c r="N150" s="132">
        <v>1990754902.3</v>
      </c>
      <c r="O150" s="132">
        <v>10972971853.700001</v>
      </c>
      <c r="P150" s="132">
        <v>6089000000</v>
      </c>
      <c r="Q150" s="132">
        <v>105774100</v>
      </c>
      <c r="R150" s="132">
        <v>4778197753.7000008</v>
      </c>
      <c r="S150" s="132">
        <v>6486728582.9499998</v>
      </c>
      <c r="T150" s="132">
        <v>14934180408.600002</v>
      </c>
      <c r="U150" s="132">
        <v>9000000000</v>
      </c>
      <c r="V150" s="132">
        <v>210690000</v>
      </c>
      <c r="W150" s="132">
        <v>5723490408.6000023</v>
      </c>
      <c r="X150" s="132">
        <v>8940345705.3800011</v>
      </c>
      <c r="Y150" s="132">
        <v>-2453617122.4300013</v>
      </c>
      <c r="Z150" s="132">
        <v>-462862220.13000131</v>
      </c>
      <c r="AA150" s="132">
        <v>248893958.65259999</v>
      </c>
      <c r="AB150" s="132">
        <v>3514238909</v>
      </c>
      <c r="AC150" s="132">
        <v>4943968340.6059017</v>
      </c>
      <c r="AD150" s="96">
        <v>-5.6143716939369592E-2</v>
      </c>
      <c r="AE150" s="5">
        <f>SUMIFS(PGĐ!$H:$H,PGĐ!$F:$F,"="&amp;'HQ2'!B150,PGĐ!$I:$I,"="&amp;'HQ2'!A150)</f>
        <v>0</v>
      </c>
      <c r="AF150" s="96"/>
      <c r="AG150" s="7">
        <f>SUMIFS(ĐMCP!$Q:$Q,ĐMCP!$P:$P,"="&amp;'HQ2'!B150,ĐMCP!$O:$O,"="&amp;'HQ2'!A150)</f>
        <v>0</v>
      </c>
      <c r="AH150" s="7">
        <f t="shared" si="2"/>
        <v>0</v>
      </c>
    </row>
    <row r="151" spans="1:34" x14ac:dyDescent="0.25">
      <c r="A151" s="123" t="s">
        <v>63</v>
      </c>
      <c r="B151" s="16" t="s">
        <v>268</v>
      </c>
      <c r="C151" s="7">
        <v>4623876279</v>
      </c>
      <c r="D151" s="7">
        <v>1268979684</v>
      </c>
      <c r="E151" s="7">
        <v>3354896595</v>
      </c>
      <c r="F151" s="7">
        <v>3579337909.98</v>
      </c>
      <c r="G151" s="7">
        <v>2361432205.2999997</v>
      </c>
      <c r="H151" s="7">
        <v>182685855.70200005</v>
      </c>
      <c r="I151" s="7">
        <v>3396652054.2779999</v>
      </c>
      <c r="J151" s="7">
        <v>1345352176</v>
      </c>
      <c r="K151" s="7">
        <v>1100000000</v>
      </c>
      <c r="M151" s="7">
        <v>245352176</v>
      </c>
      <c r="N151" s="7">
        <v>777706292.79999995</v>
      </c>
      <c r="O151" s="7">
        <v>6990707132.3999996</v>
      </c>
      <c r="P151" s="7">
        <v>6089000000</v>
      </c>
      <c r="R151" s="7">
        <v>901707132.39999962</v>
      </c>
      <c r="S151" s="7">
        <v>4055060110.1699996</v>
      </c>
      <c r="T151" s="7">
        <v>10229000775.6</v>
      </c>
      <c r="U151" s="7">
        <v>9000000000</v>
      </c>
      <c r="W151" s="7">
        <v>1229000775.6000004</v>
      </c>
      <c r="X151" s="7">
        <v>6032961925.5799999</v>
      </c>
      <c r="Y151" s="7">
        <v>-1977901815.4100003</v>
      </c>
      <c r="Z151" s="7">
        <v>-1200195522.6100004</v>
      </c>
      <c r="AA151" s="7">
        <v>107380137.2994</v>
      </c>
      <c r="AB151" s="7">
        <v>2033117591</v>
      </c>
      <c r="AC151" s="7">
        <v>2456349848.5886006</v>
      </c>
      <c r="AD151" s="17">
        <v>-0.35334661997492017</v>
      </c>
      <c r="AE151" s="5">
        <f>SUMIFS(PGĐ!$H:$H,PGĐ!$F:$F,"="&amp;'HQ2'!B151,PGĐ!$I:$I,"="&amp;'HQ2'!A151)</f>
        <v>157388045</v>
      </c>
      <c r="AF151" s="17"/>
      <c r="AG151" s="7">
        <f>SUMIFS(ĐMCP!$Q:$Q,ĐMCP!$P:$P,"="&amp;'HQ2'!B151,ĐMCP!$O:$O,"="&amp;'HQ2'!A151)</f>
        <v>2033117591.0472503</v>
      </c>
      <c r="AH151" s="7">
        <f t="shared" si="2"/>
        <v>4.7250270843505859E-2</v>
      </c>
    </row>
    <row r="152" spans="1:34" x14ac:dyDescent="0.25">
      <c r="A152" s="123" t="s">
        <v>63</v>
      </c>
      <c r="B152" s="16" t="s">
        <v>23</v>
      </c>
      <c r="C152" s="7">
        <v>9741022077</v>
      </c>
      <c r="E152" s="7">
        <v>9741022077</v>
      </c>
      <c r="F152" s="7">
        <v>3409357726.9499998</v>
      </c>
      <c r="G152" s="7">
        <v>2880562827.4499998</v>
      </c>
      <c r="H152" s="7">
        <v>132198724.875</v>
      </c>
      <c r="I152" s="7">
        <v>3277159002.0749998</v>
      </c>
      <c r="J152" s="7">
        <v>-49925662</v>
      </c>
      <c r="M152" s="7">
        <v>-49925662</v>
      </c>
      <c r="N152" s="7">
        <v>-12481415.5</v>
      </c>
      <c r="Z152" s="7">
        <v>-12481415.5</v>
      </c>
      <c r="AA152" s="7">
        <v>102280731.80849999</v>
      </c>
      <c r="AB152" s="7">
        <v>869406509</v>
      </c>
      <c r="AC152" s="7">
        <v>2317953176.7665</v>
      </c>
      <c r="AD152" s="17">
        <v>-3.8086084599792498E-3</v>
      </c>
      <c r="AE152" s="5">
        <f>SUMIFS(PGĐ!$H:$H,PGĐ!$F:$F,"="&amp;'HQ2'!B152,PGĐ!$I:$I,"="&amp;'HQ2'!A152)</f>
        <v>0</v>
      </c>
      <c r="AF152" s="17"/>
      <c r="AG152" s="7">
        <f>SUMIFS(ĐMCP!$Q:$Q,ĐMCP!$P:$P,"="&amp;'HQ2'!B152,ĐMCP!$O:$O,"="&amp;'HQ2'!A152)</f>
        <v>869406509.2062366</v>
      </c>
      <c r="AH152" s="7">
        <f t="shared" si="2"/>
        <v>0.20623660087585449</v>
      </c>
    </row>
    <row r="153" spans="1:34" x14ac:dyDescent="0.25">
      <c r="A153" s="123" t="s">
        <v>63</v>
      </c>
      <c r="B153" s="16" t="s">
        <v>270</v>
      </c>
      <c r="C153" s="7">
        <v>580632035</v>
      </c>
      <c r="D153" s="7">
        <v>481952741</v>
      </c>
      <c r="E153" s="7">
        <v>98679294</v>
      </c>
      <c r="F153" s="7">
        <v>529569248.03500003</v>
      </c>
      <c r="G153" s="7">
        <v>492255106.40000004</v>
      </c>
      <c r="H153" s="7">
        <v>3731414.1634999993</v>
      </c>
      <c r="I153" s="7">
        <v>525837833.87150002</v>
      </c>
      <c r="O153" s="7">
        <v>105774100</v>
      </c>
      <c r="Q153" s="7">
        <v>105774100</v>
      </c>
      <c r="R153" s="7">
        <v>0</v>
      </c>
      <c r="S153" s="7">
        <v>105774100</v>
      </c>
      <c r="T153" s="7">
        <v>205690000</v>
      </c>
      <c r="V153" s="7">
        <v>205690000</v>
      </c>
      <c r="W153" s="7">
        <v>0</v>
      </c>
      <c r="X153" s="7">
        <v>205690000</v>
      </c>
      <c r="Y153" s="7">
        <v>-99915900</v>
      </c>
      <c r="Z153" s="7">
        <v>-99915900</v>
      </c>
      <c r="AA153" s="7">
        <v>15887077.44105</v>
      </c>
      <c r="AB153" s="7">
        <v>201079598</v>
      </c>
      <c r="AC153" s="7">
        <v>408787058.43045002</v>
      </c>
      <c r="AD153" s="17">
        <v>-0.19001276356317989</v>
      </c>
      <c r="AE153" s="5">
        <f>SUMIFS(PGĐ!$H:$H,PGĐ!$F:$F,"="&amp;'HQ2'!B153,PGĐ!$I:$I,"="&amp;'HQ2'!A153)</f>
        <v>55065306</v>
      </c>
      <c r="AF153" s="17"/>
      <c r="AG153" s="7">
        <f>SUMIFS(ĐMCP!$Q:$Q,ĐMCP!$P:$P,"="&amp;'HQ2'!B153,ĐMCP!$O:$O,"="&amp;'HQ2'!A153)</f>
        <v>201079597.89357886</v>
      </c>
      <c r="AH153" s="7">
        <f t="shared" si="2"/>
        <v>-0.10642114281654358</v>
      </c>
    </row>
    <row r="154" spans="1:34" x14ac:dyDescent="0.25">
      <c r="A154" s="123" t="s">
        <v>63</v>
      </c>
      <c r="B154" s="16" t="s">
        <v>273</v>
      </c>
      <c r="C154" s="7">
        <v>758627770</v>
      </c>
      <c r="D154" s="7">
        <v>38000000</v>
      </c>
      <c r="E154" s="7">
        <v>720627770</v>
      </c>
      <c r="F154" s="7">
        <v>431875273.50000006</v>
      </c>
      <c r="G154" s="7">
        <v>915968267.50000012</v>
      </c>
      <c r="H154" s="7">
        <v>-121023248.50000001</v>
      </c>
      <c r="I154" s="7">
        <v>552898522.00000012</v>
      </c>
      <c r="J154" s="7">
        <v>1294625422</v>
      </c>
      <c r="M154" s="7">
        <v>1294625422</v>
      </c>
      <c r="N154" s="7">
        <v>647312711</v>
      </c>
      <c r="Z154" s="7">
        <v>647312711</v>
      </c>
      <c r="AA154" s="7">
        <v>12956258.205000002</v>
      </c>
      <c r="AB154" s="7">
        <v>290435727</v>
      </c>
      <c r="AC154" s="7">
        <v>-397806174.20499992</v>
      </c>
      <c r="AD154" s="17">
        <v>1.1707622379934666</v>
      </c>
      <c r="AE154" s="5">
        <f>SUMIFS(PGĐ!$H:$H,PGĐ!$F:$F,"="&amp;'HQ2'!B154,PGĐ!$I:$I,"="&amp;'HQ2'!A154)</f>
        <v>49936910</v>
      </c>
      <c r="AF154" s="17"/>
      <c r="AG154" s="7">
        <f>SUMIFS(ĐMCP!$Q:$Q,ĐMCP!$P:$P,"="&amp;'HQ2'!B154,ĐMCP!$O:$O,"="&amp;'HQ2'!A154)</f>
        <v>290435726.99178511</v>
      </c>
      <c r="AH154" s="7">
        <f t="shared" si="2"/>
        <v>-8.2148909568786621E-3</v>
      </c>
    </row>
    <row r="155" spans="1:34" x14ac:dyDescent="0.25">
      <c r="A155" s="123" t="s">
        <v>63</v>
      </c>
      <c r="B155" s="16" t="s">
        <v>269</v>
      </c>
      <c r="C155" s="7">
        <v>262452129</v>
      </c>
      <c r="E155" s="7">
        <v>262452129</v>
      </c>
      <c r="F155" s="7">
        <v>157471277.40000001</v>
      </c>
      <c r="G155" s="7">
        <v>483455769.59999996</v>
      </c>
      <c r="H155" s="7">
        <v>-32598449.219999995</v>
      </c>
      <c r="I155" s="7">
        <v>190069726.62</v>
      </c>
      <c r="O155" s="7">
        <v>3356496200</v>
      </c>
      <c r="R155" s="7">
        <v>3356496200</v>
      </c>
      <c r="S155" s="7">
        <v>2013897720</v>
      </c>
      <c r="T155" s="7">
        <v>3356496200</v>
      </c>
      <c r="W155" s="7">
        <v>3356496200</v>
      </c>
      <c r="X155" s="7">
        <v>2013897720</v>
      </c>
      <c r="Y155" s="7">
        <v>0</v>
      </c>
      <c r="Z155" s="7">
        <v>0</v>
      </c>
      <c r="AA155" s="7">
        <v>4724138.3219999997</v>
      </c>
      <c r="AB155" s="7">
        <v>86700247</v>
      </c>
      <c r="AC155" s="7">
        <v>98645341.298000008</v>
      </c>
      <c r="AD155" s="17">
        <v>0</v>
      </c>
      <c r="AE155" s="5">
        <f>SUMIFS(PGĐ!$H:$H,PGĐ!$F:$F,"="&amp;'HQ2'!B155,PGĐ!$I:$I,"="&amp;'HQ2'!A155)</f>
        <v>0</v>
      </c>
      <c r="AF155" s="17"/>
      <c r="AG155" s="7">
        <f>SUMIFS(ĐMCP!$Q:$Q,ĐMCP!$P:$P,"="&amp;'HQ2'!B155,ĐMCP!$O:$O,"="&amp;'HQ2'!A155)</f>
        <v>86700246.937943503</v>
      </c>
      <c r="AH155" s="7">
        <f t="shared" si="2"/>
        <v>-6.2056496739387512E-2</v>
      </c>
    </row>
    <row r="156" spans="1:34" x14ac:dyDescent="0.25">
      <c r="A156" s="123" t="s">
        <v>63</v>
      </c>
      <c r="B156" s="16" t="s">
        <v>272</v>
      </c>
      <c r="C156" s="7">
        <v>106930500</v>
      </c>
      <c r="D156" s="7">
        <v>82613000</v>
      </c>
      <c r="E156" s="7">
        <v>24317500</v>
      </c>
      <c r="F156" s="7">
        <v>96697155</v>
      </c>
      <c r="G156" s="7">
        <v>70256400.799999997</v>
      </c>
      <c r="H156" s="7">
        <v>5288150.8400000008</v>
      </c>
      <c r="I156" s="7">
        <v>91409004.159999996</v>
      </c>
      <c r="J156" s="7">
        <v>400000000</v>
      </c>
      <c r="M156" s="7">
        <v>400000000</v>
      </c>
      <c r="N156" s="7">
        <v>320000000</v>
      </c>
      <c r="Z156" s="7">
        <v>320000000</v>
      </c>
      <c r="AA156" s="7">
        <v>2900914.65</v>
      </c>
      <c r="AB156" s="7">
        <v>8927923</v>
      </c>
      <c r="AC156" s="7">
        <v>-240419833.49000001</v>
      </c>
      <c r="AD156" s="17">
        <v>3.5007492198457837</v>
      </c>
      <c r="AE156" s="5">
        <f>SUMIFS(PGĐ!$H:$H,PGĐ!$F:$F,"="&amp;'HQ2'!B156,PGĐ!$I:$I,"="&amp;'HQ2'!A156)</f>
        <v>0</v>
      </c>
      <c r="AF156" s="17"/>
      <c r="AG156" s="7">
        <f>SUMIFS(ĐMCP!$Q:$Q,ĐMCP!$P:$P,"="&amp;'HQ2'!B156,ĐMCP!$O:$O,"="&amp;'HQ2'!A156)</f>
        <v>8927922.5933605861</v>
      </c>
      <c r="AH156" s="7">
        <f t="shared" si="2"/>
        <v>-0.40663941390812397</v>
      </c>
    </row>
    <row r="157" spans="1:34" x14ac:dyDescent="0.25">
      <c r="A157" s="123" t="s">
        <v>63</v>
      </c>
      <c r="B157" s="16" t="s">
        <v>271</v>
      </c>
      <c r="C157" s="7">
        <v>103729215</v>
      </c>
      <c r="D157" s="7">
        <v>68583323</v>
      </c>
      <c r="E157" s="7">
        <v>35145892</v>
      </c>
      <c r="F157" s="7">
        <v>92156697.555000007</v>
      </c>
      <c r="G157" s="7">
        <v>682437435.39999998</v>
      </c>
      <c r="H157" s="7">
        <v>-118056147.56900001</v>
      </c>
      <c r="I157" s="7">
        <v>210212845.12400001</v>
      </c>
      <c r="J157" s="7">
        <v>430362190</v>
      </c>
      <c r="M157" s="7">
        <v>430362190</v>
      </c>
      <c r="N157" s="7">
        <v>258217314</v>
      </c>
      <c r="O157" s="7">
        <v>519994421.30000001</v>
      </c>
      <c r="R157" s="7">
        <v>519994421.30000001</v>
      </c>
      <c r="S157" s="7">
        <v>311996652.77999997</v>
      </c>
      <c r="T157" s="7">
        <v>1142993433</v>
      </c>
      <c r="V157" s="7">
        <v>5000000</v>
      </c>
      <c r="W157" s="7">
        <v>1137993433</v>
      </c>
      <c r="X157" s="7">
        <v>687796059.79999995</v>
      </c>
      <c r="Y157" s="7">
        <v>-375799407.01999998</v>
      </c>
      <c r="Z157" s="7">
        <v>-117582093.01999998</v>
      </c>
      <c r="AA157" s="7">
        <v>2764700.9266500003</v>
      </c>
      <c r="AB157" s="7">
        <v>24571314</v>
      </c>
      <c r="AC157" s="7">
        <v>300458923.21735001</v>
      </c>
      <c r="AD157" s="17">
        <v>-0.5593478027027361</v>
      </c>
      <c r="AE157" s="5">
        <f>SUMIFS(PGĐ!$H:$H,PGĐ!$F:$F,"="&amp;'HQ2'!B157,PGĐ!$I:$I,"="&amp;'HQ2'!A157)</f>
        <v>2990808081</v>
      </c>
      <c r="AF157" s="17"/>
      <c r="AG157" s="7">
        <f>SUMIFS(ĐMCP!$Q:$Q,ĐMCP!$P:$P,"="&amp;'HQ2'!B157,ĐMCP!$O:$O,"="&amp;'HQ2'!A157)</f>
        <v>24571313.994972587</v>
      </c>
      <c r="AH157" s="7">
        <f t="shared" si="2"/>
        <v>-5.0274133682250977E-3</v>
      </c>
    </row>
    <row r="158" spans="1:34" x14ac:dyDescent="0.25">
      <c r="A158" s="123" t="s">
        <v>64</v>
      </c>
      <c r="B158" s="15" t="s">
        <v>45</v>
      </c>
      <c r="C158" s="132">
        <v>11046558011</v>
      </c>
      <c r="D158" s="132">
        <v>2213652968</v>
      </c>
      <c r="E158" s="132">
        <v>8832905043</v>
      </c>
      <c r="F158" s="132">
        <v>7803203836.1749992</v>
      </c>
      <c r="G158" s="132">
        <v>7364981332.5999994</v>
      </c>
      <c r="H158" s="132">
        <v>58110937.755000092</v>
      </c>
      <c r="I158" s="132">
        <v>7745092898.4199991</v>
      </c>
      <c r="J158" s="132">
        <v>7778007828</v>
      </c>
      <c r="K158" s="132">
        <v>4039000000</v>
      </c>
      <c r="L158" s="132"/>
      <c r="M158" s="132">
        <v>3739007828</v>
      </c>
      <c r="N158" s="132">
        <v>3399128242.5499997</v>
      </c>
      <c r="O158" s="132">
        <v>58690899698.550003</v>
      </c>
      <c r="P158" s="132">
        <v>24864293232.950001</v>
      </c>
      <c r="Q158" s="132">
        <v>569718055</v>
      </c>
      <c r="R158" s="132">
        <v>33256888410.600002</v>
      </c>
      <c r="S158" s="132">
        <v>27790987543.767498</v>
      </c>
      <c r="T158" s="132">
        <v>65395294463.350006</v>
      </c>
      <c r="U158" s="132">
        <v>29341718134.950005</v>
      </c>
      <c r="V158" s="132">
        <v>215418055</v>
      </c>
      <c r="W158" s="132">
        <v>35838158273.400002</v>
      </c>
      <c r="X158" s="132">
        <v>28942346754.502499</v>
      </c>
      <c r="Y158" s="132">
        <v>-1151359210.7350006</v>
      </c>
      <c r="Z158" s="132">
        <v>2247769031.8149991</v>
      </c>
      <c r="AA158" s="132">
        <v>234096115.08524996</v>
      </c>
      <c r="AB158" s="132">
        <v>2254395463</v>
      </c>
      <c r="AC158" s="132">
        <v>3008832288.5197468</v>
      </c>
      <c r="AD158" s="96">
        <v>0.29021847268914547</v>
      </c>
      <c r="AE158" s="5">
        <f>SUMIFS(PGĐ!$H:$H,PGĐ!$F:$F,"="&amp;'HQ2'!B158,PGĐ!$I:$I,"="&amp;'HQ2'!A158)</f>
        <v>0</v>
      </c>
      <c r="AF158" s="96"/>
      <c r="AG158" s="7">
        <f>SUMIFS(ĐMCP!$Q:$Q,ĐMCP!$P:$P,"="&amp;'HQ2'!B158,ĐMCP!$O:$O,"="&amp;'HQ2'!A158)</f>
        <v>0</v>
      </c>
      <c r="AH158" s="7">
        <f t="shared" si="2"/>
        <v>0</v>
      </c>
    </row>
    <row r="159" spans="1:34" x14ac:dyDescent="0.25">
      <c r="A159" s="123" t="s">
        <v>64</v>
      </c>
      <c r="B159" s="16" t="s">
        <v>268</v>
      </c>
      <c r="C159" s="7">
        <v>5990669380</v>
      </c>
      <c r="D159" s="7">
        <v>1525046127</v>
      </c>
      <c r="E159" s="7">
        <v>4465623253</v>
      </c>
      <c r="F159" s="7">
        <v>4605231020.29</v>
      </c>
      <c r="G159" s="7">
        <v>4883873159.8999996</v>
      </c>
      <c r="H159" s="7">
        <v>-41796320.941499949</v>
      </c>
      <c r="I159" s="7">
        <v>4647027341.2314997</v>
      </c>
      <c r="J159" s="7">
        <v>6994364905</v>
      </c>
      <c r="K159" s="7">
        <v>4039000000</v>
      </c>
      <c r="M159" s="7">
        <v>2955364905</v>
      </c>
      <c r="N159" s="7">
        <v>2928942488.75</v>
      </c>
      <c r="O159" s="7">
        <v>38763663388</v>
      </c>
      <c r="P159" s="7">
        <v>22419379632.950001</v>
      </c>
      <c r="R159" s="7">
        <v>16344283755.049999</v>
      </c>
      <c r="S159" s="7">
        <v>16828566005.637499</v>
      </c>
      <c r="T159" s="7">
        <v>45858718873.699997</v>
      </c>
      <c r="U159" s="7">
        <v>26896804534.950005</v>
      </c>
      <c r="V159" s="7">
        <v>35000000</v>
      </c>
      <c r="W159" s="7">
        <v>18926914338.749992</v>
      </c>
      <c r="X159" s="7">
        <v>18433389919.272495</v>
      </c>
      <c r="Y159" s="7">
        <v>-1604823913.6349964</v>
      </c>
      <c r="Z159" s="7">
        <v>1324118575.1150036</v>
      </c>
      <c r="AA159" s="7">
        <v>138156930.60870001</v>
      </c>
      <c r="AB159" s="7">
        <v>1450974900</v>
      </c>
      <c r="AC159" s="7">
        <v>1733776935.507796</v>
      </c>
      <c r="AD159" s="17">
        <v>0.28493883893614053</v>
      </c>
      <c r="AE159" s="5">
        <f>SUMIFS(PGĐ!$H:$H,PGĐ!$F:$F,"="&amp;'HQ2'!B159,PGĐ!$I:$I,"="&amp;'HQ2'!A159)</f>
        <v>3583756968</v>
      </c>
      <c r="AF159" s="17"/>
      <c r="AG159" s="7">
        <f>SUMIFS(ĐMCP!$Q:$Q,ĐMCP!$P:$P,"="&amp;'HQ2'!B159,ĐMCP!$O:$O,"="&amp;'HQ2'!A159)</f>
        <v>1450974899.8627367</v>
      </c>
      <c r="AH159" s="7">
        <f t="shared" si="2"/>
        <v>-0.13726329803466797</v>
      </c>
    </row>
    <row r="160" spans="1:34" x14ac:dyDescent="0.25">
      <c r="A160" s="123" t="s">
        <v>64</v>
      </c>
      <c r="B160" s="16" t="s">
        <v>269</v>
      </c>
      <c r="C160" s="7">
        <v>1537942969</v>
      </c>
      <c r="E160" s="7">
        <v>1537942969</v>
      </c>
      <c r="F160" s="7">
        <v>922765781.39999998</v>
      </c>
      <c r="G160" s="7">
        <v>833859328.19999993</v>
      </c>
      <c r="H160" s="7">
        <v>8890645.3200000059</v>
      </c>
      <c r="I160" s="7">
        <v>913875136.07999992</v>
      </c>
      <c r="J160" s="7">
        <v>6316935</v>
      </c>
      <c r="M160" s="7">
        <v>6316935</v>
      </c>
      <c r="N160" s="7">
        <v>3790161</v>
      </c>
      <c r="O160" s="7">
        <v>15798361949.650003</v>
      </c>
      <c r="R160" s="7">
        <v>15798361949.650003</v>
      </c>
      <c r="S160" s="7">
        <v>9479017169.7900009</v>
      </c>
      <c r="T160" s="7">
        <v>15797447605.550005</v>
      </c>
      <c r="W160" s="7">
        <v>15797447605.550005</v>
      </c>
      <c r="X160" s="7">
        <v>9478468563.3300018</v>
      </c>
      <c r="Y160" s="7">
        <v>548606.45999908447</v>
      </c>
      <c r="Z160" s="7">
        <v>4338767.4599990845</v>
      </c>
      <c r="AA160" s="7">
        <v>27682973.441999998</v>
      </c>
      <c r="AB160" s="7">
        <v>364424943</v>
      </c>
      <c r="AC160" s="7">
        <v>517428452.17800087</v>
      </c>
      <c r="AD160" s="17">
        <v>4.7476589401588363E-3</v>
      </c>
      <c r="AE160" s="5">
        <f>SUMIFS(PGĐ!$H:$H,PGĐ!$F:$F,"="&amp;'HQ2'!B160,PGĐ!$I:$I,"="&amp;'HQ2'!A160)</f>
        <v>0</v>
      </c>
      <c r="AF160" s="17"/>
      <c r="AG160" s="7">
        <f>SUMIFS(ĐMCP!$Q:$Q,ĐMCP!$P:$P,"="&amp;'HQ2'!B160,ĐMCP!$O:$O,"="&amp;'HQ2'!A160)</f>
        <v>364424943.23384321</v>
      </c>
      <c r="AH160" s="7">
        <f t="shared" si="2"/>
        <v>0.23384320735931396</v>
      </c>
    </row>
    <row r="161" spans="1:34" x14ac:dyDescent="0.25">
      <c r="A161" s="123" t="s">
        <v>64</v>
      </c>
      <c r="B161" s="16" t="s">
        <v>270</v>
      </c>
      <c r="C161" s="7">
        <v>893584116</v>
      </c>
      <c r="D161" s="7">
        <v>497615833</v>
      </c>
      <c r="E161" s="7">
        <v>395968283</v>
      </c>
      <c r="F161" s="7">
        <v>782045430.25500011</v>
      </c>
      <c r="G161" s="7">
        <v>461423145.60000002</v>
      </c>
      <c r="H161" s="7">
        <v>32062228.465500012</v>
      </c>
      <c r="I161" s="7">
        <v>749983201.78950012</v>
      </c>
      <c r="J161" s="7">
        <v>105727</v>
      </c>
      <c r="M161" s="7">
        <v>105727</v>
      </c>
      <c r="N161" s="7">
        <v>63436.2</v>
      </c>
      <c r="O161" s="7">
        <v>1155520648.5</v>
      </c>
      <c r="Q161" s="7">
        <v>569718055</v>
      </c>
      <c r="R161" s="7">
        <v>585802593.5</v>
      </c>
      <c r="S161" s="7">
        <v>921199611.0999999</v>
      </c>
      <c r="T161" s="7">
        <v>765774271.70000005</v>
      </c>
      <c r="V161" s="7">
        <v>180418055</v>
      </c>
      <c r="W161" s="7">
        <v>585356216.70000005</v>
      </c>
      <c r="X161" s="7">
        <v>531631785.02000004</v>
      </c>
      <c r="Y161" s="7">
        <v>389567826.07999986</v>
      </c>
      <c r="Z161" s="7">
        <v>389631262.27999985</v>
      </c>
      <c r="AA161" s="7">
        <v>23461362.907650001</v>
      </c>
      <c r="AB161" s="7">
        <v>191420382</v>
      </c>
      <c r="AC161" s="7">
        <v>145470194.60185021</v>
      </c>
      <c r="AD161" s="17">
        <v>0.51951998571477176</v>
      </c>
      <c r="AE161" s="5">
        <f>SUMIFS(PGĐ!$H:$H,PGĐ!$F:$F,"="&amp;'HQ2'!B161,PGĐ!$I:$I,"="&amp;'HQ2'!A161)</f>
        <v>79258004</v>
      </c>
      <c r="AF161" s="17"/>
      <c r="AG161" s="7">
        <f>SUMIFS(ĐMCP!$Q:$Q,ĐMCP!$P:$P,"="&amp;'HQ2'!B161,ĐMCP!$O:$O,"="&amp;'HQ2'!A161)</f>
        <v>191420381.80200189</v>
      </c>
      <c r="AH161" s="7">
        <f t="shared" si="2"/>
        <v>-0.19799810647964478</v>
      </c>
    </row>
    <row r="162" spans="1:34" x14ac:dyDescent="0.25">
      <c r="A162" s="123" t="s">
        <v>64</v>
      </c>
      <c r="B162" s="16" t="s">
        <v>273</v>
      </c>
      <c r="C162" s="7">
        <v>864902104</v>
      </c>
      <c r="E162" s="7">
        <v>864902104</v>
      </c>
      <c r="F162" s="7">
        <v>475696157.20000005</v>
      </c>
      <c r="G162" s="7">
        <v>596144194.25</v>
      </c>
      <c r="H162" s="7">
        <v>-30112009.262499988</v>
      </c>
      <c r="I162" s="7">
        <v>505808166.46250004</v>
      </c>
      <c r="AA162" s="7">
        <v>14270884.716</v>
      </c>
      <c r="AB162" s="7">
        <v>84855583</v>
      </c>
      <c r="AC162" s="7">
        <v>406681698.74650002</v>
      </c>
      <c r="AD162" s="17"/>
      <c r="AE162" s="5">
        <f>SUMIFS(PGĐ!$H:$H,PGĐ!$F:$F,"="&amp;'HQ2'!B162,PGĐ!$I:$I,"="&amp;'HQ2'!A162)</f>
        <v>10661000</v>
      </c>
      <c r="AF162" s="17"/>
      <c r="AG162" s="7">
        <f>SUMIFS(ĐMCP!$Q:$Q,ĐMCP!$P:$P,"="&amp;'HQ2'!B162,ĐMCP!$O:$O,"="&amp;'HQ2'!A162)</f>
        <v>84855582.66816628</v>
      </c>
      <c r="AH162" s="7">
        <f t="shared" si="2"/>
        <v>-0.33183372020721436</v>
      </c>
    </row>
    <row r="163" spans="1:34" x14ac:dyDescent="0.25">
      <c r="A163" s="123" t="s">
        <v>64</v>
      </c>
      <c r="B163" s="16" t="s">
        <v>272</v>
      </c>
      <c r="C163" s="7">
        <v>459543129</v>
      </c>
      <c r="D163" s="7">
        <v>148355909</v>
      </c>
      <c r="E163" s="7">
        <v>311187220</v>
      </c>
      <c r="F163" s="7">
        <v>387662550.91500002</v>
      </c>
      <c r="H163" s="7">
        <v>77532510.183000013</v>
      </c>
      <c r="I163" s="7">
        <v>310130040.73199999</v>
      </c>
      <c r="AA163" s="7">
        <v>11629876.527450001</v>
      </c>
      <c r="AB163" s="7">
        <v>52210138</v>
      </c>
      <c r="AC163" s="7">
        <v>246290026.20455</v>
      </c>
      <c r="AD163" s="17"/>
      <c r="AE163" s="5">
        <f>SUMIFS(PGĐ!$H:$H,PGĐ!$F:$F,"="&amp;'HQ2'!B163,PGĐ!$I:$I,"="&amp;'HQ2'!A163)</f>
        <v>0</v>
      </c>
      <c r="AF163" s="17"/>
      <c r="AG163" s="7">
        <f>SUMIFS(ĐMCP!$Q:$Q,ĐMCP!$P:$P,"="&amp;'HQ2'!B163,ĐMCP!$O:$O,"="&amp;'HQ2'!A163)</f>
        <v>52210138.440444916</v>
      </c>
      <c r="AH163" s="7">
        <f t="shared" si="2"/>
        <v>0.44044491648674011</v>
      </c>
    </row>
    <row r="164" spans="1:34" x14ac:dyDescent="0.25">
      <c r="A164" s="123" t="s">
        <v>64</v>
      </c>
      <c r="B164" s="16" t="s">
        <v>271</v>
      </c>
      <c r="C164" s="7">
        <v>464803381</v>
      </c>
      <c r="D164" s="7">
        <v>42635099</v>
      </c>
      <c r="E164" s="7">
        <v>422168282</v>
      </c>
      <c r="F164" s="7">
        <v>337513369.91499996</v>
      </c>
      <c r="G164" s="7">
        <v>367584092.39999998</v>
      </c>
      <c r="H164" s="7">
        <v>-6014144.4970000032</v>
      </c>
      <c r="I164" s="7">
        <v>343527514.41199994</v>
      </c>
      <c r="J164" s="7">
        <v>777220261</v>
      </c>
      <c r="M164" s="7">
        <v>777220261</v>
      </c>
      <c r="N164" s="7">
        <v>466332156.59999996</v>
      </c>
      <c r="O164" s="7">
        <v>2973353712.4000001</v>
      </c>
      <c r="P164" s="7">
        <v>2444913600</v>
      </c>
      <c r="R164" s="7">
        <v>528440112.4000001</v>
      </c>
      <c r="S164" s="7">
        <v>562204757.24000001</v>
      </c>
      <c r="T164" s="7">
        <v>2973353712.4000001</v>
      </c>
      <c r="U164" s="7">
        <v>2444913600</v>
      </c>
      <c r="W164" s="7">
        <v>528440112.4000001</v>
      </c>
      <c r="X164" s="7">
        <v>498856486.88000005</v>
      </c>
      <c r="Y164" s="7">
        <v>63348270.359999955</v>
      </c>
      <c r="Z164" s="7">
        <v>529680426.95999992</v>
      </c>
      <c r="AA164" s="7">
        <v>10125401.097449999</v>
      </c>
      <c r="AB164" s="7">
        <v>8516178</v>
      </c>
      <c r="AC164" s="7">
        <v>-204794491.64544994</v>
      </c>
      <c r="AD164" s="17">
        <v>1.5418864712092399</v>
      </c>
      <c r="AE164" s="5">
        <f>SUMIFS(PGĐ!$H:$H,PGĐ!$F:$F,"="&amp;'HQ2'!B164,PGĐ!$I:$I,"="&amp;'HQ2'!A164)</f>
        <v>0</v>
      </c>
      <c r="AF164" s="17"/>
      <c r="AG164" s="7">
        <f>SUMIFS(ĐMCP!$Q:$Q,ĐMCP!$P:$P,"="&amp;'HQ2'!B164,ĐMCP!$O:$O,"="&amp;'HQ2'!A164)</f>
        <v>8516178.4566105418</v>
      </c>
      <c r="AH164" s="7">
        <f t="shared" si="2"/>
        <v>0.4566105417907238</v>
      </c>
    </row>
    <row r="165" spans="1:34" x14ac:dyDescent="0.25">
      <c r="A165" s="123" t="s">
        <v>64</v>
      </c>
      <c r="B165" s="16" t="s">
        <v>23</v>
      </c>
      <c r="C165" s="7">
        <v>835112932</v>
      </c>
      <c r="E165" s="7">
        <v>835112932</v>
      </c>
      <c r="F165" s="7">
        <v>292289526.19999999</v>
      </c>
      <c r="G165" s="7">
        <v>222097412.25</v>
      </c>
      <c r="H165" s="7">
        <v>17548028.487499997</v>
      </c>
      <c r="I165" s="7">
        <v>274741497.71249998</v>
      </c>
      <c r="AA165" s="7">
        <v>8768685.7859999985</v>
      </c>
      <c r="AB165" s="7">
        <v>101993339</v>
      </c>
      <c r="AC165" s="7">
        <v>163979472.92649996</v>
      </c>
      <c r="AD165" s="17"/>
      <c r="AE165" s="5">
        <f>SUMIFS(PGĐ!$H:$H,PGĐ!$F:$F,"="&amp;'HQ2'!B165,PGĐ!$I:$I,"="&amp;'HQ2'!A165)</f>
        <v>0</v>
      </c>
      <c r="AF165" s="17"/>
      <c r="AG165" s="7">
        <f>SUMIFS(ĐMCP!$Q:$Q,ĐMCP!$P:$P,"="&amp;'HQ2'!B165,ĐMCP!$O:$O,"="&amp;'HQ2'!A165)</f>
        <v>101993339.01186629</v>
      </c>
      <c r="AH165" s="7">
        <f t="shared" si="2"/>
        <v>1.1866286396980286E-2</v>
      </c>
    </row>
    <row r="166" spans="1:34" x14ac:dyDescent="0.25">
      <c r="A166" s="123" t="s">
        <v>65</v>
      </c>
      <c r="B166" s="15" t="s">
        <v>45</v>
      </c>
      <c r="C166" s="132">
        <v>12785351986</v>
      </c>
      <c r="D166" s="132">
        <v>1669261226</v>
      </c>
      <c r="E166" s="132">
        <v>11116090760</v>
      </c>
      <c r="F166" s="132">
        <v>7550172833.6499996</v>
      </c>
      <c r="G166" s="132">
        <v>6348193287.0999994</v>
      </c>
      <c r="H166" s="132">
        <v>485936179.18750006</v>
      </c>
      <c r="I166" s="132">
        <v>7064236654.4624996</v>
      </c>
      <c r="J166" s="132">
        <v>1368633875</v>
      </c>
      <c r="K166" s="132">
        <v>223928230</v>
      </c>
      <c r="L166" s="132"/>
      <c r="M166" s="132">
        <v>1144705645</v>
      </c>
      <c r="N166" s="132">
        <v>691910160.04999995</v>
      </c>
      <c r="O166" s="132">
        <v>6922219737.1000004</v>
      </c>
      <c r="P166" s="132"/>
      <c r="Q166" s="132">
        <v>35000000</v>
      </c>
      <c r="R166" s="132">
        <v>6887219737.1000004</v>
      </c>
      <c r="S166" s="132">
        <v>3967331559.2600002</v>
      </c>
      <c r="T166" s="132">
        <v>5417262037.0200005</v>
      </c>
      <c r="U166" s="132">
        <v>280000000</v>
      </c>
      <c r="V166" s="132">
        <v>497327641.92000002</v>
      </c>
      <c r="W166" s="132">
        <v>4639934395.1000004</v>
      </c>
      <c r="X166" s="132">
        <v>3550819405.5799999</v>
      </c>
      <c r="Y166" s="132">
        <v>416512153.68000031</v>
      </c>
      <c r="Z166" s="132">
        <v>1108422313.7300003</v>
      </c>
      <c r="AA166" s="132">
        <v>226505185.00949997</v>
      </c>
      <c r="AB166" s="132">
        <v>4656260499</v>
      </c>
      <c r="AC166" s="132">
        <v>1073048656.7229998</v>
      </c>
      <c r="AD166" s="96">
        <v>0.15690616947689692</v>
      </c>
      <c r="AE166" s="5">
        <f>SUMIFS(PGĐ!$H:$H,PGĐ!$F:$F,"="&amp;'HQ2'!B166,PGĐ!$I:$I,"="&amp;'HQ2'!A166)</f>
        <v>0</v>
      </c>
      <c r="AF166" s="96"/>
      <c r="AG166" s="7">
        <f>SUMIFS(ĐMCP!$Q:$Q,ĐMCP!$P:$P,"="&amp;'HQ2'!B166,ĐMCP!$O:$O,"="&amp;'HQ2'!A166)</f>
        <v>0</v>
      </c>
      <c r="AH166" s="7">
        <f t="shared" si="2"/>
        <v>0</v>
      </c>
    </row>
    <row r="167" spans="1:34" x14ac:dyDescent="0.25">
      <c r="A167" s="123" t="s">
        <v>65</v>
      </c>
      <c r="B167" s="16" t="s">
        <v>23</v>
      </c>
      <c r="C167" s="7">
        <v>4616017047</v>
      </c>
      <c r="E167" s="7">
        <v>4616017047</v>
      </c>
      <c r="F167" s="7">
        <v>1615605966.4499998</v>
      </c>
      <c r="G167" s="7">
        <v>209318620.69999999</v>
      </c>
      <c r="H167" s="7">
        <v>351571836.43749994</v>
      </c>
      <c r="I167" s="7">
        <v>1264034130.0124998</v>
      </c>
      <c r="J167" s="7">
        <v>467075957</v>
      </c>
      <c r="M167" s="7">
        <v>467075957</v>
      </c>
      <c r="N167" s="7">
        <v>116768989.25</v>
      </c>
      <c r="Z167" s="7">
        <v>116768989.25</v>
      </c>
      <c r="AA167" s="7">
        <v>48468178.993499994</v>
      </c>
      <c r="AB167" s="7">
        <v>828494957</v>
      </c>
      <c r="AC167" s="7">
        <v>270302004.76899981</v>
      </c>
      <c r="AD167" s="17">
        <v>9.2378035115907267E-2</v>
      </c>
      <c r="AE167" s="5">
        <f>SUMIFS(PGĐ!$H:$H,PGĐ!$F:$F,"="&amp;'HQ2'!B167,PGĐ!$I:$I,"="&amp;'HQ2'!A167)</f>
        <v>0</v>
      </c>
      <c r="AF167" s="17"/>
      <c r="AG167" s="7">
        <f>SUMIFS(ĐMCP!$Q:$Q,ĐMCP!$P:$P,"="&amp;'HQ2'!B167,ĐMCP!$O:$O,"="&amp;'HQ2'!A167)</f>
        <v>828494956.65496993</v>
      </c>
      <c r="AH167" s="7">
        <f t="shared" si="2"/>
        <v>-0.34503006935119629</v>
      </c>
    </row>
    <row r="168" spans="1:34" x14ac:dyDescent="0.25">
      <c r="A168" s="123" t="s">
        <v>65</v>
      </c>
      <c r="B168" s="16" t="s">
        <v>268</v>
      </c>
      <c r="C168" s="7">
        <v>2031817121</v>
      </c>
      <c r="D168" s="7">
        <v>682692254</v>
      </c>
      <c r="E168" s="7">
        <v>1349124867</v>
      </c>
      <c r="F168" s="7">
        <v>1606598893.28</v>
      </c>
      <c r="G168" s="7">
        <v>4087132643.9999995</v>
      </c>
      <c r="H168" s="7">
        <v>-372080062.60799986</v>
      </c>
      <c r="I168" s="7">
        <v>1978678955.8879998</v>
      </c>
      <c r="J168" s="7">
        <v>223928230</v>
      </c>
      <c r="K168" s="7">
        <v>223928230</v>
      </c>
      <c r="M168" s="7">
        <v>0</v>
      </c>
      <c r="N168" s="7">
        <v>215795258</v>
      </c>
      <c r="T168" s="7">
        <v>280000000</v>
      </c>
      <c r="U168" s="7">
        <v>280000000</v>
      </c>
      <c r="V168" s="7">
        <v>280000000</v>
      </c>
      <c r="W168" s="7">
        <v>-280000000</v>
      </c>
      <c r="X168" s="7">
        <v>381531126.60000002</v>
      </c>
      <c r="Y168" s="7">
        <v>-381531126.60000002</v>
      </c>
      <c r="Z168" s="7">
        <v>-165735868.60000002</v>
      </c>
      <c r="AA168" s="7">
        <v>48197966.7984</v>
      </c>
      <c r="AB168" s="7">
        <v>2290083523</v>
      </c>
      <c r="AC168" s="7">
        <v>-193866665.31040007</v>
      </c>
      <c r="AD168" s="17">
        <v>-8.3760868890234083E-2</v>
      </c>
      <c r="AE168" s="5">
        <f>SUMIFS(PGĐ!$H:$H,PGĐ!$F:$F,"="&amp;'HQ2'!B168,PGĐ!$I:$I,"="&amp;'HQ2'!A168)</f>
        <v>83778000</v>
      </c>
      <c r="AF168" s="17"/>
      <c r="AG168" s="7">
        <f>SUMIFS(ĐMCP!$Q:$Q,ĐMCP!$P:$P,"="&amp;'HQ2'!B168,ĐMCP!$O:$O,"="&amp;'HQ2'!A168)</f>
        <v>2290083523.0023727</v>
      </c>
      <c r="AH168" s="7">
        <f t="shared" si="2"/>
        <v>2.37274169921875E-3</v>
      </c>
    </row>
    <row r="169" spans="1:34" x14ac:dyDescent="0.25">
      <c r="A169" s="123" t="s">
        <v>65</v>
      </c>
      <c r="B169" s="16" t="s">
        <v>270</v>
      </c>
      <c r="C169" s="7">
        <v>1806980566</v>
      </c>
      <c r="D169" s="7">
        <v>824548786</v>
      </c>
      <c r="E169" s="7">
        <v>982431780</v>
      </c>
      <c r="F169" s="7">
        <v>1556898538.9100001</v>
      </c>
      <c r="G169" s="7">
        <v>1068859442.4000001</v>
      </c>
      <c r="H169" s="7">
        <v>48803909.651000001</v>
      </c>
      <c r="I169" s="7">
        <v>1508094629.2590001</v>
      </c>
      <c r="J169" s="7">
        <v>205310688</v>
      </c>
      <c r="M169" s="7">
        <v>205310688</v>
      </c>
      <c r="N169" s="7">
        <v>123186412.8</v>
      </c>
      <c r="O169" s="7">
        <v>402216907.10000002</v>
      </c>
      <c r="Q169" s="7">
        <v>35000000</v>
      </c>
      <c r="R169" s="7">
        <v>367216907.10000002</v>
      </c>
      <c r="S169" s="7">
        <v>255330144.26000002</v>
      </c>
      <c r="T169" s="7">
        <v>607262037.01999998</v>
      </c>
      <c r="V169" s="7">
        <v>207327641.92000002</v>
      </c>
      <c r="W169" s="7">
        <v>399934395.09999996</v>
      </c>
      <c r="X169" s="7">
        <v>447288278.98000002</v>
      </c>
      <c r="Y169" s="7">
        <v>-191958134.72</v>
      </c>
      <c r="Z169" s="7">
        <v>-68771721.920000002</v>
      </c>
      <c r="AA169" s="7">
        <v>46706956.167300001</v>
      </c>
      <c r="AB169" s="7">
        <v>551391498</v>
      </c>
      <c r="AC169" s="7">
        <v>978767897.01170015</v>
      </c>
      <c r="AD169" s="17">
        <v>-4.5601728555847244E-2</v>
      </c>
      <c r="AE169" s="5">
        <f>SUMIFS(PGĐ!$H:$H,PGĐ!$F:$F,"="&amp;'HQ2'!B169,PGĐ!$I:$I,"="&amp;'HQ2'!A169)</f>
        <v>43003114</v>
      </c>
      <c r="AF169" s="17"/>
      <c r="AG169" s="7">
        <f>SUMIFS(ĐMCP!$Q:$Q,ĐMCP!$P:$P,"="&amp;'HQ2'!B169,ĐMCP!$O:$O,"="&amp;'HQ2'!A169)</f>
        <v>551391497.53345835</v>
      </c>
      <c r="AH169" s="7">
        <f t="shared" si="2"/>
        <v>-0.46654164791107178</v>
      </c>
    </row>
    <row r="170" spans="1:34" x14ac:dyDescent="0.25">
      <c r="A170" s="123" t="s">
        <v>65</v>
      </c>
      <c r="B170" s="16" t="s">
        <v>271</v>
      </c>
      <c r="C170" s="7">
        <v>2151474398</v>
      </c>
      <c r="D170" s="7">
        <v>134463992</v>
      </c>
      <c r="E170" s="7">
        <v>2017010406</v>
      </c>
      <c r="F170" s="7">
        <v>1544354316.3199997</v>
      </c>
      <c r="G170" s="7">
        <v>46747379</v>
      </c>
      <c r="H170" s="7">
        <v>299521387.46399993</v>
      </c>
      <c r="I170" s="7">
        <v>1244832928.8559997</v>
      </c>
      <c r="O170" s="7">
        <v>4500000000</v>
      </c>
      <c r="R170" s="7">
        <v>4500000000</v>
      </c>
      <c r="S170" s="7">
        <v>2700000000</v>
      </c>
      <c r="T170" s="7">
        <v>4510000000</v>
      </c>
      <c r="V170" s="7">
        <v>10000000</v>
      </c>
      <c r="W170" s="7">
        <v>4500000000</v>
      </c>
      <c r="X170" s="7">
        <v>2710000000</v>
      </c>
      <c r="Y170" s="7">
        <v>-10000000</v>
      </c>
      <c r="Z170" s="7">
        <v>-10000000</v>
      </c>
      <c r="AA170" s="7">
        <v>46330629.489599988</v>
      </c>
      <c r="AB170" s="7">
        <v>600222415</v>
      </c>
      <c r="AC170" s="7">
        <v>608279884.36639977</v>
      </c>
      <c r="AD170" s="17">
        <v>-8.0332065196813129E-3</v>
      </c>
      <c r="AE170" s="5">
        <f>SUMIFS(PGĐ!$H:$H,PGĐ!$F:$F,"="&amp;'HQ2'!B170,PGĐ!$I:$I,"="&amp;'HQ2'!A170)</f>
        <v>0</v>
      </c>
      <c r="AF170" s="17"/>
      <c r="AG170" s="7">
        <f>SUMIFS(ĐMCP!$Q:$Q,ĐMCP!$P:$P,"="&amp;'HQ2'!B170,ĐMCP!$O:$O,"="&amp;'HQ2'!A170)</f>
        <v>600222414.95655346</v>
      </c>
      <c r="AH170" s="7">
        <f t="shared" si="2"/>
        <v>-4.3446540832519531E-2</v>
      </c>
    </row>
    <row r="171" spans="1:34" x14ac:dyDescent="0.25">
      <c r="A171" s="123" t="s">
        <v>65</v>
      </c>
      <c r="B171" s="16" t="s">
        <v>273</v>
      </c>
      <c r="C171" s="7">
        <v>1799078374</v>
      </c>
      <c r="E171" s="7">
        <v>1799078374</v>
      </c>
      <c r="F171" s="7">
        <v>989493105.70000005</v>
      </c>
      <c r="G171" s="7">
        <v>131565720.00000001</v>
      </c>
      <c r="H171" s="7">
        <v>214481846.42500001</v>
      </c>
      <c r="I171" s="7">
        <v>775011259.2750001</v>
      </c>
      <c r="J171" s="7">
        <v>472319000</v>
      </c>
      <c r="M171" s="7">
        <v>472319000</v>
      </c>
      <c r="N171" s="7">
        <v>236159500</v>
      </c>
      <c r="O171" s="7">
        <v>2000002830</v>
      </c>
      <c r="R171" s="7">
        <v>2000002830</v>
      </c>
      <c r="S171" s="7">
        <v>1000001415</v>
      </c>
      <c r="Y171" s="7">
        <v>1000001415</v>
      </c>
      <c r="Z171" s="7">
        <v>1236160915</v>
      </c>
      <c r="AA171" s="7">
        <v>29684793.171</v>
      </c>
      <c r="AB171" s="7">
        <v>277416210</v>
      </c>
      <c r="AC171" s="7">
        <v>-768250658.89599991</v>
      </c>
      <c r="AD171" s="17">
        <v>1.5950231692845231</v>
      </c>
      <c r="AE171" s="5">
        <f>SUMIFS(PGĐ!$H:$H,PGĐ!$F:$F,"="&amp;'HQ2'!B171,PGĐ!$I:$I,"="&amp;'HQ2'!A171)</f>
        <v>331604670</v>
      </c>
      <c r="AF171" s="17"/>
      <c r="AG171" s="7">
        <f>SUMIFS(ĐMCP!$Q:$Q,ĐMCP!$P:$P,"="&amp;'HQ2'!B171,ĐMCP!$O:$O,"="&amp;'HQ2'!A171)</f>
        <v>277416209.71150386</v>
      </c>
      <c r="AH171" s="7">
        <f t="shared" si="2"/>
        <v>-0.28849613666534424</v>
      </c>
    </row>
    <row r="172" spans="1:34" x14ac:dyDescent="0.25">
      <c r="A172" s="123" t="s">
        <v>65</v>
      </c>
      <c r="B172" s="16" t="s">
        <v>269</v>
      </c>
      <c r="C172" s="7">
        <v>352428286</v>
      </c>
      <c r="E172" s="7">
        <v>352428286</v>
      </c>
      <c r="F172" s="7">
        <v>211456971.59999999</v>
      </c>
      <c r="G172" s="7">
        <v>782524525.79999995</v>
      </c>
      <c r="H172" s="7">
        <v>-57106755.419999994</v>
      </c>
      <c r="I172" s="7">
        <v>268563727.01999998</v>
      </c>
      <c r="O172" s="7">
        <v>20000000</v>
      </c>
      <c r="R172" s="7">
        <v>20000000</v>
      </c>
      <c r="S172" s="7">
        <v>12000000</v>
      </c>
      <c r="T172" s="7">
        <v>20000000</v>
      </c>
      <c r="W172" s="7">
        <v>20000000</v>
      </c>
      <c r="X172" s="7">
        <v>12000000</v>
      </c>
      <c r="Y172" s="7">
        <v>0</v>
      </c>
      <c r="Z172" s="7">
        <v>0</v>
      </c>
      <c r="AA172" s="7">
        <v>6343709.148</v>
      </c>
      <c r="AB172" s="7">
        <v>98553307</v>
      </c>
      <c r="AC172" s="7">
        <v>163666710.87199998</v>
      </c>
      <c r="AD172" s="17">
        <v>0</v>
      </c>
      <c r="AE172" s="5">
        <f>SUMIFS(PGĐ!$H:$H,PGĐ!$F:$F,"="&amp;'HQ2'!B172,PGĐ!$I:$I,"="&amp;'HQ2'!A172)</f>
        <v>0</v>
      </c>
      <c r="AF172" s="17"/>
      <c r="AG172" s="7">
        <f>SUMIFS(ĐMCP!$Q:$Q,ĐMCP!$P:$P,"="&amp;'HQ2'!B172,ĐMCP!$O:$O,"="&amp;'HQ2'!A172)</f>
        <v>98553306.695590794</v>
      </c>
      <c r="AH172" s="7">
        <f t="shared" si="2"/>
        <v>-0.3044092059135437</v>
      </c>
    </row>
    <row r="173" spans="1:34" x14ac:dyDescent="0.25">
      <c r="A173" s="123" t="s">
        <v>65</v>
      </c>
      <c r="B173" s="16" t="s">
        <v>272</v>
      </c>
      <c r="C173" s="7">
        <v>27556194</v>
      </c>
      <c r="D173" s="7">
        <v>27556194</v>
      </c>
      <c r="F173" s="7">
        <v>25765041.390000001</v>
      </c>
      <c r="G173" s="7">
        <v>22044955.200000003</v>
      </c>
      <c r="H173" s="7">
        <v>744017.23799999955</v>
      </c>
      <c r="I173" s="7">
        <v>25021024.152000003</v>
      </c>
      <c r="AA173" s="7">
        <v>772951.24170000001</v>
      </c>
      <c r="AB173" s="7">
        <v>10098589</v>
      </c>
      <c r="AC173" s="7">
        <v>14149483.910300003</v>
      </c>
      <c r="AD173" s="17"/>
      <c r="AE173" s="5">
        <f>SUMIFS(PGĐ!$H:$H,PGĐ!$F:$F,"="&amp;'HQ2'!B173,PGĐ!$I:$I,"="&amp;'HQ2'!A173)</f>
        <v>0</v>
      </c>
      <c r="AF173" s="17"/>
      <c r="AG173" s="7">
        <f>SUMIFS(ĐMCP!$Q:$Q,ĐMCP!$P:$P,"="&amp;'HQ2'!B173,ĐMCP!$O:$O,"="&amp;'HQ2'!A173)</f>
        <v>10098589.222001176</v>
      </c>
      <c r="AH173" s="7">
        <f t="shared" si="2"/>
        <v>0.22200117632746696</v>
      </c>
    </row>
    <row r="174" spans="1:34" x14ac:dyDescent="0.25">
      <c r="A174" s="123" t="s">
        <v>66</v>
      </c>
      <c r="B174" s="15" t="s">
        <v>45</v>
      </c>
      <c r="C174" s="132">
        <v>10005326833</v>
      </c>
      <c r="D174" s="132">
        <v>1655962912</v>
      </c>
      <c r="E174" s="132">
        <v>8349363921</v>
      </c>
      <c r="F174" s="132">
        <v>7026481772.3049994</v>
      </c>
      <c r="G174" s="132">
        <v>3556966698.2999997</v>
      </c>
      <c r="H174" s="132">
        <v>733137565.74699998</v>
      </c>
      <c r="I174" s="132">
        <v>6293344206.5579996</v>
      </c>
      <c r="J174" s="132">
        <v>144108621</v>
      </c>
      <c r="K174" s="132"/>
      <c r="L174" s="132"/>
      <c r="M174" s="132">
        <v>144108621</v>
      </c>
      <c r="N174" s="132">
        <v>81827899.300000012</v>
      </c>
      <c r="O174" s="132">
        <v>29539188230.610001</v>
      </c>
      <c r="P174" s="132">
        <v>10390000000</v>
      </c>
      <c r="Q174" s="132">
        <v>212059005.40000001</v>
      </c>
      <c r="R174" s="132">
        <v>18937129225.209999</v>
      </c>
      <c r="S174" s="132">
        <v>14833894227.033501</v>
      </c>
      <c r="T174" s="132">
        <v>24410298771.610001</v>
      </c>
      <c r="U174" s="132">
        <v>5555000000</v>
      </c>
      <c r="V174" s="132">
        <v>45000000</v>
      </c>
      <c r="W174" s="132">
        <v>18810298771.610001</v>
      </c>
      <c r="X174" s="132">
        <v>11925819700.443501</v>
      </c>
      <c r="Y174" s="132">
        <v>2908074526.5900002</v>
      </c>
      <c r="Z174" s="132">
        <v>2989902425.8900003</v>
      </c>
      <c r="AA174" s="132">
        <v>210794453.16914997</v>
      </c>
      <c r="AB174" s="132">
        <v>2801241675</v>
      </c>
      <c r="AC174" s="132">
        <v>291405652.49885017</v>
      </c>
      <c r="AD174" s="96">
        <v>0.4750896070128125</v>
      </c>
      <c r="AE174" s="5">
        <f>SUMIFS(PGĐ!$H:$H,PGĐ!$F:$F,"="&amp;'HQ2'!B174,PGĐ!$I:$I,"="&amp;'HQ2'!A174)</f>
        <v>0</v>
      </c>
      <c r="AF174" s="96"/>
      <c r="AG174" s="7">
        <f>SUMIFS(ĐMCP!$Q:$Q,ĐMCP!$P:$P,"="&amp;'HQ2'!B174,ĐMCP!$O:$O,"="&amp;'HQ2'!A174)</f>
        <v>0</v>
      </c>
      <c r="AH174" s="7">
        <f t="shared" si="2"/>
        <v>0</v>
      </c>
    </row>
    <row r="175" spans="1:34" x14ac:dyDescent="0.25">
      <c r="A175" s="123" t="s">
        <v>66</v>
      </c>
      <c r="B175" s="16" t="s">
        <v>268</v>
      </c>
      <c r="C175" s="7">
        <v>4227294113</v>
      </c>
      <c r="D175" s="7">
        <v>1382244151</v>
      </c>
      <c r="E175" s="7">
        <v>2845049962</v>
      </c>
      <c r="F175" s="7">
        <v>3332311799.8699999</v>
      </c>
      <c r="G175" s="7">
        <v>3026862747.2999997</v>
      </c>
      <c r="H175" s="7">
        <v>45817357.885500021</v>
      </c>
      <c r="I175" s="7">
        <v>3286494441.9844999</v>
      </c>
      <c r="J175" s="7">
        <v>92745466</v>
      </c>
      <c r="M175" s="7">
        <v>92745466</v>
      </c>
      <c r="N175" s="7">
        <v>51010006.300000004</v>
      </c>
      <c r="O175" s="7">
        <v>22563725193.25</v>
      </c>
      <c r="P175" s="7">
        <v>4110000000</v>
      </c>
      <c r="R175" s="7">
        <v>18453725193.25</v>
      </c>
      <c r="S175" s="7">
        <v>11931861934.877501</v>
      </c>
      <c r="T175" s="7">
        <v>22911920193.25</v>
      </c>
      <c r="U175" s="7">
        <v>4135000000</v>
      </c>
      <c r="W175" s="7">
        <v>18776920193.25</v>
      </c>
      <c r="X175" s="7">
        <v>11814139594.627501</v>
      </c>
      <c r="Y175" s="7">
        <v>117722340.25</v>
      </c>
      <c r="Z175" s="7">
        <v>168732346.55000001</v>
      </c>
      <c r="AA175" s="7">
        <v>99969353.996099994</v>
      </c>
      <c r="AB175" s="7">
        <v>1590235311</v>
      </c>
      <c r="AC175" s="7">
        <v>1427557430.4383998</v>
      </c>
      <c r="AD175" s="17">
        <v>5.1341132482826755E-2</v>
      </c>
      <c r="AE175" s="5">
        <f>SUMIFS(PGĐ!$H:$H,PGĐ!$F:$F,"="&amp;'HQ2'!B175,PGĐ!$I:$I,"="&amp;'HQ2'!A175)</f>
        <v>153170858</v>
      </c>
      <c r="AF175" s="17"/>
      <c r="AG175" s="7">
        <f>SUMIFS(ĐMCP!$Q:$Q,ĐMCP!$P:$P,"="&amp;'HQ2'!B175,ĐMCP!$O:$O,"="&amp;'HQ2'!A175)</f>
        <v>1590235310.557507</v>
      </c>
      <c r="AH175" s="7">
        <f t="shared" si="2"/>
        <v>-0.44249296188354492</v>
      </c>
    </row>
    <row r="176" spans="1:34" x14ac:dyDescent="0.25">
      <c r="A176" s="123" t="s">
        <v>66</v>
      </c>
      <c r="B176" s="16" t="s">
        <v>271</v>
      </c>
      <c r="C176" s="7">
        <v>3327655073</v>
      </c>
      <c r="D176" s="7">
        <v>85740713</v>
      </c>
      <c r="E176" s="7">
        <v>3241914360</v>
      </c>
      <c r="F176" s="7">
        <v>2353794654.3049998</v>
      </c>
      <c r="G176" s="7">
        <v>308934368.39999998</v>
      </c>
      <c r="H176" s="7">
        <v>408972057.18099999</v>
      </c>
      <c r="I176" s="7">
        <v>1944822597.1239998</v>
      </c>
      <c r="O176" s="7">
        <v>6280000000</v>
      </c>
      <c r="P176" s="7">
        <v>6280000000</v>
      </c>
      <c r="R176" s="7">
        <v>0</v>
      </c>
      <c r="S176" s="7">
        <v>2444930867.5799999</v>
      </c>
      <c r="T176" s="7">
        <v>1420000000</v>
      </c>
      <c r="U176" s="7">
        <v>1420000000</v>
      </c>
      <c r="W176" s="7">
        <v>0</v>
      </c>
      <c r="X176" s="7">
        <v>46652958.799999997</v>
      </c>
      <c r="Y176" s="7">
        <v>2398277908.7799997</v>
      </c>
      <c r="Z176" s="7">
        <v>2398277908.7799997</v>
      </c>
      <c r="AA176" s="7">
        <v>70613839.629149988</v>
      </c>
      <c r="AB176" s="7">
        <v>1159822447</v>
      </c>
      <c r="AC176" s="7">
        <v>-1683891598.2851498</v>
      </c>
      <c r="AD176" s="17">
        <v>1.2331602441922307</v>
      </c>
      <c r="AE176" s="5">
        <f>SUMIFS(PGĐ!$H:$H,PGĐ!$F:$F,"="&amp;'HQ2'!B176,PGĐ!$I:$I,"="&amp;'HQ2'!A176)</f>
        <v>23940000</v>
      </c>
      <c r="AF176" s="17"/>
      <c r="AG176" s="7">
        <f>SUMIFS(ĐMCP!$Q:$Q,ĐMCP!$P:$P,"="&amp;'HQ2'!B176,ĐMCP!$O:$O,"="&amp;'HQ2'!A176)</f>
        <v>1159822446.9351773</v>
      </c>
      <c r="AH176" s="7">
        <f t="shared" si="2"/>
        <v>-6.4822673797607422E-2</v>
      </c>
    </row>
    <row r="177" spans="1:34" x14ac:dyDescent="0.25">
      <c r="A177" s="123" t="s">
        <v>66</v>
      </c>
      <c r="B177" s="16" t="s">
        <v>273</v>
      </c>
      <c r="C177" s="7">
        <v>1736146939</v>
      </c>
      <c r="E177" s="7">
        <v>1736146939</v>
      </c>
      <c r="F177" s="7">
        <v>954880816.45000005</v>
      </c>
      <c r="H177" s="7">
        <v>238720204.11250001</v>
      </c>
      <c r="I177" s="7">
        <v>716160612.3375001</v>
      </c>
      <c r="O177" s="7">
        <v>450000000</v>
      </c>
      <c r="R177" s="7">
        <v>450000000</v>
      </c>
      <c r="S177" s="7">
        <v>225000000</v>
      </c>
      <c r="Y177" s="7">
        <v>225000000</v>
      </c>
      <c r="Z177" s="7">
        <v>225000000</v>
      </c>
      <c r="AA177" s="7">
        <v>28646424.493500002</v>
      </c>
      <c r="AB177" s="7">
        <v>-44272672</v>
      </c>
      <c r="AC177" s="7">
        <v>506786859.8440001</v>
      </c>
      <c r="AD177" s="17">
        <v>0.3141753345881661</v>
      </c>
      <c r="AE177" s="5">
        <f>SUMIFS(PGĐ!$H:$H,PGĐ!$F:$F,"="&amp;'HQ2'!B177,PGĐ!$I:$I,"="&amp;'HQ2'!A177)</f>
        <v>38675000</v>
      </c>
      <c r="AF177" s="17"/>
      <c r="AG177" s="7">
        <f>SUMIFS(ĐMCP!$Q:$Q,ĐMCP!$P:$P,"="&amp;'HQ2'!B177,ĐMCP!$O:$O,"="&amp;'HQ2'!A177)</f>
        <v>-44272671.768215783</v>
      </c>
      <c r="AH177" s="7">
        <f t="shared" si="2"/>
        <v>0.23178421705961227</v>
      </c>
    </row>
    <row r="178" spans="1:34" x14ac:dyDescent="0.25">
      <c r="A178" s="123" t="s">
        <v>66</v>
      </c>
      <c r="B178" s="16" t="s">
        <v>270</v>
      </c>
      <c r="C178" s="7">
        <v>210167932</v>
      </c>
      <c r="D178" s="7">
        <v>187978048</v>
      </c>
      <c r="E178" s="7">
        <v>22189884</v>
      </c>
      <c r="F178" s="7">
        <v>193511382.07999998</v>
      </c>
      <c r="G178" s="7">
        <v>211492212</v>
      </c>
      <c r="H178" s="7">
        <v>-1798082.9920000017</v>
      </c>
      <c r="I178" s="7">
        <v>195309465.072</v>
      </c>
      <c r="J178" s="7">
        <v>51363155</v>
      </c>
      <c r="M178" s="7">
        <v>51363155</v>
      </c>
      <c r="N178" s="7">
        <v>30817893</v>
      </c>
      <c r="O178" s="7">
        <v>245463037.36000001</v>
      </c>
      <c r="Q178" s="7">
        <v>212059005.40000001</v>
      </c>
      <c r="R178" s="7">
        <v>33404031.960000008</v>
      </c>
      <c r="S178" s="7">
        <v>232101424.57600001</v>
      </c>
      <c r="T178" s="7">
        <v>78378578.359999999</v>
      </c>
      <c r="V178" s="7">
        <v>45000000</v>
      </c>
      <c r="W178" s="7">
        <v>33378578.359999999</v>
      </c>
      <c r="X178" s="7">
        <v>65027147.016000003</v>
      </c>
      <c r="Y178" s="7">
        <v>167074277.56</v>
      </c>
      <c r="Z178" s="7">
        <v>197892170.56</v>
      </c>
      <c r="AA178" s="7">
        <v>5805341.4623999996</v>
      </c>
      <c r="AB178" s="7">
        <v>67482731</v>
      </c>
      <c r="AC178" s="7">
        <v>-75870777.95040001</v>
      </c>
      <c r="AD178" s="17">
        <v>1.013223657578745</v>
      </c>
      <c r="AE178" s="5">
        <f>SUMIFS(PGĐ!$H:$H,PGĐ!$F:$F,"="&amp;'HQ2'!B178,PGĐ!$I:$I,"="&amp;'HQ2'!A178)</f>
        <v>41646571</v>
      </c>
      <c r="AF178" s="17"/>
      <c r="AG178" s="7">
        <f>SUMIFS(ĐMCP!$Q:$Q,ĐMCP!$P:$P,"="&amp;'HQ2'!B178,ĐMCP!$O:$O,"="&amp;'HQ2'!A178)</f>
        <v>67482730.518763229</v>
      </c>
      <c r="AH178" s="7">
        <f t="shared" si="2"/>
        <v>-0.4812367707490921</v>
      </c>
    </row>
    <row r="179" spans="1:34" x14ac:dyDescent="0.25">
      <c r="A179" s="123" t="s">
        <v>66</v>
      </c>
      <c r="B179" s="16" t="s">
        <v>23</v>
      </c>
      <c r="C179" s="7">
        <v>441818184</v>
      </c>
      <c r="E179" s="7">
        <v>441818184</v>
      </c>
      <c r="F179" s="7">
        <v>154636364.39999998</v>
      </c>
      <c r="H179" s="7">
        <v>38659091.099999994</v>
      </c>
      <c r="I179" s="7">
        <v>115977273.29999998</v>
      </c>
      <c r="AA179" s="7">
        <v>4639090.9319999991</v>
      </c>
      <c r="AB179" s="7">
        <v>-11499445</v>
      </c>
      <c r="AC179" s="7">
        <v>122837627.36799999</v>
      </c>
      <c r="AD179" s="17"/>
      <c r="AE179" s="5">
        <f>SUMIFS(PGĐ!$H:$H,PGĐ!$F:$F,"="&amp;'HQ2'!B179,PGĐ!$I:$I,"="&amp;'HQ2'!A179)</f>
        <v>0</v>
      </c>
      <c r="AF179" s="17"/>
      <c r="AG179" s="7">
        <f>SUMIFS(ĐMCP!$Q:$Q,ĐMCP!$P:$P,"="&amp;'HQ2'!B179,ĐMCP!$O:$O,"="&amp;'HQ2'!A179)</f>
        <v>-11499445.281042377</v>
      </c>
      <c r="AH179" s="7">
        <f t="shared" si="2"/>
        <v>-0.28104237653315067</v>
      </c>
    </row>
    <row r="180" spans="1:34" x14ac:dyDescent="0.25">
      <c r="A180" s="123" t="s">
        <v>66</v>
      </c>
      <c r="B180" s="16" t="s">
        <v>269</v>
      </c>
      <c r="C180" s="7">
        <v>62244592</v>
      </c>
      <c r="E180" s="7">
        <v>62244592</v>
      </c>
      <c r="F180" s="7">
        <v>37346755.199999996</v>
      </c>
      <c r="G180" s="7">
        <v>9677370.5999999996</v>
      </c>
      <c r="H180" s="7">
        <v>2766938.4599999995</v>
      </c>
      <c r="I180" s="7">
        <v>34579816.739999995</v>
      </c>
      <c r="AA180" s="7">
        <v>1120402.6559999997</v>
      </c>
      <c r="AB180" s="7">
        <v>39473303</v>
      </c>
      <c r="AC180" s="7">
        <v>-6013888.9160000049</v>
      </c>
      <c r="AD180" s="17"/>
      <c r="AE180" s="5">
        <f>SUMIFS(PGĐ!$H:$H,PGĐ!$F:$F,"="&amp;'HQ2'!B180,PGĐ!$I:$I,"="&amp;'HQ2'!A180)</f>
        <v>0</v>
      </c>
      <c r="AF180" s="17"/>
      <c r="AG180" s="7">
        <f>SUMIFS(ĐMCP!$Q:$Q,ĐMCP!$P:$P,"="&amp;'HQ2'!B180,ĐMCP!$O:$O,"="&amp;'HQ2'!A180)</f>
        <v>39473303.435586661</v>
      </c>
      <c r="AH180" s="7">
        <f t="shared" si="2"/>
        <v>0.43558666110038757</v>
      </c>
    </row>
    <row r="181" spans="1:34" x14ac:dyDescent="0.25">
      <c r="A181" s="123" t="s">
        <v>66</v>
      </c>
      <c r="B181" s="16" t="s">
        <v>272</v>
      </c>
      <c r="AB181" s="7">
        <v>0</v>
      </c>
      <c r="AC181" s="7">
        <v>0</v>
      </c>
      <c r="AD181" s="17"/>
      <c r="AE181" s="5">
        <f>SUMIFS(PGĐ!$H:$H,PGĐ!$F:$F,"="&amp;'HQ2'!B181,PGĐ!$I:$I,"="&amp;'HQ2'!A181)</f>
        <v>0</v>
      </c>
      <c r="AF181" s="17"/>
      <c r="AG181" s="7">
        <f>SUMIFS(ĐMCP!$Q:$Q,ĐMCP!$P:$P,"="&amp;'HQ2'!B181,ĐMCP!$O:$O,"="&amp;'HQ2'!A181)</f>
        <v>0</v>
      </c>
      <c r="AH181" s="7">
        <f t="shared" si="2"/>
        <v>0</v>
      </c>
    </row>
    <row r="182" spans="1:34" x14ac:dyDescent="0.25">
      <c r="A182" s="123" t="s">
        <v>67</v>
      </c>
      <c r="B182" s="15" t="s">
        <v>45</v>
      </c>
      <c r="C182" s="132">
        <v>7764782742</v>
      </c>
      <c r="D182" s="132">
        <v>5142797257</v>
      </c>
      <c r="E182" s="132">
        <v>2621985485</v>
      </c>
      <c r="F182" s="132">
        <v>6680227171.1450005</v>
      </c>
      <c r="G182" s="132">
        <v>6053988807.1000004</v>
      </c>
      <c r="H182" s="132">
        <v>86074157.262499973</v>
      </c>
      <c r="I182" s="132">
        <v>6594153013.8825006</v>
      </c>
      <c r="J182" s="132">
        <v>446231306</v>
      </c>
      <c r="K182" s="132"/>
      <c r="L182" s="132">
        <v>379584553</v>
      </c>
      <c r="M182" s="132">
        <v>66646753</v>
      </c>
      <c r="N182" s="132">
        <v>432901955.39999998</v>
      </c>
      <c r="O182" s="132">
        <v>365740000</v>
      </c>
      <c r="P182" s="132"/>
      <c r="Q182" s="132">
        <v>70000000</v>
      </c>
      <c r="R182" s="132">
        <v>295740000</v>
      </c>
      <c r="S182" s="132">
        <v>306592000</v>
      </c>
      <c r="T182" s="132"/>
      <c r="U182" s="132"/>
      <c r="V182" s="132"/>
      <c r="W182" s="132"/>
      <c r="X182" s="132"/>
      <c r="Y182" s="132">
        <v>306592000</v>
      </c>
      <c r="Z182" s="132">
        <v>739493955.39999998</v>
      </c>
      <c r="AA182" s="132">
        <v>200406815.13435</v>
      </c>
      <c r="AB182" s="132">
        <v>2245007443</v>
      </c>
      <c r="AC182" s="132">
        <v>3409244800.3481498</v>
      </c>
      <c r="AD182" s="96">
        <v>0.11214388775073347</v>
      </c>
      <c r="AE182" s="5">
        <f>SUMIFS(PGĐ!$H:$H,PGĐ!$F:$F,"="&amp;'HQ2'!B182,PGĐ!$I:$I,"="&amp;'HQ2'!A182)</f>
        <v>0</v>
      </c>
      <c r="AF182" s="96"/>
      <c r="AG182" s="7">
        <f>SUMIFS(ĐMCP!$Q:$Q,ĐMCP!$P:$P,"="&amp;'HQ2'!B182,ĐMCP!$O:$O,"="&amp;'HQ2'!A182)</f>
        <v>0</v>
      </c>
      <c r="AH182" s="7">
        <f t="shared" si="2"/>
        <v>0</v>
      </c>
    </row>
    <row r="183" spans="1:34" x14ac:dyDescent="0.25">
      <c r="A183" s="123" t="s">
        <v>67</v>
      </c>
      <c r="B183" s="16" t="s">
        <v>272</v>
      </c>
      <c r="C183" s="7">
        <v>3312542094</v>
      </c>
      <c r="D183" s="7">
        <v>3298487654</v>
      </c>
      <c r="E183" s="7">
        <v>14054440</v>
      </c>
      <c r="F183" s="7">
        <v>3095329508.4900002</v>
      </c>
      <c r="G183" s="7">
        <v>2393747311.2000003</v>
      </c>
      <c r="H183" s="7">
        <v>140316439.458</v>
      </c>
      <c r="I183" s="7">
        <v>2955013069.0320001</v>
      </c>
      <c r="J183" s="7">
        <v>446231306</v>
      </c>
      <c r="L183" s="7">
        <v>379584553</v>
      </c>
      <c r="M183" s="7">
        <v>66646753</v>
      </c>
      <c r="N183" s="7">
        <v>432901955.39999998</v>
      </c>
      <c r="O183" s="7">
        <v>365740000</v>
      </c>
      <c r="Q183" s="7">
        <v>70000000</v>
      </c>
      <c r="R183" s="7">
        <v>295740000</v>
      </c>
      <c r="S183" s="7">
        <v>306592000</v>
      </c>
      <c r="Y183" s="7">
        <v>306592000</v>
      </c>
      <c r="Z183" s="7">
        <v>739493955.39999998</v>
      </c>
      <c r="AA183" s="7">
        <v>92859885.254700005</v>
      </c>
      <c r="AB183" s="7">
        <v>1174451291</v>
      </c>
      <c r="AC183" s="7">
        <v>948207937.37730002</v>
      </c>
      <c r="AD183" s="17">
        <v>0.25025065477705066</v>
      </c>
      <c r="AE183" s="5">
        <f>SUMIFS(PGĐ!$H:$H,PGĐ!$F:$F,"="&amp;'HQ2'!B183,PGĐ!$I:$I,"="&amp;'HQ2'!A183)</f>
        <v>0</v>
      </c>
      <c r="AF183" s="17"/>
      <c r="AG183" s="7">
        <f>SUMIFS(ĐMCP!$Q:$Q,ĐMCP!$P:$P,"="&amp;'HQ2'!B183,ĐMCP!$O:$O,"="&amp;'HQ2'!A183)</f>
        <v>1174451291.0949063</v>
      </c>
      <c r="AH183" s="7">
        <f t="shared" si="2"/>
        <v>9.4906330108642578E-2</v>
      </c>
    </row>
    <row r="184" spans="1:34" x14ac:dyDescent="0.25">
      <c r="A184" s="123" t="s">
        <v>67</v>
      </c>
      <c r="B184" s="16" t="s">
        <v>268</v>
      </c>
      <c r="C184" s="7">
        <v>2515464064</v>
      </c>
      <c r="D184" s="7">
        <v>1180303490</v>
      </c>
      <c r="E184" s="7">
        <v>1335160574</v>
      </c>
      <c r="F184" s="7">
        <v>2079506787.0999999</v>
      </c>
      <c r="G184" s="7">
        <v>1854043116.8</v>
      </c>
      <c r="H184" s="7">
        <v>33819550.544999994</v>
      </c>
      <c r="I184" s="7">
        <v>2045687236.5549998</v>
      </c>
      <c r="AA184" s="7">
        <v>62385203.612999998</v>
      </c>
      <c r="AB184" s="7">
        <v>542492799</v>
      </c>
      <c r="AC184" s="7">
        <v>1440809233.9419999</v>
      </c>
      <c r="AD184" s="17"/>
      <c r="AE184" s="5">
        <f>SUMIFS(PGĐ!$H:$H,PGĐ!$F:$F,"="&amp;'HQ2'!B184,PGĐ!$I:$I,"="&amp;'HQ2'!A184)</f>
        <v>0</v>
      </c>
      <c r="AF184" s="17"/>
      <c r="AG184" s="7">
        <f>SUMIFS(ĐMCP!$Q:$Q,ĐMCP!$P:$P,"="&amp;'HQ2'!B184,ĐMCP!$O:$O,"="&amp;'HQ2'!A184)</f>
        <v>542492798.50025868</v>
      </c>
      <c r="AH184" s="7">
        <f t="shared" si="2"/>
        <v>-0.4997413158416748</v>
      </c>
    </row>
    <row r="185" spans="1:34" x14ac:dyDescent="0.25">
      <c r="A185" s="123" t="s">
        <v>67</v>
      </c>
      <c r="B185" s="16" t="s">
        <v>271</v>
      </c>
      <c r="C185" s="7">
        <v>1350437075</v>
      </c>
      <c r="D185" s="7">
        <v>189441604</v>
      </c>
      <c r="E185" s="7">
        <v>1160995471</v>
      </c>
      <c r="F185" s="7">
        <v>999296809.63999987</v>
      </c>
      <c r="G185" s="7">
        <v>1571393883.5</v>
      </c>
      <c r="H185" s="7">
        <v>-114419414.77200003</v>
      </c>
      <c r="I185" s="7">
        <v>1113716224.4119999</v>
      </c>
      <c r="AA185" s="7">
        <v>29978904.289199997</v>
      </c>
      <c r="AB185" s="7">
        <v>380670120</v>
      </c>
      <c r="AC185" s="7">
        <v>703067200.12279999</v>
      </c>
      <c r="AD185" s="17"/>
      <c r="AE185" s="5">
        <f>SUMIFS(PGĐ!$H:$H,PGĐ!$F:$F,"="&amp;'HQ2'!B185,PGĐ!$I:$I,"="&amp;'HQ2'!A185)</f>
        <v>0</v>
      </c>
      <c r="AF185" s="17"/>
      <c r="AG185" s="7">
        <f>SUMIFS(ĐMCP!$Q:$Q,ĐMCP!$P:$P,"="&amp;'HQ2'!B185,ĐMCP!$O:$O,"="&amp;'HQ2'!A185)</f>
        <v>380670119.50595927</v>
      </c>
      <c r="AH185" s="7">
        <f t="shared" si="2"/>
        <v>-0.49404072761535645</v>
      </c>
    </row>
    <row r="186" spans="1:34" x14ac:dyDescent="0.25">
      <c r="A186" s="123" t="s">
        <v>67</v>
      </c>
      <c r="B186" s="16" t="s">
        <v>270</v>
      </c>
      <c r="C186" s="7">
        <v>474564509</v>
      </c>
      <c r="D186" s="7">
        <v>474564509</v>
      </c>
      <c r="F186" s="7">
        <v>443717815.91500002</v>
      </c>
      <c r="G186" s="7">
        <v>174701745.60000002</v>
      </c>
      <c r="H186" s="7">
        <v>26901607.031500001</v>
      </c>
      <c r="I186" s="7">
        <v>416816208.88350004</v>
      </c>
      <c r="AA186" s="7">
        <v>13311534.47745</v>
      </c>
      <c r="AB186" s="7">
        <v>128768701</v>
      </c>
      <c r="AC186" s="7">
        <v>274735973.40605003</v>
      </c>
      <c r="AD186" s="17"/>
      <c r="AE186" s="5">
        <f>SUMIFS(PGĐ!$H:$H,PGĐ!$F:$F,"="&amp;'HQ2'!B186,PGĐ!$I:$I,"="&amp;'HQ2'!A186)</f>
        <v>0</v>
      </c>
      <c r="AF186" s="17"/>
      <c r="AG186" s="7">
        <f>SUMIFS(ĐMCP!$Q:$Q,ĐMCP!$P:$P,"="&amp;'HQ2'!B186,ĐMCP!$O:$O,"="&amp;'HQ2'!A186)</f>
        <v>128768701.17935503</v>
      </c>
      <c r="AH186" s="7">
        <f t="shared" si="2"/>
        <v>0.17935502529144287</v>
      </c>
    </row>
    <row r="187" spans="1:34" x14ac:dyDescent="0.25">
      <c r="A187" s="123" t="s">
        <v>67</v>
      </c>
      <c r="B187" s="16" t="s">
        <v>273</v>
      </c>
      <c r="C187" s="7">
        <v>93775000</v>
      </c>
      <c r="E187" s="7">
        <v>93775000</v>
      </c>
      <c r="F187" s="7">
        <v>51576250.000000007</v>
      </c>
      <c r="G187" s="7">
        <v>56718750.000000007</v>
      </c>
      <c r="H187" s="7">
        <v>-1285625</v>
      </c>
      <c r="I187" s="7">
        <v>52861875.000000007</v>
      </c>
      <c r="AA187" s="7">
        <v>1547287.5000000002</v>
      </c>
      <c r="AB187" s="7">
        <v>13938964</v>
      </c>
      <c r="AC187" s="7">
        <v>37375623.500000007</v>
      </c>
      <c r="AD187" s="17"/>
      <c r="AE187" s="5">
        <f>SUMIFS(PGĐ!$H:$H,PGĐ!$F:$F,"="&amp;'HQ2'!B187,PGĐ!$I:$I,"="&amp;'HQ2'!A187)</f>
        <v>0</v>
      </c>
      <c r="AF187" s="17"/>
      <c r="AG187" s="7">
        <f>SUMIFS(ĐMCP!$Q:$Q,ĐMCP!$P:$P,"="&amp;'HQ2'!B187,ĐMCP!$O:$O,"="&amp;'HQ2'!A187)</f>
        <v>13938963.898372956</v>
      </c>
      <c r="AH187" s="7">
        <f t="shared" si="2"/>
        <v>-0.10162704437971115</v>
      </c>
    </row>
    <row r="188" spans="1:34" x14ac:dyDescent="0.25">
      <c r="A188" s="123" t="s">
        <v>67</v>
      </c>
      <c r="B188" s="16" t="s">
        <v>269</v>
      </c>
      <c r="C188" s="7">
        <v>18000000</v>
      </c>
      <c r="E188" s="7">
        <v>18000000</v>
      </c>
      <c r="F188" s="7">
        <v>10800000</v>
      </c>
      <c r="G188" s="7">
        <v>3384000</v>
      </c>
      <c r="H188" s="7">
        <v>741600</v>
      </c>
      <c r="I188" s="7">
        <v>10058400</v>
      </c>
      <c r="AA188" s="7">
        <v>324000</v>
      </c>
      <c r="AB188" s="7">
        <v>4685568</v>
      </c>
      <c r="AC188" s="7">
        <v>5048832</v>
      </c>
      <c r="AD188" s="17"/>
      <c r="AE188" s="5">
        <f>SUMIFS(PGĐ!$H:$H,PGĐ!$F:$F,"="&amp;'HQ2'!B188,PGĐ!$I:$I,"="&amp;'HQ2'!A188)</f>
        <v>0</v>
      </c>
      <c r="AF188" s="17"/>
      <c r="AG188" s="7">
        <f>SUMIFS(ĐMCP!$Q:$Q,ĐMCP!$P:$P,"="&amp;'HQ2'!B188,ĐMCP!$O:$O,"="&amp;'HQ2'!A188)</f>
        <v>4685567.5837985948</v>
      </c>
      <c r="AH188" s="7">
        <f t="shared" si="2"/>
        <v>-0.4162014052271843</v>
      </c>
    </row>
    <row r="189" spans="1:34" x14ac:dyDescent="0.25">
      <c r="A189" s="123" t="s">
        <v>67</v>
      </c>
      <c r="B189" s="16" t="s">
        <v>23</v>
      </c>
      <c r="AB189" s="7">
        <v>0</v>
      </c>
      <c r="AC189" s="7">
        <v>0</v>
      </c>
      <c r="AD189" s="17"/>
      <c r="AE189" s="5">
        <f>SUMIFS(PGĐ!$H:$H,PGĐ!$F:$F,"="&amp;'HQ2'!B189,PGĐ!$I:$I,"="&amp;'HQ2'!A189)</f>
        <v>0</v>
      </c>
      <c r="AF189" s="17"/>
      <c r="AG189" s="7">
        <f>SUMIFS(ĐMCP!$Q:$Q,ĐMCP!$P:$P,"="&amp;'HQ2'!B189,ĐMCP!$O:$O,"="&amp;'HQ2'!A189)</f>
        <v>0</v>
      </c>
      <c r="AH189" s="7">
        <f t="shared" si="2"/>
        <v>0</v>
      </c>
    </row>
    <row r="190" spans="1:34" x14ac:dyDescent="0.25">
      <c r="A190" s="123" t="s">
        <v>68</v>
      </c>
      <c r="B190" s="15" t="s">
        <v>45</v>
      </c>
      <c r="C190" s="132">
        <v>6884055050</v>
      </c>
      <c r="D190" s="132">
        <v>215313581</v>
      </c>
      <c r="E190" s="132">
        <v>6668741469</v>
      </c>
      <c r="F190" s="132">
        <v>5477434103.8100004</v>
      </c>
      <c r="G190" s="132">
        <v>4248396533.9000001</v>
      </c>
      <c r="H190" s="132">
        <v>97401012.823499992</v>
      </c>
      <c r="I190" s="132">
        <v>5380033090.9865007</v>
      </c>
      <c r="J190" s="132">
        <v>2547069323</v>
      </c>
      <c r="K190" s="132"/>
      <c r="L190" s="132">
        <v>347506084</v>
      </c>
      <c r="M190" s="132">
        <v>2199563239</v>
      </c>
      <c r="N190" s="132">
        <v>1667244027.3999999</v>
      </c>
      <c r="O190" s="132">
        <v>2293317016.1199999</v>
      </c>
      <c r="P190" s="132">
        <v>665000000</v>
      </c>
      <c r="Q190" s="132">
        <v>1791323893.48</v>
      </c>
      <c r="R190" s="132">
        <v>-163006877.36000013</v>
      </c>
      <c r="S190" s="132">
        <v>1760677710.7739999</v>
      </c>
      <c r="T190" s="132">
        <v>4640756311.5500002</v>
      </c>
      <c r="U190" s="132">
        <v>665000000</v>
      </c>
      <c r="V190" s="132">
        <v>3981268460.9099998</v>
      </c>
      <c r="W190" s="132">
        <v>-5512149.3599996567</v>
      </c>
      <c r="X190" s="132">
        <v>4035089668.8039999</v>
      </c>
      <c r="Y190" s="132">
        <v>-2274411958.0299997</v>
      </c>
      <c r="Z190" s="132">
        <v>-607167930.62999988</v>
      </c>
      <c r="AA190" s="132">
        <v>164323023.11430001</v>
      </c>
      <c r="AB190" s="132">
        <v>1778014068</v>
      </c>
      <c r="AC190" s="132">
        <v>4044863930.5022016</v>
      </c>
      <c r="AD190" s="96">
        <v>-0.11285579853537063</v>
      </c>
      <c r="AE190" s="5">
        <f>SUMIFS(PGĐ!$H:$H,PGĐ!$F:$F,"="&amp;'HQ2'!B190,PGĐ!$I:$I,"="&amp;'HQ2'!A190)</f>
        <v>0</v>
      </c>
      <c r="AF190" s="96"/>
      <c r="AG190" s="7">
        <f>SUMIFS(ĐMCP!$Q:$Q,ĐMCP!$P:$P,"="&amp;'HQ2'!B190,ĐMCP!$O:$O,"="&amp;'HQ2'!A190)</f>
        <v>0</v>
      </c>
      <c r="AH190" s="7">
        <f t="shared" si="2"/>
        <v>0</v>
      </c>
    </row>
    <row r="191" spans="1:34" x14ac:dyDescent="0.25">
      <c r="A191" s="123" t="s">
        <v>68</v>
      </c>
      <c r="B191" s="16" t="s">
        <v>270</v>
      </c>
      <c r="C191" s="7">
        <v>6043537958</v>
      </c>
      <c r="D191" s="7">
        <v>17188356</v>
      </c>
      <c r="E191" s="7">
        <v>6026349602</v>
      </c>
      <c r="F191" s="7">
        <v>4837150794.46</v>
      </c>
      <c r="G191" s="7">
        <v>3213798523.2000003</v>
      </c>
      <c r="H191" s="7">
        <v>162335227.12599999</v>
      </c>
      <c r="I191" s="7">
        <v>4674815567.3339996</v>
      </c>
      <c r="J191" s="7">
        <v>2547069323</v>
      </c>
      <c r="L191" s="7">
        <v>347506084</v>
      </c>
      <c r="M191" s="7">
        <v>2199563239</v>
      </c>
      <c r="N191" s="7">
        <v>1667244027.3999999</v>
      </c>
      <c r="O191" s="7">
        <v>1628317016.1199999</v>
      </c>
      <c r="Q191" s="7">
        <v>1126323893.48</v>
      </c>
      <c r="R191" s="7">
        <v>501993122.63999987</v>
      </c>
      <c r="S191" s="7">
        <v>1427519767.0639999</v>
      </c>
      <c r="T191" s="7">
        <v>3845756311.5500002</v>
      </c>
      <c r="V191" s="7">
        <v>3316268460.9099998</v>
      </c>
      <c r="W191" s="7">
        <v>529487850.64000034</v>
      </c>
      <c r="X191" s="7">
        <v>3633961171.2940001</v>
      </c>
      <c r="Y191" s="7">
        <v>-2206441404.2300005</v>
      </c>
      <c r="Z191" s="7">
        <v>-539197376.83000064</v>
      </c>
      <c r="AA191" s="7">
        <v>145114523.83379999</v>
      </c>
      <c r="AB191" s="7">
        <v>1645554616</v>
      </c>
      <c r="AC191" s="7">
        <v>3423343804.3302016</v>
      </c>
      <c r="AD191" s="17">
        <v>-0.11534088758446988</v>
      </c>
      <c r="AE191" s="5">
        <f>SUMIFS(PGĐ!$H:$H,PGĐ!$F:$F,"="&amp;'HQ2'!B191,PGĐ!$I:$I,"="&amp;'HQ2'!A191)</f>
        <v>47096200</v>
      </c>
      <c r="AF191" s="17"/>
      <c r="AG191" s="7">
        <f>SUMIFS(ĐMCP!$Q:$Q,ĐMCP!$P:$P,"="&amp;'HQ2'!B191,ĐMCP!$O:$O,"="&amp;'HQ2'!A191)</f>
        <v>1645554615.9010911</v>
      </c>
      <c r="AH191" s="7">
        <f t="shared" si="2"/>
        <v>-9.8908901214599609E-2</v>
      </c>
    </row>
    <row r="192" spans="1:34" x14ac:dyDescent="0.25">
      <c r="A192" s="123" t="s">
        <v>68</v>
      </c>
      <c r="B192" s="16" t="s">
        <v>268</v>
      </c>
      <c r="C192" s="7">
        <v>824792434</v>
      </c>
      <c r="D192" s="7">
        <v>198125225</v>
      </c>
      <c r="E192" s="7">
        <v>626667209</v>
      </c>
      <c r="F192" s="7">
        <v>630848514.54999995</v>
      </c>
      <c r="G192" s="7">
        <v>914372623.5</v>
      </c>
      <c r="H192" s="7">
        <v>-42528616.342500009</v>
      </c>
      <c r="I192" s="7">
        <v>673377130.89249992</v>
      </c>
      <c r="O192" s="7">
        <v>665000000</v>
      </c>
      <c r="P192" s="7">
        <v>665000000</v>
      </c>
      <c r="Q192" s="7">
        <v>665000000</v>
      </c>
      <c r="R192" s="7">
        <v>-665000000</v>
      </c>
      <c r="S192" s="7">
        <v>333157943.71000004</v>
      </c>
      <c r="T192" s="7">
        <v>795000000</v>
      </c>
      <c r="U192" s="7">
        <v>665000000</v>
      </c>
      <c r="V192" s="7">
        <v>665000000</v>
      </c>
      <c r="W192" s="7">
        <v>-535000000</v>
      </c>
      <c r="X192" s="7">
        <v>401128497.50999999</v>
      </c>
      <c r="Y192" s="7">
        <v>-67970553.799999952</v>
      </c>
      <c r="Z192" s="7">
        <v>-67970553.799999952</v>
      </c>
      <c r="AA192" s="7">
        <v>18925455.436499998</v>
      </c>
      <c r="AB192" s="7">
        <v>130196420</v>
      </c>
      <c r="AC192" s="7">
        <v>592225809.25599992</v>
      </c>
      <c r="AD192" s="17">
        <v>-0.10093980131150458</v>
      </c>
      <c r="AE192" s="5">
        <f>SUMIFS(PGĐ!$H:$H,PGĐ!$F:$F,"="&amp;'HQ2'!B192,PGĐ!$I:$I,"="&amp;'HQ2'!A192)</f>
        <v>0</v>
      </c>
      <c r="AF192" s="17"/>
      <c r="AG192" s="7">
        <f>SUMIFS(ĐMCP!$Q:$Q,ĐMCP!$P:$P,"="&amp;'HQ2'!B192,ĐMCP!$O:$O,"="&amp;'HQ2'!A192)</f>
        <v>130196420.12490919</v>
      </c>
      <c r="AH192" s="7">
        <f t="shared" si="2"/>
        <v>0.12490919232368469</v>
      </c>
    </row>
    <row r="193" spans="1:34" x14ac:dyDescent="0.25">
      <c r="A193" s="123" t="s">
        <v>68</v>
      </c>
      <c r="B193" s="16" t="s">
        <v>269</v>
      </c>
      <c r="C193" s="7">
        <v>15724658</v>
      </c>
      <c r="E193" s="7">
        <v>15724658</v>
      </c>
      <c r="F193" s="7">
        <v>9434794.7999999989</v>
      </c>
      <c r="G193" s="7">
        <v>6960000</v>
      </c>
      <c r="H193" s="7">
        <v>247479.47999999989</v>
      </c>
      <c r="I193" s="7">
        <v>9187315.3199999984</v>
      </c>
      <c r="AA193" s="7">
        <v>283043.84399999998</v>
      </c>
      <c r="AB193" s="7">
        <v>2263032</v>
      </c>
      <c r="AC193" s="7">
        <v>6641239.4759999989</v>
      </c>
      <c r="AD193" s="17"/>
      <c r="AE193" s="5">
        <f>SUMIFS(PGĐ!$H:$H,PGĐ!$F:$F,"="&amp;'HQ2'!B193,PGĐ!$I:$I,"="&amp;'HQ2'!A193)</f>
        <v>0</v>
      </c>
      <c r="AF193" s="17"/>
      <c r="AG193" s="7">
        <f>SUMIFS(ĐMCP!$Q:$Q,ĐMCP!$P:$P,"="&amp;'HQ2'!B193,ĐMCP!$O:$O,"="&amp;'HQ2'!A193)</f>
        <v>2263031.7344291634</v>
      </c>
      <c r="AH193" s="7">
        <f t="shared" si="2"/>
        <v>-0.2655708366073668</v>
      </c>
    </row>
    <row r="194" spans="1:34" x14ac:dyDescent="0.25">
      <c r="A194" s="123" t="s">
        <v>68</v>
      </c>
      <c r="B194" s="16" t="s">
        <v>271</v>
      </c>
      <c r="G194" s="7">
        <v>113265387.19999999</v>
      </c>
      <c r="H194" s="7">
        <v>-22653077.439999998</v>
      </c>
      <c r="I194" s="7">
        <v>22653077.439999998</v>
      </c>
      <c r="AB194" s="7">
        <v>0</v>
      </c>
      <c r="AC194" s="7">
        <v>22653077.439999998</v>
      </c>
      <c r="AD194" s="17"/>
      <c r="AE194" s="5">
        <f>SUMIFS(PGĐ!$H:$H,PGĐ!$F:$F,"="&amp;'HQ2'!B194,PGĐ!$I:$I,"="&amp;'HQ2'!A194)</f>
        <v>0</v>
      </c>
      <c r="AF194" s="17"/>
      <c r="AG194" s="7">
        <f>SUMIFS(ĐMCP!$Q:$Q,ĐMCP!$P:$P,"="&amp;'HQ2'!B194,ĐMCP!$O:$O,"="&amp;'HQ2'!A194)</f>
        <v>0</v>
      </c>
      <c r="AH194" s="7">
        <f t="shared" si="2"/>
        <v>0</v>
      </c>
    </row>
    <row r="195" spans="1:34" x14ac:dyDescent="0.25">
      <c r="A195" s="123" t="s">
        <v>68</v>
      </c>
      <c r="B195" s="16" t="s">
        <v>273</v>
      </c>
      <c r="AB195" s="7">
        <v>0</v>
      </c>
      <c r="AC195" s="7">
        <v>0</v>
      </c>
      <c r="AD195" s="17"/>
      <c r="AE195" s="5">
        <f>SUMIFS(PGĐ!$H:$H,PGĐ!$F:$F,"="&amp;'HQ2'!B195,PGĐ!$I:$I,"="&amp;'HQ2'!A195)</f>
        <v>0</v>
      </c>
      <c r="AF195" s="17"/>
      <c r="AG195" s="7">
        <f>SUMIFS(ĐMCP!$Q:$Q,ĐMCP!$P:$P,"="&amp;'HQ2'!B195,ĐMCP!$O:$O,"="&amp;'HQ2'!A195)</f>
        <v>0</v>
      </c>
      <c r="AH195" s="7">
        <f t="shared" si="2"/>
        <v>0</v>
      </c>
    </row>
    <row r="196" spans="1:34" x14ac:dyDescent="0.25">
      <c r="A196" s="123" t="s">
        <v>68</v>
      </c>
      <c r="B196" s="16" t="s">
        <v>23</v>
      </c>
      <c r="AB196" s="7">
        <v>0</v>
      </c>
      <c r="AC196" s="7">
        <v>0</v>
      </c>
      <c r="AD196" s="17"/>
      <c r="AE196" s="5">
        <f>SUMIFS(PGĐ!$H:$H,PGĐ!$F:$F,"="&amp;'HQ2'!B196,PGĐ!$I:$I,"="&amp;'HQ2'!A196)</f>
        <v>0</v>
      </c>
      <c r="AF196" s="17"/>
      <c r="AG196" s="7">
        <f>SUMIFS(ĐMCP!$Q:$Q,ĐMCP!$P:$P,"="&amp;'HQ2'!B196,ĐMCP!$O:$O,"="&amp;'HQ2'!A196)</f>
        <v>0</v>
      </c>
      <c r="AH196" s="7">
        <f t="shared" ref="AH196:AH259" si="3">IF(AG196=0,0,AG196-AB196)</f>
        <v>0</v>
      </c>
    </row>
    <row r="197" spans="1:34" x14ac:dyDescent="0.25">
      <c r="A197" s="123" t="s">
        <v>68</v>
      </c>
      <c r="B197" s="16" t="s">
        <v>272</v>
      </c>
      <c r="AB197" s="7">
        <v>0</v>
      </c>
      <c r="AC197" s="7">
        <v>0</v>
      </c>
      <c r="AD197" s="17"/>
      <c r="AE197" s="5">
        <f>SUMIFS(PGĐ!$H:$H,PGĐ!$F:$F,"="&amp;'HQ2'!B197,PGĐ!$I:$I,"="&amp;'HQ2'!A197)</f>
        <v>0</v>
      </c>
      <c r="AF197" s="17"/>
      <c r="AG197" s="7">
        <f>SUMIFS(ĐMCP!$Q:$Q,ĐMCP!$P:$P,"="&amp;'HQ2'!B197,ĐMCP!$O:$O,"="&amp;'HQ2'!A197)</f>
        <v>0</v>
      </c>
      <c r="AH197" s="7">
        <f t="shared" si="3"/>
        <v>0</v>
      </c>
    </row>
    <row r="198" spans="1:34" x14ac:dyDescent="0.25">
      <c r="A198" s="123" t="s">
        <v>69</v>
      </c>
      <c r="B198" s="15" t="s">
        <v>45</v>
      </c>
      <c r="C198" s="132">
        <v>7766406428</v>
      </c>
      <c r="D198" s="132">
        <v>2083773998</v>
      </c>
      <c r="E198" s="132">
        <v>5682632430</v>
      </c>
      <c r="F198" s="132">
        <v>5467980589.1350002</v>
      </c>
      <c r="G198" s="132">
        <v>8290042676.9500008</v>
      </c>
      <c r="H198" s="132">
        <v>-232476551.68925002</v>
      </c>
      <c r="I198" s="132">
        <v>5700457140.8242502</v>
      </c>
      <c r="J198" s="132">
        <v>312411784</v>
      </c>
      <c r="K198" s="132"/>
      <c r="L198" s="132"/>
      <c r="M198" s="132">
        <v>312411784</v>
      </c>
      <c r="N198" s="132">
        <v>199087070.40000001</v>
      </c>
      <c r="O198" s="132">
        <v>5876145915</v>
      </c>
      <c r="P198" s="132">
        <v>2100000000</v>
      </c>
      <c r="Q198" s="132">
        <v>1769063665</v>
      </c>
      <c r="R198" s="132">
        <v>2007082250</v>
      </c>
      <c r="S198" s="132">
        <v>2865449614.1599998</v>
      </c>
      <c r="T198" s="132">
        <v>5836145915</v>
      </c>
      <c r="U198" s="132">
        <v>2100000000</v>
      </c>
      <c r="V198" s="132">
        <v>1769063665</v>
      </c>
      <c r="W198" s="132">
        <v>1967082250</v>
      </c>
      <c r="X198" s="132">
        <v>2776598602.3099999</v>
      </c>
      <c r="Y198" s="132">
        <v>88851011.849999905</v>
      </c>
      <c r="Z198" s="132">
        <v>287938082.24999988</v>
      </c>
      <c r="AA198" s="132">
        <v>164039417.67405</v>
      </c>
      <c r="AB198" s="132">
        <v>2615287616</v>
      </c>
      <c r="AC198" s="132">
        <v>2633192024.9001999</v>
      </c>
      <c r="AD198" s="96">
        <v>5.0511402004570785E-2</v>
      </c>
      <c r="AE198" s="5">
        <f>SUMIFS(PGĐ!$H:$H,PGĐ!$F:$F,"="&amp;'HQ2'!B198,PGĐ!$I:$I,"="&amp;'HQ2'!A198)</f>
        <v>0</v>
      </c>
      <c r="AF198" s="96"/>
      <c r="AG198" s="7">
        <f>SUMIFS(ĐMCP!$Q:$Q,ĐMCP!$P:$P,"="&amp;'HQ2'!B198,ĐMCP!$O:$O,"="&amp;'HQ2'!A198)</f>
        <v>0</v>
      </c>
      <c r="AH198" s="7">
        <f t="shared" si="3"/>
        <v>0</v>
      </c>
    </row>
    <row r="199" spans="1:34" x14ac:dyDescent="0.25">
      <c r="A199" s="123" t="s">
        <v>69</v>
      </c>
      <c r="B199" s="16" t="s">
        <v>272</v>
      </c>
      <c r="C199" s="7">
        <v>2685888355</v>
      </c>
      <c r="D199" s="7">
        <v>1167888604</v>
      </c>
      <c r="E199" s="7">
        <v>1517999751</v>
      </c>
      <c r="F199" s="7">
        <v>2306375645.54</v>
      </c>
      <c r="G199" s="7">
        <v>2060995400</v>
      </c>
      <c r="H199" s="7">
        <v>49076049.107999995</v>
      </c>
      <c r="I199" s="7">
        <v>2257299596.4320002</v>
      </c>
      <c r="J199" s="7">
        <v>58200000</v>
      </c>
      <c r="M199" s="7">
        <v>58200000</v>
      </c>
      <c r="N199" s="7">
        <v>46560000</v>
      </c>
      <c r="O199" s="7">
        <v>40000000</v>
      </c>
      <c r="R199" s="7">
        <v>40000000</v>
      </c>
      <c r="S199" s="7">
        <v>32000000</v>
      </c>
      <c r="Y199" s="7">
        <v>32000000</v>
      </c>
      <c r="Z199" s="7">
        <v>78560000</v>
      </c>
      <c r="AA199" s="7">
        <v>69191269.3662</v>
      </c>
      <c r="AB199" s="7">
        <v>898804615</v>
      </c>
      <c r="AC199" s="7">
        <v>1210743712.0658002</v>
      </c>
      <c r="AD199" s="17">
        <v>3.4802646544648236E-2</v>
      </c>
      <c r="AE199" s="5">
        <f>SUMIFS(PGĐ!$H:$H,PGĐ!$F:$F,"="&amp;'HQ2'!B199,PGĐ!$I:$I,"="&amp;'HQ2'!A199)</f>
        <v>0</v>
      </c>
      <c r="AF199" s="17"/>
      <c r="AG199" s="7">
        <f>SUMIFS(ĐMCP!$Q:$Q,ĐMCP!$P:$P,"="&amp;'HQ2'!B199,ĐMCP!$O:$O,"="&amp;'HQ2'!A199)</f>
        <v>898804614.63212132</v>
      </c>
      <c r="AH199" s="7">
        <f t="shared" si="3"/>
        <v>-0.36787867546081543</v>
      </c>
    </row>
    <row r="200" spans="1:34" x14ac:dyDescent="0.25">
      <c r="A200" s="123" t="s">
        <v>69</v>
      </c>
      <c r="B200" s="16" t="s">
        <v>268</v>
      </c>
      <c r="C200" s="7">
        <v>1206972668</v>
      </c>
      <c r="D200" s="7">
        <v>278512213</v>
      </c>
      <c r="E200" s="7">
        <v>928460455</v>
      </c>
      <c r="F200" s="7">
        <v>920079165.11000001</v>
      </c>
      <c r="G200" s="7">
        <v>3498986514.0999999</v>
      </c>
      <c r="H200" s="7">
        <v>-386836102.34849995</v>
      </c>
      <c r="I200" s="7">
        <v>1306915267.4584999</v>
      </c>
      <c r="O200" s="7">
        <v>1500000000</v>
      </c>
      <c r="P200" s="7">
        <v>1500000000</v>
      </c>
      <c r="R200" s="7">
        <v>0</v>
      </c>
      <c r="S200" s="7">
        <v>89889160.109999999</v>
      </c>
      <c r="T200" s="7">
        <v>1500000000</v>
      </c>
      <c r="U200" s="7">
        <v>1500000000</v>
      </c>
      <c r="W200" s="7">
        <v>0</v>
      </c>
      <c r="X200" s="7">
        <v>49281294.510000005</v>
      </c>
      <c r="Y200" s="7">
        <v>40607865.599999994</v>
      </c>
      <c r="Z200" s="7">
        <v>40607865.599999994</v>
      </c>
      <c r="AA200" s="7">
        <v>27602374.953299999</v>
      </c>
      <c r="AB200" s="7">
        <v>753860528</v>
      </c>
      <c r="AC200" s="7">
        <v>484844498.9052</v>
      </c>
      <c r="AD200" s="17">
        <v>3.1071536626064756E-2</v>
      </c>
      <c r="AE200" s="5">
        <f>SUMIFS(PGĐ!$H:$H,PGĐ!$F:$F,"="&amp;'HQ2'!B200,PGĐ!$I:$I,"="&amp;'HQ2'!A200)</f>
        <v>0</v>
      </c>
      <c r="AF200" s="17"/>
      <c r="AG200" s="7">
        <f>SUMIFS(ĐMCP!$Q:$Q,ĐMCP!$P:$P,"="&amp;'HQ2'!B200,ĐMCP!$O:$O,"="&amp;'HQ2'!A200)</f>
        <v>753860528.04554045</v>
      </c>
      <c r="AH200" s="7">
        <f t="shared" si="3"/>
        <v>4.5540452003479004E-2</v>
      </c>
    </row>
    <row r="201" spans="1:34" x14ac:dyDescent="0.25">
      <c r="A201" s="123" t="s">
        <v>69</v>
      </c>
      <c r="B201" s="16" t="s">
        <v>271</v>
      </c>
      <c r="C201" s="7">
        <v>937970272</v>
      </c>
      <c r="D201" s="7">
        <v>462995726</v>
      </c>
      <c r="E201" s="7">
        <v>474974546</v>
      </c>
      <c r="F201" s="7">
        <v>788532972.30999994</v>
      </c>
      <c r="G201" s="7">
        <v>165782267</v>
      </c>
      <c r="H201" s="7">
        <v>124550141.06199999</v>
      </c>
      <c r="I201" s="7">
        <v>663982831.24799991</v>
      </c>
      <c r="O201" s="7">
        <v>795000000</v>
      </c>
      <c r="P201" s="7">
        <v>600000000</v>
      </c>
      <c r="Q201" s="7">
        <v>645000000</v>
      </c>
      <c r="R201" s="7">
        <v>-450000000</v>
      </c>
      <c r="S201" s="7">
        <v>410955664.04999995</v>
      </c>
      <c r="T201" s="7">
        <v>795000000</v>
      </c>
      <c r="U201" s="7">
        <v>600000000</v>
      </c>
      <c r="V201" s="7">
        <v>645000000</v>
      </c>
      <c r="W201" s="7">
        <v>-450000000</v>
      </c>
      <c r="X201" s="7">
        <v>394712517.79999995</v>
      </c>
      <c r="Y201" s="7">
        <v>16243146.25</v>
      </c>
      <c r="Z201" s="7">
        <v>16243146.25</v>
      </c>
      <c r="AA201" s="7">
        <v>23655989.169299997</v>
      </c>
      <c r="AB201" s="7">
        <v>53517400</v>
      </c>
      <c r="AC201" s="7">
        <v>570566295.82869995</v>
      </c>
      <c r="AD201" s="17">
        <v>2.4463202187728145E-2</v>
      </c>
      <c r="AE201" s="5">
        <f>SUMIFS(PGĐ!$H:$H,PGĐ!$F:$F,"="&amp;'HQ2'!B201,PGĐ!$I:$I,"="&amp;'HQ2'!A201)</f>
        <v>0</v>
      </c>
      <c r="AF201" s="17"/>
      <c r="AG201" s="7">
        <f>SUMIFS(ĐMCP!$Q:$Q,ĐMCP!$P:$P,"="&amp;'HQ2'!B201,ĐMCP!$O:$O,"="&amp;'HQ2'!A201)</f>
        <v>53517399.824189566</v>
      </c>
      <c r="AH201" s="7">
        <f t="shared" si="3"/>
        <v>-0.17581043392419815</v>
      </c>
    </row>
    <row r="202" spans="1:34" x14ac:dyDescent="0.25">
      <c r="A202" s="123" t="s">
        <v>69</v>
      </c>
      <c r="B202" s="16" t="s">
        <v>23</v>
      </c>
      <c r="C202" s="7">
        <v>1787286227</v>
      </c>
      <c r="E202" s="7">
        <v>1787286227</v>
      </c>
      <c r="F202" s="7">
        <v>625550179.44999993</v>
      </c>
      <c r="G202" s="7">
        <v>115132435.94999999</v>
      </c>
      <c r="H202" s="7">
        <v>127604435.87499999</v>
      </c>
      <c r="I202" s="7">
        <v>497945743.57499993</v>
      </c>
      <c r="AA202" s="7">
        <v>18766505.383499999</v>
      </c>
      <c r="AB202" s="7">
        <v>201043622</v>
      </c>
      <c r="AC202" s="7">
        <v>278135616.19149995</v>
      </c>
      <c r="AD202" s="17"/>
      <c r="AE202" s="5">
        <f>SUMIFS(PGĐ!$H:$H,PGĐ!$F:$F,"="&amp;'HQ2'!B202,PGĐ!$I:$I,"="&amp;'HQ2'!A202)</f>
        <v>0</v>
      </c>
      <c r="AF202" s="17"/>
      <c r="AG202" s="7">
        <f>SUMIFS(ĐMCP!$Q:$Q,ĐMCP!$P:$P,"="&amp;'HQ2'!B202,ĐMCP!$O:$O,"="&amp;'HQ2'!A202)</f>
        <v>201043622.08586079</v>
      </c>
      <c r="AH202" s="7">
        <f t="shared" si="3"/>
        <v>8.5860788822174072E-2</v>
      </c>
    </row>
    <row r="203" spans="1:34" x14ac:dyDescent="0.25">
      <c r="A203" s="123" t="s">
        <v>69</v>
      </c>
      <c r="B203" s="16" t="s">
        <v>270</v>
      </c>
      <c r="C203" s="7">
        <v>549078361</v>
      </c>
      <c r="D203" s="7">
        <v>47104728</v>
      </c>
      <c r="E203" s="7">
        <v>501973633</v>
      </c>
      <c r="F203" s="7">
        <v>445621827.08000004</v>
      </c>
      <c r="G203" s="7">
        <v>2194445600</v>
      </c>
      <c r="H203" s="7">
        <v>-174882377.29200003</v>
      </c>
      <c r="I203" s="7">
        <v>620504204.3720001</v>
      </c>
      <c r="J203" s="7">
        <v>210173461</v>
      </c>
      <c r="M203" s="7">
        <v>210173461</v>
      </c>
      <c r="N203" s="7">
        <v>126104076.59999999</v>
      </c>
      <c r="O203" s="7">
        <v>1124063665</v>
      </c>
      <c r="Q203" s="7">
        <v>1124063665</v>
      </c>
      <c r="R203" s="7">
        <v>0</v>
      </c>
      <c r="S203" s="7">
        <v>1124063665</v>
      </c>
      <c r="T203" s="7">
        <v>1124063665</v>
      </c>
      <c r="V203" s="7">
        <v>1124063665</v>
      </c>
      <c r="W203" s="7">
        <v>0</v>
      </c>
      <c r="X203" s="7">
        <v>1124063665</v>
      </c>
      <c r="Y203" s="7">
        <v>0</v>
      </c>
      <c r="Z203" s="7">
        <v>126104076.59999999</v>
      </c>
      <c r="AA203" s="7">
        <v>13368654.8124</v>
      </c>
      <c r="AB203" s="7">
        <v>608947738</v>
      </c>
      <c r="AC203" s="7">
        <v>-127916265.04039992</v>
      </c>
      <c r="AD203" s="17">
        <v>0.20322839992297459</v>
      </c>
      <c r="AE203" s="5">
        <f>SUMIFS(PGĐ!$H:$H,PGĐ!$F:$F,"="&amp;'HQ2'!B203,PGĐ!$I:$I,"="&amp;'HQ2'!A203)</f>
        <v>128580000</v>
      </c>
      <c r="AF203" s="17"/>
      <c r="AG203" s="7">
        <f>SUMIFS(ĐMCP!$Q:$Q,ĐMCP!$P:$P,"="&amp;'HQ2'!B203,ĐMCP!$O:$O,"="&amp;'HQ2'!A203)</f>
        <v>608947737.8763833</v>
      </c>
      <c r="AH203" s="7">
        <f t="shared" si="3"/>
        <v>-0.12361669540405273</v>
      </c>
    </row>
    <row r="204" spans="1:34" x14ac:dyDescent="0.25">
      <c r="A204" s="123" t="s">
        <v>69</v>
      </c>
      <c r="B204" s="16" t="s">
        <v>273</v>
      </c>
      <c r="C204" s="7">
        <v>534110545</v>
      </c>
      <c r="D204" s="7">
        <v>127272727</v>
      </c>
      <c r="E204" s="7">
        <v>406837818</v>
      </c>
      <c r="F204" s="7">
        <v>342760799.64499998</v>
      </c>
      <c r="G204" s="7">
        <v>240765680.10000002</v>
      </c>
      <c r="H204" s="7">
        <v>25498779.886249989</v>
      </c>
      <c r="I204" s="7">
        <v>317262019.75874996</v>
      </c>
      <c r="O204" s="7">
        <v>2417082250</v>
      </c>
      <c r="R204" s="7">
        <v>2417082250</v>
      </c>
      <c r="S204" s="7">
        <v>1208541125</v>
      </c>
      <c r="T204" s="7">
        <v>2417082250</v>
      </c>
      <c r="W204" s="7">
        <v>2417082250</v>
      </c>
      <c r="X204" s="7">
        <v>1208541125</v>
      </c>
      <c r="Y204" s="7">
        <v>0</v>
      </c>
      <c r="Z204" s="7">
        <v>0</v>
      </c>
      <c r="AA204" s="7">
        <v>10282823.989349999</v>
      </c>
      <c r="AB204" s="7">
        <v>77493382</v>
      </c>
      <c r="AC204" s="7">
        <v>229485813.76939997</v>
      </c>
      <c r="AD204" s="17">
        <v>0</v>
      </c>
      <c r="AE204" s="5">
        <f>SUMIFS(PGĐ!$H:$H,PGĐ!$F:$F,"="&amp;'HQ2'!B204,PGĐ!$I:$I,"="&amp;'HQ2'!A204)</f>
        <v>0</v>
      </c>
      <c r="AF204" s="17"/>
      <c r="AG204" s="7">
        <f>SUMIFS(ĐMCP!$Q:$Q,ĐMCP!$P:$P,"="&amp;'HQ2'!B204,ĐMCP!$O:$O,"="&amp;'HQ2'!A204)</f>
        <v>77493381.600628048</v>
      </c>
      <c r="AH204" s="7">
        <f t="shared" si="3"/>
        <v>-0.39937195181846619</v>
      </c>
    </row>
    <row r="205" spans="1:34" x14ac:dyDescent="0.25">
      <c r="A205" s="123" t="s">
        <v>69</v>
      </c>
      <c r="B205" s="16" t="s">
        <v>269</v>
      </c>
      <c r="C205" s="7">
        <v>65100000</v>
      </c>
      <c r="E205" s="7">
        <v>65100000</v>
      </c>
      <c r="F205" s="7">
        <v>39060000</v>
      </c>
      <c r="G205" s="7">
        <v>13934779.799999999</v>
      </c>
      <c r="H205" s="7">
        <v>2512522.0200000005</v>
      </c>
      <c r="I205" s="7">
        <v>36547477.979999997</v>
      </c>
      <c r="J205" s="7">
        <v>44038323</v>
      </c>
      <c r="M205" s="7">
        <v>44038323</v>
      </c>
      <c r="N205" s="7">
        <v>26422993.800000001</v>
      </c>
      <c r="Z205" s="7">
        <v>26422993.800000001</v>
      </c>
      <c r="AA205" s="7">
        <v>1171800</v>
      </c>
      <c r="AB205" s="7">
        <v>21620331</v>
      </c>
      <c r="AC205" s="7">
        <v>-12667646.82</v>
      </c>
      <c r="AD205" s="17">
        <v>0.72297721376176893</v>
      </c>
      <c r="AE205" s="5">
        <f>SUMIFS(PGĐ!$H:$H,PGĐ!$F:$F,"="&amp;'HQ2'!B205,PGĐ!$I:$I,"="&amp;'HQ2'!A205)</f>
        <v>0</v>
      </c>
      <c r="AF205" s="17"/>
      <c r="AG205" s="7">
        <f>SUMIFS(ĐMCP!$Q:$Q,ĐMCP!$P:$P,"="&amp;'HQ2'!B205,ĐMCP!$O:$O,"="&amp;'HQ2'!A205)</f>
        <v>21620331.493393298</v>
      </c>
      <c r="AH205" s="7">
        <f t="shared" si="3"/>
        <v>0.49339329823851585</v>
      </c>
    </row>
    <row r="206" spans="1:34" x14ac:dyDescent="0.25">
      <c r="A206" s="123" t="s">
        <v>70</v>
      </c>
      <c r="B206" s="15" t="s">
        <v>45</v>
      </c>
      <c r="C206" s="132">
        <v>10236937451</v>
      </c>
      <c r="D206" s="132">
        <v>684214583</v>
      </c>
      <c r="E206" s="132">
        <v>9552722868</v>
      </c>
      <c r="F206" s="132">
        <v>5220652018.2449999</v>
      </c>
      <c r="G206" s="132">
        <v>4419790835.75</v>
      </c>
      <c r="H206" s="132">
        <v>97686601.415499955</v>
      </c>
      <c r="I206" s="132">
        <v>5122965416.8295002</v>
      </c>
      <c r="J206" s="132">
        <v>1172981218</v>
      </c>
      <c r="K206" s="132">
        <v>494857891</v>
      </c>
      <c r="L206" s="132"/>
      <c r="M206" s="132">
        <v>678123327</v>
      </c>
      <c r="N206" s="132">
        <v>493876800.69999999</v>
      </c>
      <c r="O206" s="132">
        <v>37185841279.650002</v>
      </c>
      <c r="P206" s="132">
        <v>6905600000</v>
      </c>
      <c r="Q206" s="132">
        <v>50000000</v>
      </c>
      <c r="R206" s="132">
        <v>30230241279.650002</v>
      </c>
      <c r="S206" s="132">
        <v>12774980129.110001</v>
      </c>
      <c r="T206" s="132">
        <v>27797630560.789997</v>
      </c>
      <c r="U206" s="132">
        <v>7425600000</v>
      </c>
      <c r="V206" s="132">
        <v>640000000</v>
      </c>
      <c r="W206" s="132">
        <v>19732030560.789997</v>
      </c>
      <c r="X206" s="132">
        <v>10628941558.133999</v>
      </c>
      <c r="Y206" s="132">
        <v>2146038570.9760017</v>
      </c>
      <c r="Z206" s="132">
        <v>2639915371.6760015</v>
      </c>
      <c r="AA206" s="132">
        <v>156619560.54734999</v>
      </c>
      <c r="AB206" s="132">
        <v>3120805174</v>
      </c>
      <c r="AC206" s="132">
        <v>-794374689.39385092</v>
      </c>
      <c r="AD206" s="96">
        <v>0.51531001224478146</v>
      </c>
      <c r="AE206" s="5">
        <f>SUMIFS(PGĐ!$H:$H,PGĐ!$F:$F,"="&amp;'HQ2'!B206,PGĐ!$I:$I,"="&amp;'HQ2'!A206)</f>
        <v>0</v>
      </c>
      <c r="AF206" s="96"/>
      <c r="AG206" s="7">
        <f>SUMIFS(ĐMCP!$Q:$Q,ĐMCP!$P:$P,"="&amp;'HQ2'!B206,ĐMCP!$O:$O,"="&amp;'HQ2'!A206)</f>
        <v>0</v>
      </c>
      <c r="AH206" s="7">
        <f t="shared" si="3"/>
        <v>0</v>
      </c>
    </row>
    <row r="207" spans="1:34" x14ac:dyDescent="0.25">
      <c r="A207" s="123" t="s">
        <v>70</v>
      </c>
      <c r="B207" s="16" t="s">
        <v>23</v>
      </c>
      <c r="C207" s="7">
        <v>5118972604</v>
      </c>
      <c r="E207" s="7">
        <v>5118972604</v>
      </c>
      <c r="F207" s="7">
        <v>1791640411.3999999</v>
      </c>
      <c r="G207" s="7">
        <v>1789979669.8</v>
      </c>
      <c r="H207" s="7">
        <v>415185.39999997616</v>
      </c>
      <c r="I207" s="7">
        <v>1791225226</v>
      </c>
      <c r="J207" s="7">
        <v>364553470</v>
      </c>
      <c r="M207" s="7">
        <v>364553470</v>
      </c>
      <c r="N207" s="7">
        <v>91138367.5</v>
      </c>
      <c r="O207" s="7">
        <v>17360285491</v>
      </c>
      <c r="R207" s="7">
        <v>17360285491</v>
      </c>
      <c r="S207" s="7">
        <v>4340071372.75</v>
      </c>
      <c r="T207" s="7">
        <v>7391841961</v>
      </c>
      <c r="W207" s="7">
        <v>7391841961</v>
      </c>
      <c r="X207" s="7">
        <v>1847960490.25</v>
      </c>
      <c r="Y207" s="7">
        <v>2492110882.5</v>
      </c>
      <c r="Z207" s="7">
        <v>2583249250</v>
      </c>
      <c r="AA207" s="7">
        <v>53749212.341999993</v>
      </c>
      <c r="AB207" s="7">
        <v>682725466</v>
      </c>
      <c r="AC207" s="7">
        <v>-1528498702.342</v>
      </c>
      <c r="AD207" s="17">
        <v>1.4421688643636823</v>
      </c>
      <c r="AE207" s="5">
        <f>SUMIFS(PGĐ!$H:$H,PGĐ!$F:$F,"="&amp;'HQ2'!B207,PGĐ!$I:$I,"="&amp;'HQ2'!A207)</f>
        <v>0</v>
      </c>
      <c r="AF207" s="17"/>
      <c r="AG207" s="7">
        <f>SUMIFS(ĐMCP!$Q:$Q,ĐMCP!$P:$P,"="&amp;'HQ2'!B207,ĐMCP!$O:$O,"="&amp;'HQ2'!A207)</f>
        <v>682725465.56602776</v>
      </c>
      <c r="AH207" s="7">
        <f t="shared" si="3"/>
        <v>-0.43397223949432373</v>
      </c>
    </row>
    <row r="208" spans="1:34" x14ac:dyDescent="0.25">
      <c r="A208" s="123" t="s">
        <v>70</v>
      </c>
      <c r="B208" s="16" t="s">
        <v>271</v>
      </c>
      <c r="C208" s="7">
        <v>1526400117</v>
      </c>
      <c r="D208" s="7">
        <v>54582727</v>
      </c>
      <c r="E208" s="7">
        <v>1471817390</v>
      </c>
      <c r="F208" s="7">
        <v>1084036159.0949998</v>
      </c>
      <c r="G208" s="7">
        <v>1034986231.3</v>
      </c>
      <c r="H208" s="7">
        <v>9809985.5589999687</v>
      </c>
      <c r="I208" s="7">
        <v>1074226173.5359998</v>
      </c>
      <c r="J208" s="7">
        <v>313569857</v>
      </c>
      <c r="M208" s="7">
        <v>313569857</v>
      </c>
      <c r="N208" s="7">
        <v>188141914.19999999</v>
      </c>
      <c r="O208" s="7">
        <v>14570410648.650002</v>
      </c>
      <c r="P208" s="7">
        <v>6065600000</v>
      </c>
      <c r="R208" s="7">
        <v>8504810648.6500015</v>
      </c>
      <c r="S208" s="7">
        <v>5718298369.8900003</v>
      </c>
      <c r="T208" s="7">
        <v>14604572085.790001</v>
      </c>
      <c r="U208" s="7">
        <v>6065600000</v>
      </c>
      <c r="W208" s="7">
        <v>8538972085.7900009</v>
      </c>
      <c r="X208" s="7">
        <v>5651584365.7740002</v>
      </c>
      <c r="Y208" s="7">
        <v>66714004.116000175</v>
      </c>
      <c r="Z208" s="7">
        <v>254855918.31600016</v>
      </c>
      <c r="AA208" s="7">
        <v>32521084.772849992</v>
      </c>
      <c r="AB208" s="7">
        <v>1343802494</v>
      </c>
      <c r="AC208" s="7">
        <v>-556953323.55285048</v>
      </c>
      <c r="AD208" s="17">
        <v>0.23724605171097085</v>
      </c>
      <c r="AE208" s="5">
        <f>SUMIFS(PGĐ!$H:$H,PGĐ!$F:$F,"="&amp;'HQ2'!B208,PGĐ!$I:$I,"="&amp;'HQ2'!A208)</f>
        <v>304290625</v>
      </c>
      <c r="AF208" s="17"/>
      <c r="AG208" s="7">
        <f>SUMIFS(ĐMCP!$Q:$Q,ĐMCP!$P:$P,"="&amp;'HQ2'!B208,ĐMCP!$O:$O,"="&amp;'HQ2'!A208)</f>
        <v>1343802494.0525475</v>
      </c>
      <c r="AH208" s="7">
        <f t="shared" si="3"/>
        <v>5.2547454833984375E-2</v>
      </c>
    </row>
    <row r="209" spans="1:34" x14ac:dyDescent="0.25">
      <c r="A209" s="123" t="s">
        <v>70</v>
      </c>
      <c r="B209" s="16" t="s">
        <v>273</v>
      </c>
      <c r="C209" s="7">
        <v>1664340206</v>
      </c>
      <c r="E209" s="7">
        <v>1664340206</v>
      </c>
      <c r="F209" s="7">
        <v>915387113.30000007</v>
      </c>
      <c r="G209" s="7">
        <v>907115469.1500001</v>
      </c>
      <c r="H209" s="7">
        <v>2067911.037499994</v>
      </c>
      <c r="I209" s="7">
        <v>913319202.26250005</v>
      </c>
      <c r="O209" s="7">
        <v>1969756140</v>
      </c>
      <c r="R209" s="7">
        <v>1969756140</v>
      </c>
      <c r="S209" s="7">
        <v>984878070</v>
      </c>
      <c r="T209" s="7">
        <v>1805827514</v>
      </c>
      <c r="W209" s="7">
        <v>1805827514</v>
      </c>
      <c r="X209" s="7">
        <v>902913757</v>
      </c>
      <c r="Y209" s="7">
        <v>81964313</v>
      </c>
      <c r="Z209" s="7">
        <v>81964313</v>
      </c>
      <c r="AA209" s="7">
        <v>27461613.399</v>
      </c>
      <c r="AB209" s="7">
        <v>169798088</v>
      </c>
      <c r="AC209" s="7">
        <v>634095187.8635</v>
      </c>
      <c r="AD209" s="17">
        <v>8.9743337046845936E-2</v>
      </c>
      <c r="AE209" s="5">
        <f>SUMIFS(PGĐ!$H:$H,PGĐ!$F:$F,"="&amp;'HQ2'!B209,PGĐ!$I:$I,"="&amp;'HQ2'!A209)</f>
        <v>0</v>
      </c>
      <c r="AF209" s="17"/>
      <c r="AG209" s="7">
        <f>SUMIFS(ĐMCP!$Q:$Q,ĐMCP!$P:$P,"="&amp;'HQ2'!B209,ĐMCP!$O:$O,"="&amp;'HQ2'!A209)</f>
        <v>169798088.49305522</v>
      </c>
      <c r="AH209" s="7">
        <f t="shared" si="3"/>
        <v>0.49305522441864014</v>
      </c>
    </row>
    <row r="210" spans="1:34" x14ac:dyDescent="0.25">
      <c r="A210" s="123" t="s">
        <v>70</v>
      </c>
      <c r="B210" s="16" t="s">
        <v>268</v>
      </c>
      <c r="C210" s="7">
        <v>999669282</v>
      </c>
      <c r="D210" s="7">
        <v>579076614</v>
      </c>
      <c r="E210" s="7">
        <v>420592668</v>
      </c>
      <c r="F210" s="7">
        <v>856119183.18000007</v>
      </c>
      <c r="G210" s="7">
        <v>628048344.69999993</v>
      </c>
      <c r="H210" s="7">
        <v>34210625.772000022</v>
      </c>
      <c r="I210" s="7">
        <v>821908557.40799999</v>
      </c>
      <c r="J210" s="7">
        <v>494857891</v>
      </c>
      <c r="K210" s="7">
        <v>494857891</v>
      </c>
      <c r="M210" s="7">
        <v>0</v>
      </c>
      <c r="N210" s="7">
        <v>214596519</v>
      </c>
      <c r="O210" s="7">
        <v>3285389000</v>
      </c>
      <c r="P210" s="7">
        <v>840000000</v>
      </c>
      <c r="Q210" s="7">
        <v>50000000</v>
      </c>
      <c r="R210" s="7">
        <v>2395389000</v>
      </c>
      <c r="S210" s="7">
        <v>1731732316.47</v>
      </c>
      <c r="T210" s="7">
        <v>3995389000</v>
      </c>
      <c r="U210" s="7">
        <v>1360000000</v>
      </c>
      <c r="V210" s="7">
        <v>640000000</v>
      </c>
      <c r="W210" s="7">
        <v>1995389000</v>
      </c>
      <c r="X210" s="7">
        <v>2226482945.1099997</v>
      </c>
      <c r="Y210" s="7">
        <v>-494750628.63999963</v>
      </c>
      <c r="Z210" s="7">
        <v>-280154109.63999963</v>
      </c>
      <c r="AA210" s="7">
        <v>25683575.4954</v>
      </c>
      <c r="AB210" s="7">
        <v>671019965</v>
      </c>
      <c r="AC210" s="7">
        <v>405359126.55259961</v>
      </c>
      <c r="AD210" s="17">
        <v>-0.34085800313784731</v>
      </c>
      <c r="AE210" s="5">
        <f>SUMIFS(PGĐ!$H:$H,PGĐ!$F:$F,"="&amp;'HQ2'!B210,PGĐ!$I:$I,"="&amp;'HQ2'!A210)</f>
        <v>128202541</v>
      </c>
      <c r="AF210" s="17"/>
      <c r="AG210" s="7">
        <f>SUMIFS(ĐMCP!$Q:$Q,ĐMCP!$P:$P,"="&amp;'HQ2'!B210,ĐMCP!$O:$O,"="&amp;'HQ2'!A210)</f>
        <v>671019965.2888217</v>
      </c>
      <c r="AH210" s="7">
        <f t="shared" si="3"/>
        <v>0.28882169723510742</v>
      </c>
    </row>
    <row r="211" spans="1:34" x14ac:dyDescent="0.25">
      <c r="A211" s="123" t="s">
        <v>70</v>
      </c>
      <c r="B211" s="16" t="s">
        <v>269</v>
      </c>
      <c r="C211" s="7">
        <v>877000000</v>
      </c>
      <c r="E211" s="7">
        <v>877000000</v>
      </c>
      <c r="F211" s="7">
        <v>526200000</v>
      </c>
      <c r="H211" s="7">
        <v>52620000</v>
      </c>
      <c r="I211" s="7">
        <v>473580000</v>
      </c>
      <c r="AA211" s="7">
        <v>15786000</v>
      </c>
      <c r="AB211" s="7">
        <v>237035129</v>
      </c>
      <c r="AC211" s="7">
        <v>220758871</v>
      </c>
      <c r="AD211" s="17"/>
      <c r="AE211" s="5">
        <f>SUMIFS(PGĐ!$H:$H,PGĐ!$F:$F,"="&amp;'HQ2'!B211,PGĐ!$I:$I,"="&amp;'HQ2'!A211)</f>
        <v>0</v>
      </c>
      <c r="AF211" s="17"/>
      <c r="AG211" s="7">
        <f>SUMIFS(ĐMCP!$Q:$Q,ĐMCP!$P:$P,"="&amp;'HQ2'!B211,ĐMCP!$O:$O,"="&amp;'HQ2'!A211)</f>
        <v>237035129.12411112</v>
      </c>
      <c r="AH211" s="7">
        <f t="shared" si="3"/>
        <v>0.1241111159324646</v>
      </c>
    </row>
    <row r="212" spans="1:34" x14ac:dyDescent="0.25">
      <c r="A212" s="123" t="s">
        <v>70</v>
      </c>
      <c r="B212" s="16" t="s">
        <v>272</v>
      </c>
      <c r="C212" s="7">
        <v>27750000</v>
      </c>
      <c r="D212" s="7">
        <v>27750000</v>
      </c>
      <c r="F212" s="7">
        <v>25946250</v>
      </c>
      <c r="G212" s="7">
        <v>27925344</v>
      </c>
      <c r="H212" s="7">
        <v>-395818.80000000005</v>
      </c>
      <c r="I212" s="7">
        <v>26342068.800000001</v>
      </c>
      <c r="AA212" s="7">
        <v>778387.5</v>
      </c>
      <c r="AB212" s="7">
        <v>9226203</v>
      </c>
      <c r="AC212" s="7">
        <v>16337478.300000001</v>
      </c>
      <c r="AD212" s="17"/>
      <c r="AE212" s="5">
        <f>SUMIFS(PGĐ!$H:$H,PGĐ!$F:$F,"="&amp;'HQ2'!B212,PGĐ!$I:$I,"="&amp;'HQ2'!A212)</f>
        <v>0</v>
      </c>
      <c r="AF212" s="17"/>
      <c r="AG212" s="7">
        <f>SUMIFS(ĐMCP!$Q:$Q,ĐMCP!$P:$P,"="&amp;'HQ2'!B212,ĐMCP!$O:$O,"="&amp;'HQ2'!A212)</f>
        <v>9226202.9888695609</v>
      </c>
      <c r="AH212" s="7">
        <f t="shared" si="3"/>
        <v>-1.113043911755085E-2</v>
      </c>
    </row>
    <row r="213" spans="1:34" x14ac:dyDescent="0.25">
      <c r="A213" s="123" t="s">
        <v>70</v>
      </c>
      <c r="B213" s="16" t="s">
        <v>270</v>
      </c>
      <c r="C213" s="7">
        <v>22805242</v>
      </c>
      <c r="D213" s="7">
        <v>22805242</v>
      </c>
      <c r="F213" s="7">
        <v>21322901.27</v>
      </c>
      <c r="G213" s="7">
        <v>31735776.800000001</v>
      </c>
      <c r="H213" s="7">
        <v>-1041287.5530000002</v>
      </c>
      <c r="I213" s="7">
        <v>22364188.822999999</v>
      </c>
      <c r="AA213" s="7">
        <v>639687.03810000001</v>
      </c>
      <c r="AB213" s="7">
        <v>7197829</v>
      </c>
      <c r="AC213" s="7">
        <v>14526672.784899998</v>
      </c>
      <c r="AD213" s="17"/>
      <c r="AE213" s="5">
        <f>SUMIFS(PGĐ!$H:$H,PGĐ!$F:$F,"="&amp;'HQ2'!B213,PGĐ!$I:$I,"="&amp;'HQ2'!A213)</f>
        <v>0</v>
      </c>
      <c r="AF213" s="17"/>
      <c r="AG213" s="7">
        <f>SUMIFS(ĐMCP!$Q:$Q,ĐMCP!$P:$P,"="&amp;'HQ2'!B213,ĐMCP!$O:$O,"="&amp;'HQ2'!A213)</f>
        <v>7197829.4634512458</v>
      </c>
      <c r="AH213" s="7">
        <f t="shared" si="3"/>
        <v>0.46345124579966068</v>
      </c>
    </row>
    <row r="214" spans="1:34" x14ac:dyDescent="0.25">
      <c r="A214" s="123" t="s">
        <v>71</v>
      </c>
      <c r="B214" s="15" t="s">
        <v>45</v>
      </c>
      <c r="C214" s="132">
        <v>7107248272</v>
      </c>
      <c r="D214" s="132">
        <v>917036896</v>
      </c>
      <c r="E214" s="132">
        <v>6190211376</v>
      </c>
      <c r="F214" s="132">
        <v>5154361155.124999</v>
      </c>
      <c r="G214" s="132">
        <v>7712777729.3999996</v>
      </c>
      <c r="H214" s="132">
        <v>-348563027.83799994</v>
      </c>
      <c r="I214" s="132">
        <v>5502924182.9629993</v>
      </c>
      <c r="J214" s="132">
        <v>2782204847</v>
      </c>
      <c r="K214" s="132">
        <v>129934457</v>
      </c>
      <c r="L214" s="132"/>
      <c r="M214" s="132">
        <v>2652270390</v>
      </c>
      <c r="N214" s="132">
        <v>1512915421.3500001</v>
      </c>
      <c r="O214" s="132">
        <v>8012725514.1000004</v>
      </c>
      <c r="P214" s="132">
        <v>4896178335.5999994</v>
      </c>
      <c r="Q214" s="132">
        <v>85000000</v>
      </c>
      <c r="R214" s="132">
        <v>3031547178.500001</v>
      </c>
      <c r="S214" s="132">
        <v>3289720481.8400006</v>
      </c>
      <c r="T214" s="132">
        <v>6626845625</v>
      </c>
      <c r="U214" s="132">
        <v>5050298446.5</v>
      </c>
      <c r="V214" s="132">
        <v>85000000</v>
      </c>
      <c r="W214" s="132">
        <v>1491547178.5</v>
      </c>
      <c r="X214" s="132">
        <v>2216588628.25</v>
      </c>
      <c r="Y214" s="132">
        <v>1073131853.5900006</v>
      </c>
      <c r="Z214" s="132">
        <v>2586047274.9400005</v>
      </c>
      <c r="AA214" s="132">
        <v>154630834.65374997</v>
      </c>
      <c r="AB214" s="132">
        <v>1220850925</v>
      </c>
      <c r="AC214" s="132">
        <v>1541395148.3692491</v>
      </c>
      <c r="AD214" s="96">
        <v>0.46994056050170163</v>
      </c>
      <c r="AE214" s="5">
        <f>SUMIFS(PGĐ!$H:$H,PGĐ!$F:$F,"="&amp;'HQ2'!B214,PGĐ!$I:$I,"="&amp;'HQ2'!A214)</f>
        <v>0</v>
      </c>
      <c r="AF214" s="96"/>
      <c r="AG214" s="7">
        <f>SUMIFS(ĐMCP!$Q:$Q,ĐMCP!$P:$P,"="&amp;'HQ2'!B214,ĐMCP!$O:$O,"="&amp;'HQ2'!A214)</f>
        <v>0</v>
      </c>
      <c r="AH214" s="7">
        <f t="shared" si="3"/>
        <v>0</v>
      </c>
    </row>
    <row r="215" spans="1:34" x14ac:dyDescent="0.25">
      <c r="A215" s="123" t="s">
        <v>71</v>
      </c>
      <c r="B215" s="16" t="s">
        <v>268</v>
      </c>
      <c r="C215" s="7">
        <v>3643814450</v>
      </c>
      <c r="D215" s="7">
        <v>519808779</v>
      </c>
      <c r="E215" s="7">
        <v>3124005671</v>
      </c>
      <c r="F215" s="7">
        <v>2691018485.3299999</v>
      </c>
      <c r="G215" s="7">
        <v>5023456081.6999998</v>
      </c>
      <c r="H215" s="7">
        <v>-349865639.45549995</v>
      </c>
      <c r="I215" s="7">
        <v>3040884124.7855</v>
      </c>
      <c r="J215" s="7">
        <v>2782204847</v>
      </c>
      <c r="K215" s="7">
        <v>124790254</v>
      </c>
      <c r="M215" s="7">
        <v>2657414593</v>
      </c>
      <c r="N215" s="7">
        <v>1515693671.1500001</v>
      </c>
      <c r="O215" s="7">
        <v>6598545043</v>
      </c>
      <c r="P215" s="7">
        <v>4596178335.5999994</v>
      </c>
      <c r="Q215" s="7">
        <v>85000000</v>
      </c>
      <c r="R215" s="7">
        <v>1917366707.4000006</v>
      </c>
      <c r="S215" s="7">
        <v>2491116353.9800005</v>
      </c>
      <c r="T215" s="7">
        <v>5212665153.8999996</v>
      </c>
      <c r="U215" s="7">
        <v>4750298446.5</v>
      </c>
      <c r="V215" s="7">
        <v>85000000</v>
      </c>
      <c r="W215" s="7">
        <v>377366707.39999962</v>
      </c>
      <c r="X215" s="7">
        <v>1440208508.3899999</v>
      </c>
      <c r="Y215" s="7">
        <v>1050907845.5900006</v>
      </c>
      <c r="Z215" s="7">
        <v>2566601516.7400007</v>
      </c>
      <c r="AA215" s="7">
        <v>80730554.559900001</v>
      </c>
      <c r="AB215" s="7">
        <v>817309279</v>
      </c>
      <c r="AC215" s="7">
        <v>-423757225.5144009</v>
      </c>
      <c r="AD215" s="17">
        <v>0.84403134464094232</v>
      </c>
      <c r="AE215" s="5">
        <f>SUMIFS(PGĐ!$H:$H,PGĐ!$F:$F,"="&amp;'HQ2'!B215,PGĐ!$I:$I,"="&amp;'HQ2'!A215)</f>
        <v>136070367</v>
      </c>
      <c r="AF215" s="17"/>
      <c r="AG215" s="7">
        <f>SUMIFS(ĐMCP!$Q:$Q,ĐMCP!$P:$P,"="&amp;'HQ2'!B215,ĐMCP!$O:$O,"="&amp;'HQ2'!A215)</f>
        <v>817309278.55937397</v>
      </c>
      <c r="AH215" s="7">
        <f t="shared" si="3"/>
        <v>-0.44062602519989014</v>
      </c>
    </row>
    <row r="216" spans="1:34" x14ac:dyDescent="0.25">
      <c r="A216" s="123" t="s">
        <v>71</v>
      </c>
      <c r="B216" s="16" t="s">
        <v>271</v>
      </c>
      <c r="C216" s="7">
        <v>2622739408</v>
      </c>
      <c r="D216" s="7">
        <v>201259668</v>
      </c>
      <c r="E216" s="7">
        <v>2421479740</v>
      </c>
      <c r="F216" s="7">
        <v>1893276590.98</v>
      </c>
      <c r="G216" s="7">
        <v>1633423656.8999999</v>
      </c>
      <c r="H216" s="7">
        <v>51970586.816000037</v>
      </c>
      <c r="I216" s="7">
        <v>1841306004.164</v>
      </c>
      <c r="K216" s="7">
        <v>5144203</v>
      </c>
      <c r="M216" s="7">
        <v>-5144203</v>
      </c>
      <c r="N216" s="7">
        <v>-2778249.8</v>
      </c>
      <c r="O216" s="7">
        <v>1414180471.0999999</v>
      </c>
      <c r="P216" s="7">
        <v>300000000</v>
      </c>
      <c r="R216" s="7">
        <v>1114180471.0999999</v>
      </c>
      <c r="S216" s="7">
        <v>798604127.86000001</v>
      </c>
      <c r="T216" s="7">
        <v>1414180471.0999999</v>
      </c>
      <c r="U216" s="7">
        <v>300000000</v>
      </c>
      <c r="W216" s="7">
        <v>1114180471.0999999</v>
      </c>
      <c r="X216" s="7">
        <v>776380119.86000001</v>
      </c>
      <c r="Y216" s="7">
        <v>22224008</v>
      </c>
      <c r="Z216" s="7">
        <v>19445758.199999999</v>
      </c>
      <c r="AA216" s="7">
        <v>56798297.729400001</v>
      </c>
      <c r="AB216" s="7">
        <v>279797249</v>
      </c>
      <c r="AC216" s="7">
        <v>1485264699.2346001</v>
      </c>
      <c r="AD216" s="17">
        <v>1.0560850915613491E-2</v>
      </c>
      <c r="AE216" s="5">
        <f>SUMIFS(PGĐ!$H:$H,PGĐ!$F:$F,"="&amp;'HQ2'!B216,PGĐ!$I:$I,"="&amp;'HQ2'!A216)</f>
        <v>13845384</v>
      </c>
      <c r="AF216" s="17"/>
      <c r="AG216" s="7">
        <f>SUMIFS(ĐMCP!$Q:$Q,ĐMCP!$P:$P,"="&amp;'HQ2'!B216,ĐMCP!$O:$O,"="&amp;'HQ2'!A216)</f>
        <v>279797249.01031202</v>
      </c>
      <c r="AH216" s="7">
        <f t="shared" si="3"/>
        <v>1.0312020778656006E-2</v>
      </c>
    </row>
    <row r="217" spans="1:34" x14ac:dyDescent="0.25">
      <c r="A217" s="123" t="s">
        <v>71</v>
      </c>
      <c r="B217" s="16" t="s">
        <v>269</v>
      </c>
      <c r="C217" s="7">
        <v>644725965</v>
      </c>
      <c r="E217" s="7">
        <v>644725965</v>
      </c>
      <c r="F217" s="7">
        <v>386835579</v>
      </c>
      <c r="G217" s="7">
        <v>185062926</v>
      </c>
      <c r="H217" s="7">
        <v>20177265.300000001</v>
      </c>
      <c r="I217" s="7">
        <v>366658313.69999999</v>
      </c>
      <c r="AA217" s="7">
        <v>11605067.369999999</v>
      </c>
      <c r="AB217" s="7">
        <v>54706311</v>
      </c>
      <c r="AC217" s="7">
        <v>300346935.32999998</v>
      </c>
      <c r="AD217" s="17"/>
      <c r="AE217" s="5">
        <f>SUMIFS(PGĐ!$H:$H,PGĐ!$F:$F,"="&amp;'HQ2'!B217,PGĐ!$I:$I,"="&amp;'HQ2'!A217)</f>
        <v>0</v>
      </c>
      <c r="AF217" s="17"/>
      <c r="AG217" s="7">
        <f>SUMIFS(ĐMCP!$Q:$Q,ĐMCP!$P:$P,"="&amp;'HQ2'!B217,ĐMCP!$O:$O,"="&amp;'HQ2'!A217)</f>
        <v>54706311.336059622</v>
      </c>
      <c r="AH217" s="7">
        <f t="shared" si="3"/>
        <v>0.33605962246656418</v>
      </c>
    </row>
    <row r="218" spans="1:34" x14ac:dyDescent="0.25">
      <c r="A218" s="123" t="s">
        <v>71</v>
      </c>
      <c r="B218" s="16" t="s">
        <v>270</v>
      </c>
      <c r="C218" s="7">
        <v>195968449</v>
      </c>
      <c r="D218" s="7">
        <v>195968449</v>
      </c>
      <c r="F218" s="7">
        <v>183230499.815</v>
      </c>
      <c r="G218" s="7">
        <v>849987224.80000007</v>
      </c>
      <c r="H218" s="7">
        <v>-66675672.498500019</v>
      </c>
      <c r="I218" s="7">
        <v>249906172.31350002</v>
      </c>
      <c r="AA218" s="7">
        <v>5496914.9944500001</v>
      </c>
      <c r="AB218" s="7">
        <v>69038086</v>
      </c>
      <c r="AC218" s="7">
        <v>175371171.31905001</v>
      </c>
      <c r="AD218" s="17"/>
      <c r="AE218" s="5">
        <f>SUMIFS(PGĐ!$H:$H,PGĐ!$F:$F,"="&amp;'HQ2'!B218,PGĐ!$I:$I,"="&amp;'HQ2'!A218)</f>
        <v>0</v>
      </c>
      <c r="AF218" s="17"/>
      <c r="AG218" s="7">
        <f>SUMIFS(ĐMCP!$Q:$Q,ĐMCP!$P:$P,"="&amp;'HQ2'!B218,ĐMCP!$O:$O,"="&amp;'HQ2'!A218)</f>
        <v>69038085.652257711</v>
      </c>
      <c r="AH218" s="7">
        <f t="shared" si="3"/>
        <v>-0.34774228930473328</v>
      </c>
    </row>
    <row r="219" spans="1:34" x14ac:dyDescent="0.25">
      <c r="A219" s="123" t="s">
        <v>71</v>
      </c>
      <c r="B219" s="16" t="s">
        <v>273</v>
      </c>
      <c r="AB219" s="7">
        <v>0</v>
      </c>
      <c r="AC219" s="7">
        <v>0</v>
      </c>
      <c r="AD219" s="17"/>
      <c r="AE219" s="5">
        <f>SUMIFS(PGĐ!$H:$H,PGĐ!$F:$F,"="&amp;'HQ2'!B219,PGĐ!$I:$I,"="&amp;'HQ2'!A219)</f>
        <v>0</v>
      </c>
      <c r="AF219" s="17"/>
      <c r="AG219" s="7">
        <f>SUMIFS(ĐMCP!$Q:$Q,ĐMCP!$P:$P,"="&amp;'HQ2'!B219,ĐMCP!$O:$O,"="&amp;'HQ2'!A219)</f>
        <v>0</v>
      </c>
      <c r="AH219" s="7">
        <f t="shared" si="3"/>
        <v>0</v>
      </c>
    </row>
    <row r="220" spans="1:34" x14ac:dyDescent="0.25">
      <c r="A220" s="123" t="s">
        <v>71</v>
      </c>
      <c r="B220" s="16" t="s">
        <v>23</v>
      </c>
      <c r="AB220" s="7">
        <v>0</v>
      </c>
      <c r="AC220" s="7">
        <v>0</v>
      </c>
      <c r="AD220" s="17"/>
      <c r="AE220" s="5">
        <f>SUMIFS(PGĐ!$H:$H,PGĐ!$F:$F,"="&amp;'HQ2'!B220,PGĐ!$I:$I,"="&amp;'HQ2'!A220)</f>
        <v>0</v>
      </c>
      <c r="AF220" s="17"/>
      <c r="AG220" s="7">
        <f>SUMIFS(ĐMCP!$Q:$Q,ĐMCP!$P:$P,"="&amp;'HQ2'!B220,ĐMCP!$O:$O,"="&amp;'HQ2'!A220)</f>
        <v>0</v>
      </c>
      <c r="AH220" s="7">
        <f t="shared" si="3"/>
        <v>0</v>
      </c>
    </row>
    <row r="221" spans="1:34" x14ac:dyDescent="0.25">
      <c r="A221" s="123" t="s">
        <v>71</v>
      </c>
      <c r="B221" s="16" t="s">
        <v>272</v>
      </c>
      <c r="G221" s="7">
        <v>20847840</v>
      </c>
      <c r="H221" s="7">
        <v>-4169568</v>
      </c>
      <c r="I221" s="7">
        <v>4169568</v>
      </c>
      <c r="AB221" s="7">
        <v>0</v>
      </c>
      <c r="AC221" s="7">
        <v>4169568</v>
      </c>
      <c r="AD221" s="17"/>
      <c r="AE221" s="5">
        <f>SUMIFS(PGĐ!$H:$H,PGĐ!$F:$F,"="&amp;'HQ2'!B221,PGĐ!$I:$I,"="&amp;'HQ2'!A221)</f>
        <v>0</v>
      </c>
      <c r="AF221" s="17"/>
      <c r="AG221" s="7">
        <f>SUMIFS(ĐMCP!$Q:$Q,ĐMCP!$P:$P,"="&amp;'HQ2'!B221,ĐMCP!$O:$O,"="&amp;'HQ2'!A221)</f>
        <v>0</v>
      </c>
      <c r="AH221" s="7">
        <f t="shared" si="3"/>
        <v>0</v>
      </c>
    </row>
    <row r="222" spans="1:34" x14ac:dyDescent="0.25">
      <c r="A222" s="123" t="s">
        <v>72</v>
      </c>
      <c r="B222" s="15" t="s">
        <v>45</v>
      </c>
      <c r="C222" s="132">
        <v>6694384768</v>
      </c>
      <c r="D222" s="132">
        <v>895138793</v>
      </c>
      <c r="E222" s="132">
        <v>5799245975</v>
      </c>
      <c r="F222" s="132">
        <v>5018162583.1800003</v>
      </c>
      <c r="G222" s="132">
        <v>3119676319.8999996</v>
      </c>
      <c r="H222" s="132">
        <v>296988579.39399987</v>
      </c>
      <c r="I222" s="132">
        <v>4721174003.7860003</v>
      </c>
      <c r="J222" s="132"/>
      <c r="K222" s="132"/>
      <c r="L222" s="132"/>
      <c r="M222" s="132"/>
      <c r="N222" s="132"/>
      <c r="O222" s="132">
        <v>965000000</v>
      </c>
      <c r="P222" s="132">
        <v>450000000</v>
      </c>
      <c r="Q222" s="132"/>
      <c r="R222" s="132">
        <v>515000000</v>
      </c>
      <c r="S222" s="132">
        <v>478393767.80000001</v>
      </c>
      <c r="T222" s="132">
        <v>965000000</v>
      </c>
      <c r="U222" s="132">
        <v>450000000</v>
      </c>
      <c r="V222" s="132"/>
      <c r="W222" s="132">
        <v>515000000</v>
      </c>
      <c r="X222" s="132">
        <v>445057755.69999999</v>
      </c>
      <c r="Y222" s="132">
        <v>33336012.100000024</v>
      </c>
      <c r="Z222" s="132">
        <v>33336012.100000024</v>
      </c>
      <c r="AA222" s="132">
        <v>150544877.49540001</v>
      </c>
      <c r="AB222" s="132">
        <v>2501709318</v>
      </c>
      <c r="AC222" s="132">
        <v>2035583796.1905994</v>
      </c>
      <c r="AD222" s="96">
        <v>7.0609581585570104E-3</v>
      </c>
      <c r="AE222" s="5">
        <f>SUMIFS(PGĐ!$H:$H,PGĐ!$F:$F,"="&amp;'HQ2'!B222,PGĐ!$I:$I,"="&amp;'HQ2'!A222)</f>
        <v>0</v>
      </c>
      <c r="AF222" s="96"/>
      <c r="AG222" s="7">
        <f>SUMIFS(ĐMCP!$Q:$Q,ĐMCP!$P:$P,"="&amp;'HQ2'!B222,ĐMCP!$O:$O,"="&amp;'HQ2'!A222)</f>
        <v>0</v>
      </c>
      <c r="AH222" s="7">
        <f t="shared" si="3"/>
        <v>0</v>
      </c>
    </row>
    <row r="223" spans="1:34" x14ac:dyDescent="0.25">
      <c r="A223" s="123" t="s">
        <v>72</v>
      </c>
      <c r="B223" s="16" t="s">
        <v>268</v>
      </c>
      <c r="C223" s="7">
        <v>6176825220</v>
      </c>
      <c r="D223" s="7">
        <v>418831765</v>
      </c>
      <c r="E223" s="7">
        <v>5757993455</v>
      </c>
      <c r="F223" s="7">
        <v>4436862230.5499992</v>
      </c>
      <c r="G223" s="7">
        <v>2895876500.2999997</v>
      </c>
      <c r="H223" s="7">
        <v>231147859.53749993</v>
      </c>
      <c r="I223" s="7">
        <v>4205714371.0124993</v>
      </c>
      <c r="O223" s="7">
        <v>965000000</v>
      </c>
      <c r="P223" s="7">
        <v>450000000</v>
      </c>
      <c r="R223" s="7">
        <v>515000000</v>
      </c>
      <c r="S223" s="7">
        <v>478393767.80000001</v>
      </c>
      <c r="T223" s="7">
        <v>965000000</v>
      </c>
      <c r="U223" s="7">
        <v>450000000</v>
      </c>
      <c r="W223" s="7">
        <v>515000000</v>
      </c>
      <c r="X223" s="7">
        <v>445057755.69999999</v>
      </c>
      <c r="Y223" s="7">
        <v>33336012.100000024</v>
      </c>
      <c r="Z223" s="7">
        <v>33336012.100000024</v>
      </c>
      <c r="AA223" s="7">
        <v>133105866.91649997</v>
      </c>
      <c r="AB223" s="7">
        <v>2067518590</v>
      </c>
      <c r="AC223" s="7">
        <v>1971753901.9959993</v>
      </c>
      <c r="AD223" s="17">
        <v>7.9263614119316882E-3</v>
      </c>
      <c r="AE223" s="5">
        <f>SUMIFS(PGĐ!$H:$H,PGĐ!$F:$F,"="&amp;'HQ2'!B223,PGĐ!$I:$I,"="&amp;'HQ2'!A223)</f>
        <v>0</v>
      </c>
      <c r="AF223" s="17"/>
      <c r="AG223" s="7">
        <f>SUMIFS(ĐMCP!$Q:$Q,ĐMCP!$P:$P,"="&amp;'HQ2'!B223,ĐMCP!$O:$O,"="&amp;'HQ2'!A223)</f>
        <v>2067518590.1186314</v>
      </c>
      <c r="AH223" s="7">
        <f t="shared" si="3"/>
        <v>0.11863136291503906</v>
      </c>
    </row>
    <row r="224" spans="1:34" x14ac:dyDescent="0.25">
      <c r="A224" s="123" t="s">
        <v>72</v>
      </c>
      <c r="B224" s="16" t="s">
        <v>271</v>
      </c>
      <c r="C224" s="7">
        <v>676405265</v>
      </c>
      <c r="D224" s="7">
        <v>384089811</v>
      </c>
      <c r="E224" s="7">
        <v>292315454</v>
      </c>
      <c r="F224" s="7">
        <v>582949281.63499999</v>
      </c>
      <c r="G224" s="7">
        <v>335655599.29999995</v>
      </c>
      <c r="H224" s="7">
        <v>49458736.467000008</v>
      </c>
      <c r="I224" s="7">
        <v>533490545.16799998</v>
      </c>
      <c r="AA224" s="7">
        <v>17488478.449049998</v>
      </c>
      <c r="AB224" s="7">
        <v>412916929</v>
      </c>
      <c r="AC224" s="7">
        <v>103085137.71894999</v>
      </c>
      <c r="AD224" s="17"/>
      <c r="AE224" s="5">
        <f>SUMIFS(PGĐ!$H:$H,PGĐ!$F:$F,"="&amp;'HQ2'!B224,PGĐ!$I:$I,"="&amp;'HQ2'!A224)</f>
        <v>0</v>
      </c>
      <c r="AF224" s="17"/>
      <c r="AG224" s="7">
        <f>SUMIFS(ĐMCP!$Q:$Q,ĐMCP!$P:$P,"="&amp;'HQ2'!B224,ĐMCP!$O:$O,"="&amp;'HQ2'!A224)</f>
        <v>412916928.93260467</v>
      </c>
      <c r="AH224" s="7">
        <f t="shared" si="3"/>
        <v>-6.7395329475402832E-2</v>
      </c>
    </row>
    <row r="225" spans="1:34" x14ac:dyDescent="0.25">
      <c r="A225" s="123" t="s">
        <v>72</v>
      </c>
      <c r="B225" s="16" t="s">
        <v>270</v>
      </c>
      <c r="C225" s="7">
        <v>92217217</v>
      </c>
      <c r="D225" s="7">
        <v>92217217</v>
      </c>
      <c r="F225" s="7">
        <v>86223097.895000011</v>
      </c>
      <c r="G225" s="7">
        <v>11758236</v>
      </c>
      <c r="H225" s="7">
        <v>7446486.1895000013</v>
      </c>
      <c r="I225" s="7">
        <v>78776611.705500007</v>
      </c>
      <c r="AA225" s="7">
        <v>2586692.9368500002</v>
      </c>
      <c r="AB225" s="7">
        <v>21273799</v>
      </c>
      <c r="AC225" s="7">
        <v>54916119.76865001</v>
      </c>
      <c r="AD225" s="17"/>
      <c r="AE225" s="5">
        <f>SUMIFS(PGĐ!$H:$H,PGĐ!$F:$F,"="&amp;'HQ2'!B225,PGĐ!$I:$I,"="&amp;'HQ2'!A225)</f>
        <v>0</v>
      </c>
      <c r="AF225" s="17"/>
      <c r="AG225" s="7">
        <f>SUMIFS(ĐMCP!$Q:$Q,ĐMCP!$P:$P,"="&amp;'HQ2'!B225,ĐMCP!$O:$O,"="&amp;'HQ2'!A225)</f>
        <v>21273799.388816889</v>
      </c>
      <c r="AH225" s="7">
        <f t="shared" si="3"/>
        <v>0.38881688937544823</v>
      </c>
    </row>
    <row r="226" spans="1:34" x14ac:dyDescent="0.25">
      <c r="A226" s="123" t="s">
        <v>72</v>
      </c>
      <c r="B226" s="16" t="s">
        <v>269</v>
      </c>
      <c r="AB226" s="7">
        <v>0</v>
      </c>
      <c r="AC226" s="7">
        <v>0</v>
      </c>
      <c r="AD226" s="17"/>
      <c r="AE226" s="5">
        <f>SUMIFS(PGĐ!$H:$H,PGĐ!$F:$F,"="&amp;'HQ2'!B226,PGĐ!$I:$I,"="&amp;'HQ2'!A226)</f>
        <v>0</v>
      </c>
      <c r="AF226" s="17"/>
      <c r="AG226" s="7">
        <f>SUMIFS(ĐMCP!$Q:$Q,ĐMCP!$P:$P,"="&amp;'HQ2'!B226,ĐMCP!$O:$O,"="&amp;'HQ2'!A226)</f>
        <v>0</v>
      </c>
      <c r="AH226" s="7">
        <f t="shared" si="3"/>
        <v>0</v>
      </c>
    </row>
    <row r="227" spans="1:34" x14ac:dyDescent="0.25">
      <c r="A227" s="123" t="s">
        <v>72</v>
      </c>
      <c r="B227" s="16" t="s">
        <v>273</v>
      </c>
      <c r="AB227" s="7">
        <v>0</v>
      </c>
      <c r="AC227" s="7">
        <v>0</v>
      </c>
      <c r="AD227" s="17"/>
      <c r="AE227" s="5">
        <f>SUMIFS(PGĐ!$H:$H,PGĐ!$F:$F,"="&amp;'HQ2'!B227,PGĐ!$I:$I,"="&amp;'HQ2'!A227)</f>
        <v>0</v>
      </c>
      <c r="AF227" s="17"/>
      <c r="AG227" s="7">
        <f>SUMIFS(ĐMCP!$Q:$Q,ĐMCP!$P:$P,"="&amp;'HQ2'!B227,ĐMCP!$O:$O,"="&amp;'HQ2'!A227)</f>
        <v>0</v>
      </c>
      <c r="AH227" s="7">
        <f t="shared" si="3"/>
        <v>0</v>
      </c>
    </row>
    <row r="228" spans="1:34" x14ac:dyDescent="0.25">
      <c r="A228" s="123" t="s">
        <v>72</v>
      </c>
      <c r="B228" s="16" t="s">
        <v>272</v>
      </c>
      <c r="AB228" s="7">
        <v>0</v>
      </c>
      <c r="AC228" s="7">
        <v>0</v>
      </c>
      <c r="AD228" s="17"/>
      <c r="AE228" s="5">
        <f>SUMIFS(PGĐ!$H:$H,PGĐ!$F:$F,"="&amp;'HQ2'!B228,PGĐ!$I:$I,"="&amp;'HQ2'!A228)</f>
        <v>0</v>
      </c>
      <c r="AF228" s="17"/>
      <c r="AG228" s="7">
        <f>SUMIFS(ĐMCP!$Q:$Q,ĐMCP!$P:$P,"="&amp;'HQ2'!B228,ĐMCP!$O:$O,"="&amp;'HQ2'!A228)</f>
        <v>0</v>
      </c>
      <c r="AH228" s="7">
        <f t="shared" si="3"/>
        <v>0</v>
      </c>
    </row>
    <row r="229" spans="1:34" x14ac:dyDescent="0.25">
      <c r="A229" s="123" t="s">
        <v>72</v>
      </c>
      <c r="B229" s="16" t="s">
        <v>23</v>
      </c>
      <c r="C229" s="7">
        <v>-251062934</v>
      </c>
      <c r="E229" s="7">
        <v>-251062934</v>
      </c>
      <c r="F229" s="7">
        <v>-87872026.899999991</v>
      </c>
      <c r="G229" s="7">
        <v>-123614015.69999999</v>
      </c>
      <c r="H229" s="7">
        <v>8935497.1999999993</v>
      </c>
      <c r="I229" s="7">
        <v>-96807524.099999994</v>
      </c>
      <c r="AA229" s="7">
        <v>-2636160.8069999996</v>
      </c>
      <c r="AB229" s="7">
        <v>0</v>
      </c>
      <c r="AC229" s="7">
        <v>-94171363.292999998</v>
      </c>
      <c r="AD229" s="17"/>
      <c r="AE229" s="5">
        <f>SUMIFS(PGĐ!$H:$H,PGĐ!$F:$F,"="&amp;'HQ2'!B229,PGĐ!$I:$I,"="&amp;'HQ2'!A229)</f>
        <v>0</v>
      </c>
      <c r="AF229" s="17"/>
      <c r="AG229" s="7">
        <f>SUMIFS(ĐMCP!$Q:$Q,ĐMCP!$P:$P,"="&amp;'HQ2'!B229,ĐMCP!$O:$O,"="&amp;'HQ2'!A229)</f>
        <v>0</v>
      </c>
      <c r="AH229" s="7">
        <f t="shared" si="3"/>
        <v>0</v>
      </c>
    </row>
    <row r="230" spans="1:34" x14ac:dyDescent="0.25">
      <c r="A230" s="123" t="s">
        <v>73</v>
      </c>
      <c r="B230" s="15" t="s">
        <v>45</v>
      </c>
      <c r="C230" s="132">
        <v>5972485421</v>
      </c>
      <c r="D230" s="132">
        <v>2736032879</v>
      </c>
      <c r="E230" s="132">
        <v>3236452542</v>
      </c>
      <c r="F230" s="132">
        <v>4863760046.8200006</v>
      </c>
      <c r="G230" s="132">
        <v>3871216964.1999998</v>
      </c>
      <c r="H230" s="132">
        <v>201855338.74850017</v>
      </c>
      <c r="I230" s="132">
        <v>4661904708.0715008</v>
      </c>
      <c r="J230" s="132">
        <v>512386500</v>
      </c>
      <c r="K230" s="132"/>
      <c r="L230" s="132">
        <v>265450000</v>
      </c>
      <c r="M230" s="132">
        <v>246936500</v>
      </c>
      <c r="N230" s="132">
        <v>462999200</v>
      </c>
      <c r="O230" s="132">
        <v>4515697200</v>
      </c>
      <c r="P230" s="132">
        <v>1830000000</v>
      </c>
      <c r="Q230" s="132">
        <v>257000000</v>
      </c>
      <c r="R230" s="132">
        <v>2428697200</v>
      </c>
      <c r="S230" s="132">
        <v>2640430760.9200001</v>
      </c>
      <c r="T230" s="132">
        <v>2889697200</v>
      </c>
      <c r="U230" s="132">
        <v>1830000000</v>
      </c>
      <c r="V230" s="132"/>
      <c r="W230" s="132">
        <v>1059697200</v>
      </c>
      <c r="X230" s="132">
        <v>1509069309.45</v>
      </c>
      <c r="Y230" s="132">
        <v>1131361451.47</v>
      </c>
      <c r="Z230" s="132">
        <v>1594360651.47</v>
      </c>
      <c r="AA230" s="132">
        <v>145912801.40460002</v>
      </c>
      <c r="AB230" s="132">
        <v>3107600237</v>
      </c>
      <c r="AC230" s="132">
        <v>-185968981.80309975</v>
      </c>
      <c r="AD230" s="96">
        <v>0.34199769221141851</v>
      </c>
      <c r="AE230" s="5">
        <f>SUMIFS(PGĐ!$H:$H,PGĐ!$F:$F,"="&amp;'HQ2'!B230,PGĐ!$I:$I,"="&amp;'HQ2'!A230)</f>
        <v>0</v>
      </c>
      <c r="AF230" s="96"/>
      <c r="AG230" s="7">
        <f>SUMIFS(ĐMCP!$Q:$Q,ĐMCP!$P:$P,"="&amp;'HQ2'!B230,ĐMCP!$O:$O,"="&amp;'HQ2'!A230)</f>
        <v>0</v>
      </c>
      <c r="AH230" s="7">
        <f t="shared" si="3"/>
        <v>0</v>
      </c>
    </row>
    <row r="231" spans="1:34" x14ac:dyDescent="0.25">
      <c r="A231" s="123" t="s">
        <v>73</v>
      </c>
      <c r="B231" s="16" t="s">
        <v>271</v>
      </c>
      <c r="C231" s="7">
        <v>3967584297</v>
      </c>
      <c r="D231" s="7">
        <v>770872970</v>
      </c>
      <c r="E231" s="7">
        <v>3196711327</v>
      </c>
      <c r="F231" s="7">
        <v>2997007804.3500004</v>
      </c>
      <c r="G231" s="7">
        <v>2367646219.3999996</v>
      </c>
      <c r="H231" s="7">
        <v>125872316.99000016</v>
      </c>
      <c r="I231" s="7">
        <v>2871135487.3600001</v>
      </c>
      <c r="O231" s="7">
        <v>4258697200</v>
      </c>
      <c r="P231" s="7">
        <v>1830000000</v>
      </c>
      <c r="R231" s="7">
        <v>2428697200</v>
      </c>
      <c r="S231" s="7">
        <v>2383430760.9200001</v>
      </c>
      <c r="T231" s="7">
        <v>2889697200</v>
      </c>
      <c r="U231" s="7">
        <v>1830000000</v>
      </c>
      <c r="W231" s="7">
        <v>1059697200</v>
      </c>
      <c r="X231" s="7">
        <v>1509069309.45</v>
      </c>
      <c r="Y231" s="7">
        <v>874361451.47000003</v>
      </c>
      <c r="Z231" s="7">
        <v>874361451.47000003</v>
      </c>
      <c r="AA231" s="7">
        <v>89910234.130500004</v>
      </c>
      <c r="AB231" s="7">
        <v>2417554044</v>
      </c>
      <c r="AC231" s="7">
        <v>-510690242.24049991</v>
      </c>
      <c r="AD231" s="17">
        <v>0.30453507168830007</v>
      </c>
      <c r="AE231" s="5">
        <f>SUMIFS(PGĐ!$H:$H,PGĐ!$F:$F,"="&amp;'HQ2'!B231,PGĐ!$I:$I,"="&amp;'HQ2'!A231)</f>
        <v>112500000</v>
      </c>
      <c r="AF231" s="17"/>
      <c r="AG231" s="7">
        <f>SUMIFS(ĐMCP!$Q:$Q,ĐMCP!$P:$P,"="&amp;'HQ2'!B231,ĐMCP!$O:$O,"="&amp;'HQ2'!A231)</f>
        <v>2417554043.9075398</v>
      </c>
      <c r="AH231" s="7">
        <f t="shared" si="3"/>
        <v>-9.2460155487060547E-2</v>
      </c>
    </row>
    <row r="232" spans="1:34" x14ac:dyDescent="0.25">
      <c r="A232" s="123" t="s">
        <v>73</v>
      </c>
      <c r="B232" s="16" t="s">
        <v>272</v>
      </c>
      <c r="C232" s="7">
        <v>1922049136</v>
      </c>
      <c r="D232" s="7">
        <v>1922049136</v>
      </c>
      <c r="F232" s="7">
        <v>1797115942.1600001</v>
      </c>
      <c r="G232" s="7">
        <v>1367000000</v>
      </c>
      <c r="H232" s="7">
        <v>86023188.432000026</v>
      </c>
      <c r="I232" s="7">
        <v>1711092753.7280002</v>
      </c>
      <c r="J232" s="7">
        <v>512386500</v>
      </c>
      <c r="L232" s="7">
        <v>265450000</v>
      </c>
      <c r="M232" s="7">
        <v>246936500</v>
      </c>
      <c r="N232" s="7">
        <v>462999200</v>
      </c>
      <c r="O232" s="7">
        <v>257000000</v>
      </c>
      <c r="Q232" s="7">
        <v>257000000</v>
      </c>
      <c r="R232" s="7">
        <v>0</v>
      </c>
      <c r="S232" s="7">
        <v>257000000</v>
      </c>
      <c r="Y232" s="7">
        <v>257000000</v>
      </c>
      <c r="Z232" s="7">
        <v>719999200</v>
      </c>
      <c r="AA232" s="7">
        <v>53913478.264799997</v>
      </c>
      <c r="AB232" s="7">
        <v>664917542</v>
      </c>
      <c r="AC232" s="7">
        <v>272262533.46320015</v>
      </c>
      <c r="AD232" s="17">
        <v>0.42078326755304168</v>
      </c>
      <c r="AE232" s="5">
        <f>SUMIFS(PGĐ!$H:$H,PGĐ!$F:$F,"="&amp;'HQ2'!B232,PGĐ!$I:$I,"="&amp;'HQ2'!A232)</f>
        <v>3000000</v>
      </c>
      <c r="AF232" s="17"/>
      <c r="AG232" s="7">
        <f>SUMIFS(ĐMCP!$Q:$Q,ĐMCP!$P:$P,"="&amp;'HQ2'!B232,ĐMCP!$O:$O,"="&amp;'HQ2'!A232)</f>
        <v>664917542.1317575</v>
      </c>
      <c r="AH232" s="7">
        <f t="shared" si="3"/>
        <v>0.13175749778747559</v>
      </c>
    </row>
    <row r="233" spans="1:34" x14ac:dyDescent="0.25">
      <c r="A233" s="123" t="s">
        <v>73</v>
      </c>
      <c r="B233" s="16" t="s">
        <v>268</v>
      </c>
      <c r="C233" s="7">
        <v>82851988</v>
      </c>
      <c r="D233" s="7">
        <v>43110773</v>
      </c>
      <c r="E233" s="7">
        <v>39741215</v>
      </c>
      <c r="F233" s="7">
        <v>69636300.310000002</v>
      </c>
      <c r="G233" s="7">
        <v>136570744.79999998</v>
      </c>
      <c r="H233" s="7">
        <v>-10040166.673499996</v>
      </c>
      <c r="I233" s="7">
        <v>79676466.983500004</v>
      </c>
      <c r="AA233" s="7">
        <v>2089089.0093</v>
      </c>
      <c r="AB233" s="7">
        <v>25128651</v>
      </c>
      <c r="AC233" s="7">
        <v>52458726.974200003</v>
      </c>
      <c r="AD233" s="17"/>
      <c r="AE233" s="5">
        <f>SUMIFS(PGĐ!$H:$H,PGĐ!$F:$F,"="&amp;'HQ2'!B233,PGĐ!$I:$I,"="&amp;'HQ2'!A233)</f>
        <v>0</v>
      </c>
      <c r="AF233" s="17"/>
      <c r="AG233" s="7">
        <f>SUMIFS(ĐMCP!$Q:$Q,ĐMCP!$P:$P,"="&amp;'HQ2'!B233,ĐMCP!$O:$O,"="&amp;'HQ2'!A233)</f>
        <v>25128651.395814605</v>
      </c>
      <c r="AH233" s="7">
        <f t="shared" si="3"/>
        <v>0.39581460505723953</v>
      </c>
    </row>
    <row r="234" spans="1:34" x14ac:dyDescent="0.25">
      <c r="A234" s="123" t="s">
        <v>73</v>
      </c>
      <c r="B234" s="16" t="s">
        <v>270</v>
      </c>
      <c r="AB234" s="7">
        <v>0</v>
      </c>
      <c r="AC234" s="7">
        <v>0</v>
      </c>
      <c r="AD234" s="17"/>
      <c r="AE234" s="5">
        <f>SUMIFS(PGĐ!$H:$H,PGĐ!$F:$F,"="&amp;'HQ2'!B234,PGĐ!$I:$I,"="&amp;'HQ2'!A234)</f>
        <v>0</v>
      </c>
      <c r="AF234" s="17"/>
      <c r="AG234" s="7">
        <f>SUMIFS(ĐMCP!$Q:$Q,ĐMCP!$P:$P,"="&amp;'HQ2'!B234,ĐMCP!$O:$O,"="&amp;'HQ2'!A234)</f>
        <v>0</v>
      </c>
      <c r="AH234" s="7">
        <f t="shared" si="3"/>
        <v>0</v>
      </c>
    </row>
    <row r="235" spans="1:34" x14ac:dyDescent="0.25">
      <c r="A235" s="123" t="s">
        <v>73</v>
      </c>
      <c r="B235" s="16" t="s">
        <v>269</v>
      </c>
      <c r="AB235" s="7">
        <v>0</v>
      </c>
      <c r="AC235" s="7">
        <v>0</v>
      </c>
      <c r="AD235" s="17"/>
      <c r="AE235" s="5">
        <f>SUMIFS(PGĐ!$H:$H,PGĐ!$F:$F,"="&amp;'HQ2'!B235,PGĐ!$I:$I,"="&amp;'HQ2'!A235)</f>
        <v>0</v>
      </c>
      <c r="AF235" s="17"/>
      <c r="AG235" s="7">
        <f>SUMIFS(ĐMCP!$Q:$Q,ĐMCP!$P:$P,"="&amp;'HQ2'!B235,ĐMCP!$O:$O,"="&amp;'HQ2'!A235)</f>
        <v>0</v>
      </c>
      <c r="AH235" s="7">
        <f t="shared" si="3"/>
        <v>0</v>
      </c>
    </row>
    <row r="236" spans="1:34" x14ac:dyDescent="0.25">
      <c r="A236" s="123" t="s">
        <v>73</v>
      </c>
      <c r="B236" s="16" t="s">
        <v>273</v>
      </c>
      <c r="AB236" s="7">
        <v>0</v>
      </c>
      <c r="AC236" s="7">
        <v>0</v>
      </c>
      <c r="AD236" s="17"/>
      <c r="AE236" s="5">
        <f>SUMIFS(PGĐ!$H:$H,PGĐ!$F:$F,"="&amp;'HQ2'!B236,PGĐ!$I:$I,"="&amp;'HQ2'!A236)</f>
        <v>0</v>
      </c>
      <c r="AF236" s="17"/>
      <c r="AG236" s="7">
        <f>SUMIFS(ĐMCP!$Q:$Q,ĐMCP!$P:$P,"="&amp;'HQ2'!B236,ĐMCP!$O:$O,"="&amp;'HQ2'!A236)</f>
        <v>0</v>
      </c>
      <c r="AH236" s="7">
        <f t="shared" si="3"/>
        <v>0</v>
      </c>
    </row>
    <row r="237" spans="1:34" x14ac:dyDescent="0.25">
      <c r="A237" s="123" t="s">
        <v>73</v>
      </c>
      <c r="B237" s="16" t="s">
        <v>23</v>
      </c>
      <c r="AB237" s="7">
        <v>0</v>
      </c>
      <c r="AC237" s="7">
        <v>0</v>
      </c>
      <c r="AD237" s="17"/>
      <c r="AE237" s="5">
        <f>SUMIFS(PGĐ!$H:$H,PGĐ!$F:$F,"="&amp;'HQ2'!B237,PGĐ!$I:$I,"="&amp;'HQ2'!A237)</f>
        <v>0</v>
      </c>
      <c r="AF237" s="17"/>
      <c r="AG237" s="7">
        <f>SUMIFS(ĐMCP!$Q:$Q,ĐMCP!$P:$P,"="&amp;'HQ2'!B237,ĐMCP!$O:$O,"="&amp;'HQ2'!A237)</f>
        <v>0</v>
      </c>
      <c r="AH237" s="7">
        <f t="shared" si="3"/>
        <v>0</v>
      </c>
    </row>
    <row r="238" spans="1:34" x14ac:dyDescent="0.25">
      <c r="A238" s="123" t="s">
        <v>74</v>
      </c>
      <c r="B238" s="15" t="s">
        <v>45</v>
      </c>
      <c r="C238" s="132">
        <v>6580134630</v>
      </c>
      <c r="D238" s="132">
        <v>691028880</v>
      </c>
      <c r="E238" s="132">
        <v>5889105750</v>
      </c>
      <c r="F238" s="132">
        <v>4769181266.1949997</v>
      </c>
      <c r="G238" s="132">
        <v>3586765456</v>
      </c>
      <c r="H238" s="132">
        <v>362846346.25349987</v>
      </c>
      <c r="I238" s="132">
        <v>4406334919.9414997</v>
      </c>
      <c r="J238" s="132">
        <v>1357921778</v>
      </c>
      <c r="K238" s="132">
        <v>1357921778</v>
      </c>
      <c r="L238" s="132"/>
      <c r="M238" s="132">
        <v>0</v>
      </c>
      <c r="N238" s="132">
        <v>1308602672</v>
      </c>
      <c r="O238" s="132">
        <v>3552400000</v>
      </c>
      <c r="P238" s="132">
        <v>3440000000</v>
      </c>
      <c r="Q238" s="132">
        <v>1212400000</v>
      </c>
      <c r="R238" s="132">
        <v>-1100000000</v>
      </c>
      <c r="S238" s="132">
        <v>1814144398.7600002</v>
      </c>
      <c r="T238" s="132">
        <v>5552400000</v>
      </c>
      <c r="U238" s="132">
        <v>5440000000</v>
      </c>
      <c r="V238" s="132">
        <v>3212400000</v>
      </c>
      <c r="W238" s="132">
        <v>-3100000000</v>
      </c>
      <c r="X238" s="132">
        <v>4469398257.8099995</v>
      </c>
      <c r="Y238" s="132">
        <v>-2655253859.0499992</v>
      </c>
      <c r="Z238" s="132">
        <v>-1346651187.0499992</v>
      </c>
      <c r="AA238" s="132">
        <v>143075437.98584998</v>
      </c>
      <c r="AB238" s="132">
        <v>706161462</v>
      </c>
      <c r="AC238" s="132">
        <v>4903749207.0056486</v>
      </c>
      <c r="AD238" s="96">
        <v>-0.30561707439793928</v>
      </c>
      <c r="AE238" s="5">
        <f>SUMIFS(PGĐ!$H:$H,PGĐ!$F:$F,"="&amp;'HQ2'!B238,PGĐ!$I:$I,"="&amp;'HQ2'!A238)</f>
        <v>0</v>
      </c>
      <c r="AF238" s="96"/>
      <c r="AG238" s="7">
        <f>SUMIFS(ĐMCP!$Q:$Q,ĐMCP!$P:$P,"="&amp;'HQ2'!B238,ĐMCP!$O:$O,"="&amp;'HQ2'!A238)</f>
        <v>0</v>
      </c>
      <c r="AH238" s="7">
        <f t="shared" si="3"/>
        <v>0</v>
      </c>
    </row>
    <row r="239" spans="1:34" x14ac:dyDescent="0.25">
      <c r="A239" s="123" t="s">
        <v>74</v>
      </c>
      <c r="B239" s="16" t="s">
        <v>271</v>
      </c>
      <c r="C239" s="7">
        <v>5532198704</v>
      </c>
      <c r="D239" s="7">
        <v>31725977</v>
      </c>
      <c r="E239" s="7">
        <v>5500472727</v>
      </c>
      <c r="F239" s="7">
        <v>3881580996.2449994</v>
      </c>
      <c r="G239" s="7">
        <v>127611593.89999999</v>
      </c>
      <c r="H239" s="7">
        <v>750793880.46899986</v>
      </c>
      <c r="I239" s="7">
        <v>3130787115.7759995</v>
      </c>
      <c r="AA239" s="7">
        <v>116447429.88734998</v>
      </c>
      <c r="AB239" s="7">
        <v>17743901</v>
      </c>
      <c r="AC239" s="7">
        <v>2996595784.8886495</v>
      </c>
      <c r="AD239" s="17"/>
      <c r="AE239" s="5">
        <f>SUMIFS(PGĐ!$H:$H,PGĐ!$F:$F,"="&amp;'HQ2'!B239,PGĐ!$I:$I,"="&amp;'HQ2'!A239)</f>
        <v>0</v>
      </c>
      <c r="AF239" s="17"/>
      <c r="AG239" s="7">
        <f>SUMIFS(ĐMCP!$Q:$Q,ĐMCP!$P:$P,"="&amp;'HQ2'!B239,ĐMCP!$O:$O,"="&amp;'HQ2'!A239)</f>
        <v>17743900.653752189</v>
      </c>
      <c r="AH239" s="7">
        <f t="shared" si="3"/>
        <v>-0.34624781087040901</v>
      </c>
    </row>
    <row r="240" spans="1:34" x14ac:dyDescent="0.25">
      <c r="A240" s="123" t="s">
        <v>74</v>
      </c>
      <c r="B240" s="16" t="s">
        <v>268</v>
      </c>
      <c r="C240" s="7">
        <v>775522334</v>
      </c>
      <c r="D240" s="7">
        <v>608922947</v>
      </c>
      <c r="E240" s="7">
        <v>166599387</v>
      </c>
      <c r="F240" s="7">
        <v>707274829.49000001</v>
      </c>
      <c r="G240" s="7">
        <v>3296006080.5</v>
      </c>
      <c r="H240" s="7">
        <v>-388309687.65150005</v>
      </c>
      <c r="I240" s="7">
        <v>1095584517.1415</v>
      </c>
      <c r="J240" s="7">
        <v>1357921778</v>
      </c>
      <c r="K240" s="7">
        <v>1357921778</v>
      </c>
      <c r="M240" s="7">
        <v>0</v>
      </c>
      <c r="N240" s="7">
        <v>1308602672</v>
      </c>
      <c r="O240" s="7">
        <v>3552400000</v>
      </c>
      <c r="P240" s="7">
        <v>3440000000</v>
      </c>
      <c r="Q240" s="7">
        <v>1212400000</v>
      </c>
      <c r="R240" s="7">
        <v>-1100000000</v>
      </c>
      <c r="S240" s="7">
        <v>1814144398.7600002</v>
      </c>
      <c r="T240" s="7">
        <v>5552400000</v>
      </c>
      <c r="U240" s="7">
        <v>5440000000</v>
      </c>
      <c r="V240" s="7">
        <v>3212400000</v>
      </c>
      <c r="W240" s="7">
        <v>-3100000000</v>
      </c>
      <c r="X240" s="7">
        <v>4469398257.8099995</v>
      </c>
      <c r="Y240" s="7">
        <v>-2655253859.0499992</v>
      </c>
      <c r="Z240" s="7">
        <v>-1346651187.0499992</v>
      </c>
      <c r="AA240" s="7">
        <v>21218244.8847</v>
      </c>
      <c r="AB240" s="7">
        <v>586638880</v>
      </c>
      <c r="AC240" s="7">
        <v>1834378579.3067992</v>
      </c>
      <c r="AD240" s="17">
        <v>-1.229162301931356</v>
      </c>
      <c r="AE240" s="5">
        <f>SUMIFS(PGĐ!$H:$H,PGĐ!$F:$F,"="&amp;'HQ2'!B240,PGĐ!$I:$I,"="&amp;'HQ2'!A240)</f>
        <v>72801685</v>
      </c>
      <c r="AF240" s="17"/>
      <c r="AG240" s="7">
        <f>SUMIFS(ĐMCP!$Q:$Q,ĐMCP!$P:$P,"="&amp;'HQ2'!B240,ĐMCP!$O:$O,"="&amp;'HQ2'!A240)</f>
        <v>586638880.03402305</v>
      </c>
      <c r="AH240" s="7">
        <f t="shared" si="3"/>
        <v>3.4023046493530273E-2</v>
      </c>
    </row>
    <row r="241" spans="1:34" x14ac:dyDescent="0.25">
      <c r="A241" s="123" t="s">
        <v>74</v>
      </c>
      <c r="B241" s="16" t="s">
        <v>269</v>
      </c>
      <c r="C241" s="7">
        <v>222033636</v>
      </c>
      <c r="E241" s="7">
        <v>222033636</v>
      </c>
      <c r="F241" s="7">
        <v>133220181.59999999</v>
      </c>
      <c r="G241" s="7">
        <v>130520181.59999999</v>
      </c>
      <c r="H241" s="7">
        <v>270000</v>
      </c>
      <c r="I241" s="7">
        <v>132950181.59999999</v>
      </c>
      <c r="AA241" s="7">
        <v>3996605.4479999999</v>
      </c>
      <c r="AB241" s="7">
        <v>67593954</v>
      </c>
      <c r="AC241" s="7">
        <v>61359622.151999995</v>
      </c>
      <c r="AD241" s="17"/>
      <c r="AE241" s="5">
        <f>SUMIFS(PGĐ!$H:$H,PGĐ!$F:$F,"="&amp;'HQ2'!B241,PGĐ!$I:$I,"="&amp;'HQ2'!A241)</f>
        <v>0</v>
      </c>
      <c r="AF241" s="17"/>
      <c r="AG241" s="7">
        <f>SUMIFS(ĐMCP!$Q:$Q,ĐMCP!$P:$P,"="&amp;'HQ2'!B241,ĐMCP!$O:$O,"="&amp;'HQ2'!A241)</f>
        <v>67593953.659514815</v>
      </c>
      <c r="AH241" s="7">
        <f t="shared" si="3"/>
        <v>-0.34048518538475037</v>
      </c>
    </row>
    <row r="242" spans="1:34" x14ac:dyDescent="0.25">
      <c r="A242" s="123" t="s">
        <v>74</v>
      </c>
      <c r="B242" s="16" t="s">
        <v>270</v>
      </c>
      <c r="C242" s="7">
        <v>29982656</v>
      </c>
      <c r="D242" s="7">
        <v>29982656</v>
      </c>
      <c r="F242" s="7">
        <v>28033783.360000003</v>
      </c>
      <c r="H242" s="7">
        <v>2803378.3360000006</v>
      </c>
      <c r="I242" s="7">
        <v>25230405.024000004</v>
      </c>
      <c r="AA242" s="7">
        <v>841013.50080000004</v>
      </c>
      <c r="AB242" s="7">
        <v>27247572</v>
      </c>
      <c r="AC242" s="7">
        <v>-2858180.4767999961</v>
      </c>
      <c r="AD242" s="17"/>
      <c r="AE242" s="5">
        <f>SUMIFS(PGĐ!$H:$H,PGĐ!$F:$F,"="&amp;'HQ2'!B242,PGĐ!$I:$I,"="&amp;'HQ2'!A242)</f>
        <v>0</v>
      </c>
      <c r="AF242" s="17"/>
      <c r="AG242" s="7">
        <f>SUMIFS(ĐMCP!$Q:$Q,ĐMCP!$P:$P,"="&amp;'HQ2'!B242,ĐMCP!$O:$O,"="&amp;'HQ2'!A242)</f>
        <v>27247572.379705615</v>
      </c>
      <c r="AH242" s="7">
        <f t="shared" si="3"/>
        <v>0.37970561534166336</v>
      </c>
    </row>
    <row r="243" spans="1:34" x14ac:dyDescent="0.25">
      <c r="A243" s="123" t="s">
        <v>74</v>
      </c>
      <c r="B243" s="16" t="s">
        <v>272</v>
      </c>
      <c r="C243" s="7">
        <v>20397300</v>
      </c>
      <c r="D243" s="7">
        <v>20397300</v>
      </c>
      <c r="F243" s="7">
        <v>19071475.5</v>
      </c>
      <c r="G243" s="7">
        <v>32627600</v>
      </c>
      <c r="H243" s="7">
        <v>-2711224.9000000004</v>
      </c>
      <c r="I243" s="7">
        <v>21782700.399999999</v>
      </c>
      <c r="AA243" s="7">
        <v>572144.26500000001</v>
      </c>
      <c r="AB243" s="7">
        <v>6937155</v>
      </c>
      <c r="AC243" s="7">
        <v>14273401.134999998</v>
      </c>
      <c r="AD243" s="17"/>
      <c r="AE243" s="5">
        <f>SUMIFS(PGĐ!$H:$H,PGĐ!$F:$F,"="&amp;'HQ2'!B243,PGĐ!$I:$I,"="&amp;'HQ2'!A243)</f>
        <v>0</v>
      </c>
      <c r="AF243" s="17"/>
      <c r="AG243" s="7">
        <f>SUMIFS(ĐMCP!$Q:$Q,ĐMCP!$P:$P,"="&amp;'HQ2'!B243,ĐMCP!$O:$O,"="&amp;'HQ2'!A243)</f>
        <v>6937154.6810484147</v>
      </c>
      <c r="AH243" s="7">
        <f t="shared" si="3"/>
        <v>-0.31895158533006907</v>
      </c>
    </row>
    <row r="244" spans="1:34" x14ac:dyDescent="0.25">
      <c r="A244" s="123" t="s">
        <v>74</v>
      </c>
      <c r="B244" s="16" t="s">
        <v>273</v>
      </c>
      <c r="AB244" s="7">
        <v>0</v>
      </c>
      <c r="AC244" s="7">
        <v>0</v>
      </c>
      <c r="AD244" s="17"/>
      <c r="AE244" s="5">
        <f>SUMIFS(PGĐ!$H:$H,PGĐ!$F:$F,"="&amp;'HQ2'!B244,PGĐ!$I:$I,"="&amp;'HQ2'!A244)</f>
        <v>0</v>
      </c>
      <c r="AF244" s="17"/>
      <c r="AG244" s="7">
        <f>SUMIFS(ĐMCP!$Q:$Q,ĐMCP!$P:$P,"="&amp;'HQ2'!B244,ĐMCP!$O:$O,"="&amp;'HQ2'!A244)</f>
        <v>0</v>
      </c>
      <c r="AH244" s="7">
        <f t="shared" si="3"/>
        <v>0</v>
      </c>
    </row>
    <row r="245" spans="1:34" x14ac:dyDescent="0.25">
      <c r="A245" s="123" t="s">
        <v>74</v>
      </c>
      <c r="B245" s="16" t="s">
        <v>23</v>
      </c>
      <c r="AB245" s="7">
        <v>0</v>
      </c>
      <c r="AC245" s="7">
        <v>0</v>
      </c>
      <c r="AD245" s="17"/>
      <c r="AE245" s="5">
        <f>SUMIFS(PGĐ!$H:$H,PGĐ!$F:$F,"="&amp;'HQ2'!B245,PGĐ!$I:$I,"="&amp;'HQ2'!A245)</f>
        <v>0</v>
      </c>
      <c r="AF245" s="17"/>
      <c r="AG245" s="7">
        <f>SUMIFS(ĐMCP!$Q:$Q,ĐMCP!$P:$P,"="&amp;'HQ2'!B245,ĐMCP!$O:$O,"="&amp;'HQ2'!A245)</f>
        <v>0</v>
      </c>
      <c r="AH245" s="7">
        <f t="shared" si="3"/>
        <v>0</v>
      </c>
    </row>
    <row r="246" spans="1:34" x14ac:dyDescent="0.25">
      <c r="A246" s="123" t="s">
        <v>75</v>
      </c>
      <c r="B246" s="15" t="s">
        <v>45</v>
      </c>
      <c r="C246" s="132">
        <v>6781920300</v>
      </c>
      <c r="D246" s="132">
        <v>883438619</v>
      </c>
      <c r="E246" s="132">
        <v>5898481681</v>
      </c>
      <c r="F246" s="132">
        <v>4462099832.0999994</v>
      </c>
      <c r="G246" s="132">
        <v>2735026995.9499998</v>
      </c>
      <c r="H246" s="132">
        <v>270096391.06499994</v>
      </c>
      <c r="I246" s="132">
        <v>4192003441.0349994</v>
      </c>
      <c r="J246" s="132"/>
      <c r="K246" s="132"/>
      <c r="L246" s="132"/>
      <c r="M246" s="132"/>
      <c r="N246" s="132"/>
      <c r="O246" s="132">
        <v>4067339375</v>
      </c>
      <c r="P246" s="132">
        <v>1830000000</v>
      </c>
      <c r="Q246" s="132">
        <v>761784829</v>
      </c>
      <c r="R246" s="132">
        <v>1475554546</v>
      </c>
      <c r="S246" s="132">
        <v>1891620221.4200001</v>
      </c>
      <c r="T246" s="132">
        <v>3330554546</v>
      </c>
      <c r="U246" s="132">
        <v>1830000000</v>
      </c>
      <c r="V246" s="132">
        <v>25000000</v>
      </c>
      <c r="W246" s="132">
        <v>1475554546</v>
      </c>
      <c r="X246" s="132">
        <v>1080849575.8699999</v>
      </c>
      <c r="Y246" s="132">
        <v>810770645.55000019</v>
      </c>
      <c r="Z246" s="132">
        <v>810770645.55000019</v>
      </c>
      <c r="AA246" s="132">
        <v>133862994.96299998</v>
      </c>
      <c r="AB246" s="132">
        <v>1702388312</v>
      </c>
      <c r="AC246" s="132">
        <v>1544981488.5219998</v>
      </c>
      <c r="AD246" s="96">
        <v>0.19340886928037018</v>
      </c>
      <c r="AE246" s="5">
        <f>SUMIFS(PGĐ!$H:$H,PGĐ!$F:$F,"="&amp;'HQ2'!B246,PGĐ!$I:$I,"="&amp;'HQ2'!A246)</f>
        <v>0</v>
      </c>
      <c r="AF246" s="96"/>
      <c r="AG246" s="7">
        <f>SUMIFS(ĐMCP!$Q:$Q,ĐMCP!$P:$P,"="&amp;'HQ2'!B246,ĐMCP!$O:$O,"="&amp;'HQ2'!A246)</f>
        <v>0</v>
      </c>
      <c r="AH246" s="7">
        <f t="shared" si="3"/>
        <v>0</v>
      </c>
    </row>
    <row r="247" spans="1:34" x14ac:dyDescent="0.25">
      <c r="A247" s="123" t="s">
        <v>75</v>
      </c>
      <c r="B247" s="16" t="s">
        <v>268</v>
      </c>
      <c r="C247" s="7">
        <v>3852057501</v>
      </c>
      <c r="D247" s="7">
        <v>373390301</v>
      </c>
      <c r="E247" s="7">
        <v>3478667200</v>
      </c>
      <c r="F247" s="7">
        <v>2797255631.9699998</v>
      </c>
      <c r="G247" s="7">
        <v>1340918021.8</v>
      </c>
      <c r="H247" s="7">
        <v>218450641.52549997</v>
      </c>
      <c r="I247" s="7">
        <v>2578804990.4445</v>
      </c>
      <c r="O247" s="7">
        <v>1850000000</v>
      </c>
      <c r="P247" s="7">
        <v>660000000</v>
      </c>
      <c r="R247" s="7">
        <v>1190000000</v>
      </c>
      <c r="S247" s="7">
        <v>843541914.66999996</v>
      </c>
      <c r="T247" s="7">
        <v>1850000000</v>
      </c>
      <c r="U247" s="7">
        <v>660000000</v>
      </c>
      <c r="W247" s="7">
        <v>1190000000</v>
      </c>
      <c r="X247" s="7">
        <v>806871207.25</v>
      </c>
      <c r="Y247" s="7">
        <v>36670707.419999957</v>
      </c>
      <c r="Z247" s="7">
        <v>36670707.419999957</v>
      </c>
      <c r="AA247" s="7">
        <v>83917668.959099993</v>
      </c>
      <c r="AB247" s="7">
        <v>1018993237</v>
      </c>
      <c r="AC247" s="7">
        <v>1439223377.0653999</v>
      </c>
      <c r="AD247" s="17">
        <v>1.4220038954430265E-2</v>
      </c>
      <c r="AE247" s="5">
        <f>SUMIFS(PGĐ!$H:$H,PGĐ!$F:$F,"="&amp;'HQ2'!B247,PGĐ!$I:$I,"="&amp;'HQ2'!A247)</f>
        <v>0</v>
      </c>
      <c r="AF247" s="17"/>
      <c r="AG247" s="7">
        <f>SUMIFS(ĐMCP!$Q:$Q,ĐMCP!$P:$P,"="&amp;'HQ2'!B247,ĐMCP!$O:$O,"="&amp;'HQ2'!A247)</f>
        <v>1018993237.063529</v>
      </c>
      <c r="AH247" s="7">
        <f t="shared" si="3"/>
        <v>6.3529014587402344E-2</v>
      </c>
    </row>
    <row r="248" spans="1:34" x14ac:dyDescent="0.25">
      <c r="A248" s="123" t="s">
        <v>75</v>
      </c>
      <c r="B248" s="16" t="s">
        <v>271</v>
      </c>
      <c r="C248" s="7">
        <v>776108773</v>
      </c>
      <c r="D248" s="7">
        <v>222721819</v>
      </c>
      <c r="E248" s="7">
        <v>553386954</v>
      </c>
      <c r="F248" s="7">
        <v>606751859.51499999</v>
      </c>
      <c r="G248" s="7">
        <v>363147273.29999995</v>
      </c>
      <c r="H248" s="7">
        <v>48720917.243000008</v>
      </c>
      <c r="I248" s="7">
        <v>558030942.27199996</v>
      </c>
      <c r="O248" s="7">
        <v>1455554546</v>
      </c>
      <c r="P248" s="7">
        <v>1170000000</v>
      </c>
      <c r="R248" s="7">
        <v>285554546</v>
      </c>
      <c r="S248" s="7">
        <v>286293477.75</v>
      </c>
      <c r="T248" s="7">
        <v>1455554546</v>
      </c>
      <c r="U248" s="7">
        <v>1170000000</v>
      </c>
      <c r="W248" s="7">
        <v>285554546</v>
      </c>
      <c r="X248" s="7">
        <v>248978368.62</v>
      </c>
      <c r="Y248" s="7">
        <v>37315109.129999995</v>
      </c>
      <c r="Z248" s="7">
        <v>37315109.129999995</v>
      </c>
      <c r="AA248" s="7">
        <v>18202555.78545</v>
      </c>
      <c r="AB248" s="7">
        <v>210355263</v>
      </c>
      <c r="AC248" s="7">
        <v>292158014.35654998</v>
      </c>
      <c r="AD248" s="17">
        <v>6.6869247389890363E-2</v>
      </c>
      <c r="AE248" s="5">
        <f>SUMIFS(PGĐ!$H:$H,PGĐ!$F:$F,"="&amp;'HQ2'!B248,PGĐ!$I:$I,"="&amp;'HQ2'!A248)</f>
        <v>0</v>
      </c>
      <c r="AF248" s="17"/>
      <c r="AG248" s="7">
        <f>SUMIFS(ĐMCP!$Q:$Q,ĐMCP!$P:$P,"="&amp;'HQ2'!B248,ĐMCP!$O:$O,"="&amp;'HQ2'!A248)</f>
        <v>210355262.57221615</v>
      </c>
      <c r="AH248" s="7">
        <f t="shared" si="3"/>
        <v>-0.42778384685516357</v>
      </c>
    </row>
    <row r="249" spans="1:34" x14ac:dyDescent="0.25">
      <c r="A249" s="123" t="s">
        <v>75</v>
      </c>
      <c r="B249" s="16" t="s">
        <v>23</v>
      </c>
      <c r="C249" s="7">
        <v>1415561479</v>
      </c>
      <c r="E249" s="7">
        <v>1415561479</v>
      </c>
      <c r="F249" s="7">
        <v>495446517.64999998</v>
      </c>
      <c r="G249" s="7">
        <v>475667496.84999996</v>
      </c>
      <c r="H249" s="7">
        <v>4944755.200000003</v>
      </c>
      <c r="I249" s="7">
        <v>490501762.44999999</v>
      </c>
      <c r="AA249" s="7">
        <v>14863395.529499998</v>
      </c>
      <c r="AB249" s="7">
        <v>245980440</v>
      </c>
      <c r="AC249" s="7">
        <v>229657926.92049998</v>
      </c>
      <c r="AD249" s="17"/>
      <c r="AE249" s="5">
        <f>SUMIFS(PGĐ!$H:$H,PGĐ!$F:$F,"="&amp;'HQ2'!B249,PGĐ!$I:$I,"="&amp;'HQ2'!A249)</f>
        <v>0</v>
      </c>
      <c r="AF249" s="17"/>
      <c r="AG249" s="7">
        <f>SUMIFS(ĐMCP!$Q:$Q,ĐMCP!$P:$P,"="&amp;'HQ2'!B249,ĐMCP!$O:$O,"="&amp;'HQ2'!A249)</f>
        <v>245980440.33755228</v>
      </c>
      <c r="AH249" s="7">
        <f t="shared" si="3"/>
        <v>0.3375522792339325</v>
      </c>
    </row>
    <row r="250" spans="1:34" x14ac:dyDescent="0.25">
      <c r="A250" s="123" t="s">
        <v>75</v>
      </c>
      <c r="B250" s="16" t="s">
        <v>270</v>
      </c>
      <c r="C250" s="7">
        <v>404706087</v>
      </c>
      <c r="D250" s="7">
        <v>287326499</v>
      </c>
      <c r="E250" s="7">
        <v>117379588</v>
      </c>
      <c r="F250" s="7">
        <v>362553946.96500003</v>
      </c>
      <c r="G250" s="7">
        <v>329743356</v>
      </c>
      <c r="H250" s="7">
        <v>3281059.0965000037</v>
      </c>
      <c r="I250" s="7">
        <v>359272887.86850005</v>
      </c>
      <c r="O250" s="7">
        <v>461784829</v>
      </c>
      <c r="Q250" s="7">
        <v>461784829</v>
      </c>
      <c r="R250" s="7">
        <v>0</v>
      </c>
      <c r="S250" s="7">
        <v>461784829</v>
      </c>
      <c r="T250" s="7">
        <v>25000000</v>
      </c>
      <c r="V250" s="7">
        <v>25000000</v>
      </c>
      <c r="W250" s="7">
        <v>0</v>
      </c>
      <c r="X250" s="7">
        <v>25000000</v>
      </c>
      <c r="Y250" s="7">
        <v>436784829</v>
      </c>
      <c r="Z250" s="7">
        <v>436784829</v>
      </c>
      <c r="AA250" s="7">
        <v>10876618.408950001</v>
      </c>
      <c r="AB250" s="7">
        <v>136073300</v>
      </c>
      <c r="AC250" s="7">
        <v>-224461859.54044995</v>
      </c>
      <c r="AD250" s="17">
        <v>1.2157467032688274</v>
      </c>
      <c r="AE250" s="5">
        <f>SUMIFS(PGĐ!$H:$H,PGĐ!$F:$F,"="&amp;'HQ2'!B250,PGĐ!$I:$I,"="&amp;'HQ2'!A250)</f>
        <v>27399060</v>
      </c>
      <c r="AF250" s="17"/>
      <c r="AG250" s="7">
        <f>SUMIFS(ĐMCP!$Q:$Q,ĐMCP!$P:$P,"="&amp;'HQ2'!B250,ĐMCP!$O:$O,"="&amp;'HQ2'!A250)</f>
        <v>136073300.21006304</v>
      </c>
      <c r="AH250" s="7">
        <f t="shared" si="3"/>
        <v>0.21006304025650024</v>
      </c>
    </row>
    <row r="251" spans="1:34" x14ac:dyDescent="0.25">
      <c r="A251" s="123" t="s">
        <v>75</v>
      </c>
      <c r="B251" s="16" t="s">
        <v>269</v>
      </c>
      <c r="C251" s="7">
        <v>333486460</v>
      </c>
      <c r="E251" s="7">
        <v>333486460</v>
      </c>
      <c r="F251" s="7">
        <v>200091876</v>
      </c>
      <c r="G251" s="7">
        <v>198000000</v>
      </c>
      <c r="H251" s="7">
        <v>209187.6</v>
      </c>
      <c r="I251" s="7">
        <v>199882688.40000001</v>
      </c>
      <c r="AA251" s="7">
        <v>6002756.2799999993</v>
      </c>
      <c r="AB251" s="7">
        <v>90986072</v>
      </c>
      <c r="AC251" s="7">
        <v>102893860.12</v>
      </c>
      <c r="AD251" s="17"/>
      <c r="AE251" s="5">
        <f>SUMIFS(PGĐ!$H:$H,PGĐ!$F:$F,"="&amp;'HQ2'!B251,PGĐ!$I:$I,"="&amp;'HQ2'!A251)</f>
        <v>0</v>
      </c>
      <c r="AF251" s="17"/>
      <c r="AG251" s="7">
        <f>SUMIFS(ĐMCP!$Q:$Q,ĐMCP!$P:$P,"="&amp;'HQ2'!B251,ĐMCP!$O:$O,"="&amp;'HQ2'!A251)</f>
        <v>90986072.19424668</v>
      </c>
      <c r="AH251" s="7">
        <f t="shared" si="3"/>
        <v>0.19424667954444885</v>
      </c>
    </row>
    <row r="252" spans="1:34" x14ac:dyDescent="0.25">
      <c r="A252" s="123" t="s">
        <v>75</v>
      </c>
      <c r="B252" s="16" t="s">
        <v>273</v>
      </c>
      <c r="AB252" s="7">
        <v>0</v>
      </c>
      <c r="AC252" s="7">
        <v>0</v>
      </c>
      <c r="AD252" s="17"/>
      <c r="AE252" s="5">
        <f>SUMIFS(PGĐ!$H:$H,PGĐ!$F:$F,"="&amp;'HQ2'!B252,PGĐ!$I:$I,"="&amp;'HQ2'!A252)</f>
        <v>0</v>
      </c>
      <c r="AF252" s="17"/>
      <c r="AG252" s="7">
        <f>SUMIFS(ĐMCP!$Q:$Q,ĐMCP!$P:$P,"="&amp;'HQ2'!B252,ĐMCP!$O:$O,"="&amp;'HQ2'!A252)</f>
        <v>0</v>
      </c>
      <c r="AH252" s="7">
        <f t="shared" si="3"/>
        <v>0</v>
      </c>
    </row>
    <row r="253" spans="1:34" x14ac:dyDescent="0.25">
      <c r="A253" s="123" t="s">
        <v>75</v>
      </c>
      <c r="B253" s="16" t="s">
        <v>272</v>
      </c>
      <c r="G253" s="7">
        <v>27550848</v>
      </c>
      <c r="H253" s="7">
        <v>-5510169.6000000006</v>
      </c>
      <c r="I253" s="7">
        <v>5510169.6000000006</v>
      </c>
      <c r="O253" s="7">
        <v>300000000</v>
      </c>
      <c r="Q253" s="7">
        <v>300000000</v>
      </c>
      <c r="R253" s="7">
        <v>0</v>
      </c>
      <c r="S253" s="7">
        <v>300000000</v>
      </c>
      <c r="Y253" s="7">
        <v>300000000</v>
      </c>
      <c r="Z253" s="7">
        <v>300000000</v>
      </c>
      <c r="AB253" s="7">
        <v>0</v>
      </c>
      <c r="AC253" s="7">
        <v>-294489830.39999998</v>
      </c>
      <c r="AD253" s="17">
        <v>54.444785147811054</v>
      </c>
      <c r="AE253" s="5">
        <f>SUMIFS(PGĐ!$H:$H,PGĐ!$F:$F,"="&amp;'HQ2'!B253,PGĐ!$I:$I,"="&amp;'HQ2'!A253)</f>
        <v>0</v>
      </c>
      <c r="AF253" s="17"/>
      <c r="AG253" s="7">
        <f>SUMIFS(ĐMCP!$Q:$Q,ĐMCP!$P:$P,"="&amp;'HQ2'!B253,ĐMCP!$O:$O,"="&amp;'HQ2'!A253)</f>
        <v>0</v>
      </c>
      <c r="AH253" s="7">
        <f t="shared" si="3"/>
        <v>0</v>
      </c>
    </row>
    <row r="254" spans="1:34" x14ac:dyDescent="0.25">
      <c r="A254" s="123" t="s">
        <v>76</v>
      </c>
      <c r="B254" s="15" t="s">
        <v>45</v>
      </c>
      <c r="C254" s="132">
        <v>6457770988</v>
      </c>
      <c r="D254" s="132">
        <v>265157438</v>
      </c>
      <c r="E254" s="132">
        <v>6192613550</v>
      </c>
      <c r="F254" s="132">
        <v>3973574106.7000003</v>
      </c>
      <c r="G254" s="132">
        <v>5252930886</v>
      </c>
      <c r="H254" s="132">
        <v>-363933218.85150003</v>
      </c>
      <c r="I254" s="132">
        <v>4337507325.5515003</v>
      </c>
      <c r="J254" s="132"/>
      <c r="K254" s="132"/>
      <c r="L254" s="132"/>
      <c r="M254" s="132"/>
      <c r="N254" s="132"/>
      <c r="O254" s="132">
        <v>814966472</v>
      </c>
      <c r="P254" s="132"/>
      <c r="Q254" s="132"/>
      <c r="R254" s="132">
        <v>814966472</v>
      </c>
      <c r="S254" s="132">
        <v>435183236</v>
      </c>
      <c r="T254" s="132">
        <v>10000000</v>
      </c>
      <c r="U254" s="132"/>
      <c r="V254" s="132"/>
      <c r="W254" s="132">
        <v>10000000</v>
      </c>
      <c r="X254" s="132">
        <v>6000000</v>
      </c>
      <c r="Y254" s="132">
        <v>429183236</v>
      </c>
      <c r="Z254" s="132">
        <v>429183236</v>
      </c>
      <c r="AA254" s="132">
        <v>119207223.20100001</v>
      </c>
      <c r="AB254" s="132">
        <v>1369415509</v>
      </c>
      <c r="AC254" s="132">
        <v>2419701357.3505001</v>
      </c>
      <c r="AD254" s="96">
        <v>9.8946976636040768E-2</v>
      </c>
      <c r="AE254" s="5">
        <f>SUMIFS(PGĐ!$H:$H,PGĐ!$F:$F,"="&amp;'HQ2'!B254,PGĐ!$I:$I,"="&amp;'HQ2'!A254)</f>
        <v>0</v>
      </c>
      <c r="AF254" s="96"/>
      <c r="AG254" s="7">
        <f>SUMIFS(ĐMCP!$Q:$Q,ĐMCP!$P:$P,"="&amp;'HQ2'!B254,ĐMCP!$O:$O,"="&amp;'HQ2'!A254)</f>
        <v>0</v>
      </c>
      <c r="AH254" s="7">
        <f t="shared" si="3"/>
        <v>0</v>
      </c>
    </row>
    <row r="255" spans="1:34" x14ac:dyDescent="0.25">
      <c r="A255" s="123" t="s">
        <v>76</v>
      </c>
      <c r="B255" s="16" t="s">
        <v>270</v>
      </c>
      <c r="C255" s="7">
        <v>2252292953</v>
      </c>
      <c r="D255" s="7">
        <v>88771402</v>
      </c>
      <c r="E255" s="7">
        <v>2163521551</v>
      </c>
      <c r="F255" s="7">
        <v>1813818501.6700001</v>
      </c>
      <c r="G255" s="7">
        <v>742794349.60000002</v>
      </c>
      <c r="H255" s="7">
        <v>107102415.20700002</v>
      </c>
      <c r="I255" s="7">
        <v>1706716086.4630001</v>
      </c>
      <c r="AA255" s="7">
        <v>54414555.050099999</v>
      </c>
      <c r="AB255" s="7">
        <v>385184198</v>
      </c>
      <c r="AC255" s="7">
        <v>1267117333.4129</v>
      </c>
      <c r="AD255" s="17"/>
      <c r="AE255" s="5">
        <f>SUMIFS(PGĐ!$H:$H,PGĐ!$F:$F,"="&amp;'HQ2'!B255,PGĐ!$I:$I,"="&amp;'HQ2'!A255)</f>
        <v>345645682</v>
      </c>
      <c r="AF255" s="17"/>
      <c r="AG255" s="7">
        <f>SUMIFS(ĐMCP!$Q:$Q,ĐMCP!$P:$P,"="&amp;'HQ2'!B255,ĐMCP!$O:$O,"="&amp;'HQ2'!A255)</f>
        <v>385184198.35331142</v>
      </c>
      <c r="AH255" s="7">
        <f t="shared" si="3"/>
        <v>0.35331141948699951</v>
      </c>
    </row>
    <row r="256" spans="1:34" x14ac:dyDescent="0.25">
      <c r="A256" s="123" t="s">
        <v>76</v>
      </c>
      <c r="B256" s="16" t="s">
        <v>268</v>
      </c>
      <c r="C256" s="7">
        <v>1031952554</v>
      </c>
      <c r="D256" s="7">
        <v>81578032</v>
      </c>
      <c r="E256" s="7">
        <v>950374522</v>
      </c>
      <c r="F256" s="7">
        <v>744392856.43999994</v>
      </c>
      <c r="G256" s="7">
        <v>468900037.19999999</v>
      </c>
      <c r="H256" s="7">
        <v>41323922.885999992</v>
      </c>
      <c r="I256" s="7">
        <v>703068933.5539999</v>
      </c>
      <c r="AA256" s="7">
        <v>22331785.693199996</v>
      </c>
      <c r="AB256" s="7">
        <v>316175724</v>
      </c>
      <c r="AC256" s="7">
        <v>364561423.86079991</v>
      </c>
      <c r="AD256" s="17"/>
      <c r="AE256" s="5">
        <f>SUMIFS(PGĐ!$H:$H,PGĐ!$F:$F,"="&amp;'HQ2'!B256,PGĐ!$I:$I,"="&amp;'HQ2'!A256)</f>
        <v>0</v>
      </c>
      <c r="AF256" s="17"/>
      <c r="AG256" s="7">
        <f>SUMIFS(ĐMCP!$Q:$Q,ĐMCP!$P:$P,"="&amp;'HQ2'!B256,ĐMCP!$O:$O,"="&amp;'HQ2'!A256)</f>
        <v>316175724.44426906</v>
      </c>
      <c r="AH256" s="7">
        <f t="shared" si="3"/>
        <v>0.44426906108856201</v>
      </c>
    </row>
    <row r="257" spans="1:34" x14ac:dyDescent="0.25">
      <c r="A257" s="123" t="s">
        <v>76</v>
      </c>
      <c r="B257" s="16" t="s">
        <v>23</v>
      </c>
      <c r="C257" s="7">
        <v>2115945560</v>
      </c>
      <c r="E257" s="7">
        <v>2115945560</v>
      </c>
      <c r="F257" s="7">
        <v>740580946</v>
      </c>
      <c r="G257" s="7">
        <v>508009260.49999994</v>
      </c>
      <c r="H257" s="7">
        <v>58142921.375000015</v>
      </c>
      <c r="I257" s="7">
        <v>682438024.625</v>
      </c>
      <c r="AA257" s="7">
        <v>22217428.379999999</v>
      </c>
      <c r="AB257" s="7">
        <v>296953248</v>
      </c>
      <c r="AC257" s="7">
        <v>363267348.245</v>
      </c>
      <c r="AD257" s="17"/>
      <c r="AE257" s="5">
        <f>SUMIFS(PGĐ!$H:$H,PGĐ!$F:$F,"="&amp;'HQ2'!B257,PGĐ!$I:$I,"="&amp;'HQ2'!A257)</f>
        <v>0</v>
      </c>
      <c r="AF257" s="17"/>
      <c r="AG257" s="7">
        <f>SUMIFS(ĐMCP!$Q:$Q,ĐMCP!$P:$P,"="&amp;'HQ2'!B257,ĐMCP!$O:$O,"="&amp;'HQ2'!A257)</f>
        <v>296953248.00195313</v>
      </c>
      <c r="AH257" s="7">
        <f t="shared" si="3"/>
        <v>1.953125E-3</v>
      </c>
    </row>
    <row r="258" spans="1:34" x14ac:dyDescent="0.25">
      <c r="A258" s="123" t="s">
        <v>76</v>
      </c>
      <c r="B258" s="16" t="s">
        <v>273</v>
      </c>
      <c r="C258" s="7">
        <v>566746155</v>
      </c>
      <c r="E258" s="7">
        <v>566746155</v>
      </c>
      <c r="F258" s="7">
        <v>311710385.25</v>
      </c>
      <c r="G258" s="7">
        <v>304925632</v>
      </c>
      <c r="H258" s="7">
        <v>1696188.3125</v>
      </c>
      <c r="I258" s="7">
        <v>310014196.9375</v>
      </c>
      <c r="O258" s="7">
        <v>715966472</v>
      </c>
      <c r="R258" s="7">
        <v>715966472</v>
      </c>
      <c r="S258" s="7">
        <v>357983236</v>
      </c>
      <c r="Y258" s="7">
        <v>357983236</v>
      </c>
      <c r="Z258" s="7">
        <v>357983236</v>
      </c>
      <c r="AA258" s="7">
        <v>9351311.5574999992</v>
      </c>
      <c r="AB258" s="7">
        <v>128289603</v>
      </c>
      <c r="AC258" s="7">
        <v>-185609953.62</v>
      </c>
      <c r="AD258" s="17">
        <v>1.1547317495016873</v>
      </c>
      <c r="AE258" s="5">
        <f>SUMIFS(PGĐ!$H:$H,PGĐ!$F:$F,"="&amp;'HQ2'!B258,PGĐ!$I:$I,"="&amp;'HQ2'!A258)</f>
        <v>0</v>
      </c>
      <c r="AF258" s="17"/>
      <c r="AG258" s="7">
        <f>SUMIFS(ĐMCP!$Q:$Q,ĐMCP!$P:$P,"="&amp;'HQ2'!B258,ĐMCP!$O:$O,"="&amp;'HQ2'!A258)</f>
        <v>128289603.19470948</v>
      </c>
      <c r="AH258" s="7">
        <f t="shared" si="3"/>
        <v>0.19470947980880737</v>
      </c>
    </row>
    <row r="259" spans="1:34" x14ac:dyDescent="0.25">
      <c r="A259" s="123" t="s">
        <v>76</v>
      </c>
      <c r="B259" s="16" t="s">
        <v>271</v>
      </c>
      <c r="C259" s="7">
        <v>371478516</v>
      </c>
      <c r="D259" s="7">
        <v>6747504</v>
      </c>
      <c r="E259" s="7">
        <v>364731012</v>
      </c>
      <c r="F259" s="7">
        <v>261957999.83999997</v>
      </c>
      <c r="G259" s="7">
        <v>340214753.89999998</v>
      </c>
      <c r="H259" s="7">
        <v>-15651350.812000001</v>
      </c>
      <c r="I259" s="7">
        <v>277609350.65199995</v>
      </c>
      <c r="O259" s="7">
        <v>10000000</v>
      </c>
      <c r="R259" s="7">
        <v>10000000</v>
      </c>
      <c r="S259" s="7">
        <v>6000000</v>
      </c>
      <c r="T259" s="7">
        <v>10000000</v>
      </c>
      <c r="W259" s="7">
        <v>10000000</v>
      </c>
      <c r="X259" s="7">
        <v>6000000</v>
      </c>
      <c r="Y259" s="7">
        <v>0</v>
      </c>
      <c r="Z259" s="7">
        <v>0</v>
      </c>
      <c r="AA259" s="7">
        <v>7858739.9951999988</v>
      </c>
      <c r="AB259" s="7">
        <v>201647996</v>
      </c>
      <c r="AC259" s="7">
        <v>68102614.656799957</v>
      </c>
      <c r="AD259" s="17">
        <v>0</v>
      </c>
      <c r="AE259" s="5">
        <f>SUMIFS(PGĐ!$H:$H,PGĐ!$F:$F,"="&amp;'HQ2'!B259,PGĐ!$I:$I,"="&amp;'HQ2'!A259)</f>
        <v>0</v>
      </c>
      <c r="AF259" s="17"/>
      <c r="AG259" s="7">
        <f>SUMIFS(ĐMCP!$Q:$Q,ĐMCP!$P:$P,"="&amp;'HQ2'!B259,ĐMCP!$O:$O,"="&amp;'HQ2'!A259)</f>
        <v>201647996.41227335</v>
      </c>
      <c r="AH259" s="7">
        <f t="shared" si="3"/>
        <v>0.4122733473777771</v>
      </c>
    </row>
    <row r="260" spans="1:34" x14ac:dyDescent="0.25">
      <c r="A260" s="123" t="s">
        <v>76</v>
      </c>
      <c r="B260" s="16" t="s">
        <v>272</v>
      </c>
      <c r="C260" s="7">
        <v>88060500</v>
      </c>
      <c r="D260" s="7">
        <v>88060500</v>
      </c>
      <c r="F260" s="7">
        <v>82336567.5</v>
      </c>
      <c r="G260" s="7">
        <v>2860836290.4000001</v>
      </c>
      <c r="H260" s="7">
        <v>-555699944.58000004</v>
      </c>
      <c r="I260" s="7">
        <v>638036512.08000004</v>
      </c>
      <c r="O260" s="7">
        <v>89000000</v>
      </c>
      <c r="R260" s="7">
        <v>89000000</v>
      </c>
      <c r="S260" s="7">
        <v>71200000</v>
      </c>
      <c r="Y260" s="7">
        <v>71200000</v>
      </c>
      <c r="Z260" s="7">
        <v>71200000</v>
      </c>
      <c r="AA260" s="7">
        <v>2470097.0249999999</v>
      </c>
      <c r="AB260" s="7">
        <v>30759481</v>
      </c>
      <c r="AC260" s="7">
        <v>533606934.05500007</v>
      </c>
      <c r="AD260" s="17">
        <v>0.11159235976619565</v>
      </c>
      <c r="AE260" s="5">
        <f>SUMIFS(PGĐ!$H:$H,PGĐ!$F:$F,"="&amp;'HQ2'!B260,PGĐ!$I:$I,"="&amp;'HQ2'!A260)</f>
        <v>0</v>
      </c>
      <c r="AF260" s="17"/>
      <c r="AG260" s="7">
        <f>SUMIFS(ĐMCP!$Q:$Q,ĐMCP!$P:$P,"="&amp;'HQ2'!B260,ĐMCP!$O:$O,"="&amp;'HQ2'!A260)</f>
        <v>30759481.330022682</v>
      </c>
      <c r="AH260" s="7">
        <f t="shared" ref="AH260:AH323" si="4">IF(AG260=0,0,AG260-AB260)</f>
        <v>0.33002268150448799</v>
      </c>
    </row>
    <row r="261" spans="1:34" x14ac:dyDescent="0.25">
      <c r="A261" s="123" t="s">
        <v>76</v>
      </c>
      <c r="B261" s="16" t="s">
        <v>269</v>
      </c>
      <c r="C261" s="7">
        <v>31294750</v>
      </c>
      <c r="E261" s="7">
        <v>31294750</v>
      </c>
      <c r="F261" s="7">
        <v>18776850</v>
      </c>
      <c r="G261" s="7">
        <v>27250562.399999999</v>
      </c>
      <c r="H261" s="7">
        <v>-847371.23999999987</v>
      </c>
      <c r="I261" s="7">
        <v>19624221.239999998</v>
      </c>
      <c r="AA261" s="7">
        <v>563305.5</v>
      </c>
      <c r="AB261" s="7">
        <v>10405259</v>
      </c>
      <c r="AC261" s="7">
        <v>8655656.7399999984</v>
      </c>
      <c r="AD261" s="17"/>
      <c r="AE261" s="5">
        <f>SUMIFS(PGĐ!$H:$H,PGĐ!$F:$F,"="&amp;'HQ2'!B261,PGĐ!$I:$I,"="&amp;'HQ2'!A261)</f>
        <v>0</v>
      </c>
      <c r="AF261" s="17"/>
      <c r="AG261" s="7">
        <f>SUMIFS(ĐMCP!$Q:$Q,ĐMCP!$P:$P,"="&amp;'HQ2'!B261,ĐMCP!$O:$O,"="&amp;'HQ2'!A261)</f>
        <v>10405258.613932967</v>
      </c>
      <c r="AH261" s="7">
        <f t="shared" si="4"/>
        <v>-0.38606703281402588</v>
      </c>
    </row>
    <row r="262" spans="1:34" x14ac:dyDescent="0.25">
      <c r="A262" s="123" t="s">
        <v>77</v>
      </c>
      <c r="B262" s="15" t="s">
        <v>45</v>
      </c>
      <c r="C262" s="132">
        <v>4773806405</v>
      </c>
      <c r="D262" s="132">
        <v>2131837077</v>
      </c>
      <c r="E262" s="132">
        <v>2641969328</v>
      </c>
      <c r="F262" s="132">
        <v>3913489704.9500003</v>
      </c>
      <c r="G262" s="132">
        <v>2848658574.5999999</v>
      </c>
      <c r="H262" s="132">
        <v>152697138.48300004</v>
      </c>
      <c r="I262" s="132">
        <v>3760792566.467</v>
      </c>
      <c r="J262" s="132">
        <v>12027918</v>
      </c>
      <c r="K262" s="132"/>
      <c r="L262" s="132"/>
      <c r="M262" s="132">
        <v>12027918</v>
      </c>
      <c r="N262" s="132">
        <v>7216750.7999999998</v>
      </c>
      <c r="O262" s="132">
        <v>9005439401</v>
      </c>
      <c r="P262" s="132"/>
      <c r="Q262" s="132">
        <v>220439401</v>
      </c>
      <c r="R262" s="132">
        <v>8785000000</v>
      </c>
      <c r="S262" s="132">
        <v>5123439401</v>
      </c>
      <c r="T262" s="132">
        <v>8631534301</v>
      </c>
      <c r="U262" s="132"/>
      <c r="V262" s="132">
        <v>131534301</v>
      </c>
      <c r="W262" s="132">
        <v>8500000000</v>
      </c>
      <c r="X262" s="132">
        <v>4806534301</v>
      </c>
      <c r="Y262" s="132">
        <v>316905100</v>
      </c>
      <c r="Z262" s="132">
        <v>324121850.80000001</v>
      </c>
      <c r="AA262" s="132">
        <v>117404691.14850001</v>
      </c>
      <c r="AB262" s="132">
        <v>1037586744</v>
      </c>
      <c r="AC262" s="132">
        <v>2281679280.5185003</v>
      </c>
      <c r="AD262" s="96">
        <v>8.6184453162884672E-2</v>
      </c>
      <c r="AE262" s="5">
        <f>SUMIFS(PGĐ!$H:$H,PGĐ!$F:$F,"="&amp;'HQ2'!B262,PGĐ!$I:$I,"="&amp;'HQ2'!A262)</f>
        <v>0</v>
      </c>
      <c r="AF262" s="96"/>
      <c r="AG262" s="7">
        <f>SUMIFS(ĐMCP!$Q:$Q,ĐMCP!$P:$P,"="&amp;'HQ2'!B262,ĐMCP!$O:$O,"="&amp;'HQ2'!A262)</f>
        <v>0</v>
      </c>
      <c r="AH262" s="7">
        <f t="shared" si="4"/>
        <v>0</v>
      </c>
    </row>
    <row r="263" spans="1:34" x14ac:dyDescent="0.25">
      <c r="A263" s="123" t="s">
        <v>77</v>
      </c>
      <c r="B263" s="16" t="s">
        <v>268</v>
      </c>
      <c r="C263" s="7">
        <v>3326662184</v>
      </c>
      <c r="D263" s="7">
        <v>1112769183</v>
      </c>
      <c r="E263" s="7">
        <v>2213893001</v>
      </c>
      <c r="F263" s="7">
        <v>2629111208.21</v>
      </c>
      <c r="G263" s="7">
        <v>2138155694.4999998</v>
      </c>
      <c r="H263" s="7">
        <v>73643327.056500033</v>
      </c>
      <c r="I263" s="7">
        <v>2555467881.1535001</v>
      </c>
      <c r="O263" s="7">
        <v>8500000000</v>
      </c>
      <c r="R263" s="7">
        <v>8500000000</v>
      </c>
      <c r="S263" s="7">
        <v>4675000000</v>
      </c>
      <c r="T263" s="7">
        <v>8500000000</v>
      </c>
      <c r="W263" s="7">
        <v>8500000000</v>
      </c>
      <c r="X263" s="7">
        <v>4675000000</v>
      </c>
      <c r="Y263" s="7">
        <v>0</v>
      </c>
      <c r="Z263" s="7">
        <v>0</v>
      </c>
      <c r="AA263" s="7">
        <v>78873336.246299997</v>
      </c>
      <c r="AB263" s="7">
        <v>569155850</v>
      </c>
      <c r="AC263" s="7">
        <v>1907438694.9072001</v>
      </c>
      <c r="AD263" s="17">
        <v>0</v>
      </c>
      <c r="AE263" s="5">
        <f>SUMIFS(PGĐ!$H:$H,PGĐ!$F:$F,"="&amp;'HQ2'!B263,PGĐ!$I:$I,"="&amp;'HQ2'!A263)</f>
        <v>0</v>
      </c>
      <c r="AF263" s="17"/>
      <c r="AG263" s="7">
        <f>SUMIFS(ĐMCP!$Q:$Q,ĐMCP!$P:$P,"="&amp;'HQ2'!B263,ĐMCP!$O:$O,"="&amp;'HQ2'!A263)</f>
        <v>569155850.4075954</v>
      </c>
      <c r="AH263" s="7">
        <f t="shared" si="4"/>
        <v>0.40759539604187012</v>
      </c>
    </row>
    <row r="264" spans="1:34" x14ac:dyDescent="0.25">
      <c r="A264" s="123" t="s">
        <v>77</v>
      </c>
      <c r="B264" s="16" t="s">
        <v>270</v>
      </c>
      <c r="C264" s="7">
        <v>728548276</v>
      </c>
      <c r="D264" s="7">
        <v>606658489</v>
      </c>
      <c r="E264" s="7">
        <v>121889787</v>
      </c>
      <c r="F264" s="7">
        <v>664737516.81500006</v>
      </c>
      <c r="G264" s="7">
        <v>287065080</v>
      </c>
      <c r="H264" s="7">
        <v>37767243.68150001</v>
      </c>
      <c r="I264" s="7">
        <v>626970273.1335001</v>
      </c>
      <c r="O264" s="7">
        <v>193466901</v>
      </c>
      <c r="Q264" s="7">
        <v>193466901</v>
      </c>
      <c r="R264" s="7">
        <v>0</v>
      </c>
      <c r="S264" s="7">
        <v>193466901</v>
      </c>
      <c r="T264" s="7">
        <v>131534301</v>
      </c>
      <c r="V264" s="7">
        <v>131534301</v>
      </c>
      <c r="W264" s="7">
        <v>0</v>
      </c>
      <c r="X264" s="7">
        <v>131534301</v>
      </c>
      <c r="Y264" s="7">
        <v>61932600</v>
      </c>
      <c r="Z264" s="7">
        <v>61932600</v>
      </c>
      <c r="AA264" s="7">
        <v>19942125.504450001</v>
      </c>
      <c r="AB264" s="7">
        <v>234224665</v>
      </c>
      <c r="AC264" s="7">
        <v>310870882.62905008</v>
      </c>
      <c r="AD264" s="17">
        <v>9.8780759876334293E-2</v>
      </c>
      <c r="AE264" s="5">
        <f>SUMIFS(PGĐ!$H:$H,PGĐ!$F:$F,"="&amp;'HQ2'!B264,PGĐ!$I:$I,"="&amp;'HQ2'!A264)</f>
        <v>0</v>
      </c>
      <c r="AF264" s="17"/>
      <c r="AG264" s="7">
        <f>SUMIFS(ĐMCP!$Q:$Q,ĐMCP!$P:$P,"="&amp;'HQ2'!B264,ĐMCP!$O:$O,"="&amp;'HQ2'!A264)</f>
        <v>234224664.50600317</v>
      </c>
      <c r="AH264" s="7">
        <f t="shared" si="4"/>
        <v>-0.49399682879447937</v>
      </c>
    </row>
    <row r="265" spans="1:34" x14ac:dyDescent="0.25">
      <c r="A265" s="123" t="s">
        <v>77</v>
      </c>
      <c r="B265" s="16" t="s">
        <v>272</v>
      </c>
      <c r="C265" s="7">
        <v>356805944</v>
      </c>
      <c r="D265" s="7">
        <v>202641224</v>
      </c>
      <c r="E265" s="7">
        <v>154164720</v>
      </c>
      <c r="F265" s="7">
        <v>312801320.44</v>
      </c>
      <c r="G265" s="7">
        <v>332088652</v>
      </c>
      <c r="H265" s="7">
        <v>-3857466.3120000008</v>
      </c>
      <c r="I265" s="7">
        <v>316658786.75199997</v>
      </c>
      <c r="O265" s="7">
        <v>311972500</v>
      </c>
      <c r="Q265" s="7">
        <v>26972500</v>
      </c>
      <c r="R265" s="7">
        <v>285000000</v>
      </c>
      <c r="S265" s="7">
        <v>254972500</v>
      </c>
      <c r="Y265" s="7">
        <v>254972500</v>
      </c>
      <c r="Z265" s="7">
        <v>254972500</v>
      </c>
      <c r="AA265" s="7">
        <v>9384039.6131999996</v>
      </c>
      <c r="AB265" s="7">
        <v>130465436</v>
      </c>
      <c r="AC265" s="7">
        <v>-78163188.86120002</v>
      </c>
      <c r="AD265" s="17">
        <v>0.80519635224803887</v>
      </c>
      <c r="AE265" s="5">
        <f>SUMIFS(PGĐ!$H:$H,PGĐ!$F:$F,"="&amp;'HQ2'!B265,PGĐ!$I:$I,"="&amp;'HQ2'!A265)</f>
        <v>0</v>
      </c>
      <c r="AF265" s="17"/>
      <c r="AG265" s="7">
        <f>SUMIFS(ĐMCP!$Q:$Q,ĐMCP!$P:$P,"="&amp;'HQ2'!B265,ĐMCP!$O:$O,"="&amp;'HQ2'!A265)</f>
        <v>130465436.21568784</v>
      </c>
      <c r="AH265" s="7">
        <f t="shared" si="4"/>
        <v>0.21568784117698669</v>
      </c>
    </row>
    <row r="266" spans="1:34" x14ac:dyDescent="0.25">
      <c r="A266" s="123" t="s">
        <v>77</v>
      </c>
      <c r="B266" s="16" t="s">
        <v>271</v>
      </c>
      <c r="C266" s="7">
        <v>299817273</v>
      </c>
      <c r="D266" s="7">
        <v>209768181</v>
      </c>
      <c r="E266" s="7">
        <v>90049092</v>
      </c>
      <c r="F266" s="7">
        <v>269656022.685</v>
      </c>
      <c r="G266" s="7">
        <v>33706193.5</v>
      </c>
      <c r="H266" s="7">
        <v>47189965.837000005</v>
      </c>
      <c r="I266" s="7">
        <v>222466056.84799999</v>
      </c>
      <c r="AA266" s="7">
        <v>8089680.6805499997</v>
      </c>
      <c r="AB266" s="7">
        <v>86087127</v>
      </c>
      <c r="AC266" s="7">
        <v>128289249.16745</v>
      </c>
      <c r="AD266" s="17"/>
      <c r="AE266" s="5">
        <f>SUMIFS(PGĐ!$H:$H,PGĐ!$F:$F,"="&amp;'HQ2'!B266,PGĐ!$I:$I,"="&amp;'HQ2'!A266)</f>
        <v>0</v>
      </c>
      <c r="AF266" s="17"/>
      <c r="AG266" s="7">
        <f>SUMIFS(ĐMCP!$Q:$Q,ĐMCP!$P:$P,"="&amp;'HQ2'!B266,ĐMCP!$O:$O,"="&amp;'HQ2'!A266)</f>
        <v>86087126.908378318</v>
      </c>
      <c r="AH266" s="7">
        <f t="shared" si="4"/>
        <v>-9.1621682047843933E-2</v>
      </c>
    </row>
    <row r="267" spans="1:34" x14ac:dyDescent="0.25">
      <c r="A267" s="123" t="s">
        <v>77</v>
      </c>
      <c r="B267" s="16" t="s">
        <v>269</v>
      </c>
      <c r="C267" s="7">
        <v>61972728</v>
      </c>
      <c r="E267" s="7">
        <v>61972728</v>
      </c>
      <c r="F267" s="7">
        <v>37183636.799999997</v>
      </c>
      <c r="G267" s="7">
        <v>57642954.600000001</v>
      </c>
      <c r="H267" s="7">
        <v>-2045931.7800000005</v>
      </c>
      <c r="I267" s="7">
        <v>39229568.579999998</v>
      </c>
      <c r="J267" s="7">
        <v>12027918</v>
      </c>
      <c r="M267" s="7">
        <v>12027918</v>
      </c>
      <c r="N267" s="7">
        <v>7216750.7999999998</v>
      </c>
      <c r="Z267" s="7">
        <v>7216750.7999999998</v>
      </c>
      <c r="AA267" s="7">
        <v>1115509.1039999998</v>
      </c>
      <c r="AB267" s="7">
        <v>17653666</v>
      </c>
      <c r="AC267" s="7">
        <v>13243642.675999997</v>
      </c>
      <c r="AD267" s="17">
        <v>0.18396202306642853</v>
      </c>
      <c r="AE267" s="5">
        <f>SUMIFS(PGĐ!$H:$H,PGĐ!$F:$F,"="&amp;'HQ2'!B267,PGĐ!$I:$I,"="&amp;'HQ2'!A267)</f>
        <v>0</v>
      </c>
      <c r="AF267" s="17"/>
      <c r="AG267" s="7">
        <f>SUMIFS(ĐMCP!$Q:$Q,ĐMCP!$P:$P,"="&amp;'HQ2'!B267,ĐMCP!$O:$O,"="&amp;'HQ2'!A267)</f>
        <v>17653665.687714923</v>
      </c>
      <c r="AH267" s="7">
        <f t="shared" si="4"/>
        <v>-0.31228507682681084</v>
      </c>
    </row>
    <row r="268" spans="1:34" x14ac:dyDescent="0.25">
      <c r="A268" s="123" t="s">
        <v>77</v>
      </c>
      <c r="B268" s="16" t="s">
        <v>273</v>
      </c>
      <c r="AB268" s="7">
        <v>0</v>
      </c>
      <c r="AC268" s="7">
        <v>0</v>
      </c>
      <c r="AD268" s="17"/>
      <c r="AE268" s="5">
        <f>SUMIFS(PGĐ!$H:$H,PGĐ!$F:$F,"="&amp;'HQ2'!B268,PGĐ!$I:$I,"="&amp;'HQ2'!A268)</f>
        <v>0</v>
      </c>
      <c r="AF268" s="17"/>
      <c r="AG268" s="7">
        <f>SUMIFS(ĐMCP!$Q:$Q,ĐMCP!$P:$P,"="&amp;'HQ2'!B268,ĐMCP!$O:$O,"="&amp;'HQ2'!A268)</f>
        <v>0</v>
      </c>
      <c r="AH268" s="7">
        <f t="shared" si="4"/>
        <v>0</v>
      </c>
    </row>
    <row r="269" spans="1:34" x14ac:dyDescent="0.25">
      <c r="A269" s="123" t="s">
        <v>77</v>
      </c>
      <c r="B269" s="16" t="s">
        <v>23</v>
      </c>
      <c r="AB269" s="7">
        <v>0</v>
      </c>
      <c r="AC269" s="7">
        <v>0</v>
      </c>
      <c r="AD269" s="17"/>
      <c r="AE269" s="5">
        <f>SUMIFS(PGĐ!$H:$H,PGĐ!$F:$F,"="&amp;'HQ2'!B269,PGĐ!$I:$I,"="&amp;'HQ2'!A269)</f>
        <v>0</v>
      </c>
      <c r="AF269" s="17"/>
      <c r="AG269" s="7">
        <f>SUMIFS(ĐMCP!$Q:$Q,ĐMCP!$P:$P,"="&amp;'HQ2'!B269,ĐMCP!$O:$O,"="&amp;'HQ2'!A269)</f>
        <v>0</v>
      </c>
      <c r="AH269" s="7">
        <f t="shared" si="4"/>
        <v>0</v>
      </c>
    </row>
    <row r="270" spans="1:34" x14ac:dyDescent="0.25">
      <c r="A270" s="123" t="s">
        <v>78</v>
      </c>
      <c r="B270" s="15" t="s">
        <v>45</v>
      </c>
      <c r="C270" s="132">
        <v>4717832079</v>
      </c>
      <c r="D270" s="132">
        <v>1679644185</v>
      </c>
      <c r="E270" s="132">
        <v>3038187894</v>
      </c>
      <c r="F270" s="132">
        <v>3780506482.3750005</v>
      </c>
      <c r="G270" s="132">
        <v>3667701370</v>
      </c>
      <c r="H270" s="132">
        <v>50902354.434000053</v>
      </c>
      <c r="I270" s="132">
        <v>3729604127.9410005</v>
      </c>
      <c r="J270" s="132">
        <v>8170781111</v>
      </c>
      <c r="K270" s="132"/>
      <c r="L270" s="132"/>
      <c r="M270" s="132">
        <v>8170781111</v>
      </c>
      <c r="N270" s="132">
        <v>4493929611.0500002</v>
      </c>
      <c r="O270" s="132">
        <v>458000000</v>
      </c>
      <c r="P270" s="132"/>
      <c r="Q270" s="132"/>
      <c r="R270" s="132">
        <v>458000000</v>
      </c>
      <c r="S270" s="132">
        <v>252250000.00000003</v>
      </c>
      <c r="T270" s="132">
        <v>8427781111</v>
      </c>
      <c r="U270" s="132"/>
      <c r="V270" s="132"/>
      <c r="W270" s="132">
        <v>8427781111</v>
      </c>
      <c r="X270" s="132">
        <v>4635629611.0500002</v>
      </c>
      <c r="Y270" s="132">
        <v>-4383379611.0500002</v>
      </c>
      <c r="Z270" s="132">
        <v>110550000</v>
      </c>
      <c r="AA270" s="132">
        <v>113415194.47125001</v>
      </c>
      <c r="AB270" s="132">
        <v>1398636948</v>
      </c>
      <c r="AC270" s="132">
        <v>2107001985.4697497</v>
      </c>
      <c r="AD270" s="96">
        <v>2.9641215584194254E-2</v>
      </c>
      <c r="AE270" s="5">
        <f>SUMIFS(PGĐ!$H:$H,PGĐ!$F:$F,"="&amp;'HQ2'!B270,PGĐ!$I:$I,"="&amp;'HQ2'!A270)</f>
        <v>0</v>
      </c>
      <c r="AF270" s="96"/>
      <c r="AG270" s="7">
        <f>SUMIFS(ĐMCP!$Q:$Q,ĐMCP!$P:$P,"="&amp;'HQ2'!B270,ĐMCP!$O:$O,"="&amp;'HQ2'!A270)</f>
        <v>0</v>
      </c>
      <c r="AH270" s="7">
        <f t="shared" si="4"/>
        <v>0</v>
      </c>
    </row>
    <row r="271" spans="1:34" x14ac:dyDescent="0.25">
      <c r="A271" s="123" t="s">
        <v>78</v>
      </c>
      <c r="B271" s="16" t="s">
        <v>268</v>
      </c>
      <c r="C271" s="7">
        <v>2678230589</v>
      </c>
      <c r="D271" s="7">
        <v>512616660</v>
      </c>
      <c r="E271" s="7">
        <v>2165613929</v>
      </c>
      <c r="F271" s="7">
        <v>2013167910.5</v>
      </c>
      <c r="G271" s="7">
        <v>2631120557.7999997</v>
      </c>
      <c r="H271" s="7">
        <v>-92692897.094999954</v>
      </c>
      <c r="I271" s="7">
        <v>2105860807.595</v>
      </c>
      <c r="J271" s="7">
        <v>8170781111</v>
      </c>
      <c r="M271" s="7">
        <v>8170781111</v>
      </c>
      <c r="N271" s="7">
        <v>4493929611.0500002</v>
      </c>
      <c r="O271" s="7">
        <v>451000000</v>
      </c>
      <c r="R271" s="7">
        <v>451000000</v>
      </c>
      <c r="S271" s="7">
        <v>248050000.00000003</v>
      </c>
      <c r="T271" s="7">
        <v>8420781111</v>
      </c>
      <c r="W271" s="7">
        <v>8420781111</v>
      </c>
      <c r="X271" s="7">
        <v>4631429611.0500002</v>
      </c>
      <c r="Y271" s="7">
        <v>-4383379611.0500002</v>
      </c>
      <c r="Z271" s="7">
        <v>110550000</v>
      </c>
      <c r="AA271" s="7">
        <v>60395037.314999998</v>
      </c>
      <c r="AB271" s="7">
        <v>889694175</v>
      </c>
      <c r="AC271" s="7">
        <v>1045221595.2799997</v>
      </c>
      <c r="AD271" s="17">
        <v>5.249634714758461E-2</v>
      </c>
      <c r="AE271" s="5">
        <f>SUMIFS(PGĐ!$H:$H,PGĐ!$F:$F,"="&amp;'HQ2'!B271,PGĐ!$I:$I,"="&amp;'HQ2'!A271)</f>
        <v>1414597784</v>
      </c>
      <c r="AF271" s="17"/>
      <c r="AG271" s="7">
        <f>SUMIFS(ĐMCP!$Q:$Q,ĐMCP!$P:$P,"="&amp;'HQ2'!B271,ĐMCP!$O:$O,"="&amp;'HQ2'!A271)</f>
        <v>889694175.23478711</v>
      </c>
      <c r="AH271" s="7">
        <f t="shared" si="4"/>
        <v>0.23478710651397705</v>
      </c>
    </row>
    <row r="272" spans="1:34" x14ac:dyDescent="0.25">
      <c r="A272" s="123" t="s">
        <v>78</v>
      </c>
      <c r="B272" s="16" t="s">
        <v>270</v>
      </c>
      <c r="C272" s="7">
        <v>899003303</v>
      </c>
      <c r="D272" s="7">
        <v>660330556</v>
      </c>
      <c r="E272" s="7">
        <v>238672747</v>
      </c>
      <c r="F272" s="7">
        <v>808347267.46000004</v>
      </c>
      <c r="G272" s="7">
        <v>792741040.80000007</v>
      </c>
      <c r="H272" s="7">
        <v>1560622.6659999967</v>
      </c>
      <c r="I272" s="7">
        <v>806786644.79400003</v>
      </c>
      <c r="O272" s="7">
        <v>7000000</v>
      </c>
      <c r="R272" s="7">
        <v>7000000</v>
      </c>
      <c r="S272" s="7">
        <v>4200000</v>
      </c>
      <c r="T272" s="7">
        <v>7000000</v>
      </c>
      <c r="W272" s="7">
        <v>7000000</v>
      </c>
      <c r="X272" s="7">
        <v>4200000</v>
      </c>
      <c r="Y272" s="7">
        <v>0</v>
      </c>
      <c r="Z272" s="7">
        <v>0</v>
      </c>
      <c r="AA272" s="7">
        <v>24250418.023800001</v>
      </c>
      <c r="AB272" s="7">
        <v>364860107</v>
      </c>
      <c r="AC272" s="7">
        <v>417676119.77020001</v>
      </c>
      <c r="AD272" s="17">
        <v>0</v>
      </c>
      <c r="AE272" s="5">
        <f>SUMIFS(PGĐ!$H:$H,PGĐ!$F:$F,"="&amp;'HQ2'!B272,PGĐ!$I:$I,"="&amp;'HQ2'!A272)</f>
        <v>0</v>
      </c>
      <c r="AF272" s="17"/>
      <c r="AG272" s="7">
        <f>SUMIFS(ĐMCP!$Q:$Q,ĐMCP!$P:$P,"="&amp;'HQ2'!B272,ĐMCP!$O:$O,"="&amp;'HQ2'!A272)</f>
        <v>364860106.59713101</v>
      </c>
      <c r="AH272" s="7">
        <f t="shared" si="4"/>
        <v>-0.40286898612976074</v>
      </c>
    </row>
    <row r="273" spans="1:34" x14ac:dyDescent="0.25">
      <c r="A273" s="123" t="s">
        <v>78</v>
      </c>
      <c r="B273" s="16" t="s">
        <v>272</v>
      </c>
      <c r="C273" s="7">
        <v>699867302</v>
      </c>
      <c r="D273" s="7">
        <v>346163787</v>
      </c>
      <c r="E273" s="7">
        <v>353703515</v>
      </c>
      <c r="F273" s="7">
        <v>606625952.84500003</v>
      </c>
      <c r="H273" s="7">
        <v>121325190.56900001</v>
      </c>
      <c r="I273" s="7">
        <v>485300762.27600002</v>
      </c>
      <c r="AA273" s="7">
        <v>18198778.585349999</v>
      </c>
      <c r="AB273" s="7">
        <v>0</v>
      </c>
      <c r="AC273" s="7">
        <v>467101983.69065005</v>
      </c>
      <c r="AD273" s="17"/>
      <c r="AE273" s="5">
        <f>SUMIFS(PGĐ!$H:$H,PGĐ!$F:$F,"="&amp;'HQ2'!B273,PGĐ!$I:$I,"="&amp;'HQ2'!A273)</f>
        <v>0</v>
      </c>
      <c r="AF273" s="17"/>
      <c r="AG273" s="7">
        <f>SUMIFS(ĐMCP!$Q:$Q,ĐMCP!$P:$P,"="&amp;'HQ2'!B273,ĐMCP!$O:$O,"="&amp;'HQ2'!A273)</f>
        <v>0</v>
      </c>
      <c r="AH273" s="7">
        <f t="shared" si="4"/>
        <v>0</v>
      </c>
    </row>
    <row r="274" spans="1:34" x14ac:dyDescent="0.25">
      <c r="A274" s="123" t="s">
        <v>78</v>
      </c>
      <c r="B274" s="16" t="s">
        <v>271</v>
      </c>
      <c r="C274" s="7">
        <v>421748637</v>
      </c>
      <c r="D274" s="7">
        <v>160533182</v>
      </c>
      <c r="E274" s="7">
        <v>261215455</v>
      </c>
      <c r="F274" s="7">
        <v>340976002.76999998</v>
      </c>
      <c r="G274" s="7">
        <v>242407199.99999997</v>
      </c>
      <c r="H274" s="7">
        <v>19713760.554000001</v>
      </c>
      <c r="I274" s="7">
        <v>321262242.21599996</v>
      </c>
      <c r="AA274" s="7">
        <v>10229280.083099999</v>
      </c>
      <c r="AB274" s="7">
        <v>141821282</v>
      </c>
      <c r="AC274" s="7">
        <v>169211680.13289997</v>
      </c>
      <c r="AD274" s="17"/>
      <c r="AE274" s="5">
        <f>SUMIFS(PGĐ!$H:$H,PGĐ!$F:$F,"="&amp;'HQ2'!B274,PGĐ!$I:$I,"="&amp;'HQ2'!A274)</f>
        <v>0</v>
      </c>
      <c r="AF274" s="17"/>
      <c r="AG274" s="7">
        <f>SUMIFS(ĐMCP!$Q:$Q,ĐMCP!$P:$P,"="&amp;'HQ2'!B274,ĐMCP!$O:$O,"="&amp;'HQ2'!A274)</f>
        <v>141821281.6895256</v>
      </c>
      <c r="AH274" s="7">
        <f t="shared" si="4"/>
        <v>-0.31047439575195313</v>
      </c>
    </row>
    <row r="275" spans="1:34" x14ac:dyDescent="0.25">
      <c r="A275" s="123" t="s">
        <v>78</v>
      </c>
      <c r="B275" s="16" t="s">
        <v>269</v>
      </c>
      <c r="C275" s="7">
        <v>18982248</v>
      </c>
      <c r="E275" s="7">
        <v>18982248</v>
      </c>
      <c r="F275" s="7">
        <v>11389348.799999999</v>
      </c>
      <c r="G275" s="7">
        <v>1432571.4</v>
      </c>
      <c r="H275" s="7">
        <v>995677.73999999987</v>
      </c>
      <c r="I275" s="7">
        <v>10393671.059999999</v>
      </c>
      <c r="AA275" s="7">
        <v>341680.46399999998</v>
      </c>
      <c r="AB275" s="7">
        <v>2261384</v>
      </c>
      <c r="AC275" s="7">
        <v>7790606.595999999</v>
      </c>
      <c r="AD275" s="17"/>
      <c r="AE275" s="5">
        <f>SUMIFS(PGĐ!$H:$H,PGĐ!$F:$F,"="&amp;'HQ2'!B275,PGĐ!$I:$I,"="&amp;'HQ2'!A275)</f>
        <v>0</v>
      </c>
      <c r="AF275" s="17"/>
      <c r="AG275" s="7">
        <f>SUMIFS(ĐMCP!$Q:$Q,ĐMCP!$P:$P,"="&amp;'HQ2'!B275,ĐMCP!$O:$O,"="&amp;'HQ2'!A275)</f>
        <v>2261384.1754477471</v>
      </c>
      <c r="AH275" s="7">
        <f t="shared" si="4"/>
        <v>0.1754477471113205</v>
      </c>
    </row>
    <row r="276" spans="1:34" x14ac:dyDescent="0.25">
      <c r="A276" s="123" t="s">
        <v>78</v>
      </c>
      <c r="B276" s="16" t="s">
        <v>273</v>
      </c>
      <c r="AB276" s="7">
        <v>0</v>
      </c>
      <c r="AC276" s="7">
        <v>0</v>
      </c>
      <c r="AD276" s="17"/>
      <c r="AE276" s="5">
        <f>SUMIFS(PGĐ!$H:$H,PGĐ!$F:$F,"="&amp;'HQ2'!B276,PGĐ!$I:$I,"="&amp;'HQ2'!A276)</f>
        <v>0</v>
      </c>
      <c r="AF276" s="17"/>
      <c r="AG276" s="7">
        <f>SUMIFS(ĐMCP!$Q:$Q,ĐMCP!$P:$P,"="&amp;'HQ2'!B276,ĐMCP!$O:$O,"="&amp;'HQ2'!A276)</f>
        <v>0</v>
      </c>
      <c r="AH276" s="7">
        <f t="shared" si="4"/>
        <v>0</v>
      </c>
    </row>
    <row r="277" spans="1:34" x14ac:dyDescent="0.25">
      <c r="A277" s="123" t="s">
        <v>78</v>
      </c>
      <c r="B277" s="16" t="s">
        <v>23</v>
      </c>
      <c r="AB277" s="7">
        <v>0</v>
      </c>
      <c r="AC277" s="7">
        <v>0</v>
      </c>
      <c r="AD277" s="17"/>
      <c r="AE277" s="5">
        <f>SUMIFS(PGĐ!$H:$H,PGĐ!$F:$F,"="&amp;'HQ2'!B277,PGĐ!$I:$I,"="&amp;'HQ2'!A277)</f>
        <v>0</v>
      </c>
      <c r="AF277" s="17"/>
      <c r="AG277" s="7">
        <f>SUMIFS(ĐMCP!$Q:$Q,ĐMCP!$P:$P,"="&amp;'HQ2'!B277,ĐMCP!$O:$O,"="&amp;'HQ2'!A277)</f>
        <v>0</v>
      </c>
      <c r="AH277" s="7">
        <f t="shared" si="4"/>
        <v>0</v>
      </c>
    </row>
    <row r="278" spans="1:34" x14ac:dyDescent="0.25">
      <c r="A278" s="123" t="s">
        <v>79</v>
      </c>
      <c r="B278" s="15" t="s">
        <v>45</v>
      </c>
      <c r="C278" s="132">
        <v>4429304003</v>
      </c>
      <c r="D278" s="132">
        <v>1242658865</v>
      </c>
      <c r="E278" s="132">
        <v>3186645138</v>
      </c>
      <c r="F278" s="132">
        <v>3305600954.915</v>
      </c>
      <c r="G278" s="132">
        <v>3468718488.4000001</v>
      </c>
      <c r="H278" s="132">
        <v>-60841725.552499965</v>
      </c>
      <c r="I278" s="132">
        <v>3366442680.4674997</v>
      </c>
      <c r="J278" s="132">
        <v>11985316181</v>
      </c>
      <c r="K278" s="132"/>
      <c r="L278" s="132"/>
      <c r="M278" s="132">
        <v>11985316181</v>
      </c>
      <c r="N278" s="132">
        <v>6632419361.3000002</v>
      </c>
      <c r="O278" s="132">
        <v>12766647059.57</v>
      </c>
      <c r="P278" s="132">
        <v>2100000000</v>
      </c>
      <c r="Q278" s="132">
        <v>129437165</v>
      </c>
      <c r="R278" s="132">
        <v>10537209894.57</v>
      </c>
      <c r="S278" s="132">
        <v>6944558224.0419998</v>
      </c>
      <c r="T278" s="132">
        <v>24596132882.57</v>
      </c>
      <c r="U278" s="132">
        <v>2100000000</v>
      </c>
      <c r="V278" s="132">
        <v>86329481</v>
      </c>
      <c r="W278" s="132">
        <v>22409803401.57</v>
      </c>
      <c r="X278" s="132">
        <v>13379745413.792</v>
      </c>
      <c r="Y278" s="132">
        <v>-6435187189.75</v>
      </c>
      <c r="Z278" s="132">
        <v>197232171.55000019</v>
      </c>
      <c r="AA278" s="132">
        <v>99168028.64745</v>
      </c>
      <c r="AB278" s="132">
        <v>1365215876</v>
      </c>
      <c r="AC278" s="132">
        <v>1704826604.2700493</v>
      </c>
      <c r="AD278" s="96">
        <v>5.8587711204579444E-2</v>
      </c>
      <c r="AE278" s="5">
        <f>SUMIFS(PGĐ!$H:$H,PGĐ!$F:$F,"="&amp;'HQ2'!B278,PGĐ!$I:$I,"="&amp;'HQ2'!A278)</f>
        <v>0</v>
      </c>
      <c r="AF278" s="96"/>
      <c r="AG278" s="7">
        <f>SUMIFS(ĐMCP!$Q:$Q,ĐMCP!$P:$P,"="&amp;'HQ2'!B278,ĐMCP!$O:$O,"="&amp;'HQ2'!A278)</f>
        <v>0</v>
      </c>
      <c r="AH278" s="7">
        <f t="shared" si="4"/>
        <v>0</v>
      </c>
    </row>
    <row r="279" spans="1:34" x14ac:dyDescent="0.25">
      <c r="A279" s="123" t="s">
        <v>79</v>
      </c>
      <c r="B279" s="16" t="s">
        <v>268</v>
      </c>
      <c r="C279" s="7">
        <v>1684586241</v>
      </c>
      <c r="D279" s="7">
        <v>541735804</v>
      </c>
      <c r="E279" s="7">
        <v>1142850437</v>
      </c>
      <c r="F279" s="7">
        <v>1325479035.78</v>
      </c>
      <c r="G279" s="7">
        <v>2248802815.6999998</v>
      </c>
      <c r="H279" s="7">
        <v>-138498566.98799998</v>
      </c>
      <c r="I279" s="7">
        <v>1463977602.7679999</v>
      </c>
      <c r="J279" s="7">
        <v>11175406946</v>
      </c>
      <c r="M279" s="7">
        <v>11175406946</v>
      </c>
      <c r="N279" s="7">
        <v>6146473820.3000002</v>
      </c>
      <c r="O279" s="7">
        <v>2822150080</v>
      </c>
      <c r="P279" s="7">
        <v>2100000000</v>
      </c>
      <c r="Q279" s="7">
        <v>2103000</v>
      </c>
      <c r="R279" s="7">
        <v>720047080</v>
      </c>
      <c r="S279" s="7">
        <v>926136382.10000014</v>
      </c>
      <c r="T279" s="7">
        <v>13975665577</v>
      </c>
      <c r="U279" s="7">
        <v>2100000000</v>
      </c>
      <c r="V279" s="7">
        <v>2103000</v>
      </c>
      <c r="W279" s="7">
        <v>11873562577</v>
      </c>
      <c r="X279" s="7">
        <v>6973774438.0500002</v>
      </c>
      <c r="Y279" s="7">
        <v>-6047638055.9499998</v>
      </c>
      <c r="Z279" s="7">
        <v>98835764.350000381</v>
      </c>
      <c r="AA279" s="7">
        <v>39764371.073399998</v>
      </c>
      <c r="AB279" s="7">
        <v>568975880</v>
      </c>
      <c r="AC279" s="7">
        <v>756401587.34459925</v>
      </c>
      <c r="AD279" s="17">
        <v>6.7511800838433403E-2</v>
      </c>
      <c r="AE279" s="5">
        <f>SUMIFS(PGĐ!$H:$H,PGĐ!$F:$F,"="&amp;'HQ2'!B279,PGĐ!$I:$I,"="&amp;'HQ2'!A279)</f>
        <v>6231750</v>
      </c>
      <c r="AF279" s="17"/>
      <c r="AG279" s="7">
        <f>SUMIFS(ĐMCP!$Q:$Q,ĐMCP!$P:$P,"="&amp;'HQ2'!B279,ĐMCP!$O:$O,"="&amp;'HQ2'!A279)</f>
        <v>568975879.86846149</v>
      </c>
      <c r="AH279" s="7">
        <f t="shared" si="4"/>
        <v>-0.1315385103225708</v>
      </c>
    </row>
    <row r="280" spans="1:34" x14ac:dyDescent="0.25">
      <c r="A280" s="123" t="s">
        <v>79</v>
      </c>
      <c r="B280" s="16" t="s">
        <v>270</v>
      </c>
      <c r="C280" s="7">
        <v>1150226034</v>
      </c>
      <c r="D280" s="7">
        <v>676325789</v>
      </c>
      <c r="E280" s="7">
        <v>473900245</v>
      </c>
      <c r="F280" s="7">
        <v>1011484808.715</v>
      </c>
      <c r="G280" s="7">
        <v>631199862.39999998</v>
      </c>
      <c r="H280" s="7">
        <v>38028494.631500006</v>
      </c>
      <c r="I280" s="7">
        <v>973456314.08350003</v>
      </c>
      <c r="J280" s="7">
        <v>615613730</v>
      </c>
      <c r="M280" s="7">
        <v>615613730</v>
      </c>
      <c r="N280" s="7">
        <v>369368238</v>
      </c>
      <c r="O280" s="7">
        <v>1779254776.5699999</v>
      </c>
      <c r="Q280" s="7">
        <v>127334165</v>
      </c>
      <c r="R280" s="7">
        <v>1651920611.5699999</v>
      </c>
      <c r="S280" s="7">
        <v>1118486531.9419999</v>
      </c>
      <c r="T280" s="7">
        <v>2318852366.5700002</v>
      </c>
      <c r="V280" s="7">
        <v>84226481</v>
      </c>
      <c r="W280" s="7">
        <v>2234625885.5700002</v>
      </c>
      <c r="X280" s="7">
        <v>1425002012.342</v>
      </c>
      <c r="Y280" s="7">
        <v>-306515480.4000001</v>
      </c>
      <c r="Z280" s="7">
        <v>62852757.599999905</v>
      </c>
      <c r="AA280" s="7">
        <v>30344544.26145</v>
      </c>
      <c r="AB280" s="7">
        <v>364174040</v>
      </c>
      <c r="AC280" s="7">
        <v>516084972.22205013</v>
      </c>
      <c r="AD280" s="17">
        <v>6.4566592964343944E-2</v>
      </c>
      <c r="AE280" s="5">
        <f>SUMIFS(PGĐ!$H:$H,PGĐ!$F:$F,"="&amp;'HQ2'!B280,PGĐ!$I:$I,"="&amp;'HQ2'!A280)</f>
        <v>0</v>
      </c>
      <c r="AF280" s="17"/>
      <c r="AG280" s="7">
        <f>SUMIFS(ĐMCP!$Q:$Q,ĐMCP!$P:$P,"="&amp;'HQ2'!B280,ĐMCP!$O:$O,"="&amp;'HQ2'!A280)</f>
        <v>364174039.55436498</v>
      </c>
      <c r="AH280" s="7">
        <f t="shared" si="4"/>
        <v>-0.44563502073287964</v>
      </c>
    </row>
    <row r="281" spans="1:34" x14ac:dyDescent="0.25">
      <c r="A281" s="123" t="s">
        <v>79</v>
      </c>
      <c r="B281" s="16" t="s">
        <v>269</v>
      </c>
      <c r="C281" s="7">
        <v>1545173217</v>
      </c>
      <c r="E281" s="7">
        <v>1545173217</v>
      </c>
      <c r="F281" s="7">
        <v>927103930.19999993</v>
      </c>
      <c r="G281" s="7">
        <v>563544798</v>
      </c>
      <c r="H281" s="7">
        <v>36355913.219999991</v>
      </c>
      <c r="I281" s="7">
        <v>890748016.9799999</v>
      </c>
      <c r="O281" s="7">
        <v>8161292262</v>
      </c>
      <c r="R281" s="7">
        <v>8161292262</v>
      </c>
      <c r="S281" s="7">
        <v>4896775357.1999998</v>
      </c>
      <c r="T281" s="7">
        <v>8161292262</v>
      </c>
      <c r="W281" s="7">
        <v>8161292262</v>
      </c>
      <c r="X281" s="7">
        <v>4896775357.1999998</v>
      </c>
      <c r="Y281" s="7">
        <v>0</v>
      </c>
      <c r="Z281" s="7">
        <v>0</v>
      </c>
      <c r="AA281" s="7">
        <v>27813117.905999996</v>
      </c>
      <c r="AB281" s="7">
        <v>414118096</v>
      </c>
      <c r="AC281" s="7">
        <v>448816803.07399988</v>
      </c>
      <c r="AD281" s="17">
        <v>0</v>
      </c>
      <c r="AE281" s="5">
        <f>SUMIFS(PGĐ!$H:$H,PGĐ!$F:$F,"="&amp;'HQ2'!B281,PGĐ!$I:$I,"="&amp;'HQ2'!A281)</f>
        <v>0</v>
      </c>
      <c r="AF281" s="17"/>
      <c r="AG281" s="7">
        <f>SUMIFS(ĐMCP!$Q:$Q,ĐMCP!$P:$P,"="&amp;'HQ2'!B281,ĐMCP!$O:$O,"="&amp;'HQ2'!A281)</f>
        <v>414118095.6033811</v>
      </c>
      <c r="AH281" s="7">
        <f t="shared" si="4"/>
        <v>-0.39661890268325806</v>
      </c>
    </row>
    <row r="282" spans="1:34" x14ac:dyDescent="0.25">
      <c r="A282" s="123" t="s">
        <v>79</v>
      </c>
      <c r="B282" s="16" t="s">
        <v>271</v>
      </c>
      <c r="C282" s="7">
        <v>49318511</v>
      </c>
      <c r="D282" s="7">
        <v>24597272</v>
      </c>
      <c r="E282" s="7">
        <v>24721239</v>
      </c>
      <c r="F282" s="7">
        <v>41533180.219999999</v>
      </c>
      <c r="G282" s="7">
        <v>25171012.299999997</v>
      </c>
      <c r="H282" s="7">
        <v>3272433.5840000007</v>
      </c>
      <c r="I282" s="7">
        <v>38260746.636</v>
      </c>
      <c r="J282" s="7">
        <v>194295505</v>
      </c>
      <c r="M282" s="7">
        <v>194295505</v>
      </c>
      <c r="N282" s="7">
        <v>116577303</v>
      </c>
      <c r="T282" s="7">
        <v>140322677</v>
      </c>
      <c r="W282" s="7">
        <v>140322677</v>
      </c>
      <c r="X282" s="7">
        <v>84193606.200000003</v>
      </c>
      <c r="Y282" s="7">
        <v>-84193606.200000003</v>
      </c>
      <c r="Z282" s="7">
        <v>32383696.799999997</v>
      </c>
      <c r="AA282" s="7">
        <v>1245995.4065999999</v>
      </c>
      <c r="AB282" s="7">
        <v>17947860</v>
      </c>
      <c r="AC282" s="7">
        <v>-13316805.570600005</v>
      </c>
      <c r="AD282" s="17">
        <v>0.84639479485561797</v>
      </c>
      <c r="AE282" s="5">
        <f>SUMIFS(PGĐ!$H:$H,PGĐ!$F:$F,"="&amp;'HQ2'!B282,PGĐ!$I:$I,"="&amp;'HQ2'!A282)</f>
        <v>55148850</v>
      </c>
      <c r="AF282" s="17"/>
      <c r="AG282" s="7">
        <f>SUMIFS(ĐMCP!$Q:$Q,ĐMCP!$P:$P,"="&amp;'HQ2'!B282,ĐMCP!$O:$O,"="&amp;'HQ2'!A282)</f>
        <v>17947859.873144511</v>
      </c>
      <c r="AH282" s="7">
        <f t="shared" si="4"/>
        <v>-0.12685548886656761</v>
      </c>
    </row>
    <row r="283" spans="1:34" x14ac:dyDescent="0.25">
      <c r="A283" s="123" t="s">
        <v>79</v>
      </c>
      <c r="B283" s="16" t="s">
        <v>273</v>
      </c>
      <c r="AB283" s="7">
        <v>0</v>
      </c>
      <c r="AC283" s="7">
        <v>0</v>
      </c>
      <c r="AD283" s="17"/>
      <c r="AE283" s="5">
        <f>SUMIFS(PGĐ!$H:$H,PGĐ!$F:$F,"="&amp;'HQ2'!B283,PGĐ!$I:$I,"="&amp;'HQ2'!A283)</f>
        <v>0</v>
      </c>
      <c r="AF283" s="17"/>
      <c r="AG283" s="7">
        <f>SUMIFS(ĐMCP!$Q:$Q,ĐMCP!$P:$P,"="&amp;'HQ2'!B283,ĐMCP!$O:$O,"="&amp;'HQ2'!A283)</f>
        <v>0</v>
      </c>
      <c r="AH283" s="7">
        <f t="shared" si="4"/>
        <v>0</v>
      </c>
    </row>
    <row r="284" spans="1:34" x14ac:dyDescent="0.25">
      <c r="A284" s="123" t="s">
        <v>79</v>
      </c>
      <c r="B284" s="16" t="s">
        <v>23</v>
      </c>
      <c r="AB284" s="7">
        <v>0</v>
      </c>
      <c r="AC284" s="7">
        <v>0</v>
      </c>
      <c r="AD284" s="17"/>
      <c r="AE284" s="5">
        <f>SUMIFS(PGĐ!$H:$H,PGĐ!$F:$F,"="&amp;'HQ2'!B284,PGĐ!$I:$I,"="&amp;'HQ2'!A284)</f>
        <v>0</v>
      </c>
      <c r="AF284" s="17"/>
      <c r="AG284" s="7">
        <f>SUMIFS(ĐMCP!$Q:$Q,ĐMCP!$P:$P,"="&amp;'HQ2'!B284,ĐMCP!$O:$O,"="&amp;'HQ2'!A284)</f>
        <v>0</v>
      </c>
      <c r="AH284" s="7">
        <f t="shared" si="4"/>
        <v>0</v>
      </c>
    </row>
    <row r="285" spans="1:34" x14ac:dyDescent="0.25">
      <c r="A285" s="123" t="s">
        <v>79</v>
      </c>
      <c r="B285" s="16" t="s">
        <v>272</v>
      </c>
      <c r="O285" s="7">
        <v>3949941</v>
      </c>
      <c r="R285" s="7">
        <v>3949941</v>
      </c>
      <c r="S285" s="7">
        <v>3159952.8000000003</v>
      </c>
      <c r="Y285" s="7">
        <v>3159952.8000000003</v>
      </c>
      <c r="Z285" s="7">
        <v>3159952.8000000003</v>
      </c>
      <c r="AB285" s="7">
        <v>0</v>
      </c>
      <c r="AC285" s="7">
        <v>-3159952.8000000003</v>
      </c>
      <c r="AD285" t="s">
        <v>275</v>
      </c>
      <c r="AE285" s="5">
        <f>SUMIFS(PGĐ!$H:$H,PGĐ!$F:$F,"="&amp;'HQ2'!B285,PGĐ!$I:$I,"="&amp;'HQ2'!A285)</f>
        <v>0</v>
      </c>
      <c r="AG285" s="7">
        <f>SUMIFS(ĐMCP!$Q:$Q,ĐMCP!$P:$P,"="&amp;'HQ2'!B285,ĐMCP!$O:$O,"="&amp;'HQ2'!A285)</f>
        <v>0</v>
      </c>
      <c r="AH285" s="7">
        <f t="shared" si="4"/>
        <v>0</v>
      </c>
    </row>
    <row r="286" spans="1:34" x14ac:dyDescent="0.25">
      <c r="A286" s="123" t="s">
        <v>80</v>
      </c>
      <c r="B286" s="15" t="s">
        <v>45</v>
      </c>
      <c r="C286" s="132">
        <v>3791928642</v>
      </c>
      <c r="D286" s="132">
        <v>2257669171</v>
      </c>
      <c r="E286" s="132">
        <v>1534259471</v>
      </c>
      <c r="F286" s="132">
        <v>3215455681.7199998</v>
      </c>
      <c r="G286" s="132">
        <v>4120415826.9000001</v>
      </c>
      <c r="H286" s="132">
        <v>-144528014.4585</v>
      </c>
      <c r="I286" s="132">
        <v>3359983696.1784997</v>
      </c>
      <c r="J286" s="132">
        <v>720859379</v>
      </c>
      <c r="K286" s="132"/>
      <c r="L286" s="132">
        <v>720859379</v>
      </c>
      <c r="M286" s="132">
        <v>0</v>
      </c>
      <c r="N286" s="132">
        <v>720859379</v>
      </c>
      <c r="O286" s="132"/>
      <c r="P286" s="132"/>
      <c r="Q286" s="132"/>
      <c r="R286" s="132"/>
      <c r="S286" s="132"/>
      <c r="T286" s="132"/>
      <c r="U286" s="132"/>
      <c r="V286" s="132"/>
      <c r="W286" s="132"/>
      <c r="X286" s="132"/>
      <c r="Y286" s="132"/>
      <c r="Z286" s="132">
        <v>720859379</v>
      </c>
      <c r="AA286" s="132">
        <v>96463670.451599985</v>
      </c>
      <c r="AB286" s="132">
        <v>1291598861</v>
      </c>
      <c r="AC286" s="132">
        <v>1251061785.7269001</v>
      </c>
      <c r="AD286" s="96">
        <v>0.21454252287589201</v>
      </c>
      <c r="AE286" s="5">
        <f>SUMIFS(PGĐ!$H:$H,PGĐ!$F:$F,"="&amp;'HQ2'!B286,PGĐ!$I:$I,"="&amp;'HQ2'!A286)</f>
        <v>0</v>
      </c>
      <c r="AF286" s="96"/>
      <c r="AG286" s="7">
        <f>SUMIFS(ĐMCP!$Q:$Q,ĐMCP!$P:$P,"="&amp;'HQ2'!B286,ĐMCP!$O:$O,"="&amp;'HQ2'!A286)</f>
        <v>0</v>
      </c>
      <c r="AH286" s="7">
        <f t="shared" si="4"/>
        <v>0</v>
      </c>
    </row>
    <row r="287" spans="1:34" x14ac:dyDescent="0.25">
      <c r="A287" s="123" t="s">
        <v>80</v>
      </c>
      <c r="B287" s="16" t="s">
        <v>272</v>
      </c>
      <c r="C287" s="7">
        <v>1414176833</v>
      </c>
      <c r="D287" s="7">
        <v>1356639083</v>
      </c>
      <c r="E287" s="7">
        <v>57537750</v>
      </c>
      <c r="F287" s="7">
        <v>1314487742.605</v>
      </c>
      <c r="G287" s="7">
        <v>1113673335.2</v>
      </c>
      <c r="H287" s="7">
        <v>40162881.480999999</v>
      </c>
      <c r="I287" s="7">
        <v>1274324861.1240001</v>
      </c>
      <c r="J287" s="7">
        <v>720859379</v>
      </c>
      <c r="L287" s="7">
        <v>720859379</v>
      </c>
      <c r="M287" s="7">
        <v>0</v>
      </c>
      <c r="N287" s="7">
        <v>720859379</v>
      </c>
      <c r="Z287" s="7">
        <v>720859379</v>
      </c>
      <c r="AA287" s="7">
        <v>39434632.27815</v>
      </c>
      <c r="AB287" s="7">
        <v>522057260</v>
      </c>
      <c r="AC287" s="7">
        <v>-8026410.1541499272</v>
      </c>
      <c r="AD287" s="17">
        <v>0.56567944406591597</v>
      </c>
      <c r="AE287" s="5">
        <f>SUMIFS(PGĐ!$H:$H,PGĐ!$F:$F,"="&amp;'HQ2'!B287,PGĐ!$I:$I,"="&amp;'HQ2'!A287)</f>
        <v>48125000</v>
      </c>
      <c r="AF287" s="17"/>
      <c r="AG287" s="7">
        <f>SUMIFS(ĐMCP!$Q:$Q,ĐMCP!$P:$P,"="&amp;'HQ2'!B287,ĐMCP!$O:$O,"="&amp;'HQ2'!A287)</f>
        <v>522057259.80923069</v>
      </c>
      <c r="AH287" s="7">
        <f t="shared" si="4"/>
        <v>-0.19076931476593018</v>
      </c>
    </row>
    <row r="288" spans="1:34" x14ac:dyDescent="0.25">
      <c r="A288" s="123" t="s">
        <v>80</v>
      </c>
      <c r="B288" s="16" t="s">
        <v>268</v>
      </c>
      <c r="C288" s="7">
        <v>1331108739</v>
      </c>
      <c r="D288" s="7">
        <v>311982051</v>
      </c>
      <c r="E288" s="7">
        <v>1019126688</v>
      </c>
      <c r="F288" s="7">
        <v>1016011271.0699999</v>
      </c>
      <c r="G288" s="7">
        <v>987487157.29999995</v>
      </c>
      <c r="H288" s="7">
        <v>4278617.0654999968</v>
      </c>
      <c r="I288" s="7">
        <v>1011732654.0044999</v>
      </c>
      <c r="AA288" s="7">
        <v>30480338.132099997</v>
      </c>
      <c r="AB288" s="7">
        <v>353209520</v>
      </c>
      <c r="AC288" s="7">
        <v>628042795.87239993</v>
      </c>
      <c r="AD288" s="17"/>
      <c r="AE288" s="5">
        <f>SUMIFS(PGĐ!$H:$H,PGĐ!$F:$F,"="&amp;'HQ2'!B288,PGĐ!$I:$I,"="&amp;'HQ2'!A288)</f>
        <v>0</v>
      </c>
      <c r="AF288" s="17"/>
      <c r="AG288" s="7">
        <f>SUMIFS(ĐMCP!$Q:$Q,ĐMCP!$P:$P,"="&amp;'HQ2'!B288,ĐMCP!$O:$O,"="&amp;'HQ2'!A288)</f>
        <v>353209520.24253052</v>
      </c>
      <c r="AH288" s="7">
        <f t="shared" si="4"/>
        <v>0.24253052473068237</v>
      </c>
    </row>
    <row r="289" spans="1:34" x14ac:dyDescent="0.25">
      <c r="A289" s="123" t="s">
        <v>80</v>
      </c>
      <c r="B289" s="16" t="s">
        <v>270</v>
      </c>
      <c r="C289" s="7">
        <v>691466051</v>
      </c>
      <c r="D289" s="7">
        <v>564791844</v>
      </c>
      <c r="E289" s="7">
        <v>126674207</v>
      </c>
      <c r="F289" s="7">
        <v>629419739.74000001</v>
      </c>
      <c r="G289" s="7">
        <v>1008321942.4000001</v>
      </c>
      <c r="H289" s="7">
        <v>-37890220.26600001</v>
      </c>
      <c r="I289" s="7">
        <v>667309960.00600004</v>
      </c>
      <c r="AA289" s="7">
        <v>18882592.192200001</v>
      </c>
      <c r="AB289" s="7">
        <v>368803941</v>
      </c>
      <c r="AC289" s="7">
        <v>279623426.81380004</v>
      </c>
      <c r="AD289" s="17"/>
      <c r="AE289" s="5">
        <f>SUMIFS(PGĐ!$H:$H,PGĐ!$F:$F,"="&amp;'HQ2'!B289,PGĐ!$I:$I,"="&amp;'HQ2'!A289)</f>
        <v>0</v>
      </c>
      <c r="AF289" s="17"/>
      <c r="AG289" s="7">
        <f>SUMIFS(ĐMCP!$Q:$Q,ĐMCP!$P:$P,"="&amp;'HQ2'!B289,ĐMCP!$O:$O,"="&amp;'HQ2'!A289)</f>
        <v>368803940.74231237</v>
      </c>
      <c r="AH289" s="7">
        <f t="shared" si="4"/>
        <v>-0.25768762826919556</v>
      </c>
    </row>
    <row r="290" spans="1:34" x14ac:dyDescent="0.25">
      <c r="A290" s="123" t="s">
        <v>80</v>
      </c>
      <c r="B290" s="16" t="s">
        <v>271</v>
      </c>
      <c r="C290" s="7">
        <v>355177019</v>
      </c>
      <c r="D290" s="7">
        <v>24256193</v>
      </c>
      <c r="E290" s="7">
        <v>330920826</v>
      </c>
      <c r="F290" s="7">
        <v>255536928.30499998</v>
      </c>
      <c r="G290" s="7">
        <v>1010933391.9999999</v>
      </c>
      <c r="H290" s="7">
        <v>-151079292.73899999</v>
      </c>
      <c r="I290" s="7">
        <v>406616221.04399997</v>
      </c>
      <c r="AA290" s="7">
        <v>7666107.8491499992</v>
      </c>
      <c r="AB290" s="7">
        <v>47528140</v>
      </c>
      <c r="AC290" s="7">
        <v>351421973.19484997</v>
      </c>
      <c r="AD290" s="17"/>
      <c r="AE290" s="5">
        <f>SUMIFS(PGĐ!$H:$H,PGĐ!$F:$F,"="&amp;'HQ2'!B290,PGĐ!$I:$I,"="&amp;'HQ2'!A290)</f>
        <v>0</v>
      </c>
      <c r="AF290" s="17"/>
      <c r="AG290" s="7">
        <f>SUMIFS(ĐMCP!$Q:$Q,ĐMCP!$P:$P,"="&amp;'HQ2'!B290,ĐMCP!$O:$O,"="&amp;'HQ2'!A290)</f>
        <v>47528140.222387902</v>
      </c>
      <c r="AH290" s="7">
        <f t="shared" si="4"/>
        <v>0.22238790243864059</v>
      </c>
    </row>
    <row r="291" spans="1:34" x14ac:dyDescent="0.25">
      <c r="A291" s="123" t="s">
        <v>80</v>
      </c>
      <c r="B291" s="16" t="s">
        <v>269</v>
      </c>
      <c r="AB291" s="7">
        <v>0</v>
      </c>
      <c r="AC291" s="7">
        <v>0</v>
      </c>
      <c r="AD291" s="17"/>
      <c r="AE291" s="5">
        <f>SUMIFS(PGĐ!$H:$H,PGĐ!$F:$F,"="&amp;'HQ2'!B291,PGĐ!$I:$I,"="&amp;'HQ2'!A291)</f>
        <v>0</v>
      </c>
      <c r="AF291" s="17"/>
      <c r="AG291" s="7">
        <f>SUMIFS(ĐMCP!$Q:$Q,ĐMCP!$P:$P,"="&amp;'HQ2'!B291,ĐMCP!$O:$O,"="&amp;'HQ2'!A291)</f>
        <v>0</v>
      </c>
      <c r="AH291" s="7">
        <f t="shared" si="4"/>
        <v>0</v>
      </c>
    </row>
    <row r="292" spans="1:34" x14ac:dyDescent="0.25">
      <c r="A292" s="123" t="s">
        <v>80</v>
      </c>
      <c r="B292" s="16" t="s">
        <v>273</v>
      </c>
      <c r="AB292" s="7">
        <v>0</v>
      </c>
      <c r="AC292" s="7">
        <v>0</v>
      </c>
      <c r="AD292" s="17"/>
      <c r="AE292" s="5">
        <f>SUMIFS(PGĐ!$H:$H,PGĐ!$F:$F,"="&amp;'HQ2'!B292,PGĐ!$I:$I,"="&amp;'HQ2'!A292)</f>
        <v>0</v>
      </c>
      <c r="AF292" s="17"/>
      <c r="AG292" s="7">
        <f>SUMIFS(ĐMCP!$Q:$Q,ĐMCP!$P:$P,"="&amp;'HQ2'!B292,ĐMCP!$O:$O,"="&amp;'HQ2'!A292)</f>
        <v>0</v>
      </c>
      <c r="AH292" s="7">
        <f t="shared" si="4"/>
        <v>0</v>
      </c>
    </row>
    <row r="293" spans="1:34" x14ac:dyDescent="0.25">
      <c r="A293" s="123" t="s">
        <v>80</v>
      </c>
      <c r="B293" s="16" t="s">
        <v>23</v>
      </c>
      <c r="AB293" s="7">
        <v>0</v>
      </c>
      <c r="AC293" s="7">
        <v>0</v>
      </c>
      <c r="AD293" s="17"/>
      <c r="AE293" s="5">
        <f>SUMIFS(PGĐ!$H:$H,PGĐ!$F:$F,"="&amp;'HQ2'!B293,PGĐ!$I:$I,"="&amp;'HQ2'!A293)</f>
        <v>0</v>
      </c>
      <c r="AF293" s="17"/>
      <c r="AG293" s="7">
        <f>SUMIFS(ĐMCP!$Q:$Q,ĐMCP!$P:$P,"="&amp;'HQ2'!B293,ĐMCP!$O:$O,"="&amp;'HQ2'!A293)</f>
        <v>0</v>
      </c>
      <c r="AH293" s="7">
        <f t="shared" si="4"/>
        <v>0</v>
      </c>
    </row>
    <row r="294" spans="1:34" x14ac:dyDescent="0.25">
      <c r="A294" s="123" t="s">
        <v>81</v>
      </c>
      <c r="B294" s="15" t="s">
        <v>45</v>
      </c>
      <c r="C294" s="132">
        <v>3972292333</v>
      </c>
      <c r="D294" s="132">
        <v>1260773266</v>
      </c>
      <c r="E294" s="132">
        <v>2711519067</v>
      </c>
      <c r="F294" s="132">
        <v>3176798128.105</v>
      </c>
      <c r="G294" s="132">
        <v>3373905942.9999995</v>
      </c>
      <c r="H294" s="132">
        <v>-18496540.138499975</v>
      </c>
      <c r="I294" s="132">
        <v>3195294668.2434998</v>
      </c>
      <c r="J294" s="132">
        <v>7000000000</v>
      </c>
      <c r="K294" s="132">
        <v>7000000000</v>
      </c>
      <c r="L294" s="132"/>
      <c r="M294" s="132">
        <v>0</v>
      </c>
      <c r="N294" s="132">
        <v>356925723</v>
      </c>
      <c r="O294" s="132">
        <v>7468841967</v>
      </c>
      <c r="P294" s="132">
        <v>7231549030</v>
      </c>
      <c r="Q294" s="132"/>
      <c r="R294" s="132">
        <v>237292937</v>
      </c>
      <c r="S294" s="132">
        <v>512283645.60999995</v>
      </c>
      <c r="T294" s="132">
        <v>12483741967</v>
      </c>
      <c r="U294" s="132">
        <v>12246449030</v>
      </c>
      <c r="V294" s="132"/>
      <c r="W294" s="132">
        <v>237292937</v>
      </c>
      <c r="X294" s="132">
        <v>700129969.75999999</v>
      </c>
      <c r="Y294" s="132">
        <v>-187846324.15000004</v>
      </c>
      <c r="Z294" s="132">
        <v>169079398.84999996</v>
      </c>
      <c r="AA294" s="132">
        <v>95303943.84314999</v>
      </c>
      <c r="AB294" s="132">
        <v>1010735636</v>
      </c>
      <c r="AC294" s="132">
        <v>1920175689.5503497</v>
      </c>
      <c r="AD294" s="96">
        <v>5.2915119388017316E-2</v>
      </c>
      <c r="AE294" s="5">
        <f>SUMIFS(PGĐ!$H:$H,PGĐ!$F:$F,"="&amp;'HQ2'!B294,PGĐ!$I:$I,"="&amp;'HQ2'!A294)</f>
        <v>0</v>
      </c>
      <c r="AF294" s="96"/>
      <c r="AG294" s="7">
        <f>SUMIFS(ĐMCP!$Q:$Q,ĐMCP!$P:$P,"="&amp;'HQ2'!B294,ĐMCP!$O:$O,"="&amp;'HQ2'!A294)</f>
        <v>0</v>
      </c>
      <c r="AH294" s="7">
        <f t="shared" si="4"/>
        <v>0</v>
      </c>
    </row>
    <row r="295" spans="1:34" x14ac:dyDescent="0.25">
      <c r="A295" s="123" t="s">
        <v>81</v>
      </c>
      <c r="B295" s="16" t="s">
        <v>268</v>
      </c>
      <c r="C295" s="7">
        <v>2804323614</v>
      </c>
      <c r="D295" s="7">
        <v>945133967</v>
      </c>
      <c r="E295" s="7">
        <v>1859189647</v>
      </c>
      <c r="F295" s="7">
        <v>2218212700.8899999</v>
      </c>
      <c r="G295" s="7">
        <v>1997091618.8999999</v>
      </c>
      <c r="H295" s="7">
        <v>33168162.298500001</v>
      </c>
      <c r="I295" s="7">
        <v>2185044538.5914998</v>
      </c>
      <c r="J295" s="7">
        <v>7000000000</v>
      </c>
      <c r="K295" s="7">
        <v>7000000000</v>
      </c>
      <c r="M295" s="7">
        <v>0</v>
      </c>
      <c r="N295" s="7">
        <v>356925723</v>
      </c>
      <c r="O295" s="7">
        <v>7231549030</v>
      </c>
      <c r="P295" s="7">
        <v>7231549030</v>
      </c>
      <c r="R295" s="7">
        <v>0</v>
      </c>
      <c r="S295" s="7">
        <v>369907883.40999997</v>
      </c>
      <c r="T295" s="7">
        <v>12246449030</v>
      </c>
      <c r="U295" s="7">
        <v>12246449030</v>
      </c>
      <c r="W295" s="7">
        <v>0</v>
      </c>
      <c r="X295" s="7">
        <v>557754207.55999994</v>
      </c>
      <c r="Y295" s="7">
        <v>-187846324.14999998</v>
      </c>
      <c r="Z295" s="7">
        <v>169079398.85000002</v>
      </c>
      <c r="AA295" s="7">
        <v>66546381.02669999</v>
      </c>
      <c r="AB295" s="7">
        <v>725613074</v>
      </c>
      <c r="AC295" s="7">
        <v>1223805684.7147999</v>
      </c>
      <c r="AD295" s="17">
        <v>7.7380298599766847E-2</v>
      </c>
      <c r="AE295" s="5">
        <f>SUMIFS(PGĐ!$H:$H,PGĐ!$F:$F,"="&amp;'HQ2'!B295,PGĐ!$I:$I,"="&amp;'HQ2'!A295)</f>
        <v>0</v>
      </c>
      <c r="AF295" s="17"/>
      <c r="AG295" s="7">
        <f>SUMIFS(ĐMCP!$Q:$Q,ĐMCP!$P:$P,"="&amp;'HQ2'!B295,ĐMCP!$O:$O,"="&amp;'HQ2'!A295)</f>
        <v>725613073.91469765</v>
      </c>
      <c r="AH295" s="7">
        <f t="shared" si="4"/>
        <v>-8.5302352905273438E-2</v>
      </c>
    </row>
    <row r="296" spans="1:34" x14ac:dyDescent="0.25">
      <c r="A296" s="123" t="s">
        <v>81</v>
      </c>
      <c r="B296" s="16" t="s">
        <v>271</v>
      </c>
      <c r="C296" s="7">
        <v>637467482</v>
      </c>
      <c r="D296" s="7">
        <v>315639299</v>
      </c>
      <c r="E296" s="7">
        <v>321828183</v>
      </c>
      <c r="F296" s="7">
        <v>536184437.61500001</v>
      </c>
      <c r="G296" s="7">
        <v>634602565.0999999</v>
      </c>
      <c r="H296" s="7">
        <v>-19683625.496999979</v>
      </c>
      <c r="I296" s="7">
        <v>555868063.11199999</v>
      </c>
      <c r="O296" s="7">
        <v>237292937</v>
      </c>
      <c r="R296" s="7">
        <v>237292937</v>
      </c>
      <c r="S296" s="7">
        <v>142375762.19999999</v>
      </c>
      <c r="T296" s="7">
        <v>237292937</v>
      </c>
      <c r="W296" s="7">
        <v>237292937</v>
      </c>
      <c r="X296" s="7">
        <v>142375762.19999999</v>
      </c>
      <c r="Y296" s="7">
        <v>0</v>
      </c>
      <c r="Z296" s="7">
        <v>0</v>
      </c>
      <c r="AA296" s="7">
        <v>16085533.128449999</v>
      </c>
      <c r="AB296" s="7">
        <v>201060640</v>
      </c>
      <c r="AC296" s="7">
        <v>338721889.98355001</v>
      </c>
      <c r="AD296" s="17">
        <v>0</v>
      </c>
      <c r="AE296" s="5">
        <f>SUMIFS(PGĐ!$H:$H,PGĐ!$F:$F,"="&amp;'HQ2'!B296,PGĐ!$I:$I,"="&amp;'HQ2'!A296)</f>
        <v>0</v>
      </c>
      <c r="AF296" s="17"/>
      <c r="AG296" s="7">
        <f>SUMIFS(ĐMCP!$Q:$Q,ĐMCP!$P:$P,"="&amp;'HQ2'!B296,ĐMCP!$O:$O,"="&amp;'HQ2'!A296)</f>
        <v>201060639.79312789</v>
      </c>
      <c r="AH296" s="7">
        <f t="shared" si="4"/>
        <v>-0.20687210559844971</v>
      </c>
    </row>
    <row r="297" spans="1:34" x14ac:dyDescent="0.25">
      <c r="A297" s="123" t="s">
        <v>81</v>
      </c>
      <c r="B297" s="16" t="s">
        <v>270</v>
      </c>
      <c r="C297" s="7">
        <v>520501237</v>
      </c>
      <c r="E297" s="7">
        <v>520501237</v>
      </c>
      <c r="F297" s="7">
        <v>416400989.60000002</v>
      </c>
      <c r="G297" s="7">
        <v>405103268</v>
      </c>
      <c r="H297" s="7">
        <v>1129772.1600000025</v>
      </c>
      <c r="I297" s="7">
        <v>415271217.44</v>
      </c>
      <c r="AA297" s="7">
        <v>12492029.688000001</v>
      </c>
      <c r="AB297" s="7">
        <v>81258446</v>
      </c>
      <c r="AC297" s="7">
        <v>321520741.75199997</v>
      </c>
      <c r="AD297" s="17"/>
      <c r="AE297" s="5">
        <f>SUMIFS(PGĐ!$H:$H,PGĐ!$F:$F,"="&amp;'HQ2'!B297,PGĐ!$I:$I,"="&amp;'HQ2'!A297)</f>
        <v>0</v>
      </c>
      <c r="AF297" s="17"/>
      <c r="AG297" s="7">
        <f>SUMIFS(ĐMCP!$Q:$Q,ĐMCP!$P:$P,"="&amp;'HQ2'!B297,ĐMCP!$O:$O,"="&amp;'HQ2'!A297)</f>
        <v>81258446.384031907</v>
      </c>
      <c r="AH297" s="7">
        <f t="shared" si="4"/>
        <v>0.38403190672397614</v>
      </c>
    </row>
    <row r="298" spans="1:34" x14ac:dyDescent="0.25">
      <c r="A298" s="123" t="s">
        <v>81</v>
      </c>
      <c r="B298" s="16" t="s">
        <v>269</v>
      </c>
      <c r="C298" s="7">
        <v>10000000</v>
      </c>
      <c r="E298" s="7">
        <v>10000000</v>
      </c>
      <c r="F298" s="7">
        <v>6000000</v>
      </c>
      <c r="G298" s="7">
        <v>337108491</v>
      </c>
      <c r="H298" s="7">
        <v>-33110849.100000001</v>
      </c>
      <c r="I298" s="7">
        <v>39110849.100000001</v>
      </c>
      <c r="AA298" s="7">
        <v>180000</v>
      </c>
      <c r="AB298" s="7">
        <v>2803476</v>
      </c>
      <c r="AC298" s="7">
        <v>36127373.100000001</v>
      </c>
      <c r="AD298" s="17"/>
      <c r="AE298" s="5">
        <f>SUMIFS(PGĐ!$H:$H,PGĐ!$F:$F,"="&amp;'HQ2'!B298,PGĐ!$I:$I,"="&amp;'HQ2'!A298)</f>
        <v>0</v>
      </c>
      <c r="AF298" s="17"/>
      <c r="AG298" s="7">
        <f>SUMIFS(ĐMCP!$Q:$Q,ĐMCP!$P:$P,"="&amp;'HQ2'!B298,ĐMCP!$O:$O,"="&amp;'HQ2'!A298)</f>
        <v>2803475.9397298791</v>
      </c>
      <c r="AH298" s="7">
        <f t="shared" si="4"/>
        <v>-6.0270120855420828E-2</v>
      </c>
    </row>
    <row r="299" spans="1:34" x14ac:dyDescent="0.25">
      <c r="A299" s="123" t="s">
        <v>81</v>
      </c>
      <c r="B299" s="16" t="s">
        <v>273</v>
      </c>
      <c r="AB299" s="7">
        <v>0</v>
      </c>
      <c r="AC299" s="7">
        <v>0</v>
      </c>
      <c r="AD299" s="17"/>
      <c r="AE299" s="5">
        <f>SUMIFS(PGĐ!$H:$H,PGĐ!$F:$F,"="&amp;'HQ2'!B299,PGĐ!$I:$I,"="&amp;'HQ2'!A299)</f>
        <v>0</v>
      </c>
      <c r="AF299" s="17"/>
      <c r="AG299" s="7">
        <f>SUMIFS(ĐMCP!$Q:$Q,ĐMCP!$P:$P,"="&amp;'HQ2'!B299,ĐMCP!$O:$O,"="&amp;'HQ2'!A299)</f>
        <v>0</v>
      </c>
      <c r="AH299" s="7">
        <f t="shared" si="4"/>
        <v>0</v>
      </c>
    </row>
    <row r="300" spans="1:34" x14ac:dyDescent="0.25">
      <c r="A300" s="123" t="s">
        <v>81</v>
      </c>
      <c r="B300" s="16" t="s">
        <v>23</v>
      </c>
      <c r="AB300" s="7">
        <v>0</v>
      </c>
      <c r="AC300" s="7">
        <v>0</v>
      </c>
      <c r="AD300" s="17"/>
      <c r="AE300" s="5">
        <f>SUMIFS(PGĐ!$H:$H,PGĐ!$F:$F,"="&amp;'HQ2'!B300,PGĐ!$I:$I,"="&amp;'HQ2'!A300)</f>
        <v>0</v>
      </c>
      <c r="AF300" s="17"/>
      <c r="AG300" s="7">
        <f>SUMIFS(ĐMCP!$Q:$Q,ĐMCP!$P:$P,"="&amp;'HQ2'!B300,ĐMCP!$O:$O,"="&amp;'HQ2'!A300)</f>
        <v>0</v>
      </c>
      <c r="AH300" s="7">
        <f t="shared" si="4"/>
        <v>0</v>
      </c>
    </row>
    <row r="301" spans="1:34" x14ac:dyDescent="0.25">
      <c r="A301" s="123" t="s">
        <v>81</v>
      </c>
      <c r="B301" s="16" t="s">
        <v>272</v>
      </c>
      <c r="AB301" s="7">
        <v>0</v>
      </c>
      <c r="AC301" s="7">
        <v>0</v>
      </c>
      <c r="AD301" s="17"/>
      <c r="AE301" s="5">
        <f>SUMIFS(PGĐ!$H:$H,PGĐ!$F:$F,"="&amp;'HQ2'!B301,PGĐ!$I:$I,"="&amp;'HQ2'!A301)</f>
        <v>0</v>
      </c>
      <c r="AF301" s="17"/>
      <c r="AG301" s="7">
        <f>SUMIFS(ĐMCP!$Q:$Q,ĐMCP!$P:$P,"="&amp;'HQ2'!B301,ĐMCP!$O:$O,"="&amp;'HQ2'!A301)</f>
        <v>0</v>
      </c>
      <c r="AH301" s="7">
        <f t="shared" si="4"/>
        <v>0</v>
      </c>
    </row>
    <row r="302" spans="1:34" x14ac:dyDescent="0.25">
      <c r="A302" s="123" t="s">
        <v>82</v>
      </c>
      <c r="B302" s="15" t="s">
        <v>45</v>
      </c>
      <c r="C302" s="132">
        <v>3641355328</v>
      </c>
      <c r="D302" s="132">
        <v>2258945147</v>
      </c>
      <c r="E302" s="132">
        <v>1382410181</v>
      </c>
      <c r="F302" s="132">
        <v>3102733034.46</v>
      </c>
      <c r="G302" s="132">
        <v>2535193028.0999999</v>
      </c>
      <c r="H302" s="132">
        <v>92521733.362499997</v>
      </c>
      <c r="I302" s="132">
        <v>3010211301.0974998</v>
      </c>
      <c r="J302" s="132">
        <v>157443000</v>
      </c>
      <c r="K302" s="132"/>
      <c r="L302" s="132">
        <v>108855000</v>
      </c>
      <c r="M302" s="132">
        <v>48588000</v>
      </c>
      <c r="N302" s="132">
        <v>135578400</v>
      </c>
      <c r="O302" s="132">
        <v>1056206310</v>
      </c>
      <c r="P302" s="132"/>
      <c r="Q302" s="132">
        <v>539216200</v>
      </c>
      <c r="R302" s="132">
        <v>516990110</v>
      </c>
      <c r="S302" s="132">
        <v>852060266</v>
      </c>
      <c r="T302" s="132">
        <v>825759010</v>
      </c>
      <c r="U302" s="132"/>
      <c r="V302" s="132">
        <v>408768900</v>
      </c>
      <c r="W302" s="132">
        <v>416990110</v>
      </c>
      <c r="X302" s="132">
        <v>641612966</v>
      </c>
      <c r="Y302" s="132">
        <v>210447300</v>
      </c>
      <c r="Z302" s="132">
        <v>346025700</v>
      </c>
      <c r="AA302" s="132">
        <v>93081991.033799991</v>
      </c>
      <c r="AB302" s="132">
        <v>857040984</v>
      </c>
      <c r="AC302" s="132">
        <v>1714062626.0636997</v>
      </c>
      <c r="AD302" s="96">
        <v>0.1149506348188387</v>
      </c>
      <c r="AE302" s="5">
        <f>SUMIFS(PGĐ!$H:$H,PGĐ!$F:$F,"="&amp;'HQ2'!B302,PGĐ!$I:$I,"="&amp;'HQ2'!A302)</f>
        <v>0</v>
      </c>
      <c r="AF302" s="96"/>
      <c r="AG302" s="7">
        <f>SUMIFS(ĐMCP!$Q:$Q,ĐMCP!$P:$P,"="&amp;'HQ2'!B302,ĐMCP!$O:$O,"="&amp;'HQ2'!A302)</f>
        <v>0</v>
      </c>
      <c r="AH302" s="7">
        <f t="shared" si="4"/>
        <v>0</v>
      </c>
    </row>
    <row r="303" spans="1:34" x14ac:dyDescent="0.25">
      <c r="A303" s="123" t="s">
        <v>82</v>
      </c>
      <c r="B303" s="16" t="s">
        <v>272</v>
      </c>
      <c r="C303" s="7">
        <v>1241514895</v>
      </c>
      <c r="D303" s="7">
        <v>1228119167</v>
      </c>
      <c r="E303" s="7">
        <v>13395728</v>
      </c>
      <c r="F303" s="7">
        <v>1159008003.5450001</v>
      </c>
      <c r="G303" s="7">
        <v>1454729451.2</v>
      </c>
      <c r="H303" s="7">
        <v>-59144289.530999996</v>
      </c>
      <c r="I303" s="7">
        <v>1218152293.076</v>
      </c>
      <c r="J303" s="7">
        <v>108855000</v>
      </c>
      <c r="L303" s="7">
        <v>108855000</v>
      </c>
      <c r="M303" s="7">
        <v>0</v>
      </c>
      <c r="N303" s="7">
        <v>108855000</v>
      </c>
      <c r="O303" s="7">
        <v>230447300</v>
      </c>
      <c r="Q303" s="7">
        <v>130447300</v>
      </c>
      <c r="R303" s="7">
        <v>100000000</v>
      </c>
      <c r="S303" s="7">
        <v>210447300</v>
      </c>
      <c r="Y303" s="7">
        <v>210447300</v>
      </c>
      <c r="Z303" s="7">
        <v>319302300</v>
      </c>
      <c r="AA303" s="7">
        <v>34770240.106350005</v>
      </c>
      <c r="AB303" s="7">
        <v>459382516</v>
      </c>
      <c r="AC303" s="7">
        <v>404697236.96964997</v>
      </c>
      <c r="AD303" s="17">
        <v>0.26212018137216514</v>
      </c>
      <c r="AE303" s="5">
        <f>SUMIFS(PGĐ!$H:$H,PGĐ!$F:$F,"="&amp;'HQ2'!B303,PGĐ!$I:$I,"="&amp;'HQ2'!A303)</f>
        <v>39006000</v>
      </c>
      <c r="AF303" s="17"/>
      <c r="AG303" s="7">
        <f>SUMIFS(ĐMCP!$Q:$Q,ĐMCP!$P:$P,"="&amp;'HQ2'!B303,ĐMCP!$O:$O,"="&amp;'HQ2'!A303)</f>
        <v>459382515.68965554</v>
      </c>
      <c r="AH303" s="7">
        <f t="shared" si="4"/>
        <v>-0.31034445762634277</v>
      </c>
    </row>
    <row r="304" spans="1:34" x14ac:dyDescent="0.25">
      <c r="A304" s="123" t="s">
        <v>82</v>
      </c>
      <c r="B304" s="16" t="s">
        <v>268</v>
      </c>
      <c r="C304" s="7">
        <v>1084249857</v>
      </c>
      <c r="D304" s="7">
        <v>499275439</v>
      </c>
      <c r="E304" s="7">
        <v>584974418</v>
      </c>
      <c r="F304" s="7">
        <v>893779268.42999995</v>
      </c>
      <c r="G304" s="7">
        <v>826272050.79999995</v>
      </c>
      <c r="H304" s="7">
        <v>10126082.644499999</v>
      </c>
      <c r="I304" s="7">
        <v>883653185.78549993</v>
      </c>
      <c r="J304" s="7">
        <v>48588000</v>
      </c>
      <c r="M304" s="7">
        <v>48588000</v>
      </c>
      <c r="N304" s="7">
        <v>26723400.000000004</v>
      </c>
      <c r="O304" s="7">
        <v>755768900</v>
      </c>
      <c r="Q304" s="7">
        <v>408768900</v>
      </c>
      <c r="R304" s="7">
        <v>347000000</v>
      </c>
      <c r="S304" s="7">
        <v>599618900</v>
      </c>
      <c r="T304" s="7">
        <v>755768900</v>
      </c>
      <c r="V304" s="7">
        <v>408768900</v>
      </c>
      <c r="W304" s="7">
        <v>347000000</v>
      </c>
      <c r="X304" s="7">
        <v>599618900</v>
      </c>
      <c r="Y304" s="7">
        <v>0</v>
      </c>
      <c r="Z304" s="7">
        <v>26723400.000000004</v>
      </c>
      <c r="AA304" s="7">
        <v>26813378.052899998</v>
      </c>
      <c r="AB304" s="7">
        <v>162348929</v>
      </c>
      <c r="AC304" s="7">
        <v>667767478.73259997</v>
      </c>
      <c r="AD304" s="17">
        <v>3.0241955135650814E-2</v>
      </c>
      <c r="AE304" s="5">
        <f>SUMIFS(PGĐ!$H:$H,PGĐ!$F:$F,"="&amp;'HQ2'!B304,PGĐ!$I:$I,"="&amp;'HQ2'!A304)</f>
        <v>77856840</v>
      </c>
      <c r="AF304" s="17"/>
      <c r="AG304" s="7">
        <f>SUMIFS(ĐMCP!$Q:$Q,ĐMCP!$P:$P,"="&amp;'HQ2'!B304,ĐMCP!$O:$O,"="&amp;'HQ2'!A304)</f>
        <v>162348928.62352848</v>
      </c>
      <c r="AH304" s="7">
        <f t="shared" si="4"/>
        <v>-0.37647151947021484</v>
      </c>
    </row>
    <row r="305" spans="1:34" x14ac:dyDescent="0.25">
      <c r="A305" s="123" t="s">
        <v>82</v>
      </c>
      <c r="B305" s="16" t="s">
        <v>271</v>
      </c>
      <c r="C305" s="7">
        <v>910760929</v>
      </c>
      <c r="D305" s="7">
        <v>202568933</v>
      </c>
      <c r="E305" s="7">
        <v>708191996</v>
      </c>
      <c r="F305" s="7">
        <v>695264796.20499992</v>
      </c>
      <c r="G305" s="7">
        <v>75619630.099999994</v>
      </c>
      <c r="H305" s="7">
        <v>123929033.22099999</v>
      </c>
      <c r="I305" s="7">
        <v>571335762.98399997</v>
      </c>
      <c r="AA305" s="7">
        <v>20857943.886149999</v>
      </c>
      <c r="AB305" s="7">
        <v>66880285</v>
      </c>
      <c r="AC305" s="7">
        <v>483597534.09784997</v>
      </c>
      <c r="AD305" s="17"/>
      <c r="AE305" s="5">
        <f>SUMIFS(PGĐ!$H:$H,PGĐ!$F:$F,"="&amp;'HQ2'!B305,PGĐ!$I:$I,"="&amp;'HQ2'!A305)</f>
        <v>0</v>
      </c>
      <c r="AF305" s="17"/>
      <c r="AG305" s="7">
        <f>SUMIFS(ĐMCP!$Q:$Q,ĐMCP!$P:$P,"="&amp;'HQ2'!B305,ĐMCP!$O:$O,"="&amp;'HQ2'!A305)</f>
        <v>66880285.047468811</v>
      </c>
      <c r="AH305" s="7">
        <f t="shared" si="4"/>
        <v>4.7468811273574829E-2</v>
      </c>
    </row>
    <row r="306" spans="1:34" x14ac:dyDescent="0.25">
      <c r="A306" s="123" t="s">
        <v>82</v>
      </c>
      <c r="B306" s="16" t="s">
        <v>270</v>
      </c>
      <c r="C306" s="7">
        <v>336853305</v>
      </c>
      <c r="D306" s="7">
        <v>328981608</v>
      </c>
      <c r="E306" s="7">
        <v>7871697</v>
      </c>
      <c r="F306" s="7">
        <v>313895161.08000004</v>
      </c>
      <c r="G306" s="7">
        <v>175871896</v>
      </c>
      <c r="H306" s="7">
        <v>13802326.508000005</v>
      </c>
      <c r="I306" s="7">
        <v>300092834.57200003</v>
      </c>
      <c r="O306" s="7">
        <v>69990110</v>
      </c>
      <c r="R306" s="7">
        <v>69990110</v>
      </c>
      <c r="S306" s="7">
        <v>41994066</v>
      </c>
      <c r="T306" s="7">
        <v>69990110</v>
      </c>
      <c r="W306" s="7">
        <v>69990110</v>
      </c>
      <c r="X306" s="7">
        <v>41994066</v>
      </c>
      <c r="Y306" s="7">
        <v>0</v>
      </c>
      <c r="Z306" s="7">
        <v>0</v>
      </c>
      <c r="AA306" s="7">
        <v>9416854.8324000016</v>
      </c>
      <c r="AB306" s="7">
        <v>112446389</v>
      </c>
      <c r="AC306" s="7">
        <v>178229590.73960003</v>
      </c>
      <c r="AD306" s="17">
        <v>0</v>
      </c>
      <c r="AE306" s="5">
        <f>SUMIFS(PGĐ!$H:$H,PGĐ!$F:$F,"="&amp;'HQ2'!B306,PGĐ!$I:$I,"="&amp;'HQ2'!A306)</f>
        <v>0</v>
      </c>
      <c r="AF306" s="17"/>
      <c r="AG306" s="7">
        <f>SUMIFS(ĐMCP!$Q:$Q,ĐMCP!$P:$P,"="&amp;'HQ2'!B306,ĐMCP!$O:$O,"="&amp;'HQ2'!A306)</f>
        <v>112446388.68608478</v>
      </c>
      <c r="AH306" s="7">
        <f t="shared" si="4"/>
        <v>-0.31391522288322449</v>
      </c>
    </row>
    <row r="307" spans="1:34" x14ac:dyDescent="0.25">
      <c r="A307" s="123" t="s">
        <v>82</v>
      </c>
      <c r="B307" s="16" t="s">
        <v>269</v>
      </c>
      <c r="C307" s="7">
        <v>67976342</v>
      </c>
      <c r="E307" s="7">
        <v>67976342</v>
      </c>
      <c r="F307" s="7">
        <v>40785805.199999996</v>
      </c>
      <c r="G307" s="7">
        <v>2700000</v>
      </c>
      <c r="H307" s="7">
        <v>3808580.5199999996</v>
      </c>
      <c r="I307" s="7">
        <v>36977224.679999992</v>
      </c>
      <c r="AA307" s="7">
        <v>1223574.1559999997</v>
      </c>
      <c r="AB307" s="7">
        <v>55982865</v>
      </c>
      <c r="AC307" s="7">
        <v>-20229214.476000007</v>
      </c>
      <c r="AD307" s="17"/>
      <c r="AE307" s="5">
        <f>SUMIFS(PGĐ!$H:$H,PGĐ!$F:$F,"="&amp;'HQ2'!B307,PGĐ!$I:$I,"="&amp;'HQ2'!A307)</f>
        <v>0</v>
      </c>
      <c r="AF307" s="17"/>
      <c r="AG307" s="7">
        <f>SUMIFS(ĐMCP!$Q:$Q,ĐMCP!$P:$P,"="&amp;'HQ2'!B307,ĐMCP!$O:$O,"="&amp;'HQ2'!A307)</f>
        <v>55982865.366219856</v>
      </c>
      <c r="AH307" s="7">
        <f t="shared" si="4"/>
        <v>0.36621985584497452</v>
      </c>
    </row>
    <row r="308" spans="1:34" x14ac:dyDescent="0.25">
      <c r="A308" s="123" t="s">
        <v>82</v>
      </c>
      <c r="B308" s="16" t="s">
        <v>273</v>
      </c>
      <c r="AB308" s="7">
        <v>0</v>
      </c>
      <c r="AC308" s="7">
        <v>0</v>
      </c>
      <c r="AD308" s="17"/>
      <c r="AE308" s="5">
        <f>SUMIFS(PGĐ!$H:$H,PGĐ!$F:$F,"="&amp;'HQ2'!B308,PGĐ!$I:$I,"="&amp;'HQ2'!A308)</f>
        <v>0</v>
      </c>
      <c r="AF308" s="17"/>
      <c r="AG308" s="7">
        <f>SUMIFS(ĐMCP!$Q:$Q,ĐMCP!$P:$P,"="&amp;'HQ2'!B308,ĐMCP!$O:$O,"="&amp;'HQ2'!A308)</f>
        <v>0</v>
      </c>
      <c r="AH308" s="7">
        <f t="shared" si="4"/>
        <v>0</v>
      </c>
    </row>
    <row r="309" spans="1:34" x14ac:dyDescent="0.25">
      <c r="A309" s="123" t="s">
        <v>82</v>
      </c>
      <c r="B309" s="16" t="s">
        <v>23</v>
      </c>
      <c r="AB309" s="7">
        <v>0</v>
      </c>
      <c r="AC309" s="7">
        <v>0</v>
      </c>
      <c r="AD309" s="17"/>
      <c r="AE309" s="5">
        <f>SUMIFS(PGĐ!$H:$H,PGĐ!$F:$F,"="&amp;'HQ2'!B309,PGĐ!$I:$I,"="&amp;'HQ2'!A309)</f>
        <v>0</v>
      </c>
      <c r="AF309" s="17"/>
      <c r="AG309" s="7">
        <f>SUMIFS(ĐMCP!$Q:$Q,ĐMCP!$P:$P,"="&amp;'HQ2'!B309,ĐMCP!$O:$O,"="&amp;'HQ2'!A309)</f>
        <v>0</v>
      </c>
      <c r="AH309" s="7">
        <f t="shared" si="4"/>
        <v>0</v>
      </c>
    </row>
    <row r="310" spans="1:34" x14ac:dyDescent="0.25">
      <c r="A310" s="123" t="s">
        <v>83</v>
      </c>
      <c r="B310" s="15" t="s">
        <v>45</v>
      </c>
      <c r="C310" s="132">
        <v>3526992048</v>
      </c>
      <c r="D310" s="132">
        <v>1900396588</v>
      </c>
      <c r="E310" s="132">
        <v>1626595460</v>
      </c>
      <c r="F310" s="132">
        <v>2950751967.5799999</v>
      </c>
      <c r="G310" s="132">
        <v>3572630360.9999995</v>
      </c>
      <c r="H310" s="132">
        <v>-119220726.50649998</v>
      </c>
      <c r="I310" s="132">
        <v>3069972694.0864997</v>
      </c>
      <c r="J310" s="132">
        <v>273669499</v>
      </c>
      <c r="K310" s="132"/>
      <c r="L310" s="132">
        <v>148309307</v>
      </c>
      <c r="M310" s="132">
        <v>125360192</v>
      </c>
      <c r="N310" s="132">
        <v>218123437.94999999</v>
      </c>
      <c r="O310" s="132">
        <v>953733200</v>
      </c>
      <c r="P310" s="132"/>
      <c r="Q310" s="132">
        <v>749000000</v>
      </c>
      <c r="R310" s="132">
        <v>204733200</v>
      </c>
      <c r="S310" s="132">
        <v>871839920</v>
      </c>
      <c r="T310" s="132">
        <v>854733200</v>
      </c>
      <c r="U310" s="132"/>
      <c r="V310" s="132">
        <v>650000000</v>
      </c>
      <c r="W310" s="132">
        <v>204733200</v>
      </c>
      <c r="X310" s="132">
        <v>772839920</v>
      </c>
      <c r="Y310" s="132">
        <v>99000000</v>
      </c>
      <c r="Z310" s="132">
        <v>317123437.94999999</v>
      </c>
      <c r="AA310" s="132">
        <v>88522559.027400002</v>
      </c>
      <c r="AB310" s="132">
        <v>1544226559</v>
      </c>
      <c r="AC310" s="132">
        <v>1120100138.1090999</v>
      </c>
      <c r="AD310" s="96">
        <v>0.10329845557286403</v>
      </c>
      <c r="AE310" s="5">
        <f>SUMIFS(PGĐ!$H:$H,PGĐ!$F:$F,"="&amp;'HQ2'!B310,PGĐ!$I:$I,"="&amp;'HQ2'!A310)</f>
        <v>0</v>
      </c>
      <c r="AF310" s="96"/>
      <c r="AG310" s="7">
        <f>SUMIFS(ĐMCP!$Q:$Q,ĐMCP!$P:$P,"="&amp;'HQ2'!B310,ĐMCP!$O:$O,"="&amp;'HQ2'!A310)</f>
        <v>0</v>
      </c>
      <c r="AH310" s="7">
        <f t="shared" si="4"/>
        <v>0</v>
      </c>
    </row>
    <row r="311" spans="1:34" x14ac:dyDescent="0.25">
      <c r="A311" s="123" t="s">
        <v>83</v>
      </c>
      <c r="B311" s="16" t="s">
        <v>268</v>
      </c>
      <c r="C311" s="7">
        <v>2350120135</v>
      </c>
      <c r="D311" s="7">
        <v>1018370060</v>
      </c>
      <c r="E311" s="7">
        <v>1331750075</v>
      </c>
      <c r="F311" s="7">
        <v>1920044010.6999998</v>
      </c>
      <c r="G311" s="7">
        <v>2085626334.3999999</v>
      </c>
      <c r="H311" s="7">
        <v>-24837348.555000007</v>
      </c>
      <c r="I311" s="7">
        <v>1944881359.2549999</v>
      </c>
      <c r="J311" s="7">
        <v>108039685</v>
      </c>
      <c r="M311" s="7">
        <v>108039685</v>
      </c>
      <c r="N311" s="7">
        <v>59421826.750000007</v>
      </c>
      <c r="O311" s="7">
        <v>470000000</v>
      </c>
      <c r="Q311" s="7">
        <v>470000000</v>
      </c>
      <c r="R311" s="7">
        <v>0</v>
      </c>
      <c r="S311" s="7">
        <v>470000000</v>
      </c>
      <c r="T311" s="7">
        <v>470000000</v>
      </c>
      <c r="V311" s="7">
        <v>470000000</v>
      </c>
      <c r="W311" s="7">
        <v>0</v>
      </c>
      <c r="X311" s="7">
        <v>470000000</v>
      </c>
      <c r="Y311" s="7">
        <v>0</v>
      </c>
      <c r="Z311" s="7">
        <v>59421826.750000007</v>
      </c>
      <c r="AA311" s="7">
        <v>57601320.320999995</v>
      </c>
      <c r="AB311" s="7">
        <v>1123228485</v>
      </c>
      <c r="AC311" s="7">
        <v>704629727.1839999</v>
      </c>
      <c r="AD311" s="17">
        <v>3.0552931399765147E-2</v>
      </c>
      <c r="AE311" s="5">
        <f>SUMIFS(PGĐ!$H:$H,PGĐ!$F:$F,"="&amp;'HQ2'!B311,PGĐ!$I:$I,"="&amp;'HQ2'!A311)</f>
        <v>0</v>
      </c>
      <c r="AF311" s="17"/>
      <c r="AG311" s="7">
        <f>SUMIFS(ĐMCP!$Q:$Q,ĐMCP!$P:$P,"="&amp;'HQ2'!B311,ĐMCP!$O:$O,"="&amp;'HQ2'!A311)</f>
        <v>1123228484.926465</v>
      </c>
      <c r="AH311" s="7">
        <f t="shared" si="4"/>
        <v>-7.3534965515136719E-2</v>
      </c>
    </row>
    <row r="312" spans="1:34" x14ac:dyDescent="0.25">
      <c r="A312" s="123" t="s">
        <v>83</v>
      </c>
      <c r="B312" s="16" t="s">
        <v>272</v>
      </c>
      <c r="C312" s="7">
        <v>669903148</v>
      </c>
      <c r="D312" s="7">
        <v>604625849</v>
      </c>
      <c r="E312" s="7">
        <v>65277299</v>
      </c>
      <c r="F312" s="7">
        <v>617547008.0150001</v>
      </c>
      <c r="G312" s="7">
        <v>540220969.60000002</v>
      </c>
      <c r="H312" s="7">
        <v>15465207.683000017</v>
      </c>
      <c r="I312" s="7">
        <v>602081800.33200014</v>
      </c>
      <c r="J312" s="7">
        <v>148309307</v>
      </c>
      <c r="L312" s="7">
        <v>148309307</v>
      </c>
      <c r="M312" s="7">
        <v>0</v>
      </c>
      <c r="N312" s="7">
        <v>148309307</v>
      </c>
      <c r="O312" s="7">
        <v>99000000</v>
      </c>
      <c r="Q312" s="7">
        <v>99000000</v>
      </c>
      <c r="R312" s="7">
        <v>0</v>
      </c>
      <c r="S312" s="7">
        <v>99000000</v>
      </c>
      <c r="Y312" s="7">
        <v>99000000</v>
      </c>
      <c r="Z312" s="7">
        <v>247309307</v>
      </c>
      <c r="AA312" s="7">
        <v>18526410.240450002</v>
      </c>
      <c r="AB312" s="7">
        <v>228039918</v>
      </c>
      <c r="AC312" s="7">
        <v>108206165.09155008</v>
      </c>
      <c r="AD312" s="17">
        <v>0.41075698827572704</v>
      </c>
      <c r="AE312" s="5">
        <f>SUMIFS(PGĐ!$H:$H,PGĐ!$F:$F,"="&amp;'HQ2'!B312,PGĐ!$I:$I,"="&amp;'HQ2'!A312)</f>
        <v>15520000</v>
      </c>
      <c r="AF312" s="17"/>
      <c r="AG312" s="7">
        <f>SUMIFS(ĐMCP!$Q:$Q,ĐMCP!$P:$P,"="&amp;'HQ2'!B312,ĐMCP!$O:$O,"="&amp;'HQ2'!A312)</f>
        <v>228039917.61292684</v>
      </c>
      <c r="AH312" s="7">
        <f t="shared" si="4"/>
        <v>-0.38707315921783447</v>
      </c>
    </row>
    <row r="313" spans="1:34" x14ac:dyDescent="0.25">
      <c r="A313" s="123" t="s">
        <v>83</v>
      </c>
      <c r="B313" s="16" t="s">
        <v>270</v>
      </c>
      <c r="C313" s="7">
        <v>196514590</v>
      </c>
      <c r="D313" s="7">
        <v>177834685</v>
      </c>
      <c r="E313" s="7">
        <v>18679905</v>
      </c>
      <c r="F313" s="7">
        <v>181219354.47500002</v>
      </c>
      <c r="G313" s="7">
        <v>168052714.40000001</v>
      </c>
      <c r="H313" s="7">
        <v>1316664.0075000019</v>
      </c>
      <c r="I313" s="7">
        <v>179902690.46750003</v>
      </c>
      <c r="AA313" s="7">
        <v>5436580.6342500001</v>
      </c>
      <c r="AB313" s="7">
        <v>60220127</v>
      </c>
      <c r="AC313" s="7">
        <v>114245982.83325003</v>
      </c>
      <c r="AD313" s="17"/>
      <c r="AE313" s="5">
        <f>SUMIFS(PGĐ!$H:$H,PGĐ!$F:$F,"="&amp;'HQ2'!B313,PGĐ!$I:$I,"="&amp;'HQ2'!A313)</f>
        <v>0</v>
      </c>
      <c r="AF313" s="17"/>
      <c r="AG313" s="7">
        <f>SUMIFS(ĐMCP!$Q:$Q,ĐMCP!$P:$P,"="&amp;'HQ2'!B313,ĐMCP!$O:$O,"="&amp;'HQ2'!A313)</f>
        <v>60220127.280138589</v>
      </c>
      <c r="AH313" s="7">
        <f t="shared" si="4"/>
        <v>0.28013858944177628</v>
      </c>
    </row>
    <row r="314" spans="1:34" x14ac:dyDescent="0.25">
      <c r="A314" s="123" t="s">
        <v>83</v>
      </c>
      <c r="B314" s="16" t="s">
        <v>271</v>
      </c>
      <c r="C314" s="7">
        <v>172927811</v>
      </c>
      <c r="D314" s="7">
        <v>99565994</v>
      </c>
      <c r="E314" s="7">
        <v>73361817</v>
      </c>
      <c r="F314" s="7">
        <v>149425775.99000001</v>
      </c>
      <c r="G314" s="7">
        <v>714289524.19999993</v>
      </c>
      <c r="H314" s="7">
        <v>-112972749.64199999</v>
      </c>
      <c r="I314" s="7">
        <v>262398525.632</v>
      </c>
      <c r="J314" s="7">
        <v>17320507</v>
      </c>
      <c r="M314" s="7">
        <v>17320507</v>
      </c>
      <c r="N314" s="7">
        <v>10392304.199999999</v>
      </c>
      <c r="O314" s="7">
        <v>384733200</v>
      </c>
      <c r="Q314" s="7">
        <v>180000000</v>
      </c>
      <c r="R314" s="7">
        <v>204733200</v>
      </c>
      <c r="S314" s="7">
        <v>302839920</v>
      </c>
      <c r="T314" s="7">
        <v>384733200</v>
      </c>
      <c r="V314" s="7">
        <v>180000000</v>
      </c>
      <c r="W314" s="7">
        <v>204733200</v>
      </c>
      <c r="X314" s="7">
        <v>302839920</v>
      </c>
      <c r="Y314" s="7">
        <v>0</v>
      </c>
      <c r="Z314" s="7">
        <v>10392304.199999999</v>
      </c>
      <c r="AA314" s="7">
        <v>4482773.2796999998</v>
      </c>
      <c r="AB314" s="7">
        <v>107326926</v>
      </c>
      <c r="AC314" s="7">
        <v>140196522.1523</v>
      </c>
      <c r="AD314" s="17">
        <v>3.9605040367393887E-2</v>
      </c>
      <c r="AE314" s="5">
        <f>SUMIFS(PGĐ!$H:$H,PGĐ!$F:$F,"="&amp;'HQ2'!B314,PGĐ!$I:$I,"="&amp;'HQ2'!A314)</f>
        <v>0</v>
      </c>
      <c r="AF314" s="17"/>
      <c r="AG314" s="7">
        <f>SUMIFS(ĐMCP!$Q:$Q,ĐMCP!$P:$P,"="&amp;'HQ2'!B314,ĐMCP!$O:$O,"="&amp;'HQ2'!A314)</f>
        <v>107326926.28775047</v>
      </c>
      <c r="AH314" s="7">
        <f t="shared" si="4"/>
        <v>0.28775046765804291</v>
      </c>
    </row>
    <row r="315" spans="1:34" x14ac:dyDescent="0.25">
      <c r="A315" s="123" t="s">
        <v>83</v>
      </c>
      <c r="B315" s="16" t="s">
        <v>269</v>
      </c>
      <c r="C315" s="7">
        <v>137526364</v>
      </c>
      <c r="E315" s="7">
        <v>137526364</v>
      </c>
      <c r="F315" s="7">
        <v>82515818.399999991</v>
      </c>
      <c r="G315" s="7">
        <v>64440818.399999999</v>
      </c>
      <c r="H315" s="7">
        <v>1807499.9999999993</v>
      </c>
      <c r="I315" s="7">
        <v>80708318.399999991</v>
      </c>
      <c r="AA315" s="7">
        <v>2475474.5519999997</v>
      </c>
      <c r="AB315" s="7">
        <v>25411103</v>
      </c>
      <c r="AC315" s="7">
        <v>52821740.84799999</v>
      </c>
      <c r="AD315" s="17"/>
      <c r="AE315" s="5">
        <f>SUMIFS(PGĐ!$H:$H,PGĐ!$F:$F,"="&amp;'HQ2'!B315,PGĐ!$I:$I,"="&amp;'HQ2'!A315)</f>
        <v>0</v>
      </c>
      <c r="AF315" s="17"/>
      <c r="AG315" s="7">
        <f>SUMIFS(ĐMCP!$Q:$Q,ĐMCP!$P:$P,"="&amp;'HQ2'!B315,ĐMCP!$O:$O,"="&amp;'HQ2'!A315)</f>
        <v>25411103.372798108</v>
      </c>
      <c r="AH315" s="7">
        <f t="shared" si="4"/>
        <v>0.37279810756444931</v>
      </c>
    </row>
    <row r="316" spans="1:34" x14ac:dyDescent="0.25">
      <c r="A316" s="123" t="s">
        <v>83</v>
      </c>
      <c r="B316" s="16" t="s">
        <v>273</v>
      </c>
      <c r="AB316" s="7">
        <v>0</v>
      </c>
      <c r="AC316" s="7">
        <v>0</v>
      </c>
      <c r="AD316" s="17"/>
      <c r="AE316" s="5">
        <f>SUMIFS(PGĐ!$H:$H,PGĐ!$F:$F,"="&amp;'HQ2'!B316,PGĐ!$I:$I,"="&amp;'HQ2'!A316)</f>
        <v>0</v>
      </c>
      <c r="AF316" s="17"/>
      <c r="AG316" s="7">
        <f>SUMIFS(ĐMCP!$Q:$Q,ĐMCP!$P:$P,"="&amp;'HQ2'!B316,ĐMCP!$O:$O,"="&amp;'HQ2'!A316)</f>
        <v>0</v>
      </c>
      <c r="AH316" s="7">
        <f t="shared" si="4"/>
        <v>0</v>
      </c>
    </row>
    <row r="317" spans="1:34" x14ac:dyDescent="0.25">
      <c r="A317" s="123" t="s">
        <v>83</v>
      </c>
      <c r="B317" s="16" t="s">
        <v>23</v>
      </c>
      <c r="AB317" s="7">
        <v>0</v>
      </c>
      <c r="AC317" s="7">
        <v>0</v>
      </c>
      <c r="AD317" s="17"/>
      <c r="AE317" s="5">
        <f>SUMIFS(PGĐ!$H:$H,PGĐ!$F:$F,"="&amp;'HQ2'!B317,PGĐ!$I:$I,"="&amp;'HQ2'!A317)</f>
        <v>0</v>
      </c>
      <c r="AF317" s="17"/>
      <c r="AG317" s="7">
        <f>SUMIFS(ĐMCP!$Q:$Q,ĐMCP!$P:$P,"="&amp;'HQ2'!B317,ĐMCP!$O:$O,"="&amp;'HQ2'!A317)</f>
        <v>0</v>
      </c>
      <c r="AH317" s="7">
        <f t="shared" si="4"/>
        <v>0</v>
      </c>
    </row>
    <row r="318" spans="1:34" x14ac:dyDescent="0.25">
      <c r="A318" s="123" t="s">
        <v>84</v>
      </c>
      <c r="B318" s="15" t="s">
        <v>45</v>
      </c>
      <c r="C318" s="132">
        <v>4672895630</v>
      </c>
      <c r="D318" s="132">
        <v>742144147</v>
      </c>
      <c r="E318" s="132">
        <v>3930751483</v>
      </c>
      <c r="F318" s="132">
        <v>2902744451.8250003</v>
      </c>
      <c r="G318" s="132">
        <v>3666241916.25</v>
      </c>
      <c r="H318" s="132">
        <v>-100247918.32549998</v>
      </c>
      <c r="I318" s="132">
        <v>3002992370.1505003</v>
      </c>
      <c r="J318" s="132">
        <v>5856579736</v>
      </c>
      <c r="K318" s="132"/>
      <c r="L318" s="132"/>
      <c r="M318" s="132">
        <v>5856579736</v>
      </c>
      <c r="N318" s="132">
        <v>2930197371.6500001</v>
      </c>
      <c r="O318" s="132">
        <v>24586493385.040001</v>
      </c>
      <c r="P318" s="132">
        <v>12023865390</v>
      </c>
      <c r="Q318" s="132">
        <v>402285233.56</v>
      </c>
      <c r="R318" s="132">
        <v>12160342761.480001</v>
      </c>
      <c r="S318" s="132">
        <v>12215862935.348</v>
      </c>
      <c r="T318" s="132">
        <v>24776046842.080002</v>
      </c>
      <c r="U318" s="132">
        <v>12023865390</v>
      </c>
      <c r="V318" s="132">
        <v>433564087.39999998</v>
      </c>
      <c r="W318" s="132">
        <v>12318617364.680002</v>
      </c>
      <c r="X318" s="132">
        <v>11388463131.308001</v>
      </c>
      <c r="Y318" s="132">
        <v>827399804.03999901</v>
      </c>
      <c r="Z318" s="132">
        <v>3757597175.6899991</v>
      </c>
      <c r="AA318" s="132">
        <v>87082333.55475001</v>
      </c>
      <c r="AB318" s="132">
        <v>1123904311</v>
      </c>
      <c r="AC318" s="132">
        <v>-1965591450.09425</v>
      </c>
      <c r="AD318" s="96">
        <v>1.2512842899769607</v>
      </c>
      <c r="AE318" s="5">
        <f>SUMIFS(PGĐ!$H:$H,PGĐ!$F:$F,"="&amp;'HQ2'!B318,PGĐ!$I:$I,"="&amp;'HQ2'!A318)</f>
        <v>0</v>
      </c>
      <c r="AF318" s="96"/>
      <c r="AG318" s="7">
        <f>SUMIFS(ĐMCP!$Q:$Q,ĐMCP!$P:$P,"="&amp;'HQ2'!B318,ĐMCP!$O:$O,"="&amp;'HQ2'!A318)</f>
        <v>0</v>
      </c>
      <c r="AH318" s="7">
        <f t="shared" si="4"/>
        <v>0</v>
      </c>
    </row>
    <row r="319" spans="1:34" x14ac:dyDescent="0.25">
      <c r="A319" s="123" t="s">
        <v>84</v>
      </c>
      <c r="B319" s="16" t="s">
        <v>268</v>
      </c>
      <c r="C319" s="7">
        <v>974121078</v>
      </c>
      <c r="D319" s="7">
        <v>344026158</v>
      </c>
      <c r="E319" s="7">
        <v>630094920</v>
      </c>
      <c r="F319" s="7">
        <v>774771817.25999999</v>
      </c>
      <c r="G319" s="7">
        <v>1442828391.1999998</v>
      </c>
      <c r="H319" s="7">
        <v>-100208486.09099998</v>
      </c>
      <c r="I319" s="7">
        <v>874980303.35099995</v>
      </c>
      <c r="J319" s="7">
        <v>38150073</v>
      </c>
      <c r="M319" s="7">
        <v>38150073</v>
      </c>
      <c r="N319" s="7">
        <v>20982540.150000002</v>
      </c>
      <c r="O319" s="7">
        <v>11450474901</v>
      </c>
      <c r="P319" s="7">
        <v>101365390</v>
      </c>
      <c r="Q319" s="7">
        <v>101365390</v>
      </c>
      <c r="R319" s="7">
        <v>11247744121</v>
      </c>
      <c r="S319" s="7">
        <v>6331582043.5</v>
      </c>
      <c r="T319" s="7">
        <v>11425474901</v>
      </c>
      <c r="U319" s="7">
        <v>101365390</v>
      </c>
      <c r="V319" s="7">
        <v>101365390</v>
      </c>
      <c r="W319" s="7">
        <v>11222744121</v>
      </c>
      <c r="X319" s="7">
        <v>6310322892.6999998</v>
      </c>
      <c r="Y319" s="7">
        <v>21259150.800000191</v>
      </c>
      <c r="Z319" s="7">
        <v>42241690.950000197</v>
      </c>
      <c r="AA319" s="7">
        <v>23243154.5178</v>
      </c>
      <c r="AB319" s="7">
        <v>533769286</v>
      </c>
      <c r="AC319" s="7">
        <v>275726171.88319981</v>
      </c>
      <c r="AD319" s="17">
        <v>4.8277304972721043E-2</v>
      </c>
      <c r="AE319" s="5">
        <f>SUMIFS(PGĐ!$H:$H,PGĐ!$F:$F,"="&amp;'HQ2'!B319,PGĐ!$I:$I,"="&amp;'HQ2'!A319)</f>
        <v>0</v>
      </c>
      <c r="AF319" s="17"/>
      <c r="AG319" s="7">
        <f>SUMIFS(ĐMCP!$Q:$Q,ĐMCP!$P:$P,"="&amp;'HQ2'!B319,ĐMCP!$O:$O,"="&amp;'HQ2'!A319)</f>
        <v>533769285.67571646</v>
      </c>
      <c r="AH319" s="7">
        <f t="shared" si="4"/>
        <v>-0.32428354024887085</v>
      </c>
    </row>
    <row r="320" spans="1:34" x14ac:dyDescent="0.25">
      <c r="A320" s="123" t="s">
        <v>84</v>
      </c>
      <c r="B320" s="16" t="s">
        <v>270</v>
      </c>
      <c r="C320" s="7">
        <v>782428536</v>
      </c>
      <c r="D320" s="7">
        <v>327367430</v>
      </c>
      <c r="E320" s="7">
        <v>455061106</v>
      </c>
      <c r="F320" s="7">
        <v>670137431.85000002</v>
      </c>
      <c r="G320" s="7">
        <v>774050560</v>
      </c>
      <c r="H320" s="7">
        <v>-10391312.814999998</v>
      </c>
      <c r="I320" s="7">
        <v>680528744.66499996</v>
      </c>
      <c r="O320" s="7">
        <v>372307484.04000002</v>
      </c>
      <c r="Q320" s="7">
        <v>300919843.56</v>
      </c>
      <c r="R320" s="7">
        <v>71387640.480000019</v>
      </c>
      <c r="S320" s="7">
        <v>343752427.84799999</v>
      </c>
      <c r="T320" s="7">
        <v>403531941.07999998</v>
      </c>
      <c r="V320" s="7">
        <v>332198697.39999998</v>
      </c>
      <c r="W320" s="7">
        <v>71333243.680000007</v>
      </c>
      <c r="X320" s="7">
        <v>374998643.60799998</v>
      </c>
      <c r="Y320" s="7">
        <v>-31246215.75999999</v>
      </c>
      <c r="Z320" s="7">
        <v>-31246215.75999999</v>
      </c>
      <c r="AA320" s="7">
        <v>20104122.955499999</v>
      </c>
      <c r="AB320" s="7">
        <v>171029571</v>
      </c>
      <c r="AC320" s="7">
        <v>520641266.46949995</v>
      </c>
      <c r="AD320" s="17">
        <v>-4.5914615664590902E-2</v>
      </c>
      <c r="AE320" s="5">
        <f>SUMIFS(PGĐ!$H:$H,PGĐ!$F:$F,"="&amp;'HQ2'!B320,PGĐ!$I:$I,"="&amp;'HQ2'!A320)</f>
        <v>23631005</v>
      </c>
      <c r="AF320" s="17"/>
      <c r="AG320" s="7">
        <f>SUMIFS(ĐMCP!$Q:$Q,ĐMCP!$P:$P,"="&amp;'HQ2'!B320,ĐMCP!$O:$O,"="&amp;'HQ2'!A320)</f>
        <v>171029571.25852293</v>
      </c>
      <c r="AH320" s="7">
        <f t="shared" si="4"/>
        <v>0.25852292776107788</v>
      </c>
    </row>
    <row r="321" spans="1:34" x14ac:dyDescent="0.25">
      <c r="A321" s="123" t="s">
        <v>84</v>
      </c>
      <c r="B321" s="16" t="s">
        <v>23</v>
      </c>
      <c r="C321" s="7">
        <v>1372626704</v>
      </c>
      <c r="E321" s="7">
        <v>1372626704</v>
      </c>
      <c r="F321" s="7">
        <v>480419346.39999998</v>
      </c>
      <c r="G321" s="7">
        <v>310584563.09999996</v>
      </c>
      <c r="H321" s="7">
        <v>42458695.825000003</v>
      </c>
      <c r="I321" s="7">
        <v>437960650.57499999</v>
      </c>
      <c r="O321" s="7">
        <v>341211000</v>
      </c>
      <c r="R321" s="7">
        <v>341211000</v>
      </c>
      <c r="S321" s="7">
        <v>85302750</v>
      </c>
      <c r="T321" s="7">
        <v>524540000</v>
      </c>
      <c r="W321" s="7">
        <v>524540000</v>
      </c>
      <c r="X321" s="7">
        <v>131135000</v>
      </c>
      <c r="Y321" s="7">
        <v>-45832250</v>
      </c>
      <c r="Z321" s="7">
        <v>-45832250</v>
      </c>
      <c r="AA321" s="7">
        <v>14412580.391999999</v>
      </c>
      <c r="AB321" s="7">
        <v>101383876</v>
      </c>
      <c r="AC321" s="7">
        <v>367996444.18299997</v>
      </c>
      <c r="AD321" s="17">
        <v>-0.10464924175225945</v>
      </c>
      <c r="AE321" s="5">
        <f>SUMIFS(PGĐ!$H:$H,PGĐ!$F:$F,"="&amp;'HQ2'!B321,PGĐ!$I:$I,"="&amp;'HQ2'!A321)</f>
        <v>0</v>
      </c>
      <c r="AF321" s="17"/>
      <c r="AG321" s="7">
        <f>SUMIFS(ĐMCP!$Q:$Q,ĐMCP!$P:$P,"="&amp;'HQ2'!B321,ĐMCP!$O:$O,"="&amp;'HQ2'!A321)</f>
        <v>101383875.71848586</v>
      </c>
      <c r="AH321" s="7">
        <f t="shared" si="4"/>
        <v>-0.28151413798332214</v>
      </c>
    </row>
    <row r="322" spans="1:34" x14ac:dyDescent="0.25">
      <c r="A322" s="123" t="s">
        <v>84</v>
      </c>
      <c r="B322" s="16" t="s">
        <v>271</v>
      </c>
      <c r="C322" s="7">
        <v>517533836</v>
      </c>
      <c r="D322" s="7">
        <v>70750559</v>
      </c>
      <c r="E322" s="7">
        <v>446783277</v>
      </c>
      <c r="F322" s="7">
        <v>382437594.51499999</v>
      </c>
      <c r="G322" s="7">
        <v>632201893.39999998</v>
      </c>
      <c r="H322" s="7">
        <v>-49952859.777000003</v>
      </c>
      <c r="I322" s="7">
        <v>432390454.292</v>
      </c>
      <c r="O322" s="7">
        <v>12272500000</v>
      </c>
      <c r="P322" s="7">
        <v>11922500000</v>
      </c>
      <c r="R322" s="7">
        <v>350000000</v>
      </c>
      <c r="S322" s="7">
        <v>5380225714</v>
      </c>
      <c r="T322" s="7">
        <v>12272500000</v>
      </c>
      <c r="U322" s="7">
        <v>11922500000</v>
      </c>
      <c r="W322" s="7">
        <v>350000000</v>
      </c>
      <c r="X322" s="7">
        <v>4497006595</v>
      </c>
      <c r="Y322" s="7">
        <v>883219119</v>
      </c>
      <c r="Z322" s="7">
        <v>883219119</v>
      </c>
      <c r="AA322" s="7">
        <v>11473127.835449999</v>
      </c>
      <c r="AB322" s="7">
        <v>25633289</v>
      </c>
      <c r="AC322" s="7">
        <v>-487935081.54345</v>
      </c>
      <c r="AD322" s="17">
        <v>2.0426425010843285</v>
      </c>
      <c r="AE322" s="5">
        <f>SUMIFS(PGĐ!$H:$H,PGĐ!$F:$F,"="&amp;'HQ2'!B322,PGĐ!$I:$I,"="&amp;'HQ2'!A322)</f>
        <v>989435527</v>
      </c>
      <c r="AF322" s="17"/>
      <c r="AG322" s="7">
        <f>SUMIFS(ĐMCP!$Q:$Q,ĐMCP!$P:$P,"="&amp;'HQ2'!B322,ĐMCP!$O:$O,"="&amp;'HQ2'!A322)</f>
        <v>25633288.569525592</v>
      </c>
      <c r="AH322" s="7">
        <f t="shared" si="4"/>
        <v>-0.4304744079709053</v>
      </c>
    </row>
    <row r="323" spans="1:34" x14ac:dyDescent="0.25">
      <c r="A323" s="123" t="s">
        <v>84</v>
      </c>
      <c r="B323" s="16" t="s">
        <v>269</v>
      </c>
      <c r="C323" s="7">
        <v>611525000</v>
      </c>
      <c r="E323" s="7">
        <v>611525000</v>
      </c>
      <c r="F323" s="7">
        <v>366915000</v>
      </c>
      <c r="G323" s="7">
        <v>338552374.80000001</v>
      </c>
      <c r="H323" s="7">
        <v>2836262.5199999991</v>
      </c>
      <c r="I323" s="7">
        <v>364078737.48000002</v>
      </c>
      <c r="AA323" s="7">
        <v>11007450</v>
      </c>
      <c r="AB323" s="7">
        <v>172244492</v>
      </c>
      <c r="AC323" s="7">
        <v>180826795.48000002</v>
      </c>
      <c r="AD323" s="17"/>
      <c r="AE323" s="5">
        <f>SUMIFS(PGĐ!$H:$H,PGĐ!$F:$F,"="&amp;'HQ2'!B323,PGĐ!$I:$I,"="&amp;'HQ2'!A323)</f>
        <v>0</v>
      </c>
      <c r="AF323" s="17"/>
      <c r="AG323" s="7">
        <f>SUMIFS(ĐMCP!$Q:$Q,ĐMCP!$P:$P,"="&amp;'HQ2'!B323,ĐMCP!$O:$O,"="&amp;'HQ2'!A323)</f>
        <v>172244492.20295379</v>
      </c>
      <c r="AH323" s="7">
        <f t="shared" si="4"/>
        <v>0.20295378565788269</v>
      </c>
    </row>
    <row r="324" spans="1:34" x14ac:dyDescent="0.25">
      <c r="A324" s="123" t="s">
        <v>84</v>
      </c>
      <c r="B324" s="16" t="s">
        <v>273</v>
      </c>
      <c r="C324" s="7">
        <v>414660476</v>
      </c>
      <c r="E324" s="7">
        <v>414660476</v>
      </c>
      <c r="F324" s="7">
        <v>228063261.80000001</v>
      </c>
      <c r="G324" s="7">
        <v>168024133.75</v>
      </c>
      <c r="H324" s="7">
        <v>15009782.012500003</v>
      </c>
      <c r="I324" s="7">
        <v>213053479.78750002</v>
      </c>
      <c r="J324" s="7">
        <v>5818429663</v>
      </c>
      <c r="M324" s="7">
        <v>5818429663</v>
      </c>
      <c r="N324" s="7">
        <v>2909214831.5</v>
      </c>
      <c r="O324" s="7">
        <v>150000000</v>
      </c>
      <c r="R324" s="7">
        <v>150000000</v>
      </c>
      <c r="S324" s="7">
        <v>75000000</v>
      </c>
      <c r="T324" s="7">
        <v>150000000</v>
      </c>
      <c r="W324" s="7">
        <v>150000000</v>
      </c>
      <c r="X324" s="7">
        <v>75000000</v>
      </c>
      <c r="Y324" s="7">
        <v>0</v>
      </c>
      <c r="Z324" s="7">
        <v>2909214831.5</v>
      </c>
      <c r="AA324" s="7">
        <v>6841897.8540000003</v>
      </c>
      <c r="AB324" s="7">
        <v>114350863</v>
      </c>
      <c r="AC324" s="7">
        <v>-2817354112.5664997</v>
      </c>
      <c r="AD324" s="17">
        <v>13.654857148550949</v>
      </c>
      <c r="AE324" s="5">
        <f>SUMIFS(PGĐ!$H:$H,PGĐ!$F:$F,"="&amp;'HQ2'!B324,PGĐ!$I:$I,"="&amp;'HQ2'!A324)</f>
        <v>0</v>
      </c>
      <c r="AF324" s="17"/>
      <c r="AG324" s="7">
        <f>SUMIFS(ĐMCP!$Q:$Q,ĐMCP!$P:$P,"="&amp;'HQ2'!B324,ĐMCP!$O:$O,"="&amp;'HQ2'!A324)</f>
        <v>114350863.37213036</v>
      </c>
      <c r="AH324" s="7">
        <f t="shared" ref="AH324:AH387" si="5">IF(AG324=0,0,AG324-AB324)</f>
        <v>0.37213036417961121</v>
      </c>
    </row>
    <row r="325" spans="1:34" x14ac:dyDescent="0.25">
      <c r="A325" s="123" t="s">
        <v>84</v>
      </c>
      <c r="B325" s="16" t="s">
        <v>272</v>
      </c>
      <c r="AB325" s="7">
        <v>5492934</v>
      </c>
      <c r="AC325" s="7">
        <v>-5492934</v>
      </c>
      <c r="AD325" s="17"/>
      <c r="AE325" s="5">
        <f>SUMIFS(PGĐ!$H:$H,PGĐ!$F:$F,"="&amp;'HQ2'!B325,PGĐ!$I:$I,"="&amp;'HQ2'!A325)</f>
        <v>0</v>
      </c>
      <c r="AF325" s="17"/>
      <c r="AG325" s="7">
        <f>SUMIFS(ĐMCP!$Q:$Q,ĐMCP!$P:$P,"="&amp;'HQ2'!B325,ĐMCP!$O:$O,"="&amp;'HQ2'!A325)</f>
        <v>5492933.7765182089</v>
      </c>
      <c r="AH325" s="7">
        <f t="shared" si="5"/>
        <v>-0.2234817910939455</v>
      </c>
    </row>
    <row r="326" spans="1:34" x14ac:dyDescent="0.25">
      <c r="A326" s="123" t="s">
        <v>85</v>
      </c>
      <c r="B326" s="15" t="s">
        <v>45</v>
      </c>
      <c r="C326" s="132">
        <v>3390312270</v>
      </c>
      <c r="D326" s="132">
        <v>1358221098</v>
      </c>
      <c r="E326" s="132">
        <v>2032091172</v>
      </c>
      <c r="F326" s="132">
        <v>2722500184.9250002</v>
      </c>
      <c r="G326" s="132">
        <v>2060690276.8999999</v>
      </c>
      <c r="H326" s="132">
        <v>98135488.336999983</v>
      </c>
      <c r="I326" s="132">
        <v>2624364696.5880003</v>
      </c>
      <c r="J326" s="132"/>
      <c r="K326" s="132"/>
      <c r="L326" s="132"/>
      <c r="M326" s="132"/>
      <c r="N326" s="132"/>
      <c r="O326" s="132">
        <v>4906000000</v>
      </c>
      <c r="P326" s="132">
        <v>400000000</v>
      </c>
      <c r="Q326" s="132"/>
      <c r="R326" s="132">
        <v>4506000000</v>
      </c>
      <c r="S326" s="132">
        <v>2502270442.6999998</v>
      </c>
      <c r="T326" s="132">
        <v>4906000000</v>
      </c>
      <c r="U326" s="132">
        <v>400000000</v>
      </c>
      <c r="V326" s="132"/>
      <c r="W326" s="132">
        <v>4506000000</v>
      </c>
      <c r="X326" s="132">
        <v>2491441678.54</v>
      </c>
      <c r="Y326" s="132">
        <v>10828764.159999847</v>
      </c>
      <c r="Z326" s="132">
        <v>10828764.159999847</v>
      </c>
      <c r="AA326" s="132">
        <v>81675005.547749996</v>
      </c>
      <c r="AB326" s="132">
        <v>580767740</v>
      </c>
      <c r="AC326" s="132">
        <v>1951093186.8802502</v>
      </c>
      <c r="AD326" s="96">
        <v>4.1262421240761942E-3</v>
      </c>
      <c r="AE326" s="5">
        <f>SUMIFS(PGĐ!$H:$H,PGĐ!$F:$F,"="&amp;'HQ2'!B326,PGĐ!$I:$I,"="&amp;'HQ2'!A326)</f>
        <v>0</v>
      </c>
      <c r="AF326" s="96"/>
      <c r="AG326" s="7">
        <f>SUMIFS(ĐMCP!$Q:$Q,ĐMCP!$P:$P,"="&amp;'HQ2'!B326,ĐMCP!$O:$O,"="&amp;'HQ2'!A326)</f>
        <v>0</v>
      </c>
      <c r="AH326" s="7">
        <f t="shared" si="5"/>
        <v>0</v>
      </c>
    </row>
    <row r="327" spans="1:34" x14ac:dyDescent="0.25">
      <c r="A327" s="123" t="s">
        <v>85</v>
      </c>
      <c r="B327" s="16" t="s">
        <v>268</v>
      </c>
      <c r="C327" s="7">
        <v>2775981020</v>
      </c>
      <c r="D327" s="7">
        <v>1141915877</v>
      </c>
      <c r="E327" s="7">
        <v>1634065143</v>
      </c>
      <c r="F327" s="7">
        <v>2251504000.79</v>
      </c>
      <c r="G327" s="7">
        <v>1739678657.5</v>
      </c>
      <c r="H327" s="7">
        <v>76773801.493499994</v>
      </c>
      <c r="I327" s="7">
        <v>2174730199.2965002</v>
      </c>
      <c r="O327" s="7">
        <v>4906000000</v>
      </c>
      <c r="P327" s="7">
        <v>400000000</v>
      </c>
      <c r="R327" s="7">
        <v>4506000000</v>
      </c>
      <c r="S327" s="7">
        <v>2502270442.6999998</v>
      </c>
      <c r="T327" s="7">
        <v>4906000000</v>
      </c>
      <c r="U327" s="7">
        <v>400000000</v>
      </c>
      <c r="W327" s="7">
        <v>4506000000</v>
      </c>
      <c r="X327" s="7">
        <v>2491441678.54</v>
      </c>
      <c r="Y327" s="7">
        <v>10828764.159999847</v>
      </c>
      <c r="Z327" s="7">
        <v>10828764.159999847</v>
      </c>
      <c r="AA327" s="7">
        <v>67545120.023699999</v>
      </c>
      <c r="AB327" s="7">
        <v>408847749</v>
      </c>
      <c r="AC327" s="7">
        <v>1687508566.1128004</v>
      </c>
      <c r="AD327" s="17">
        <v>4.9793598136922117E-3</v>
      </c>
      <c r="AE327" s="5">
        <f>SUMIFS(PGĐ!$H:$H,PGĐ!$F:$F,"="&amp;'HQ2'!B327,PGĐ!$I:$I,"="&amp;'HQ2'!A327)</f>
        <v>0</v>
      </c>
      <c r="AF327" s="17"/>
      <c r="AG327" s="7">
        <f>SUMIFS(ĐMCP!$Q:$Q,ĐMCP!$P:$P,"="&amp;'HQ2'!B327,ĐMCP!$O:$O,"="&amp;'HQ2'!A327)</f>
        <v>408847749.10068578</v>
      </c>
      <c r="AH327" s="7">
        <f t="shared" si="5"/>
        <v>0.10068577527999878</v>
      </c>
    </row>
    <row r="328" spans="1:34" x14ac:dyDescent="0.25">
      <c r="A328" s="123" t="s">
        <v>85</v>
      </c>
      <c r="B328" s="16" t="s">
        <v>270</v>
      </c>
      <c r="C328" s="7">
        <v>186522983</v>
      </c>
      <c r="D328" s="7">
        <v>127033181</v>
      </c>
      <c r="E328" s="7">
        <v>59489802</v>
      </c>
      <c r="F328" s="7">
        <v>166367865.83500001</v>
      </c>
      <c r="G328" s="7">
        <v>78995604.799999997</v>
      </c>
      <c r="H328" s="7">
        <v>8737226.1035000011</v>
      </c>
      <c r="I328" s="7">
        <v>157630639.7315</v>
      </c>
      <c r="AA328" s="7">
        <v>4991035.9750500005</v>
      </c>
      <c r="AB328" s="7">
        <v>82797074</v>
      </c>
      <c r="AC328" s="7">
        <v>69842529.756449997</v>
      </c>
      <c r="AD328" s="17"/>
      <c r="AE328" s="5">
        <f>SUMIFS(PGĐ!$H:$H,PGĐ!$F:$F,"="&amp;'HQ2'!B328,PGĐ!$I:$I,"="&amp;'HQ2'!A328)</f>
        <v>0</v>
      </c>
      <c r="AF328" s="17"/>
      <c r="AG328" s="7">
        <f>SUMIFS(ĐMCP!$Q:$Q,ĐMCP!$P:$P,"="&amp;'HQ2'!B328,ĐMCP!$O:$O,"="&amp;'HQ2'!A328)</f>
        <v>82797073.545024067</v>
      </c>
      <c r="AH328" s="7">
        <f t="shared" si="5"/>
        <v>-0.45497593283653259</v>
      </c>
    </row>
    <row r="329" spans="1:34" x14ac:dyDescent="0.25">
      <c r="A329" s="123" t="s">
        <v>85</v>
      </c>
      <c r="B329" s="16" t="s">
        <v>271</v>
      </c>
      <c r="C329" s="7">
        <v>205208267</v>
      </c>
      <c r="D329" s="7">
        <v>49672040</v>
      </c>
      <c r="E329" s="7">
        <v>155536227</v>
      </c>
      <c r="F329" s="7">
        <v>157802318.29999998</v>
      </c>
      <c r="G329" s="7">
        <v>131196014.59999999</v>
      </c>
      <c r="H329" s="7">
        <v>5321260.7399999984</v>
      </c>
      <c r="I329" s="7">
        <v>152481057.55999997</v>
      </c>
      <c r="AA329" s="7">
        <v>4734069.5489999996</v>
      </c>
      <c r="AB329" s="7">
        <v>24183550</v>
      </c>
      <c r="AC329" s="7">
        <v>123563438.01099998</v>
      </c>
      <c r="AD329" s="17"/>
      <c r="AE329" s="5">
        <f>SUMIFS(PGĐ!$H:$H,PGĐ!$F:$F,"="&amp;'HQ2'!B329,PGĐ!$I:$I,"="&amp;'HQ2'!A329)</f>
        <v>0</v>
      </c>
      <c r="AF329" s="17"/>
      <c r="AG329" s="7">
        <f>SUMIFS(ĐMCP!$Q:$Q,ĐMCP!$P:$P,"="&amp;'HQ2'!B329,ĐMCP!$O:$O,"="&amp;'HQ2'!A329)</f>
        <v>24183550.258140109</v>
      </c>
      <c r="AH329" s="7">
        <f t="shared" si="5"/>
        <v>0.25814010947942734</v>
      </c>
    </row>
    <row r="330" spans="1:34" x14ac:dyDescent="0.25">
      <c r="A330" s="123" t="s">
        <v>85</v>
      </c>
      <c r="B330" s="16" t="s">
        <v>269</v>
      </c>
      <c r="C330" s="7">
        <v>183000000</v>
      </c>
      <c r="E330" s="7">
        <v>183000000</v>
      </c>
      <c r="F330" s="7">
        <v>109800000</v>
      </c>
      <c r="G330" s="7">
        <v>110820000</v>
      </c>
      <c r="H330" s="7">
        <v>-102000</v>
      </c>
      <c r="I330" s="7">
        <v>109902000</v>
      </c>
      <c r="AA330" s="7">
        <v>3294000</v>
      </c>
      <c r="AB330" s="7">
        <v>50509140</v>
      </c>
      <c r="AC330" s="7">
        <v>56098860</v>
      </c>
      <c r="AD330" s="17"/>
      <c r="AE330" s="5">
        <f>SUMIFS(PGĐ!$H:$H,PGĐ!$F:$F,"="&amp;'HQ2'!B330,PGĐ!$I:$I,"="&amp;'HQ2'!A330)</f>
        <v>0</v>
      </c>
      <c r="AF330" s="17"/>
      <c r="AG330" s="7">
        <f>SUMIFS(ĐMCP!$Q:$Q,ĐMCP!$P:$P,"="&amp;'HQ2'!B330,ĐMCP!$O:$O,"="&amp;'HQ2'!A330)</f>
        <v>50509140.135075279</v>
      </c>
      <c r="AH330" s="7">
        <f t="shared" si="5"/>
        <v>0.13507527858018875</v>
      </c>
    </row>
    <row r="331" spans="1:34" x14ac:dyDescent="0.25">
      <c r="A331" s="123" t="s">
        <v>85</v>
      </c>
      <c r="B331" s="16" t="s">
        <v>272</v>
      </c>
      <c r="C331" s="7">
        <v>39600000</v>
      </c>
      <c r="D331" s="7">
        <v>39600000</v>
      </c>
      <c r="F331" s="7">
        <v>37026000</v>
      </c>
      <c r="H331" s="7">
        <v>7405200</v>
      </c>
      <c r="I331" s="7">
        <v>29620800</v>
      </c>
      <c r="AA331" s="7">
        <v>1110780</v>
      </c>
      <c r="AB331" s="7">
        <v>14430227</v>
      </c>
      <c r="AC331" s="7">
        <v>14079793</v>
      </c>
      <c r="AD331" s="17"/>
      <c r="AE331" s="5">
        <f>SUMIFS(PGĐ!$H:$H,PGĐ!$F:$F,"="&amp;'HQ2'!B331,PGĐ!$I:$I,"="&amp;'HQ2'!A331)</f>
        <v>0</v>
      </c>
      <c r="AF331" s="17"/>
      <c r="AG331" s="7">
        <f>SUMIFS(ĐMCP!$Q:$Q,ĐMCP!$P:$P,"="&amp;'HQ2'!B331,ĐMCP!$O:$O,"="&amp;'HQ2'!A331)</f>
        <v>14430227.045622848</v>
      </c>
      <c r="AH331" s="7">
        <f t="shared" si="5"/>
        <v>4.5622847974300385E-2</v>
      </c>
    </row>
    <row r="332" spans="1:34" x14ac:dyDescent="0.25">
      <c r="A332" s="123" t="s">
        <v>85</v>
      </c>
      <c r="B332" s="16" t="s">
        <v>273</v>
      </c>
      <c r="AB332" s="7">
        <v>0</v>
      </c>
      <c r="AC332" s="7">
        <v>0</v>
      </c>
      <c r="AD332" s="17"/>
      <c r="AE332" s="5">
        <f>SUMIFS(PGĐ!$H:$H,PGĐ!$F:$F,"="&amp;'HQ2'!B332,PGĐ!$I:$I,"="&amp;'HQ2'!A332)</f>
        <v>0</v>
      </c>
      <c r="AF332" s="17"/>
      <c r="AG332" s="7">
        <f>SUMIFS(ĐMCP!$Q:$Q,ĐMCP!$P:$P,"="&amp;'HQ2'!B332,ĐMCP!$O:$O,"="&amp;'HQ2'!A332)</f>
        <v>0</v>
      </c>
      <c r="AH332" s="7">
        <f t="shared" si="5"/>
        <v>0</v>
      </c>
    </row>
    <row r="333" spans="1:34" x14ac:dyDescent="0.25">
      <c r="A333" s="123" t="s">
        <v>85</v>
      </c>
      <c r="B333" s="16" t="s">
        <v>23</v>
      </c>
      <c r="AB333" s="7">
        <v>0</v>
      </c>
      <c r="AC333" s="7">
        <v>0</v>
      </c>
      <c r="AD333" s="17"/>
      <c r="AE333" s="5">
        <f>SUMIFS(PGĐ!$H:$H,PGĐ!$F:$F,"="&amp;'HQ2'!B333,PGĐ!$I:$I,"="&amp;'HQ2'!A333)</f>
        <v>0</v>
      </c>
      <c r="AF333" s="17"/>
      <c r="AG333" s="7">
        <f>SUMIFS(ĐMCP!$Q:$Q,ĐMCP!$P:$P,"="&amp;'HQ2'!B333,ĐMCP!$O:$O,"="&amp;'HQ2'!A333)</f>
        <v>0</v>
      </c>
      <c r="AH333" s="7">
        <f t="shared" si="5"/>
        <v>0</v>
      </c>
    </row>
    <row r="334" spans="1:34" x14ac:dyDescent="0.25">
      <c r="A334" s="123" t="s">
        <v>86</v>
      </c>
      <c r="B334" s="15" t="s">
        <v>45</v>
      </c>
      <c r="C334" s="132">
        <v>3104434378</v>
      </c>
      <c r="D334" s="132">
        <v>1185346605</v>
      </c>
      <c r="E334" s="132">
        <v>1919087773</v>
      </c>
      <c r="F334" s="132">
        <v>2509074748.3650002</v>
      </c>
      <c r="G334" s="132">
        <v>2012278478.8999999</v>
      </c>
      <c r="H334" s="132">
        <v>76873668.761999995</v>
      </c>
      <c r="I334" s="132">
        <v>2432201079.6030002</v>
      </c>
      <c r="J334" s="132">
        <v>85736119</v>
      </c>
      <c r="K334" s="132"/>
      <c r="L334" s="132">
        <v>73236119</v>
      </c>
      <c r="M334" s="132">
        <v>12500000</v>
      </c>
      <c r="N334" s="132">
        <v>80736119</v>
      </c>
      <c r="O334" s="132">
        <v>604740000</v>
      </c>
      <c r="P334" s="132">
        <v>205000000</v>
      </c>
      <c r="Q334" s="132">
        <v>205000000</v>
      </c>
      <c r="R334" s="132">
        <v>194740000</v>
      </c>
      <c r="S334" s="132">
        <v>342546824.75</v>
      </c>
      <c r="T334" s="132">
        <v>604740000</v>
      </c>
      <c r="U334" s="132">
        <v>205000000</v>
      </c>
      <c r="V334" s="132">
        <v>205000000</v>
      </c>
      <c r="W334" s="132">
        <v>194740000</v>
      </c>
      <c r="X334" s="132">
        <v>341458799.97999996</v>
      </c>
      <c r="Y334" s="132">
        <v>1088024.7700000405</v>
      </c>
      <c r="Z334" s="132">
        <v>81824143.770000041</v>
      </c>
      <c r="AA334" s="132">
        <v>75272242.450950012</v>
      </c>
      <c r="AB334" s="132">
        <v>793522045</v>
      </c>
      <c r="AC334" s="132">
        <v>1481582648.38205</v>
      </c>
      <c r="AD334" s="96">
        <v>3.3642014410813402E-2</v>
      </c>
      <c r="AE334" s="5">
        <f>SUMIFS(PGĐ!$H:$H,PGĐ!$F:$F,"="&amp;'HQ2'!B334,PGĐ!$I:$I,"="&amp;'HQ2'!A334)</f>
        <v>0</v>
      </c>
      <c r="AF334" s="96"/>
      <c r="AG334" s="7">
        <f>SUMIFS(ĐMCP!$Q:$Q,ĐMCP!$P:$P,"="&amp;'HQ2'!B334,ĐMCP!$O:$O,"="&amp;'HQ2'!A334)</f>
        <v>0</v>
      </c>
      <c r="AH334" s="7">
        <f t="shared" si="5"/>
        <v>0</v>
      </c>
    </row>
    <row r="335" spans="1:34" x14ac:dyDescent="0.25">
      <c r="A335" s="123" t="s">
        <v>86</v>
      </c>
      <c r="B335" s="16" t="s">
        <v>268</v>
      </c>
      <c r="C335" s="7">
        <v>2190965471</v>
      </c>
      <c r="D335" s="7">
        <v>621778644</v>
      </c>
      <c r="E335" s="7">
        <v>1569186827</v>
      </c>
      <c r="F335" s="7">
        <v>1701556063.5799999</v>
      </c>
      <c r="G335" s="7">
        <v>1430713438</v>
      </c>
      <c r="H335" s="7">
        <v>40626393.83699999</v>
      </c>
      <c r="I335" s="7">
        <v>1660929669.743</v>
      </c>
      <c r="O335" s="7">
        <v>205000000</v>
      </c>
      <c r="P335" s="7">
        <v>205000000</v>
      </c>
      <c r="Q335" s="7">
        <v>205000000</v>
      </c>
      <c r="R335" s="7">
        <v>-205000000</v>
      </c>
      <c r="S335" s="7">
        <v>102702824.74999999</v>
      </c>
      <c r="T335" s="7">
        <v>205000000</v>
      </c>
      <c r="U335" s="7">
        <v>205000000</v>
      </c>
      <c r="V335" s="7">
        <v>205000000</v>
      </c>
      <c r="W335" s="7">
        <v>-205000000</v>
      </c>
      <c r="X335" s="7">
        <v>101614799.97999997</v>
      </c>
      <c r="Y335" s="7">
        <v>1088024.7700000107</v>
      </c>
      <c r="Z335" s="7">
        <v>1088024.7700000107</v>
      </c>
      <c r="AA335" s="7">
        <v>51046681.907399997</v>
      </c>
      <c r="AB335" s="7">
        <v>609299281</v>
      </c>
      <c r="AC335" s="7">
        <v>999495682.06560004</v>
      </c>
      <c r="AD335" s="17">
        <v>6.5506974185629643E-4</v>
      </c>
      <c r="AE335" s="5">
        <f>SUMIFS(PGĐ!$H:$H,PGĐ!$F:$F,"="&amp;'HQ2'!B335,PGĐ!$I:$I,"="&amp;'HQ2'!A335)</f>
        <v>0</v>
      </c>
      <c r="AF335" s="17"/>
      <c r="AG335" s="7">
        <f>SUMIFS(ĐMCP!$Q:$Q,ĐMCP!$P:$P,"="&amp;'HQ2'!B335,ĐMCP!$O:$O,"="&amp;'HQ2'!A335)</f>
        <v>609299280.81549692</v>
      </c>
      <c r="AH335" s="7">
        <f t="shared" si="5"/>
        <v>-0.18450307846069336</v>
      </c>
    </row>
    <row r="336" spans="1:34" x14ac:dyDescent="0.25">
      <c r="A336" s="123" t="s">
        <v>86</v>
      </c>
      <c r="B336" s="16" t="s">
        <v>271</v>
      </c>
      <c r="C336" s="7">
        <v>288854053</v>
      </c>
      <c r="D336" s="7">
        <v>245517689</v>
      </c>
      <c r="E336" s="7">
        <v>43336364</v>
      </c>
      <c r="F336" s="7">
        <v>272170378.46499997</v>
      </c>
      <c r="G336" s="7">
        <v>175221518.5</v>
      </c>
      <c r="H336" s="7">
        <v>19389771.992999997</v>
      </c>
      <c r="I336" s="7">
        <v>252780606.47199997</v>
      </c>
      <c r="AA336" s="7">
        <v>8165111.3539499985</v>
      </c>
      <c r="AB336" s="7">
        <v>-31803486</v>
      </c>
      <c r="AC336" s="7">
        <v>276418981.11804998</v>
      </c>
      <c r="AD336" s="17"/>
      <c r="AE336" s="5">
        <f>SUMIFS(PGĐ!$H:$H,PGĐ!$F:$F,"="&amp;'HQ2'!B336,PGĐ!$I:$I,"="&amp;'HQ2'!A336)</f>
        <v>0</v>
      </c>
      <c r="AF336" s="17"/>
      <c r="AG336" s="7">
        <f>SUMIFS(ĐMCP!$Q:$Q,ĐMCP!$P:$P,"="&amp;'HQ2'!B336,ĐMCP!$O:$O,"="&amp;'HQ2'!A336)</f>
        <v>-31803485.547470555</v>
      </c>
      <c r="AH336" s="7">
        <f t="shared" si="5"/>
        <v>0.45252944529056549</v>
      </c>
    </row>
    <row r="337" spans="1:34" x14ac:dyDescent="0.25">
      <c r="A337" s="123" t="s">
        <v>86</v>
      </c>
      <c r="B337" s="16" t="s">
        <v>272</v>
      </c>
      <c r="C337" s="7">
        <v>280493364</v>
      </c>
      <c r="D337" s="7">
        <v>276697000</v>
      </c>
      <c r="E337" s="7">
        <v>3796364</v>
      </c>
      <c r="F337" s="7">
        <v>261748786.19999999</v>
      </c>
      <c r="G337" s="7">
        <v>222178540.80000001</v>
      </c>
      <c r="H337" s="7">
        <v>7914049.0799999954</v>
      </c>
      <c r="I337" s="7">
        <v>253834737.12</v>
      </c>
      <c r="J337" s="7">
        <v>50645519</v>
      </c>
      <c r="L337" s="7">
        <v>50645519</v>
      </c>
      <c r="M337" s="7">
        <v>0</v>
      </c>
      <c r="N337" s="7">
        <v>50645519</v>
      </c>
      <c r="Z337" s="7">
        <v>50645519</v>
      </c>
      <c r="AA337" s="7">
        <v>7852463.5859999992</v>
      </c>
      <c r="AB337" s="7">
        <v>107944809</v>
      </c>
      <c r="AC337" s="7">
        <v>87391945.534000009</v>
      </c>
      <c r="AD337" s="17">
        <v>0.19952162408747626</v>
      </c>
      <c r="AE337" s="5">
        <f>SUMIFS(PGĐ!$H:$H,PGĐ!$F:$F,"="&amp;'HQ2'!B337,PGĐ!$I:$I,"="&amp;'HQ2'!A337)</f>
        <v>0</v>
      </c>
      <c r="AF337" s="17"/>
      <c r="AG337" s="7">
        <f>SUMIFS(ĐMCP!$Q:$Q,ĐMCP!$P:$P,"="&amp;'HQ2'!B337,ĐMCP!$O:$O,"="&amp;'HQ2'!A337)</f>
        <v>107944808.85823691</v>
      </c>
      <c r="AH337" s="7">
        <f t="shared" si="5"/>
        <v>-0.14176309108734131</v>
      </c>
    </row>
    <row r="338" spans="1:34" x14ac:dyDescent="0.25">
      <c r="A338" s="123" t="s">
        <v>86</v>
      </c>
      <c r="B338" s="16" t="s">
        <v>270</v>
      </c>
      <c r="C338" s="7">
        <v>307719672</v>
      </c>
      <c r="D338" s="7">
        <v>41353272</v>
      </c>
      <c r="E338" s="7">
        <v>266366400</v>
      </c>
      <c r="F338" s="7">
        <v>251758429.31999999</v>
      </c>
      <c r="G338" s="7">
        <v>87941344.800000012</v>
      </c>
      <c r="H338" s="7">
        <v>16381708.452</v>
      </c>
      <c r="I338" s="7">
        <v>235376720.868</v>
      </c>
      <c r="J338" s="7">
        <v>35090600</v>
      </c>
      <c r="L338" s="7">
        <v>22590600</v>
      </c>
      <c r="M338" s="7">
        <v>12500000</v>
      </c>
      <c r="N338" s="7">
        <v>30090600</v>
      </c>
      <c r="O338" s="7">
        <v>399740000</v>
      </c>
      <c r="R338" s="7">
        <v>399740000</v>
      </c>
      <c r="S338" s="7">
        <v>239844000</v>
      </c>
      <c r="T338" s="7">
        <v>399740000</v>
      </c>
      <c r="W338" s="7">
        <v>399740000</v>
      </c>
      <c r="X338" s="7">
        <v>239844000</v>
      </c>
      <c r="Y338" s="7">
        <v>0</v>
      </c>
      <c r="Z338" s="7">
        <v>30090600</v>
      </c>
      <c r="AA338" s="7">
        <v>7552752.8795999996</v>
      </c>
      <c r="AB338" s="7">
        <v>107462994</v>
      </c>
      <c r="AC338" s="7">
        <v>90270373.988399997</v>
      </c>
      <c r="AD338" s="17">
        <v>0.12784016995833203</v>
      </c>
      <c r="AE338" s="5">
        <f>SUMIFS(PGĐ!$H:$H,PGĐ!$F:$F,"="&amp;'HQ2'!B338,PGĐ!$I:$I,"="&amp;'HQ2'!A338)</f>
        <v>0</v>
      </c>
      <c r="AF338" s="17"/>
      <c r="AG338" s="7">
        <f>SUMIFS(ĐMCP!$Q:$Q,ĐMCP!$P:$P,"="&amp;'HQ2'!B338,ĐMCP!$O:$O,"="&amp;'HQ2'!A338)</f>
        <v>107462993.82007284</v>
      </c>
      <c r="AH338" s="7">
        <f t="shared" si="5"/>
        <v>-0.17992715537548065</v>
      </c>
    </row>
    <row r="339" spans="1:34" x14ac:dyDescent="0.25">
      <c r="A339" s="123" t="s">
        <v>86</v>
      </c>
      <c r="B339" s="16" t="s">
        <v>269</v>
      </c>
      <c r="C339" s="7">
        <v>36401818</v>
      </c>
      <c r="E339" s="7">
        <v>36401818</v>
      </c>
      <c r="F339" s="7">
        <v>21841090.800000001</v>
      </c>
      <c r="G339" s="7">
        <v>96223636.799999997</v>
      </c>
      <c r="H339" s="7">
        <v>-7438254.6000000006</v>
      </c>
      <c r="I339" s="7">
        <v>29279345.400000002</v>
      </c>
      <c r="AA339" s="7">
        <v>655232.72400000005</v>
      </c>
      <c r="AB339" s="7">
        <v>618447</v>
      </c>
      <c r="AC339" s="7">
        <v>28005665.676000003</v>
      </c>
      <c r="AD339" s="17"/>
      <c r="AE339" s="5">
        <f>SUMIFS(PGĐ!$H:$H,PGĐ!$F:$F,"="&amp;'HQ2'!B339,PGĐ!$I:$I,"="&amp;'HQ2'!A339)</f>
        <v>0</v>
      </c>
      <c r="AF339" s="17"/>
      <c r="AG339" s="7">
        <f>SUMIFS(ĐMCP!$Q:$Q,ĐMCP!$P:$P,"="&amp;'HQ2'!B339,ĐMCP!$O:$O,"="&amp;'HQ2'!A339)</f>
        <v>618447.34697411768</v>
      </c>
      <c r="AH339" s="7">
        <f t="shared" si="5"/>
        <v>0.34697411768138409</v>
      </c>
    </row>
    <row r="340" spans="1:34" x14ac:dyDescent="0.25">
      <c r="A340" s="123" t="s">
        <v>86</v>
      </c>
      <c r="B340" s="16" t="s">
        <v>273</v>
      </c>
      <c r="AB340" s="7">
        <v>0</v>
      </c>
      <c r="AC340" s="7">
        <v>0</v>
      </c>
      <c r="AD340" s="17"/>
      <c r="AE340" s="5">
        <f>SUMIFS(PGĐ!$H:$H,PGĐ!$F:$F,"="&amp;'HQ2'!B340,PGĐ!$I:$I,"="&amp;'HQ2'!A340)</f>
        <v>0</v>
      </c>
      <c r="AF340" s="17"/>
      <c r="AG340" s="7">
        <f>SUMIFS(ĐMCP!$Q:$Q,ĐMCP!$P:$P,"="&amp;'HQ2'!B340,ĐMCP!$O:$O,"="&amp;'HQ2'!A340)</f>
        <v>0</v>
      </c>
      <c r="AH340" s="7">
        <f t="shared" si="5"/>
        <v>0</v>
      </c>
    </row>
    <row r="341" spans="1:34" x14ac:dyDescent="0.25">
      <c r="A341" s="123" t="s">
        <v>86</v>
      </c>
      <c r="B341" s="16" t="s">
        <v>23</v>
      </c>
      <c r="AB341" s="7">
        <v>0</v>
      </c>
      <c r="AC341" s="7">
        <v>0</v>
      </c>
      <c r="AD341" s="17"/>
      <c r="AE341" s="5">
        <f>SUMIFS(PGĐ!$H:$H,PGĐ!$F:$F,"="&amp;'HQ2'!B341,PGĐ!$I:$I,"="&amp;'HQ2'!A341)</f>
        <v>0</v>
      </c>
      <c r="AF341" s="17"/>
      <c r="AG341" s="7">
        <f>SUMIFS(ĐMCP!$Q:$Q,ĐMCP!$P:$P,"="&amp;'HQ2'!B341,ĐMCP!$O:$O,"="&amp;'HQ2'!A341)</f>
        <v>0</v>
      </c>
      <c r="AH341" s="7">
        <f t="shared" si="5"/>
        <v>0</v>
      </c>
    </row>
    <row r="342" spans="1:34" x14ac:dyDescent="0.25">
      <c r="A342" s="123" t="s">
        <v>87</v>
      </c>
      <c r="B342" s="15" t="s">
        <v>45</v>
      </c>
      <c r="C342" s="132">
        <v>3071380693</v>
      </c>
      <c r="D342" s="132">
        <v>1319837083</v>
      </c>
      <c r="E342" s="132">
        <v>1751543610</v>
      </c>
      <c r="F342" s="132">
        <v>2466611468.98</v>
      </c>
      <c r="G342" s="132">
        <v>1864812709.3</v>
      </c>
      <c r="H342" s="132">
        <v>73722361.046000019</v>
      </c>
      <c r="I342" s="132">
        <v>2392889107.934</v>
      </c>
      <c r="J342" s="132">
        <v>19892200</v>
      </c>
      <c r="K342" s="132">
        <v>31903217</v>
      </c>
      <c r="L342" s="132"/>
      <c r="M342" s="132">
        <v>-12011017</v>
      </c>
      <c r="N342" s="132">
        <v>-5920968.4499999993</v>
      </c>
      <c r="O342" s="132">
        <v>1989532189</v>
      </c>
      <c r="P342" s="132">
        <v>10000000</v>
      </c>
      <c r="Q342" s="132">
        <v>1439532189</v>
      </c>
      <c r="R342" s="132">
        <v>540000000</v>
      </c>
      <c r="S342" s="132">
        <v>1874631450.0699999</v>
      </c>
      <c r="T342" s="132">
        <v>348716335</v>
      </c>
      <c r="U342" s="132">
        <v>30000000</v>
      </c>
      <c r="V342" s="132">
        <v>328716335</v>
      </c>
      <c r="W342" s="132">
        <v>-10000000</v>
      </c>
      <c r="X342" s="132">
        <v>324201960.88999999</v>
      </c>
      <c r="Y342" s="132">
        <v>1550429489.1799998</v>
      </c>
      <c r="Z342" s="132">
        <v>1544508520.7299998</v>
      </c>
      <c r="AA342" s="132">
        <v>73998344.069399998</v>
      </c>
      <c r="AB342" s="132">
        <v>917550397</v>
      </c>
      <c r="AC342" s="132">
        <v>-143168153.86540014</v>
      </c>
      <c r="AD342" s="96">
        <v>0.64545762509802018</v>
      </c>
      <c r="AE342" s="5">
        <f>SUMIFS(PGĐ!$H:$H,PGĐ!$F:$F,"="&amp;'HQ2'!B342,PGĐ!$I:$I,"="&amp;'HQ2'!A342)</f>
        <v>0</v>
      </c>
      <c r="AF342" s="96"/>
      <c r="AG342" s="7">
        <f>SUMIFS(ĐMCP!$Q:$Q,ĐMCP!$P:$P,"="&amp;'HQ2'!B342,ĐMCP!$O:$O,"="&amp;'HQ2'!A342)</f>
        <v>0</v>
      </c>
      <c r="AH342" s="7">
        <f t="shared" si="5"/>
        <v>0</v>
      </c>
    </row>
    <row r="343" spans="1:34" x14ac:dyDescent="0.25">
      <c r="A343" s="123" t="s">
        <v>87</v>
      </c>
      <c r="B343" s="16" t="s">
        <v>268</v>
      </c>
      <c r="C343" s="7">
        <v>1918255435</v>
      </c>
      <c r="D343" s="7">
        <v>506323945</v>
      </c>
      <c r="E343" s="7">
        <v>1411931490</v>
      </c>
      <c r="F343" s="7">
        <v>1479486269.6499999</v>
      </c>
      <c r="G343" s="7">
        <v>869243891.5999999</v>
      </c>
      <c r="H343" s="7">
        <v>91536356.707499996</v>
      </c>
      <c r="I343" s="7">
        <v>1387949912.9424999</v>
      </c>
      <c r="J343" s="7">
        <v>44427102</v>
      </c>
      <c r="K343" s="7">
        <v>31903217</v>
      </c>
      <c r="M343" s="7">
        <v>12523885</v>
      </c>
      <c r="N343" s="7">
        <v>8799972.75</v>
      </c>
      <c r="O343" s="7">
        <v>10000000</v>
      </c>
      <c r="P343" s="7">
        <v>10000000</v>
      </c>
      <c r="Q343" s="7">
        <v>10000000</v>
      </c>
      <c r="R343" s="7">
        <v>-10000000</v>
      </c>
      <c r="S343" s="7">
        <v>5099261.07</v>
      </c>
      <c r="T343" s="7">
        <v>30000000</v>
      </c>
      <c r="U343" s="7">
        <v>30000000</v>
      </c>
      <c r="V343" s="7">
        <v>10000000</v>
      </c>
      <c r="W343" s="7">
        <v>-10000000</v>
      </c>
      <c r="X343" s="7">
        <v>5485625.8900000006</v>
      </c>
      <c r="Y343" s="7">
        <v>-386364.8200000003</v>
      </c>
      <c r="Z343" s="7">
        <v>8413607.9299999997</v>
      </c>
      <c r="AA343" s="7">
        <v>44384588.089499995</v>
      </c>
      <c r="AB343" s="7">
        <v>616791737</v>
      </c>
      <c r="AC343" s="7">
        <v>718359979.92299986</v>
      </c>
      <c r="AD343" s="17">
        <v>6.0618959312176268E-3</v>
      </c>
      <c r="AE343" s="5">
        <f>SUMIFS(PGĐ!$H:$H,PGĐ!$F:$F,"="&amp;'HQ2'!B343,PGĐ!$I:$I,"="&amp;'HQ2'!A343)</f>
        <v>0</v>
      </c>
      <c r="AF343" s="17"/>
      <c r="AG343" s="7">
        <f>SUMIFS(ĐMCP!$Q:$Q,ĐMCP!$P:$P,"="&amp;'HQ2'!B343,ĐMCP!$O:$O,"="&amp;'HQ2'!A343)</f>
        <v>616791737.25050092</v>
      </c>
      <c r="AH343" s="7">
        <f t="shared" si="5"/>
        <v>0.25050091743469238</v>
      </c>
    </row>
    <row r="344" spans="1:34" x14ac:dyDescent="0.25">
      <c r="A344" s="123" t="s">
        <v>87</v>
      </c>
      <c r="B344" s="16" t="s">
        <v>270</v>
      </c>
      <c r="C344" s="7">
        <v>479701445</v>
      </c>
      <c r="D344" s="7">
        <v>479701445</v>
      </c>
      <c r="F344" s="7">
        <v>448520851.07500005</v>
      </c>
      <c r="G344" s="7">
        <v>300200531.19999999</v>
      </c>
      <c r="H344" s="7">
        <v>14832031.987500006</v>
      </c>
      <c r="I344" s="7">
        <v>433688819.08750004</v>
      </c>
      <c r="J344" s="7">
        <v>-24534902</v>
      </c>
      <c r="M344" s="7">
        <v>-24534902</v>
      </c>
      <c r="N344" s="7">
        <v>-14720941.199999999</v>
      </c>
      <c r="O344" s="7">
        <v>413532189</v>
      </c>
      <c r="Q344" s="7">
        <v>413532189</v>
      </c>
      <c r="R344" s="7">
        <v>0</v>
      </c>
      <c r="S344" s="7">
        <v>413532189</v>
      </c>
      <c r="T344" s="7">
        <v>318716335</v>
      </c>
      <c r="V344" s="7">
        <v>318716335</v>
      </c>
      <c r="W344" s="7">
        <v>0</v>
      </c>
      <c r="X344" s="7">
        <v>318716335</v>
      </c>
      <c r="Y344" s="7">
        <v>94815854</v>
      </c>
      <c r="Z344" s="7">
        <v>80094912.799999997</v>
      </c>
      <c r="AA344" s="7">
        <v>13455625.53225</v>
      </c>
      <c r="AB344" s="7">
        <v>148728452</v>
      </c>
      <c r="AC344" s="7">
        <v>191409828.75525004</v>
      </c>
      <c r="AD344" s="17">
        <v>0.18468290920785818</v>
      </c>
      <c r="AE344" s="5">
        <f>SUMIFS(PGĐ!$H:$H,PGĐ!$F:$F,"="&amp;'HQ2'!B344,PGĐ!$I:$I,"="&amp;'HQ2'!A344)</f>
        <v>66000000</v>
      </c>
      <c r="AF344" s="17"/>
      <c r="AG344" s="7">
        <f>SUMIFS(ĐMCP!$Q:$Q,ĐMCP!$P:$P,"="&amp;'HQ2'!B344,ĐMCP!$O:$O,"="&amp;'HQ2'!A344)</f>
        <v>148728451.96796244</v>
      </c>
      <c r="AH344" s="7">
        <f t="shared" si="5"/>
        <v>-3.2037556171417236E-2</v>
      </c>
    </row>
    <row r="345" spans="1:34" x14ac:dyDescent="0.25">
      <c r="A345" s="123" t="s">
        <v>87</v>
      </c>
      <c r="B345" s="16" t="s">
        <v>272</v>
      </c>
      <c r="C345" s="7">
        <v>265346887</v>
      </c>
      <c r="D345" s="7">
        <v>265346887</v>
      </c>
      <c r="F345" s="7">
        <v>248099339.34500003</v>
      </c>
      <c r="G345" s="7">
        <v>285669371.19999999</v>
      </c>
      <c r="H345" s="7">
        <v>-7514006.3709999919</v>
      </c>
      <c r="I345" s="7">
        <v>255613345.71600002</v>
      </c>
      <c r="O345" s="7">
        <v>1566000000</v>
      </c>
      <c r="Q345" s="7">
        <v>1016000000</v>
      </c>
      <c r="R345" s="7">
        <v>550000000</v>
      </c>
      <c r="S345" s="7">
        <v>1456000000</v>
      </c>
      <c r="Y345" s="7">
        <v>1456000000</v>
      </c>
      <c r="Z345" s="7">
        <v>1456000000</v>
      </c>
      <c r="AA345" s="7">
        <v>7442980.180350001</v>
      </c>
      <c r="AB345" s="7">
        <v>76093149</v>
      </c>
      <c r="AC345" s="7">
        <v>-1283922783.46435</v>
      </c>
      <c r="AD345" s="17">
        <v>5.6961032137097147</v>
      </c>
      <c r="AE345" s="5">
        <f>SUMIFS(PGĐ!$H:$H,PGĐ!$F:$F,"="&amp;'HQ2'!B345,PGĐ!$I:$I,"="&amp;'HQ2'!A345)</f>
        <v>0</v>
      </c>
      <c r="AF345" s="17"/>
      <c r="AG345" s="7">
        <f>SUMIFS(ĐMCP!$Q:$Q,ĐMCP!$P:$P,"="&amp;'HQ2'!B345,ĐMCP!$O:$O,"="&amp;'HQ2'!A345)</f>
        <v>76093149.417573899</v>
      </c>
      <c r="AH345" s="7">
        <f t="shared" si="5"/>
        <v>0.41757389903068542</v>
      </c>
    </row>
    <row r="346" spans="1:34" x14ac:dyDescent="0.25">
      <c r="A346" s="123" t="s">
        <v>87</v>
      </c>
      <c r="B346" s="16" t="s">
        <v>271</v>
      </c>
      <c r="C346" s="7">
        <v>261463836</v>
      </c>
      <c r="D346" s="7">
        <v>68464806</v>
      </c>
      <c r="E346" s="7">
        <v>192999030</v>
      </c>
      <c r="F346" s="7">
        <v>202537154.91</v>
      </c>
      <c r="G346" s="7">
        <v>334663461.29999995</v>
      </c>
      <c r="H346" s="7">
        <v>-26425261.277999993</v>
      </c>
      <c r="I346" s="7">
        <v>228962416.18799999</v>
      </c>
      <c r="AA346" s="7">
        <v>6076114.6472999994</v>
      </c>
      <c r="AB346" s="7">
        <v>45670207</v>
      </c>
      <c r="AC346" s="7">
        <v>177216094.54069999</v>
      </c>
      <c r="AD346" s="17"/>
      <c r="AE346" s="5">
        <f>SUMIFS(PGĐ!$H:$H,PGĐ!$F:$F,"="&amp;'HQ2'!B346,PGĐ!$I:$I,"="&amp;'HQ2'!A346)</f>
        <v>0</v>
      </c>
      <c r="AF346" s="17"/>
      <c r="AG346" s="7">
        <f>SUMIFS(ĐMCP!$Q:$Q,ĐMCP!$P:$P,"="&amp;'HQ2'!B346,ĐMCP!$O:$O,"="&amp;'HQ2'!A346)</f>
        <v>45670206.919010103</v>
      </c>
      <c r="AH346" s="7">
        <f t="shared" si="5"/>
        <v>-8.098989725112915E-2</v>
      </c>
    </row>
    <row r="347" spans="1:34" x14ac:dyDescent="0.25">
      <c r="A347" s="123" t="s">
        <v>87</v>
      </c>
      <c r="B347" s="16" t="s">
        <v>269</v>
      </c>
      <c r="C347" s="7">
        <v>146613090</v>
      </c>
      <c r="E347" s="7">
        <v>146613090</v>
      </c>
      <c r="F347" s="7">
        <v>87967854</v>
      </c>
      <c r="G347" s="7">
        <v>75035454</v>
      </c>
      <c r="H347" s="7">
        <v>1293240</v>
      </c>
      <c r="I347" s="7">
        <v>86674614</v>
      </c>
      <c r="AA347" s="7">
        <v>2639035.62</v>
      </c>
      <c r="AB347" s="7">
        <v>30266852</v>
      </c>
      <c r="AC347" s="7">
        <v>53768726.380000003</v>
      </c>
      <c r="AD347" s="17"/>
      <c r="AE347" s="5">
        <f>SUMIFS(PGĐ!$H:$H,PGĐ!$F:$F,"="&amp;'HQ2'!B347,PGĐ!$I:$I,"="&amp;'HQ2'!A347)</f>
        <v>0</v>
      </c>
      <c r="AF347" s="17"/>
      <c r="AG347" s="7">
        <f>SUMIFS(ĐMCP!$Q:$Q,ĐMCP!$P:$P,"="&amp;'HQ2'!B347,ĐMCP!$O:$O,"="&amp;'HQ2'!A347)</f>
        <v>30266852.461887818</v>
      </c>
      <c r="AH347" s="7">
        <f t="shared" si="5"/>
        <v>0.46188781782984734</v>
      </c>
    </row>
    <row r="348" spans="1:34" x14ac:dyDescent="0.25">
      <c r="A348" s="123" t="s">
        <v>87</v>
      </c>
      <c r="B348" s="16" t="s">
        <v>273</v>
      </c>
      <c r="AB348" s="7">
        <v>0</v>
      </c>
      <c r="AC348" s="7">
        <v>0</v>
      </c>
      <c r="AD348" s="17"/>
      <c r="AE348" s="5">
        <f>SUMIFS(PGĐ!$H:$H,PGĐ!$F:$F,"="&amp;'HQ2'!B348,PGĐ!$I:$I,"="&amp;'HQ2'!A348)</f>
        <v>0</v>
      </c>
      <c r="AF348" s="17"/>
      <c r="AG348" s="7">
        <f>SUMIFS(ĐMCP!$Q:$Q,ĐMCP!$P:$P,"="&amp;'HQ2'!B348,ĐMCP!$O:$O,"="&amp;'HQ2'!A348)</f>
        <v>0</v>
      </c>
      <c r="AH348" s="7">
        <f t="shared" si="5"/>
        <v>0</v>
      </c>
    </row>
    <row r="349" spans="1:34" x14ac:dyDescent="0.25">
      <c r="A349" s="123" t="s">
        <v>87</v>
      </c>
      <c r="B349" s="16" t="s">
        <v>23</v>
      </c>
      <c r="AB349" s="7">
        <v>0</v>
      </c>
      <c r="AC349" s="7">
        <v>0</v>
      </c>
      <c r="AD349" s="17"/>
      <c r="AE349" s="5">
        <f>SUMIFS(PGĐ!$H:$H,PGĐ!$F:$F,"="&amp;'HQ2'!B349,PGĐ!$I:$I,"="&amp;'HQ2'!A349)</f>
        <v>0</v>
      </c>
      <c r="AF349" s="17"/>
      <c r="AG349" s="7">
        <f>SUMIFS(ĐMCP!$Q:$Q,ĐMCP!$P:$P,"="&amp;'HQ2'!B349,ĐMCP!$O:$O,"="&amp;'HQ2'!A349)</f>
        <v>0</v>
      </c>
      <c r="AH349" s="7">
        <f t="shared" si="5"/>
        <v>0</v>
      </c>
    </row>
    <row r="350" spans="1:34" x14ac:dyDescent="0.25">
      <c r="A350" s="123" t="s">
        <v>88</v>
      </c>
      <c r="B350" s="15" t="s">
        <v>45</v>
      </c>
      <c r="C350" s="132">
        <v>2835777460</v>
      </c>
      <c r="D350" s="132">
        <v>1369621848</v>
      </c>
      <c r="E350" s="132">
        <v>1466155612</v>
      </c>
      <c r="F350" s="132">
        <v>2330396207.4049993</v>
      </c>
      <c r="G350" s="132">
        <v>2050360549.8</v>
      </c>
      <c r="H350" s="132">
        <v>36379073.627999991</v>
      </c>
      <c r="I350" s="132">
        <v>2294017133.7769995</v>
      </c>
      <c r="J350" s="132">
        <v>24375000</v>
      </c>
      <c r="K350" s="132"/>
      <c r="L350" s="132"/>
      <c r="M350" s="132">
        <v>24375000</v>
      </c>
      <c r="N350" s="132">
        <v>19500000</v>
      </c>
      <c r="O350" s="132">
        <v>120000000</v>
      </c>
      <c r="P350" s="132"/>
      <c r="Q350" s="132">
        <v>110000000</v>
      </c>
      <c r="R350" s="132">
        <v>10000000</v>
      </c>
      <c r="S350" s="132">
        <v>118000000</v>
      </c>
      <c r="T350" s="132"/>
      <c r="U350" s="132"/>
      <c r="V350" s="132"/>
      <c r="W350" s="132"/>
      <c r="X350" s="132"/>
      <c r="Y350" s="132">
        <v>118000000</v>
      </c>
      <c r="Z350" s="132">
        <v>137500000</v>
      </c>
      <c r="AA350" s="132">
        <v>69911886.222149968</v>
      </c>
      <c r="AB350" s="132">
        <v>1003945808</v>
      </c>
      <c r="AC350" s="132">
        <v>1082659439.5548499</v>
      </c>
      <c r="AD350" s="96">
        <v>5.9938523551309415E-2</v>
      </c>
      <c r="AE350" s="5">
        <f>SUMIFS(PGĐ!$H:$H,PGĐ!$F:$F,"="&amp;'HQ2'!B350,PGĐ!$I:$I,"="&amp;'HQ2'!A350)</f>
        <v>0</v>
      </c>
      <c r="AF350" s="96"/>
      <c r="AG350" s="7">
        <f>SUMIFS(ĐMCP!$Q:$Q,ĐMCP!$P:$P,"="&amp;'HQ2'!B350,ĐMCP!$O:$O,"="&amp;'HQ2'!A350)</f>
        <v>0</v>
      </c>
      <c r="AH350" s="7">
        <f t="shared" si="5"/>
        <v>0</v>
      </c>
    </row>
    <row r="351" spans="1:34" x14ac:dyDescent="0.25">
      <c r="A351" s="123" t="s">
        <v>88</v>
      </c>
      <c r="B351" s="16" t="s">
        <v>268</v>
      </c>
      <c r="C351" s="7">
        <v>1629943484</v>
      </c>
      <c r="D351" s="7">
        <v>402167695</v>
      </c>
      <c r="E351" s="7">
        <v>1227775789</v>
      </c>
      <c r="F351" s="7">
        <v>1249545716.4499998</v>
      </c>
      <c r="G351" s="7">
        <v>850019571.0999999</v>
      </c>
      <c r="H351" s="7">
        <v>59928921.802499987</v>
      </c>
      <c r="I351" s="7">
        <v>1189616794.6474998</v>
      </c>
      <c r="AA351" s="7">
        <v>37486371.493499994</v>
      </c>
      <c r="AB351" s="7">
        <v>560145264</v>
      </c>
      <c r="AC351" s="7">
        <v>591985159.15399981</v>
      </c>
      <c r="AD351" s="17"/>
      <c r="AE351" s="5">
        <f>SUMIFS(PGĐ!$H:$H,PGĐ!$F:$F,"="&amp;'HQ2'!B351,PGĐ!$I:$I,"="&amp;'HQ2'!A351)</f>
        <v>0</v>
      </c>
      <c r="AF351" s="17"/>
      <c r="AG351" s="7">
        <f>SUMIFS(ĐMCP!$Q:$Q,ĐMCP!$P:$P,"="&amp;'HQ2'!B351,ĐMCP!$O:$O,"="&amp;'HQ2'!A351)</f>
        <v>560145263.63088942</v>
      </c>
      <c r="AH351" s="7">
        <f t="shared" si="5"/>
        <v>-0.3691105842590332</v>
      </c>
    </row>
    <row r="352" spans="1:34" x14ac:dyDescent="0.25">
      <c r="A352" s="123" t="s">
        <v>88</v>
      </c>
      <c r="B352" s="16" t="s">
        <v>272</v>
      </c>
      <c r="C352" s="7">
        <v>1049150000</v>
      </c>
      <c r="D352" s="7">
        <v>967922000</v>
      </c>
      <c r="E352" s="7">
        <v>81228000</v>
      </c>
      <c r="F352" s="7">
        <v>969989470</v>
      </c>
      <c r="G352" s="7">
        <v>1022988000</v>
      </c>
      <c r="H352" s="7">
        <v>-10599706</v>
      </c>
      <c r="I352" s="7">
        <v>980589176</v>
      </c>
      <c r="J352" s="7">
        <v>24375000</v>
      </c>
      <c r="M352" s="7">
        <v>24375000</v>
      </c>
      <c r="N352" s="7">
        <v>19500000</v>
      </c>
      <c r="O352" s="7">
        <v>120000000</v>
      </c>
      <c r="Q352" s="7">
        <v>110000000</v>
      </c>
      <c r="R352" s="7">
        <v>10000000</v>
      </c>
      <c r="S352" s="7">
        <v>118000000</v>
      </c>
      <c r="Y352" s="7">
        <v>118000000</v>
      </c>
      <c r="Z352" s="7">
        <v>137500000</v>
      </c>
      <c r="AA352" s="7">
        <v>29099684.099999998</v>
      </c>
      <c r="AB352" s="7">
        <v>393171706</v>
      </c>
      <c r="AC352" s="7">
        <v>420817785.89999998</v>
      </c>
      <c r="AD352" s="17">
        <v>0.1402218210901402</v>
      </c>
      <c r="AE352" s="5">
        <f>SUMIFS(PGĐ!$H:$H,PGĐ!$F:$F,"="&amp;'HQ2'!B352,PGĐ!$I:$I,"="&amp;'HQ2'!A352)</f>
        <v>0</v>
      </c>
      <c r="AF352" s="17"/>
      <c r="AG352" s="7">
        <f>SUMIFS(ĐMCP!$Q:$Q,ĐMCP!$P:$P,"="&amp;'HQ2'!B352,ĐMCP!$O:$O,"="&amp;'HQ2'!A352)</f>
        <v>393171706.21554202</v>
      </c>
      <c r="AH352" s="7">
        <f t="shared" si="5"/>
        <v>0.2155420184135437</v>
      </c>
    </row>
    <row r="353" spans="1:34" x14ac:dyDescent="0.25">
      <c r="A353" s="123" t="s">
        <v>88</v>
      </c>
      <c r="B353" s="16" t="s">
        <v>271</v>
      </c>
      <c r="C353" s="7">
        <v>96153641</v>
      </c>
      <c r="E353" s="7">
        <v>96153641</v>
      </c>
      <c r="F353" s="7">
        <v>67307548.700000003</v>
      </c>
      <c r="G353" s="7">
        <v>130317012.69999999</v>
      </c>
      <c r="H353" s="7">
        <v>-12601892.799999997</v>
      </c>
      <c r="I353" s="7">
        <v>79909441.5</v>
      </c>
      <c r="AA353" s="7">
        <v>2019226.4610000001</v>
      </c>
      <c r="AB353" s="7">
        <v>31469705</v>
      </c>
      <c r="AC353" s="7">
        <v>46420510.038999997</v>
      </c>
      <c r="AD353" s="17"/>
      <c r="AE353" s="5">
        <f>SUMIFS(PGĐ!$H:$H,PGĐ!$F:$F,"="&amp;'HQ2'!B353,PGĐ!$I:$I,"="&amp;'HQ2'!A353)</f>
        <v>0</v>
      </c>
      <c r="AF353" s="17"/>
      <c r="AG353" s="7">
        <f>SUMIFS(ĐMCP!$Q:$Q,ĐMCP!$P:$P,"="&amp;'HQ2'!B353,ĐMCP!$O:$O,"="&amp;'HQ2'!A353)</f>
        <v>31469704.54182063</v>
      </c>
      <c r="AH353" s="7">
        <f t="shared" si="5"/>
        <v>-0.45817936956882477</v>
      </c>
    </row>
    <row r="354" spans="1:34" x14ac:dyDescent="0.25">
      <c r="A354" s="123" t="s">
        <v>88</v>
      </c>
      <c r="B354" s="16" t="s">
        <v>270</v>
      </c>
      <c r="C354" s="7">
        <v>36492153</v>
      </c>
      <c r="D354" s="7">
        <v>-467847</v>
      </c>
      <c r="E354" s="7">
        <v>36960000</v>
      </c>
      <c r="F354" s="7">
        <v>29130563.055</v>
      </c>
      <c r="G354" s="7">
        <v>21093056.800000001</v>
      </c>
      <c r="H354" s="7">
        <v>803750.62549999997</v>
      </c>
      <c r="I354" s="7">
        <v>28326812.429499999</v>
      </c>
      <c r="AA354" s="7">
        <v>873916.89165000001</v>
      </c>
      <c r="AB354" s="7">
        <v>12042798</v>
      </c>
      <c r="AC354" s="7">
        <v>15410097.537849998</v>
      </c>
      <c r="AD354" s="17"/>
      <c r="AE354" s="5">
        <f>SUMIFS(PGĐ!$H:$H,PGĐ!$F:$F,"="&amp;'HQ2'!B354,PGĐ!$I:$I,"="&amp;'HQ2'!A354)</f>
        <v>0</v>
      </c>
      <c r="AF354" s="17"/>
      <c r="AG354" s="7">
        <f>SUMIFS(ĐMCP!$Q:$Q,ĐMCP!$P:$P,"="&amp;'HQ2'!B354,ĐMCP!$O:$O,"="&amp;'HQ2'!A354)</f>
        <v>12042798.222057343</v>
      </c>
      <c r="AH354" s="7">
        <f t="shared" si="5"/>
        <v>0.22205734252929688</v>
      </c>
    </row>
    <row r="355" spans="1:34" x14ac:dyDescent="0.25">
      <c r="A355" s="123" t="s">
        <v>88</v>
      </c>
      <c r="B355" s="16" t="s">
        <v>269</v>
      </c>
      <c r="C355" s="7">
        <v>24038182</v>
      </c>
      <c r="E355" s="7">
        <v>24038182</v>
      </c>
      <c r="F355" s="7">
        <v>14422909.199999999</v>
      </c>
      <c r="G355" s="7">
        <v>25942909.199999999</v>
      </c>
      <c r="H355" s="7">
        <v>-1152000</v>
      </c>
      <c r="I355" s="7">
        <v>15574909.199999999</v>
      </c>
      <c r="AA355" s="7">
        <v>432687.27599999995</v>
      </c>
      <c r="AB355" s="7">
        <v>7116335</v>
      </c>
      <c r="AC355" s="7">
        <v>8025886.9239999996</v>
      </c>
      <c r="AD355" s="17"/>
      <c r="AE355" s="5">
        <f>SUMIFS(PGĐ!$H:$H,PGĐ!$F:$F,"="&amp;'HQ2'!B355,PGĐ!$I:$I,"="&amp;'HQ2'!A355)</f>
        <v>0</v>
      </c>
      <c r="AF355" s="17"/>
      <c r="AG355" s="7">
        <f>SUMIFS(ĐMCP!$Q:$Q,ĐMCP!$P:$P,"="&amp;'HQ2'!B355,ĐMCP!$O:$O,"="&amp;'HQ2'!A355)</f>
        <v>7116334.8486063965</v>
      </c>
      <c r="AH355" s="7">
        <f t="shared" si="5"/>
        <v>-0.15139360353350639</v>
      </c>
    </row>
    <row r="356" spans="1:34" x14ac:dyDescent="0.25">
      <c r="A356" s="123" t="s">
        <v>88</v>
      </c>
      <c r="B356" s="16" t="s">
        <v>273</v>
      </c>
      <c r="AB356" s="7">
        <v>0</v>
      </c>
      <c r="AC356" s="7">
        <v>0</v>
      </c>
      <c r="AD356" s="17"/>
      <c r="AE356" s="5">
        <f>SUMIFS(PGĐ!$H:$H,PGĐ!$F:$F,"="&amp;'HQ2'!B356,PGĐ!$I:$I,"="&amp;'HQ2'!A356)</f>
        <v>0</v>
      </c>
      <c r="AF356" s="17"/>
      <c r="AG356" s="7">
        <f>SUMIFS(ĐMCP!$Q:$Q,ĐMCP!$P:$P,"="&amp;'HQ2'!B356,ĐMCP!$O:$O,"="&amp;'HQ2'!A356)</f>
        <v>0</v>
      </c>
      <c r="AH356" s="7">
        <f t="shared" si="5"/>
        <v>0</v>
      </c>
    </row>
    <row r="357" spans="1:34" x14ac:dyDescent="0.25">
      <c r="A357" s="123" t="s">
        <v>88</v>
      </c>
      <c r="B357" s="16" t="s">
        <v>23</v>
      </c>
      <c r="AB357" s="7">
        <v>0</v>
      </c>
      <c r="AC357" s="7">
        <v>0</v>
      </c>
      <c r="AD357" s="17"/>
      <c r="AE357" s="5">
        <f>SUMIFS(PGĐ!$H:$H,PGĐ!$F:$F,"="&amp;'HQ2'!B357,PGĐ!$I:$I,"="&amp;'HQ2'!A357)</f>
        <v>0</v>
      </c>
      <c r="AF357" s="17"/>
      <c r="AG357" s="7">
        <f>SUMIFS(ĐMCP!$Q:$Q,ĐMCP!$P:$P,"="&amp;'HQ2'!B357,ĐMCP!$O:$O,"="&amp;'HQ2'!A357)</f>
        <v>0</v>
      </c>
      <c r="AH357" s="7">
        <f t="shared" si="5"/>
        <v>0</v>
      </c>
    </row>
    <row r="358" spans="1:34" x14ac:dyDescent="0.25">
      <c r="A358" s="123" t="s">
        <v>89</v>
      </c>
      <c r="B358" s="15" t="s">
        <v>45</v>
      </c>
      <c r="C358" s="132">
        <v>2482757586</v>
      </c>
      <c r="D358" s="132">
        <v>2390525586</v>
      </c>
      <c r="E358" s="132">
        <v>92232000</v>
      </c>
      <c r="F358" s="132">
        <v>2314443503.5950003</v>
      </c>
      <c r="G358" s="132">
        <v>2699743041.2999997</v>
      </c>
      <c r="H358" s="132">
        <v>-79428480.649500012</v>
      </c>
      <c r="I358" s="132">
        <v>2393871984.2445002</v>
      </c>
      <c r="J358" s="132">
        <v>984041786</v>
      </c>
      <c r="K358" s="132">
        <v>49620000</v>
      </c>
      <c r="L358" s="132">
        <v>789965200</v>
      </c>
      <c r="M358" s="132">
        <v>144456586</v>
      </c>
      <c r="N358" s="132">
        <v>920465561.79999995</v>
      </c>
      <c r="O358" s="132">
        <v>1222000000</v>
      </c>
      <c r="P358" s="132"/>
      <c r="Q358" s="132">
        <v>982000000</v>
      </c>
      <c r="R358" s="132">
        <v>240000000</v>
      </c>
      <c r="S358" s="132">
        <v>1114000000</v>
      </c>
      <c r="T358" s="132">
        <v>410000000</v>
      </c>
      <c r="U358" s="132">
        <v>50000000</v>
      </c>
      <c r="V358" s="132">
        <v>170000000</v>
      </c>
      <c r="W358" s="132">
        <v>190000000</v>
      </c>
      <c r="X358" s="132">
        <v>276784097.56</v>
      </c>
      <c r="Y358" s="132">
        <v>837215902.44000006</v>
      </c>
      <c r="Z358" s="132">
        <v>1757681464.24</v>
      </c>
      <c r="AA358" s="132">
        <v>69433305.10785</v>
      </c>
      <c r="AB358" s="132">
        <v>974281502</v>
      </c>
      <c r="AC358" s="132">
        <v>-407524287.10334986</v>
      </c>
      <c r="AD358" s="96">
        <v>0.73424204627831002</v>
      </c>
      <c r="AE358" s="5">
        <f>SUMIFS(PGĐ!$H:$H,PGĐ!$F:$F,"="&amp;'HQ2'!B358,PGĐ!$I:$I,"="&amp;'HQ2'!A358)</f>
        <v>0</v>
      </c>
      <c r="AF358" s="96"/>
      <c r="AG358" s="7">
        <f>SUMIFS(ĐMCP!$Q:$Q,ĐMCP!$P:$P,"="&amp;'HQ2'!B358,ĐMCP!$O:$O,"="&amp;'HQ2'!A358)</f>
        <v>0</v>
      </c>
      <c r="AH358" s="7">
        <f t="shared" si="5"/>
        <v>0</v>
      </c>
    </row>
    <row r="359" spans="1:34" x14ac:dyDescent="0.25">
      <c r="A359" s="123" t="s">
        <v>89</v>
      </c>
      <c r="B359" s="16" t="s">
        <v>272</v>
      </c>
      <c r="C359" s="7">
        <v>2143568745</v>
      </c>
      <c r="D359" s="7">
        <v>2108936745</v>
      </c>
      <c r="E359" s="7">
        <v>34632000</v>
      </c>
      <c r="F359" s="7">
        <v>1999561456.575</v>
      </c>
      <c r="G359" s="7">
        <v>2369717634.4000001</v>
      </c>
      <c r="H359" s="7">
        <v>-74031235.565000013</v>
      </c>
      <c r="I359" s="7">
        <v>2073592692.1400001</v>
      </c>
      <c r="J359" s="7">
        <v>934421786</v>
      </c>
      <c r="L359" s="7">
        <v>740345200</v>
      </c>
      <c r="M359" s="7">
        <v>194076586</v>
      </c>
      <c r="N359" s="7">
        <v>895606468.79999995</v>
      </c>
      <c r="O359" s="7">
        <v>862000000</v>
      </c>
      <c r="Q359" s="7">
        <v>862000000</v>
      </c>
      <c r="R359" s="7">
        <v>0</v>
      </c>
      <c r="S359" s="7">
        <v>862000000</v>
      </c>
      <c r="Y359" s="7">
        <v>862000000</v>
      </c>
      <c r="Z359" s="7">
        <v>1757606468.8</v>
      </c>
      <c r="AA359" s="7">
        <v>59986843.697250001</v>
      </c>
      <c r="AB359" s="7">
        <v>765920025</v>
      </c>
      <c r="AC359" s="7">
        <v>-509920645.35724986</v>
      </c>
      <c r="AD359" s="17">
        <v>0.84761413148408893</v>
      </c>
      <c r="AE359" s="5">
        <f>SUMIFS(PGĐ!$H:$H,PGĐ!$F:$F,"="&amp;'HQ2'!B359,PGĐ!$I:$I,"="&amp;'HQ2'!A359)</f>
        <v>27620000</v>
      </c>
      <c r="AF359" s="17"/>
      <c r="AG359" s="7">
        <f>SUMIFS(ĐMCP!$Q:$Q,ĐMCP!$P:$P,"="&amp;'HQ2'!B359,ĐMCP!$O:$O,"="&amp;'HQ2'!A359)</f>
        <v>765920025.35027695</v>
      </c>
      <c r="AH359" s="7">
        <f t="shared" si="5"/>
        <v>0.35027694702148438</v>
      </c>
    </row>
    <row r="360" spans="1:34" x14ac:dyDescent="0.25">
      <c r="A360" s="123" t="s">
        <v>89</v>
      </c>
      <c r="B360" s="16" t="s">
        <v>268</v>
      </c>
      <c r="C360" s="7">
        <v>244464091</v>
      </c>
      <c r="D360" s="7">
        <v>186864091</v>
      </c>
      <c r="E360" s="7">
        <v>57600000</v>
      </c>
      <c r="F360" s="7">
        <v>221578168.26999998</v>
      </c>
      <c r="G360" s="7">
        <v>173595387.69999999</v>
      </c>
      <c r="H360" s="7">
        <v>7197417.0854999991</v>
      </c>
      <c r="I360" s="7">
        <v>214380751.18449998</v>
      </c>
      <c r="J360" s="7">
        <v>49620000</v>
      </c>
      <c r="K360" s="7">
        <v>49620000</v>
      </c>
      <c r="L360" s="7">
        <v>49620000</v>
      </c>
      <c r="M360" s="7">
        <v>-49620000</v>
      </c>
      <c r="N360" s="7">
        <v>24859092.999999996</v>
      </c>
      <c r="O360" s="7">
        <v>360000000</v>
      </c>
      <c r="Q360" s="7">
        <v>120000000</v>
      </c>
      <c r="R360" s="7">
        <v>240000000</v>
      </c>
      <c r="S360" s="7">
        <v>252000000</v>
      </c>
      <c r="T360" s="7">
        <v>410000000</v>
      </c>
      <c r="U360" s="7">
        <v>50000000</v>
      </c>
      <c r="V360" s="7">
        <v>170000000</v>
      </c>
      <c r="W360" s="7">
        <v>190000000</v>
      </c>
      <c r="X360" s="7">
        <v>276784097.56</v>
      </c>
      <c r="Y360" s="7">
        <v>-24784097.560000002</v>
      </c>
      <c r="Z360" s="7">
        <v>74995.439999993891</v>
      </c>
      <c r="AA360" s="7">
        <v>6647345.0480999993</v>
      </c>
      <c r="AB360" s="7">
        <v>170976808</v>
      </c>
      <c r="AC360" s="7">
        <v>36681602.696399979</v>
      </c>
      <c r="AD360" s="17">
        <v>3.4982357131238637E-4</v>
      </c>
      <c r="AE360" s="5">
        <f>SUMIFS(PGĐ!$H:$H,PGĐ!$F:$F,"="&amp;'HQ2'!B360,PGĐ!$I:$I,"="&amp;'HQ2'!A360)</f>
        <v>0</v>
      </c>
      <c r="AF360" s="17"/>
      <c r="AG360" s="7">
        <f>SUMIFS(ĐMCP!$Q:$Q,ĐMCP!$P:$P,"="&amp;'HQ2'!B360,ĐMCP!$O:$O,"="&amp;'HQ2'!A360)</f>
        <v>170976808.40767428</v>
      </c>
      <c r="AH360" s="7">
        <f t="shared" si="5"/>
        <v>0.40767428278923035</v>
      </c>
    </row>
    <row r="361" spans="1:34" x14ac:dyDescent="0.25">
      <c r="A361" s="123" t="s">
        <v>89</v>
      </c>
      <c r="B361" s="16" t="s">
        <v>271</v>
      </c>
      <c r="C361" s="7">
        <v>94724750</v>
      </c>
      <c r="D361" s="7">
        <v>94724750</v>
      </c>
      <c r="F361" s="7">
        <v>93303878.75</v>
      </c>
      <c r="G361" s="7">
        <v>156124360</v>
      </c>
      <c r="H361" s="7">
        <v>-12564096.25</v>
      </c>
      <c r="I361" s="7">
        <v>105867975</v>
      </c>
      <c r="AA361" s="7">
        <v>2799116.3624999998</v>
      </c>
      <c r="AB361" s="7">
        <v>37384669</v>
      </c>
      <c r="AC361" s="7">
        <v>65684189.637500003</v>
      </c>
      <c r="AD361" s="17"/>
      <c r="AE361" s="5">
        <f>SUMIFS(PGĐ!$H:$H,PGĐ!$F:$F,"="&amp;'HQ2'!B361,PGĐ!$I:$I,"="&amp;'HQ2'!A361)</f>
        <v>0</v>
      </c>
      <c r="AF361" s="17"/>
      <c r="AG361" s="7">
        <f>SUMIFS(ĐMCP!$Q:$Q,ĐMCP!$P:$P,"="&amp;'HQ2'!B361,ĐMCP!$O:$O,"="&amp;'HQ2'!A361)</f>
        <v>37384668.550375327</v>
      </c>
      <c r="AH361" s="7">
        <f t="shared" si="5"/>
        <v>-0.4496246725320816</v>
      </c>
    </row>
    <row r="362" spans="1:34" x14ac:dyDescent="0.25">
      <c r="A362" s="123" t="s">
        <v>89</v>
      </c>
      <c r="B362" s="16" t="s">
        <v>270</v>
      </c>
      <c r="G362" s="7">
        <v>305659.2</v>
      </c>
      <c r="H362" s="7">
        <v>-30565.920000000002</v>
      </c>
      <c r="I362" s="7">
        <v>30565.920000000002</v>
      </c>
      <c r="AB362" s="7">
        <v>0</v>
      </c>
      <c r="AC362" s="7">
        <v>30565.920000000002</v>
      </c>
      <c r="AD362" s="17"/>
      <c r="AE362" s="5">
        <f>SUMIFS(PGĐ!$H:$H,PGĐ!$F:$F,"="&amp;'HQ2'!B362,PGĐ!$I:$I,"="&amp;'HQ2'!A362)</f>
        <v>0</v>
      </c>
      <c r="AF362" s="17"/>
      <c r="AG362" s="7">
        <f>SUMIFS(ĐMCP!$Q:$Q,ĐMCP!$P:$P,"="&amp;'HQ2'!B362,ĐMCP!$O:$O,"="&amp;'HQ2'!A362)</f>
        <v>0</v>
      </c>
      <c r="AH362" s="7">
        <f t="shared" si="5"/>
        <v>0</v>
      </c>
    </row>
    <row r="363" spans="1:34" x14ac:dyDescent="0.25">
      <c r="A363" s="123" t="s">
        <v>89</v>
      </c>
      <c r="B363" s="16" t="s">
        <v>269</v>
      </c>
      <c r="AB363" s="7">
        <v>0</v>
      </c>
      <c r="AC363" s="7">
        <v>0</v>
      </c>
      <c r="AD363" s="17"/>
      <c r="AE363" s="5">
        <f>SUMIFS(PGĐ!$H:$H,PGĐ!$F:$F,"="&amp;'HQ2'!B363,PGĐ!$I:$I,"="&amp;'HQ2'!A363)</f>
        <v>0</v>
      </c>
      <c r="AF363" s="17"/>
      <c r="AG363" s="7">
        <f>SUMIFS(ĐMCP!$Q:$Q,ĐMCP!$P:$P,"="&amp;'HQ2'!B363,ĐMCP!$O:$O,"="&amp;'HQ2'!A363)</f>
        <v>0</v>
      </c>
      <c r="AH363" s="7">
        <f t="shared" si="5"/>
        <v>0</v>
      </c>
    </row>
    <row r="364" spans="1:34" x14ac:dyDescent="0.25">
      <c r="A364" s="123" t="s">
        <v>89</v>
      </c>
      <c r="B364" s="16" t="s">
        <v>273</v>
      </c>
      <c r="AB364" s="7">
        <v>0</v>
      </c>
      <c r="AC364" s="7">
        <v>0</v>
      </c>
      <c r="AD364" s="17"/>
      <c r="AE364" s="5">
        <f>SUMIFS(PGĐ!$H:$H,PGĐ!$F:$F,"="&amp;'HQ2'!B364,PGĐ!$I:$I,"="&amp;'HQ2'!A364)</f>
        <v>0</v>
      </c>
      <c r="AF364" s="17"/>
      <c r="AG364" s="7">
        <f>SUMIFS(ĐMCP!$Q:$Q,ĐMCP!$P:$P,"="&amp;'HQ2'!B364,ĐMCP!$O:$O,"="&amp;'HQ2'!A364)</f>
        <v>0</v>
      </c>
      <c r="AH364" s="7">
        <f t="shared" si="5"/>
        <v>0</v>
      </c>
    </row>
    <row r="365" spans="1:34" x14ac:dyDescent="0.25">
      <c r="A365" s="123" t="s">
        <v>89</v>
      </c>
      <c r="B365" s="16" t="s">
        <v>23</v>
      </c>
      <c r="AB365" s="7">
        <v>0</v>
      </c>
      <c r="AC365" s="7">
        <v>0</v>
      </c>
      <c r="AD365" s="17"/>
      <c r="AE365" s="5">
        <f>SUMIFS(PGĐ!$H:$H,PGĐ!$F:$F,"="&amp;'HQ2'!B365,PGĐ!$I:$I,"="&amp;'HQ2'!A365)</f>
        <v>0</v>
      </c>
      <c r="AF365" s="17"/>
      <c r="AG365" s="7">
        <f>SUMIFS(ĐMCP!$Q:$Q,ĐMCP!$P:$P,"="&amp;'HQ2'!B365,ĐMCP!$O:$O,"="&amp;'HQ2'!A365)</f>
        <v>0</v>
      </c>
      <c r="AH365" s="7">
        <f t="shared" si="5"/>
        <v>0</v>
      </c>
    </row>
    <row r="366" spans="1:34" x14ac:dyDescent="0.25">
      <c r="A366" s="123" t="s">
        <v>90</v>
      </c>
      <c r="B366" s="15" t="s">
        <v>45</v>
      </c>
      <c r="C366" s="132">
        <v>3096611349</v>
      </c>
      <c r="D366" s="132">
        <v>404374730</v>
      </c>
      <c r="E366" s="132">
        <v>2692236619</v>
      </c>
      <c r="F366" s="132">
        <v>2279794674.5949998</v>
      </c>
      <c r="G366" s="132">
        <v>1468528517.0999999</v>
      </c>
      <c r="H366" s="132">
        <v>168444579.03400001</v>
      </c>
      <c r="I366" s="132">
        <v>2111350095.5609999</v>
      </c>
      <c r="J366" s="132">
        <v>5000000</v>
      </c>
      <c r="K366" s="132"/>
      <c r="L366" s="132"/>
      <c r="M366" s="132">
        <v>5000000</v>
      </c>
      <c r="N366" s="132">
        <v>3000000</v>
      </c>
      <c r="O366" s="132">
        <v>1764740054</v>
      </c>
      <c r="P366" s="132">
        <v>1744740054</v>
      </c>
      <c r="Q366" s="132"/>
      <c r="R366" s="132">
        <v>20000000</v>
      </c>
      <c r="S366" s="132">
        <v>625891323.29999995</v>
      </c>
      <c r="T366" s="132">
        <v>1764740054</v>
      </c>
      <c r="U366" s="132">
        <v>1744740054</v>
      </c>
      <c r="V366" s="132"/>
      <c r="W366" s="132">
        <v>20000000</v>
      </c>
      <c r="X366" s="132">
        <v>608126264.90999997</v>
      </c>
      <c r="Y366" s="132">
        <v>17765058.389999986</v>
      </c>
      <c r="Z366" s="132">
        <v>20765058.389999986</v>
      </c>
      <c r="AA366" s="132">
        <v>68393840.237849995</v>
      </c>
      <c r="AB366" s="132">
        <v>886311533</v>
      </c>
      <c r="AC366" s="132">
        <v>1135879663.9331496</v>
      </c>
      <c r="AD366" s="96">
        <v>9.834966940659157E-3</v>
      </c>
      <c r="AE366" s="5">
        <f>SUMIFS(PGĐ!$H:$H,PGĐ!$F:$F,"="&amp;'HQ2'!B366,PGĐ!$I:$I,"="&amp;'HQ2'!A366)</f>
        <v>0</v>
      </c>
      <c r="AF366" s="96"/>
      <c r="AG366" s="7">
        <f>SUMIFS(ĐMCP!$Q:$Q,ĐMCP!$P:$P,"="&amp;'HQ2'!B366,ĐMCP!$O:$O,"="&amp;'HQ2'!A366)</f>
        <v>0</v>
      </c>
      <c r="AH366" s="7">
        <f t="shared" si="5"/>
        <v>0</v>
      </c>
    </row>
    <row r="367" spans="1:34" x14ac:dyDescent="0.25">
      <c r="A367" s="123" t="s">
        <v>90</v>
      </c>
      <c r="B367" s="16" t="s">
        <v>271</v>
      </c>
      <c r="C367" s="7">
        <v>2849648861</v>
      </c>
      <c r="D367" s="7">
        <v>257386350</v>
      </c>
      <c r="E367" s="7">
        <v>2592262511</v>
      </c>
      <c r="F367" s="7">
        <v>2068109312.4499998</v>
      </c>
      <c r="G367" s="7">
        <v>1125866884.0999999</v>
      </c>
      <c r="H367" s="7">
        <v>188448485.66999999</v>
      </c>
      <c r="I367" s="7">
        <v>1879660826.7799997</v>
      </c>
      <c r="O367" s="7">
        <v>1466112618</v>
      </c>
      <c r="P367" s="7">
        <v>1446112618</v>
      </c>
      <c r="R367" s="7">
        <v>20000000</v>
      </c>
      <c r="S367" s="7">
        <v>570623072.63999999</v>
      </c>
      <c r="T367" s="7">
        <v>1466112618</v>
      </c>
      <c r="U367" s="7">
        <v>1446112618</v>
      </c>
      <c r="W367" s="7">
        <v>20000000</v>
      </c>
      <c r="X367" s="7">
        <v>565643241.07999992</v>
      </c>
      <c r="Y367" s="7">
        <v>4979831.560000062</v>
      </c>
      <c r="Z367" s="7">
        <v>4979831.560000062</v>
      </c>
      <c r="AA367" s="7">
        <v>62043279.37349999</v>
      </c>
      <c r="AB367" s="7">
        <v>813002442</v>
      </c>
      <c r="AC367" s="7">
        <v>999635273.8464998</v>
      </c>
      <c r="AD367" s="17">
        <v>2.6493245425191349E-3</v>
      </c>
      <c r="AE367" s="5">
        <f>SUMIFS(PGĐ!$H:$H,PGĐ!$F:$F,"="&amp;'HQ2'!B367,PGĐ!$I:$I,"="&amp;'HQ2'!A367)</f>
        <v>0</v>
      </c>
      <c r="AF367" s="17"/>
      <c r="AG367" s="7">
        <f>SUMIFS(ĐMCP!$Q:$Q,ĐMCP!$P:$P,"="&amp;'HQ2'!B367,ĐMCP!$O:$O,"="&amp;'HQ2'!A367)</f>
        <v>813002441.51662338</v>
      </c>
      <c r="AH367" s="7">
        <f t="shared" si="5"/>
        <v>-0.48337662220001221</v>
      </c>
    </row>
    <row r="368" spans="1:34" x14ac:dyDescent="0.25">
      <c r="A368" s="123" t="s">
        <v>90</v>
      </c>
      <c r="B368" s="16" t="s">
        <v>268</v>
      </c>
      <c r="C368" s="7">
        <v>232912715</v>
      </c>
      <c r="D368" s="7">
        <v>138838607</v>
      </c>
      <c r="E368" s="7">
        <v>94074108</v>
      </c>
      <c r="F368" s="7">
        <v>200525324.38999999</v>
      </c>
      <c r="G368" s="7">
        <v>338650915.39999998</v>
      </c>
      <c r="H368" s="7">
        <v>-20718838.651499998</v>
      </c>
      <c r="I368" s="7">
        <v>221244163.04149997</v>
      </c>
      <c r="O368" s="7">
        <v>298627436</v>
      </c>
      <c r="P368" s="7">
        <v>298627436</v>
      </c>
      <c r="R368" s="7">
        <v>0</v>
      </c>
      <c r="S368" s="7">
        <v>55268250.659999996</v>
      </c>
      <c r="T368" s="7">
        <v>298627436</v>
      </c>
      <c r="U368" s="7">
        <v>298627436</v>
      </c>
      <c r="W368" s="7">
        <v>0</v>
      </c>
      <c r="X368" s="7">
        <v>42483023.829999998</v>
      </c>
      <c r="Y368" s="7">
        <v>12785226.829999998</v>
      </c>
      <c r="Z368" s="7">
        <v>12785226.829999998</v>
      </c>
      <c r="AA368" s="7">
        <v>6015759.7316999994</v>
      </c>
      <c r="AB368" s="7">
        <v>68821888</v>
      </c>
      <c r="AC368" s="7">
        <v>133621288.47979999</v>
      </c>
      <c r="AD368" s="17">
        <v>5.778786049872784E-2</v>
      </c>
      <c r="AE368" s="5">
        <f>SUMIFS(PGĐ!$H:$H,PGĐ!$F:$F,"="&amp;'HQ2'!B368,PGĐ!$I:$I,"="&amp;'HQ2'!A368)</f>
        <v>0</v>
      </c>
      <c r="AF368" s="17"/>
      <c r="AG368" s="7">
        <f>SUMIFS(ĐMCP!$Q:$Q,ĐMCP!$P:$P,"="&amp;'HQ2'!B368,ĐMCP!$O:$O,"="&amp;'HQ2'!A368)</f>
        <v>68821888.165697068</v>
      </c>
      <c r="AH368" s="7">
        <f t="shared" si="5"/>
        <v>0.16569706797599792</v>
      </c>
    </row>
    <row r="369" spans="1:34" x14ac:dyDescent="0.25">
      <c r="A369" s="123" t="s">
        <v>90</v>
      </c>
      <c r="B369" s="16" t="s">
        <v>270</v>
      </c>
      <c r="C369" s="7">
        <v>8149773</v>
      </c>
      <c r="D369" s="7">
        <v>8149773</v>
      </c>
      <c r="F369" s="7">
        <v>7620037.7550000008</v>
      </c>
      <c r="G369" s="7">
        <v>290717.60000000003</v>
      </c>
      <c r="H369" s="7">
        <v>732932.01550000021</v>
      </c>
      <c r="I369" s="7">
        <v>6887105.7395000011</v>
      </c>
      <c r="AA369" s="7">
        <v>228601.13265000001</v>
      </c>
      <c r="AB369" s="7">
        <v>2739762</v>
      </c>
      <c r="AC369" s="7">
        <v>3918742.606850001</v>
      </c>
      <c r="AD369" s="17"/>
      <c r="AE369" s="5">
        <f>SUMIFS(PGĐ!$H:$H,PGĐ!$F:$F,"="&amp;'HQ2'!B369,PGĐ!$I:$I,"="&amp;'HQ2'!A369)</f>
        <v>0</v>
      </c>
      <c r="AF369" s="17"/>
      <c r="AG369" s="7">
        <f>SUMIFS(ĐMCP!$Q:$Q,ĐMCP!$P:$P,"="&amp;'HQ2'!B369,ĐMCP!$O:$O,"="&amp;'HQ2'!A369)</f>
        <v>2739761.7906753384</v>
      </c>
      <c r="AH369" s="7">
        <f t="shared" si="5"/>
        <v>-0.209324661642313</v>
      </c>
    </row>
    <row r="370" spans="1:34" x14ac:dyDescent="0.25">
      <c r="A370" s="123" t="s">
        <v>90</v>
      </c>
      <c r="B370" s="16" t="s">
        <v>269</v>
      </c>
      <c r="C370" s="7">
        <v>5900000</v>
      </c>
      <c r="E370" s="7">
        <v>5900000</v>
      </c>
      <c r="F370" s="7">
        <v>3540000</v>
      </c>
      <c r="G370" s="7">
        <v>3720000</v>
      </c>
      <c r="H370" s="7">
        <v>-18000</v>
      </c>
      <c r="I370" s="7">
        <v>3558000</v>
      </c>
      <c r="J370" s="7">
        <v>5000000</v>
      </c>
      <c r="M370" s="7">
        <v>5000000</v>
      </c>
      <c r="N370" s="7">
        <v>3000000</v>
      </c>
      <c r="Z370" s="7">
        <v>3000000</v>
      </c>
      <c r="AA370" s="7">
        <v>106200</v>
      </c>
      <c r="AB370" s="7">
        <v>1747441</v>
      </c>
      <c r="AC370" s="7">
        <v>-1295641</v>
      </c>
      <c r="AD370" s="17">
        <v>0.84317032040472173</v>
      </c>
      <c r="AE370" s="5">
        <f>SUMIFS(PGĐ!$H:$H,PGĐ!$F:$F,"="&amp;'HQ2'!B370,PGĐ!$I:$I,"="&amp;'HQ2'!A370)</f>
        <v>0</v>
      </c>
      <c r="AF370" s="17"/>
      <c r="AG370" s="7">
        <f>SUMIFS(ĐMCP!$Q:$Q,ĐMCP!$P:$P,"="&amp;'HQ2'!B370,ĐMCP!$O:$O,"="&amp;'HQ2'!A370)</f>
        <v>1747440.8705597685</v>
      </c>
      <c r="AH370" s="7">
        <f t="shared" si="5"/>
        <v>-0.12944023148156703</v>
      </c>
    </row>
    <row r="371" spans="1:34" x14ac:dyDescent="0.25">
      <c r="A371" s="123" t="s">
        <v>90</v>
      </c>
      <c r="B371" s="16" t="s">
        <v>273</v>
      </c>
      <c r="AB371" s="7">
        <v>0</v>
      </c>
      <c r="AC371" s="7">
        <v>0</v>
      </c>
      <c r="AD371" s="17"/>
      <c r="AE371" s="5">
        <f>SUMIFS(PGĐ!$H:$H,PGĐ!$F:$F,"="&amp;'HQ2'!B371,PGĐ!$I:$I,"="&amp;'HQ2'!A371)</f>
        <v>0</v>
      </c>
      <c r="AF371" s="17"/>
      <c r="AG371" s="7">
        <f>SUMIFS(ĐMCP!$Q:$Q,ĐMCP!$P:$P,"="&amp;'HQ2'!B371,ĐMCP!$O:$O,"="&amp;'HQ2'!A371)</f>
        <v>0</v>
      </c>
      <c r="AH371" s="7">
        <f t="shared" si="5"/>
        <v>0</v>
      </c>
    </row>
    <row r="372" spans="1:34" x14ac:dyDescent="0.25">
      <c r="A372" s="123" t="s">
        <v>90</v>
      </c>
      <c r="B372" s="16" t="s">
        <v>23</v>
      </c>
      <c r="AB372" s="7">
        <v>0</v>
      </c>
      <c r="AC372" s="7">
        <v>0</v>
      </c>
      <c r="AD372" s="17"/>
      <c r="AE372" s="5">
        <f>SUMIFS(PGĐ!$H:$H,PGĐ!$F:$F,"="&amp;'HQ2'!B372,PGĐ!$I:$I,"="&amp;'HQ2'!A372)</f>
        <v>0</v>
      </c>
      <c r="AF372" s="17"/>
      <c r="AG372" s="7">
        <f>SUMIFS(ĐMCP!$Q:$Q,ĐMCP!$P:$P,"="&amp;'HQ2'!B372,ĐMCP!$O:$O,"="&amp;'HQ2'!A372)</f>
        <v>0</v>
      </c>
      <c r="AH372" s="7">
        <f t="shared" si="5"/>
        <v>0</v>
      </c>
    </row>
    <row r="373" spans="1:34" x14ac:dyDescent="0.25">
      <c r="A373" s="123" t="s">
        <v>90</v>
      </c>
      <c r="B373" s="16" t="s">
        <v>272</v>
      </c>
      <c r="AB373" s="7">
        <v>0</v>
      </c>
      <c r="AC373" s="7">
        <v>0</v>
      </c>
      <c r="AD373" s="17"/>
      <c r="AE373" s="5">
        <f>SUMIFS(PGĐ!$H:$H,PGĐ!$F:$F,"="&amp;'HQ2'!B373,PGĐ!$I:$I,"="&amp;'HQ2'!A373)</f>
        <v>0</v>
      </c>
      <c r="AF373" s="17"/>
      <c r="AG373" s="7">
        <f>SUMIFS(ĐMCP!$Q:$Q,ĐMCP!$P:$P,"="&amp;'HQ2'!B373,ĐMCP!$O:$O,"="&amp;'HQ2'!A373)</f>
        <v>0</v>
      </c>
      <c r="AH373" s="7">
        <f t="shared" si="5"/>
        <v>0</v>
      </c>
    </row>
    <row r="374" spans="1:34" x14ac:dyDescent="0.25">
      <c r="A374" s="123" t="s">
        <v>91</v>
      </c>
      <c r="B374" s="15" t="s">
        <v>45</v>
      </c>
      <c r="C374" s="132">
        <v>2861718180</v>
      </c>
      <c r="D374" s="132">
        <v>645203235</v>
      </c>
      <c r="E374" s="132">
        <v>2216514945</v>
      </c>
      <c r="F374" s="132">
        <v>2184394459.1149998</v>
      </c>
      <c r="G374" s="132">
        <v>2368534084.8000002</v>
      </c>
      <c r="H374" s="132">
        <v>-15260912.264500037</v>
      </c>
      <c r="I374" s="132">
        <v>2199655371.3794999</v>
      </c>
      <c r="J374" s="132">
        <v>46949524</v>
      </c>
      <c r="K374" s="132"/>
      <c r="L374" s="132"/>
      <c r="M374" s="132">
        <v>46949524</v>
      </c>
      <c r="N374" s="132">
        <v>28169714.399999999</v>
      </c>
      <c r="O374" s="132">
        <v>4523000000</v>
      </c>
      <c r="P374" s="132">
        <v>3578000000</v>
      </c>
      <c r="Q374" s="132">
        <v>1400000000</v>
      </c>
      <c r="R374" s="132">
        <v>-455000000</v>
      </c>
      <c r="S374" s="132">
        <v>2160083565.8800001</v>
      </c>
      <c r="T374" s="132">
        <v>4723000000</v>
      </c>
      <c r="U374" s="132">
        <v>3578000000</v>
      </c>
      <c r="V374" s="132">
        <v>1400000000</v>
      </c>
      <c r="W374" s="132">
        <v>-255000000</v>
      </c>
      <c r="X374" s="132">
        <v>2087759242.8500001</v>
      </c>
      <c r="Y374" s="132">
        <v>72324323.029999971</v>
      </c>
      <c r="Z374" s="132">
        <v>100494037.42999998</v>
      </c>
      <c r="AA374" s="132">
        <v>65531833.773449987</v>
      </c>
      <c r="AB374" s="132">
        <v>1401417035</v>
      </c>
      <c r="AC374" s="132">
        <v>632212465.17604995</v>
      </c>
      <c r="AD374" s="96">
        <v>4.5686264647436921E-2</v>
      </c>
      <c r="AE374" s="5">
        <f>SUMIFS(PGĐ!$H:$H,PGĐ!$F:$F,"="&amp;'HQ2'!B374,PGĐ!$I:$I,"="&amp;'HQ2'!A374)</f>
        <v>0</v>
      </c>
      <c r="AF374" s="96"/>
      <c r="AG374" s="7">
        <f>SUMIFS(ĐMCP!$Q:$Q,ĐMCP!$P:$P,"="&amp;'HQ2'!B374,ĐMCP!$O:$O,"="&amp;'HQ2'!A374)</f>
        <v>0</v>
      </c>
      <c r="AH374" s="7">
        <f t="shared" si="5"/>
        <v>0</v>
      </c>
    </row>
    <row r="375" spans="1:34" x14ac:dyDescent="0.25">
      <c r="A375" s="123" t="s">
        <v>91</v>
      </c>
      <c r="B375" s="16" t="s">
        <v>268</v>
      </c>
      <c r="C375" s="7">
        <v>2473807097</v>
      </c>
      <c r="D375" s="7">
        <v>457103194</v>
      </c>
      <c r="E375" s="7">
        <v>2016703903</v>
      </c>
      <c r="F375" s="7">
        <v>1855082830.28</v>
      </c>
      <c r="G375" s="7">
        <v>1152169511.5</v>
      </c>
      <c r="H375" s="7">
        <v>105436997.81699999</v>
      </c>
      <c r="I375" s="7">
        <v>1749645832.4630001</v>
      </c>
      <c r="O375" s="7">
        <v>3200000000</v>
      </c>
      <c r="P375" s="7">
        <v>3200000000</v>
      </c>
      <c r="Q375" s="7">
        <v>1400000000</v>
      </c>
      <c r="R375" s="7">
        <v>-1400000000</v>
      </c>
      <c r="S375" s="7">
        <v>1533806279.9000001</v>
      </c>
      <c r="T375" s="7">
        <v>3200000000</v>
      </c>
      <c r="U375" s="7">
        <v>3200000000</v>
      </c>
      <c r="V375" s="7">
        <v>1400000000</v>
      </c>
      <c r="W375" s="7">
        <v>-1400000000</v>
      </c>
      <c r="X375" s="7">
        <v>1356321934.4000001</v>
      </c>
      <c r="Y375" s="7">
        <v>177484345.5</v>
      </c>
      <c r="Z375" s="7">
        <v>177484345.5</v>
      </c>
      <c r="AA375" s="7">
        <v>55652484.908399999</v>
      </c>
      <c r="AB375" s="7">
        <v>830238045</v>
      </c>
      <c r="AC375" s="7">
        <v>686270957.0546</v>
      </c>
      <c r="AD375" s="17">
        <v>0.10144015560575073</v>
      </c>
      <c r="AE375" s="5">
        <f>SUMIFS(PGĐ!$H:$H,PGĐ!$F:$F,"="&amp;'HQ2'!B375,PGĐ!$I:$I,"="&amp;'HQ2'!A375)</f>
        <v>0</v>
      </c>
      <c r="AF375" s="17"/>
      <c r="AG375" s="7">
        <f>SUMIFS(ĐMCP!$Q:$Q,ĐMCP!$P:$P,"="&amp;'HQ2'!B375,ĐMCP!$O:$O,"="&amp;'HQ2'!A375)</f>
        <v>830238045.11620021</v>
      </c>
      <c r="AH375" s="7">
        <f t="shared" si="5"/>
        <v>0.11620020866394043</v>
      </c>
    </row>
    <row r="376" spans="1:34" x14ac:dyDescent="0.25">
      <c r="A376" s="123" t="s">
        <v>91</v>
      </c>
      <c r="B376" s="16" t="s">
        <v>271</v>
      </c>
      <c r="C376" s="7">
        <v>232978796</v>
      </c>
      <c r="D376" s="7">
        <v>112580910</v>
      </c>
      <c r="E376" s="7">
        <v>120397886</v>
      </c>
      <c r="F376" s="7">
        <v>195170716.54999998</v>
      </c>
      <c r="G376" s="7">
        <v>541043122.89999998</v>
      </c>
      <c r="H376" s="7">
        <v>-69174481.270000011</v>
      </c>
      <c r="I376" s="7">
        <v>264345197.81999999</v>
      </c>
      <c r="J376" s="7">
        <v>46949524</v>
      </c>
      <c r="M376" s="7">
        <v>46949524</v>
      </c>
      <c r="N376" s="7">
        <v>28169714.399999999</v>
      </c>
      <c r="O376" s="7">
        <v>1323000000</v>
      </c>
      <c r="P376" s="7">
        <v>378000000</v>
      </c>
      <c r="R376" s="7">
        <v>945000000</v>
      </c>
      <c r="S376" s="7">
        <v>626277285.98000002</v>
      </c>
      <c r="T376" s="7">
        <v>1523000000</v>
      </c>
      <c r="U376" s="7">
        <v>378000000</v>
      </c>
      <c r="W376" s="7">
        <v>1145000000</v>
      </c>
      <c r="X376" s="7">
        <v>731437308.45000005</v>
      </c>
      <c r="Y376" s="7">
        <v>-105160022.47000003</v>
      </c>
      <c r="Z376" s="7">
        <v>-76990308.070000023</v>
      </c>
      <c r="AA376" s="7">
        <v>5855121.4964999994</v>
      </c>
      <c r="AB376" s="7">
        <v>183595670</v>
      </c>
      <c r="AC376" s="7">
        <v>151884714.3935</v>
      </c>
      <c r="AD376" s="17">
        <v>-0.29124912691784499</v>
      </c>
      <c r="AE376" s="5">
        <f>SUMIFS(PGĐ!$H:$H,PGĐ!$F:$F,"="&amp;'HQ2'!B376,PGĐ!$I:$I,"="&amp;'HQ2'!A376)</f>
        <v>21431000</v>
      </c>
      <c r="AF376" s="17"/>
      <c r="AG376" s="7">
        <f>SUMIFS(ĐMCP!$Q:$Q,ĐMCP!$P:$P,"="&amp;'HQ2'!B376,ĐMCP!$O:$O,"="&amp;'HQ2'!A376)</f>
        <v>183595669.91294348</v>
      </c>
      <c r="AH376" s="7">
        <f t="shared" si="5"/>
        <v>-8.7056517601013184E-2</v>
      </c>
    </row>
    <row r="377" spans="1:34" x14ac:dyDescent="0.25">
      <c r="A377" s="123" t="s">
        <v>91</v>
      </c>
      <c r="B377" s="16" t="s">
        <v>270</v>
      </c>
      <c r="C377" s="7">
        <v>127182287</v>
      </c>
      <c r="D377" s="7">
        <v>47769131</v>
      </c>
      <c r="E377" s="7">
        <v>79413156</v>
      </c>
      <c r="F377" s="7">
        <v>108194662.285</v>
      </c>
      <c r="G377" s="7">
        <v>675321450.4000001</v>
      </c>
      <c r="H377" s="7">
        <v>-56712678.811500013</v>
      </c>
      <c r="I377" s="7">
        <v>164907341.09650001</v>
      </c>
      <c r="AA377" s="7">
        <v>3245839.8685499998</v>
      </c>
      <c r="AB377" s="7">
        <v>387583320</v>
      </c>
      <c r="AC377" s="7">
        <v>-225921818.77204999</v>
      </c>
      <c r="AD377" s="17"/>
      <c r="AE377" s="5">
        <f>SUMIFS(PGĐ!$H:$H,PGĐ!$F:$F,"="&amp;'HQ2'!B377,PGĐ!$I:$I,"="&amp;'HQ2'!A377)</f>
        <v>0</v>
      </c>
      <c r="AF377" s="17"/>
      <c r="AG377" s="7">
        <f>SUMIFS(ĐMCP!$Q:$Q,ĐMCP!$P:$P,"="&amp;'HQ2'!B377,ĐMCP!$O:$O,"="&amp;'HQ2'!A377)</f>
        <v>387583320.23891723</v>
      </c>
      <c r="AH377" s="7">
        <f t="shared" si="5"/>
        <v>0.23891723155975342</v>
      </c>
    </row>
    <row r="378" spans="1:34" x14ac:dyDescent="0.25">
      <c r="A378" s="123" t="s">
        <v>91</v>
      </c>
      <c r="B378" s="16" t="s">
        <v>272</v>
      </c>
      <c r="C378" s="7">
        <v>27750000</v>
      </c>
      <c r="D378" s="7">
        <v>27750000</v>
      </c>
      <c r="F378" s="7">
        <v>25946250</v>
      </c>
      <c r="H378" s="7">
        <v>5189250</v>
      </c>
      <c r="I378" s="7">
        <v>20757000</v>
      </c>
      <c r="AA378" s="7">
        <v>778387.5</v>
      </c>
      <c r="AB378" s="7">
        <v>0</v>
      </c>
      <c r="AC378" s="7">
        <v>19978612.5</v>
      </c>
      <c r="AD378" s="17"/>
      <c r="AE378" s="5">
        <f>SUMIFS(PGĐ!$H:$H,PGĐ!$F:$F,"="&amp;'HQ2'!B378,PGĐ!$I:$I,"="&amp;'HQ2'!A378)</f>
        <v>0</v>
      </c>
      <c r="AF378" s="17"/>
      <c r="AG378" s="7">
        <f>SUMIFS(ĐMCP!$Q:$Q,ĐMCP!$P:$P,"="&amp;'HQ2'!B378,ĐMCP!$O:$O,"="&amp;'HQ2'!A378)</f>
        <v>0</v>
      </c>
      <c r="AH378" s="7">
        <f t="shared" si="5"/>
        <v>0</v>
      </c>
    </row>
    <row r="379" spans="1:34" x14ac:dyDescent="0.25">
      <c r="A379" s="123" t="s">
        <v>91</v>
      </c>
      <c r="B379" s="16" t="s">
        <v>269</v>
      </c>
      <c r="AB379" s="7">
        <v>0</v>
      </c>
      <c r="AC379" s="7">
        <v>0</v>
      </c>
      <c r="AD379" s="17"/>
      <c r="AE379" s="5">
        <f>SUMIFS(PGĐ!$H:$H,PGĐ!$F:$F,"="&amp;'HQ2'!B379,PGĐ!$I:$I,"="&amp;'HQ2'!A379)</f>
        <v>0</v>
      </c>
      <c r="AF379" s="17"/>
      <c r="AG379" s="7">
        <f>SUMIFS(ĐMCP!$Q:$Q,ĐMCP!$P:$P,"="&amp;'HQ2'!B379,ĐMCP!$O:$O,"="&amp;'HQ2'!A379)</f>
        <v>0</v>
      </c>
      <c r="AH379" s="7">
        <f t="shared" si="5"/>
        <v>0</v>
      </c>
    </row>
    <row r="380" spans="1:34" x14ac:dyDescent="0.25">
      <c r="A380" s="123" t="s">
        <v>91</v>
      </c>
      <c r="B380" s="16" t="s">
        <v>273</v>
      </c>
      <c r="AB380" s="7">
        <v>0</v>
      </c>
      <c r="AC380" s="7">
        <v>0</v>
      </c>
      <c r="AD380" s="17"/>
      <c r="AE380" s="5">
        <f>SUMIFS(PGĐ!$H:$H,PGĐ!$F:$F,"="&amp;'HQ2'!B380,PGĐ!$I:$I,"="&amp;'HQ2'!A380)</f>
        <v>0</v>
      </c>
      <c r="AF380" s="17"/>
      <c r="AG380" s="7">
        <f>SUMIFS(ĐMCP!$Q:$Q,ĐMCP!$P:$P,"="&amp;'HQ2'!B380,ĐMCP!$O:$O,"="&amp;'HQ2'!A380)</f>
        <v>0</v>
      </c>
      <c r="AH380" s="7">
        <f t="shared" si="5"/>
        <v>0</v>
      </c>
    </row>
    <row r="381" spans="1:34" x14ac:dyDescent="0.25">
      <c r="A381" s="123" t="s">
        <v>91</v>
      </c>
      <c r="B381" s="16" t="s">
        <v>23</v>
      </c>
      <c r="AB381" s="7">
        <v>0</v>
      </c>
      <c r="AC381" s="7">
        <v>0</v>
      </c>
      <c r="AD381" s="17"/>
      <c r="AE381" s="5">
        <f>SUMIFS(PGĐ!$H:$H,PGĐ!$F:$F,"="&amp;'HQ2'!B381,PGĐ!$I:$I,"="&amp;'HQ2'!A381)</f>
        <v>0</v>
      </c>
      <c r="AF381" s="17"/>
      <c r="AG381" s="7">
        <f>SUMIFS(ĐMCP!$Q:$Q,ĐMCP!$P:$P,"="&amp;'HQ2'!B381,ĐMCP!$O:$O,"="&amp;'HQ2'!A381)</f>
        <v>0</v>
      </c>
      <c r="AH381" s="7">
        <f t="shared" si="5"/>
        <v>0</v>
      </c>
    </row>
    <row r="382" spans="1:34" x14ac:dyDescent="0.25">
      <c r="A382" s="123" t="s">
        <v>92</v>
      </c>
      <c r="B382" s="15" t="s">
        <v>45</v>
      </c>
      <c r="C382" s="132">
        <v>2677783114</v>
      </c>
      <c r="D382" s="132">
        <v>842951200</v>
      </c>
      <c r="E382" s="132">
        <v>1834831914</v>
      </c>
      <c r="F382" s="132">
        <v>2087860069.5150001</v>
      </c>
      <c r="G382" s="132">
        <v>1007786871.0999999</v>
      </c>
      <c r="H382" s="132">
        <v>162973542.68349999</v>
      </c>
      <c r="I382" s="132">
        <v>1924886526.8315001</v>
      </c>
      <c r="J382" s="132">
        <v>2417303115</v>
      </c>
      <c r="K382" s="132"/>
      <c r="L382" s="132"/>
      <c r="M382" s="132">
        <v>2417303115</v>
      </c>
      <c r="N382" s="132">
        <v>1329733912.1000001</v>
      </c>
      <c r="O382" s="132">
        <v>6303558494.8299999</v>
      </c>
      <c r="P382" s="132"/>
      <c r="Q382" s="132">
        <v>369498579</v>
      </c>
      <c r="R382" s="132">
        <v>5934059915.8299999</v>
      </c>
      <c r="S382" s="132">
        <v>3633231532.7065001</v>
      </c>
      <c r="T382" s="132">
        <v>8940887864.7999992</v>
      </c>
      <c r="U382" s="132"/>
      <c r="V382" s="132">
        <v>275367667</v>
      </c>
      <c r="W382" s="132">
        <v>8665520197.7999992</v>
      </c>
      <c r="X382" s="132">
        <v>5041403775.79</v>
      </c>
      <c r="Y382" s="132">
        <v>-1408172243.0834999</v>
      </c>
      <c r="Z382" s="132">
        <v>-78438330.983499765</v>
      </c>
      <c r="AA382" s="132">
        <v>62635802.085450001</v>
      </c>
      <c r="AB382" s="132">
        <v>355049225</v>
      </c>
      <c r="AC382" s="132">
        <v>1585639830.7295496</v>
      </c>
      <c r="AD382" s="96">
        <v>-4.074958699649419E-2</v>
      </c>
      <c r="AE382" s="5">
        <f>SUMIFS(PGĐ!$H:$H,PGĐ!$F:$F,"="&amp;'HQ2'!B382,PGĐ!$I:$I,"="&amp;'HQ2'!A382)</f>
        <v>0</v>
      </c>
      <c r="AF382" s="96"/>
      <c r="AG382" s="7">
        <f>SUMIFS(ĐMCP!$Q:$Q,ĐMCP!$P:$P,"="&amp;'HQ2'!B382,ĐMCP!$O:$O,"="&amp;'HQ2'!A382)</f>
        <v>0</v>
      </c>
      <c r="AH382" s="7">
        <f t="shared" si="5"/>
        <v>0</v>
      </c>
    </row>
    <row r="383" spans="1:34" x14ac:dyDescent="0.25">
      <c r="A383" s="123" t="s">
        <v>92</v>
      </c>
      <c r="B383" s="16" t="s">
        <v>268</v>
      </c>
      <c r="C383" s="7">
        <v>2106272404</v>
      </c>
      <c r="D383" s="7">
        <v>335586719</v>
      </c>
      <c r="E383" s="7">
        <v>1770685685</v>
      </c>
      <c r="F383" s="7">
        <v>1564999096.9300001</v>
      </c>
      <c r="G383" s="7">
        <v>672539706.29999995</v>
      </c>
      <c r="H383" s="7">
        <v>133868908.59450001</v>
      </c>
      <c r="I383" s="7">
        <v>1431130188.3355</v>
      </c>
      <c r="J383" s="7">
        <v>2412959138</v>
      </c>
      <c r="M383" s="7">
        <v>2412959138</v>
      </c>
      <c r="N383" s="7">
        <v>1327127525.9000001</v>
      </c>
      <c r="O383" s="7">
        <v>5934059915.8299999</v>
      </c>
      <c r="R383" s="7">
        <v>5934059915.8299999</v>
      </c>
      <c r="S383" s="7">
        <v>3263732953.7065001</v>
      </c>
      <c r="T383" s="7">
        <v>8665520197.7999992</v>
      </c>
      <c r="W383" s="7">
        <v>8665520197.7999992</v>
      </c>
      <c r="X383" s="7">
        <v>4766036108.79</v>
      </c>
      <c r="Y383" s="7">
        <v>-1502303155.0834999</v>
      </c>
      <c r="Z383" s="7">
        <v>-175175629.18349981</v>
      </c>
      <c r="AA383" s="7">
        <v>46949972.907899998</v>
      </c>
      <c r="AB383" s="7">
        <v>200780397</v>
      </c>
      <c r="AC383" s="7">
        <v>1358575447.6110997</v>
      </c>
      <c r="AD383" s="17">
        <v>-0.12240369926599115</v>
      </c>
      <c r="AE383" s="5">
        <f>SUMIFS(PGĐ!$H:$H,PGĐ!$F:$F,"="&amp;'HQ2'!B383,PGĐ!$I:$I,"="&amp;'HQ2'!A383)</f>
        <v>0</v>
      </c>
      <c r="AF383" s="17"/>
      <c r="AG383" s="7">
        <f>SUMIFS(ĐMCP!$Q:$Q,ĐMCP!$P:$P,"="&amp;'HQ2'!B383,ĐMCP!$O:$O,"="&amp;'HQ2'!A383)</f>
        <v>200780396.75597659</v>
      </c>
      <c r="AH383" s="7">
        <f t="shared" si="5"/>
        <v>-0.24402341246604919</v>
      </c>
    </row>
    <row r="384" spans="1:34" x14ac:dyDescent="0.25">
      <c r="A384" s="123" t="s">
        <v>92</v>
      </c>
      <c r="B384" s="16" t="s">
        <v>270</v>
      </c>
      <c r="C384" s="7">
        <v>418488717</v>
      </c>
      <c r="D384" s="7">
        <v>399800488</v>
      </c>
      <c r="E384" s="7">
        <v>18688229</v>
      </c>
      <c r="F384" s="7">
        <v>388764039.48000002</v>
      </c>
      <c r="G384" s="7">
        <v>318742764.80000001</v>
      </c>
      <c r="H384" s="7">
        <v>7002127.4680000013</v>
      </c>
      <c r="I384" s="7">
        <v>381761912.01200002</v>
      </c>
      <c r="J384" s="7">
        <v>4343977</v>
      </c>
      <c r="M384" s="7">
        <v>4343977</v>
      </c>
      <c r="N384" s="7">
        <v>2606386.1999999997</v>
      </c>
      <c r="O384" s="7">
        <v>369498579</v>
      </c>
      <c r="Q384" s="7">
        <v>369498579</v>
      </c>
      <c r="R384" s="7">
        <v>0</v>
      </c>
      <c r="S384" s="7">
        <v>369498579</v>
      </c>
      <c r="T384" s="7">
        <v>275367667</v>
      </c>
      <c r="V384" s="7">
        <v>275367667</v>
      </c>
      <c r="W384" s="7">
        <v>0</v>
      </c>
      <c r="X384" s="7">
        <v>275367667</v>
      </c>
      <c r="Y384" s="7">
        <v>94130912</v>
      </c>
      <c r="Z384" s="7">
        <v>96737298.200000003</v>
      </c>
      <c r="AA384" s="7">
        <v>11662921.1844</v>
      </c>
      <c r="AB384" s="7">
        <v>132928777</v>
      </c>
      <c r="AC384" s="7">
        <v>140432915.62760004</v>
      </c>
      <c r="AD384" s="17">
        <v>0.25339693446673445</v>
      </c>
      <c r="AE384" s="5">
        <f>SUMIFS(PGĐ!$H:$H,PGĐ!$F:$F,"="&amp;'HQ2'!B384,PGĐ!$I:$I,"="&amp;'HQ2'!A384)</f>
        <v>21986150</v>
      </c>
      <c r="AF384" s="17"/>
      <c r="AG384" s="7">
        <f>SUMIFS(ĐMCP!$Q:$Q,ĐMCP!$P:$P,"="&amp;'HQ2'!B384,ĐMCP!$O:$O,"="&amp;'HQ2'!A384)</f>
        <v>132928776.70870197</v>
      </c>
      <c r="AH384" s="7">
        <f t="shared" si="5"/>
        <v>-0.2912980318069458</v>
      </c>
    </row>
    <row r="385" spans="1:34" x14ac:dyDescent="0.25">
      <c r="A385" s="123" t="s">
        <v>92</v>
      </c>
      <c r="B385" s="16" t="s">
        <v>271</v>
      </c>
      <c r="C385" s="7">
        <v>107563993</v>
      </c>
      <c r="D385" s="7">
        <v>107563993</v>
      </c>
      <c r="F385" s="7">
        <v>105950533.105</v>
      </c>
      <c r="G385" s="7">
        <v>742000</v>
      </c>
      <c r="H385" s="7">
        <v>21041706.621000003</v>
      </c>
      <c r="I385" s="7">
        <v>84908826.483999997</v>
      </c>
      <c r="AA385" s="7">
        <v>3178515.99315</v>
      </c>
      <c r="AB385" s="7">
        <v>7292855</v>
      </c>
      <c r="AC385" s="7">
        <v>74437455.490850002</v>
      </c>
      <c r="AD385" s="17"/>
      <c r="AE385" s="5">
        <f>SUMIFS(PGĐ!$H:$H,PGĐ!$F:$F,"="&amp;'HQ2'!B385,PGĐ!$I:$I,"="&amp;'HQ2'!A385)</f>
        <v>0</v>
      </c>
      <c r="AF385" s="17"/>
      <c r="AG385" s="7">
        <f>SUMIFS(ĐMCP!$Q:$Q,ĐMCP!$P:$P,"="&amp;'HQ2'!B385,ĐMCP!$O:$O,"="&amp;'HQ2'!A385)</f>
        <v>7292854.5678629549</v>
      </c>
      <c r="AH385" s="7">
        <f t="shared" si="5"/>
        <v>-0.43213704507797956</v>
      </c>
    </row>
    <row r="386" spans="1:34" x14ac:dyDescent="0.25">
      <c r="A386" s="123" t="s">
        <v>92</v>
      </c>
      <c r="B386" s="16" t="s">
        <v>269</v>
      </c>
      <c r="C386" s="7">
        <v>41100000</v>
      </c>
      <c r="E386" s="7">
        <v>41100000</v>
      </c>
      <c r="F386" s="7">
        <v>24660000</v>
      </c>
      <c r="G386" s="7">
        <v>10500000</v>
      </c>
      <c r="H386" s="7">
        <v>1416000</v>
      </c>
      <c r="I386" s="7">
        <v>23244000</v>
      </c>
      <c r="AA386" s="7">
        <v>739800</v>
      </c>
      <c r="AB386" s="7">
        <v>12345360</v>
      </c>
      <c r="AC386" s="7">
        <v>10158840</v>
      </c>
      <c r="AD386" s="17"/>
      <c r="AE386" s="5">
        <f>SUMIFS(PGĐ!$H:$H,PGĐ!$F:$F,"="&amp;'HQ2'!B386,PGĐ!$I:$I,"="&amp;'HQ2'!A386)</f>
        <v>0</v>
      </c>
      <c r="AF386" s="17"/>
      <c r="AG386" s="7">
        <f>SUMIFS(ĐMCP!$Q:$Q,ĐMCP!$P:$P,"="&amp;'HQ2'!B386,ĐMCP!$O:$O,"="&amp;'HQ2'!A386)</f>
        <v>12345359.755413391</v>
      </c>
      <c r="AH386" s="7">
        <f t="shared" si="5"/>
        <v>-0.24458660930395126</v>
      </c>
    </row>
    <row r="387" spans="1:34" x14ac:dyDescent="0.25">
      <c r="A387" s="123" t="s">
        <v>92</v>
      </c>
      <c r="B387" s="16" t="s">
        <v>272</v>
      </c>
      <c r="C387" s="7">
        <v>4358000</v>
      </c>
      <c r="E387" s="7">
        <v>4358000</v>
      </c>
      <c r="F387" s="7">
        <v>3486400</v>
      </c>
      <c r="G387" s="7">
        <v>5262400</v>
      </c>
      <c r="H387" s="7">
        <v>-355200</v>
      </c>
      <c r="I387" s="7">
        <v>3841600</v>
      </c>
      <c r="AA387" s="7">
        <v>104592</v>
      </c>
      <c r="AB387" s="7">
        <v>1701836</v>
      </c>
      <c r="AC387" s="7">
        <v>2035172</v>
      </c>
      <c r="AD387" s="17"/>
      <c r="AE387" s="5">
        <f>SUMIFS(PGĐ!$H:$H,PGĐ!$F:$F,"="&amp;'HQ2'!B387,PGĐ!$I:$I,"="&amp;'HQ2'!A387)</f>
        <v>0</v>
      </c>
      <c r="AF387" s="17"/>
      <c r="AG387" s="7">
        <f>SUMIFS(ĐMCP!$Q:$Q,ĐMCP!$P:$P,"="&amp;'HQ2'!B387,ĐMCP!$O:$O,"="&amp;'HQ2'!A387)</f>
        <v>1701836.3289069419</v>
      </c>
      <c r="AH387" s="7">
        <f t="shared" si="5"/>
        <v>0.32890694192610681</v>
      </c>
    </row>
    <row r="388" spans="1:34" x14ac:dyDescent="0.25">
      <c r="A388" s="123" t="s">
        <v>92</v>
      </c>
      <c r="B388" s="16" t="s">
        <v>273</v>
      </c>
      <c r="AB388" s="7">
        <v>0</v>
      </c>
      <c r="AC388" s="7">
        <v>0</v>
      </c>
      <c r="AD388" s="17"/>
      <c r="AE388" s="5">
        <f>SUMIFS(PGĐ!$H:$H,PGĐ!$F:$F,"="&amp;'HQ2'!B388,PGĐ!$I:$I,"="&amp;'HQ2'!A388)</f>
        <v>0</v>
      </c>
      <c r="AF388" s="17"/>
      <c r="AG388" s="7">
        <f>SUMIFS(ĐMCP!$Q:$Q,ĐMCP!$P:$P,"="&amp;'HQ2'!B388,ĐMCP!$O:$O,"="&amp;'HQ2'!A388)</f>
        <v>0</v>
      </c>
      <c r="AH388" s="7">
        <f t="shared" ref="AH388:AH451" si="6">IF(AG388=0,0,AG388-AB388)</f>
        <v>0</v>
      </c>
    </row>
    <row r="389" spans="1:34" x14ac:dyDescent="0.25">
      <c r="A389" s="123" t="s">
        <v>92</v>
      </c>
      <c r="B389" s="16" t="s">
        <v>23</v>
      </c>
      <c r="AB389" s="7">
        <v>0</v>
      </c>
      <c r="AC389" s="7">
        <v>0</v>
      </c>
      <c r="AD389" s="17"/>
      <c r="AE389" s="5">
        <f>SUMIFS(PGĐ!$H:$H,PGĐ!$F:$F,"="&amp;'HQ2'!B389,PGĐ!$I:$I,"="&amp;'HQ2'!A389)</f>
        <v>0</v>
      </c>
      <c r="AF389" s="17"/>
      <c r="AG389" s="7">
        <f>SUMIFS(ĐMCP!$Q:$Q,ĐMCP!$P:$P,"="&amp;'HQ2'!B389,ĐMCP!$O:$O,"="&amp;'HQ2'!A389)</f>
        <v>0</v>
      </c>
      <c r="AH389" s="7">
        <f t="shared" si="6"/>
        <v>0</v>
      </c>
    </row>
    <row r="390" spans="1:34" x14ac:dyDescent="0.25">
      <c r="A390" s="123" t="s">
        <v>93</v>
      </c>
      <c r="B390" s="15" t="s">
        <v>45</v>
      </c>
      <c r="C390" s="132">
        <v>3734424067</v>
      </c>
      <c r="D390" s="132">
        <v>406777012</v>
      </c>
      <c r="E390" s="132">
        <v>3327647055</v>
      </c>
      <c r="F390" s="132">
        <v>2080169532.1400001</v>
      </c>
      <c r="G390" s="132">
        <v>2658443502.1499996</v>
      </c>
      <c r="H390" s="132">
        <v>-132675985.63150002</v>
      </c>
      <c r="I390" s="132">
        <v>2212845517.7715001</v>
      </c>
      <c r="J390" s="132">
        <v>62926590</v>
      </c>
      <c r="K390" s="132"/>
      <c r="L390" s="132">
        <v>37440000</v>
      </c>
      <c r="M390" s="132">
        <v>25486590</v>
      </c>
      <c r="N390" s="132">
        <v>43811647.5</v>
      </c>
      <c r="O390" s="132">
        <v>315000000</v>
      </c>
      <c r="P390" s="132"/>
      <c r="Q390" s="132">
        <v>315000000</v>
      </c>
      <c r="R390" s="132">
        <v>0</v>
      </c>
      <c r="S390" s="132">
        <v>315000000</v>
      </c>
      <c r="T390" s="132"/>
      <c r="U390" s="132"/>
      <c r="V390" s="132"/>
      <c r="W390" s="132"/>
      <c r="X390" s="132"/>
      <c r="Y390" s="132">
        <v>315000000</v>
      </c>
      <c r="Z390" s="132">
        <v>358811647.5</v>
      </c>
      <c r="AA390" s="132">
        <v>62405085.964199997</v>
      </c>
      <c r="AB390" s="132">
        <v>765614613</v>
      </c>
      <c r="AC390" s="132">
        <v>1026014171.3073001</v>
      </c>
      <c r="AD390" s="96">
        <v>0.16214943366735785</v>
      </c>
      <c r="AE390" s="5">
        <f>SUMIFS(PGĐ!$H:$H,PGĐ!$F:$F,"="&amp;'HQ2'!B390,PGĐ!$I:$I,"="&amp;'HQ2'!A390)</f>
        <v>0</v>
      </c>
      <c r="AF390" s="96"/>
      <c r="AG390" s="7">
        <f>SUMIFS(ĐMCP!$Q:$Q,ĐMCP!$P:$P,"="&amp;'HQ2'!B390,ĐMCP!$O:$O,"="&amp;'HQ2'!A390)</f>
        <v>0</v>
      </c>
      <c r="AH390" s="7">
        <f t="shared" si="6"/>
        <v>0</v>
      </c>
    </row>
    <row r="391" spans="1:34" x14ac:dyDescent="0.25">
      <c r="A391" s="123" t="s">
        <v>93</v>
      </c>
      <c r="B391" s="16" t="s">
        <v>268</v>
      </c>
      <c r="C391" s="7">
        <v>979690324</v>
      </c>
      <c r="D391" s="7">
        <v>139105972</v>
      </c>
      <c r="E391" s="7">
        <v>840584352</v>
      </c>
      <c r="F391" s="7">
        <v>723341839.24000001</v>
      </c>
      <c r="G391" s="7">
        <v>688226436.79999995</v>
      </c>
      <c r="H391" s="7">
        <v>5267310.3660000088</v>
      </c>
      <c r="I391" s="7">
        <v>718074528.87399995</v>
      </c>
      <c r="AA391" s="7">
        <v>21700255.177200001</v>
      </c>
      <c r="AB391" s="7">
        <v>239206166</v>
      </c>
      <c r="AC391" s="7">
        <v>457168107.69679993</v>
      </c>
      <c r="AD391" s="17"/>
      <c r="AE391" s="5">
        <f>SUMIFS(PGĐ!$H:$H,PGĐ!$F:$F,"="&amp;'HQ2'!B391,PGĐ!$I:$I,"="&amp;'HQ2'!A391)</f>
        <v>0</v>
      </c>
      <c r="AF391" s="17"/>
      <c r="AG391" s="7">
        <f>SUMIFS(ĐMCP!$Q:$Q,ĐMCP!$P:$P,"="&amp;'HQ2'!B391,ĐMCP!$O:$O,"="&amp;'HQ2'!A391)</f>
        <v>239206165.72364685</v>
      </c>
      <c r="AH391" s="7">
        <f t="shared" si="6"/>
        <v>-0.2763531506061554</v>
      </c>
    </row>
    <row r="392" spans="1:34" x14ac:dyDescent="0.25">
      <c r="A392" s="123" t="s">
        <v>93</v>
      </c>
      <c r="B392" s="16" t="s">
        <v>23</v>
      </c>
      <c r="C392" s="7">
        <v>1594211997</v>
      </c>
      <c r="E392" s="7">
        <v>1594211997</v>
      </c>
      <c r="F392" s="7">
        <v>557974198.94999993</v>
      </c>
      <c r="G392" s="7">
        <v>879341809.5</v>
      </c>
      <c r="H392" s="7">
        <v>-80341902.637500018</v>
      </c>
      <c r="I392" s="7">
        <v>638316101.58749998</v>
      </c>
      <c r="J392" s="7">
        <v>25486590</v>
      </c>
      <c r="M392" s="7">
        <v>25486590</v>
      </c>
      <c r="N392" s="7">
        <v>6371647.5</v>
      </c>
      <c r="Z392" s="7">
        <v>6371647.5</v>
      </c>
      <c r="AA392" s="7">
        <v>16739225.968499998</v>
      </c>
      <c r="AB392" s="7">
        <v>259816724</v>
      </c>
      <c r="AC392" s="7">
        <v>355388504.11899996</v>
      </c>
      <c r="AD392" s="17">
        <v>9.9819626735932789E-3</v>
      </c>
      <c r="AE392" s="5">
        <f>SUMIFS(PGĐ!$H:$H,PGĐ!$F:$F,"="&amp;'HQ2'!B392,PGĐ!$I:$I,"="&amp;'HQ2'!A392)</f>
        <v>0</v>
      </c>
      <c r="AF392" s="17"/>
      <c r="AG392" s="7">
        <f>SUMIFS(ĐMCP!$Q:$Q,ĐMCP!$P:$P,"="&amp;'HQ2'!B392,ĐMCP!$O:$O,"="&amp;'HQ2'!A392)</f>
        <v>259816723.92898241</v>
      </c>
      <c r="AH392" s="7">
        <f t="shared" si="6"/>
        <v>-7.1017593145370483E-2</v>
      </c>
    </row>
    <row r="393" spans="1:34" x14ac:dyDescent="0.25">
      <c r="A393" s="123" t="s">
        <v>93</v>
      </c>
      <c r="B393" s="16" t="s">
        <v>271</v>
      </c>
      <c r="C393" s="7">
        <v>441549755</v>
      </c>
      <c r="D393" s="7">
        <v>95192800</v>
      </c>
      <c r="E393" s="7">
        <v>346356955</v>
      </c>
      <c r="F393" s="7">
        <v>336214776.5</v>
      </c>
      <c r="G393" s="7">
        <v>644120862</v>
      </c>
      <c r="H393" s="7">
        <v>-61581217.100000001</v>
      </c>
      <c r="I393" s="7">
        <v>397795993.60000002</v>
      </c>
      <c r="AA393" s="7">
        <v>10086443.295</v>
      </c>
      <c r="AB393" s="7">
        <v>109099245</v>
      </c>
      <c r="AC393" s="7">
        <v>278610305.30500001</v>
      </c>
      <c r="AD393" s="17"/>
      <c r="AE393" s="5">
        <f>SUMIFS(PGĐ!$H:$H,PGĐ!$F:$F,"="&amp;'HQ2'!B393,PGĐ!$I:$I,"="&amp;'HQ2'!A393)</f>
        <v>0</v>
      </c>
      <c r="AF393" s="17"/>
      <c r="AG393" s="7">
        <f>SUMIFS(ĐMCP!$Q:$Q,ĐMCP!$P:$P,"="&amp;'HQ2'!B393,ĐMCP!$O:$O,"="&amp;'HQ2'!A393)</f>
        <v>109099245.07229954</v>
      </c>
      <c r="AH393" s="7">
        <f t="shared" si="6"/>
        <v>7.2299540042877197E-2</v>
      </c>
    </row>
    <row r="394" spans="1:34" x14ac:dyDescent="0.25">
      <c r="A394" s="123" t="s">
        <v>93</v>
      </c>
      <c r="B394" s="16" t="s">
        <v>273</v>
      </c>
      <c r="C394" s="7">
        <v>530493751</v>
      </c>
      <c r="E394" s="7">
        <v>530493751</v>
      </c>
      <c r="F394" s="7">
        <v>291771563.05000001</v>
      </c>
      <c r="G394" s="7">
        <v>257286382.65000001</v>
      </c>
      <c r="H394" s="7">
        <v>8621295.1000000015</v>
      </c>
      <c r="I394" s="7">
        <v>283150267.94999999</v>
      </c>
      <c r="AA394" s="7">
        <v>8753146.8914999999</v>
      </c>
      <c r="AB394" s="7">
        <v>89109696</v>
      </c>
      <c r="AC394" s="7">
        <v>185287425.05849999</v>
      </c>
      <c r="AD394" s="17"/>
      <c r="AE394" s="5">
        <f>SUMIFS(PGĐ!$H:$H,PGĐ!$F:$F,"="&amp;'HQ2'!B394,PGĐ!$I:$I,"="&amp;'HQ2'!A394)</f>
        <v>7896000</v>
      </c>
      <c r="AF394" s="17"/>
      <c r="AG394" s="7">
        <f>SUMIFS(ĐMCP!$Q:$Q,ĐMCP!$P:$P,"="&amp;'HQ2'!B394,ĐMCP!$O:$O,"="&amp;'HQ2'!A394)</f>
        <v>89109696.00183177</v>
      </c>
      <c r="AH394" s="7">
        <f t="shared" si="6"/>
        <v>1.8317699432373047E-3</v>
      </c>
    </row>
    <row r="395" spans="1:34" x14ac:dyDescent="0.25">
      <c r="A395" s="123" t="s">
        <v>93</v>
      </c>
      <c r="B395" s="16" t="s">
        <v>272</v>
      </c>
      <c r="C395" s="7">
        <v>172478240</v>
      </c>
      <c r="D395" s="7">
        <v>172478240</v>
      </c>
      <c r="F395" s="7">
        <v>161267154.40000001</v>
      </c>
      <c r="G395" s="7">
        <v>189081011.20000002</v>
      </c>
      <c r="H395" s="7">
        <v>-5562771.3600000031</v>
      </c>
      <c r="I395" s="7">
        <v>166829925.76000002</v>
      </c>
      <c r="J395" s="7">
        <v>37440000</v>
      </c>
      <c r="L395" s="7">
        <v>37440000</v>
      </c>
      <c r="M395" s="7">
        <v>0</v>
      </c>
      <c r="N395" s="7">
        <v>37440000</v>
      </c>
      <c r="O395" s="7">
        <v>315000000</v>
      </c>
      <c r="Q395" s="7">
        <v>315000000</v>
      </c>
      <c r="R395" s="7">
        <v>0</v>
      </c>
      <c r="S395" s="7">
        <v>315000000</v>
      </c>
      <c r="Y395" s="7">
        <v>315000000</v>
      </c>
      <c r="Z395" s="7">
        <v>352440000</v>
      </c>
      <c r="AA395" s="7">
        <v>4838014.6320000002</v>
      </c>
      <c r="AB395" s="7">
        <v>64005182</v>
      </c>
      <c r="AC395" s="7">
        <v>-254453270.87200001</v>
      </c>
      <c r="AD395" s="17">
        <v>2.1125706218140796</v>
      </c>
      <c r="AE395" s="5">
        <f>SUMIFS(PGĐ!$H:$H,PGĐ!$F:$F,"="&amp;'HQ2'!B395,PGĐ!$I:$I,"="&amp;'HQ2'!A395)</f>
        <v>0</v>
      </c>
      <c r="AF395" s="17"/>
      <c r="AG395" s="7">
        <f>SUMIFS(ĐMCP!$Q:$Q,ĐMCP!$P:$P,"="&amp;'HQ2'!B395,ĐMCP!$O:$O,"="&amp;'HQ2'!A395)</f>
        <v>64005182.495967075</v>
      </c>
      <c r="AH395" s="7">
        <f t="shared" si="6"/>
        <v>0.4959670752286911</v>
      </c>
    </row>
    <row r="396" spans="1:34" x14ac:dyDescent="0.25">
      <c r="A396" s="123" t="s">
        <v>93</v>
      </c>
      <c r="B396" s="16" t="s">
        <v>269</v>
      </c>
      <c r="C396" s="7">
        <v>16000000</v>
      </c>
      <c r="E396" s="7">
        <v>16000000</v>
      </c>
      <c r="F396" s="7">
        <v>9600000</v>
      </c>
      <c r="G396" s="7">
        <v>387000</v>
      </c>
      <c r="H396" s="7">
        <v>921300</v>
      </c>
      <c r="I396" s="7">
        <v>8678700</v>
      </c>
      <c r="AA396" s="7">
        <v>288000</v>
      </c>
      <c r="AB396" s="7">
        <v>4377600</v>
      </c>
      <c r="AC396" s="7">
        <v>4013100</v>
      </c>
      <c r="AD396" s="17"/>
      <c r="AE396" s="5">
        <f>SUMIFS(PGĐ!$H:$H,PGĐ!$F:$F,"="&amp;'HQ2'!B396,PGĐ!$I:$I,"="&amp;'HQ2'!A396)</f>
        <v>0</v>
      </c>
      <c r="AF396" s="17"/>
      <c r="AG396" s="7">
        <f>SUMIFS(ĐMCP!$Q:$Q,ĐMCP!$P:$P,"="&amp;'HQ2'!B396,ĐMCP!$O:$O,"="&amp;'HQ2'!A396)</f>
        <v>4377600.2348787487</v>
      </c>
      <c r="AH396" s="7">
        <f t="shared" si="6"/>
        <v>0.23487874865531921</v>
      </c>
    </row>
    <row r="397" spans="1:34" x14ac:dyDescent="0.25">
      <c r="A397" s="123" t="s">
        <v>93</v>
      </c>
      <c r="B397" s="16" t="s">
        <v>270</v>
      </c>
      <c r="AB397" s="7">
        <v>0</v>
      </c>
      <c r="AC397" s="7">
        <v>0</v>
      </c>
      <c r="AD397" s="17"/>
      <c r="AE397" s="5">
        <f>SUMIFS(PGĐ!$H:$H,PGĐ!$F:$F,"="&amp;'HQ2'!B397,PGĐ!$I:$I,"="&amp;'HQ2'!A397)</f>
        <v>0</v>
      </c>
      <c r="AF397" s="17"/>
      <c r="AG397" s="7">
        <f>SUMIFS(ĐMCP!$Q:$Q,ĐMCP!$P:$P,"="&amp;'HQ2'!B397,ĐMCP!$O:$O,"="&amp;'HQ2'!A397)</f>
        <v>0</v>
      </c>
      <c r="AH397" s="7">
        <f t="shared" si="6"/>
        <v>0</v>
      </c>
    </row>
    <row r="398" spans="1:34" x14ac:dyDescent="0.25">
      <c r="A398" s="123" t="s">
        <v>94</v>
      </c>
      <c r="B398" s="15" t="s">
        <v>45</v>
      </c>
      <c r="C398" s="132">
        <v>2531960391</v>
      </c>
      <c r="D398" s="132">
        <v>1434270519</v>
      </c>
      <c r="E398" s="132">
        <v>1097689872</v>
      </c>
      <c r="F398" s="132">
        <v>2064743800.635</v>
      </c>
      <c r="G398" s="132">
        <v>837926450.79999995</v>
      </c>
      <c r="H398" s="132">
        <v>204256570.632</v>
      </c>
      <c r="I398" s="132">
        <v>1860487230.003</v>
      </c>
      <c r="J398" s="132"/>
      <c r="K398" s="132"/>
      <c r="L398" s="132"/>
      <c r="M398" s="132"/>
      <c r="N398" s="132"/>
      <c r="O398" s="132">
        <v>28000000</v>
      </c>
      <c r="P398" s="132"/>
      <c r="Q398" s="132">
        <v>28000000</v>
      </c>
      <c r="R398" s="132">
        <v>0</v>
      </c>
      <c r="S398" s="132">
        <v>28000000</v>
      </c>
      <c r="T398" s="132">
        <v>28000000</v>
      </c>
      <c r="U398" s="132"/>
      <c r="V398" s="132">
        <v>28000000</v>
      </c>
      <c r="W398" s="132">
        <v>0</v>
      </c>
      <c r="X398" s="132">
        <v>28000000</v>
      </c>
      <c r="Y398" s="132">
        <v>0</v>
      </c>
      <c r="Z398" s="132">
        <v>0</v>
      </c>
      <c r="AA398" s="132">
        <v>61942314.019049995</v>
      </c>
      <c r="AB398" s="132">
        <v>1298400308</v>
      </c>
      <c r="AC398" s="132">
        <v>500144607.98395014</v>
      </c>
      <c r="AD398" s="96">
        <v>0</v>
      </c>
      <c r="AE398" s="5">
        <f>SUMIFS(PGĐ!$H:$H,PGĐ!$F:$F,"="&amp;'HQ2'!B398,PGĐ!$I:$I,"="&amp;'HQ2'!A398)</f>
        <v>0</v>
      </c>
      <c r="AF398" s="96"/>
      <c r="AG398" s="7">
        <f>SUMIFS(ĐMCP!$Q:$Q,ĐMCP!$P:$P,"="&amp;'HQ2'!B398,ĐMCP!$O:$O,"="&amp;'HQ2'!A398)</f>
        <v>0</v>
      </c>
      <c r="AH398" s="7">
        <f t="shared" si="6"/>
        <v>0</v>
      </c>
    </row>
    <row r="399" spans="1:34" x14ac:dyDescent="0.25">
      <c r="A399" s="123" t="s">
        <v>94</v>
      </c>
      <c r="B399" s="16" t="s">
        <v>270</v>
      </c>
      <c r="C399" s="7">
        <v>939084999</v>
      </c>
      <c r="D399" s="7">
        <v>788847888</v>
      </c>
      <c r="E399" s="7">
        <v>150237111</v>
      </c>
      <c r="F399" s="7">
        <v>857762464.08000016</v>
      </c>
      <c r="G399" s="7">
        <v>343299610.40000004</v>
      </c>
      <c r="H399" s="7">
        <v>51446285.368000016</v>
      </c>
      <c r="I399" s="7">
        <v>806316178.71200013</v>
      </c>
      <c r="O399" s="7">
        <v>28000000</v>
      </c>
      <c r="Q399" s="7">
        <v>28000000</v>
      </c>
      <c r="R399" s="7">
        <v>0</v>
      </c>
      <c r="S399" s="7">
        <v>28000000</v>
      </c>
      <c r="T399" s="7">
        <v>28000000</v>
      </c>
      <c r="V399" s="7">
        <v>28000000</v>
      </c>
      <c r="W399" s="7">
        <v>0</v>
      </c>
      <c r="X399" s="7">
        <v>28000000</v>
      </c>
      <c r="Y399" s="7">
        <v>0</v>
      </c>
      <c r="Z399" s="7">
        <v>0</v>
      </c>
      <c r="AA399" s="7">
        <v>25732873.922400005</v>
      </c>
      <c r="AB399" s="7">
        <v>271274032</v>
      </c>
      <c r="AC399" s="7">
        <v>509309272.78960013</v>
      </c>
      <c r="AD399" s="17">
        <v>0</v>
      </c>
      <c r="AE399" s="5">
        <f>SUMIFS(PGĐ!$H:$H,PGĐ!$F:$F,"="&amp;'HQ2'!B399,PGĐ!$I:$I,"="&amp;'HQ2'!A399)</f>
        <v>0</v>
      </c>
      <c r="AF399" s="17"/>
      <c r="AG399" s="7">
        <f>SUMIFS(ĐMCP!$Q:$Q,ĐMCP!$P:$P,"="&amp;'HQ2'!B399,ĐMCP!$O:$O,"="&amp;'HQ2'!A399)</f>
        <v>271274032.20465559</v>
      </c>
      <c r="AH399" s="7">
        <f t="shared" si="6"/>
        <v>0.20465558767318726</v>
      </c>
    </row>
    <row r="400" spans="1:34" x14ac:dyDescent="0.25">
      <c r="A400" s="123" t="s">
        <v>94</v>
      </c>
      <c r="B400" s="16" t="s">
        <v>272</v>
      </c>
      <c r="C400" s="7">
        <v>626453349</v>
      </c>
      <c r="D400" s="7">
        <v>563283149</v>
      </c>
      <c r="E400" s="7">
        <v>63170200</v>
      </c>
      <c r="F400" s="7">
        <v>577205904.31500006</v>
      </c>
      <c r="G400" s="7">
        <v>254199352.80000001</v>
      </c>
      <c r="H400" s="7">
        <v>64601310.303000011</v>
      </c>
      <c r="I400" s="7">
        <v>512604594.01200002</v>
      </c>
      <c r="AA400" s="7">
        <v>17316177.129450001</v>
      </c>
      <c r="AB400" s="7">
        <v>236357984</v>
      </c>
      <c r="AC400" s="7">
        <v>258930432.88255003</v>
      </c>
      <c r="AD400" s="17"/>
      <c r="AE400" s="5">
        <f>SUMIFS(PGĐ!$H:$H,PGĐ!$F:$F,"="&amp;'HQ2'!B400,PGĐ!$I:$I,"="&amp;'HQ2'!A400)</f>
        <v>0</v>
      </c>
      <c r="AF400" s="17"/>
      <c r="AG400" s="7">
        <f>SUMIFS(ĐMCP!$Q:$Q,ĐMCP!$P:$P,"="&amp;'HQ2'!B400,ĐMCP!$O:$O,"="&amp;'HQ2'!A400)</f>
        <v>236357983.91230732</v>
      </c>
      <c r="AH400" s="7">
        <f t="shared" si="6"/>
        <v>-8.7692677974700928E-2</v>
      </c>
    </row>
    <row r="401" spans="1:34" x14ac:dyDescent="0.25">
      <c r="A401" s="123" t="s">
        <v>94</v>
      </c>
      <c r="B401" s="16" t="s">
        <v>273</v>
      </c>
      <c r="C401" s="7">
        <v>459317720</v>
      </c>
      <c r="E401" s="7">
        <v>459317720</v>
      </c>
      <c r="F401" s="7">
        <v>252624746.00000003</v>
      </c>
      <c r="H401" s="7">
        <v>63156186.500000007</v>
      </c>
      <c r="I401" s="7">
        <v>189468559.50000003</v>
      </c>
      <c r="AA401" s="7">
        <v>7578742.3800000008</v>
      </c>
      <c r="AB401" s="7">
        <v>79143714</v>
      </c>
      <c r="AC401" s="7">
        <v>102746103.12000003</v>
      </c>
      <c r="AD401" s="17"/>
      <c r="AE401" s="5">
        <f>SUMIFS(PGĐ!$H:$H,PGĐ!$F:$F,"="&amp;'HQ2'!B401,PGĐ!$I:$I,"="&amp;'HQ2'!A401)</f>
        <v>0</v>
      </c>
      <c r="AF401" s="17"/>
      <c r="AG401" s="7">
        <f>SUMIFS(ĐMCP!$Q:$Q,ĐMCP!$P:$P,"="&amp;'HQ2'!B401,ĐMCP!$O:$O,"="&amp;'HQ2'!A401)</f>
        <v>79143713.666594803</v>
      </c>
      <c r="AH401" s="7">
        <f t="shared" si="6"/>
        <v>-0.33340519666671753</v>
      </c>
    </row>
    <row r="402" spans="1:34" x14ac:dyDescent="0.25">
      <c r="A402" s="123" t="s">
        <v>94</v>
      </c>
      <c r="B402" s="16" t="s">
        <v>268</v>
      </c>
      <c r="C402" s="7">
        <v>318493760</v>
      </c>
      <c r="D402" s="7">
        <v>82139482</v>
      </c>
      <c r="E402" s="7">
        <v>236354278</v>
      </c>
      <c r="F402" s="7">
        <v>245123292.13999999</v>
      </c>
      <c r="G402" s="7">
        <v>177468085.19999999</v>
      </c>
      <c r="H402" s="7">
        <v>10148281.040999999</v>
      </c>
      <c r="I402" s="7">
        <v>234975011.09899998</v>
      </c>
      <c r="AA402" s="7">
        <v>7353698.7641999992</v>
      </c>
      <c r="AB402" s="7">
        <v>427678039</v>
      </c>
      <c r="AC402" s="7">
        <v>-200056726.66520002</v>
      </c>
      <c r="AD402" s="17"/>
      <c r="AE402" s="5">
        <f>SUMIFS(PGĐ!$H:$H,PGĐ!$F:$F,"="&amp;'HQ2'!B402,PGĐ!$I:$I,"="&amp;'HQ2'!A402)</f>
        <v>0</v>
      </c>
      <c r="AF402" s="17"/>
      <c r="AG402" s="7">
        <f>SUMIFS(ĐMCP!$Q:$Q,ĐMCP!$P:$P,"="&amp;'HQ2'!B402,ĐMCP!$O:$O,"="&amp;'HQ2'!A402)</f>
        <v>427678039.21291524</v>
      </c>
      <c r="AH402" s="7">
        <f t="shared" si="6"/>
        <v>0.21291524171829224</v>
      </c>
    </row>
    <row r="403" spans="1:34" x14ac:dyDescent="0.25">
      <c r="A403" s="123" t="s">
        <v>94</v>
      </c>
      <c r="B403" s="16" t="s">
        <v>271</v>
      </c>
      <c r="C403" s="7">
        <v>188610563</v>
      </c>
      <c r="E403" s="7">
        <v>188610563</v>
      </c>
      <c r="F403" s="7">
        <v>132027394.09999999</v>
      </c>
      <c r="G403" s="7">
        <v>52050311.599999994</v>
      </c>
      <c r="H403" s="7">
        <v>15995416.5</v>
      </c>
      <c r="I403" s="7">
        <v>116031977.59999999</v>
      </c>
      <c r="AA403" s="7">
        <v>3960821.8229999999</v>
      </c>
      <c r="AB403" s="7">
        <v>283946539</v>
      </c>
      <c r="AC403" s="7">
        <v>-171875383.22300002</v>
      </c>
      <c r="AD403" s="17"/>
      <c r="AE403" s="5">
        <f>SUMIFS(PGĐ!$H:$H,PGĐ!$F:$F,"="&amp;'HQ2'!B403,PGĐ!$I:$I,"="&amp;'HQ2'!A403)</f>
        <v>0</v>
      </c>
      <c r="AF403" s="17"/>
      <c r="AG403" s="7">
        <f>SUMIFS(ĐMCP!$Q:$Q,ĐMCP!$P:$P,"="&amp;'HQ2'!B403,ĐMCP!$O:$O,"="&amp;'HQ2'!A403)</f>
        <v>283946538.6705516</v>
      </c>
      <c r="AH403" s="7">
        <f t="shared" si="6"/>
        <v>-0.329448401927948</v>
      </c>
    </row>
    <row r="404" spans="1:34" x14ac:dyDescent="0.25">
      <c r="A404" s="123" t="s">
        <v>94</v>
      </c>
      <c r="B404" s="16" t="s">
        <v>269</v>
      </c>
      <c r="G404" s="7">
        <v>10909090.799999999</v>
      </c>
      <c r="H404" s="7">
        <v>-1090909.0799999998</v>
      </c>
      <c r="I404" s="7">
        <v>1090909.0799999998</v>
      </c>
      <c r="AB404" s="7">
        <v>0</v>
      </c>
      <c r="AC404" s="7">
        <v>1090909.0799999998</v>
      </c>
      <c r="AD404" s="17"/>
      <c r="AE404" s="5">
        <f>SUMIFS(PGĐ!$H:$H,PGĐ!$F:$F,"="&amp;'HQ2'!B404,PGĐ!$I:$I,"="&amp;'HQ2'!A404)</f>
        <v>0</v>
      </c>
      <c r="AF404" s="17"/>
      <c r="AG404" s="7">
        <f>SUMIFS(ĐMCP!$Q:$Q,ĐMCP!$P:$P,"="&amp;'HQ2'!B404,ĐMCP!$O:$O,"="&amp;'HQ2'!A404)</f>
        <v>0</v>
      </c>
      <c r="AH404" s="7">
        <f t="shared" si="6"/>
        <v>0</v>
      </c>
    </row>
    <row r="405" spans="1:34" x14ac:dyDescent="0.25">
      <c r="A405" s="123" t="s">
        <v>94</v>
      </c>
      <c r="B405" s="16" t="s">
        <v>23</v>
      </c>
      <c r="AB405" s="7">
        <v>0</v>
      </c>
      <c r="AC405" s="7">
        <v>0</v>
      </c>
      <c r="AD405" s="17"/>
      <c r="AE405" s="5">
        <f>SUMIFS(PGĐ!$H:$H,PGĐ!$F:$F,"="&amp;'HQ2'!B405,PGĐ!$I:$I,"="&amp;'HQ2'!A405)</f>
        <v>0</v>
      </c>
      <c r="AF405" s="17"/>
      <c r="AG405" s="7">
        <f>SUMIFS(ĐMCP!$Q:$Q,ĐMCP!$P:$P,"="&amp;'HQ2'!B405,ĐMCP!$O:$O,"="&amp;'HQ2'!A405)</f>
        <v>0</v>
      </c>
      <c r="AH405" s="7">
        <f t="shared" si="6"/>
        <v>0</v>
      </c>
    </row>
    <row r="406" spans="1:34" x14ac:dyDescent="0.25">
      <c r="A406" s="123" t="s">
        <v>95</v>
      </c>
      <c r="B406" s="15" t="s">
        <v>45</v>
      </c>
      <c r="C406" s="132">
        <v>2373220222</v>
      </c>
      <c r="D406" s="132">
        <v>654467687</v>
      </c>
      <c r="E406" s="132">
        <v>1718752535</v>
      </c>
      <c r="F406" s="132">
        <v>1821248309.1950002</v>
      </c>
      <c r="G406" s="132">
        <v>519513714.89999998</v>
      </c>
      <c r="H406" s="132">
        <v>255922431.88350004</v>
      </c>
      <c r="I406" s="132">
        <v>1565325877.3115001</v>
      </c>
      <c r="J406" s="132">
        <v>86412466</v>
      </c>
      <c r="K406" s="132"/>
      <c r="L406" s="132"/>
      <c r="M406" s="132">
        <v>86412466</v>
      </c>
      <c r="N406" s="132">
        <v>69129972.799999997</v>
      </c>
      <c r="O406" s="132"/>
      <c r="P406" s="132"/>
      <c r="Q406" s="132"/>
      <c r="R406" s="132"/>
      <c r="S406" s="132"/>
      <c r="T406" s="132"/>
      <c r="U406" s="132"/>
      <c r="V406" s="132"/>
      <c r="W406" s="132"/>
      <c r="X406" s="132"/>
      <c r="Y406" s="132"/>
      <c r="Z406" s="132">
        <v>69129972.799999997</v>
      </c>
      <c r="AA406" s="132">
        <v>54637449.275850005</v>
      </c>
      <c r="AB406" s="132">
        <v>755704149</v>
      </c>
      <c r="AC406" s="132">
        <v>685854306.23565006</v>
      </c>
      <c r="AD406" s="96">
        <v>4.4163310529774832E-2</v>
      </c>
      <c r="AE406" s="5">
        <f>SUMIFS(PGĐ!$H:$H,PGĐ!$F:$F,"="&amp;'HQ2'!B406,PGĐ!$I:$I,"="&amp;'HQ2'!A406)</f>
        <v>0</v>
      </c>
      <c r="AF406" s="96"/>
      <c r="AG406" s="7">
        <f>SUMIFS(ĐMCP!$Q:$Q,ĐMCP!$P:$P,"="&amp;'HQ2'!B406,ĐMCP!$O:$O,"="&amp;'HQ2'!A406)</f>
        <v>0</v>
      </c>
      <c r="AH406" s="7">
        <f t="shared" si="6"/>
        <v>0</v>
      </c>
    </row>
    <row r="407" spans="1:34" x14ac:dyDescent="0.25">
      <c r="A407" s="123" t="s">
        <v>95</v>
      </c>
      <c r="B407" s="16" t="s">
        <v>271</v>
      </c>
      <c r="C407" s="7">
        <v>1543725740</v>
      </c>
      <c r="E407" s="7">
        <v>1543725740</v>
      </c>
      <c r="F407" s="7">
        <v>1080608018</v>
      </c>
      <c r="G407" s="7">
        <v>48888371</v>
      </c>
      <c r="H407" s="7">
        <v>206343929.40000001</v>
      </c>
      <c r="I407" s="7">
        <v>874264088.60000002</v>
      </c>
      <c r="AA407" s="7">
        <v>32418240.539999999</v>
      </c>
      <c r="AB407" s="7">
        <v>472383471</v>
      </c>
      <c r="AC407" s="7">
        <v>369462377.06</v>
      </c>
      <c r="AD407" s="17"/>
      <c r="AE407" s="5">
        <f>SUMIFS(PGĐ!$H:$H,PGĐ!$F:$F,"="&amp;'HQ2'!B407,PGĐ!$I:$I,"="&amp;'HQ2'!A407)</f>
        <v>0</v>
      </c>
      <c r="AF407" s="17"/>
      <c r="AG407" s="7">
        <f>SUMIFS(ĐMCP!$Q:$Q,ĐMCP!$P:$P,"="&amp;'HQ2'!B407,ĐMCP!$O:$O,"="&amp;'HQ2'!A407)</f>
        <v>472383471.22270232</v>
      </c>
      <c r="AH407" s="7">
        <f t="shared" si="6"/>
        <v>0.22270232439041138</v>
      </c>
    </row>
    <row r="408" spans="1:34" x14ac:dyDescent="0.25">
      <c r="A408" s="123" t="s">
        <v>95</v>
      </c>
      <c r="B408" s="16" t="s">
        <v>268</v>
      </c>
      <c r="C408" s="7">
        <v>380791005</v>
      </c>
      <c r="D408" s="7">
        <v>221264210</v>
      </c>
      <c r="E408" s="7">
        <v>159526795</v>
      </c>
      <c r="F408" s="7">
        <v>326295040.19999999</v>
      </c>
      <c r="G408" s="7">
        <v>225637955.89999998</v>
      </c>
      <c r="H408" s="7">
        <v>15098562.645000001</v>
      </c>
      <c r="I408" s="7">
        <v>311196477.55500001</v>
      </c>
      <c r="AA408" s="7">
        <v>9788851.2059999984</v>
      </c>
      <c r="AB408" s="7">
        <v>119752912</v>
      </c>
      <c r="AC408" s="7">
        <v>181654714.34900001</v>
      </c>
      <c r="AD408" s="17"/>
      <c r="AE408" s="5">
        <f>SUMIFS(PGĐ!$H:$H,PGĐ!$F:$F,"="&amp;'HQ2'!B408,PGĐ!$I:$I,"="&amp;'HQ2'!A408)</f>
        <v>0</v>
      </c>
      <c r="AF408" s="17"/>
      <c r="AG408" s="7">
        <f>SUMIFS(ĐMCP!$Q:$Q,ĐMCP!$P:$P,"="&amp;'HQ2'!B408,ĐMCP!$O:$O,"="&amp;'HQ2'!A408)</f>
        <v>119752911.86943987</v>
      </c>
      <c r="AH408" s="7">
        <f t="shared" si="6"/>
        <v>-0.13056012988090515</v>
      </c>
    </row>
    <row r="409" spans="1:34" x14ac:dyDescent="0.25">
      <c r="A409" s="123" t="s">
        <v>95</v>
      </c>
      <c r="B409" s="16" t="s">
        <v>272</v>
      </c>
      <c r="C409" s="7">
        <v>318395954</v>
      </c>
      <c r="D409" s="7">
        <v>318395954</v>
      </c>
      <c r="F409" s="7">
        <v>297700216.99000001</v>
      </c>
      <c r="G409" s="7">
        <v>122258681.60000001</v>
      </c>
      <c r="H409" s="7">
        <v>35088307.078000002</v>
      </c>
      <c r="I409" s="7">
        <v>262611909.912</v>
      </c>
      <c r="J409" s="7">
        <v>86412466</v>
      </c>
      <c r="M409" s="7">
        <v>86412466</v>
      </c>
      <c r="N409" s="7">
        <v>69129972.799999997</v>
      </c>
      <c r="Z409" s="7">
        <v>69129972.799999997</v>
      </c>
      <c r="AA409" s="7">
        <v>8931006.5097000003</v>
      </c>
      <c r="AB409" s="7">
        <v>120109661</v>
      </c>
      <c r="AC409" s="7">
        <v>64441269.602299988</v>
      </c>
      <c r="AD409" s="17">
        <v>0.26324005191982769</v>
      </c>
      <c r="AE409" s="5">
        <f>SUMIFS(PGĐ!$H:$H,PGĐ!$F:$F,"="&amp;'HQ2'!B409,PGĐ!$I:$I,"="&amp;'HQ2'!A409)</f>
        <v>0</v>
      </c>
      <c r="AF409" s="17"/>
      <c r="AG409" s="7">
        <f>SUMIFS(ĐMCP!$Q:$Q,ĐMCP!$P:$P,"="&amp;'HQ2'!B409,ĐMCP!$O:$O,"="&amp;'HQ2'!A409)</f>
        <v>120109661.2672253</v>
      </c>
      <c r="AH409" s="7">
        <f t="shared" si="6"/>
        <v>0.26722529530525208</v>
      </c>
    </row>
    <row r="410" spans="1:34" x14ac:dyDescent="0.25">
      <c r="A410" s="123" t="s">
        <v>95</v>
      </c>
      <c r="B410" s="16" t="s">
        <v>270</v>
      </c>
      <c r="C410" s="7">
        <v>114807523</v>
      </c>
      <c r="D410" s="7">
        <v>114807523</v>
      </c>
      <c r="F410" s="7">
        <v>107345034.00500001</v>
      </c>
      <c r="G410" s="7">
        <v>121528706.40000001</v>
      </c>
      <c r="H410" s="7">
        <v>-1418367.2394999997</v>
      </c>
      <c r="I410" s="7">
        <v>108763401.24450001</v>
      </c>
      <c r="AA410" s="7">
        <v>3220351.0201500002</v>
      </c>
      <c r="AB410" s="7">
        <v>38870071</v>
      </c>
      <c r="AC410" s="7">
        <v>66672979.224350013</v>
      </c>
      <c r="AD410" s="17"/>
      <c r="AE410" s="5">
        <f>SUMIFS(PGĐ!$H:$H,PGĐ!$F:$F,"="&amp;'HQ2'!B410,PGĐ!$I:$I,"="&amp;'HQ2'!A410)</f>
        <v>0</v>
      </c>
      <c r="AF410" s="17"/>
      <c r="AG410" s="7">
        <f>SUMIFS(ĐMCP!$Q:$Q,ĐMCP!$P:$P,"="&amp;'HQ2'!B410,ĐMCP!$O:$O,"="&amp;'HQ2'!A410)</f>
        <v>38870070.925755307</v>
      </c>
      <c r="AH410" s="7">
        <f t="shared" si="6"/>
        <v>-7.4244692921638489E-2</v>
      </c>
    </row>
    <row r="411" spans="1:34" x14ac:dyDescent="0.25">
      <c r="A411" s="123" t="s">
        <v>95</v>
      </c>
      <c r="B411" s="16" t="s">
        <v>269</v>
      </c>
      <c r="C411" s="7">
        <v>15500000</v>
      </c>
      <c r="E411" s="7">
        <v>15500000</v>
      </c>
      <c r="F411" s="7">
        <v>9300000</v>
      </c>
      <c r="G411" s="7">
        <v>1200000</v>
      </c>
      <c r="H411" s="7">
        <v>810000</v>
      </c>
      <c r="I411" s="7">
        <v>8490000</v>
      </c>
      <c r="AA411" s="7">
        <v>279000</v>
      </c>
      <c r="AB411" s="7">
        <v>4588034</v>
      </c>
      <c r="AC411" s="7">
        <v>3622966</v>
      </c>
      <c r="AD411" s="17"/>
      <c r="AE411" s="5">
        <f>SUMIFS(PGĐ!$H:$H,PGĐ!$F:$F,"="&amp;'HQ2'!B411,PGĐ!$I:$I,"="&amp;'HQ2'!A411)</f>
        <v>0</v>
      </c>
      <c r="AF411" s="17"/>
      <c r="AG411" s="7">
        <f>SUMIFS(ĐMCP!$Q:$Q,ĐMCP!$P:$P,"="&amp;'HQ2'!B411,ĐMCP!$O:$O,"="&amp;'HQ2'!A411)</f>
        <v>4588034.0918276627</v>
      </c>
      <c r="AH411" s="7">
        <f t="shared" si="6"/>
        <v>9.1827662661671638E-2</v>
      </c>
    </row>
    <row r="412" spans="1:34" x14ac:dyDescent="0.25">
      <c r="A412" s="123" t="s">
        <v>95</v>
      </c>
      <c r="B412" s="16" t="s">
        <v>273</v>
      </c>
      <c r="AB412" s="7">
        <v>0</v>
      </c>
      <c r="AC412" s="7">
        <v>0</v>
      </c>
      <c r="AD412" s="17"/>
      <c r="AE412" s="5">
        <f>SUMIFS(PGĐ!$H:$H,PGĐ!$F:$F,"="&amp;'HQ2'!B412,PGĐ!$I:$I,"="&amp;'HQ2'!A412)</f>
        <v>0</v>
      </c>
      <c r="AF412" s="17"/>
      <c r="AG412" s="7">
        <f>SUMIFS(ĐMCP!$Q:$Q,ĐMCP!$P:$P,"="&amp;'HQ2'!B412,ĐMCP!$O:$O,"="&amp;'HQ2'!A412)</f>
        <v>0</v>
      </c>
      <c r="AH412" s="7">
        <f t="shared" si="6"/>
        <v>0</v>
      </c>
    </row>
    <row r="413" spans="1:34" x14ac:dyDescent="0.25">
      <c r="A413" s="123" t="s">
        <v>95</v>
      </c>
      <c r="B413" s="16" t="s">
        <v>23</v>
      </c>
      <c r="AB413" s="7">
        <v>0</v>
      </c>
      <c r="AC413" s="7">
        <v>0</v>
      </c>
      <c r="AD413" s="17"/>
      <c r="AE413" s="5">
        <f>SUMIFS(PGĐ!$H:$H,PGĐ!$F:$F,"="&amp;'HQ2'!B413,PGĐ!$I:$I,"="&amp;'HQ2'!A413)</f>
        <v>0</v>
      </c>
      <c r="AF413" s="17"/>
      <c r="AG413" s="7">
        <f>SUMIFS(ĐMCP!$Q:$Q,ĐMCP!$P:$P,"="&amp;'HQ2'!B413,ĐMCP!$O:$O,"="&amp;'HQ2'!A413)</f>
        <v>0</v>
      </c>
      <c r="AH413" s="7">
        <f t="shared" si="6"/>
        <v>0</v>
      </c>
    </row>
    <row r="414" spans="1:34" x14ac:dyDescent="0.25">
      <c r="A414" s="123" t="s">
        <v>96</v>
      </c>
      <c r="B414" s="15" t="s">
        <v>45</v>
      </c>
      <c r="C414" s="132">
        <v>2369533134</v>
      </c>
      <c r="D414" s="132">
        <v>449520835</v>
      </c>
      <c r="E414" s="132">
        <v>1920012299</v>
      </c>
      <c r="F414" s="132">
        <v>1770096185.0499997</v>
      </c>
      <c r="G414" s="132">
        <v>902614534.80000007</v>
      </c>
      <c r="H414" s="132">
        <v>130176037.33299999</v>
      </c>
      <c r="I414" s="132">
        <v>1639920147.7169998</v>
      </c>
      <c r="J414" s="132"/>
      <c r="K414" s="132"/>
      <c r="L414" s="132"/>
      <c r="M414" s="132"/>
      <c r="N414" s="132"/>
      <c r="O414" s="132"/>
      <c r="P414" s="132"/>
      <c r="Q414" s="132"/>
      <c r="R414" s="132"/>
      <c r="S414" s="132"/>
      <c r="T414" s="132"/>
      <c r="U414" s="132"/>
      <c r="V414" s="132"/>
      <c r="W414" s="132"/>
      <c r="X414" s="132"/>
      <c r="Y414" s="132"/>
      <c r="Z414" s="132"/>
      <c r="AA414" s="132">
        <v>53102885.551499993</v>
      </c>
      <c r="AB414" s="132">
        <v>387959222</v>
      </c>
      <c r="AC414" s="132">
        <v>1198858040.1654997</v>
      </c>
      <c r="AD414" s="96"/>
      <c r="AE414" s="5">
        <f>SUMIFS(PGĐ!$H:$H,PGĐ!$F:$F,"="&amp;'HQ2'!B414,PGĐ!$I:$I,"="&amp;'HQ2'!A414)</f>
        <v>0</v>
      </c>
      <c r="AF414" s="96"/>
      <c r="AG414" s="7">
        <f>SUMIFS(ĐMCP!$Q:$Q,ĐMCP!$P:$P,"="&amp;'HQ2'!B414,ĐMCP!$O:$O,"="&amp;'HQ2'!A414)</f>
        <v>0</v>
      </c>
      <c r="AH414" s="7">
        <f t="shared" si="6"/>
        <v>0</v>
      </c>
    </row>
    <row r="415" spans="1:34" x14ac:dyDescent="0.25">
      <c r="A415" s="123" t="s">
        <v>96</v>
      </c>
      <c r="B415" s="16" t="s">
        <v>268</v>
      </c>
      <c r="C415" s="7">
        <v>2140869054</v>
      </c>
      <c r="D415" s="7">
        <v>309484725</v>
      </c>
      <c r="E415" s="7">
        <v>1831384329</v>
      </c>
      <c r="F415" s="7">
        <v>1582169213.55</v>
      </c>
      <c r="G415" s="7">
        <v>816630717</v>
      </c>
      <c r="H415" s="7">
        <v>114830774.48249999</v>
      </c>
      <c r="I415" s="7">
        <v>1467338439.0674999</v>
      </c>
      <c r="AA415" s="7">
        <v>47465076.406499997</v>
      </c>
      <c r="AB415" s="7">
        <v>338464434</v>
      </c>
      <c r="AC415" s="7">
        <v>1081408928.6609998</v>
      </c>
      <c r="AD415" s="17"/>
      <c r="AE415" s="5">
        <f>SUMIFS(PGĐ!$H:$H,PGĐ!$F:$F,"="&amp;'HQ2'!B415,PGĐ!$I:$I,"="&amp;'HQ2'!A415)</f>
        <v>0</v>
      </c>
      <c r="AF415" s="17"/>
      <c r="AG415" s="7">
        <f>SUMIFS(ĐMCP!$Q:$Q,ĐMCP!$P:$P,"="&amp;'HQ2'!B415,ĐMCP!$O:$O,"="&amp;'HQ2'!A415)</f>
        <v>338464433.55067599</v>
      </c>
      <c r="AH415" s="7">
        <f t="shared" si="6"/>
        <v>-0.44932401180267334</v>
      </c>
    </row>
    <row r="416" spans="1:34" x14ac:dyDescent="0.25">
      <c r="A416" s="123" t="s">
        <v>96</v>
      </c>
      <c r="B416" s="16" t="s">
        <v>271</v>
      </c>
      <c r="C416" s="7">
        <v>76328533</v>
      </c>
      <c r="D416" s="7">
        <v>76328533</v>
      </c>
      <c r="F416" s="7">
        <v>75183605.004999995</v>
      </c>
      <c r="G416" s="7">
        <v>23674130.199999999</v>
      </c>
      <c r="H416" s="7">
        <v>10301894.960999999</v>
      </c>
      <c r="I416" s="7">
        <v>64881710.044</v>
      </c>
      <c r="AA416" s="7">
        <v>2255508.1501499997</v>
      </c>
      <c r="AB416" s="7">
        <v>4155338</v>
      </c>
      <c r="AC416" s="7">
        <v>58470863.893849999</v>
      </c>
      <c r="AD416" s="17"/>
      <c r="AE416" s="5">
        <f>SUMIFS(PGĐ!$H:$H,PGĐ!$F:$F,"="&amp;'HQ2'!B416,PGĐ!$I:$I,"="&amp;'HQ2'!A416)</f>
        <v>0</v>
      </c>
      <c r="AF416" s="17"/>
      <c r="AG416" s="7">
        <f>SUMIFS(ĐMCP!$Q:$Q,ĐMCP!$P:$P,"="&amp;'HQ2'!B416,ĐMCP!$O:$O,"="&amp;'HQ2'!A416)</f>
        <v>4155337.9450765364</v>
      </c>
      <c r="AH416" s="7">
        <f t="shared" si="6"/>
        <v>-5.4923463612794876E-2</v>
      </c>
    </row>
    <row r="417" spans="1:34" x14ac:dyDescent="0.25">
      <c r="A417" s="123" t="s">
        <v>96</v>
      </c>
      <c r="B417" s="16" t="s">
        <v>270</v>
      </c>
      <c r="C417" s="7">
        <v>63707577</v>
      </c>
      <c r="D417" s="7">
        <v>63707577</v>
      </c>
      <c r="F417" s="7">
        <v>59566584.495000005</v>
      </c>
      <c r="G417" s="7">
        <v>8718209.5999999996</v>
      </c>
      <c r="H417" s="7">
        <v>5084837.4895000011</v>
      </c>
      <c r="I417" s="7">
        <v>54481747.005500004</v>
      </c>
      <c r="AA417" s="7">
        <v>1786997.5348500002</v>
      </c>
      <c r="AB417" s="7">
        <v>19136210</v>
      </c>
      <c r="AC417" s="7">
        <v>33558539.470650002</v>
      </c>
      <c r="AD417" s="17"/>
      <c r="AE417" s="5">
        <f>SUMIFS(PGĐ!$H:$H,PGĐ!$F:$F,"="&amp;'HQ2'!B417,PGĐ!$I:$I,"="&amp;'HQ2'!A417)</f>
        <v>0</v>
      </c>
      <c r="AF417" s="17"/>
      <c r="AG417" s="7">
        <f>SUMIFS(ĐMCP!$Q:$Q,ĐMCP!$P:$P,"="&amp;'HQ2'!B417,ĐMCP!$O:$O,"="&amp;'HQ2'!A417)</f>
        <v>19136209.624448933</v>
      </c>
      <c r="AH417" s="7">
        <f t="shared" si="6"/>
        <v>-0.37555106729269028</v>
      </c>
    </row>
    <row r="418" spans="1:34" x14ac:dyDescent="0.25">
      <c r="A418" s="123" t="s">
        <v>96</v>
      </c>
      <c r="B418" s="16" t="s">
        <v>269</v>
      </c>
      <c r="C418" s="7">
        <v>88627970</v>
      </c>
      <c r="E418" s="7">
        <v>88627970</v>
      </c>
      <c r="F418" s="7">
        <v>53176782</v>
      </c>
      <c r="G418" s="7">
        <v>53591478</v>
      </c>
      <c r="H418" s="7">
        <v>-41469.600000000006</v>
      </c>
      <c r="I418" s="7">
        <v>53218251.600000001</v>
      </c>
      <c r="AA418" s="7">
        <v>1595303.46</v>
      </c>
      <c r="AB418" s="7">
        <v>26203240</v>
      </c>
      <c r="AC418" s="7">
        <v>25419708.140000001</v>
      </c>
      <c r="AD418" s="17"/>
      <c r="AE418" s="5">
        <f>SUMIFS(PGĐ!$H:$H,PGĐ!$F:$F,"="&amp;'HQ2'!B418,PGĐ!$I:$I,"="&amp;'HQ2'!A418)</f>
        <v>0</v>
      </c>
      <c r="AF418" s="17"/>
      <c r="AG418" s="7">
        <f>SUMIFS(ĐMCP!$Q:$Q,ĐMCP!$P:$P,"="&amp;'HQ2'!B418,ĐMCP!$O:$O,"="&amp;'HQ2'!A418)</f>
        <v>26203240.374541659</v>
      </c>
      <c r="AH418" s="7">
        <f t="shared" si="6"/>
        <v>0.37454165890812874</v>
      </c>
    </row>
    <row r="419" spans="1:34" x14ac:dyDescent="0.25">
      <c r="A419" s="123" t="s">
        <v>96</v>
      </c>
      <c r="B419" s="16" t="s">
        <v>273</v>
      </c>
      <c r="AB419" s="7">
        <v>0</v>
      </c>
      <c r="AC419" s="7">
        <v>0</v>
      </c>
      <c r="AD419" s="17"/>
      <c r="AE419" s="5">
        <f>SUMIFS(PGĐ!$H:$H,PGĐ!$F:$F,"="&amp;'HQ2'!B419,PGĐ!$I:$I,"="&amp;'HQ2'!A419)</f>
        <v>0</v>
      </c>
      <c r="AF419" s="17"/>
      <c r="AG419" s="7">
        <f>SUMIFS(ĐMCP!$Q:$Q,ĐMCP!$P:$P,"="&amp;'HQ2'!B419,ĐMCP!$O:$O,"="&amp;'HQ2'!A419)</f>
        <v>0</v>
      </c>
      <c r="AH419" s="7">
        <f t="shared" si="6"/>
        <v>0</v>
      </c>
    </row>
    <row r="420" spans="1:34" x14ac:dyDescent="0.25">
      <c r="A420" s="123" t="s">
        <v>96</v>
      </c>
      <c r="B420" s="16" t="s">
        <v>23</v>
      </c>
      <c r="AB420" s="7">
        <v>0</v>
      </c>
      <c r="AC420" s="7">
        <v>0</v>
      </c>
      <c r="AD420" s="17"/>
      <c r="AE420" s="5">
        <f>SUMIFS(PGĐ!$H:$H,PGĐ!$F:$F,"="&amp;'HQ2'!B420,PGĐ!$I:$I,"="&amp;'HQ2'!A420)</f>
        <v>0</v>
      </c>
      <c r="AF420" s="17"/>
      <c r="AG420" s="7">
        <f>SUMIFS(ĐMCP!$Q:$Q,ĐMCP!$P:$P,"="&amp;'HQ2'!B420,ĐMCP!$O:$O,"="&amp;'HQ2'!A420)</f>
        <v>0</v>
      </c>
      <c r="AH420" s="7">
        <f t="shared" si="6"/>
        <v>0</v>
      </c>
    </row>
    <row r="421" spans="1:34" x14ac:dyDescent="0.25">
      <c r="A421" s="123" t="s">
        <v>96</v>
      </c>
      <c r="B421" s="16" t="s">
        <v>272</v>
      </c>
      <c r="AB421" s="7">
        <v>0</v>
      </c>
      <c r="AC421" s="7">
        <v>0</v>
      </c>
      <c r="AD421" s="17"/>
      <c r="AE421" s="5">
        <f>SUMIFS(PGĐ!$H:$H,PGĐ!$F:$F,"="&amp;'HQ2'!B421,PGĐ!$I:$I,"="&amp;'HQ2'!A421)</f>
        <v>0</v>
      </c>
      <c r="AF421" s="17"/>
      <c r="AG421" s="7">
        <f>SUMIFS(ĐMCP!$Q:$Q,ĐMCP!$P:$P,"="&amp;'HQ2'!B421,ĐMCP!$O:$O,"="&amp;'HQ2'!A421)</f>
        <v>0</v>
      </c>
      <c r="AH421" s="7">
        <f t="shared" si="6"/>
        <v>0</v>
      </c>
    </row>
    <row r="422" spans="1:34" x14ac:dyDescent="0.25">
      <c r="A422" s="123" t="s">
        <v>97</v>
      </c>
      <c r="B422" s="15" t="s">
        <v>45</v>
      </c>
      <c r="C422" s="132">
        <v>3146885774</v>
      </c>
      <c r="D422" s="132">
        <v>338829945</v>
      </c>
      <c r="E422" s="132">
        <v>2808055829</v>
      </c>
      <c r="F422" s="132">
        <v>1760193546.175</v>
      </c>
      <c r="G422" s="132">
        <v>884350701.54999983</v>
      </c>
      <c r="H422" s="132">
        <v>204368000.80500001</v>
      </c>
      <c r="I422" s="132">
        <v>1555825545.3699999</v>
      </c>
      <c r="J422" s="132">
        <v>25486590</v>
      </c>
      <c r="K422" s="132"/>
      <c r="L422" s="132"/>
      <c r="M422" s="132">
        <v>25486590</v>
      </c>
      <c r="N422" s="132">
        <v>6371647.5</v>
      </c>
      <c r="O422" s="132">
        <v>497642046.89999998</v>
      </c>
      <c r="P422" s="132">
        <v>220000000</v>
      </c>
      <c r="Q422" s="132">
        <v>40000000</v>
      </c>
      <c r="R422" s="132">
        <v>237642046.89999998</v>
      </c>
      <c r="S422" s="132">
        <v>270488847.94</v>
      </c>
      <c r="T422" s="132">
        <v>480000000</v>
      </c>
      <c r="U422" s="132">
        <v>220000000</v>
      </c>
      <c r="V422" s="132">
        <v>40000000</v>
      </c>
      <c r="W422" s="132">
        <v>220000000</v>
      </c>
      <c r="X422" s="132">
        <v>243606013.91</v>
      </c>
      <c r="Y422" s="132">
        <v>26882834.030000001</v>
      </c>
      <c r="Z422" s="132">
        <v>33254481.530000001</v>
      </c>
      <c r="AA422" s="132">
        <v>52805806.385249995</v>
      </c>
      <c r="AB422" s="132">
        <v>661185445</v>
      </c>
      <c r="AC422" s="132">
        <v>808579812.45474994</v>
      </c>
      <c r="AD422" s="96">
        <v>2.1374171178100539E-2</v>
      </c>
      <c r="AE422" s="5">
        <f>SUMIFS(PGĐ!$H:$H,PGĐ!$F:$F,"="&amp;'HQ2'!B422,PGĐ!$I:$I,"="&amp;'HQ2'!A422)</f>
        <v>0</v>
      </c>
      <c r="AF422" s="96"/>
      <c r="AG422" s="7">
        <f>SUMIFS(ĐMCP!$Q:$Q,ĐMCP!$P:$P,"="&amp;'HQ2'!B422,ĐMCP!$O:$O,"="&amp;'HQ2'!A422)</f>
        <v>0</v>
      </c>
      <c r="AH422" s="7">
        <f t="shared" si="6"/>
        <v>0</v>
      </c>
    </row>
    <row r="423" spans="1:34" x14ac:dyDescent="0.25">
      <c r="A423" s="123" t="s">
        <v>97</v>
      </c>
      <c r="B423" s="16" t="s">
        <v>268</v>
      </c>
      <c r="C423" s="7">
        <v>863578146</v>
      </c>
      <c r="D423" s="7">
        <v>121674460</v>
      </c>
      <c r="E423" s="7">
        <v>741903686</v>
      </c>
      <c r="F423" s="7">
        <v>637356806.39999998</v>
      </c>
      <c r="G423" s="7">
        <v>477474387.59999996</v>
      </c>
      <c r="H423" s="7">
        <v>23982362.82</v>
      </c>
      <c r="I423" s="7">
        <v>613374443.57999992</v>
      </c>
      <c r="O423" s="7">
        <v>370000000</v>
      </c>
      <c r="P423" s="7">
        <v>220000000</v>
      </c>
      <c r="R423" s="7">
        <v>150000000</v>
      </c>
      <c r="S423" s="7">
        <v>177903619.80000001</v>
      </c>
      <c r="T423" s="7">
        <v>370000000</v>
      </c>
      <c r="U423" s="7">
        <v>220000000</v>
      </c>
      <c r="W423" s="7">
        <v>150000000</v>
      </c>
      <c r="X423" s="7">
        <v>161606013.91</v>
      </c>
      <c r="Y423" s="7">
        <v>16297605.890000015</v>
      </c>
      <c r="Z423" s="7">
        <v>16297605.890000015</v>
      </c>
      <c r="AA423" s="7">
        <v>19120704.191999998</v>
      </c>
      <c r="AB423" s="7">
        <v>296699887</v>
      </c>
      <c r="AC423" s="7">
        <v>281256246.49799997</v>
      </c>
      <c r="AD423" s="17">
        <v>2.6570402566624681E-2</v>
      </c>
      <c r="AE423" s="5">
        <f>SUMIFS(PGĐ!$H:$H,PGĐ!$F:$F,"="&amp;'HQ2'!B423,PGĐ!$I:$I,"="&amp;'HQ2'!A423)</f>
        <v>925926</v>
      </c>
      <c r="AF423" s="17"/>
      <c r="AG423" s="7">
        <f>SUMIFS(ĐMCP!$Q:$Q,ĐMCP!$P:$P,"="&amp;'HQ2'!B423,ĐMCP!$O:$O,"="&amp;'HQ2'!A423)</f>
        <v>296699887.2900033</v>
      </c>
      <c r="AH423" s="7">
        <f t="shared" si="6"/>
        <v>0.29000329971313477</v>
      </c>
    </row>
    <row r="424" spans="1:34" x14ac:dyDescent="0.25">
      <c r="A424" s="123" t="s">
        <v>97</v>
      </c>
      <c r="B424" s="16" t="s">
        <v>23</v>
      </c>
      <c r="C424" s="7">
        <v>1329255158</v>
      </c>
      <c r="E424" s="7">
        <v>1329255158</v>
      </c>
      <c r="F424" s="7">
        <v>465239305.29999995</v>
      </c>
      <c r="H424" s="7">
        <v>116309826.32499999</v>
      </c>
      <c r="I424" s="7">
        <v>348929478.97499996</v>
      </c>
      <c r="J424" s="7">
        <v>25486590</v>
      </c>
      <c r="M424" s="7">
        <v>25486590</v>
      </c>
      <c r="N424" s="7">
        <v>6371647.5</v>
      </c>
      <c r="Z424" s="7">
        <v>6371647.5</v>
      </c>
      <c r="AA424" s="7">
        <v>13957179.158999998</v>
      </c>
      <c r="AB424" s="7">
        <v>213397072</v>
      </c>
      <c r="AC424" s="7">
        <v>115203580.31599997</v>
      </c>
      <c r="AD424" s="17">
        <v>1.8260559465245168E-2</v>
      </c>
      <c r="AE424" s="5">
        <f>SUMIFS(PGĐ!$H:$H,PGĐ!$F:$F,"="&amp;'HQ2'!B424,PGĐ!$I:$I,"="&amp;'HQ2'!A424)</f>
        <v>0</v>
      </c>
      <c r="AF424" s="17"/>
      <c r="AG424" s="7">
        <f>SUMIFS(ĐMCP!$Q:$Q,ĐMCP!$P:$P,"="&amp;'HQ2'!B424,ĐMCP!$O:$O,"="&amp;'HQ2'!A424)</f>
        <v>213397072.46569887</v>
      </c>
      <c r="AH424" s="7">
        <f t="shared" si="6"/>
        <v>0.46569886803627014</v>
      </c>
    </row>
    <row r="425" spans="1:34" x14ac:dyDescent="0.25">
      <c r="A425" s="123" t="s">
        <v>97</v>
      </c>
      <c r="B425" s="16" t="s">
        <v>273</v>
      </c>
      <c r="C425" s="7">
        <v>530493749</v>
      </c>
      <c r="E425" s="7">
        <v>530493749</v>
      </c>
      <c r="F425" s="7">
        <v>291771561.95000005</v>
      </c>
      <c r="G425" s="7">
        <v>12776198.050000001</v>
      </c>
      <c r="H425" s="7">
        <v>69748840.975000009</v>
      </c>
      <c r="I425" s="7">
        <v>222022720.97500002</v>
      </c>
      <c r="AA425" s="7">
        <v>8753146.858500002</v>
      </c>
      <c r="AB425" s="7">
        <v>87817317</v>
      </c>
      <c r="AC425" s="7">
        <v>125452257.11650002</v>
      </c>
      <c r="AD425" s="17"/>
      <c r="AE425" s="5">
        <f>SUMIFS(PGĐ!$H:$H,PGĐ!$F:$F,"="&amp;'HQ2'!B425,PGĐ!$I:$I,"="&amp;'HQ2'!A425)</f>
        <v>23688000</v>
      </c>
      <c r="AF425" s="17"/>
      <c r="AG425" s="7">
        <f>SUMIFS(ĐMCP!$Q:$Q,ĐMCP!$P:$P,"="&amp;'HQ2'!B425,ĐMCP!$O:$O,"="&amp;'HQ2'!A425)</f>
        <v>87817316.936581761</v>
      </c>
      <c r="AH425" s="7">
        <f t="shared" si="6"/>
        <v>-6.341823935508728E-2</v>
      </c>
    </row>
    <row r="426" spans="1:34" x14ac:dyDescent="0.25">
      <c r="A426" s="123" t="s">
        <v>97</v>
      </c>
      <c r="B426" s="16" t="s">
        <v>271</v>
      </c>
      <c r="C426" s="7">
        <v>307104175</v>
      </c>
      <c r="D426" s="7">
        <v>217155485</v>
      </c>
      <c r="E426" s="7">
        <v>89948690</v>
      </c>
      <c r="F426" s="7">
        <v>276862235.72499996</v>
      </c>
      <c r="G426" s="7">
        <v>381681922.29999995</v>
      </c>
      <c r="H426" s="7">
        <v>-20963937.314999998</v>
      </c>
      <c r="I426" s="7">
        <v>297826173.03999996</v>
      </c>
      <c r="O426" s="7">
        <v>127642046.90000001</v>
      </c>
      <c r="Q426" s="7">
        <v>40000000</v>
      </c>
      <c r="R426" s="7">
        <v>87642046.900000006</v>
      </c>
      <c r="S426" s="7">
        <v>92585228.140000001</v>
      </c>
      <c r="T426" s="7">
        <v>110000000</v>
      </c>
      <c r="V426" s="7">
        <v>40000000</v>
      </c>
      <c r="W426" s="7">
        <v>70000000</v>
      </c>
      <c r="X426" s="7">
        <v>82000000</v>
      </c>
      <c r="Y426" s="7">
        <v>10585228.140000001</v>
      </c>
      <c r="Z426" s="7">
        <v>10585228.140000001</v>
      </c>
      <c r="AA426" s="7">
        <v>8305867.0717499983</v>
      </c>
      <c r="AB426" s="7">
        <v>20501736</v>
      </c>
      <c r="AC426" s="7">
        <v>258433341.82824999</v>
      </c>
      <c r="AD426" s="17">
        <v>3.5541631656994553E-2</v>
      </c>
      <c r="AE426" s="5">
        <f>SUMIFS(PGĐ!$H:$H,PGĐ!$F:$F,"="&amp;'HQ2'!B426,PGĐ!$I:$I,"="&amp;'HQ2'!A426)</f>
        <v>296952396</v>
      </c>
      <c r="AF426" s="17"/>
      <c r="AG426" s="7">
        <f>SUMIFS(ĐMCP!$Q:$Q,ĐMCP!$P:$P,"="&amp;'HQ2'!B426,ĐMCP!$O:$O,"="&amp;'HQ2'!A426)</f>
        <v>20501736.279387623</v>
      </c>
      <c r="AH426" s="7">
        <f t="shared" si="6"/>
        <v>0.27938762307167053</v>
      </c>
    </row>
    <row r="427" spans="1:34" x14ac:dyDescent="0.25">
      <c r="A427" s="123" t="s">
        <v>97</v>
      </c>
      <c r="B427" s="16" t="s">
        <v>272</v>
      </c>
      <c r="C427" s="7">
        <v>95454546</v>
      </c>
      <c r="E427" s="7">
        <v>95454546</v>
      </c>
      <c r="F427" s="7">
        <v>76363636.799999997</v>
      </c>
      <c r="H427" s="7">
        <v>15272727.359999999</v>
      </c>
      <c r="I427" s="7">
        <v>61090909.439999998</v>
      </c>
      <c r="AA427" s="7">
        <v>2290909.1039999998</v>
      </c>
      <c r="AB427" s="7">
        <v>36773118</v>
      </c>
      <c r="AC427" s="7">
        <v>22026882.335999999</v>
      </c>
      <c r="AD427" s="17"/>
      <c r="AE427" s="5">
        <f>SUMIFS(PGĐ!$H:$H,PGĐ!$F:$F,"="&amp;'HQ2'!B427,PGĐ!$I:$I,"="&amp;'HQ2'!A427)</f>
        <v>1851852</v>
      </c>
      <c r="AF427" s="17"/>
      <c r="AG427" s="7">
        <f>SUMIFS(ĐMCP!$Q:$Q,ĐMCP!$P:$P,"="&amp;'HQ2'!B427,ĐMCP!$O:$O,"="&amp;'HQ2'!A427)</f>
        <v>36773118.07947699</v>
      </c>
      <c r="AH427" s="7">
        <f t="shared" si="6"/>
        <v>7.9476989805698395E-2</v>
      </c>
    </row>
    <row r="428" spans="1:34" x14ac:dyDescent="0.25">
      <c r="A428" s="123" t="s">
        <v>97</v>
      </c>
      <c r="B428" s="16" t="s">
        <v>269</v>
      </c>
      <c r="C428" s="7">
        <v>21000000</v>
      </c>
      <c r="E428" s="7">
        <v>21000000</v>
      </c>
      <c r="F428" s="7">
        <v>12600000</v>
      </c>
      <c r="G428" s="7">
        <v>9600000</v>
      </c>
      <c r="H428" s="7">
        <v>300000</v>
      </c>
      <c r="I428" s="7">
        <v>12300000</v>
      </c>
      <c r="AA428" s="7">
        <v>378000</v>
      </c>
      <c r="AB428" s="7">
        <v>5996315</v>
      </c>
      <c r="AC428" s="7">
        <v>5925685</v>
      </c>
      <c r="AD428" s="17"/>
      <c r="AE428" s="5">
        <f>SUMIFS(PGĐ!$H:$H,PGĐ!$F:$F,"="&amp;'HQ2'!B428,PGĐ!$I:$I,"="&amp;'HQ2'!A428)</f>
        <v>0</v>
      </c>
      <c r="AF428" s="17"/>
      <c r="AG428" s="7">
        <f>SUMIFS(ĐMCP!$Q:$Q,ĐMCP!$P:$P,"="&amp;'HQ2'!B428,ĐMCP!$O:$O,"="&amp;'HQ2'!A428)</f>
        <v>5996315.4966517538</v>
      </c>
      <c r="AH428" s="7">
        <f t="shared" si="6"/>
        <v>0.49665175378322601</v>
      </c>
    </row>
    <row r="429" spans="1:34" x14ac:dyDescent="0.25">
      <c r="A429" s="123" t="s">
        <v>97</v>
      </c>
      <c r="B429" s="16" t="s">
        <v>270</v>
      </c>
      <c r="G429" s="7">
        <v>2818193.6</v>
      </c>
      <c r="H429" s="7">
        <v>-281819.36000000004</v>
      </c>
      <c r="I429" s="7">
        <v>281819.36000000004</v>
      </c>
      <c r="AB429" s="7">
        <v>0</v>
      </c>
      <c r="AC429" s="7">
        <v>281819.36000000004</v>
      </c>
      <c r="AD429" s="17"/>
      <c r="AE429" s="5">
        <f>SUMIFS(PGĐ!$H:$H,PGĐ!$F:$F,"="&amp;'HQ2'!B429,PGĐ!$I:$I,"="&amp;'HQ2'!A429)</f>
        <v>0</v>
      </c>
      <c r="AF429" s="17"/>
      <c r="AG429" s="7">
        <f>SUMIFS(ĐMCP!$Q:$Q,ĐMCP!$P:$P,"="&amp;'HQ2'!B429,ĐMCP!$O:$O,"="&amp;'HQ2'!A429)</f>
        <v>0</v>
      </c>
      <c r="AH429" s="7">
        <f t="shared" si="6"/>
        <v>0</v>
      </c>
    </row>
    <row r="430" spans="1:34" x14ac:dyDescent="0.25">
      <c r="A430" s="123" t="s">
        <v>98</v>
      </c>
      <c r="B430" s="15" t="s">
        <v>45</v>
      </c>
      <c r="C430" s="132">
        <v>2055236118</v>
      </c>
      <c r="D430" s="132">
        <v>642109855</v>
      </c>
      <c r="E430" s="132">
        <v>1413126263</v>
      </c>
      <c r="F430" s="132">
        <v>1635771452.335</v>
      </c>
      <c r="G430" s="132">
        <v>1926535424.5</v>
      </c>
      <c r="H430" s="132">
        <v>5212170.9115000218</v>
      </c>
      <c r="I430" s="132">
        <v>1630559281.4235001</v>
      </c>
      <c r="J430" s="132">
        <v>4480537780</v>
      </c>
      <c r="K430" s="132">
        <v>4370000000</v>
      </c>
      <c r="L430" s="132"/>
      <c r="M430" s="132">
        <v>110537780</v>
      </c>
      <c r="N430" s="132">
        <v>1300583119</v>
      </c>
      <c r="O430" s="132">
        <v>87659481516.179993</v>
      </c>
      <c r="P430" s="132">
        <v>85589299745</v>
      </c>
      <c r="Q430" s="132">
        <v>4368466951.1800003</v>
      </c>
      <c r="R430" s="132">
        <v>-2298285180.0000076</v>
      </c>
      <c r="S430" s="132">
        <v>26562690764.829998</v>
      </c>
      <c r="T430" s="132">
        <v>92481265537.380005</v>
      </c>
      <c r="U430" s="132">
        <v>89914400000</v>
      </c>
      <c r="V430" s="132">
        <v>3767150747.3800001</v>
      </c>
      <c r="W430" s="132">
        <v>-1200285209.9999952</v>
      </c>
      <c r="X430" s="132">
        <v>25956921919.580002</v>
      </c>
      <c r="Y430" s="132">
        <v>605768845.24999619</v>
      </c>
      <c r="Z430" s="132">
        <v>1906351964.2499962</v>
      </c>
      <c r="AA430" s="132">
        <v>49073143.570050001</v>
      </c>
      <c r="AB430" s="132">
        <v>2280300112</v>
      </c>
      <c r="AC430" s="132">
        <v>-2605165938.3965492</v>
      </c>
      <c r="AD430" s="96">
        <v>1.1691399300648091</v>
      </c>
      <c r="AE430" s="5">
        <f>SUMIFS(PGĐ!$H:$H,PGĐ!$F:$F,"="&amp;'HQ2'!B430,PGĐ!$I:$I,"="&amp;'HQ2'!A430)</f>
        <v>0</v>
      </c>
      <c r="AF430" s="96"/>
      <c r="AG430" s="7">
        <f>SUMIFS(ĐMCP!$Q:$Q,ĐMCP!$P:$P,"="&amp;'HQ2'!B430,ĐMCP!$O:$O,"="&amp;'HQ2'!A430)</f>
        <v>0</v>
      </c>
      <c r="AH430" s="7">
        <f t="shared" si="6"/>
        <v>0</v>
      </c>
    </row>
    <row r="431" spans="1:34" x14ac:dyDescent="0.25">
      <c r="A431" s="123" t="s">
        <v>98</v>
      </c>
      <c r="B431" s="16" t="s">
        <v>270</v>
      </c>
      <c r="C431" s="7">
        <v>769731243</v>
      </c>
      <c r="D431" s="7">
        <v>354727417</v>
      </c>
      <c r="E431" s="7">
        <v>415003826</v>
      </c>
      <c r="F431" s="7">
        <v>663673195.69500005</v>
      </c>
      <c r="G431" s="7">
        <v>1189157168.8</v>
      </c>
      <c r="H431" s="7">
        <v>-52548397.310499996</v>
      </c>
      <c r="I431" s="7">
        <v>716221593.00550008</v>
      </c>
      <c r="J431" s="7">
        <v>77467780</v>
      </c>
      <c r="M431" s="7">
        <v>77467780</v>
      </c>
      <c r="N431" s="7">
        <v>46480668</v>
      </c>
      <c r="O431" s="7">
        <v>121496907.18000001</v>
      </c>
      <c r="Q431" s="7">
        <v>87217206.180000007</v>
      </c>
      <c r="R431" s="7">
        <v>34279701</v>
      </c>
      <c r="S431" s="7">
        <v>107785026.78</v>
      </c>
      <c r="T431" s="7">
        <v>87150747.379999995</v>
      </c>
      <c r="V431" s="7">
        <v>87150747.379999995</v>
      </c>
      <c r="W431" s="7">
        <v>0</v>
      </c>
      <c r="X431" s="7">
        <v>87150747.379999995</v>
      </c>
      <c r="Y431" s="7">
        <v>20634279.400000006</v>
      </c>
      <c r="Z431" s="7">
        <v>67114947.400000006</v>
      </c>
      <c r="AA431" s="7">
        <v>19910195.870850001</v>
      </c>
      <c r="AB431" s="7">
        <v>1564779773</v>
      </c>
      <c r="AC431" s="7">
        <v>-935583323.26534986</v>
      </c>
      <c r="AD431" s="17">
        <v>9.3706958929238277E-2</v>
      </c>
      <c r="AE431" s="5">
        <f>SUMIFS(PGĐ!$H:$H,PGĐ!$F:$F,"="&amp;'HQ2'!B431,PGĐ!$I:$I,"="&amp;'HQ2'!A431)</f>
        <v>36478880</v>
      </c>
      <c r="AF431" s="17"/>
      <c r="AG431" s="7">
        <f>SUMIFS(ĐMCP!$Q:$Q,ĐMCP!$P:$P,"="&amp;'HQ2'!B431,ĐMCP!$O:$O,"="&amp;'HQ2'!A431)</f>
        <v>1564779772.7792583</v>
      </c>
      <c r="AH431" s="7">
        <f t="shared" si="6"/>
        <v>-0.22074174880981445</v>
      </c>
    </row>
    <row r="432" spans="1:34" x14ac:dyDescent="0.25">
      <c r="A432" s="123" t="s">
        <v>98</v>
      </c>
      <c r="B432" s="16" t="s">
        <v>271</v>
      </c>
      <c r="C432" s="7">
        <v>856169787</v>
      </c>
      <c r="D432" s="7">
        <v>219196652</v>
      </c>
      <c r="E432" s="7">
        <v>636973135</v>
      </c>
      <c r="F432" s="7">
        <v>661789896.72000003</v>
      </c>
      <c r="G432" s="7">
        <v>208720351.69999999</v>
      </c>
      <c r="H432" s="7">
        <v>90613909.004000008</v>
      </c>
      <c r="I432" s="7">
        <v>571175987.71600008</v>
      </c>
      <c r="O432" s="7">
        <v>701249745</v>
      </c>
      <c r="P432" s="7">
        <v>601249745</v>
      </c>
      <c r="Q432" s="7">
        <v>601249745</v>
      </c>
      <c r="R432" s="7">
        <v>-501249745</v>
      </c>
      <c r="S432" s="7">
        <v>470316552.75</v>
      </c>
      <c r="T432" s="7">
        <v>100000000</v>
      </c>
      <c r="U432" s="7">
        <v>100000000</v>
      </c>
      <c r="W432" s="7">
        <v>0</v>
      </c>
      <c r="X432" s="7">
        <v>22697560.449999999</v>
      </c>
      <c r="Y432" s="7">
        <v>447618992.30000001</v>
      </c>
      <c r="Z432" s="7">
        <v>447618992.30000001</v>
      </c>
      <c r="AA432" s="7">
        <v>19853696.9016</v>
      </c>
      <c r="AB432" s="7">
        <v>656538387</v>
      </c>
      <c r="AC432" s="7">
        <v>-552835088.48559988</v>
      </c>
      <c r="AD432" s="17">
        <v>0.78367963977254063</v>
      </c>
      <c r="AE432" s="5">
        <f>SUMIFS(PGĐ!$H:$H,PGĐ!$F:$F,"="&amp;'HQ2'!B432,PGĐ!$I:$I,"="&amp;'HQ2'!A432)</f>
        <v>0</v>
      </c>
      <c r="AF432" s="17"/>
      <c r="AG432" s="7">
        <f>SUMIFS(ĐMCP!$Q:$Q,ĐMCP!$P:$P,"="&amp;'HQ2'!B432,ĐMCP!$O:$O,"="&amp;'HQ2'!A432)</f>
        <v>656538386.79266047</v>
      </c>
      <c r="AH432" s="7">
        <f t="shared" si="6"/>
        <v>-0.20733952522277832</v>
      </c>
    </row>
    <row r="433" spans="1:34" x14ac:dyDescent="0.25">
      <c r="A433" s="123" t="s">
        <v>98</v>
      </c>
      <c r="B433" s="16" t="s">
        <v>268</v>
      </c>
      <c r="C433" s="7">
        <v>342971449</v>
      </c>
      <c r="D433" s="7">
        <v>68185786</v>
      </c>
      <c r="E433" s="7">
        <v>274785663</v>
      </c>
      <c r="F433" s="7">
        <v>258490176.51999998</v>
      </c>
      <c r="G433" s="7">
        <v>478857903.99999994</v>
      </c>
      <c r="H433" s="7">
        <v>-33055159.121999994</v>
      </c>
      <c r="I433" s="7">
        <v>291545335.64199996</v>
      </c>
      <c r="J433" s="7">
        <v>4370000000</v>
      </c>
      <c r="K433" s="7">
        <v>4370000000</v>
      </c>
      <c r="M433" s="7">
        <v>0</v>
      </c>
      <c r="N433" s="7">
        <v>1234260451</v>
      </c>
      <c r="O433" s="7">
        <v>86736734864</v>
      </c>
      <c r="P433" s="7">
        <v>84988050000</v>
      </c>
      <c r="Q433" s="7">
        <v>3680000000</v>
      </c>
      <c r="R433" s="7">
        <v>-1931315136</v>
      </c>
      <c r="S433" s="7">
        <v>25904589185.299999</v>
      </c>
      <c r="T433" s="7">
        <v>92294114790</v>
      </c>
      <c r="U433" s="7">
        <v>89814400000</v>
      </c>
      <c r="V433" s="7">
        <v>3680000000</v>
      </c>
      <c r="W433" s="7">
        <v>-1200285210</v>
      </c>
      <c r="X433" s="7">
        <v>25847073611.75</v>
      </c>
      <c r="Y433" s="7">
        <v>57515573.549999237</v>
      </c>
      <c r="Z433" s="7">
        <v>1291776024.5499992</v>
      </c>
      <c r="AA433" s="7">
        <v>7754705.2955999989</v>
      </c>
      <c r="AB433" s="7">
        <v>29996250</v>
      </c>
      <c r="AC433" s="7">
        <v>-1037981644.2035993</v>
      </c>
      <c r="AD433" s="17">
        <v>4.4307895432641118</v>
      </c>
      <c r="AE433" s="5">
        <f>SUMIFS(PGĐ!$H:$H,PGĐ!$F:$F,"="&amp;'HQ2'!B433,PGĐ!$I:$I,"="&amp;'HQ2'!A433)</f>
        <v>0</v>
      </c>
      <c r="AF433" s="17"/>
      <c r="AG433" s="7">
        <f>SUMIFS(ĐMCP!$Q:$Q,ĐMCP!$P:$P,"="&amp;'HQ2'!B433,ĐMCP!$O:$O,"="&amp;'HQ2'!A433)</f>
        <v>29996249.692914009</v>
      </c>
      <c r="AH433" s="7">
        <f t="shared" si="6"/>
        <v>-0.30708599090576172</v>
      </c>
    </row>
    <row r="434" spans="1:34" x14ac:dyDescent="0.25">
      <c r="A434" s="123" t="s">
        <v>98</v>
      </c>
      <c r="B434" s="16" t="s">
        <v>269</v>
      </c>
      <c r="C434" s="7">
        <v>86363639</v>
      </c>
      <c r="E434" s="7">
        <v>86363639</v>
      </c>
      <c r="F434" s="7">
        <v>51818183.399999999</v>
      </c>
      <c r="G434" s="7">
        <v>49800000</v>
      </c>
      <c r="H434" s="7">
        <v>201818.33999999985</v>
      </c>
      <c r="I434" s="7">
        <v>51616365.060000002</v>
      </c>
      <c r="J434" s="7">
        <v>33070000</v>
      </c>
      <c r="M434" s="7">
        <v>33070000</v>
      </c>
      <c r="N434" s="7">
        <v>19842000</v>
      </c>
      <c r="Z434" s="7">
        <v>19842000</v>
      </c>
      <c r="AA434" s="7">
        <v>1554545.5019999999</v>
      </c>
      <c r="AB434" s="7">
        <v>28985702</v>
      </c>
      <c r="AC434" s="7">
        <v>1234117.5579999988</v>
      </c>
      <c r="AD434" s="17">
        <v>0.3844129662546989</v>
      </c>
      <c r="AE434" s="5">
        <f>SUMIFS(PGĐ!$H:$H,PGĐ!$F:$F,"="&amp;'HQ2'!B434,PGĐ!$I:$I,"="&amp;'HQ2'!A434)</f>
        <v>0</v>
      </c>
      <c r="AF434" s="17"/>
      <c r="AG434" s="7">
        <f>SUMIFS(ĐMCP!$Q:$Q,ĐMCP!$P:$P,"="&amp;'HQ2'!B434,ĐMCP!$O:$O,"="&amp;'HQ2'!A434)</f>
        <v>28985702.31911635</v>
      </c>
      <c r="AH434" s="7">
        <f t="shared" si="6"/>
        <v>0.31911635026335716</v>
      </c>
    </row>
    <row r="435" spans="1:34" x14ac:dyDescent="0.25">
      <c r="A435" s="123" t="s">
        <v>98</v>
      </c>
      <c r="B435" s="16" t="s">
        <v>273</v>
      </c>
      <c r="AB435" s="7">
        <v>0</v>
      </c>
      <c r="AC435" s="7">
        <v>0</v>
      </c>
      <c r="AD435" s="17"/>
      <c r="AE435" s="5">
        <f>SUMIFS(PGĐ!$H:$H,PGĐ!$F:$F,"="&amp;'HQ2'!B435,PGĐ!$I:$I,"="&amp;'HQ2'!A435)</f>
        <v>0</v>
      </c>
      <c r="AF435" s="17"/>
      <c r="AG435" s="7">
        <f>SUMIFS(ĐMCP!$Q:$Q,ĐMCP!$P:$P,"="&amp;'HQ2'!B435,ĐMCP!$O:$O,"="&amp;'HQ2'!A435)</f>
        <v>0</v>
      </c>
      <c r="AH435" s="7">
        <f t="shared" si="6"/>
        <v>0</v>
      </c>
    </row>
    <row r="436" spans="1:34" x14ac:dyDescent="0.25">
      <c r="A436" s="123" t="s">
        <v>98</v>
      </c>
      <c r="B436" s="16" t="s">
        <v>23</v>
      </c>
      <c r="AB436" s="7">
        <v>0</v>
      </c>
      <c r="AC436" s="7">
        <v>0</v>
      </c>
      <c r="AD436" s="17"/>
      <c r="AE436" s="5">
        <f>SUMIFS(PGĐ!$H:$H,PGĐ!$F:$F,"="&amp;'HQ2'!B436,PGĐ!$I:$I,"="&amp;'HQ2'!A436)</f>
        <v>0</v>
      </c>
      <c r="AF436" s="17"/>
      <c r="AG436" s="7">
        <f>SUMIFS(ĐMCP!$Q:$Q,ĐMCP!$P:$P,"="&amp;'HQ2'!B436,ĐMCP!$O:$O,"="&amp;'HQ2'!A436)</f>
        <v>0</v>
      </c>
      <c r="AH436" s="7">
        <f t="shared" si="6"/>
        <v>0</v>
      </c>
    </row>
    <row r="437" spans="1:34" x14ac:dyDescent="0.25">
      <c r="A437" s="123" t="s">
        <v>98</v>
      </c>
      <c r="B437" s="16" t="s">
        <v>272</v>
      </c>
      <c r="O437" s="7">
        <v>100000000</v>
      </c>
      <c r="R437" s="7">
        <v>100000000</v>
      </c>
      <c r="S437" s="7">
        <v>80000000</v>
      </c>
      <c r="Y437" s="7">
        <v>80000000</v>
      </c>
      <c r="Z437" s="7">
        <v>80000000</v>
      </c>
      <c r="AB437" s="7">
        <v>0</v>
      </c>
      <c r="AC437" s="7">
        <v>-80000000</v>
      </c>
      <c r="AD437" t="s">
        <v>275</v>
      </c>
      <c r="AE437" s="5">
        <f>SUMIFS(PGĐ!$H:$H,PGĐ!$F:$F,"="&amp;'HQ2'!B437,PGĐ!$I:$I,"="&amp;'HQ2'!A437)</f>
        <v>0</v>
      </c>
      <c r="AG437" s="7">
        <f>SUMIFS(ĐMCP!$Q:$Q,ĐMCP!$P:$P,"="&amp;'HQ2'!B437,ĐMCP!$O:$O,"="&amp;'HQ2'!A437)</f>
        <v>0</v>
      </c>
      <c r="AH437" s="7">
        <f t="shared" si="6"/>
        <v>0</v>
      </c>
    </row>
    <row r="438" spans="1:34" x14ac:dyDescent="0.25">
      <c r="A438" s="123" t="s">
        <v>99</v>
      </c>
      <c r="B438" s="15" t="s">
        <v>45</v>
      </c>
      <c r="C438" s="132">
        <v>1801428144</v>
      </c>
      <c r="D438" s="132">
        <v>1234172581</v>
      </c>
      <c r="E438" s="132">
        <v>567255563</v>
      </c>
      <c r="F438" s="132">
        <v>1588248970.595</v>
      </c>
      <c r="G438" s="132">
        <v>1420529026.7</v>
      </c>
      <c r="H438" s="132">
        <v>45026055.413000025</v>
      </c>
      <c r="I438" s="132">
        <v>1543222915.1819999</v>
      </c>
      <c r="J438" s="132">
        <v>9000000</v>
      </c>
      <c r="K438" s="132"/>
      <c r="L438" s="132"/>
      <c r="M438" s="132">
        <v>9000000</v>
      </c>
      <c r="N438" s="132">
        <v>7200000</v>
      </c>
      <c r="O438" s="132">
        <v>45000000</v>
      </c>
      <c r="P438" s="132"/>
      <c r="Q438" s="132">
        <v>45000000</v>
      </c>
      <c r="R438" s="132">
        <v>0</v>
      </c>
      <c r="S438" s="132">
        <v>45000000</v>
      </c>
      <c r="T438" s="132"/>
      <c r="U438" s="132"/>
      <c r="V438" s="132"/>
      <c r="W438" s="132"/>
      <c r="X438" s="132"/>
      <c r="Y438" s="132">
        <v>45000000</v>
      </c>
      <c r="Z438" s="132">
        <v>52200000</v>
      </c>
      <c r="AA438" s="132">
        <v>47647469.117849998</v>
      </c>
      <c r="AB438" s="132">
        <v>682053051</v>
      </c>
      <c r="AC438" s="132">
        <v>761322395.06414998</v>
      </c>
      <c r="AD438" s="96">
        <v>3.3825314208637054E-2</v>
      </c>
      <c r="AE438" s="5">
        <f>SUMIFS(PGĐ!$H:$H,PGĐ!$F:$F,"="&amp;'HQ2'!B438,PGĐ!$I:$I,"="&amp;'HQ2'!A438)</f>
        <v>0</v>
      </c>
      <c r="AF438" s="96"/>
      <c r="AG438" s="7">
        <f>SUMIFS(ĐMCP!$Q:$Q,ĐMCP!$P:$P,"="&amp;'HQ2'!B438,ĐMCP!$O:$O,"="&amp;'HQ2'!A438)</f>
        <v>0</v>
      </c>
      <c r="AH438" s="7">
        <f t="shared" si="6"/>
        <v>0</v>
      </c>
    </row>
    <row r="439" spans="1:34" x14ac:dyDescent="0.25">
      <c r="A439" s="123" t="s">
        <v>99</v>
      </c>
      <c r="B439" s="16" t="s">
        <v>272</v>
      </c>
      <c r="C439" s="7">
        <v>711507734</v>
      </c>
      <c r="D439" s="7">
        <v>609647774</v>
      </c>
      <c r="E439" s="7">
        <v>101859960</v>
      </c>
      <c r="F439" s="7">
        <v>651508636.69000006</v>
      </c>
      <c r="G439" s="7">
        <v>586521542.39999998</v>
      </c>
      <c r="H439" s="7">
        <v>12997418.858000018</v>
      </c>
      <c r="I439" s="7">
        <v>638511217.83200002</v>
      </c>
      <c r="J439" s="7">
        <v>9000000</v>
      </c>
      <c r="M439" s="7">
        <v>9000000</v>
      </c>
      <c r="N439" s="7">
        <v>7200000</v>
      </c>
      <c r="O439" s="7">
        <v>45000000</v>
      </c>
      <c r="Q439" s="7">
        <v>45000000</v>
      </c>
      <c r="R439" s="7">
        <v>0</v>
      </c>
      <c r="S439" s="7">
        <v>45000000</v>
      </c>
      <c r="Y439" s="7">
        <v>45000000</v>
      </c>
      <c r="Z439" s="7">
        <v>52200000</v>
      </c>
      <c r="AA439" s="7">
        <v>19545259.100700002</v>
      </c>
      <c r="AB439" s="7">
        <v>274269285</v>
      </c>
      <c r="AC439" s="7">
        <v>292496673.7313</v>
      </c>
      <c r="AD439" s="17">
        <v>8.1752674882110604E-2</v>
      </c>
      <c r="AE439" s="5">
        <f>SUMIFS(PGĐ!$H:$H,PGĐ!$F:$F,"="&amp;'HQ2'!B439,PGĐ!$I:$I,"="&amp;'HQ2'!A439)</f>
        <v>0</v>
      </c>
      <c r="AF439" s="17"/>
      <c r="AG439" s="7">
        <f>SUMIFS(ĐMCP!$Q:$Q,ĐMCP!$P:$P,"="&amp;'HQ2'!B439,ĐMCP!$O:$O,"="&amp;'HQ2'!A439)</f>
        <v>274269284.65420127</v>
      </c>
      <c r="AH439" s="7">
        <f t="shared" si="6"/>
        <v>-0.34579873085021973</v>
      </c>
    </row>
    <row r="440" spans="1:34" x14ac:dyDescent="0.25">
      <c r="A440" s="123" t="s">
        <v>99</v>
      </c>
      <c r="B440" s="16" t="s">
        <v>268</v>
      </c>
      <c r="C440" s="7">
        <v>635614428</v>
      </c>
      <c r="D440" s="7">
        <v>279568206</v>
      </c>
      <c r="E440" s="7">
        <v>356046222</v>
      </c>
      <c r="F440" s="7">
        <v>520413515.21999997</v>
      </c>
      <c r="G440" s="7">
        <v>729615575.5</v>
      </c>
      <c r="H440" s="7">
        <v>-31380309.042000003</v>
      </c>
      <c r="I440" s="7">
        <v>551793824.26199996</v>
      </c>
      <c r="AA440" s="7">
        <v>15612405.456599999</v>
      </c>
      <c r="AB440" s="7">
        <v>157146143</v>
      </c>
      <c r="AC440" s="7">
        <v>379035275.80539995</v>
      </c>
      <c r="AD440" s="17"/>
      <c r="AE440" s="5">
        <f>SUMIFS(PGĐ!$H:$H,PGĐ!$F:$F,"="&amp;'HQ2'!B440,PGĐ!$I:$I,"="&amp;'HQ2'!A440)</f>
        <v>0</v>
      </c>
      <c r="AF440" s="17"/>
      <c r="AG440" s="7">
        <f>SUMIFS(ĐMCP!$Q:$Q,ĐMCP!$P:$P,"="&amp;'HQ2'!B440,ĐMCP!$O:$O,"="&amp;'HQ2'!A440)</f>
        <v>157146142.66640192</v>
      </c>
      <c r="AH440" s="7">
        <f t="shared" si="6"/>
        <v>-0.33359807729721069</v>
      </c>
    </row>
    <row r="441" spans="1:34" x14ac:dyDescent="0.25">
      <c r="A441" s="123" t="s">
        <v>99</v>
      </c>
      <c r="B441" s="16" t="s">
        <v>271</v>
      </c>
      <c r="C441" s="7">
        <v>454305982</v>
      </c>
      <c r="D441" s="7">
        <v>344956601</v>
      </c>
      <c r="E441" s="7">
        <v>109349381</v>
      </c>
      <c r="F441" s="7">
        <v>416326818.685</v>
      </c>
      <c r="G441" s="7">
        <v>94172272.599999994</v>
      </c>
      <c r="H441" s="7">
        <v>64430909.217000008</v>
      </c>
      <c r="I441" s="7">
        <v>351895909.46799999</v>
      </c>
      <c r="AA441" s="7">
        <v>12489804.560550001</v>
      </c>
      <c r="AB441" s="7">
        <v>250637623</v>
      </c>
      <c r="AC441" s="7">
        <v>88768481.907449991</v>
      </c>
      <c r="AD441" s="17"/>
      <c r="AE441" s="5">
        <f>SUMIFS(PGĐ!$H:$H,PGĐ!$F:$F,"="&amp;'HQ2'!B441,PGĐ!$I:$I,"="&amp;'HQ2'!A441)</f>
        <v>0</v>
      </c>
      <c r="AF441" s="17"/>
      <c r="AG441" s="7">
        <f>SUMIFS(ĐMCP!$Q:$Q,ĐMCP!$P:$P,"="&amp;'HQ2'!B441,ĐMCP!$O:$O,"="&amp;'HQ2'!A441)</f>
        <v>250637622.89967462</v>
      </c>
      <c r="AH441" s="7">
        <f t="shared" si="6"/>
        <v>-0.10032537579536438</v>
      </c>
    </row>
    <row r="442" spans="1:34" x14ac:dyDescent="0.25">
      <c r="A442" s="123" t="s">
        <v>99</v>
      </c>
      <c r="B442" s="16" t="s">
        <v>270</v>
      </c>
      <c r="AB442" s="7">
        <v>0</v>
      </c>
      <c r="AC442" s="7">
        <v>0</v>
      </c>
      <c r="AD442" s="17"/>
      <c r="AE442" s="5">
        <f>SUMIFS(PGĐ!$H:$H,PGĐ!$F:$F,"="&amp;'HQ2'!B442,PGĐ!$I:$I,"="&amp;'HQ2'!A442)</f>
        <v>0</v>
      </c>
      <c r="AF442" s="17"/>
      <c r="AG442" s="7">
        <f>SUMIFS(ĐMCP!$Q:$Q,ĐMCP!$P:$P,"="&amp;'HQ2'!B442,ĐMCP!$O:$O,"="&amp;'HQ2'!A442)</f>
        <v>0</v>
      </c>
      <c r="AH442" s="7">
        <f t="shared" si="6"/>
        <v>0</v>
      </c>
    </row>
    <row r="443" spans="1:34" x14ac:dyDescent="0.25">
      <c r="A443" s="123" t="s">
        <v>99</v>
      </c>
      <c r="B443" s="16" t="s">
        <v>269</v>
      </c>
      <c r="G443" s="7">
        <v>10219636.199999999</v>
      </c>
      <c r="H443" s="7">
        <v>-1021963.62</v>
      </c>
      <c r="I443" s="7">
        <v>1021963.62</v>
      </c>
      <c r="AB443" s="7">
        <v>0</v>
      </c>
      <c r="AC443" s="7">
        <v>1021963.62</v>
      </c>
      <c r="AD443" s="17"/>
      <c r="AE443" s="5">
        <f>SUMIFS(PGĐ!$H:$H,PGĐ!$F:$F,"="&amp;'HQ2'!B443,PGĐ!$I:$I,"="&amp;'HQ2'!A443)</f>
        <v>0</v>
      </c>
      <c r="AF443" s="17"/>
      <c r="AG443" s="7">
        <f>SUMIFS(ĐMCP!$Q:$Q,ĐMCP!$P:$P,"="&amp;'HQ2'!B443,ĐMCP!$O:$O,"="&amp;'HQ2'!A443)</f>
        <v>0</v>
      </c>
      <c r="AH443" s="7">
        <f t="shared" si="6"/>
        <v>0</v>
      </c>
    </row>
    <row r="444" spans="1:34" x14ac:dyDescent="0.25">
      <c r="A444" s="123" t="s">
        <v>99</v>
      </c>
      <c r="B444" s="16" t="s">
        <v>273</v>
      </c>
      <c r="AB444" s="7">
        <v>0</v>
      </c>
      <c r="AC444" s="7">
        <v>0</v>
      </c>
      <c r="AD444" s="17"/>
      <c r="AE444" s="5">
        <f>SUMIFS(PGĐ!$H:$H,PGĐ!$F:$F,"="&amp;'HQ2'!B444,PGĐ!$I:$I,"="&amp;'HQ2'!A444)</f>
        <v>0</v>
      </c>
      <c r="AF444" s="17"/>
      <c r="AG444" s="7">
        <f>SUMIFS(ĐMCP!$Q:$Q,ĐMCP!$P:$P,"="&amp;'HQ2'!B444,ĐMCP!$O:$O,"="&amp;'HQ2'!A444)</f>
        <v>0</v>
      </c>
      <c r="AH444" s="7">
        <f t="shared" si="6"/>
        <v>0</v>
      </c>
    </row>
    <row r="445" spans="1:34" x14ac:dyDescent="0.25">
      <c r="A445" s="123" t="s">
        <v>99</v>
      </c>
      <c r="B445" s="16" t="s">
        <v>23</v>
      </c>
      <c r="AB445" s="7">
        <v>0</v>
      </c>
      <c r="AC445" s="7">
        <v>0</v>
      </c>
      <c r="AD445" s="17"/>
      <c r="AE445" s="5">
        <f>SUMIFS(PGĐ!$H:$H,PGĐ!$F:$F,"="&amp;'HQ2'!B445,PGĐ!$I:$I,"="&amp;'HQ2'!A445)</f>
        <v>0</v>
      </c>
      <c r="AF445" s="17"/>
      <c r="AG445" s="7">
        <f>SUMIFS(ĐMCP!$Q:$Q,ĐMCP!$P:$P,"="&amp;'HQ2'!B445,ĐMCP!$O:$O,"="&amp;'HQ2'!A445)</f>
        <v>0</v>
      </c>
      <c r="AH445" s="7">
        <f t="shared" si="6"/>
        <v>0</v>
      </c>
    </row>
    <row r="446" spans="1:34" x14ac:dyDescent="0.25">
      <c r="A446" s="123" t="s">
        <v>100</v>
      </c>
      <c r="B446" s="15" t="s">
        <v>45</v>
      </c>
      <c r="C446" s="132">
        <v>1731507544</v>
      </c>
      <c r="D446" s="132">
        <v>1255655360</v>
      </c>
      <c r="E446" s="132">
        <v>475852184</v>
      </c>
      <c r="F446" s="132">
        <v>1544882993.3400002</v>
      </c>
      <c r="G446" s="132">
        <v>762948550.5</v>
      </c>
      <c r="H446" s="132">
        <v>145969113.20749998</v>
      </c>
      <c r="I446" s="132">
        <v>1398913880.1325002</v>
      </c>
      <c r="J446" s="132">
        <v>82801734</v>
      </c>
      <c r="K446" s="132"/>
      <c r="L446" s="132">
        <v>82801734</v>
      </c>
      <c r="M446" s="132">
        <v>0</v>
      </c>
      <c r="N446" s="132">
        <v>82801734</v>
      </c>
      <c r="O446" s="132">
        <v>1220000000</v>
      </c>
      <c r="P446" s="132"/>
      <c r="Q446" s="132">
        <v>1220000000</v>
      </c>
      <c r="R446" s="132">
        <v>0</v>
      </c>
      <c r="S446" s="132">
        <v>1220000000</v>
      </c>
      <c r="T446" s="132"/>
      <c r="U446" s="132"/>
      <c r="V446" s="132"/>
      <c r="W446" s="132"/>
      <c r="X446" s="132"/>
      <c r="Y446" s="132">
        <v>1220000000</v>
      </c>
      <c r="Z446" s="132">
        <v>1302801734</v>
      </c>
      <c r="AA446" s="132">
        <v>46346489.8002</v>
      </c>
      <c r="AB446" s="132">
        <v>421587182</v>
      </c>
      <c r="AC446" s="132">
        <v>-371821525.66770005</v>
      </c>
      <c r="AD446" s="96">
        <v>0.93129516584437866</v>
      </c>
      <c r="AE446" s="5">
        <f>SUMIFS(PGĐ!$H:$H,PGĐ!$F:$F,"="&amp;'HQ2'!B446,PGĐ!$I:$I,"="&amp;'HQ2'!A446)</f>
        <v>0</v>
      </c>
      <c r="AF446" s="96"/>
      <c r="AG446" s="7">
        <f>SUMIFS(ĐMCP!$Q:$Q,ĐMCP!$P:$P,"="&amp;'HQ2'!B446,ĐMCP!$O:$O,"="&amp;'HQ2'!A446)</f>
        <v>0</v>
      </c>
      <c r="AH446" s="7">
        <f t="shared" si="6"/>
        <v>0</v>
      </c>
    </row>
    <row r="447" spans="1:34" x14ac:dyDescent="0.25">
      <c r="A447" s="123" t="s">
        <v>100</v>
      </c>
      <c r="B447" s="16" t="s">
        <v>272</v>
      </c>
      <c r="C447" s="7">
        <v>726847700</v>
      </c>
      <c r="D447" s="7">
        <v>621992773</v>
      </c>
      <c r="E447" s="7">
        <v>104854927</v>
      </c>
      <c r="F447" s="7">
        <v>665447184.35500002</v>
      </c>
      <c r="G447" s="7">
        <v>423930634.40000004</v>
      </c>
      <c r="H447" s="7">
        <v>48303309.990999997</v>
      </c>
      <c r="I447" s="7">
        <v>617143874.36400008</v>
      </c>
      <c r="J447" s="7">
        <v>82801734</v>
      </c>
      <c r="L447" s="7">
        <v>82801734</v>
      </c>
      <c r="M447" s="7">
        <v>0</v>
      </c>
      <c r="N447" s="7">
        <v>82801734</v>
      </c>
      <c r="O447" s="7">
        <v>1220000000</v>
      </c>
      <c r="Q447" s="7">
        <v>1220000000</v>
      </c>
      <c r="R447" s="7">
        <v>0</v>
      </c>
      <c r="S447" s="7">
        <v>1220000000</v>
      </c>
      <c r="Y447" s="7">
        <v>1220000000</v>
      </c>
      <c r="Z447" s="7">
        <v>1302801734</v>
      </c>
      <c r="AA447" s="7">
        <v>19963415.530650001</v>
      </c>
      <c r="AB447" s="7">
        <v>334445130</v>
      </c>
      <c r="AC447" s="7">
        <v>-1040066405.1666499</v>
      </c>
      <c r="AD447" s="17">
        <v>2.111017848702796</v>
      </c>
      <c r="AE447" s="5">
        <f>SUMIFS(PGĐ!$H:$H,PGĐ!$F:$F,"="&amp;'HQ2'!B447,PGĐ!$I:$I,"="&amp;'HQ2'!A447)</f>
        <v>0</v>
      </c>
      <c r="AF447" s="17"/>
      <c r="AG447" s="7">
        <f>SUMIFS(ĐMCP!$Q:$Q,ĐMCP!$P:$P,"="&amp;'HQ2'!B447,ĐMCP!$O:$O,"="&amp;'HQ2'!A447)</f>
        <v>334445129.85676718</v>
      </c>
      <c r="AH447" s="7">
        <f t="shared" si="6"/>
        <v>-0.14323282241821289</v>
      </c>
    </row>
    <row r="448" spans="1:34" x14ac:dyDescent="0.25">
      <c r="A448" s="123" t="s">
        <v>100</v>
      </c>
      <c r="B448" s="16" t="s">
        <v>271</v>
      </c>
      <c r="C448" s="7">
        <v>505974961</v>
      </c>
      <c r="D448" s="7">
        <v>448193144</v>
      </c>
      <c r="E448" s="7">
        <v>57781817</v>
      </c>
      <c r="F448" s="7">
        <v>481917518.73999995</v>
      </c>
      <c r="G448" s="7">
        <v>137657104.90000001</v>
      </c>
      <c r="H448" s="7">
        <v>68852082.767999992</v>
      </c>
      <c r="I448" s="7">
        <v>413065435.97199994</v>
      </c>
      <c r="AA448" s="7">
        <v>14457525.562199999</v>
      </c>
      <c r="AB448" s="7">
        <v>4481747</v>
      </c>
      <c r="AC448" s="7">
        <v>394126163.40979993</v>
      </c>
      <c r="AD448" s="17"/>
      <c r="AE448" s="5">
        <f>SUMIFS(PGĐ!$H:$H,PGĐ!$F:$F,"="&amp;'HQ2'!B448,PGĐ!$I:$I,"="&amp;'HQ2'!A448)</f>
        <v>0</v>
      </c>
      <c r="AF448" s="17"/>
      <c r="AG448" s="7">
        <f>SUMIFS(ĐMCP!$Q:$Q,ĐMCP!$P:$P,"="&amp;'HQ2'!B448,ĐMCP!$O:$O,"="&amp;'HQ2'!A448)</f>
        <v>4481747.02127821</v>
      </c>
      <c r="AH448" s="7">
        <f t="shared" si="6"/>
        <v>2.1278209984302521E-2</v>
      </c>
    </row>
    <row r="449" spans="1:34" x14ac:dyDescent="0.25">
      <c r="A449" s="123" t="s">
        <v>100</v>
      </c>
      <c r="B449" s="16" t="s">
        <v>268</v>
      </c>
      <c r="C449" s="7">
        <v>451888384</v>
      </c>
      <c r="D449" s="7">
        <v>138672944</v>
      </c>
      <c r="E449" s="7">
        <v>313215440</v>
      </c>
      <c r="F449" s="7">
        <v>353763563.68000001</v>
      </c>
      <c r="G449" s="7">
        <v>169804112.79999998</v>
      </c>
      <c r="H449" s="7">
        <v>27593917.632000003</v>
      </c>
      <c r="I449" s="7">
        <v>326169646.04799998</v>
      </c>
      <c r="AA449" s="7">
        <v>10612906.910399999</v>
      </c>
      <c r="AB449" s="7">
        <v>63127052</v>
      </c>
      <c r="AC449" s="7">
        <v>252429687.13759997</v>
      </c>
      <c r="AD449" s="17"/>
      <c r="AE449" s="5">
        <f>SUMIFS(PGĐ!$H:$H,PGĐ!$F:$F,"="&amp;'HQ2'!B449,PGĐ!$I:$I,"="&amp;'HQ2'!A449)</f>
        <v>0</v>
      </c>
      <c r="AF449" s="17"/>
      <c r="AG449" s="7">
        <f>SUMIFS(ĐMCP!$Q:$Q,ĐMCP!$P:$P,"="&amp;'HQ2'!B449,ĐMCP!$O:$O,"="&amp;'HQ2'!A449)</f>
        <v>63127052.06095802</v>
      </c>
      <c r="AH449" s="7">
        <f t="shared" si="6"/>
        <v>6.0958020389080048E-2</v>
      </c>
    </row>
    <row r="450" spans="1:34" x14ac:dyDescent="0.25">
      <c r="A450" s="123" t="s">
        <v>100</v>
      </c>
      <c r="B450" s="16" t="s">
        <v>270</v>
      </c>
      <c r="C450" s="7">
        <v>46796499</v>
      </c>
      <c r="D450" s="7">
        <v>46796499</v>
      </c>
      <c r="F450" s="7">
        <v>43754726.565000005</v>
      </c>
      <c r="G450" s="7">
        <v>31556698.400000002</v>
      </c>
      <c r="H450" s="7">
        <v>1219802.8165000004</v>
      </c>
      <c r="I450" s="7">
        <v>42534923.748500004</v>
      </c>
      <c r="AA450" s="7">
        <v>1312641.7969500001</v>
      </c>
      <c r="AB450" s="7">
        <v>19533253</v>
      </c>
      <c r="AC450" s="7">
        <v>21689028.951550003</v>
      </c>
      <c r="AD450" s="17"/>
      <c r="AE450" s="5">
        <f>SUMIFS(PGĐ!$H:$H,PGĐ!$F:$F,"="&amp;'HQ2'!B450,PGĐ!$I:$I,"="&amp;'HQ2'!A450)</f>
        <v>0</v>
      </c>
      <c r="AF450" s="17"/>
      <c r="AG450" s="7">
        <f>SUMIFS(ĐMCP!$Q:$Q,ĐMCP!$P:$P,"="&amp;'HQ2'!B450,ĐMCP!$O:$O,"="&amp;'HQ2'!A450)</f>
        <v>19533253.273828864</v>
      </c>
      <c r="AH450" s="7">
        <f t="shared" si="6"/>
        <v>0.27382886409759521</v>
      </c>
    </row>
    <row r="451" spans="1:34" x14ac:dyDescent="0.25">
      <c r="A451" s="123" t="s">
        <v>100</v>
      </c>
      <c r="B451" s="16" t="s">
        <v>269</v>
      </c>
      <c r="AB451" s="7">
        <v>0</v>
      </c>
      <c r="AC451" s="7">
        <v>0</v>
      </c>
      <c r="AD451" s="17"/>
      <c r="AE451" s="5">
        <f>SUMIFS(PGĐ!$H:$H,PGĐ!$F:$F,"="&amp;'HQ2'!B451,PGĐ!$I:$I,"="&amp;'HQ2'!A451)</f>
        <v>0</v>
      </c>
      <c r="AF451" s="17"/>
      <c r="AG451" s="7">
        <f>SUMIFS(ĐMCP!$Q:$Q,ĐMCP!$P:$P,"="&amp;'HQ2'!B451,ĐMCP!$O:$O,"="&amp;'HQ2'!A451)</f>
        <v>0</v>
      </c>
      <c r="AH451" s="7">
        <f t="shared" si="6"/>
        <v>0</v>
      </c>
    </row>
    <row r="452" spans="1:34" x14ac:dyDescent="0.25">
      <c r="A452" s="123" t="s">
        <v>100</v>
      </c>
      <c r="B452" s="16" t="s">
        <v>273</v>
      </c>
      <c r="AB452" s="7">
        <v>0</v>
      </c>
      <c r="AC452" s="7">
        <v>0</v>
      </c>
      <c r="AD452" s="17"/>
      <c r="AE452" s="5">
        <f>SUMIFS(PGĐ!$H:$H,PGĐ!$F:$F,"="&amp;'HQ2'!B452,PGĐ!$I:$I,"="&amp;'HQ2'!A452)</f>
        <v>0</v>
      </c>
      <c r="AF452" s="17"/>
      <c r="AG452" s="7">
        <f>SUMIFS(ĐMCP!$Q:$Q,ĐMCP!$P:$P,"="&amp;'HQ2'!B452,ĐMCP!$O:$O,"="&amp;'HQ2'!A452)</f>
        <v>0</v>
      </c>
      <c r="AH452" s="7">
        <f t="shared" ref="AH452:AH515" si="7">IF(AG452=0,0,AG452-AB452)</f>
        <v>0</v>
      </c>
    </row>
    <row r="453" spans="1:34" x14ac:dyDescent="0.25">
      <c r="A453" s="123" t="s">
        <v>100</v>
      </c>
      <c r="B453" s="16" t="s">
        <v>23</v>
      </c>
      <c r="AB453" s="7">
        <v>0</v>
      </c>
      <c r="AC453" s="7">
        <v>0</v>
      </c>
      <c r="AD453" s="17"/>
      <c r="AE453" s="5">
        <f>SUMIFS(PGĐ!$H:$H,PGĐ!$F:$F,"="&amp;'HQ2'!B453,PGĐ!$I:$I,"="&amp;'HQ2'!A453)</f>
        <v>0</v>
      </c>
      <c r="AF453" s="17"/>
      <c r="AG453" s="7">
        <f>SUMIFS(ĐMCP!$Q:$Q,ĐMCP!$P:$P,"="&amp;'HQ2'!B453,ĐMCP!$O:$O,"="&amp;'HQ2'!A453)</f>
        <v>0</v>
      </c>
      <c r="AH453" s="7">
        <f t="shared" si="7"/>
        <v>0</v>
      </c>
    </row>
    <row r="454" spans="1:34" x14ac:dyDescent="0.25">
      <c r="A454" s="123" t="s">
        <v>101</v>
      </c>
      <c r="B454" s="15" t="s">
        <v>45</v>
      </c>
      <c r="C454" s="132">
        <v>1831919698</v>
      </c>
      <c r="D454" s="132">
        <v>746861093</v>
      </c>
      <c r="E454" s="132">
        <v>1085058605</v>
      </c>
      <c r="F454" s="132">
        <v>1505520629.5549998</v>
      </c>
      <c r="G454" s="132">
        <v>2034122039.8999999</v>
      </c>
      <c r="H454" s="132">
        <v>-65079853.052999981</v>
      </c>
      <c r="I454" s="132">
        <v>1570600482.6079998</v>
      </c>
      <c r="J454" s="132">
        <v>1944384337</v>
      </c>
      <c r="K454" s="132">
        <v>900000000</v>
      </c>
      <c r="L454" s="132">
        <v>10811854</v>
      </c>
      <c r="M454" s="132">
        <v>1033572483</v>
      </c>
      <c r="N454" s="132">
        <v>1339406573.8</v>
      </c>
      <c r="O454" s="132">
        <v>5755049604</v>
      </c>
      <c r="P454" s="132">
        <v>3747847790</v>
      </c>
      <c r="Q454" s="132">
        <v>3829900790</v>
      </c>
      <c r="R454" s="132">
        <v>-1822698976</v>
      </c>
      <c r="S454" s="132">
        <v>5057577242.6800003</v>
      </c>
      <c r="T454" s="132">
        <v>5313081496</v>
      </c>
      <c r="U454" s="132">
        <v>3580000000</v>
      </c>
      <c r="V454" s="132">
        <v>3619453000</v>
      </c>
      <c r="W454" s="132">
        <v>-1886371504</v>
      </c>
      <c r="X454" s="132">
        <v>4717055152.6900005</v>
      </c>
      <c r="Y454" s="132">
        <v>340522089.98999977</v>
      </c>
      <c r="Z454" s="132">
        <v>1679928663.7899997</v>
      </c>
      <c r="AA454" s="132">
        <v>45165618.886649996</v>
      </c>
      <c r="AB454" s="132">
        <v>924244955</v>
      </c>
      <c r="AC454" s="132">
        <v>-1078738755.0686495</v>
      </c>
      <c r="AD454" s="96">
        <v>1.0696091605679754</v>
      </c>
      <c r="AE454" s="5">
        <f>SUMIFS(PGĐ!$H:$H,PGĐ!$F:$F,"="&amp;'HQ2'!B454,PGĐ!$I:$I,"="&amp;'HQ2'!A454)</f>
        <v>0</v>
      </c>
      <c r="AF454" s="96"/>
      <c r="AG454" s="7">
        <f>SUMIFS(ĐMCP!$Q:$Q,ĐMCP!$P:$P,"="&amp;'HQ2'!B454,ĐMCP!$O:$O,"="&amp;'HQ2'!A454)</f>
        <v>0</v>
      </c>
      <c r="AH454" s="7">
        <f t="shared" si="7"/>
        <v>0</v>
      </c>
    </row>
    <row r="455" spans="1:34" x14ac:dyDescent="0.25">
      <c r="A455" s="123" t="s">
        <v>101</v>
      </c>
      <c r="B455" s="16" t="s">
        <v>268</v>
      </c>
      <c r="C455" s="7">
        <v>903650240</v>
      </c>
      <c r="D455" s="7">
        <v>310235740</v>
      </c>
      <c r="E455" s="7">
        <v>593414500</v>
      </c>
      <c r="F455" s="7">
        <v>716318817.79999995</v>
      </c>
      <c r="G455" s="7">
        <v>1171833681.1999998</v>
      </c>
      <c r="H455" s="7">
        <v>-68327229.509999976</v>
      </c>
      <c r="I455" s="7">
        <v>784646047.30999994</v>
      </c>
      <c r="J455" s="7">
        <v>900000000</v>
      </c>
      <c r="K455" s="7">
        <v>900000000</v>
      </c>
      <c r="M455" s="7">
        <v>0</v>
      </c>
      <c r="N455" s="7">
        <v>525896670</v>
      </c>
      <c r="O455" s="7">
        <v>5167349286</v>
      </c>
      <c r="P455" s="7">
        <v>3747847790</v>
      </c>
      <c r="Q455" s="7">
        <v>3557847790</v>
      </c>
      <c r="R455" s="7">
        <v>-2138346294</v>
      </c>
      <c r="S455" s="7">
        <v>4571735851.8800001</v>
      </c>
      <c r="T455" s="7">
        <v>4999501496</v>
      </c>
      <c r="U455" s="7">
        <v>3580000000</v>
      </c>
      <c r="V455" s="7">
        <v>3390000000</v>
      </c>
      <c r="W455" s="7">
        <v>-1970498504</v>
      </c>
      <c r="X455" s="7">
        <v>4437125952.6900005</v>
      </c>
      <c r="Y455" s="7">
        <v>134609899.18999958</v>
      </c>
      <c r="Z455" s="7">
        <v>660506569.18999958</v>
      </c>
      <c r="AA455" s="7">
        <v>21489564.533999998</v>
      </c>
      <c r="AB455" s="7">
        <v>591657698</v>
      </c>
      <c r="AC455" s="7">
        <v>-489007784.41399962</v>
      </c>
      <c r="AD455" s="17">
        <v>0.84178920094533394</v>
      </c>
      <c r="AE455" s="5">
        <f>SUMIFS(PGĐ!$H:$H,PGĐ!$F:$F,"="&amp;'HQ2'!B455,PGĐ!$I:$I,"="&amp;'HQ2'!A455)</f>
        <v>0</v>
      </c>
      <c r="AF455" s="17"/>
      <c r="AG455" s="7">
        <f>SUMIFS(ĐMCP!$Q:$Q,ĐMCP!$P:$P,"="&amp;'HQ2'!B455,ĐMCP!$O:$O,"="&amp;'HQ2'!A455)</f>
        <v>591657697.77973008</v>
      </c>
      <c r="AH455" s="7">
        <f t="shared" si="7"/>
        <v>-0.22026991844177246</v>
      </c>
    </row>
    <row r="456" spans="1:34" x14ac:dyDescent="0.25">
      <c r="A456" s="123" t="s">
        <v>101</v>
      </c>
      <c r="B456" s="16" t="s">
        <v>270</v>
      </c>
      <c r="C456" s="7">
        <v>412530389</v>
      </c>
      <c r="D456" s="7">
        <v>56996284</v>
      </c>
      <c r="E456" s="7">
        <v>355534105</v>
      </c>
      <c r="F456" s="7">
        <v>337718809.54000002</v>
      </c>
      <c r="G456" s="7">
        <v>476587907.20000005</v>
      </c>
      <c r="H456" s="7">
        <v>-13886909.766000003</v>
      </c>
      <c r="I456" s="7">
        <v>351605719.30599999</v>
      </c>
      <c r="J456" s="7">
        <v>131611537</v>
      </c>
      <c r="L456" s="7">
        <v>10811854</v>
      </c>
      <c r="M456" s="7">
        <v>120799683</v>
      </c>
      <c r="N456" s="7">
        <v>83291663.799999997</v>
      </c>
      <c r="O456" s="7">
        <v>405700318</v>
      </c>
      <c r="Q456" s="7">
        <v>212053000</v>
      </c>
      <c r="R456" s="7">
        <v>193647318</v>
      </c>
      <c r="S456" s="7">
        <v>328241390.80000001</v>
      </c>
      <c r="T456" s="7">
        <v>313580000</v>
      </c>
      <c r="V456" s="7">
        <v>229453000</v>
      </c>
      <c r="W456" s="7">
        <v>84127000</v>
      </c>
      <c r="X456" s="7">
        <v>279929200</v>
      </c>
      <c r="Y456" s="7">
        <v>48312190.800000012</v>
      </c>
      <c r="Z456" s="7">
        <v>131603854.60000001</v>
      </c>
      <c r="AA456" s="7">
        <v>10131564.2862</v>
      </c>
      <c r="AB456" s="7">
        <v>138279291</v>
      </c>
      <c r="AC456" s="7">
        <v>71591009.419799998</v>
      </c>
      <c r="AD456" s="17">
        <v>0.37429383930318294</v>
      </c>
      <c r="AE456" s="5">
        <f>SUMIFS(PGĐ!$H:$H,PGĐ!$F:$F,"="&amp;'HQ2'!B456,PGĐ!$I:$I,"="&amp;'HQ2'!A456)</f>
        <v>0</v>
      </c>
      <c r="AF456" s="17"/>
      <c r="AG456" s="7">
        <f>SUMIFS(ĐMCP!$Q:$Q,ĐMCP!$P:$P,"="&amp;'HQ2'!B456,ĐMCP!$O:$O,"="&amp;'HQ2'!A456)</f>
        <v>138279291.23011947</v>
      </c>
      <c r="AH456" s="7">
        <f t="shared" si="7"/>
        <v>0.23011946678161621</v>
      </c>
    </row>
    <row r="457" spans="1:34" x14ac:dyDescent="0.25">
      <c r="A457" s="123" t="s">
        <v>101</v>
      </c>
      <c r="B457" s="16" t="s">
        <v>272</v>
      </c>
      <c r="C457" s="7">
        <v>343936251</v>
      </c>
      <c r="D457" s="7">
        <v>343936251</v>
      </c>
      <c r="F457" s="7">
        <v>321580394.685</v>
      </c>
      <c r="G457" s="7">
        <v>310577600</v>
      </c>
      <c r="H457" s="7">
        <v>2200558.9370000004</v>
      </c>
      <c r="I457" s="7">
        <v>319379835.74800003</v>
      </c>
      <c r="J457" s="7">
        <v>912772800</v>
      </c>
      <c r="M457" s="7">
        <v>912772800</v>
      </c>
      <c r="N457" s="7">
        <v>730218240</v>
      </c>
      <c r="O457" s="7">
        <v>182000000</v>
      </c>
      <c r="Q457" s="7">
        <v>60000000</v>
      </c>
      <c r="R457" s="7">
        <v>122000000</v>
      </c>
      <c r="S457" s="7">
        <v>157600000</v>
      </c>
      <c r="Y457" s="7">
        <v>157600000</v>
      </c>
      <c r="Z457" s="7">
        <v>887818240</v>
      </c>
      <c r="AA457" s="7">
        <v>9647411.8405499998</v>
      </c>
      <c r="AB457" s="7">
        <v>124461143</v>
      </c>
      <c r="AC457" s="7">
        <v>-702546959.09254992</v>
      </c>
      <c r="AD457" s="17">
        <v>2.7798193267921723</v>
      </c>
      <c r="AE457" s="5">
        <f>SUMIFS(PGĐ!$H:$H,PGĐ!$F:$F,"="&amp;'HQ2'!B457,PGĐ!$I:$I,"="&amp;'HQ2'!A457)</f>
        <v>0</v>
      </c>
      <c r="AF457" s="17"/>
      <c r="AG457" s="7">
        <f>SUMIFS(ĐMCP!$Q:$Q,ĐMCP!$P:$P,"="&amp;'HQ2'!B457,ĐMCP!$O:$O,"="&amp;'HQ2'!A457)</f>
        <v>124461142.81678958</v>
      </c>
      <c r="AH457" s="7">
        <f t="shared" si="7"/>
        <v>-0.18321041762828827</v>
      </c>
    </row>
    <row r="458" spans="1:34" x14ac:dyDescent="0.25">
      <c r="A458" s="123" t="s">
        <v>101</v>
      </c>
      <c r="B458" s="16" t="s">
        <v>271</v>
      </c>
      <c r="C458" s="7">
        <v>166484636</v>
      </c>
      <c r="D458" s="7">
        <v>35692818</v>
      </c>
      <c r="E458" s="7">
        <v>130791818</v>
      </c>
      <c r="F458" s="7">
        <v>126711698.32999998</v>
      </c>
      <c r="G458" s="7">
        <v>32154181.499999996</v>
      </c>
      <c r="H458" s="7">
        <v>18911503.365999997</v>
      </c>
      <c r="I458" s="7">
        <v>107800194.96399999</v>
      </c>
      <c r="AA458" s="7">
        <v>3801350.9498999994</v>
      </c>
      <c r="AB458" s="7">
        <v>63760523</v>
      </c>
      <c r="AC458" s="7">
        <v>40238321.014099985</v>
      </c>
      <c r="AD458" s="17"/>
      <c r="AE458" s="5">
        <f>SUMIFS(PGĐ!$H:$H,PGĐ!$F:$F,"="&amp;'HQ2'!B458,PGĐ!$I:$I,"="&amp;'HQ2'!A458)</f>
        <v>0</v>
      </c>
      <c r="AF458" s="17"/>
      <c r="AG458" s="7">
        <f>SUMIFS(ĐMCP!$Q:$Q,ĐMCP!$P:$P,"="&amp;'HQ2'!B458,ĐMCP!$O:$O,"="&amp;'HQ2'!A458)</f>
        <v>63760522.802282944</v>
      </c>
      <c r="AH458" s="7">
        <f t="shared" si="7"/>
        <v>-0.19771705567836761</v>
      </c>
    </row>
    <row r="459" spans="1:34" x14ac:dyDescent="0.25">
      <c r="A459" s="123" t="s">
        <v>101</v>
      </c>
      <c r="B459" s="16" t="s">
        <v>269</v>
      </c>
      <c r="C459" s="7">
        <v>5318182</v>
      </c>
      <c r="E459" s="7">
        <v>5318182</v>
      </c>
      <c r="F459" s="7">
        <v>3190909.1999999997</v>
      </c>
      <c r="G459" s="7">
        <v>42968670</v>
      </c>
      <c r="H459" s="7">
        <v>-3977776.08</v>
      </c>
      <c r="I459" s="7">
        <v>7168685.2799999993</v>
      </c>
      <c r="AA459" s="7">
        <v>95727.275999999983</v>
      </c>
      <c r="AB459" s="7">
        <v>6086300</v>
      </c>
      <c r="AC459" s="7">
        <v>986658.00399999938</v>
      </c>
      <c r="AD459" s="17"/>
      <c r="AE459" s="5">
        <f>SUMIFS(PGĐ!$H:$H,PGĐ!$F:$F,"="&amp;'HQ2'!B459,PGĐ!$I:$I,"="&amp;'HQ2'!A459)</f>
        <v>0</v>
      </c>
      <c r="AF459" s="17"/>
      <c r="AG459" s="7">
        <f>SUMIFS(ĐMCP!$Q:$Q,ĐMCP!$P:$P,"="&amp;'HQ2'!B459,ĐMCP!$O:$O,"="&amp;'HQ2'!A459)</f>
        <v>6086300.299251155</v>
      </c>
      <c r="AH459" s="7">
        <f t="shared" si="7"/>
        <v>0.29925115499645472</v>
      </c>
    </row>
    <row r="460" spans="1:34" x14ac:dyDescent="0.25">
      <c r="A460" s="123" t="s">
        <v>101</v>
      </c>
      <c r="B460" s="16" t="s">
        <v>273</v>
      </c>
      <c r="AB460" s="7">
        <v>0</v>
      </c>
      <c r="AC460" s="7">
        <v>0</v>
      </c>
      <c r="AD460" s="17"/>
      <c r="AE460" s="5">
        <f>SUMIFS(PGĐ!$H:$H,PGĐ!$F:$F,"="&amp;'HQ2'!B460,PGĐ!$I:$I,"="&amp;'HQ2'!A460)</f>
        <v>0</v>
      </c>
      <c r="AF460" s="17"/>
      <c r="AG460" s="7">
        <f>SUMIFS(ĐMCP!$Q:$Q,ĐMCP!$P:$P,"="&amp;'HQ2'!B460,ĐMCP!$O:$O,"="&amp;'HQ2'!A460)</f>
        <v>0</v>
      </c>
      <c r="AH460" s="7">
        <f t="shared" si="7"/>
        <v>0</v>
      </c>
    </row>
    <row r="461" spans="1:34" x14ac:dyDescent="0.25">
      <c r="A461" s="123" t="s">
        <v>101</v>
      </c>
      <c r="B461" s="16" t="s">
        <v>23</v>
      </c>
      <c r="AB461" s="7">
        <v>0</v>
      </c>
      <c r="AC461" s="7">
        <v>0</v>
      </c>
      <c r="AD461" s="17"/>
      <c r="AE461" s="5">
        <f>SUMIFS(PGĐ!$H:$H,PGĐ!$F:$F,"="&amp;'HQ2'!B461,PGĐ!$I:$I,"="&amp;'HQ2'!A461)</f>
        <v>0</v>
      </c>
      <c r="AF461" s="17"/>
      <c r="AG461" s="7">
        <f>SUMIFS(ĐMCP!$Q:$Q,ĐMCP!$P:$P,"="&amp;'HQ2'!B461,ĐMCP!$O:$O,"="&amp;'HQ2'!A461)</f>
        <v>0</v>
      </c>
      <c r="AH461" s="7">
        <f t="shared" si="7"/>
        <v>0</v>
      </c>
    </row>
    <row r="462" spans="1:34" x14ac:dyDescent="0.25">
      <c r="A462" s="123" t="s">
        <v>102</v>
      </c>
      <c r="B462" s="15" t="s">
        <v>45</v>
      </c>
      <c r="C462" s="132">
        <v>1704118460</v>
      </c>
      <c r="D462" s="132">
        <v>1111188839</v>
      </c>
      <c r="E462" s="132">
        <v>592929621</v>
      </c>
      <c r="F462" s="132">
        <v>1461955000.2</v>
      </c>
      <c r="G462" s="132">
        <v>2710368656.6999993</v>
      </c>
      <c r="H462" s="132">
        <v>-173885169.34649998</v>
      </c>
      <c r="I462" s="132">
        <v>1635840169.5465</v>
      </c>
      <c r="J462" s="132">
        <v>89155418</v>
      </c>
      <c r="K462" s="132">
        <v>29192031</v>
      </c>
      <c r="L462" s="132"/>
      <c r="M462" s="132">
        <v>59963387</v>
      </c>
      <c r="N462" s="132">
        <v>61727025.850000001</v>
      </c>
      <c r="O462" s="132">
        <v>2955489678</v>
      </c>
      <c r="P462" s="132">
        <v>1780280000</v>
      </c>
      <c r="Q462" s="132"/>
      <c r="R462" s="132">
        <v>1175209678</v>
      </c>
      <c r="S462" s="132">
        <v>1041457131.0700001</v>
      </c>
      <c r="T462" s="132">
        <v>2995489678</v>
      </c>
      <c r="U462" s="132">
        <v>1860280000</v>
      </c>
      <c r="V462" s="132">
        <v>80000000</v>
      </c>
      <c r="W462" s="132">
        <v>1055209678</v>
      </c>
      <c r="X462" s="132">
        <v>1104191168.4400001</v>
      </c>
      <c r="Y462" s="132">
        <v>-62734037.370000005</v>
      </c>
      <c r="Z462" s="132">
        <v>-1007011.5200000033</v>
      </c>
      <c r="AA462" s="132">
        <v>43858650.005999997</v>
      </c>
      <c r="AB462" s="132">
        <v>780986721</v>
      </c>
      <c r="AC462" s="132">
        <v>812001810.06050003</v>
      </c>
      <c r="AD462" s="96">
        <v>-6.1559285481978027E-4</v>
      </c>
      <c r="AE462" s="5">
        <f>SUMIFS(PGĐ!$H:$H,PGĐ!$F:$F,"="&amp;'HQ2'!B462,PGĐ!$I:$I,"="&amp;'HQ2'!A462)</f>
        <v>0</v>
      </c>
      <c r="AF462" s="96"/>
      <c r="AG462" s="7">
        <f>SUMIFS(ĐMCP!$Q:$Q,ĐMCP!$P:$P,"="&amp;'HQ2'!B462,ĐMCP!$O:$O,"="&amp;'HQ2'!A462)</f>
        <v>0</v>
      </c>
      <c r="AH462" s="7">
        <f t="shared" si="7"/>
        <v>0</v>
      </c>
    </row>
    <row r="463" spans="1:34" x14ac:dyDescent="0.25">
      <c r="A463" s="123" t="s">
        <v>102</v>
      </c>
      <c r="B463" s="16" t="s">
        <v>270</v>
      </c>
      <c r="C463" s="7">
        <v>856590238</v>
      </c>
      <c r="D463" s="7">
        <v>856590238</v>
      </c>
      <c r="F463" s="7">
        <v>800911872.53000009</v>
      </c>
      <c r="G463" s="7">
        <v>1141967211.2</v>
      </c>
      <c r="H463" s="7">
        <v>-34105533.866999999</v>
      </c>
      <c r="I463" s="7">
        <v>835017406.39700007</v>
      </c>
      <c r="J463" s="7">
        <v>12307460</v>
      </c>
      <c r="M463" s="7">
        <v>12307460</v>
      </c>
      <c r="N463" s="7">
        <v>7384476</v>
      </c>
      <c r="Z463" s="7">
        <v>7384476</v>
      </c>
      <c r="AA463" s="7">
        <v>24027356.175900001</v>
      </c>
      <c r="AB463" s="7">
        <v>285963735</v>
      </c>
      <c r="AC463" s="7">
        <v>517641839.22110009</v>
      </c>
      <c r="AD463" s="17">
        <v>8.843499480882833E-3</v>
      </c>
      <c r="AE463" s="5">
        <f>SUMIFS(PGĐ!$H:$H,PGĐ!$F:$F,"="&amp;'HQ2'!B463,PGĐ!$I:$I,"="&amp;'HQ2'!A463)</f>
        <v>6505000</v>
      </c>
      <c r="AF463" s="17"/>
      <c r="AG463" s="7">
        <f>SUMIFS(ĐMCP!$Q:$Q,ĐMCP!$P:$P,"="&amp;'HQ2'!B463,ĐMCP!$O:$O,"="&amp;'HQ2'!A463)</f>
        <v>285963734.81557882</v>
      </c>
      <c r="AH463" s="7">
        <f t="shared" si="7"/>
        <v>-0.18442118167877197</v>
      </c>
    </row>
    <row r="464" spans="1:34" x14ac:dyDescent="0.25">
      <c r="A464" s="123" t="s">
        <v>102</v>
      </c>
      <c r="B464" s="16" t="s">
        <v>268</v>
      </c>
      <c r="C464" s="7">
        <v>774078222</v>
      </c>
      <c r="D464" s="7">
        <v>181148601</v>
      </c>
      <c r="E464" s="7">
        <v>592929621</v>
      </c>
      <c r="F464" s="7">
        <v>590764877.66999996</v>
      </c>
      <c r="G464" s="7">
        <v>1393090318.1999998</v>
      </c>
      <c r="H464" s="7">
        <v>-120348816.07949997</v>
      </c>
      <c r="I464" s="7">
        <v>711113693.74949992</v>
      </c>
      <c r="J464" s="7">
        <v>76847958</v>
      </c>
      <c r="K464" s="7">
        <v>29192031</v>
      </c>
      <c r="M464" s="7">
        <v>47655927</v>
      </c>
      <c r="N464" s="7">
        <v>54342549.850000001</v>
      </c>
      <c r="O464" s="7">
        <v>1985342323</v>
      </c>
      <c r="P464" s="7">
        <v>1780280000</v>
      </c>
      <c r="R464" s="7">
        <v>205062323</v>
      </c>
      <c r="S464" s="7">
        <v>459368718.07000005</v>
      </c>
      <c r="T464" s="7">
        <v>2065342323</v>
      </c>
      <c r="U464" s="7">
        <v>1860280000</v>
      </c>
      <c r="V464" s="7">
        <v>80000000</v>
      </c>
      <c r="W464" s="7">
        <v>125062323</v>
      </c>
      <c r="X464" s="7">
        <v>546102755.44000006</v>
      </c>
      <c r="Y464" s="7">
        <v>-86734037.370000005</v>
      </c>
      <c r="Z464" s="7">
        <v>-32391487.520000003</v>
      </c>
      <c r="AA464" s="7">
        <v>17722946.3301</v>
      </c>
      <c r="AB464" s="7">
        <v>473690549</v>
      </c>
      <c r="AC464" s="7">
        <v>252091685.9393999</v>
      </c>
      <c r="AD464" s="17">
        <v>-4.5550363893583481E-2</v>
      </c>
      <c r="AE464" s="5">
        <f>SUMIFS(PGĐ!$H:$H,PGĐ!$F:$F,"="&amp;'HQ2'!B464,PGĐ!$I:$I,"="&amp;'HQ2'!A464)</f>
        <v>76335134</v>
      </c>
      <c r="AF464" s="17"/>
      <c r="AG464" s="7">
        <f>SUMIFS(ĐMCP!$Q:$Q,ĐMCP!$P:$P,"="&amp;'HQ2'!B464,ĐMCP!$O:$O,"="&amp;'HQ2'!A464)</f>
        <v>473690548.58332026</v>
      </c>
      <c r="AH464" s="7">
        <f t="shared" si="7"/>
        <v>-0.4166797399520874</v>
      </c>
    </row>
    <row r="465" spans="1:34" x14ac:dyDescent="0.25">
      <c r="A465" s="123" t="s">
        <v>102</v>
      </c>
      <c r="B465" s="16" t="s">
        <v>272</v>
      </c>
      <c r="C465" s="7">
        <v>41400000</v>
      </c>
      <c r="D465" s="7">
        <v>41400000</v>
      </c>
      <c r="F465" s="7">
        <v>38709000</v>
      </c>
      <c r="G465" s="7">
        <v>33120000</v>
      </c>
      <c r="H465" s="7">
        <v>1117800</v>
      </c>
      <c r="I465" s="7">
        <v>37591200</v>
      </c>
      <c r="AA465" s="7">
        <v>1161270</v>
      </c>
      <c r="AB465" s="7">
        <v>14638884</v>
      </c>
      <c r="AC465" s="7">
        <v>21791046</v>
      </c>
      <c r="AD465" s="17"/>
      <c r="AE465" s="5">
        <f>SUMIFS(PGĐ!$H:$H,PGĐ!$F:$F,"="&amp;'HQ2'!B465,PGĐ!$I:$I,"="&amp;'HQ2'!A465)</f>
        <v>0</v>
      </c>
      <c r="AF465" s="17"/>
      <c r="AG465" s="7">
        <f>SUMIFS(ĐMCP!$Q:$Q,ĐMCP!$P:$P,"="&amp;'HQ2'!B465,ĐMCP!$O:$O,"="&amp;'HQ2'!A465)</f>
        <v>14638883.83598046</v>
      </c>
      <c r="AH465" s="7">
        <f t="shared" si="7"/>
        <v>-0.16401953995227814</v>
      </c>
    </row>
    <row r="466" spans="1:34" x14ac:dyDescent="0.25">
      <c r="A466" s="123" t="s">
        <v>102</v>
      </c>
      <c r="B466" s="16" t="s">
        <v>271</v>
      </c>
      <c r="C466" s="7">
        <v>32050000</v>
      </c>
      <c r="D466" s="7">
        <v>32050000</v>
      </c>
      <c r="F466" s="7">
        <v>31569250</v>
      </c>
      <c r="G466" s="7">
        <v>126433566.69999999</v>
      </c>
      <c r="H466" s="7">
        <v>-18972863.34</v>
      </c>
      <c r="I466" s="7">
        <v>50542113.340000004</v>
      </c>
      <c r="O466" s="7">
        <v>970147355</v>
      </c>
      <c r="R466" s="7">
        <v>970147355</v>
      </c>
      <c r="S466" s="7">
        <v>582088413</v>
      </c>
      <c r="T466" s="7">
        <v>930147355</v>
      </c>
      <c r="W466" s="7">
        <v>930147355</v>
      </c>
      <c r="X466" s="7">
        <v>558088413</v>
      </c>
      <c r="Y466" s="7">
        <v>24000000</v>
      </c>
      <c r="Z466" s="7">
        <v>24000000</v>
      </c>
      <c r="AA466" s="7">
        <v>947077.5</v>
      </c>
      <c r="AB466" s="7">
        <v>6693553</v>
      </c>
      <c r="AC466" s="7">
        <v>18901482.840000004</v>
      </c>
      <c r="AD466" s="17">
        <v>0.47485153298894484</v>
      </c>
      <c r="AE466" s="5">
        <f>SUMIFS(PGĐ!$H:$H,PGĐ!$F:$F,"="&amp;'HQ2'!B466,PGĐ!$I:$I,"="&amp;'HQ2'!A466)</f>
        <v>0</v>
      </c>
      <c r="AF466" s="17"/>
      <c r="AG466" s="7">
        <f>SUMIFS(ĐMCP!$Q:$Q,ĐMCP!$P:$P,"="&amp;'HQ2'!B466,ĐMCP!$O:$O,"="&amp;'HQ2'!A466)</f>
        <v>6693553.460609368</v>
      </c>
      <c r="AH466" s="7">
        <f t="shared" si="7"/>
        <v>0.4606093680486083</v>
      </c>
    </row>
    <row r="467" spans="1:34" x14ac:dyDescent="0.25">
      <c r="A467" s="123" t="s">
        <v>102</v>
      </c>
      <c r="B467" s="16" t="s">
        <v>269</v>
      </c>
      <c r="G467" s="7">
        <v>15757560.6</v>
      </c>
      <c r="H467" s="7">
        <v>-1575756.06</v>
      </c>
      <c r="I467" s="7">
        <v>1575756.06</v>
      </c>
      <c r="AB467" s="7">
        <v>0</v>
      </c>
      <c r="AC467" s="7">
        <v>1575756.06</v>
      </c>
      <c r="AD467" s="17"/>
      <c r="AE467" s="5">
        <f>SUMIFS(PGĐ!$H:$H,PGĐ!$F:$F,"="&amp;'HQ2'!B467,PGĐ!$I:$I,"="&amp;'HQ2'!A467)</f>
        <v>0</v>
      </c>
      <c r="AF467" s="17"/>
      <c r="AG467" s="7">
        <f>SUMIFS(ĐMCP!$Q:$Q,ĐMCP!$P:$P,"="&amp;'HQ2'!B467,ĐMCP!$O:$O,"="&amp;'HQ2'!A467)</f>
        <v>0</v>
      </c>
      <c r="AH467" s="7">
        <f t="shared" si="7"/>
        <v>0</v>
      </c>
    </row>
    <row r="468" spans="1:34" x14ac:dyDescent="0.25">
      <c r="A468" s="123" t="s">
        <v>102</v>
      </c>
      <c r="B468" s="16" t="s">
        <v>273</v>
      </c>
      <c r="AB468" s="7">
        <v>0</v>
      </c>
      <c r="AC468" s="7">
        <v>0</v>
      </c>
      <c r="AD468" s="17"/>
      <c r="AE468" s="5">
        <f>SUMIFS(PGĐ!$H:$H,PGĐ!$F:$F,"="&amp;'HQ2'!B468,PGĐ!$I:$I,"="&amp;'HQ2'!A468)</f>
        <v>0</v>
      </c>
      <c r="AF468" s="17"/>
      <c r="AG468" s="7">
        <f>SUMIFS(ĐMCP!$Q:$Q,ĐMCP!$P:$P,"="&amp;'HQ2'!B468,ĐMCP!$O:$O,"="&amp;'HQ2'!A468)</f>
        <v>0</v>
      </c>
      <c r="AH468" s="7">
        <f t="shared" si="7"/>
        <v>0</v>
      </c>
    </row>
    <row r="469" spans="1:34" x14ac:dyDescent="0.25">
      <c r="A469" s="123" t="s">
        <v>102</v>
      </c>
      <c r="B469" s="16" t="s">
        <v>23</v>
      </c>
      <c r="AB469" s="7">
        <v>0</v>
      </c>
      <c r="AC469" s="7">
        <v>0</v>
      </c>
      <c r="AD469" s="17"/>
      <c r="AE469" s="5">
        <f>SUMIFS(PGĐ!$H:$H,PGĐ!$F:$F,"="&amp;'HQ2'!B469,PGĐ!$I:$I,"="&amp;'HQ2'!A469)</f>
        <v>0</v>
      </c>
      <c r="AF469" s="17"/>
      <c r="AG469" s="7">
        <f>SUMIFS(ĐMCP!$Q:$Q,ĐMCP!$P:$P,"="&amp;'HQ2'!B469,ĐMCP!$O:$O,"="&amp;'HQ2'!A469)</f>
        <v>0</v>
      </c>
      <c r="AH469" s="7">
        <f t="shared" si="7"/>
        <v>0</v>
      </c>
    </row>
    <row r="470" spans="1:34" x14ac:dyDescent="0.25">
      <c r="A470" s="123" t="s">
        <v>103</v>
      </c>
      <c r="B470" s="15" t="s">
        <v>45</v>
      </c>
      <c r="C470" s="132">
        <v>1757904907</v>
      </c>
      <c r="D470" s="132">
        <v>348057490</v>
      </c>
      <c r="E470" s="132">
        <v>1409847417</v>
      </c>
      <c r="F470" s="132">
        <v>1322594927.1749997</v>
      </c>
      <c r="G470" s="132">
        <v>1971529030.1999998</v>
      </c>
      <c r="H470" s="132">
        <v>-105169974.03499998</v>
      </c>
      <c r="I470" s="132">
        <v>1427764901.2099998</v>
      </c>
      <c r="J470" s="132">
        <v>345349248</v>
      </c>
      <c r="K470" s="132"/>
      <c r="L470" s="132"/>
      <c r="M470" s="132">
        <v>345349248</v>
      </c>
      <c r="N470" s="132">
        <v>189942086.40000001</v>
      </c>
      <c r="O470" s="132">
        <v>450000000</v>
      </c>
      <c r="P470" s="132"/>
      <c r="Q470" s="132">
        <v>400000000</v>
      </c>
      <c r="R470" s="132">
        <v>50000000</v>
      </c>
      <c r="S470" s="132">
        <v>427500000</v>
      </c>
      <c r="T470" s="132">
        <v>506356250</v>
      </c>
      <c r="U470" s="132"/>
      <c r="V470" s="132"/>
      <c r="W470" s="132">
        <v>506356250</v>
      </c>
      <c r="X470" s="132">
        <v>278495937.5</v>
      </c>
      <c r="Y470" s="132">
        <v>149004062.5</v>
      </c>
      <c r="Z470" s="132">
        <v>338946148.89999998</v>
      </c>
      <c r="AA470" s="132">
        <v>39677847.815249987</v>
      </c>
      <c r="AB470" s="132">
        <v>604926028</v>
      </c>
      <c r="AC470" s="132">
        <v>444214876.4947499</v>
      </c>
      <c r="AD470" s="96">
        <v>0.23739633087544768</v>
      </c>
      <c r="AE470" s="5">
        <f>SUMIFS(PGĐ!$H:$H,PGĐ!$F:$F,"="&amp;'HQ2'!B470,PGĐ!$I:$I,"="&amp;'HQ2'!A470)</f>
        <v>0</v>
      </c>
      <c r="AF470" s="96"/>
      <c r="AG470" s="7">
        <f>SUMIFS(ĐMCP!$Q:$Q,ĐMCP!$P:$P,"="&amp;'HQ2'!B470,ĐMCP!$O:$O,"="&amp;'HQ2'!A470)</f>
        <v>0</v>
      </c>
      <c r="AH470" s="7">
        <f t="shared" si="7"/>
        <v>0</v>
      </c>
    </row>
    <row r="471" spans="1:34" x14ac:dyDescent="0.25">
      <c r="A471" s="123" t="s">
        <v>103</v>
      </c>
      <c r="B471" s="16" t="s">
        <v>268</v>
      </c>
      <c r="C471" s="7">
        <v>1403146037</v>
      </c>
      <c r="D471" s="7">
        <v>223718295</v>
      </c>
      <c r="E471" s="7">
        <v>1179427742</v>
      </c>
      <c r="F471" s="7">
        <v>1042606165.55</v>
      </c>
      <c r="G471" s="7">
        <v>1061804455.5999999</v>
      </c>
      <c r="H471" s="7">
        <v>-2879743.5074999928</v>
      </c>
      <c r="I471" s="7">
        <v>1045485909.0574999</v>
      </c>
      <c r="J471" s="7">
        <v>345349248</v>
      </c>
      <c r="M471" s="7">
        <v>345349248</v>
      </c>
      <c r="N471" s="7">
        <v>189942086.40000001</v>
      </c>
      <c r="O471" s="7">
        <v>50000000</v>
      </c>
      <c r="R471" s="7">
        <v>50000000</v>
      </c>
      <c r="S471" s="7">
        <v>27500000.000000004</v>
      </c>
      <c r="T471" s="7">
        <v>506356250</v>
      </c>
      <c r="W471" s="7">
        <v>506356250</v>
      </c>
      <c r="X471" s="7">
        <v>278495937.5</v>
      </c>
      <c r="Y471" s="7">
        <v>-250995937.5</v>
      </c>
      <c r="Z471" s="7">
        <v>-61053851.099999994</v>
      </c>
      <c r="AA471" s="7">
        <v>31278184.966499999</v>
      </c>
      <c r="AB471" s="7">
        <v>489554029</v>
      </c>
      <c r="AC471" s="7">
        <v>585707546.19099998</v>
      </c>
      <c r="AD471" s="17">
        <v>-5.8397583909131516E-2</v>
      </c>
      <c r="AE471" s="5">
        <f>SUMIFS(PGĐ!$H:$H,PGĐ!$F:$F,"="&amp;'HQ2'!B471,PGĐ!$I:$I,"="&amp;'HQ2'!A471)</f>
        <v>0</v>
      </c>
      <c r="AF471" s="17"/>
      <c r="AG471" s="7">
        <f>SUMIFS(ĐMCP!$Q:$Q,ĐMCP!$P:$P,"="&amp;'HQ2'!B471,ĐMCP!$O:$O,"="&amp;'HQ2'!A471)</f>
        <v>489554029.40114105</v>
      </c>
      <c r="AH471" s="7">
        <f t="shared" si="7"/>
        <v>0.40114104747772217</v>
      </c>
    </row>
    <row r="472" spans="1:34" x14ac:dyDescent="0.25">
      <c r="A472" s="123" t="s">
        <v>103</v>
      </c>
      <c r="B472" s="16" t="s">
        <v>271</v>
      </c>
      <c r="C472" s="7">
        <v>264919257</v>
      </c>
      <c r="D472" s="7">
        <v>39252000</v>
      </c>
      <c r="E472" s="7">
        <v>225667257</v>
      </c>
      <c r="F472" s="7">
        <v>196630299.89999998</v>
      </c>
      <c r="G472" s="7">
        <v>589796792.19999993</v>
      </c>
      <c r="H472" s="7">
        <v>-78633298.459999993</v>
      </c>
      <c r="I472" s="7">
        <v>275263598.35999995</v>
      </c>
      <c r="O472" s="7">
        <v>400000000</v>
      </c>
      <c r="Q472" s="7">
        <v>400000000</v>
      </c>
      <c r="R472" s="7">
        <v>0</v>
      </c>
      <c r="S472" s="7">
        <v>400000000</v>
      </c>
      <c r="Y472" s="7">
        <v>400000000</v>
      </c>
      <c r="Z472" s="7">
        <v>400000000</v>
      </c>
      <c r="AA472" s="7">
        <v>5898908.9969999995</v>
      </c>
      <c r="AB472" s="7">
        <v>88383940</v>
      </c>
      <c r="AC472" s="7">
        <v>-219019250.63700005</v>
      </c>
      <c r="AD472" s="17">
        <v>1.4531525504395433</v>
      </c>
      <c r="AE472" s="5">
        <f>SUMIFS(PGĐ!$H:$H,PGĐ!$F:$F,"="&amp;'HQ2'!B472,PGĐ!$I:$I,"="&amp;'HQ2'!A472)</f>
        <v>0</v>
      </c>
      <c r="AF472" s="17"/>
      <c r="AG472" s="7">
        <f>SUMIFS(ĐMCP!$Q:$Q,ĐMCP!$P:$P,"="&amp;'HQ2'!B472,ĐMCP!$O:$O,"="&amp;'HQ2'!A472)</f>
        <v>88383940.454164445</v>
      </c>
      <c r="AH472" s="7">
        <f t="shared" si="7"/>
        <v>0.45416444540023804</v>
      </c>
    </row>
    <row r="473" spans="1:34" x14ac:dyDescent="0.25">
      <c r="A473" s="123" t="s">
        <v>103</v>
      </c>
      <c r="B473" s="16" t="s">
        <v>270</v>
      </c>
      <c r="C473" s="7">
        <v>89839613</v>
      </c>
      <c r="D473" s="7">
        <v>85087195</v>
      </c>
      <c r="E473" s="7">
        <v>4752418</v>
      </c>
      <c r="F473" s="7">
        <v>83358461.725000009</v>
      </c>
      <c r="G473" s="7">
        <v>19927782.400000002</v>
      </c>
      <c r="H473" s="7">
        <v>6343067.932500001</v>
      </c>
      <c r="I473" s="7">
        <v>77015393.792500004</v>
      </c>
      <c r="AA473" s="7">
        <v>2500753.8517500004</v>
      </c>
      <c r="AB473" s="7">
        <v>26988059</v>
      </c>
      <c r="AC473" s="7">
        <v>47526580.940750003</v>
      </c>
      <c r="AD473" s="17"/>
      <c r="AE473" s="5">
        <f>SUMIFS(PGĐ!$H:$H,PGĐ!$F:$F,"="&amp;'HQ2'!B473,PGĐ!$I:$I,"="&amp;'HQ2'!A473)</f>
        <v>0</v>
      </c>
      <c r="AF473" s="17"/>
      <c r="AG473" s="7">
        <f>SUMIFS(ĐMCP!$Q:$Q,ĐMCP!$P:$P,"="&amp;'HQ2'!B473,ĐMCP!$O:$O,"="&amp;'HQ2'!A473)</f>
        <v>26988058.502065606</v>
      </c>
      <c r="AH473" s="7">
        <f t="shared" si="7"/>
        <v>-0.49793439358472824</v>
      </c>
    </row>
    <row r="474" spans="1:34" x14ac:dyDescent="0.25">
      <c r="A474" s="123" t="s">
        <v>103</v>
      </c>
      <c r="B474" s="16" t="s">
        <v>269</v>
      </c>
      <c r="G474" s="7">
        <v>300000000</v>
      </c>
      <c r="H474" s="7">
        <v>-30000000</v>
      </c>
      <c r="I474" s="7">
        <v>30000000</v>
      </c>
      <c r="AB474" s="7">
        <v>0</v>
      </c>
      <c r="AC474" s="7">
        <v>30000000</v>
      </c>
      <c r="AD474" s="17"/>
      <c r="AE474" s="5">
        <f>SUMIFS(PGĐ!$H:$H,PGĐ!$F:$F,"="&amp;'HQ2'!B474,PGĐ!$I:$I,"="&amp;'HQ2'!A474)</f>
        <v>0</v>
      </c>
      <c r="AF474" s="17"/>
      <c r="AG474" s="7">
        <f>SUMIFS(ĐMCP!$Q:$Q,ĐMCP!$P:$P,"="&amp;'HQ2'!B474,ĐMCP!$O:$O,"="&amp;'HQ2'!A474)</f>
        <v>0</v>
      </c>
      <c r="AH474" s="7">
        <f t="shared" si="7"/>
        <v>0</v>
      </c>
    </row>
    <row r="475" spans="1:34" x14ac:dyDescent="0.25">
      <c r="A475" s="123" t="s">
        <v>103</v>
      </c>
      <c r="B475" s="16" t="s">
        <v>273</v>
      </c>
      <c r="AB475" s="7">
        <v>0</v>
      </c>
      <c r="AC475" s="7">
        <v>0</v>
      </c>
      <c r="AD475" s="17"/>
      <c r="AE475" s="5">
        <f>SUMIFS(PGĐ!$H:$H,PGĐ!$F:$F,"="&amp;'HQ2'!B475,PGĐ!$I:$I,"="&amp;'HQ2'!A475)</f>
        <v>0</v>
      </c>
      <c r="AF475" s="17"/>
      <c r="AG475" s="7">
        <f>SUMIFS(ĐMCP!$Q:$Q,ĐMCP!$P:$P,"="&amp;'HQ2'!B475,ĐMCP!$O:$O,"="&amp;'HQ2'!A475)</f>
        <v>0</v>
      </c>
      <c r="AH475" s="7">
        <f t="shared" si="7"/>
        <v>0</v>
      </c>
    </row>
    <row r="476" spans="1:34" x14ac:dyDescent="0.25">
      <c r="A476" s="123" t="s">
        <v>103</v>
      </c>
      <c r="B476" s="16" t="s">
        <v>23</v>
      </c>
      <c r="AB476" s="7">
        <v>0</v>
      </c>
      <c r="AC476" s="7">
        <v>0</v>
      </c>
      <c r="AD476" s="17"/>
      <c r="AE476" s="5">
        <f>SUMIFS(PGĐ!$H:$H,PGĐ!$F:$F,"="&amp;'HQ2'!B476,PGĐ!$I:$I,"="&amp;'HQ2'!A476)</f>
        <v>0</v>
      </c>
      <c r="AF476" s="17"/>
      <c r="AG476" s="7">
        <f>SUMIFS(ĐMCP!$Q:$Q,ĐMCP!$P:$P,"="&amp;'HQ2'!B476,ĐMCP!$O:$O,"="&amp;'HQ2'!A476)</f>
        <v>0</v>
      </c>
      <c r="AH476" s="7">
        <f t="shared" si="7"/>
        <v>0</v>
      </c>
    </row>
    <row r="477" spans="1:34" x14ac:dyDescent="0.25">
      <c r="A477" s="123" t="s">
        <v>103</v>
      </c>
      <c r="B477" s="16" t="s">
        <v>272</v>
      </c>
      <c r="AB477" s="7">
        <v>0</v>
      </c>
      <c r="AC477" s="7">
        <v>0</v>
      </c>
      <c r="AD477" s="17"/>
      <c r="AE477" s="5">
        <f>SUMIFS(PGĐ!$H:$H,PGĐ!$F:$F,"="&amp;'HQ2'!B477,PGĐ!$I:$I,"="&amp;'HQ2'!A477)</f>
        <v>0</v>
      </c>
      <c r="AF477" s="17"/>
      <c r="AG477" s="7">
        <f>SUMIFS(ĐMCP!$Q:$Q,ĐMCP!$P:$P,"="&amp;'HQ2'!B477,ĐMCP!$O:$O,"="&amp;'HQ2'!A477)</f>
        <v>0</v>
      </c>
      <c r="AH477" s="7">
        <f t="shared" si="7"/>
        <v>0</v>
      </c>
    </row>
    <row r="478" spans="1:34" x14ac:dyDescent="0.25">
      <c r="A478" s="123" t="s">
        <v>104</v>
      </c>
      <c r="B478" s="15" t="s">
        <v>45</v>
      </c>
      <c r="C478" s="132">
        <v>1575699780</v>
      </c>
      <c r="D478" s="132">
        <v>826703278</v>
      </c>
      <c r="E478" s="132">
        <v>748996502</v>
      </c>
      <c r="F478" s="132">
        <v>1283217642.4000001</v>
      </c>
      <c r="G478" s="132">
        <v>1620240010.8999999</v>
      </c>
      <c r="H478" s="132">
        <v>-67436712.63849999</v>
      </c>
      <c r="I478" s="132">
        <v>1350654355.0385001</v>
      </c>
      <c r="J478" s="132">
        <v>853263796</v>
      </c>
      <c r="K478" s="132">
        <v>153735000</v>
      </c>
      <c r="L478" s="132"/>
      <c r="M478" s="132">
        <v>699528796</v>
      </c>
      <c r="N478" s="132">
        <v>416543077.80000001</v>
      </c>
      <c r="O478" s="132">
        <v>1971333333</v>
      </c>
      <c r="P478" s="132">
        <v>850000000</v>
      </c>
      <c r="Q478" s="132">
        <v>528333333</v>
      </c>
      <c r="R478" s="132">
        <v>593000000</v>
      </c>
      <c r="S478" s="132">
        <v>1228438227.71</v>
      </c>
      <c r="T478" s="132">
        <v>1156772382</v>
      </c>
      <c r="U478" s="132">
        <v>1063772382</v>
      </c>
      <c r="V478" s="132">
        <v>213772382</v>
      </c>
      <c r="W478" s="132">
        <v>-120772382</v>
      </c>
      <c r="X478" s="132">
        <v>525201175.81</v>
      </c>
      <c r="Y478" s="132">
        <v>703237051.9000001</v>
      </c>
      <c r="Z478" s="132">
        <v>1119780129.7</v>
      </c>
      <c r="AA478" s="132">
        <v>38496529.272</v>
      </c>
      <c r="AB478" s="132">
        <v>1198309733</v>
      </c>
      <c r="AC478" s="132">
        <v>-1005932036.9335001</v>
      </c>
      <c r="AD478" s="96">
        <v>0.82906490881457306</v>
      </c>
      <c r="AE478" s="5">
        <f>SUMIFS(PGĐ!$H:$H,PGĐ!$F:$F,"="&amp;'HQ2'!B478,PGĐ!$I:$I,"="&amp;'HQ2'!A478)</f>
        <v>0</v>
      </c>
      <c r="AF478" s="96"/>
      <c r="AG478" s="7">
        <f>SUMIFS(ĐMCP!$Q:$Q,ĐMCP!$P:$P,"="&amp;'HQ2'!B478,ĐMCP!$O:$O,"="&amp;'HQ2'!A478)</f>
        <v>0</v>
      </c>
      <c r="AH478" s="7">
        <f t="shared" si="7"/>
        <v>0</v>
      </c>
    </row>
    <row r="479" spans="1:34" x14ac:dyDescent="0.25">
      <c r="A479" s="123" t="s">
        <v>104</v>
      </c>
      <c r="B479" s="16" t="s">
        <v>271</v>
      </c>
      <c r="C479" s="7">
        <v>590862009</v>
      </c>
      <c r="D479" s="7">
        <v>463706837</v>
      </c>
      <c r="E479" s="7">
        <v>127155172</v>
      </c>
      <c r="F479" s="7">
        <v>545759854.84500003</v>
      </c>
      <c r="G479" s="7">
        <v>869524283.5999999</v>
      </c>
      <c r="H479" s="7">
        <v>-64752885.75099998</v>
      </c>
      <c r="I479" s="7">
        <v>610512740.59599996</v>
      </c>
      <c r="O479" s="7">
        <v>600000000</v>
      </c>
      <c r="P479" s="7">
        <v>400000000</v>
      </c>
      <c r="R479" s="7">
        <v>200000000</v>
      </c>
      <c r="S479" s="7">
        <v>293461126.93000001</v>
      </c>
      <c r="T479" s="7">
        <v>400000000</v>
      </c>
      <c r="U479" s="7">
        <v>400000000</v>
      </c>
      <c r="W479" s="7">
        <v>0</v>
      </c>
      <c r="X479" s="7">
        <v>143829116.25</v>
      </c>
      <c r="Y479" s="7">
        <v>149632010.68000001</v>
      </c>
      <c r="Z479" s="7">
        <v>149632010.68000001</v>
      </c>
      <c r="AA479" s="7">
        <v>16372795.64535</v>
      </c>
      <c r="AB479" s="7">
        <v>814879363</v>
      </c>
      <c r="AC479" s="7">
        <v>-370371428.72935003</v>
      </c>
      <c r="AD479" s="17">
        <v>0.24509236373007542</v>
      </c>
      <c r="AE479" s="5">
        <f>SUMIFS(PGĐ!$H:$H,PGĐ!$F:$F,"="&amp;'HQ2'!B479,PGĐ!$I:$I,"="&amp;'HQ2'!A479)</f>
        <v>153277052</v>
      </c>
      <c r="AF479" s="17"/>
      <c r="AG479" s="7">
        <f>SUMIFS(ĐMCP!$Q:$Q,ĐMCP!$P:$P,"="&amp;'HQ2'!B479,ĐMCP!$O:$O,"="&amp;'HQ2'!A479)</f>
        <v>814879363.43060195</v>
      </c>
      <c r="AH479" s="7">
        <f t="shared" si="7"/>
        <v>0.43060195446014404</v>
      </c>
    </row>
    <row r="480" spans="1:34" x14ac:dyDescent="0.25">
      <c r="A480" s="123" t="s">
        <v>104</v>
      </c>
      <c r="B480" s="16" t="s">
        <v>268</v>
      </c>
      <c r="C480" s="7">
        <v>341773362</v>
      </c>
      <c r="D480" s="7">
        <v>252385092</v>
      </c>
      <c r="E480" s="7">
        <v>89388270</v>
      </c>
      <c r="F480" s="7">
        <v>307385328.23999995</v>
      </c>
      <c r="G480" s="7">
        <v>339916986.5</v>
      </c>
      <c r="H480" s="7">
        <v>-4879748.7390000075</v>
      </c>
      <c r="I480" s="7">
        <v>312265076.97899997</v>
      </c>
      <c r="J480" s="7">
        <v>155956296</v>
      </c>
      <c r="K480" s="7">
        <v>153735000</v>
      </c>
      <c r="M480" s="7">
        <v>2221296</v>
      </c>
      <c r="N480" s="7">
        <v>67889327.799999997</v>
      </c>
      <c r="O480" s="7">
        <v>750000000</v>
      </c>
      <c r="P480" s="7">
        <v>450000000</v>
      </c>
      <c r="R480" s="7">
        <v>300000000</v>
      </c>
      <c r="S480" s="7">
        <v>360143767.77999997</v>
      </c>
      <c r="T480" s="7">
        <v>663772382</v>
      </c>
      <c r="U480" s="7">
        <v>663772382</v>
      </c>
      <c r="V480" s="7">
        <v>213772382</v>
      </c>
      <c r="W480" s="7">
        <v>-213772382</v>
      </c>
      <c r="X480" s="7">
        <v>334872059.56</v>
      </c>
      <c r="Y480" s="7">
        <v>25271708.219999969</v>
      </c>
      <c r="Z480" s="7">
        <v>93161036.019999966</v>
      </c>
      <c r="AA480" s="7">
        <v>9221559.8471999988</v>
      </c>
      <c r="AB480" s="7">
        <v>195192316</v>
      </c>
      <c r="AC480" s="7">
        <v>14690165.111799993</v>
      </c>
      <c r="AD480" s="17">
        <v>0.29833959314721931</v>
      </c>
      <c r="AE480" s="5">
        <f>SUMIFS(PGĐ!$H:$H,PGĐ!$F:$F,"="&amp;'HQ2'!B480,PGĐ!$I:$I,"="&amp;'HQ2'!A480)</f>
        <v>24000000</v>
      </c>
      <c r="AF480" s="17"/>
      <c r="AG480" s="7">
        <f>SUMIFS(ĐMCP!$Q:$Q,ĐMCP!$P:$P,"="&amp;'HQ2'!B480,ĐMCP!$O:$O,"="&amp;'HQ2'!A480)</f>
        <v>195192316.43326437</v>
      </c>
      <c r="AH480" s="7">
        <f t="shared" si="7"/>
        <v>0.43326437473297119</v>
      </c>
    </row>
    <row r="481" spans="1:34" x14ac:dyDescent="0.25">
      <c r="A481" s="123" t="s">
        <v>104</v>
      </c>
      <c r="B481" s="16" t="s">
        <v>269</v>
      </c>
      <c r="C481" s="7">
        <v>496558000</v>
      </c>
      <c r="E481" s="7">
        <v>496558000</v>
      </c>
      <c r="F481" s="7">
        <v>297934800</v>
      </c>
      <c r="G481" s="7">
        <v>316898740.80000001</v>
      </c>
      <c r="H481" s="7">
        <v>-1896394.0800000012</v>
      </c>
      <c r="I481" s="7">
        <v>299831194.07999998</v>
      </c>
      <c r="AA481" s="7">
        <v>8938044</v>
      </c>
      <c r="AB481" s="7">
        <v>136129268</v>
      </c>
      <c r="AC481" s="7">
        <v>154763882.07999998</v>
      </c>
      <c r="AD481" s="17"/>
      <c r="AE481" s="5">
        <f>SUMIFS(PGĐ!$H:$H,PGĐ!$F:$F,"="&amp;'HQ2'!B481,PGĐ!$I:$I,"="&amp;'HQ2'!A481)</f>
        <v>0</v>
      </c>
      <c r="AF481" s="17"/>
      <c r="AG481" s="7">
        <f>SUMIFS(ĐMCP!$Q:$Q,ĐMCP!$P:$P,"="&amp;'HQ2'!B481,ĐMCP!$O:$O,"="&amp;'HQ2'!A481)</f>
        <v>136129267.9763777</v>
      </c>
      <c r="AH481" s="7">
        <f t="shared" si="7"/>
        <v>-2.3622304201126099E-2</v>
      </c>
    </row>
    <row r="482" spans="1:34" x14ac:dyDescent="0.25">
      <c r="A482" s="123" t="s">
        <v>104</v>
      </c>
      <c r="B482" s="16" t="s">
        <v>272</v>
      </c>
      <c r="C482" s="7">
        <v>103300000</v>
      </c>
      <c r="D482" s="7">
        <v>103300000</v>
      </c>
      <c r="F482" s="7">
        <v>96585500</v>
      </c>
      <c r="G482" s="7">
        <v>93900000</v>
      </c>
      <c r="H482" s="7">
        <v>537100</v>
      </c>
      <c r="I482" s="7">
        <v>96048400</v>
      </c>
      <c r="O482" s="7">
        <v>528333333</v>
      </c>
      <c r="Q482" s="7">
        <v>528333333</v>
      </c>
      <c r="R482" s="7">
        <v>0</v>
      </c>
      <c r="S482" s="7">
        <v>528333333</v>
      </c>
      <c r="Y482" s="7">
        <v>528333333</v>
      </c>
      <c r="Z482" s="7">
        <v>528333333</v>
      </c>
      <c r="AA482" s="7">
        <v>2897565</v>
      </c>
      <c r="AB482" s="7">
        <v>38112207</v>
      </c>
      <c r="AC482" s="7">
        <v>-473294705</v>
      </c>
      <c r="AD482" s="17">
        <v>5.5006989496961944</v>
      </c>
      <c r="AE482" s="5">
        <f>SUMIFS(PGĐ!$H:$H,PGĐ!$F:$F,"="&amp;'HQ2'!B482,PGĐ!$I:$I,"="&amp;'HQ2'!A482)</f>
        <v>47965000</v>
      </c>
      <c r="AF482" s="17"/>
      <c r="AG482" s="7">
        <f>SUMIFS(ĐMCP!$Q:$Q,ĐMCP!$P:$P,"="&amp;'HQ2'!B482,ĐMCP!$O:$O,"="&amp;'HQ2'!A482)</f>
        <v>38112207.115704142</v>
      </c>
      <c r="AH482" s="7">
        <f t="shared" si="7"/>
        <v>0.11570414155721664</v>
      </c>
    </row>
    <row r="483" spans="1:34" x14ac:dyDescent="0.25">
      <c r="A483" s="123" t="s">
        <v>104</v>
      </c>
      <c r="B483" s="16" t="s">
        <v>270</v>
      </c>
      <c r="C483" s="7">
        <v>43206409</v>
      </c>
      <c r="D483" s="7">
        <v>7311349</v>
      </c>
      <c r="E483" s="7">
        <v>35895060</v>
      </c>
      <c r="F483" s="7">
        <v>35552159.314999998</v>
      </c>
      <c r="H483" s="7">
        <v>3555215.9314999999</v>
      </c>
      <c r="I483" s="7">
        <v>31996943.383499999</v>
      </c>
      <c r="AA483" s="7">
        <v>1066564.7794499998</v>
      </c>
      <c r="AB483" s="7">
        <v>13996579</v>
      </c>
      <c r="AC483" s="7">
        <v>16933799.604049999</v>
      </c>
      <c r="AD483" s="17"/>
      <c r="AE483" s="5">
        <f>SUMIFS(PGĐ!$H:$H,PGĐ!$F:$F,"="&amp;'HQ2'!B483,PGĐ!$I:$I,"="&amp;'HQ2'!A483)</f>
        <v>0</v>
      </c>
      <c r="AF483" s="17"/>
      <c r="AG483" s="7">
        <f>SUMIFS(ĐMCP!$Q:$Q,ĐMCP!$P:$P,"="&amp;'HQ2'!B483,ĐMCP!$O:$O,"="&amp;'HQ2'!A483)</f>
        <v>13996578.624185126</v>
      </c>
      <c r="AH483" s="7">
        <f t="shared" si="7"/>
        <v>-0.37581487372517586</v>
      </c>
    </row>
    <row r="484" spans="1:34" x14ac:dyDescent="0.25">
      <c r="A484" s="123" t="s">
        <v>104</v>
      </c>
      <c r="B484" s="16" t="s">
        <v>273</v>
      </c>
      <c r="J484" s="7">
        <v>697307500</v>
      </c>
      <c r="M484" s="7">
        <v>697307500</v>
      </c>
      <c r="N484" s="7">
        <v>348653750</v>
      </c>
      <c r="O484" s="7">
        <v>93000000</v>
      </c>
      <c r="R484" s="7">
        <v>93000000</v>
      </c>
      <c r="S484" s="7">
        <v>46500000</v>
      </c>
      <c r="T484" s="7">
        <v>93000000</v>
      </c>
      <c r="W484" s="7">
        <v>93000000</v>
      </c>
      <c r="X484" s="7">
        <v>46500000</v>
      </c>
      <c r="Y484" s="7">
        <v>0</v>
      </c>
      <c r="Z484" s="7">
        <v>348653750</v>
      </c>
      <c r="AB484" s="7">
        <v>0</v>
      </c>
      <c r="AC484" s="7">
        <v>-348653750</v>
      </c>
      <c r="AD484" t="s">
        <v>275</v>
      </c>
      <c r="AE484" s="5">
        <f>SUMIFS(PGĐ!$H:$H,PGĐ!$F:$F,"="&amp;'HQ2'!B484,PGĐ!$I:$I,"="&amp;'HQ2'!A484)</f>
        <v>0</v>
      </c>
      <c r="AG484" s="7">
        <f>SUMIFS(ĐMCP!$Q:$Q,ĐMCP!$P:$P,"="&amp;'HQ2'!B484,ĐMCP!$O:$O,"="&amp;'HQ2'!A484)</f>
        <v>0</v>
      </c>
      <c r="AH484" s="7">
        <f t="shared" si="7"/>
        <v>0</v>
      </c>
    </row>
    <row r="485" spans="1:34" x14ac:dyDescent="0.25">
      <c r="A485" s="123" t="s">
        <v>104</v>
      </c>
      <c r="B485" s="16" t="s">
        <v>23</v>
      </c>
      <c r="AB485" s="7">
        <v>0</v>
      </c>
      <c r="AC485" s="7">
        <v>0</v>
      </c>
      <c r="AD485" s="17"/>
      <c r="AE485" s="5">
        <f>SUMIFS(PGĐ!$H:$H,PGĐ!$F:$F,"="&amp;'HQ2'!B485,PGĐ!$I:$I,"="&amp;'HQ2'!A485)</f>
        <v>0</v>
      </c>
      <c r="AF485" s="17"/>
      <c r="AG485" s="7">
        <f>SUMIFS(ĐMCP!$Q:$Q,ĐMCP!$P:$P,"="&amp;'HQ2'!B485,ĐMCP!$O:$O,"="&amp;'HQ2'!A485)</f>
        <v>0</v>
      </c>
      <c r="AH485" s="7">
        <f t="shared" si="7"/>
        <v>0</v>
      </c>
    </row>
    <row r="486" spans="1:34" x14ac:dyDescent="0.25">
      <c r="A486" s="123" t="s">
        <v>105</v>
      </c>
      <c r="B486" s="15" t="s">
        <v>45</v>
      </c>
      <c r="C486" s="132">
        <v>1521416202</v>
      </c>
      <c r="D486" s="132">
        <v>803809814</v>
      </c>
      <c r="E486" s="132">
        <v>717606388</v>
      </c>
      <c r="F486" s="132">
        <v>1267705398</v>
      </c>
      <c r="G486" s="132">
        <v>1013914398.5999999</v>
      </c>
      <c r="H486" s="132">
        <v>41751648.407000005</v>
      </c>
      <c r="I486" s="132">
        <v>1225953749.5929999</v>
      </c>
      <c r="J486" s="132">
        <v>134675000</v>
      </c>
      <c r="K486" s="132"/>
      <c r="L486" s="132">
        <v>134675000</v>
      </c>
      <c r="M486" s="132">
        <v>0</v>
      </c>
      <c r="N486" s="132">
        <v>134675000</v>
      </c>
      <c r="O486" s="132">
        <v>276339978326</v>
      </c>
      <c r="P486" s="132">
        <v>275643000000</v>
      </c>
      <c r="Q486" s="132">
        <v>39000000</v>
      </c>
      <c r="R486" s="132">
        <v>657978326</v>
      </c>
      <c r="S486" s="132">
        <v>14456745983.109999</v>
      </c>
      <c r="T486" s="132">
        <v>306932978326</v>
      </c>
      <c r="U486" s="132">
        <v>306275000000</v>
      </c>
      <c r="V486" s="132"/>
      <c r="W486" s="132">
        <v>657978326</v>
      </c>
      <c r="X486" s="132">
        <v>14354137664.729998</v>
      </c>
      <c r="Y486" s="132">
        <v>102608318.38000107</v>
      </c>
      <c r="Z486" s="132">
        <v>237283318.38000107</v>
      </c>
      <c r="AA486" s="132">
        <v>38031161.939999998</v>
      </c>
      <c r="AB486" s="132">
        <v>530999793</v>
      </c>
      <c r="AC486" s="132">
        <v>419639476.27299893</v>
      </c>
      <c r="AD486" s="96">
        <v>0.19354997564857232</v>
      </c>
      <c r="AE486" s="5">
        <f>SUMIFS(PGĐ!$H:$H,PGĐ!$F:$F,"="&amp;'HQ2'!B486,PGĐ!$I:$I,"="&amp;'HQ2'!A486)</f>
        <v>0</v>
      </c>
      <c r="AF486" s="96"/>
      <c r="AG486" s="7">
        <f>SUMIFS(ĐMCP!$Q:$Q,ĐMCP!$P:$P,"="&amp;'HQ2'!B486,ĐMCP!$O:$O,"="&amp;'HQ2'!A486)</f>
        <v>0</v>
      </c>
      <c r="AH486" s="7">
        <f t="shared" si="7"/>
        <v>0</v>
      </c>
    </row>
    <row r="487" spans="1:34" x14ac:dyDescent="0.25">
      <c r="A487" s="123" t="s">
        <v>105</v>
      </c>
      <c r="B487" s="16" t="s">
        <v>272</v>
      </c>
      <c r="C487" s="7">
        <v>696299200</v>
      </c>
      <c r="D487" s="7">
        <v>696299200</v>
      </c>
      <c r="F487" s="7">
        <v>651039752</v>
      </c>
      <c r="G487" s="7">
        <v>575056560</v>
      </c>
      <c r="H487" s="7">
        <v>15196638.4</v>
      </c>
      <c r="I487" s="7">
        <v>635843113.60000002</v>
      </c>
      <c r="J487" s="7">
        <v>134675000</v>
      </c>
      <c r="L487" s="7">
        <v>134675000</v>
      </c>
      <c r="M487" s="7">
        <v>0</v>
      </c>
      <c r="N487" s="7">
        <v>134675000</v>
      </c>
      <c r="O487" s="7">
        <v>39000000</v>
      </c>
      <c r="Q487" s="7">
        <v>39000000</v>
      </c>
      <c r="R487" s="7">
        <v>0</v>
      </c>
      <c r="S487" s="7">
        <v>39000000</v>
      </c>
      <c r="Y487" s="7">
        <v>39000000</v>
      </c>
      <c r="Z487" s="7">
        <v>173675000</v>
      </c>
      <c r="AA487" s="7">
        <v>19531192.559999999</v>
      </c>
      <c r="AB487" s="7">
        <v>270912137</v>
      </c>
      <c r="AC487" s="7">
        <v>171724784.04000002</v>
      </c>
      <c r="AD487" s="17">
        <v>0.27314127696797941</v>
      </c>
      <c r="AE487" s="5">
        <f>SUMIFS(PGĐ!$H:$H,PGĐ!$F:$F,"="&amp;'HQ2'!B487,PGĐ!$I:$I,"="&amp;'HQ2'!A487)</f>
        <v>0</v>
      </c>
      <c r="AF487" s="17"/>
      <c r="AG487" s="7">
        <f>SUMIFS(ĐMCP!$Q:$Q,ĐMCP!$P:$P,"="&amp;'HQ2'!B487,ĐMCP!$O:$O,"="&amp;'HQ2'!A487)</f>
        <v>270912136.60860538</v>
      </c>
      <c r="AH487" s="7">
        <f t="shared" si="7"/>
        <v>-0.39139461517333984</v>
      </c>
    </row>
    <row r="488" spans="1:34" x14ac:dyDescent="0.25">
      <c r="A488" s="123" t="s">
        <v>105</v>
      </c>
      <c r="B488" s="16" t="s">
        <v>268</v>
      </c>
      <c r="C488" s="7">
        <v>631982505</v>
      </c>
      <c r="D488" s="7">
        <v>76647126</v>
      </c>
      <c r="E488" s="7">
        <v>555335379</v>
      </c>
      <c r="F488" s="7">
        <v>463082477.51999998</v>
      </c>
      <c r="G488" s="7">
        <v>310372663.29999995</v>
      </c>
      <c r="H488" s="7">
        <v>22906472.133000005</v>
      </c>
      <c r="I488" s="7">
        <v>440176005.38699996</v>
      </c>
      <c r="O488" s="7">
        <v>276280778326</v>
      </c>
      <c r="P488" s="7">
        <v>275643000000</v>
      </c>
      <c r="R488" s="7">
        <v>637778326</v>
      </c>
      <c r="S488" s="7">
        <v>14405625983.109999</v>
      </c>
      <c r="T488" s="7">
        <v>306912778326</v>
      </c>
      <c r="U488" s="7">
        <v>306275000000</v>
      </c>
      <c r="W488" s="7">
        <v>637778326</v>
      </c>
      <c r="X488" s="7">
        <v>14342017664.729998</v>
      </c>
      <c r="Y488" s="7">
        <v>63608318.380001068</v>
      </c>
      <c r="Z488" s="7">
        <v>63608318.380001068</v>
      </c>
      <c r="AA488" s="7">
        <v>13892474.325599998</v>
      </c>
      <c r="AB488" s="7">
        <v>194183312</v>
      </c>
      <c r="AC488" s="7">
        <v>168491900.6813989</v>
      </c>
      <c r="AD488" s="17">
        <v>0.14450655556310263</v>
      </c>
      <c r="AE488" s="5">
        <f>SUMIFS(PGĐ!$H:$H,PGĐ!$F:$F,"="&amp;'HQ2'!B488,PGĐ!$I:$I,"="&amp;'HQ2'!A488)</f>
        <v>413350682</v>
      </c>
      <c r="AF488" s="17"/>
      <c r="AG488" s="7">
        <f>SUMIFS(ĐMCP!$Q:$Q,ĐMCP!$P:$P,"="&amp;'HQ2'!B488,ĐMCP!$O:$O,"="&amp;'HQ2'!A488)</f>
        <v>194183312.03975248</v>
      </c>
      <c r="AH488" s="7">
        <f t="shared" si="7"/>
        <v>3.9752483367919922E-2</v>
      </c>
    </row>
    <row r="489" spans="1:34" x14ac:dyDescent="0.25">
      <c r="A489" s="123" t="s">
        <v>105</v>
      </c>
      <c r="B489" s="16" t="s">
        <v>270</v>
      </c>
      <c r="C489" s="7">
        <v>108616543</v>
      </c>
      <c r="D489" s="7">
        <v>6749852</v>
      </c>
      <c r="E489" s="7">
        <v>101866691</v>
      </c>
      <c r="F489" s="7">
        <v>87804464.420000017</v>
      </c>
      <c r="G489" s="7">
        <v>74093856.799999997</v>
      </c>
      <c r="H489" s="7">
        <v>1371060.762000002</v>
      </c>
      <c r="I489" s="7">
        <v>86433403.658000022</v>
      </c>
      <c r="O489" s="7">
        <v>20200000</v>
      </c>
      <c r="R489" s="7">
        <v>20200000</v>
      </c>
      <c r="S489" s="7">
        <v>12120000</v>
      </c>
      <c r="T489" s="7">
        <v>20200000</v>
      </c>
      <c r="W489" s="7">
        <v>20200000</v>
      </c>
      <c r="X489" s="7">
        <v>12120000</v>
      </c>
      <c r="Y489" s="7">
        <v>0</v>
      </c>
      <c r="Z489" s="7">
        <v>0</v>
      </c>
      <c r="AA489" s="7">
        <v>2634133.9326000004</v>
      </c>
      <c r="AB489" s="7">
        <v>33590825</v>
      </c>
      <c r="AC489" s="7">
        <v>50208444.725400023</v>
      </c>
      <c r="AD489" s="17">
        <v>0</v>
      </c>
      <c r="AE489" s="5">
        <f>SUMIFS(PGĐ!$H:$H,PGĐ!$F:$F,"="&amp;'HQ2'!B489,PGĐ!$I:$I,"="&amp;'HQ2'!A489)</f>
        <v>0</v>
      </c>
      <c r="AF489" s="17"/>
      <c r="AG489" s="7">
        <f>SUMIFS(ĐMCP!$Q:$Q,ĐMCP!$P:$P,"="&amp;'HQ2'!B489,ĐMCP!$O:$O,"="&amp;'HQ2'!A489)</f>
        <v>33590824.736189827</v>
      </c>
      <c r="AH489" s="7">
        <f t="shared" si="7"/>
        <v>-0.2638101726770401</v>
      </c>
    </row>
    <row r="490" spans="1:34" x14ac:dyDescent="0.25">
      <c r="A490" s="123" t="s">
        <v>105</v>
      </c>
      <c r="B490" s="16" t="s">
        <v>271</v>
      </c>
      <c r="C490" s="7">
        <v>81955454</v>
      </c>
      <c r="D490" s="7">
        <v>24113636</v>
      </c>
      <c r="E490" s="7">
        <v>57841818</v>
      </c>
      <c r="F490" s="7">
        <v>64241204.059999995</v>
      </c>
      <c r="G490" s="7">
        <v>52853818.5</v>
      </c>
      <c r="H490" s="7">
        <v>2277477.1119999993</v>
      </c>
      <c r="I490" s="7">
        <v>61963726.947999999</v>
      </c>
      <c r="AA490" s="7">
        <v>1927236.1217999998</v>
      </c>
      <c r="AB490" s="7">
        <v>31532589</v>
      </c>
      <c r="AC490" s="7">
        <v>28503901.826200001</v>
      </c>
      <c r="AD490" s="17"/>
      <c r="AE490" s="5">
        <f>SUMIFS(PGĐ!$H:$H,PGĐ!$F:$F,"="&amp;'HQ2'!B490,PGĐ!$I:$I,"="&amp;'HQ2'!A490)</f>
        <v>0</v>
      </c>
      <c r="AF490" s="17"/>
      <c r="AG490" s="7">
        <f>SUMIFS(ĐMCP!$Q:$Q,ĐMCP!$P:$P,"="&amp;'HQ2'!B490,ĐMCP!$O:$O,"="&amp;'HQ2'!A490)</f>
        <v>31532589.340082958</v>
      </c>
      <c r="AH490" s="7">
        <f t="shared" si="7"/>
        <v>0.34008295834064484</v>
      </c>
    </row>
    <row r="491" spans="1:34" x14ac:dyDescent="0.25">
      <c r="A491" s="123" t="s">
        <v>105</v>
      </c>
      <c r="B491" s="16" t="s">
        <v>269</v>
      </c>
      <c r="C491" s="7">
        <v>2562500</v>
      </c>
      <c r="E491" s="7">
        <v>2562500</v>
      </c>
      <c r="F491" s="7">
        <v>1537500</v>
      </c>
      <c r="G491" s="7">
        <v>1537500</v>
      </c>
      <c r="H491" s="7">
        <v>0</v>
      </c>
      <c r="I491" s="7">
        <v>1537500</v>
      </c>
      <c r="AA491" s="7">
        <v>46125</v>
      </c>
      <c r="AB491" s="7">
        <v>780930</v>
      </c>
      <c r="AC491" s="7">
        <v>710445</v>
      </c>
      <c r="AD491" s="17"/>
      <c r="AE491" s="5">
        <f>SUMIFS(PGĐ!$H:$H,PGĐ!$F:$F,"="&amp;'HQ2'!B491,PGĐ!$I:$I,"="&amp;'HQ2'!A491)</f>
        <v>0</v>
      </c>
      <c r="AF491" s="17"/>
      <c r="AG491" s="7">
        <f>SUMIFS(ĐMCP!$Q:$Q,ĐMCP!$P:$P,"="&amp;'HQ2'!B491,ĐMCP!$O:$O,"="&amp;'HQ2'!A491)</f>
        <v>780930.00867479283</v>
      </c>
      <c r="AH491" s="7">
        <f t="shared" si="7"/>
        <v>8.6747928289696574E-3</v>
      </c>
    </row>
    <row r="492" spans="1:34" x14ac:dyDescent="0.25">
      <c r="A492" s="123" t="s">
        <v>105</v>
      </c>
      <c r="B492" s="16" t="s">
        <v>273</v>
      </c>
      <c r="AB492" s="7">
        <v>0</v>
      </c>
      <c r="AC492" s="7">
        <v>0</v>
      </c>
      <c r="AD492" s="17"/>
      <c r="AE492" s="5">
        <f>SUMIFS(PGĐ!$H:$H,PGĐ!$F:$F,"="&amp;'HQ2'!B492,PGĐ!$I:$I,"="&amp;'HQ2'!A492)</f>
        <v>0</v>
      </c>
      <c r="AF492" s="17"/>
      <c r="AG492" s="7">
        <f>SUMIFS(ĐMCP!$Q:$Q,ĐMCP!$P:$P,"="&amp;'HQ2'!B492,ĐMCP!$O:$O,"="&amp;'HQ2'!A492)</f>
        <v>0</v>
      </c>
      <c r="AH492" s="7">
        <f t="shared" si="7"/>
        <v>0</v>
      </c>
    </row>
    <row r="493" spans="1:34" x14ac:dyDescent="0.25">
      <c r="A493" s="123" t="s">
        <v>105</v>
      </c>
      <c r="B493" s="16" t="s">
        <v>23</v>
      </c>
      <c r="AB493" s="7">
        <v>0</v>
      </c>
      <c r="AC493" s="7">
        <v>0</v>
      </c>
      <c r="AD493" s="17"/>
      <c r="AE493" s="5">
        <f>SUMIFS(PGĐ!$H:$H,PGĐ!$F:$F,"="&amp;'HQ2'!B493,PGĐ!$I:$I,"="&amp;'HQ2'!A493)</f>
        <v>0</v>
      </c>
      <c r="AF493" s="17"/>
      <c r="AG493" s="7">
        <f>SUMIFS(ĐMCP!$Q:$Q,ĐMCP!$P:$P,"="&amp;'HQ2'!B493,ĐMCP!$O:$O,"="&amp;'HQ2'!A493)</f>
        <v>0</v>
      </c>
      <c r="AH493" s="7">
        <f t="shared" si="7"/>
        <v>0</v>
      </c>
    </row>
    <row r="494" spans="1:34" x14ac:dyDescent="0.25">
      <c r="A494" s="123" t="s">
        <v>106</v>
      </c>
      <c r="B494" s="15" t="s">
        <v>45</v>
      </c>
      <c r="C494" s="132">
        <v>1208846158</v>
      </c>
      <c r="D494" s="132">
        <v>1035347054</v>
      </c>
      <c r="E494" s="132">
        <v>173499104</v>
      </c>
      <c r="F494" s="132">
        <v>1109131820.9299998</v>
      </c>
      <c r="G494" s="132">
        <v>1406024604.4000001</v>
      </c>
      <c r="H494" s="132">
        <v>-44670532.273500018</v>
      </c>
      <c r="I494" s="132">
        <v>1153802353.2034998</v>
      </c>
      <c r="J494" s="132">
        <v>3000000</v>
      </c>
      <c r="K494" s="132"/>
      <c r="L494" s="132">
        <v>3000000</v>
      </c>
      <c r="M494" s="132">
        <v>0</v>
      </c>
      <c r="N494" s="132">
        <v>3000000</v>
      </c>
      <c r="O494" s="132">
        <v>549877939.47000003</v>
      </c>
      <c r="P494" s="132"/>
      <c r="Q494" s="132">
        <v>233000000</v>
      </c>
      <c r="R494" s="132">
        <v>316877939.47000003</v>
      </c>
      <c r="S494" s="132">
        <v>431126763.68200004</v>
      </c>
      <c r="T494" s="132">
        <v>96804119.269999996</v>
      </c>
      <c r="U494" s="132"/>
      <c r="V494" s="132"/>
      <c r="W494" s="132">
        <v>96804119.269999996</v>
      </c>
      <c r="X494" s="132">
        <v>58082471.561999999</v>
      </c>
      <c r="Y494" s="132">
        <v>373044292.12000006</v>
      </c>
      <c r="Z494" s="132">
        <v>376044292.12000006</v>
      </c>
      <c r="AA494" s="132">
        <v>33273954.627899993</v>
      </c>
      <c r="AB494" s="132">
        <v>1833970732</v>
      </c>
      <c r="AC494" s="132">
        <v>-1089486625.5444002</v>
      </c>
      <c r="AD494" s="96">
        <v>0.32591742517765165</v>
      </c>
      <c r="AE494" s="5">
        <f>SUMIFS(PGĐ!$H:$H,PGĐ!$F:$F,"="&amp;'HQ2'!B494,PGĐ!$I:$I,"="&amp;'HQ2'!A494)</f>
        <v>0</v>
      </c>
      <c r="AF494" s="96"/>
      <c r="AG494" s="7">
        <f>SUMIFS(ĐMCP!$Q:$Q,ĐMCP!$P:$P,"="&amp;'HQ2'!B494,ĐMCP!$O:$O,"="&amp;'HQ2'!A494)</f>
        <v>0</v>
      </c>
      <c r="AH494" s="7">
        <f t="shared" si="7"/>
        <v>0</v>
      </c>
    </row>
    <row r="495" spans="1:34" x14ac:dyDescent="0.25">
      <c r="A495" s="123" t="s">
        <v>106</v>
      </c>
      <c r="B495" s="16" t="s">
        <v>272</v>
      </c>
      <c r="C495" s="7">
        <v>404028934</v>
      </c>
      <c r="D495" s="7">
        <v>393967526</v>
      </c>
      <c r="E495" s="7">
        <v>10061408</v>
      </c>
      <c r="F495" s="7">
        <v>376408763.20999998</v>
      </c>
      <c r="G495" s="7">
        <v>335002475.20000005</v>
      </c>
      <c r="H495" s="7">
        <v>8281257.6019999869</v>
      </c>
      <c r="I495" s="7">
        <v>368127505.60799998</v>
      </c>
      <c r="J495" s="7">
        <v>3000000</v>
      </c>
      <c r="L495" s="7">
        <v>3000000</v>
      </c>
      <c r="M495" s="7">
        <v>0</v>
      </c>
      <c r="N495" s="7">
        <v>3000000</v>
      </c>
      <c r="O495" s="7">
        <v>273000000</v>
      </c>
      <c r="Q495" s="7">
        <v>233000000</v>
      </c>
      <c r="R495" s="7">
        <v>40000000</v>
      </c>
      <c r="S495" s="7">
        <v>265000000</v>
      </c>
      <c r="Y495" s="7">
        <v>265000000</v>
      </c>
      <c r="Z495" s="7">
        <v>268000000</v>
      </c>
      <c r="AA495" s="7">
        <v>11292262.896299999</v>
      </c>
      <c r="AB495" s="7">
        <v>135853534</v>
      </c>
      <c r="AC495" s="7">
        <v>-47018291.288300022</v>
      </c>
      <c r="AD495" s="17">
        <v>0.72800862722107862</v>
      </c>
      <c r="AE495" s="5">
        <f>SUMIFS(PGĐ!$H:$H,PGĐ!$F:$F,"="&amp;'HQ2'!B495,PGĐ!$I:$I,"="&amp;'HQ2'!A495)</f>
        <v>1000000</v>
      </c>
      <c r="AF495" s="17"/>
      <c r="AG495" s="7">
        <f>SUMIFS(ĐMCP!$Q:$Q,ĐMCP!$P:$P,"="&amp;'HQ2'!B495,ĐMCP!$O:$O,"="&amp;'HQ2'!A495)</f>
        <v>135853533.54564765</v>
      </c>
      <c r="AH495" s="7">
        <f t="shared" si="7"/>
        <v>-0.45435234904289246</v>
      </c>
    </row>
    <row r="496" spans="1:34" x14ac:dyDescent="0.25">
      <c r="A496" s="123" t="s">
        <v>106</v>
      </c>
      <c r="B496" s="16" t="s">
        <v>270</v>
      </c>
      <c r="C496" s="7">
        <v>413154312</v>
      </c>
      <c r="D496" s="7">
        <v>336766153</v>
      </c>
      <c r="E496" s="7">
        <v>76388159</v>
      </c>
      <c r="F496" s="7">
        <v>375986880.255</v>
      </c>
      <c r="G496" s="7">
        <v>537123312</v>
      </c>
      <c r="H496" s="7">
        <v>-16113643.174500002</v>
      </c>
      <c r="I496" s="7">
        <v>392100523.42949998</v>
      </c>
      <c r="O496" s="7">
        <v>276877939.47000003</v>
      </c>
      <c r="R496" s="7">
        <v>276877939.47000003</v>
      </c>
      <c r="S496" s="7">
        <v>166126763.68200001</v>
      </c>
      <c r="T496" s="7">
        <v>96804119.269999996</v>
      </c>
      <c r="W496" s="7">
        <v>96804119.269999996</v>
      </c>
      <c r="X496" s="7">
        <v>58082471.561999999</v>
      </c>
      <c r="Y496" s="7">
        <v>108044292.12</v>
      </c>
      <c r="Z496" s="7">
        <v>108044292.12</v>
      </c>
      <c r="AA496" s="7">
        <v>11279606.407649999</v>
      </c>
      <c r="AB496" s="7">
        <v>147743515</v>
      </c>
      <c r="AC496" s="7">
        <v>125033109.90184999</v>
      </c>
      <c r="AD496" s="17">
        <v>0.27555253223074683</v>
      </c>
      <c r="AE496" s="5">
        <f>SUMIFS(PGĐ!$H:$H,PGĐ!$F:$F,"="&amp;'HQ2'!B496,PGĐ!$I:$I,"="&amp;'HQ2'!A496)</f>
        <v>49192859</v>
      </c>
      <c r="AF496" s="17"/>
      <c r="AG496" s="7">
        <f>SUMIFS(ĐMCP!$Q:$Q,ĐMCP!$P:$P,"="&amp;'HQ2'!B496,ĐMCP!$O:$O,"="&amp;'HQ2'!A496)</f>
        <v>147743514.82180125</v>
      </c>
      <c r="AH496" s="7">
        <f t="shared" si="7"/>
        <v>-0.17819875478744507</v>
      </c>
    </row>
    <row r="497" spans="1:34" x14ac:dyDescent="0.25">
      <c r="A497" s="123" t="s">
        <v>106</v>
      </c>
      <c r="B497" s="16" t="s">
        <v>268</v>
      </c>
      <c r="C497" s="7">
        <v>369894391</v>
      </c>
      <c r="D497" s="7">
        <v>282844854</v>
      </c>
      <c r="E497" s="7">
        <v>87049537</v>
      </c>
      <c r="F497" s="7">
        <v>335294184.27999997</v>
      </c>
      <c r="G497" s="7">
        <v>307181809.19999999</v>
      </c>
      <c r="H497" s="7">
        <v>4216856.2619999973</v>
      </c>
      <c r="I497" s="7">
        <v>331077328.01799995</v>
      </c>
      <c r="AA497" s="7">
        <v>10058825.528399998</v>
      </c>
      <c r="AB497" s="7">
        <v>94052452</v>
      </c>
      <c r="AC497" s="7">
        <v>226966050.48959994</v>
      </c>
      <c r="AD497" s="17"/>
      <c r="AE497" s="5">
        <f>SUMIFS(PGĐ!$H:$H,PGĐ!$F:$F,"="&amp;'HQ2'!B497,PGĐ!$I:$I,"="&amp;'HQ2'!A497)</f>
        <v>0</v>
      </c>
      <c r="AF497" s="17"/>
      <c r="AG497" s="7">
        <f>SUMIFS(ĐMCP!$Q:$Q,ĐMCP!$P:$P,"="&amp;'HQ2'!B497,ĐMCP!$O:$O,"="&amp;'HQ2'!A497)</f>
        <v>94052452.4148072</v>
      </c>
      <c r="AH497" s="7">
        <f t="shared" si="7"/>
        <v>0.41480720043182373</v>
      </c>
    </row>
    <row r="498" spans="1:34" x14ac:dyDescent="0.25">
      <c r="A498" s="123" t="s">
        <v>106</v>
      </c>
      <c r="B498" s="16" t="s">
        <v>271</v>
      </c>
      <c r="C498" s="7">
        <v>21768521</v>
      </c>
      <c r="D498" s="7">
        <v>21768521</v>
      </c>
      <c r="E498" s="7">
        <v>0</v>
      </c>
      <c r="F498" s="7">
        <v>21441993.184999999</v>
      </c>
      <c r="G498" s="7">
        <v>226717008</v>
      </c>
      <c r="H498" s="7">
        <v>-41055002.963</v>
      </c>
      <c r="I498" s="7">
        <v>62496996.148000002</v>
      </c>
      <c r="AA498" s="7">
        <v>643259.79554999992</v>
      </c>
      <c r="AB498" s="7">
        <v>1438505194</v>
      </c>
      <c r="AC498" s="7">
        <v>-1376651457.6475501</v>
      </c>
      <c r="AD498" s="17"/>
      <c r="AE498" s="5">
        <f>SUMIFS(PGĐ!$H:$H,PGĐ!$F:$F,"="&amp;'HQ2'!B498,PGĐ!$I:$I,"="&amp;'HQ2'!A498)</f>
        <v>0</v>
      </c>
      <c r="AF498" s="17"/>
      <c r="AG498" s="7">
        <f>SUMIFS(ĐMCP!$Q:$Q,ĐMCP!$P:$P,"="&amp;'HQ2'!B498,ĐMCP!$O:$O,"="&amp;'HQ2'!A498)</f>
        <v>1438505194.2035174</v>
      </c>
      <c r="AH498" s="7">
        <f t="shared" si="7"/>
        <v>0.20351743698120117</v>
      </c>
    </row>
    <row r="499" spans="1:34" x14ac:dyDescent="0.25">
      <c r="A499" s="123" t="s">
        <v>106</v>
      </c>
      <c r="B499" s="16" t="s">
        <v>269</v>
      </c>
      <c r="C499" s="7">
        <v>0</v>
      </c>
      <c r="E499" s="7">
        <v>0</v>
      </c>
      <c r="F499" s="7">
        <v>0</v>
      </c>
      <c r="H499" s="7">
        <v>0</v>
      </c>
      <c r="I499" s="7">
        <v>0</v>
      </c>
      <c r="AA499" s="7">
        <v>0</v>
      </c>
      <c r="AB499" s="7">
        <v>17816037</v>
      </c>
      <c r="AC499" s="7">
        <v>-17816037</v>
      </c>
      <c r="AD499" s="17"/>
      <c r="AE499" s="5">
        <f>SUMIFS(PGĐ!$H:$H,PGĐ!$F:$F,"="&amp;'HQ2'!B499,PGĐ!$I:$I,"="&amp;'HQ2'!A499)</f>
        <v>0</v>
      </c>
      <c r="AF499" s="17"/>
      <c r="AG499" s="7">
        <f>SUMIFS(ĐMCP!$Q:$Q,ĐMCP!$P:$P,"="&amp;'HQ2'!B499,ĐMCP!$O:$O,"="&amp;'HQ2'!A499)</f>
        <v>17816036.570959784</v>
      </c>
      <c r="AH499" s="7">
        <f t="shared" si="7"/>
        <v>-0.42904021590948105</v>
      </c>
    </row>
    <row r="500" spans="1:34" x14ac:dyDescent="0.25">
      <c r="A500" s="123" t="s">
        <v>106</v>
      </c>
      <c r="B500" s="16" t="s">
        <v>273</v>
      </c>
      <c r="AB500" s="7">
        <v>0</v>
      </c>
      <c r="AC500" s="7">
        <v>0</v>
      </c>
      <c r="AD500" s="17"/>
      <c r="AE500" s="5">
        <f>SUMIFS(PGĐ!$H:$H,PGĐ!$F:$F,"="&amp;'HQ2'!B500,PGĐ!$I:$I,"="&amp;'HQ2'!A500)</f>
        <v>0</v>
      </c>
      <c r="AF500" s="17"/>
      <c r="AG500" s="7">
        <f>SUMIFS(ĐMCP!$Q:$Q,ĐMCP!$P:$P,"="&amp;'HQ2'!B500,ĐMCP!$O:$O,"="&amp;'HQ2'!A500)</f>
        <v>0</v>
      </c>
      <c r="AH500" s="7">
        <f t="shared" si="7"/>
        <v>0</v>
      </c>
    </row>
    <row r="501" spans="1:34" x14ac:dyDescent="0.25">
      <c r="A501" s="123" t="s">
        <v>106</v>
      </c>
      <c r="B501" s="16" t="s">
        <v>23</v>
      </c>
      <c r="AB501" s="7">
        <v>0</v>
      </c>
      <c r="AC501" s="7">
        <v>0</v>
      </c>
      <c r="AD501" s="17"/>
      <c r="AE501" s="5">
        <f>SUMIFS(PGĐ!$H:$H,PGĐ!$F:$F,"="&amp;'HQ2'!B501,PGĐ!$I:$I,"="&amp;'HQ2'!A501)</f>
        <v>0</v>
      </c>
      <c r="AF501" s="17"/>
      <c r="AG501" s="7">
        <f>SUMIFS(ĐMCP!$Q:$Q,ĐMCP!$P:$P,"="&amp;'HQ2'!B501,ĐMCP!$O:$O,"="&amp;'HQ2'!A501)</f>
        <v>0</v>
      </c>
      <c r="AH501" s="7">
        <f t="shared" si="7"/>
        <v>0</v>
      </c>
    </row>
    <row r="502" spans="1:34" x14ac:dyDescent="0.25">
      <c r="A502" s="123" t="s">
        <v>107</v>
      </c>
      <c r="B502" s="15" t="s">
        <v>45</v>
      </c>
      <c r="C502" s="132">
        <v>1367718805</v>
      </c>
      <c r="D502" s="132">
        <v>449308568</v>
      </c>
      <c r="E502" s="132">
        <v>918410237</v>
      </c>
      <c r="F502" s="132">
        <v>1084108595.0350001</v>
      </c>
      <c r="G502" s="132">
        <v>2741396308.0999994</v>
      </c>
      <c r="H502" s="132">
        <v>-205022151.77349991</v>
      </c>
      <c r="I502" s="132">
        <v>1289130746.8085001</v>
      </c>
      <c r="J502" s="132">
        <v>3200000</v>
      </c>
      <c r="K502" s="132"/>
      <c r="L502" s="132"/>
      <c r="M502" s="132">
        <v>3200000</v>
      </c>
      <c r="N502" s="132">
        <v>1920000</v>
      </c>
      <c r="O502" s="132"/>
      <c r="P502" s="132"/>
      <c r="Q502" s="132"/>
      <c r="R502" s="132"/>
      <c r="S502" s="132"/>
      <c r="T502" s="132"/>
      <c r="U502" s="132"/>
      <c r="V502" s="132"/>
      <c r="W502" s="132"/>
      <c r="X502" s="132"/>
      <c r="Y502" s="132"/>
      <c r="Z502" s="132">
        <v>1920000</v>
      </c>
      <c r="AA502" s="132">
        <v>32523257.851050001</v>
      </c>
      <c r="AB502" s="132">
        <v>817415985</v>
      </c>
      <c r="AC502" s="132">
        <v>437271503.95745003</v>
      </c>
      <c r="AD502" s="96">
        <v>1.4893756934689071E-3</v>
      </c>
      <c r="AE502" s="5">
        <f>SUMIFS(PGĐ!$H:$H,PGĐ!$F:$F,"="&amp;'HQ2'!B502,PGĐ!$I:$I,"="&amp;'HQ2'!A502)</f>
        <v>0</v>
      </c>
      <c r="AF502" s="96"/>
      <c r="AG502" s="7">
        <f>SUMIFS(ĐMCP!$Q:$Q,ĐMCP!$P:$P,"="&amp;'HQ2'!B502,ĐMCP!$O:$O,"="&amp;'HQ2'!A502)</f>
        <v>0</v>
      </c>
      <c r="AH502" s="7">
        <f t="shared" si="7"/>
        <v>0</v>
      </c>
    </row>
    <row r="503" spans="1:34" x14ac:dyDescent="0.25">
      <c r="A503" s="123" t="s">
        <v>107</v>
      </c>
      <c r="B503" s="16" t="s">
        <v>271</v>
      </c>
      <c r="C503" s="7">
        <v>1189570000</v>
      </c>
      <c r="D503" s="7">
        <v>359474545</v>
      </c>
      <c r="E503" s="7">
        <v>830095455</v>
      </c>
      <c r="F503" s="7">
        <v>935149245.32500005</v>
      </c>
      <c r="G503" s="7">
        <v>7374182.1999999993</v>
      </c>
      <c r="H503" s="7">
        <v>185555012.625</v>
      </c>
      <c r="I503" s="7">
        <v>749594232.70000005</v>
      </c>
      <c r="AA503" s="7">
        <v>28054477.359749999</v>
      </c>
      <c r="AB503" s="7">
        <v>541111645</v>
      </c>
      <c r="AC503" s="7">
        <v>180428110.34025005</v>
      </c>
      <c r="AD503" s="17"/>
      <c r="AE503" s="5">
        <f>SUMIFS(PGĐ!$H:$H,PGĐ!$F:$F,"="&amp;'HQ2'!B503,PGĐ!$I:$I,"="&amp;'HQ2'!A503)</f>
        <v>0</v>
      </c>
      <c r="AF503" s="17"/>
      <c r="AG503" s="7">
        <f>SUMIFS(ĐMCP!$Q:$Q,ĐMCP!$P:$P,"="&amp;'HQ2'!B503,ĐMCP!$O:$O,"="&amp;'HQ2'!A503)</f>
        <v>541111645.46762216</v>
      </c>
      <c r="AH503" s="7">
        <f t="shared" si="7"/>
        <v>0.46762216091156006</v>
      </c>
    </row>
    <row r="504" spans="1:34" x14ac:dyDescent="0.25">
      <c r="A504" s="123" t="s">
        <v>107</v>
      </c>
      <c r="B504" s="16" t="s">
        <v>268</v>
      </c>
      <c r="C504" s="7">
        <v>178148805</v>
      </c>
      <c r="D504" s="7">
        <v>89834023</v>
      </c>
      <c r="E504" s="7">
        <v>88314782</v>
      </c>
      <c r="F504" s="7">
        <v>148959349.71000001</v>
      </c>
      <c r="G504" s="7">
        <v>2524333349.2999997</v>
      </c>
      <c r="H504" s="7">
        <v>-356306099.93849993</v>
      </c>
      <c r="I504" s="7">
        <v>505265449.64849997</v>
      </c>
      <c r="AA504" s="7">
        <v>4468780.4912999999</v>
      </c>
      <c r="AB504" s="7">
        <v>269355771</v>
      </c>
      <c r="AC504" s="7">
        <v>231440898.15719998</v>
      </c>
      <c r="AD504" s="17"/>
      <c r="AE504" s="5">
        <f>SUMIFS(PGĐ!$H:$H,PGĐ!$F:$F,"="&amp;'HQ2'!B504,PGĐ!$I:$I,"="&amp;'HQ2'!A504)</f>
        <v>0</v>
      </c>
      <c r="AF504" s="17"/>
      <c r="AG504" s="7">
        <f>SUMIFS(ĐMCP!$Q:$Q,ĐMCP!$P:$P,"="&amp;'HQ2'!B504,ĐMCP!$O:$O,"="&amp;'HQ2'!A504)</f>
        <v>269355770.62699902</v>
      </c>
      <c r="AH504" s="7">
        <f t="shared" si="7"/>
        <v>-0.37300097942352295</v>
      </c>
    </row>
    <row r="505" spans="1:34" x14ac:dyDescent="0.25">
      <c r="A505" s="123" t="s">
        <v>107</v>
      </c>
      <c r="B505" s="16" t="s">
        <v>272</v>
      </c>
      <c r="C505" s="7">
        <v>0</v>
      </c>
      <c r="E505" s="7">
        <v>0</v>
      </c>
      <c r="F505" s="7">
        <v>0</v>
      </c>
      <c r="G505" s="7">
        <v>133021868</v>
      </c>
      <c r="H505" s="7">
        <v>-26604373.600000001</v>
      </c>
      <c r="I505" s="7">
        <v>26604373.600000001</v>
      </c>
      <c r="AA505" s="7">
        <v>0</v>
      </c>
      <c r="AB505" s="7">
        <v>0</v>
      </c>
      <c r="AC505" s="7">
        <v>26604373.600000001</v>
      </c>
      <c r="AD505" s="17"/>
      <c r="AE505" s="5">
        <f>SUMIFS(PGĐ!$H:$H,PGĐ!$F:$F,"="&amp;'HQ2'!B505,PGĐ!$I:$I,"="&amp;'HQ2'!A505)</f>
        <v>12538515</v>
      </c>
      <c r="AF505" s="17"/>
      <c r="AG505" s="7">
        <f>SUMIFS(ĐMCP!$Q:$Q,ĐMCP!$P:$P,"="&amp;'HQ2'!B505,ĐMCP!$O:$O,"="&amp;'HQ2'!A505)</f>
        <v>0</v>
      </c>
      <c r="AH505" s="7">
        <f t="shared" si="7"/>
        <v>0</v>
      </c>
    </row>
    <row r="506" spans="1:34" x14ac:dyDescent="0.25">
      <c r="A506" s="123" t="s">
        <v>107</v>
      </c>
      <c r="B506" s="16" t="s">
        <v>270</v>
      </c>
      <c r="AB506" s="7">
        <v>0</v>
      </c>
      <c r="AC506" s="7">
        <v>0</v>
      </c>
      <c r="AD506" s="17"/>
      <c r="AE506" s="5">
        <f>SUMIFS(PGĐ!$H:$H,PGĐ!$F:$F,"="&amp;'HQ2'!B506,PGĐ!$I:$I,"="&amp;'HQ2'!A506)</f>
        <v>0</v>
      </c>
      <c r="AF506" s="17"/>
      <c r="AG506" s="7">
        <f>SUMIFS(ĐMCP!$Q:$Q,ĐMCP!$P:$P,"="&amp;'HQ2'!B506,ĐMCP!$O:$O,"="&amp;'HQ2'!A506)</f>
        <v>0</v>
      </c>
      <c r="AH506" s="7">
        <f t="shared" si="7"/>
        <v>0</v>
      </c>
    </row>
    <row r="507" spans="1:34" x14ac:dyDescent="0.25">
      <c r="A507" s="123" t="s">
        <v>107</v>
      </c>
      <c r="B507" s="16" t="s">
        <v>269</v>
      </c>
      <c r="G507" s="7">
        <v>76666908.599999994</v>
      </c>
      <c r="H507" s="7">
        <v>-7666690.8599999994</v>
      </c>
      <c r="I507" s="7">
        <v>7666690.8599999994</v>
      </c>
      <c r="J507" s="7">
        <v>3200000</v>
      </c>
      <c r="M507" s="7">
        <v>3200000</v>
      </c>
      <c r="N507" s="7">
        <v>1920000</v>
      </c>
      <c r="Z507" s="7">
        <v>1920000</v>
      </c>
      <c r="AB507" s="7">
        <v>6948569</v>
      </c>
      <c r="AC507" s="7">
        <v>-1201878.1400000006</v>
      </c>
      <c r="AD507" s="17">
        <v>0.25043399232612334</v>
      </c>
      <c r="AE507" s="5">
        <f>SUMIFS(PGĐ!$H:$H,PGĐ!$F:$F,"="&amp;'HQ2'!B507,PGĐ!$I:$I,"="&amp;'HQ2'!A507)</f>
        <v>0</v>
      </c>
      <c r="AF507" s="17"/>
      <c r="AG507" s="7">
        <f>SUMIFS(ĐMCP!$Q:$Q,ĐMCP!$P:$P,"="&amp;'HQ2'!B507,ĐMCP!$O:$O,"="&amp;'HQ2'!A507)</f>
        <v>6948568.830123567</v>
      </c>
      <c r="AH507" s="7">
        <f t="shared" si="7"/>
        <v>-0.16987643297761679</v>
      </c>
    </row>
    <row r="508" spans="1:34" x14ac:dyDescent="0.25">
      <c r="A508" s="123" t="s">
        <v>107</v>
      </c>
      <c r="B508" s="16" t="s">
        <v>273</v>
      </c>
      <c r="AB508" s="7">
        <v>0</v>
      </c>
      <c r="AC508" s="7">
        <v>0</v>
      </c>
      <c r="AD508" s="17"/>
      <c r="AE508" s="5">
        <f>SUMIFS(PGĐ!$H:$H,PGĐ!$F:$F,"="&amp;'HQ2'!B508,PGĐ!$I:$I,"="&amp;'HQ2'!A508)</f>
        <v>0</v>
      </c>
      <c r="AF508" s="17"/>
      <c r="AG508" s="7">
        <f>SUMIFS(ĐMCP!$Q:$Q,ĐMCP!$P:$P,"="&amp;'HQ2'!B508,ĐMCP!$O:$O,"="&amp;'HQ2'!A508)</f>
        <v>0</v>
      </c>
      <c r="AH508" s="7">
        <f t="shared" si="7"/>
        <v>0</v>
      </c>
    </row>
    <row r="509" spans="1:34" x14ac:dyDescent="0.25">
      <c r="A509" s="123" t="s">
        <v>107</v>
      </c>
      <c r="B509" s="16" t="s">
        <v>23</v>
      </c>
      <c r="AB509" s="7">
        <v>0</v>
      </c>
      <c r="AC509" s="7">
        <v>0</v>
      </c>
      <c r="AD509" s="17"/>
      <c r="AE509" s="5">
        <f>SUMIFS(PGĐ!$H:$H,PGĐ!$F:$F,"="&amp;'HQ2'!B509,PGĐ!$I:$I,"="&amp;'HQ2'!A509)</f>
        <v>0</v>
      </c>
      <c r="AF509" s="17"/>
      <c r="AG509" s="7">
        <f>SUMIFS(ĐMCP!$Q:$Q,ĐMCP!$P:$P,"="&amp;'HQ2'!B509,ĐMCP!$O:$O,"="&amp;'HQ2'!A509)</f>
        <v>0</v>
      </c>
      <c r="AH509" s="7">
        <f t="shared" si="7"/>
        <v>0</v>
      </c>
    </row>
    <row r="510" spans="1:34" x14ac:dyDescent="0.25">
      <c r="A510" s="123" t="s">
        <v>108</v>
      </c>
      <c r="B510" s="15" t="s">
        <v>45</v>
      </c>
      <c r="C510" s="132">
        <v>1526377129</v>
      </c>
      <c r="D510" s="132">
        <v>170139531</v>
      </c>
      <c r="E510" s="132">
        <v>1356237598</v>
      </c>
      <c r="F510" s="132">
        <v>1074242950.425</v>
      </c>
      <c r="G510" s="132">
        <v>1530200047.2</v>
      </c>
      <c r="H510" s="132">
        <v>-85469559.820500001</v>
      </c>
      <c r="I510" s="132">
        <v>1159712510.2454998</v>
      </c>
      <c r="J510" s="132">
        <v>1288369800</v>
      </c>
      <c r="K510" s="132"/>
      <c r="L510" s="132"/>
      <c r="M510" s="132">
        <v>1288369800</v>
      </c>
      <c r="N510" s="132">
        <v>697452450</v>
      </c>
      <c r="O510" s="132"/>
      <c r="P510" s="132"/>
      <c r="Q510" s="132"/>
      <c r="R510" s="132"/>
      <c r="S510" s="132"/>
      <c r="T510" s="132"/>
      <c r="U510" s="132"/>
      <c r="V510" s="132"/>
      <c r="W510" s="132"/>
      <c r="X510" s="132"/>
      <c r="Y510" s="132"/>
      <c r="Z510" s="132">
        <v>697452450</v>
      </c>
      <c r="AA510" s="132">
        <v>32227288.512749996</v>
      </c>
      <c r="AB510" s="132">
        <v>1100340236</v>
      </c>
      <c r="AC510" s="132">
        <v>-670307464.26725006</v>
      </c>
      <c r="AD510" s="96">
        <v>0.6014011609242329</v>
      </c>
      <c r="AE510" s="5">
        <f>SUMIFS(PGĐ!$H:$H,PGĐ!$F:$F,"="&amp;'HQ2'!B510,PGĐ!$I:$I,"="&amp;'HQ2'!A510)</f>
        <v>0</v>
      </c>
      <c r="AF510" s="96"/>
      <c r="AG510" s="7">
        <f>SUMIFS(ĐMCP!$Q:$Q,ĐMCP!$P:$P,"="&amp;'HQ2'!B510,ĐMCP!$O:$O,"="&amp;'HQ2'!A510)</f>
        <v>0</v>
      </c>
      <c r="AH510" s="7">
        <f t="shared" si="7"/>
        <v>0</v>
      </c>
    </row>
    <row r="511" spans="1:34" x14ac:dyDescent="0.25">
      <c r="A511" s="123" t="s">
        <v>108</v>
      </c>
      <c r="B511" s="16" t="s">
        <v>268</v>
      </c>
      <c r="C511" s="7">
        <v>871087074</v>
      </c>
      <c r="D511" s="7">
        <v>151059144</v>
      </c>
      <c r="E511" s="7">
        <v>720027930</v>
      </c>
      <c r="F511" s="7">
        <v>650546920.67999995</v>
      </c>
      <c r="G511" s="7">
        <v>891881620</v>
      </c>
      <c r="H511" s="7">
        <v>-36200204.898000009</v>
      </c>
      <c r="I511" s="7">
        <v>686747125.57799995</v>
      </c>
      <c r="J511" s="7">
        <v>1240000000</v>
      </c>
      <c r="M511" s="7">
        <v>1240000000</v>
      </c>
      <c r="N511" s="7">
        <v>682000000</v>
      </c>
      <c r="Z511" s="7">
        <v>682000000</v>
      </c>
      <c r="AA511" s="7">
        <v>19516407.620399997</v>
      </c>
      <c r="AB511" s="7">
        <v>790496502</v>
      </c>
      <c r="AC511" s="7">
        <v>-805265784.0424</v>
      </c>
      <c r="AD511" s="17">
        <v>0.99308752028047509</v>
      </c>
      <c r="AE511" s="5">
        <f>SUMIFS(PGĐ!$H:$H,PGĐ!$F:$F,"="&amp;'HQ2'!B511,PGĐ!$I:$I,"="&amp;'HQ2'!A511)</f>
        <v>0</v>
      </c>
      <c r="AF511" s="17"/>
      <c r="AG511" s="7">
        <f>SUMIFS(ĐMCP!$Q:$Q,ĐMCP!$P:$P,"="&amp;'HQ2'!B511,ĐMCP!$O:$O,"="&amp;'HQ2'!A511)</f>
        <v>790496501.57766616</v>
      </c>
      <c r="AH511" s="7">
        <f t="shared" si="7"/>
        <v>-0.42233383655548096</v>
      </c>
    </row>
    <row r="512" spans="1:34" x14ac:dyDescent="0.25">
      <c r="A512" s="123" t="s">
        <v>108</v>
      </c>
      <c r="B512" s="16" t="s">
        <v>271</v>
      </c>
      <c r="C512" s="7">
        <v>294481560</v>
      </c>
      <c r="D512" s="7">
        <v>11861778</v>
      </c>
      <c r="E512" s="7">
        <v>282619782</v>
      </c>
      <c r="F512" s="7">
        <v>209517698.72999999</v>
      </c>
      <c r="G512" s="7">
        <v>443191340.19999999</v>
      </c>
      <c r="H512" s="7">
        <v>-46734728.294</v>
      </c>
      <c r="I512" s="7">
        <v>256252427.02399999</v>
      </c>
      <c r="AA512" s="7">
        <v>6285530.9618999995</v>
      </c>
      <c r="AB512" s="7">
        <v>119857272</v>
      </c>
      <c r="AC512" s="7">
        <v>130109624.06209999</v>
      </c>
      <c r="AD512" s="17"/>
      <c r="AE512" s="5">
        <f>SUMIFS(PGĐ!$H:$H,PGĐ!$F:$F,"="&amp;'HQ2'!B512,PGĐ!$I:$I,"="&amp;'HQ2'!A512)</f>
        <v>0</v>
      </c>
      <c r="AF512" s="17"/>
      <c r="AG512" s="7">
        <f>SUMIFS(ĐMCP!$Q:$Q,ĐMCP!$P:$P,"="&amp;'HQ2'!B512,ĐMCP!$O:$O,"="&amp;'HQ2'!A512)</f>
        <v>119857271.84606922</v>
      </c>
      <c r="AH512" s="7">
        <f t="shared" si="7"/>
        <v>-0.15393078327178955</v>
      </c>
    </row>
    <row r="513" spans="1:34" x14ac:dyDescent="0.25">
      <c r="A513" s="123" t="s">
        <v>108</v>
      </c>
      <c r="B513" s="16" t="s">
        <v>269</v>
      </c>
      <c r="C513" s="7">
        <v>259089886</v>
      </c>
      <c r="E513" s="7">
        <v>259089886</v>
      </c>
      <c r="F513" s="7">
        <v>155453931.59999999</v>
      </c>
      <c r="G513" s="7">
        <v>40162590</v>
      </c>
      <c r="H513" s="7">
        <v>11529134.16</v>
      </c>
      <c r="I513" s="7">
        <v>143924797.44</v>
      </c>
      <c r="AA513" s="7">
        <v>4663617.9479999999</v>
      </c>
      <c r="AB513" s="7">
        <v>158689087</v>
      </c>
      <c r="AC513" s="7">
        <v>-19427907.508000001</v>
      </c>
      <c r="AD513" s="17"/>
      <c r="AE513" s="5">
        <f>SUMIFS(PGĐ!$H:$H,PGĐ!$F:$F,"="&amp;'HQ2'!B513,PGĐ!$I:$I,"="&amp;'HQ2'!A513)</f>
        <v>0</v>
      </c>
      <c r="AF513" s="17"/>
      <c r="AG513" s="7">
        <f>SUMIFS(ĐMCP!$Q:$Q,ĐMCP!$P:$P,"="&amp;'HQ2'!B513,ĐMCP!$O:$O,"="&amp;'HQ2'!A513)</f>
        <v>158689086.86307114</v>
      </c>
      <c r="AH513" s="7">
        <f t="shared" si="7"/>
        <v>-0.13692885637283325</v>
      </c>
    </row>
    <row r="514" spans="1:34" x14ac:dyDescent="0.25">
      <c r="A514" s="123" t="s">
        <v>108</v>
      </c>
      <c r="B514" s="16" t="s">
        <v>273</v>
      </c>
      <c r="C514" s="7">
        <v>94500000</v>
      </c>
      <c r="E514" s="7">
        <v>94500000</v>
      </c>
      <c r="F514" s="7">
        <v>51975000.000000007</v>
      </c>
      <c r="G514" s="7">
        <v>81573340.200000003</v>
      </c>
      <c r="H514" s="7">
        <v>-7399585.0499999989</v>
      </c>
      <c r="I514" s="7">
        <v>59374585.050000004</v>
      </c>
      <c r="AA514" s="7">
        <v>1559250.0000000002</v>
      </c>
      <c r="AB514" s="7">
        <v>29076994</v>
      </c>
      <c r="AC514" s="7">
        <v>28738341.050000004</v>
      </c>
      <c r="AD514" s="17"/>
      <c r="AE514" s="5">
        <f>SUMIFS(PGĐ!$H:$H,PGĐ!$F:$F,"="&amp;'HQ2'!B514,PGĐ!$I:$I,"="&amp;'HQ2'!A514)</f>
        <v>0</v>
      </c>
      <c r="AF514" s="17"/>
      <c r="AG514" s="7">
        <f>SUMIFS(ĐMCP!$Q:$Q,ĐMCP!$P:$P,"="&amp;'HQ2'!B514,ĐMCP!$O:$O,"="&amp;'HQ2'!A514)</f>
        <v>29076993.820287097</v>
      </c>
      <c r="AH514" s="7">
        <f t="shared" si="7"/>
        <v>-0.17971290275454521</v>
      </c>
    </row>
    <row r="515" spans="1:34" x14ac:dyDescent="0.25">
      <c r="A515" s="123" t="s">
        <v>108</v>
      </c>
      <c r="B515" s="16" t="s">
        <v>270</v>
      </c>
      <c r="C515" s="7">
        <v>7218609</v>
      </c>
      <c r="D515" s="7">
        <v>7218609</v>
      </c>
      <c r="F515" s="7">
        <v>6749399.415</v>
      </c>
      <c r="G515" s="7">
        <v>73391156.799999997</v>
      </c>
      <c r="H515" s="7">
        <v>-6664175.7385</v>
      </c>
      <c r="I515" s="7">
        <v>13413575.1535</v>
      </c>
      <c r="J515" s="7">
        <v>9600000</v>
      </c>
      <c r="M515" s="7">
        <v>9600000</v>
      </c>
      <c r="N515" s="7">
        <v>5760000</v>
      </c>
      <c r="Z515" s="7">
        <v>5760000</v>
      </c>
      <c r="AA515" s="7">
        <v>202481.98244999998</v>
      </c>
      <c r="AB515" s="7">
        <v>2220381</v>
      </c>
      <c r="AC515" s="7">
        <v>5230712.17105</v>
      </c>
      <c r="AD515" s="17">
        <v>0.42941571759092467</v>
      </c>
      <c r="AE515" s="5">
        <f>SUMIFS(PGĐ!$H:$H,PGĐ!$F:$F,"="&amp;'HQ2'!B515,PGĐ!$I:$I,"="&amp;'HQ2'!A515)</f>
        <v>0</v>
      </c>
      <c r="AF515" s="17"/>
      <c r="AG515" s="7">
        <f>SUMIFS(ĐMCP!$Q:$Q,ĐMCP!$P:$P,"="&amp;'HQ2'!B515,ĐMCP!$O:$O,"="&amp;'HQ2'!A515)</f>
        <v>2220381.0772848008</v>
      </c>
      <c r="AH515" s="7">
        <f t="shared" si="7"/>
        <v>7.7284800820052624E-2</v>
      </c>
    </row>
    <row r="516" spans="1:34" x14ac:dyDescent="0.25">
      <c r="A516" s="123" t="s">
        <v>108</v>
      </c>
      <c r="B516" s="16" t="s">
        <v>23</v>
      </c>
      <c r="J516" s="7">
        <v>38769800</v>
      </c>
      <c r="M516" s="7">
        <v>38769800</v>
      </c>
      <c r="N516" s="7">
        <v>9692450</v>
      </c>
      <c r="Z516" s="7">
        <v>9692450</v>
      </c>
      <c r="AB516" s="7">
        <v>0</v>
      </c>
      <c r="AC516" s="7">
        <v>-9692450</v>
      </c>
      <c r="AD516" t="s">
        <v>275</v>
      </c>
      <c r="AE516" s="5">
        <f>SUMIFS(PGĐ!$H:$H,PGĐ!$F:$F,"="&amp;'HQ2'!B516,PGĐ!$I:$I,"="&amp;'HQ2'!A516)</f>
        <v>0</v>
      </c>
      <c r="AG516" s="7">
        <f>SUMIFS(ĐMCP!$Q:$Q,ĐMCP!$P:$P,"="&amp;'HQ2'!B516,ĐMCP!$O:$O,"="&amp;'HQ2'!A516)</f>
        <v>0</v>
      </c>
      <c r="AH516" s="7">
        <f t="shared" ref="AH516:AH579" si="8">IF(AG516=0,0,AG516-AB516)</f>
        <v>0</v>
      </c>
    </row>
    <row r="517" spans="1:34" x14ac:dyDescent="0.25">
      <c r="A517" s="123" t="s">
        <v>108</v>
      </c>
      <c r="B517" s="16" t="s">
        <v>272</v>
      </c>
      <c r="AB517" s="7">
        <v>0</v>
      </c>
      <c r="AC517" s="7">
        <v>0</v>
      </c>
      <c r="AD517" s="17"/>
      <c r="AE517" s="5">
        <f>SUMIFS(PGĐ!$H:$H,PGĐ!$F:$F,"="&amp;'HQ2'!B517,PGĐ!$I:$I,"="&amp;'HQ2'!A517)</f>
        <v>0</v>
      </c>
      <c r="AF517" s="17"/>
      <c r="AG517" s="7">
        <f>SUMIFS(ĐMCP!$Q:$Q,ĐMCP!$P:$P,"="&amp;'HQ2'!B517,ĐMCP!$O:$O,"="&amp;'HQ2'!A517)</f>
        <v>0</v>
      </c>
      <c r="AH517" s="7">
        <f t="shared" si="8"/>
        <v>0</v>
      </c>
    </row>
    <row r="518" spans="1:34" x14ac:dyDescent="0.25">
      <c r="A518" s="123" t="s">
        <v>109</v>
      </c>
      <c r="B518" s="15" t="s">
        <v>45</v>
      </c>
      <c r="C518" s="132">
        <v>1202505163</v>
      </c>
      <c r="D518" s="132">
        <v>688166906</v>
      </c>
      <c r="E518" s="132">
        <v>514338257</v>
      </c>
      <c r="F518" s="132">
        <v>1010797289.6849999</v>
      </c>
      <c r="G518" s="132">
        <v>2398134396.0499997</v>
      </c>
      <c r="H518" s="132">
        <v>-214314310.2245</v>
      </c>
      <c r="I518" s="132">
        <v>1225111599.9094999</v>
      </c>
      <c r="J518" s="132">
        <v>168745655</v>
      </c>
      <c r="K518" s="132">
        <v>13550000</v>
      </c>
      <c r="L518" s="132">
        <v>8954000</v>
      </c>
      <c r="M518" s="132">
        <v>146241655</v>
      </c>
      <c r="N518" s="132">
        <v>84616660</v>
      </c>
      <c r="O518" s="132">
        <v>1970000000</v>
      </c>
      <c r="P518" s="132">
        <v>1500000000</v>
      </c>
      <c r="Q518" s="132">
        <v>470000000</v>
      </c>
      <c r="R518" s="132">
        <v>0</v>
      </c>
      <c r="S518" s="132">
        <v>1346494449.4000001</v>
      </c>
      <c r="T518" s="132">
        <v>2000733170.3</v>
      </c>
      <c r="U518" s="132">
        <v>1750000000</v>
      </c>
      <c r="V518" s="132">
        <v>150000000</v>
      </c>
      <c r="W518" s="132">
        <v>100733170.29999995</v>
      </c>
      <c r="X518" s="132">
        <v>1259581027.0600002</v>
      </c>
      <c r="Y518" s="132">
        <v>86913422.339999914</v>
      </c>
      <c r="Z518" s="132">
        <v>171530082.33999991</v>
      </c>
      <c r="AA518" s="132">
        <v>30323918.690549996</v>
      </c>
      <c r="AB518" s="132">
        <v>1377800976</v>
      </c>
      <c r="AC518" s="132">
        <v>-354543377.12104988</v>
      </c>
      <c r="AD518" s="96">
        <v>0.14001180166171881</v>
      </c>
      <c r="AE518" s="5">
        <f>SUMIFS(PGĐ!$H:$H,PGĐ!$F:$F,"="&amp;'HQ2'!B518,PGĐ!$I:$I,"="&amp;'HQ2'!A518)</f>
        <v>0</v>
      </c>
      <c r="AF518" s="96"/>
      <c r="AG518" s="7">
        <f>SUMIFS(ĐMCP!$Q:$Q,ĐMCP!$P:$P,"="&amp;'HQ2'!B518,ĐMCP!$O:$O,"="&amp;'HQ2'!A518)</f>
        <v>0</v>
      </c>
      <c r="AH518" s="7">
        <f t="shared" si="8"/>
        <v>0</v>
      </c>
    </row>
    <row r="519" spans="1:34" x14ac:dyDescent="0.25">
      <c r="A519" s="123" t="s">
        <v>109</v>
      </c>
      <c r="B519" s="16" t="s">
        <v>268</v>
      </c>
      <c r="C519" s="7">
        <v>677968982</v>
      </c>
      <c r="D519" s="7">
        <v>168778335</v>
      </c>
      <c r="E519" s="7">
        <v>509190647</v>
      </c>
      <c r="F519" s="7">
        <v>520148437.84999996</v>
      </c>
      <c r="G519" s="7">
        <v>1846690256.5999999</v>
      </c>
      <c r="H519" s="7">
        <v>-198981272.8125</v>
      </c>
      <c r="I519" s="7">
        <v>719129710.6624999</v>
      </c>
      <c r="J519" s="7">
        <v>13550000</v>
      </c>
      <c r="K519" s="7">
        <v>13550000</v>
      </c>
      <c r="M519" s="7">
        <v>0</v>
      </c>
      <c r="N519" s="7">
        <v>7917667</v>
      </c>
      <c r="O519" s="7">
        <v>1500000000</v>
      </c>
      <c r="P519" s="7">
        <v>1500000000</v>
      </c>
      <c r="R519" s="7">
        <v>0</v>
      </c>
      <c r="S519" s="7">
        <v>876494449.39999998</v>
      </c>
      <c r="T519" s="7">
        <v>1750000000</v>
      </c>
      <c r="U519" s="7">
        <v>1750000000</v>
      </c>
      <c r="V519" s="7">
        <v>150000000</v>
      </c>
      <c r="W519" s="7">
        <v>-150000000</v>
      </c>
      <c r="X519" s="7">
        <v>1109141124.8800001</v>
      </c>
      <c r="Y519" s="7">
        <v>-232646675.48000014</v>
      </c>
      <c r="Z519" s="7">
        <v>-224729008.48000014</v>
      </c>
      <c r="AA519" s="7">
        <v>15604453.135499999</v>
      </c>
      <c r="AB519" s="7">
        <v>170705059</v>
      </c>
      <c r="AC519" s="7">
        <v>757549207.00700009</v>
      </c>
      <c r="AD519" s="17">
        <v>-0.31250135427302539</v>
      </c>
      <c r="AE519" s="5">
        <f>SUMIFS(PGĐ!$H:$H,PGĐ!$F:$F,"="&amp;'HQ2'!B519,PGĐ!$I:$I,"="&amp;'HQ2'!A519)</f>
        <v>0</v>
      </c>
      <c r="AF519" s="17"/>
      <c r="AG519" s="7">
        <f>SUMIFS(ĐMCP!$Q:$Q,ĐMCP!$P:$P,"="&amp;'HQ2'!B519,ĐMCP!$O:$O,"="&amp;'HQ2'!A519)</f>
        <v>170705059.42643797</v>
      </c>
      <c r="AH519" s="7">
        <f t="shared" si="8"/>
        <v>0.42643797397613525</v>
      </c>
    </row>
    <row r="520" spans="1:34" x14ac:dyDescent="0.25">
      <c r="A520" s="123" t="s">
        <v>109</v>
      </c>
      <c r="B520" s="16" t="s">
        <v>272</v>
      </c>
      <c r="C520" s="7">
        <v>320325503</v>
      </c>
      <c r="D520" s="7">
        <v>320325503</v>
      </c>
      <c r="F520" s="7">
        <v>299504345.30500001</v>
      </c>
      <c r="G520" s="7">
        <v>459646402.40000004</v>
      </c>
      <c r="H520" s="7">
        <v>-32028411.419000007</v>
      </c>
      <c r="I520" s="7">
        <v>331532756.72400004</v>
      </c>
      <c r="J520" s="7">
        <v>-91046000</v>
      </c>
      <c r="L520" s="7">
        <v>8954000</v>
      </c>
      <c r="M520" s="7">
        <v>-100000000</v>
      </c>
      <c r="N520" s="7">
        <v>-71046000</v>
      </c>
      <c r="O520" s="7">
        <v>470000000</v>
      </c>
      <c r="Q520" s="7">
        <v>470000000</v>
      </c>
      <c r="R520" s="7">
        <v>0</v>
      </c>
      <c r="S520" s="7">
        <v>470000000</v>
      </c>
      <c r="Y520" s="7">
        <v>470000000</v>
      </c>
      <c r="Z520" s="7">
        <v>398954000</v>
      </c>
      <c r="AA520" s="7">
        <v>8985130.3591499999</v>
      </c>
      <c r="AB520" s="7">
        <v>113237858</v>
      </c>
      <c r="AC520" s="7">
        <v>-189644231.63514996</v>
      </c>
      <c r="AD520" s="17">
        <v>1.2033622376932362</v>
      </c>
      <c r="AE520" s="5">
        <f>SUMIFS(PGĐ!$H:$H,PGĐ!$F:$F,"="&amp;'HQ2'!B520,PGĐ!$I:$I,"="&amp;'HQ2'!A520)</f>
        <v>0</v>
      </c>
      <c r="AF520" s="17"/>
      <c r="AG520" s="7">
        <f>SUMIFS(ĐMCP!$Q:$Q,ĐMCP!$P:$P,"="&amp;'HQ2'!B520,ĐMCP!$O:$O,"="&amp;'HQ2'!A520)</f>
        <v>113237858.29198906</v>
      </c>
      <c r="AH520" s="7">
        <f t="shared" si="8"/>
        <v>0.29198905825614929</v>
      </c>
    </row>
    <row r="521" spans="1:34" x14ac:dyDescent="0.25">
      <c r="A521" s="123" t="s">
        <v>109</v>
      </c>
      <c r="B521" s="16" t="s">
        <v>270</v>
      </c>
      <c r="C521" s="7">
        <v>176161679</v>
      </c>
      <c r="D521" s="7">
        <v>173014069</v>
      </c>
      <c r="E521" s="7">
        <v>3147610</v>
      </c>
      <c r="F521" s="7">
        <v>164286242.51500002</v>
      </c>
      <c r="G521" s="7">
        <v>116317164</v>
      </c>
      <c r="H521" s="7">
        <v>4796907.8515000017</v>
      </c>
      <c r="I521" s="7">
        <v>159489334.66350001</v>
      </c>
      <c r="AA521" s="7">
        <v>4928587.2754500005</v>
      </c>
      <c r="AB521" s="7">
        <v>52176958</v>
      </c>
      <c r="AC521" s="7">
        <v>102383789.38805</v>
      </c>
      <c r="AD521" s="17"/>
      <c r="AE521" s="5">
        <f>SUMIFS(PGĐ!$H:$H,PGĐ!$F:$F,"="&amp;'HQ2'!B521,PGĐ!$I:$I,"="&amp;'HQ2'!A521)</f>
        <v>0</v>
      </c>
      <c r="AF521" s="17"/>
      <c r="AG521" s="7">
        <f>SUMIFS(ĐMCP!$Q:$Q,ĐMCP!$P:$P,"="&amp;'HQ2'!B521,ĐMCP!$O:$O,"="&amp;'HQ2'!A521)</f>
        <v>52176958.405404501</v>
      </c>
      <c r="AH521" s="7">
        <f t="shared" si="8"/>
        <v>0.40540450066328049</v>
      </c>
    </row>
    <row r="522" spans="1:34" x14ac:dyDescent="0.25">
      <c r="A522" s="123" t="s">
        <v>109</v>
      </c>
      <c r="B522" s="16" t="s">
        <v>271</v>
      </c>
      <c r="C522" s="7">
        <v>26048999</v>
      </c>
      <c r="D522" s="7">
        <v>26048999</v>
      </c>
      <c r="F522" s="7">
        <v>25658264.015000001</v>
      </c>
      <c r="G522" s="7">
        <v>-15115387.699999999</v>
      </c>
      <c r="H522" s="7">
        <v>8154730.3430000013</v>
      </c>
      <c r="I522" s="7">
        <v>17503533.671999998</v>
      </c>
      <c r="J522" s="7">
        <v>246241655</v>
      </c>
      <c r="M522" s="7">
        <v>246241655</v>
      </c>
      <c r="N522" s="7">
        <v>147744993</v>
      </c>
      <c r="T522" s="7">
        <v>250733170.30000001</v>
      </c>
      <c r="W522" s="7">
        <v>250733170.30000001</v>
      </c>
      <c r="X522" s="7">
        <v>150439902.18000001</v>
      </c>
      <c r="Y522" s="7">
        <v>-150439902.18000001</v>
      </c>
      <c r="Z522" s="7">
        <v>-2694909.1800000072</v>
      </c>
      <c r="AA522" s="7">
        <v>769747.92044999998</v>
      </c>
      <c r="AB522" s="7">
        <v>1027580447</v>
      </c>
      <c r="AC522" s="7">
        <v>-1008151752.06845</v>
      </c>
      <c r="AD522" s="17">
        <v>-0.15396372129765953</v>
      </c>
      <c r="AE522" s="5">
        <f>SUMIFS(PGĐ!$H:$H,PGĐ!$F:$F,"="&amp;'HQ2'!B522,PGĐ!$I:$I,"="&amp;'HQ2'!A522)</f>
        <v>48422275</v>
      </c>
      <c r="AF522" s="17"/>
      <c r="AG522" s="7">
        <f>SUMIFS(ĐMCP!$Q:$Q,ĐMCP!$P:$P,"="&amp;'HQ2'!B522,ĐMCP!$O:$O,"="&amp;'HQ2'!A522)</f>
        <v>1027580447.2418386</v>
      </c>
      <c r="AH522" s="7">
        <f t="shared" si="8"/>
        <v>0.24183857440948486</v>
      </c>
    </row>
    <row r="523" spans="1:34" x14ac:dyDescent="0.25">
      <c r="A523" s="123" t="s">
        <v>109</v>
      </c>
      <c r="B523" s="16" t="s">
        <v>269</v>
      </c>
      <c r="C523" s="7">
        <v>2000000</v>
      </c>
      <c r="E523" s="7">
        <v>2000000</v>
      </c>
      <c r="F523" s="7">
        <v>1200000</v>
      </c>
      <c r="G523" s="7">
        <v>8484840</v>
      </c>
      <c r="H523" s="7">
        <v>-728484</v>
      </c>
      <c r="I523" s="7">
        <v>1928484</v>
      </c>
      <c r="AA523" s="7">
        <v>36000</v>
      </c>
      <c r="AB523" s="7">
        <v>14100654</v>
      </c>
      <c r="AC523" s="7">
        <v>-12208170</v>
      </c>
      <c r="AD523" s="17"/>
      <c r="AE523" s="5">
        <f>SUMIFS(PGĐ!$H:$H,PGĐ!$F:$F,"="&amp;'HQ2'!B523,PGĐ!$I:$I,"="&amp;'HQ2'!A523)</f>
        <v>0</v>
      </c>
      <c r="AF523" s="17"/>
      <c r="AG523" s="7">
        <f>SUMIFS(ĐMCP!$Q:$Q,ĐMCP!$P:$P,"="&amp;'HQ2'!B523,ĐMCP!$O:$O,"="&amp;'HQ2'!A523)</f>
        <v>14100654.181956133</v>
      </c>
      <c r="AH523" s="7">
        <f t="shared" si="8"/>
        <v>0.18195613287389278</v>
      </c>
    </row>
    <row r="524" spans="1:34" x14ac:dyDescent="0.25">
      <c r="A524" s="123" t="s">
        <v>109</v>
      </c>
      <c r="B524" s="16" t="s">
        <v>273</v>
      </c>
      <c r="G524" s="7">
        <v>-17888879.25</v>
      </c>
      <c r="H524" s="7">
        <v>4472219.8125</v>
      </c>
      <c r="I524" s="7">
        <v>-4472219.8125</v>
      </c>
      <c r="AB524" s="7">
        <v>0</v>
      </c>
      <c r="AC524" s="7">
        <v>-4472219.8125</v>
      </c>
      <c r="AD524" s="17"/>
      <c r="AE524" s="5">
        <f>SUMIFS(PGĐ!$H:$H,PGĐ!$F:$F,"="&amp;'HQ2'!B524,PGĐ!$I:$I,"="&amp;'HQ2'!A524)</f>
        <v>0</v>
      </c>
      <c r="AF524" s="17"/>
      <c r="AG524" s="7">
        <f>SUMIFS(ĐMCP!$Q:$Q,ĐMCP!$P:$P,"="&amp;'HQ2'!B524,ĐMCP!$O:$O,"="&amp;'HQ2'!A524)</f>
        <v>0</v>
      </c>
      <c r="AH524" s="7">
        <f t="shared" si="8"/>
        <v>0</v>
      </c>
    </row>
    <row r="525" spans="1:34" x14ac:dyDescent="0.25">
      <c r="A525" s="123" t="s">
        <v>109</v>
      </c>
      <c r="B525" s="16" t="s">
        <v>23</v>
      </c>
      <c r="AB525" s="7">
        <v>0</v>
      </c>
      <c r="AC525" s="7">
        <v>0</v>
      </c>
      <c r="AD525" s="17"/>
      <c r="AE525" s="5">
        <f>SUMIFS(PGĐ!$H:$H,PGĐ!$F:$F,"="&amp;'HQ2'!B525,PGĐ!$I:$I,"="&amp;'HQ2'!A525)</f>
        <v>0</v>
      </c>
      <c r="AF525" s="17"/>
      <c r="AG525" s="7">
        <f>SUMIFS(ĐMCP!$Q:$Q,ĐMCP!$P:$P,"="&amp;'HQ2'!B525,ĐMCP!$O:$O,"="&amp;'HQ2'!A525)</f>
        <v>0</v>
      </c>
      <c r="AH525" s="7">
        <f t="shared" si="8"/>
        <v>0</v>
      </c>
    </row>
    <row r="526" spans="1:34" x14ac:dyDescent="0.25">
      <c r="A526" s="123" t="s">
        <v>110</v>
      </c>
      <c r="B526" s="15" t="s">
        <v>45</v>
      </c>
      <c r="C526" s="132">
        <v>1388939250</v>
      </c>
      <c r="D526" s="132">
        <v>116595352</v>
      </c>
      <c r="E526" s="132">
        <v>1272343898</v>
      </c>
      <c r="F526" s="132">
        <v>1001451387.205</v>
      </c>
      <c r="G526" s="132">
        <v>3759571208.1999998</v>
      </c>
      <c r="H526" s="132">
        <v>-387784196.90599996</v>
      </c>
      <c r="I526" s="132">
        <v>1389235584.1110001</v>
      </c>
      <c r="J526" s="132">
        <v>485161019</v>
      </c>
      <c r="K526" s="132"/>
      <c r="L526" s="132"/>
      <c r="M526" s="132">
        <v>485161019</v>
      </c>
      <c r="N526" s="132">
        <v>266838560.45000002</v>
      </c>
      <c r="O526" s="132">
        <v>1306580032</v>
      </c>
      <c r="P526" s="132">
        <v>50000000</v>
      </c>
      <c r="Q526" s="132">
        <v>1274580032</v>
      </c>
      <c r="R526" s="132">
        <v>-18000000</v>
      </c>
      <c r="S526" s="132">
        <v>1286962672.8599999</v>
      </c>
      <c r="T526" s="132">
        <v>1305646912</v>
      </c>
      <c r="U526" s="132">
        <v>50000000</v>
      </c>
      <c r="V526" s="132">
        <v>1273646912</v>
      </c>
      <c r="W526" s="132">
        <v>-18000000</v>
      </c>
      <c r="X526" s="132">
        <v>1282325551.53</v>
      </c>
      <c r="Y526" s="132">
        <v>4637121.3299999237</v>
      </c>
      <c r="Z526" s="132">
        <v>271475681.77999997</v>
      </c>
      <c r="AA526" s="132">
        <v>30043541.616149999</v>
      </c>
      <c r="AB526" s="132">
        <v>450009727</v>
      </c>
      <c r="AC526" s="132">
        <v>637706633.71484983</v>
      </c>
      <c r="AD526" s="96">
        <v>0.19541371160149396</v>
      </c>
      <c r="AE526" s="5">
        <f>SUMIFS(PGĐ!$H:$H,PGĐ!$F:$F,"="&amp;'HQ2'!B526,PGĐ!$I:$I,"="&amp;'HQ2'!A526)</f>
        <v>0</v>
      </c>
      <c r="AF526" s="96"/>
      <c r="AG526" s="7">
        <f>SUMIFS(ĐMCP!$Q:$Q,ĐMCP!$P:$P,"="&amp;'HQ2'!B526,ĐMCP!$O:$O,"="&amp;'HQ2'!A526)</f>
        <v>0</v>
      </c>
      <c r="AH526" s="7">
        <f t="shared" si="8"/>
        <v>0</v>
      </c>
    </row>
    <row r="527" spans="1:34" x14ac:dyDescent="0.25">
      <c r="A527" s="123" t="s">
        <v>110</v>
      </c>
      <c r="B527" s="16" t="s">
        <v>268</v>
      </c>
      <c r="C527" s="7">
        <v>822622393</v>
      </c>
      <c r="D527" s="7">
        <v>51257271</v>
      </c>
      <c r="E527" s="7">
        <v>771365122</v>
      </c>
      <c r="F527" s="7">
        <v>589675138.26999998</v>
      </c>
      <c r="G527" s="7">
        <v>2313453858.7999997</v>
      </c>
      <c r="H527" s="7">
        <v>-258566808.07949996</v>
      </c>
      <c r="I527" s="7">
        <v>848241946.34949994</v>
      </c>
      <c r="J527" s="7">
        <v>485161019</v>
      </c>
      <c r="M527" s="7">
        <v>485161019</v>
      </c>
      <c r="N527" s="7">
        <v>266838560.45000002</v>
      </c>
      <c r="O527" s="7">
        <v>70000000</v>
      </c>
      <c r="P527" s="7">
        <v>50000000</v>
      </c>
      <c r="Q527" s="7">
        <v>50000000</v>
      </c>
      <c r="R527" s="7">
        <v>-30000000</v>
      </c>
      <c r="S527" s="7">
        <v>55182640.859999999</v>
      </c>
      <c r="T527" s="7">
        <v>70000000</v>
      </c>
      <c r="U527" s="7">
        <v>50000000</v>
      </c>
      <c r="V527" s="7">
        <v>50000000</v>
      </c>
      <c r="W527" s="7">
        <v>-30000000</v>
      </c>
      <c r="X527" s="7">
        <v>51478639.530000001</v>
      </c>
      <c r="Y527" s="7">
        <v>3704001.3299999982</v>
      </c>
      <c r="Z527" s="7">
        <v>270542561.78000003</v>
      </c>
      <c r="AA527" s="7">
        <v>17690254.1481</v>
      </c>
      <c r="AB527" s="7">
        <v>264827218</v>
      </c>
      <c r="AC527" s="7">
        <v>295181912.42139983</v>
      </c>
      <c r="AD527" s="17">
        <v>0.31894504032052284</v>
      </c>
      <c r="AE527" s="5">
        <f>SUMIFS(PGĐ!$H:$H,PGĐ!$F:$F,"="&amp;'HQ2'!B527,PGĐ!$I:$I,"="&amp;'HQ2'!A527)</f>
        <v>0</v>
      </c>
      <c r="AF527" s="17"/>
      <c r="AG527" s="7">
        <f>SUMIFS(ĐMCP!$Q:$Q,ĐMCP!$P:$P,"="&amp;'HQ2'!B527,ĐMCP!$O:$O,"="&amp;'HQ2'!A527)</f>
        <v>264827217.656093</v>
      </c>
      <c r="AH527" s="7">
        <f t="shared" si="8"/>
        <v>-0.34390699863433838</v>
      </c>
    </row>
    <row r="528" spans="1:34" x14ac:dyDescent="0.25">
      <c r="A528" s="123" t="s">
        <v>110</v>
      </c>
      <c r="B528" s="16" t="s">
        <v>271</v>
      </c>
      <c r="C528" s="7">
        <v>500978776</v>
      </c>
      <c r="E528" s="7">
        <v>500978776</v>
      </c>
      <c r="F528" s="7">
        <v>350685143.19999999</v>
      </c>
      <c r="G528" s="7">
        <v>608517931</v>
      </c>
      <c r="H528" s="7">
        <v>-51566557.560000002</v>
      </c>
      <c r="I528" s="7">
        <v>402251700.75999999</v>
      </c>
      <c r="O528" s="7">
        <v>12000000</v>
      </c>
      <c r="R528" s="7">
        <v>12000000</v>
      </c>
      <c r="S528" s="7">
        <v>7200000</v>
      </c>
      <c r="T528" s="7">
        <v>12000000</v>
      </c>
      <c r="W528" s="7">
        <v>12000000</v>
      </c>
      <c r="X528" s="7">
        <v>7200000</v>
      </c>
      <c r="Y528" s="7">
        <v>0</v>
      </c>
      <c r="Z528" s="7">
        <v>0</v>
      </c>
      <c r="AA528" s="7">
        <v>10520554.296</v>
      </c>
      <c r="AB528" s="7">
        <v>73262228</v>
      </c>
      <c r="AC528" s="7">
        <v>318468918.46399999</v>
      </c>
      <c r="AD528" s="17">
        <v>0</v>
      </c>
      <c r="AE528" s="5">
        <f>SUMIFS(PGĐ!$H:$H,PGĐ!$F:$F,"="&amp;'HQ2'!B528,PGĐ!$I:$I,"="&amp;'HQ2'!A528)</f>
        <v>0</v>
      </c>
      <c r="AF528" s="17"/>
      <c r="AG528" s="7">
        <f>SUMIFS(ĐMCP!$Q:$Q,ĐMCP!$P:$P,"="&amp;'HQ2'!B528,ĐMCP!$O:$O,"="&amp;'HQ2'!A528)</f>
        <v>73262228.260169774</v>
      </c>
      <c r="AH528" s="7">
        <f t="shared" si="8"/>
        <v>0.26016977429389954</v>
      </c>
    </row>
    <row r="529" spans="1:34" x14ac:dyDescent="0.25">
      <c r="A529" s="123" t="s">
        <v>110</v>
      </c>
      <c r="B529" s="16" t="s">
        <v>270</v>
      </c>
      <c r="C529" s="7">
        <v>65338081</v>
      </c>
      <c r="D529" s="7">
        <v>65338081</v>
      </c>
      <c r="F529" s="7">
        <v>61091105.735000007</v>
      </c>
      <c r="G529" s="7">
        <v>136995080.80000001</v>
      </c>
      <c r="H529" s="7">
        <v>-7590397.5065000001</v>
      </c>
      <c r="I529" s="7">
        <v>68681503.241500005</v>
      </c>
      <c r="O529" s="7">
        <v>1224580032</v>
      </c>
      <c r="Q529" s="7">
        <v>1224580032</v>
      </c>
      <c r="R529" s="7">
        <v>0</v>
      </c>
      <c r="S529" s="7">
        <v>1224580032</v>
      </c>
      <c r="T529" s="7">
        <v>1223646912</v>
      </c>
      <c r="V529" s="7">
        <v>1223646912</v>
      </c>
      <c r="W529" s="7">
        <v>0</v>
      </c>
      <c r="X529" s="7">
        <v>1223646912</v>
      </c>
      <c r="Y529" s="7">
        <v>933120</v>
      </c>
      <c r="Z529" s="7">
        <v>933120</v>
      </c>
      <c r="AA529" s="7">
        <v>1832733.1720500002</v>
      </c>
      <c r="AB529" s="7">
        <v>79984085</v>
      </c>
      <c r="AC529" s="7">
        <v>-14068434.930549994</v>
      </c>
      <c r="AD529" s="17">
        <v>1.3586190691239458E-2</v>
      </c>
      <c r="AE529" s="5">
        <f>SUMIFS(PGĐ!$H:$H,PGĐ!$F:$F,"="&amp;'HQ2'!B529,PGĐ!$I:$I,"="&amp;'HQ2'!A529)</f>
        <v>0</v>
      </c>
      <c r="AF529" s="17"/>
      <c r="AG529" s="7">
        <f>SUMIFS(ĐMCP!$Q:$Q,ĐMCP!$P:$P,"="&amp;'HQ2'!B529,ĐMCP!$O:$O,"="&amp;'HQ2'!A529)</f>
        <v>79984084.814313531</v>
      </c>
      <c r="AH529" s="7">
        <f t="shared" si="8"/>
        <v>-0.18568646907806396</v>
      </c>
    </row>
    <row r="530" spans="1:34" x14ac:dyDescent="0.25">
      <c r="A530" s="123" t="s">
        <v>110</v>
      </c>
      <c r="B530" s="16" t="s">
        <v>269</v>
      </c>
      <c r="G530" s="7">
        <v>700604337.60000002</v>
      </c>
      <c r="H530" s="7">
        <v>-70060433.760000005</v>
      </c>
      <c r="I530" s="7">
        <v>70060433.760000005</v>
      </c>
      <c r="AB530" s="7">
        <v>31936196</v>
      </c>
      <c r="AC530" s="7">
        <v>38124237.760000005</v>
      </c>
      <c r="AD530" s="17"/>
      <c r="AE530" s="5">
        <f>SUMIFS(PGĐ!$H:$H,PGĐ!$F:$F,"="&amp;'HQ2'!B530,PGĐ!$I:$I,"="&amp;'HQ2'!A530)</f>
        <v>0</v>
      </c>
      <c r="AF530" s="17"/>
      <c r="AG530" s="7">
        <f>SUMIFS(ĐMCP!$Q:$Q,ĐMCP!$P:$P,"="&amp;'HQ2'!B530,ĐMCP!$O:$O,"="&amp;'HQ2'!A530)</f>
        <v>31936196.188165408</v>
      </c>
      <c r="AH530" s="7">
        <f t="shared" si="8"/>
        <v>0.18816540762782097</v>
      </c>
    </row>
    <row r="531" spans="1:34" x14ac:dyDescent="0.25">
      <c r="A531" s="123" t="s">
        <v>110</v>
      </c>
      <c r="B531" s="16" t="s">
        <v>273</v>
      </c>
      <c r="AB531" s="7">
        <v>0</v>
      </c>
      <c r="AC531" s="7">
        <v>0</v>
      </c>
      <c r="AD531" s="17"/>
      <c r="AE531" s="5">
        <f>SUMIFS(PGĐ!$H:$H,PGĐ!$F:$F,"="&amp;'HQ2'!B531,PGĐ!$I:$I,"="&amp;'HQ2'!A531)</f>
        <v>0</v>
      </c>
      <c r="AF531" s="17"/>
      <c r="AG531" s="7">
        <f>SUMIFS(ĐMCP!$Q:$Q,ĐMCP!$P:$P,"="&amp;'HQ2'!B531,ĐMCP!$O:$O,"="&amp;'HQ2'!A531)</f>
        <v>0</v>
      </c>
      <c r="AH531" s="7">
        <f t="shared" si="8"/>
        <v>0</v>
      </c>
    </row>
    <row r="532" spans="1:34" x14ac:dyDescent="0.25">
      <c r="A532" s="123" t="s">
        <v>110</v>
      </c>
      <c r="B532" s="16" t="s">
        <v>23</v>
      </c>
      <c r="AB532" s="7">
        <v>0</v>
      </c>
      <c r="AC532" s="7">
        <v>0</v>
      </c>
      <c r="AD532" s="17"/>
      <c r="AE532" s="5">
        <f>SUMIFS(PGĐ!$H:$H,PGĐ!$F:$F,"="&amp;'HQ2'!B532,PGĐ!$I:$I,"="&amp;'HQ2'!A532)</f>
        <v>0</v>
      </c>
      <c r="AF532" s="17"/>
      <c r="AG532" s="7">
        <f>SUMIFS(ĐMCP!$Q:$Q,ĐMCP!$P:$P,"="&amp;'HQ2'!B532,ĐMCP!$O:$O,"="&amp;'HQ2'!A532)</f>
        <v>0</v>
      </c>
      <c r="AH532" s="7">
        <f t="shared" si="8"/>
        <v>0</v>
      </c>
    </row>
    <row r="533" spans="1:34" x14ac:dyDescent="0.25">
      <c r="A533" s="123" t="s">
        <v>110</v>
      </c>
      <c r="B533" s="16" t="s">
        <v>272</v>
      </c>
      <c r="AB533" s="7">
        <v>0</v>
      </c>
      <c r="AC533" s="7">
        <v>0</v>
      </c>
      <c r="AD533" s="17"/>
      <c r="AE533" s="5">
        <f>SUMIFS(PGĐ!$H:$H,PGĐ!$F:$F,"="&amp;'HQ2'!B533,PGĐ!$I:$I,"="&amp;'HQ2'!A533)</f>
        <v>0</v>
      </c>
      <c r="AF533" s="17"/>
      <c r="AG533" s="7">
        <f>SUMIFS(ĐMCP!$Q:$Q,ĐMCP!$P:$P,"="&amp;'HQ2'!B533,ĐMCP!$O:$O,"="&amp;'HQ2'!A533)</f>
        <v>0</v>
      </c>
      <c r="AH533" s="7">
        <f t="shared" si="8"/>
        <v>0</v>
      </c>
    </row>
    <row r="534" spans="1:34" x14ac:dyDescent="0.25">
      <c r="A534" s="123" t="s">
        <v>111</v>
      </c>
      <c r="B534" s="15" t="s">
        <v>45</v>
      </c>
      <c r="C534" s="132">
        <v>1172399450</v>
      </c>
      <c r="D534" s="132">
        <v>464581973</v>
      </c>
      <c r="E534" s="132">
        <v>707817477</v>
      </c>
      <c r="F534" s="132">
        <v>940294202.24499989</v>
      </c>
      <c r="G534" s="132">
        <v>346899951.5</v>
      </c>
      <c r="H534" s="132">
        <v>102095598.52499999</v>
      </c>
      <c r="I534" s="132">
        <v>838198603.71999991</v>
      </c>
      <c r="J534" s="132">
        <v>1184871543</v>
      </c>
      <c r="K534" s="132"/>
      <c r="L534" s="132"/>
      <c r="M534" s="132">
        <v>1184871543</v>
      </c>
      <c r="N534" s="132">
        <v>651679348.6500001</v>
      </c>
      <c r="O534" s="132">
        <v>100000000</v>
      </c>
      <c r="P534" s="132"/>
      <c r="Q534" s="132"/>
      <c r="R534" s="132">
        <v>100000000</v>
      </c>
      <c r="S534" s="132">
        <v>55000000.000000007</v>
      </c>
      <c r="T534" s="132">
        <v>2200000000</v>
      </c>
      <c r="U534" s="132"/>
      <c r="V534" s="132"/>
      <c r="W534" s="132">
        <v>2200000000</v>
      </c>
      <c r="X534" s="132">
        <v>1215000000</v>
      </c>
      <c r="Y534" s="132">
        <v>-1160000000</v>
      </c>
      <c r="Z534" s="132">
        <v>-508320651.3499999</v>
      </c>
      <c r="AA534" s="132">
        <v>28208826.067349996</v>
      </c>
      <c r="AB534" s="132">
        <v>65535398</v>
      </c>
      <c r="AC534" s="132">
        <v>1252775031.0026498</v>
      </c>
      <c r="AD534" s="96">
        <v>-0.60644416382230615</v>
      </c>
      <c r="AE534" s="5">
        <f>SUMIFS(PGĐ!$H:$H,PGĐ!$F:$F,"="&amp;'HQ2'!B534,PGĐ!$I:$I,"="&amp;'HQ2'!A534)</f>
        <v>0</v>
      </c>
      <c r="AF534" s="96"/>
      <c r="AG534" s="7">
        <f>SUMIFS(ĐMCP!$Q:$Q,ĐMCP!$P:$P,"="&amp;'HQ2'!B534,ĐMCP!$O:$O,"="&amp;'HQ2'!A534)</f>
        <v>0</v>
      </c>
      <c r="AH534" s="7">
        <f t="shared" si="8"/>
        <v>0</v>
      </c>
    </row>
    <row r="535" spans="1:34" x14ac:dyDescent="0.25">
      <c r="A535" s="123" t="s">
        <v>111</v>
      </c>
      <c r="B535" s="16" t="s">
        <v>268</v>
      </c>
      <c r="C535" s="7">
        <v>579318207</v>
      </c>
      <c r="D535" s="7">
        <v>416291064</v>
      </c>
      <c r="E535" s="7">
        <v>163027143</v>
      </c>
      <c r="F535" s="7">
        <v>517921332.17999995</v>
      </c>
      <c r="G535" s="7">
        <v>210544299.69999999</v>
      </c>
      <c r="H535" s="7">
        <v>46106554.871999994</v>
      </c>
      <c r="I535" s="7">
        <v>471814777.30799997</v>
      </c>
      <c r="J535" s="7">
        <v>1184871543</v>
      </c>
      <c r="M535" s="7">
        <v>1184871543</v>
      </c>
      <c r="N535" s="7">
        <v>651679348.6500001</v>
      </c>
      <c r="O535" s="7">
        <v>100000000</v>
      </c>
      <c r="R535" s="7">
        <v>100000000</v>
      </c>
      <c r="S535" s="7">
        <v>55000000.000000007</v>
      </c>
      <c r="T535" s="7">
        <v>2100000000</v>
      </c>
      <c r="W535" s="7">
        <v>2100000000</v>
      </c>
      <c r="X535" s="7">
        <v>1155000000</v>
      </c>
      <c r="Y535" s="7">
        <v>-1100000000</v>
      </c>
      <c r="Z535" s="7">
        <v>-448320651.3499999</v>
      </c>
      <c r="AA535" s="7">
        <v>15537639.965399997</v>
      </c>
      <c r="AB535" s="7">
        <v>28407695</v>
      </c>
      <c r="AC535" s="7">
        <v>876190093.69259989</v>
      </c>
      <c r="AD535" s="17">
        <v>-0.9502047687186721</v>
      </c>
      <c r="AE535" s="5">
        <f>SUMIFS(PGĐ!$H:$H,PGĐ!$F:$F,"="&amp;'HQ2'!B535,PGĐ!$I:$I,"="&amp;'HQ2'!A535)</f>
        <v>81011573</v>
      </c>
      <c r="AF535" s="17"/>
      <c r="AG535" s="7">
        <f>SUMIFS(ĐMCP!$Q:$Q,ĐMCP!$P:$P,"="&amp;'HQ2'!B535,ĐMCP!$O:$O,"="&amp;'HQ2'!A535)</f>
        <v>28407694.833994795</v>
      </c>
      <c r="AH535" s="7">
        <f t="shared" si="8"/>
        <v>-0.1660052053630352</v>
      </c>
    </row>
    <row r="536" spans="1:34" x14ac:dyDescent="0.25">
      <c r="A536" s="123" t="s">
        <v>111</v>
      </c>
      <c r="B536" s="16" t="s">
        <v>271</v>
      </c>
      <c r="C536" s="7">
        <v>527612152</v>
      </c>
      <c r="D536" s="7">
        <v>48290909</v>
      </c>
      <c r="E536" s="7">
        <v>479321243</v>
      </c>
      <c r="F536" s="7">
        <v>383091415.46499997</v>
      </c>
      <c r="G536" s="7">
        <v>109218197.19999999</v>
      </c>
      <c r="H536" s="7">
        <v>54774643.652999997</v>
      </c>
      <c r="I536" s="7">
        <v>328316771.81199998</v>
      </c>
      <c r="T536" s="7">
        <v>100000000</v>
      </c>
      <c r="W536" s="7">
        <v>100000000</v>
      </c>
      <c r="X536" s="7">
        <v>60000000</v>
      </c>
      <c r="Y536" s="7">
        <v>-60000000</v>
      </c>
      <c r="Z536" s="7">
        <v>-60000000</v>
      </c>
      <c r="AA536" s="7">
        <v>11492742.463949999</v>
      </c>
      <c r="AB536" s="7">
        <v>37127703</v>
      </c>
      <c r="AC536" s="7">
        <v>339696326.34805</v>
      </c>
      <c r="AD536" s="17">
        <v>-0.1827503348941219</v>
      </c>
      <c r="AE536" s="5">
        <f>SUMIFS(PGĐ!$H:$H,PGĐ!$F:$F,"="&amp;'HQ2'!B536,PGĐ!$I:$I,"="&amp;'HQ2'!A536)</f>
        <v>15218000</v>
      </c>
      <c r="AF536" s="17"/>
      <c r="AG536" s="7">
        <f>SUMIFS(ĐMCP!$Q:$Q,ĐMCP!$P:$P,"="&amp;'HQ2'!B536,ĐMCP!$O:$O,"="&amp;'HQ2'!A536)</f>
        <v>37127703.295905299</v>
      </c>
      <c r="AH536" s="7">
        <f t="shared" si="8"/>
        <v>0.29590529948472977</v>
      </c>
    </row>
    <row r="537" spans="1:34" x14ac:dyDescent="0.25">
      <c r="A537" s="123" t="s">
        <v>111</v>
      </c>
      <c r="B537" s="16" t="s">
        <v>269</v>
      </c>
      <c r="C537" s="7">
        <v>65469091</v>
      </c>
      <c r="E537" s="7">
        <v>65469091</v>
      </c>
      <c r="F537" s="7">
        <v>39281454.600000001</v>
      </c>
      <c r="G537" s="7">
        <v>27137454.599999998</v>
      </c>
      <c r="H537" s="7">
        <v>1214400.0000000005</v>
      </c>
      <c r="I537" s="7">
        <v>38067054.600000001</v>
      </c>
      <c r="AA537" s="7">
        <v>1178443.638</v>
      </c>
      <c r="AB537" s="7">
        <v>0</v>
      </c>
      <c r="AC537" s="7">
        <v>36888610.962000005</v>
      </c>
      <c r="AD537" s="17"/>
      <c r="AE537" s="5">
        <f>SUMIFS(PGĐ!$H:$H,PGĐ!$F:$F,"="&amp;'HQ2'!B537,PGĐ!$I:$I,"="&amp;'HQ2'!A537)</f>
        <v>0</v>
      </c>
      <c r="AF537" s="17"/>
      <c r="AG537" s="7">
        <f>SUMIFS(ĐMCP!$Q:$Q,ĐMCP!$P:$P,"="&amp;'HQ2'!B537,ĐMCP!$O:$O,"="&amp;'HQ2'!A537)</f>
        <v>0</v>
      </c>
      <c r="AH537" s="7">
        <f t="shared" si="8"/>
        <v>0</v>
      </c>
    </row>
    <row r="538" spans="1:34" x14ac:dyDescent="0.25">
      <c r="A538" s="123" t="s">
        <v>111</v>
      </c>
      <c r="B538" s="16" t="s">
        <v>270</v>
      </c>
      <c r="AB538" s="7">
        <v>0</v>
      </c>
      <c r="AC538" s="7">
        <v>0</v>
      </c>
      <c r="AD538" s="17"/>
      <c r="AE538" s="5">
        <f>SUMIFS(PGĐ!$H:$H,PGĐ!$F:$F,"="&amp;'HQ2'!B538,PGĐ!$I:$I,"="&amp;'HQ2'!A538)</f>
        <v>0</v>
      </c>
      <c r="AF538" s="17"/>
      <c r="AG538" s="7">
        <f>SUMIFS(ĐMCP!$Q:$Q,ĐMCP!$P:$P,"="&amp;'HQ2'!B538,ĐMCP!$O:$O,"="&amp;'HQ2'!A538)</f>
        <v>0</v>
      </c>
      <c r="AH538" s="7">
        <f t="shared" si="8"/>
        <v>0</v>
      </c>
    </row>
    <row r="539" spans="1:34" x14ac:dyDescent="0.25">
      <c r="A539" s="123" t="s">
        <v>111</v>
      </c>
      <c r="B539" s="16" t="s">
        <v>273</v>
      </c>
      <c r="AB539" s="7">
        <v>0</v>
      </c>
      <c r="AC539" s="7">
        <v>0</v>
      </c>
      <c r="AD539" s="17"/>
      <c r="AE539" s="5">
        <f>SUMIFS(PGĐ!$H:$H,PGĐ!$F:$F,"="&amp;'HQ2'!B539,PGĐ!$I:$I,"="&amp;'HQ2'!A539)</f>
        <v>0</v>
      </c>
      <c r="AF539" s="17"/>
      <c r="AG539" s="7">
        <f>SUMIFS(ĐMCP!$Q:$Q,ĐMCP!$P:$P,"="&amp;'HQ2'!B539,ĐMCP!$O:$O,"="&amp;'HQ2'!A539)</f>
        <v>0</v>
      </c>
      <c r="AH539" s="7">
        <f t="shared" si="8"/>
        <v>0</v>
      </c>
    </row>
    <row r="540" spans="1:34" x14ac:dyDescent="0.25">
      <c r="A540" s="123" t="s">
        <v>111</v>
      </c>
      <c r="B540" s="16" t="s">
        <v>23</v>
      </c>
      <c r="AB540" s="7">
        <v>0</v>
      </c>
      <c r="AC540" s="7">
        <v>0</v>
      </c>
      <c r="AD540" s="17"/>
      <c r="AE540" s="5">
        <f>SUMIFS(PGĐ!$H:$H,PGĐ!$F:$F,"="&amp;'HQ2'!B540,PGĐ!$I:$I,"="&amp;'HQ2'!A540)</f>
        <v>0</v>
      </c>
      <c r="AF540" s="17"/>
      <c r="AG540" s="7">
        <f>SUMIFS(ĐMCP!$Q:$Q,ĐMCP!$P:$P,"="&amp;'HQ2'!B540,ĐMCP!$O:$O,"="&amp;'HQ2'!A540)</f>
        <v>0</v>
      </c>
      <c r="AH540" s="7">
        <f t="shared" si="8"/>
        <v>0</v>
      </c>
    </row>
    <row r="541" spans="1:34" x14ac:dyDescent="0.25">
      <c r="A541" s="123" t="s">
        <v>111</v>
      </c>
      <c r="B541" s="16" t="s">
        <v>272</v>
      </c>
      <c r="AB541" s="7">
        <v>0</v>
      </c>
      <c r="AC541" s="7">
        <v>0</v>
      </c>
      <c r="AD541" s="17"/>
      <c r="AE541" s="5">
        <f>SUMIFS(PGĐ!$H:$H,PGĐ!$F:$F,"="&amp;'HQ2'!B541,PGĐ!$I:$I,"="&amp;'HQ2'!A541)</f>
        <v>0</v>
      </c>
      <c r="AF541" s="17"/>
      <c r="AG541" s="7">
        <f>SUMIFS(ĐMCP!$Q:$Q,ĐMCP!$P:$P,"="&amp;'HQ2'!B541,ĐMCP!$O:$O,"="&amp;'HQ2'!A541)</f>
        <v>0</v>
      </c>
      <c r="AH541" s="7">
        <f t="shared" si="8"/>
        <v>0</v>
      </c>
    </row>
    <row r="542" spans="1:34" x14ac:dyDescent="0.25">
      <c r="A542" s="123" t="s">
        <v>113</v>
      </c>
      <c r="B542" s="15" t="s">
        <v>45</v>
      </c>
      <c r="C542" s="132">
        <v>977057704</v>
      </c>
      <c r="D542" s="132">
        <v>470791148</v>
      </c>
      <c r="E542" s="132">
        <v>506266556</v>
      </c>
      <c r="F542" s="132">
        <v>802210822.93999994</v>
      </c>
      <c r="G542" s="132">
        <v>1034009788.1999998</v>
      </c>
      <c r="H542" s="132">
        <v>-35156959.432999998</v>
      </c>
      <c r="I542" s="132">
        <v>837367782.37299991</v>
      </c>
      <c r="J542" s="132">
        <v>55202375</v>
      </c>
      <c r="K542" s="132"/>
      <c r="L542" s="132"/>
      <c r="M542" s="132">
        <v>55202375</v>
      </c>
      <c r="N542" s="132">
        <v>44161900</v>
      </c>
      <c r="O542" s="132">
        <v>88203188.900000006</v>
      </c>
      <c r="P542" s="132"/>
      <c r="Q542" s="132"/>
      <c r="R542" s="132">
        <v>88203188.900000006</v>
      </c>
      <c r="S542" s="132">
        <v>62921913.340000004</v>
      </c>
      <c r="T542" s="132">
        <v>38203188.899999999</v>
      </c>
      <c r="U542" s="132"/>
      <c r="V542" s="132"/>
      <c r="W542" s="132">
        <v>38203188.899999999</v>
      </c>
      <c r="X542" s="132">
        <v>22921913.34</v>
      </c>
      <c r="Y542" s="132">
        <v>40000000</v>
      </c>
      <c r="Z542" s="132">
        <v>84161900</v>
      </c>
      <c r="AA542" s="132">
        <v>24066324.688199997</v>
      </c>
      <c r="AB542" s="132">
        <v>310469618</v>
      </c>
      <c r="AC542" s="132">
        <v>418669939.68480003</v>
      </c>
      <c r="AD542" s="96">
        <v>0.1005076882245162</v>
      </c>
      <c r="AE542" s="5">
        <f>SUMIFS(PGĐ!$H:$H,PGĐ!$F:$F,"="&amp;'HQ2'!B542,PGĐ!$I:$I,"="&amp;'HQ2'!A542)</f>
        <v>0</v>
      </c>
      <c r="AF542" s="96"/>
      <c r="AG542" s="7">
        <f>SUMIFS(ĐMCP!$Q:$Q,ĐMCP!$P:$P,"="&amp;'HQ2'!B542,ĐMCP!$O:$O,"="&amp;'HQ2'!A542)</f>
        <v>0</v>
      </c>
      <c r="AH542" s="7">
        <f t="shared" si="8"/>
        <v>0</v>
      </c>
    </row>
    <row r="543" spans="1:34" x14ac:dyDescent="0.25">
      <c r="A543" s="123" t="s">
        <v>113</v>
      </c>
      <c r="B543" s="16" t="s">
        <v>268</v>
      </c>
      <c r="C543" s="7">
        <v>608415839</v>
      </c>
      <c r="D543" s="7">
        <v>161814966</v>
      </c>
      <c r="E543" s="7">
        <v>446600873</v>
      </c>
      <c r="F543" s="7">
        <v>469581128.11999995</v>
      </c>
      <c r="G543" s="7">
        <v>698720472.0999999</v>
      </c>
      <c r="H543" s="7">
        <v>-34370901.596999995</v>
      </c>
      <c r="I543" s="7">
        <v>503952029.71699995</v>
      </c>
      <c r="AA543" s="7">
        <v>14087433.843599997</v>
      </c>
      <c r="AB543" s="7">
        <v>134738248</v>
      </c>
      <c r="AC543" s="7">
        <v>355126347.87339997</v>
      </c>
      <c r="AD543" s="17"/>
      <c r="AE543" s="5">
        <f>SUMIFS(PGĐ!$H:$H,PGĐ!$F:$F,"="&amp;'HQ2'!B543,PGĐ!$I:$I,"="&amp;'HQ2'!A543)</f>
        <v>0</v>
      </c>
      <c r="AF543" s="17"/>
      <c r="AG543" s="7">
        <f>SUMIFS(ĐMCP!$Q:$Q,ĐMCP!$P:$P,"="&amp;'HQ2'!B543,ĐMCP!$O:$O,"="&amp;'HQ2'!A543)</f>
        <v>134738247.55209535</v>
      </c>
      <c r="AH543" s="7">
        <f t="shared" si="8"/>
        <v>-0.44790464639663696</v>
      </c>
    </row>
    <row r="544" spans="1:34" x14ac:dyDescent="0.25">
      <c r="A544" s="123" t="s">
        <v>113</v>
      </c>
      <c r="B544" s="16" t="s">
        <v>272</v>
      </c>
      <c r="C544" s="7">
        <v>223246001</v>
      </c>
      <c r="D544" s="7">
        <v>222846001</v>
      </c>
      <c r="E544" s="7">
        <v>400000</v>
      </c>
      <c r="F544" s="7">
        <v>208681010.935</v>
      </c>
      <c r="G544" s="7">
        <v>177643544</v>
      </c>
      <c r="H544" s="7">
        <v>6207493.387000001</v>
      </c>
      <c r="I544" s="7">
        <v>202473517.54800001</v>
      </c>
      <c r="J544" s="7">
        <v>55202375</v>
      </c>
      <c r="M544" s="7">
        <v>55202375</v>
      </c>
      <c r="N544" s="7">
        <v>44161900</v>
      </c>
      <c r="O544" s="7">
        <v>50000000</v>
      </c>
      <c r="R544" s="7">
        <v>50000000</v>
      </c>
      <c r="S544" s="7">
        <v>40000000</v>
      </c>
      <c r="Y544" s="7">
        <v>40000000</v>
      </c>
      <c r="Z544" s="7">
        <v>84161900</v>
      </c>
      <c r="AA544" s="7">
        <v>6260430.3280499997</v>
      </c>
      <c r="AB544" s="7">
        <v>92469775</v>
      </c>
      <c r="AC544" s="7">
        <v>19581412.219950009</v>
      </c>
      <c r="AD544" s="17">
        <v>0.41566868111553357</v>
      </c>
      <c r="AE544" s="5">
        <f>SUMIFS(PGĐ!$H:$H,PGĐ!$F:$F,"="&amp;'HQ2'!B544,PGĐ!$I:$I,"="&amp;'HQ2'!A544)</f>
        <v>0</v>
      </c>
      <c r="AF544" s="17"/>
      <c r="AG544" s="7">
        <f>SUMIFS(ĐMCP!$Q:$Q,ĐMCP!$P:$P,"="&amp;'HQ2'!B544,ĐMCP!$O:$O,"="&amp;'HQ2'!A544)</f>
        <v>92469774.62500529</v>
      </c>
      <c r="AH544" s="7">
        <f t="shared" si="8"/>
        <v>-0.37499471008777618</v>
      </c>
    </row>
    <row r="545" spans="1:34" x14ac:dyDescent="0.25">
      <c r="A545" s="123" t="s">
        <v>113</v>
      </c>
      <c r="B545" s="16" t="s">
        <v>271</v>
      </c>
      <c r="C545" s="7">
        <v>82398181</v>
      </c>
      <c r="D545" s="7">
        <v>82398181</v>
      </c>
      <c r="F545" s="7">
        <v>81162208.284999996</v>
      </c>
      <c r="G545" s="7">
        <v>117400632.3</v>
      </c>
      <c r="H545" s="7">
        <v>-7247684.8030000003</v>
      </c>
      <c r="I545" s="7">
        <v>88409893.088</v>
      </c>
      <c r="O545" s="7">
        <v>38203188.899999999</v>
      </c>
      <c r="R545" s="7">
        <v>38203188.899999999</v>
      </c>
      <c r="S545" s="7">
        <v>22921913.34</v>
      </c>
      <c r="T545" s="7">
        <v>38203188.899999999</v>
      </c>
      <c r="W545" s="7">
        <v>38203188.899999999</v>
      </c>
      <c r="X545" s="7">
        <v>22921913.34</v>
      </c>
      <c r="Y545" s="7">
        <v>0</v>
      </c>
      <c r="Z545" s="7">
        <v>0</v>
      </c>
      <c r="AA545" s="7">
        <v>2434866.2485499997</v>
      </c>
      <c r="AB545" s="7">
        <v>73177736</v>
      </c>
      <c r="AC545" s="7">
        <v>12797290.83945</v>
      </c>
      <c r="AD545" s="17">
        <v>0</v>
      </c>
      <c r="AE545" s="5">
        <f>SUMIFS(PGĐ!$H:$H,PGĐ!$F:$F,"="&amp;'HQ2'!B545,PGĐ!$I:$I,"="&amp;'HQ2'!A545)</f>
        <v>0</v>
      </c>
      <c r="AF545" s="17"/>
      <c r="AG545" s="7">
        <f>SUMIFS(ĐMCP!$Q:$Q,ĐMCP!$P:$P,"="&amp;'HQ2'!B545,ĐMCP!$O:$O,"="&amp;'HQ2'!A545)</f>
        <v>73177735.605520189</v>
      </c>
      <c r="AH545" s="7">
        <f t="shared" si="8"/>
        <v>-0.39447981119155884</v>
      </c>
    </row>
    <row r="546" spans="1:34" x14ac:dyDescent="0.25">
      <c r="A546" s="123" t="s">
        <v>113</v>
      </c>
      <c r="B546" s="16" t="s">
        <v>269</v>
      </c>
      <c r="C546" s="7">
        <v>40577454</v>
      </c>
      <c r="E546" s="7">
        <v>40577454</v>
      </c>
      <c r="F546" s="7">
        <v>24346472.399999999</v>
      </c>
      <c r="G546" s="7">
        <v>21364363.800000001</v>
      </c>
      <c r="H546" s="7">
        <v>298210.85999999981</v>
      </c>
      <c r="I546" s="7">
        <v>24048261.539999999</v>
      </c>
      <c r="AA546" s="7">
        <v>730394.1719999999</v>
      </c>
      <c r="AB546" s="7">
        <v>1322357</v>
      </c>
      <c r="AC546" s="7">
        <v>21995510.368000001</v>
      </c>
      <c r="AD546" s="17"/>
      <c r="AE546" s="5">
        <f>SUMIFS(PGĐ!$H:$H,PGĐ!$F:$F,"="&amp;'HQ2'!B546,PGĐ!$I:$I,"="&amp;'HQ2'!A546)</f>
        <v>0</v>
      </c>
      <c r="AF546" s="17"/>
      <c r="AG546" s="7">
        <f>SUMIFS(ĐMCP!$Q:$Q,ĐMCP!$P:$P,"="&amp;'HQ2'!B546,ĐMCP!$O:$O,"="&amp;'HQ2'!A546)</f>
        <v>1322356.7067998261</v>
      </c>
      <c r="AH546" s="7">
        <f t="shared" si="8"/>
        <v>-0.29320017388090491</v>
      </c>
    </row>
    <row r="547" spans="1:34" x14ac:dyDescent="0.25">
      <c r="A547" s="123" t="s">
        <v>113</v>
      </c>
      <c r="B547" s="16" t="s">
        <v>270</v>
      </c>
      <c r="C547" s="7">
        <v>22420229</v>
      </c>
      <c r="D547" s="7">
        <v>3732000</v>
      </c>
      <c r="E547" s="7">
        <v>18688229</v>
      </c>
      <c r="F547" s="7">
        <v>18440003.200000003</v>
      </c>
      <c r="G547" s="7">
        <v>18880776</v>
      </c>
      <c r="H547" s="7">
        <v>-44077.279999999708</v>
      </c>
      <c r="I547" s="7">
        <v>18484080.480000004</v>
      </c>
      <c r="AA547" s="7">
        <v>553200.09600000002</v>
      </c>
      <c r="AB547" s="7">
        <v>8761502</v>
      </c>
      <c r="AC547" s="7">
        <v>9169378.3840000033</v>
      </c>
      <c r="AD547" s="17"/>
      <c r="AE547" s="5">
        <f>SUMIFS(PGĐ!$H:$H,PGĐ!$F:$F,"="&amp;'HQ2'!B547,PGĐ!$I:$I,"="&amp;'HQ2'!A547)</f>
        <v>0</v>
      </c>
      <c r="AF547" s="17"/>
      <c r="AG547" s="7">
        <f>SUMIFS(ĐMCP!$Q:$Q,ĐMCP!$P:$P,"="&amp;'HQ2'!B547,ĐMCP!$O:$O,"="&amp;'HQ2'!A547)</f>
        <v>8761502.1153793205</v>
      </c>
      <c r="AH547" s="7">
        <f t="shared" si="8"/>
        <v>0.11537932045757771</v>
      </c>
    </row>
    <row r="548" spans="1:34" x14ac:dyDescent="0.25">
      <c r="A548" s="123" t="s">
        <v>113</v>
      </c>
      <c r="B548" s="16" t="s">
        <v>273</v>
      </c>
      <c r="AB548" s="7">
        <v>0</v>
      </c>
      <c r="AC548" s="7">
        <v>0</v>
      </c>
      <c r="AD548" s="17"/>
      <c r="AE548" s="5">
        <f>SUMIFS(PGĐ!$H:$H,PGĐ!$F:$F,"="&amp;'HQ2'!B548,PGĐ!$I:$I,"="&amp;'HQ2'!A548)</f>
        <v>0</v>
      </c>
      <c r="AF548" s="17"/>
      <c r="AG548" s="7">
        <f>SUMIFS(ĐMCP!$Q:$Q,ĐMCP!$P:$P,"="&amp;'HQ2'!B548,ĐMCP!$O:$O,"="&amp;'HQ2'!A548)</f>
        <v>0</v>
      </c>
      <c r="AH548" s="7">
        <f t="shared" si="8"/>
        <v>0</v>
      </c>
    </row>
    <row r="549" spans="1:34" x14ac:dyDescent="0.25">
      <c r="A549" s="123" t="s">
        <v>113</v>
      </c>
      <c r="B549" s="16" t="s">
        <v>23</v>
      </c>
      <c r="AB549" s="7">
        <v>0</v>
      </c>
      <c r="AC549" s="7">
        <v>0</v>
      </c>
      <c r="AD549" s="17"/>
      <c r="AE549" s="5">
        <f>SUMIFS(PGĐ!$H:$H,PGĐ!$F:$F,"="&amp;'HQ2'!B549,PGĐ!$I:$I,"="&amp;'HQ2'!A549)</f>
        <v>0</v>
      </c>
      <c r="AF549" s="17"/>
      <c r="AG549" s="7">
        <f>SUMIFS(ĐMCP!$Q:$Q,ĐMCP!$P:$P,"="&amp;'HQ2'!B549,ĐMCP!$O:$O,"="&amp;'HQ2'!A549)</f>
        <v>0</v>
      </c>
      <c r="AH549" s="7">
        <f t="shared" si="8"/>
        <v>0</v>
      </c>
    </row>
    <row r="550" spans="1:34" x14ac:dyDescent="0.25">
      <c r="A550" s="123" t="s">
        <v>114</v>
      </c>
      <c r="B550" s="15" t="s">
        <v>45</v>
      </c>
      <c r="C550" s="132">
        <v>1021546067</v>
      </c>
      <c r="D550" s="132">
        <v>247200483</v>
      </c>
      <c r="E550" s="132">
        <v>774345584</v>
      </c>
      <c r="F550" s="132">
        <v>775428070.125</v>
      </c>
      <c r="G550" s="132">
        <v>885323808.29999995</v>
      </c>
      <c r="H550" s="132">
        <v>-24981222.632000003</v>
      </c>
      <c r="I550" s="132">
        <v>800409292.75699997</v>
      </c>
      <c r="J550" s="132">
        <v>110685000</v>
      </c>
      <c r="K550" s="132"/>
      <c r="L550" s="132"/>
      <c r="M550" s="132">
        <v>110685000</v>
      </c>
      <c r="N550" s="132">
        <v>66411000</v>
      </c>
      <c r="O550" s="132">
        <v>30932883.199999999</v>
      </c>
      <c r="P550" s="132"/>
      <c r="Q550" s="132"/>
      <c r="R550" s="132">
        <v>30932883.199999999</v>
      </c>
      <c r="S550" s="132">
        <v>18559729.919999998</v>
      </c>
      <c r="T550" s="132">
        <v>150000000</v>
      </c>
      <c r="U550" s="132"/>
      <c r="V550" s="132"/>
      <c r="W550" s="132">
        <v>150000000</v>
      </c>
      <c r="X550" s="132">
        <v>90000000</v>
      </c>
      <c r="Y550" s="132">
        <v>-71440270.079999998</v>
      </c>
      <c r="Z550" s="132">
        <v>-5029270.0799999982</v>
      </c>
      <c r="AA550" s="132">
        <v>23262842.103749998</v>
      </c>
      <c r="AB550" s="132">
        <v>93150574</v>
      </c>
      <c r="AC550" s="132">
        <v>689025146.7332499</v>
      </c>
      <c r="AD550" s="96">
        <v>-6.2833729262147114E-3</v>
      </c>
      <c r="AE550" s="5">
        <f>SUMIFS(PGĐ!$H:$H,PGĐ!$F:$F,"="&amp;'HQ2'!B550,PGĐ!$I:$I,"="&amp;'HQ2'!A550)</f>
        <v>0</v>
      </c>
      <c r="AF550" s="96"/>
      <c r="AG550" s="7">
        <f>SUMIFS(ĐMCP!$Q:$Q,ĐMCP!$P:$P,"="&amp;'HQ2'!B550,ĐMCP!$O:$O,"="&amp;'HQ2'!A550)</f>
        <v>0</v>
      </c>
      <c r="AH550" s="7">
        <f t="shared" si="8"/>
        <v>0</v>
      </c>
    </row>
    <row r="551" spans="1:34" x14ac:dyDescent="0.25">
      <c r="A551" s="123" t="s">
        <v>114</v>
      </c>
      <c r="B551" s="16" t="s">
        <v>268</v>
      </c>
      <c r="C551" s="7">
        <v>862063265</v>
      </c>
      <c r="D551" s="7">
        <v>147226772</v>
      </c>
      <c r="E551" s="7">
        <v>714836493</v>
      </c>
      <c r="F551" s="7">
        <v>643195513.93999994</v>
      </c>
      <c r="G551" s="7">
        <v>631777720</v>
      </c>
      <c r="H551" s="7">
        <v>1712669.0909999907</v>
      </c>
      <c r="I551" s="7">
        <v>641482844.84899998</v>
      </c>
      <c r="AA551" s="7">
        <v>19295865.418199997</v>
      </c>
      <c r="AB551" s="7">
        <v>72851318</v>
      </c>
      <c r="AC551" s="7">
        <v>549335661.43079996</v>
      </c>
      <c r="AD551" s="17"/>
      <c r="AE551" s="5">
        <f>SUMIFS(PGĐ!$H:$H,PGĐ!$F:$F,"="&amp;'HQ2'!B551,PGĐ!$I:$I,"="&amp;'HQ2'!A551)</f>
        <v>0</v>
      </c>
      <c r="AF551" s="17"/>
      <c r="AG551" s="7">
        <f>SUMIFS(ĐMCP!$Q:$Q,ĐMCP!$P:$P,"="&amp;'HQ2'!B551,ĐMCP!$O:$O,"="&amp;'HQ2'!A551)</f>
        <v>72851317.83281447</v>
      </c>
      <c r="AH551" s="7">
        <f t="shared" si="8"/>
        <v>-0.16718553006649017</v>
      </c>
    </row>
    <row r="552" spans="1:34" x14ac:dyDescent="0.25">
      <c r="A552" s="123" t="s">
        <v>114</v>
      </c>
      <c r="B552" s="16" t="s">
        <v>271</v>
      </c>
      <c r="C552" s="7">
        <v>61033636</v>
      </c>
      <c r="D552" s="7">
        <v>61033636</v>
      </c>
      <c r="F552" s="7">
        <v>60118131.460000001</v>
      </c>
      <c r="G552" s="7">
        <v>163742026.69999999</v>
      </c>
      <c r="H552" s="7">
        <v>-20724779.047999997</v>
      </c>
      <c r="I552" s="7">
        <v>80842910.508000001</v>
      </c>
      <c r="J552" s="7">
        <v>110685000</v>
      </c>
      <c r="M552" s="7">
        <v>110685000</v>
      </c>
      <c r="N552" s="7">
        <v>66411000</v>
      </c>
      <c r="O552" s="7">
        <v>30932883.199999999</v>
      </c>
      <c r="R552" s="7">
        <v>30932883.199999999</v>
      </c>
      <c r="S552" s="7">
        <v>18559729.919999998</v>
      </c>
      <c r="T552" s="7">
        <v>150000000</v>
      </c>
      <c r="W552" s="7">
        <v>150000000</v>
      </c>
      <c r="X552" s="7">
        <v>90000000</v>
      </c>
      <c r="Y552" s="7">
        <v>-71440270.079999998</v>
      </c>
      <c r="Z552" s="7">
        <v>-5029270.0799999982</v>
      </c>
      <c r="AA552" s="7">
        <v>1803543.9438</v>
      </c>
      <c r="AB552" s="7">
        <v>4611686</v>
      </c>
      <c r="AC552" s="7">
        <v>79456950.644199997</v>
      </c>
      <c r="AD552" s="17">
        <v>-6.2210403465153753E-2</v>
      </c>
      <c r="AE552" s="5">
        <f>SUMIFS(PGĐ!$H:$H,PGĐ!$F:$F,"="&amp;'HQ2'!B552,PGĐ!$I:$I,"="&amp;'HQ2'!A552)</f>
        <v>14100000</v>
      </c>
      <c r="AF552" s="17"/>
      <c r="AG552" s="7">
        <f>SUMIFS(ĐMCP!$Q:$Q,ĐMCP!$P:$P,"="&amp;'HQ2'!B552,ĐMCP!$O:$O,"="&amp;'HQ2'!A552)</f>
        <v>4611686.4312461251</v>
      </c>
      <c r="AH552" s="7">
        <f t="shared" si="8"/>
        <v>0.43124612513929605</v>
      </c>
    </row>
    <row r="553" spans="1:34" x14ac:dyDescent="0.25">
      <c r="A553" s="123" t="s">
        <v>114</v>
      </c>
      <c r="B553" s="16" t="s">
        <v>272</v>
      </c>
      <c r="C553" s="7">
        <v>38940075</v>
      </c>
      <c r="D553" s="7">
        <v>38940075</v>
      </c>
      <c r="F553" s="7">
        <v>36408970.125</v>
      </c>
      <c r="G553" s="7">
        <v>78410460</v>
      </c>
      <c r="H553" s="7">
        <v>-8400297.9749999996</v>
      </c>
      <c r="I553" s="7">
        <v>44809268.100000001</v>
      </c>
      <c r="AA553" s="7">
        <v>1092269.10375</v>
      </c>
      <c r="AB553" s="7">
        <v>15493562</v>
      </c>
      <c r="AC553" s="7">
        <v>28223436.99625</v>
      </c>
      <c r="AD553" s="17"/>
      <c r="AE553" s="5">
        <f>SUMIFS(PGĐ!$H:$H,PGĐ!$F:$F,"="&amp;'HQ2'!B553,PGĐ!$I:$I,"="&amp;'HQ2'!A553)</f>
        <v>0</v>
      </c>
      <c r="AF553" s="17"/>
      <c r="AG553" s="7">
        <f>SUMIFS(ĐMCP!$Q:$Q,ĐMCP!$P:$P,"="&amp;'HQ2'!B553,ĐMCP!$O:$O,"="&amp;'HQ2'!A553)</f>
        <v>15493561.717766535</v>
      </c>
      <c r="AH553" s="7">
        <f t="shared" si="8"/>
        <v>-0.28223346546292305</v>
      </c>
    </row>
    <row r="554" spans="1:34" x14ac:dyDescent="0.25">
      <c r="A554" s="123" t="s">
        <v>114</v>
      </c>
      <c r="B554" s="16" t="s">
        <v>269</v>
      </c>
      <c r="C554" s="7">
        <v>59509091</v>
      </c>
      <c r="E554" s="7">
        <v>59509091</v>
      </c>
      <c r="F554" s="7">
        <v>35705454.600000001</v>
      </c>
      <c r="H554" s="7">
        <v>3570545.4600000004</v>
      </c>
      <c r="I554" s="7">
        <v>32134909.140000001</v>
      </c>
      <c r="AA554" s="7">
        <v>1071163.638</v>
      </c>
      <c r="AB554" s="7">
        <v>194008</v>
      </c>
      <c r="AC554" s="7">
        <v>30869737.502</v>
      </c>
      <c r="AD554" s="17"/>
      <c r="AE554" s="5">
        <f>SUMIFS(PGĐ!$H:$H,PGĐ!$F:$F,"="&amp;'HQ2'!B554,PGĐ!$I:$I,"="&amp;'HQ2'!A554)</f>
        <v>0</v>
      </c>
      <c r="AF554" s="17"/>
      <c r="AG554" s="7">
        <f>SUMIFS(ĐMCP!$Q:$Q,ĐMCP!$P:$P,"="&amp;'HQ2'!B554,ĐMCP!$O:$O,"="&amp;'HQ2'!A554)</f>
        <v>194008.41175904096</v>
      </c>
      <c r="AH554" s="7">
        <f t="shared" si="8"/>
        <v>0.41175904095871374</v>
      </c>
    </row>
    <row r="555" spans="1:34" x14ac:dyDescent="0.25">
      <c r="A555" s="123" t="s">
        <v>114</v>
      </c>
      <c r="B555" s="16" t="s">
        <v>270</v>
      </c>
      <c r="G555" s="7">
        <v>11393601.600000001</v>
      </c>
      <c r="H555" s="7">
        <v>-1139360.1600000001</v>
      </c>
      <c r="I555" s="7">
        <v>1139360.1600000001</v>
      </c>
      <c r="AB555" s="7">
        <v>0</v>
      </c>
      <c r="AC555" s="7">
        <v>1139360.1600000001</v>
      </c>
      <c r="AD555" s="17"/>
      <c r="AE555" s="5">
        <f>SUMIFS(PGĐ!$H:$H,PGĐ!$F:$F,"="&amp;'HQ2'!B555,PGĐ!$I:$I,"="&amp;'HQ2'!A555)</f>
        <v>0</v>
      </c>
      <c r="AF555" s="17"/>
      <c r="AG555" s="7">
        <f>SUMIFS(ĐMCP!$Q:$Q,ĐMCP!$P:$P,"="&amp;'HQ2'!B555,ĐMCP!$O:$O,"="&amp;'HQ2'!A555)</f>
        <v>0</v>
      </c>
      <c r="AH555" s="7">
        <f t="shared" si="8"/>
        <v>0</v>
      </c>
    </row>
    <row r="556" spans="1:34" x14ac:dyDescent="0.25">
      <c r="A556" s="123" t="s">
        <v>114</v>
      </c>
      <c r="B556" s="16" t="s">
        <v>273</v>
      </c>
      <c r="AB556" s="7">
        <v>0</v>
      </c>
      <c r="AC556" s="7">
        <v>0</v>
      </c>
      <c r="AD556" s="17"/>
      <c r="AE556" s="5">
        <f>SUMIFS(PGĐ!$H:$H,PGĐ!$F:$F,"="&amp;'HQ2'!B556,PGĐ!$I:$I,"="&amp;'HQ2'!A556)</f>
        <v>0</v>
      </c>
      <c r="AF556" s="17"/>
      <c r="AG556" s="7">
        <f>SUMIFS(ĐMCP!$Q:$Q,ĐMCP!$P:$P,"="&amp;'HQ2'!B556,ĐMCP!$O:$O,"="&amp;'HQ2'!A556)</f>
        <v>0</v>
      </c>
      <c r="AH556" s="7">
        <f t="shared" si="8"/>
        <v>0</v>
      </c>
    </row>
    <row r="557" spans="1:34" x14ac:dyDescent="0.25">
      <c r="A557" s="123" t="s">
        <v>114</v>
      </c>
      <c r="B557" s="16" t="s">
        <v>23</v>
      </c>
      <c r="AB557" s="7">
        <v>0</v>
      </c>
      <c r="AC557" s="7">
        <v>0</v>
      </c>
      <c r="AD557" s="17"/>
      <c r="AE557" s="5">
        <f>SUMIFS(PGĐ!$H:$H,PGĐ!$F:$F,"="&amp;'HQ2'!B557,PGĐ!$I:$I,"="&amp;'HQ2'!A557)</f>
        <v>0</v>
      </c>
      <c r="AF557" s="17"/>
      <c r="AG557" s="7">
        <f>SUMIFS(ĐMCP!$Q:$Q,ĐMCP!$P:$P,"="&amp;'HQ2'!B557,ĐMCP!$O:$O,"="&amp;'HQ2'!A557)</f>
        <v>0</v>
      </c>
      <c r="AH557" s="7">
        <f t="shared" si="8"/>
        <v>0</v>
      </c>
    </row>
    <row r="558" spans="1:34" x14ac:dyDescent="0.25">
      <c r="A558" s="123" t="s">
        <v>115</v>
      </c>
      <c r="B558" s="15" t="s">
        <v>45</v>
      </c>
      <c r="C558" s="132">
        <v>1093211591</v>
      </c>
      <c r="D558" s="132">
        <v>3800909</v>
      </c>
      <c r="E558" s="132">
        <v>1089410682</v>
      </c>
      <c r="F558" s="132">
        <v>766274359.13</v>
      </c>
      <c r="G558" s="132"/>
      <c r="H558" s="132">
        <v>114941153.8695</v>
      </c>
      <c r="I558" s="132">
        <v>651333205.26049995</v>
      </c>
      <c r="J558" s="132">
        <v>34432903</v>
      </c>
      <c r="K558" s="132"/>
      <c r="L558" s="132"/>
      <c r="M558" s="132">
        <v>34432903</v>
      </c>
      <c r="N558" s="132">
        <v>18938096.650000002</v>
      </c>
      <c r="O558" s="132"/>
      <c r="P558" s="132"/>
      <c r="Q558" s="132"/>
      <c r="R558" s="132"/>
      <c r="S558" s="132"/>
      <c r="T558" s="132">
        <v>50000000</v>
      </c>
      <c r="U558" s="132">
        <v>50000000</v>
      </c>
      <c r="V558" s="132">
        <v>50000000</v>
      </c>
      <c r="W558" s="132">
        <v>-50000000</v>
      </c>
      <c r="X558" s="132">
        <v>24784097.559999999</v>
      </c>
      <c r="Y558" s="132">
        <v>-24784097.559999999</v>
      </c>
      <c r="Z558" s="132">
        <v>-5846000.9099999964</v>
      </c>
      <c r="AA558" s="132">
        <v>22988230.773899999</v>
      </c>
      <c r="AB558" s="132">
        <v>924000</v>
      </c>
      <c r="AC558" s="132">
        <v>633266975.39659989</v>
      </c>
      <c r="AD558" s="96">
        <v>-8.9754381671081785E-3</v>
      </c>
      <c r="AE558" s="5">
        <f>SUMIFS(PGĐ!$H:$H,PGĐ!$F:$F,"="&amp;'HQ2'!B558,PGĐ!$I:$I,"="&amp;'HQ2'!A558)</f>
        <v>0</v>
      </c>
      <c r="AF558" s="96"/>
      <c r="AG558" s="7">
        <f>SUMIFS(ĐMCP!$Q:$Q,ĐMCP!$P:$P,"="&amp;'HQ2'!B558,ĐMCP!$O:$O,"="&amp;'HQ2'!A558)</f>
        <v>0</v>
      </c>
      <c r="AH558" s="7">
        <f t="shared" si="8"/>
        <v>0</v>
      </c>
    </row>
    <row r="559" spans="1:34" x14ac:dyDescent="0.25">
      <c r="A559" s="123" t="s">
        <v>115</v>
      </c>
      <c r="B559" s="16" t="s">
        <v>268</v>
      </c>
      <c r="C559" s="7">
        <v>1093211591</v>
      </c>
      <c r="D559" s="7">
        <v>3800909</v>
      </c>
      <c r="E559" s="7">
        <v>1089410682</v>
      </c>
      <c r="F559" s="7">
        <v>766274359.13</v>
      </c>
      <c r="H559" s="7">
        <v>114941153.8695</v>
      </c>
      <c r="I559" s="7">
        <v>651333205.26049995</v>
      </c>
      <c r="J559" s="7">
        <v>34432903</v>
      </c>
      <c r="M559" s="7">
        <v>34432903</v>
      </c>
      <c r="N559" s="7">
        <v>18938096.650000002</v>
      </c>
      <c r="T559" s="7">
        <v>50000000</v>
      </c>
      <c r="U559" s="7">
        <v>50000000</v>
      </c>
      <c r="V559" s="7">
        <v>50000000</v>
      </c>
      <c r="W559" s="7">
        <v>-50000000</v>
      </c>
      <c r="X559" s="7">
        <v>24784097.559999999</v>
      </c>
      <c r="Y559" s="7">
        <v>-24784097.559999999</v>
      </c>
      <c r="Z559" s="7">
        <v>-5846000.9099999964</v>
      </c>
      <c r="AA559" s="7">
        <v>22988230.773899999</v>
      </c>
      <c r="AB559" s="7">
        <v>924000</v>
      </c>
      <c r="AC559" s="7">
        <v>633266975.39659989</v>
      </c>
      <c r="AD559" s="17">
        <v>-8.9754381671081785E-3</v>
      </c>
      <c r="AE559" s="5">
        <f>SUMIFS(PGĐ!$H:$H,PGĐ!$F:$F,"="&amp;'HQ2'!B559,PGĐ!$I:$I,"="&amp;'HQ2'!A559)</f>
        <v>13210000</v>
      </c>
      <c r="AF559" s="17"/>
      <c r="AG559" s="7">
        <f>SUMIFS(ĐMCP!$Q:$Q,ĐMCP!$P:$P,"="&amp;'HQ2'!B559,ĐMCP!$O:$O,"="&amp;'HQ2'!A559)</f>
        <v>924000</v>
      </c>
      <c r="AH559" s="7">
        <f t="shared" si="8"/>
        <v>0</v>
      </c>
    </row>
    <row r="560" spans="1:34" x14ac:dyDescent="0.25">
      <c r="A560" s="123" t="s">
        <v>112</v>
      </c>
      <c r="B560" s="15" t="s">
        <v>45</v>
      </c>
      <c r="C560" s="132">
        <v>1008463283</v>
      </c>
      <c r="D560" s="132">
        <v>371713058</v>
      </c>
      <c r="E560" s="132">
        <v>636750225</v>
      </c>
      <c r="F560" s="132">
        <v>739681851.05499995</v>
      </c>
      <c r="G560" s="132">
        <v>863260180.29999995</v>
      </c>
      <c r="H560" s="132">
        <v>-29391231.471499998</v>
      </c>
      <c r="I560" s="132">
        <v>769073082.52649999</v>
      </c>
      <c r="J560" s="132">
        <v>1180883000</v>
      </c>
      <c r="K560" s="132"/>
      <c r="L560" s="132"/>
      <c r="M560" s="132">
        <v>1180883000</v>
      </c>
      <c r="N560" s="132">
        <v>577196400</v>
      </c>
      <c r="O560" s="132">
        <v>5324400000</v>
      </c>
      <c r="P560" s="132"/>
      <c r="Q560" s="132">
        <v>35000000</v>
      </c>
      <c r="R560" s="132">
        <v>5289400000</v>
      </c>
      <c r="S560" s="132">
        <v>1371350000</v>
      </c>
      <c r="T560" s="132">
        <v>5652578000</v>
      </c>
      <c r="U560" s="132"/>
      <c r="V560" s="132"/>
      <c r="W560" s="132">
        <v>5652578000</v>
      </c>
      <c r="X560" s="132">
        <v>1427144500</v>
      </c>
      <c r="Y560" s="132">
        <v>-55794500</v>
      </c>
      <c r="Z560" s="132">
        <v>521401900</v>
      </c>
      <c r="AA560" s="132">
        <v>22190455.531649999</v>
      </c>
      <c r="AB560" s="132">
        <v>543354095</v>
      </c>
      <c r="AC560" s="132">
        <v>-317873368.00515008</v>
      </c>
      <c r="AD560" s="96">
        <v>0.67796144715809115</v>
      </c>
      <c r="AE560" s="5">
        <f>SUMIFS(PGĐ!$H:$H,PGĐ!$F:$F,"="&amp;'HQ2'!B560,PGĐ!$I:$I,"="&amp;'HQ2'!A560)</f>
        <v>0</v>
      </c>
      <c r="AF560" s="96"/>
      <c r="AG560" s="7">
        <f>SUMIFS(ĐMCP!$Q:$Q,ĐMCP!$P:$P,"="&amp;'HQ2'!B560,ĐMCP!$O:$O,"="&amp;'HQ2'!A560)</f>
        <v>0</v>
      </c>
      <c r="AH560" s="7">
        <f t="shared" si="8"/>
        <v>0</v>
      </c>
    </row>
    <row r="561" spans="1:34" x14ac:dyDescent="0.25">
      <c r="A561" s="123" t="s">
        <v>112</v>
      </c>
      <c r="B561" s="16" t="s">
        <v>271</v>
      </c>
      <c r="C561" s="7">
        <v>332331458</v>
      </c>
      <c r="D561" s="7">
        <v>66064993</v>
      </c>
      <c r="E561" s="7">
        <v>266266465</v>
      </c>
      <c r="F561" s="7">
        <v>251460543.60499999</v>
      </c>
      <c r="G561" s="7">
        <v>150757569.89999998</v>
      </c>
      <c r="H561" s="7">
        <v>20140594.741000004</v>
      </c>
      <c r="I561" s="7">
        <v>231319948.86399999</v>
      </c>
      <c r="O561" s="7">
        <v>40000000</v>
      </c>
      <c r="R561" s="7">
        <v>40000000</v>
      </c>
      <c r="S561" s="7">
        <v>24000000</v>
      </c>
      <c r="T561" s="7">
        <v>40000000</v>
      </c>
      <c r="W561" s="7">
        <v>40000000</v>
      </c>
      <c r="X561" s="7">
        <v>24000000</v>
      </c>
      <c r="Y561" s="7">
        <v>0</v>
      </c>
      <c r="Z561" s="7">
        <v>0</v>
      </c>
      <c r="AA561" s="7">
        <v>7543816.308149999</v>
      </c>
      <c r="AB561" s="7">
        <v>274850527</v>
      </c>
      <c r="AC561" s="7">
        <v>-51074394.444150008</v>
      </c>
      <c r="AD561" s="17">
        <v>0</v>
      </c>
      <c r="AE561" s="5">
        <f>SUMIFS(PGĐ!$H:$H,PGĐ!$F:$F,"="&amp;'HQ2'!B561,PGĐ!$I:$I,"="&amp;'HQ2'!A561)</f>
        <v>0</v>
      </c>
      <c r="AF561" s="17"/>
      <c r="AG561" s="7">
        <f>SUMIFS(ĐMCP!$Q:$Q,ĐMCP!$P:$P,"="&amp;'HQ2'!B561,ĐMCP!$O:$O,"="&amp;'HQ2'!A561)</f>
        <v>274850526.68878096</v>
      </c>
      <c r="AH561" s="7">
        <f t="shared" si="8"/>
        <v>-0.31121903657913208</v>
      </c>
    </row>
    <row r="562" spans="1:34" x14ac:dyDescent="0.25">
      <c r="A562" s="123" t="s">
        <v>112</v>
      </c>
      <c r="B562" s="16" t="s">
        <v>273</v>
      </c>
      <c r="C562" s="7">
        <v>343020320</v>
      </c>
      <c r="D562" s="7">
        <v>60000000</v>
      </c>
      <c r="E562" s="7">
        <v>283020320</v>
      </c>
      <c r="F562" s="7">
        <v>211761176</v>
      </c>
      <c r="H562" s="7">
        <v>52940294</v>
      </c>
      <c r="I562" s="7">
        <v>158820882</v>
      </c>
      <c r="AA562" s="7">
        <v>6352835.2799999993</v>
      </c>
      <c r="AB562" s="7">
        <v>0</v>
      </c>
      <c r="AC562" s="7">
        <v>152468046.72</v>
      </c>
      <c r="AD562" s="17"/>
      <c r="AE562" s="5">
        <f>SUMIFS(PGĐ!$H:$H,PGĐ!$F:$F,"="&amp;'HQ2'!B562,PGĐ!$I:$I,"="&amp;'HQ2'!A562)</f>
        <v>0</v>
      </c>
      <c r="AF562" s="17"/>
      <c r="AG562" s="7">
        <f>SUMIFS(ĐMCP!$Q:$Q,ĐMCP!$P:$P,"="&amp;'HQ2'!B562,ĐMCP!$O:$O,"="&amp;'HQ2'!A562)</f>
        <v>0</v>
      </c>
      <c r="AH562" s="7">
        <f t="shared" si="8"/>
        <v>0</v>
      </c>
    </row>
    <row r="563" spans="1:34" x14ac:dyDescent="0.25">
      <c r="A563" s="123" t="s">
        <v>112</v>
      </c>
      <c r="B563" s="16" t="s">
        <v>268</v>
      </c>
      <c r="C563" s="7">
        <v>213994649</v>
      </c>
      <c r="D563" s="7">
        <v>186448065</v>
      </c>
      <c r="E563" s="7">
        <v>27546584</v>
      </c>
      <c r="F563" s="7">
        <v>200137231.84999996</v>
      </c>
      <c r="G563" s="7">
        <v>230757249.09999999</v>
      </c>
      <c r="H563" s="7">
        <v>-4593002.5875000041</v>
      </c>
      <c r="I563" s="7">
        <v>204730234.43749997</v>
      </c>
      <c r="AA563" s="7">
        <v>6004116.9554999983</v>
      </c>
      <c r="AB563" s="7">
        <v>59850624</v>
      </c>
      <c r="AC563" s="7">
        <v>138875493.48199996</v>
      </c>
      <c r="AD563" s="17"/>
      <c r="AE563" s="5">
        <f>SUMIFS(PGĐ!$H:$H,PGĐ!$F:$F,"="&amp;'HQ2'!B563,PGĐ!$I:$I,"="&amp;'HQ2'!A563)</f>
        <v>0</v>
      </c>
      <c r="AF563" s="17"/>
      <c r="AG563" s="7">
        <f>SUMIFS(ĐMCP!$Q:$Q,ĐMCP!$P:$P,"="&amp;'HQ2'!B563,ĐMCP!$O:$O,"="&amp;'HQ2'!A563)</f>
        <v>59850624.149272494</v>
      </c>
      <c r="AH563" s="7">
        <f t="shared" si="8"/>
        <v>0.14927249401807785</v>
      </c>
    </row>
    <row r="564" spans="1:34" x14ac:dyDescent="0.25">
      <c r="A564" s="123" t="s">
        <v>112</v>
      </c>
      <c r="B564" s="16" t="s">
        <v>272</v>
      </c>
      <c r="C564" s="7">
        <v>59200000</v>
      </c>
      <c r="D564" s="7">
        <v>59200000</v>
      </c>
      <c r="F564" s="7">
        <v>55352000</v>
      </c>
      <c r="G564" s="7">
        <v>108377129.60000001</v>
      </c>
      <c r="H564" s="7">
        <v>-10605025.920000002</v>
      </c>
      <c r="I564" s="7">
        <v>65957025.920000002</v>
      </c>
      <c r="J564" s="7">
        <v>512683000</v>
      </c>
      <c r="M564" s="7">
        <v>512683000</v>
      </c>
      <c r="N564" s="7">
        <v>410146400</v>
      </c>
      <c r="O564" s="7">
        <v>35000000</v>
      </c>
      <c r="Q564" s="7">
        <v>35000000</v>
      </c>
      <c r="R564" s="7">
        <v>0</v>
      </c>
      <c r="S564" s="7">
        <v>35000000</v>
      </c>
      <c r="Y564" s="7">
        <v>35000000</v>
      </c>
      <c r="Z564" s="7">
        <v>445146400</v>
      </c>
      <c r="AA564" s="7">
        <v>1660560</v>
      </c>
      <c r="AB564" s="7">
        <v>22418314</v>
      </c>
      <c r="AC564" s="7">
        <v>-403268248.07999998</v>
      </c>
      <c r="AD564" s="17">
        <v>6.7490368734927939</v>
      </c>
      <c r="AE564" s="5">
        <f>SUMIFS(PGĐ!$H:$H,PGĐ!$F:$F,"="&amp;'HQ2'!B564,PGĐ!$I:$I,"="&amp;'HQ2'!A564)</f>
        <v>39928000</v>
      </c>
      <c r="AF564" s="17"/>
      <c r="AG564" s="7">
        <f>SUMIFS(ĐMCP!$Q:$Q,ĐMCP!$P:$P,"="&amp;'HQ2'!B564,ĐMCP!$O:$O,"="&amp;'HQ2'!A564)</f>
        <v>22418313.899660476</v>
      </c>
      <c r="AH564" s="7">
        <f t="shared" si="8"/>
        <v>-0.10033952444791794</v>
      </c>
    </row>
    <row r="565" spans="1:34" x14ac:dyDescent="0.25">
      <c r="A565" s="123" t="s">
        <v>112</v>
      </c>
      <c r="B565" s="16" t="s">
        <v>23</v>
      </c>
      <c r="C565" s="7">
        <v>59916856</v>
      </c>
      <c r="E565" s="7">
        <v>59916856</v>
      </c>
      <c r="F565" s="7">
        <v>20970899.599999998</v>
      </c>
      <c r="G565" s="7">
        <v>367866622.89999998</v>
      </c>
      <c r="H565" s="7">
        <v>-86723930.824999988</v>
      </c>
      <c r="I565" s="7">
        <v>107694830.42499998</v>
      </c>
      <c r="J565" s="7">
        <v>668200000</v>
      </c>
      <c r="M565" s="7">
        <v>668200000</v>
      </c>
      <c r="N565" s="7">
        <v>167050000</v>
      </c>
      <c r="O565" s="7">
        <v>5249400000</v>
      </c>
      <c r="R565" s="7">
        <v>5249400000</v>
      </c>
      <c r="S565" s="7">
        <v>1312350000</v>
      </c>
      <c r="T565" s="7">
        <v>5612578000</v>
      </c>
      <c r="W565" s="7">
        <v>5612578000</v>
      </c>
      <c r="X565" s="7">
        <v>1403144500</v>
      </c>
      <c r="Y565" s="7">
        <v>-90794500</v>
      </c>
      <c r="Z565" s="7">
        <v>76255500</v>
      </c>
      <c r="AA565" s="7">
        <v>629126.9879999999</v>
      </c>
      <c r="AB565" s="7">
        <v>186234630</v>
      </c>
      <c r="AC565" s="7">
        <v>-155424426.56300002</v>
      </c>
      <c r="AD565" s="17">
        <v>0.70807019890435019</v>
      </c>
      <c r="AE565" s="5">
        <f>SUMIFS(PGĐ!$H:$H,PGĐ!$F:$F,"="&amp;'HQ2'!B565,PGĐ!$I:$I,"="&amp;'HQ2'!A565)</f>
        <v>0</v>
      </c>
      <c r="AF565" s="17"/>
      <c r="AG565" s="7">
        <f>SUMIFS(ĐMCP!$Q:$Q,ĐMCP!$P:$P,"="&amp;'HQ2'!B565,ĐMCP!$O:$O,"="&amp;'HQ2'!A565)</f>
        <v>186234629.94557661</v>
      </c>
      <c r="AH565" s="7">
        <f t="shared" si="8"/>
        <v>-5.4423391819000244E-2</v>
      </c>
    </row>
    <row r="566" spans="1:34" x14ac:dyDescent="0.25">
      <c r="A566" s="123" t="s">
        <v>112</v>
      </c>
      <c r="B566" s="16" t="s">
        <v>270</v>
      </c>
      <c r="G566" s="7">
        <v>1061608.8</v>
      </c>
      <c r="H566" s="7">
        <v>-106160.88</v>
      </c>
      <c r="I566" s="7">
        <v>106160.88</v>
      </c>
      <c r="AB566" s="7">
        <v>0</v>
      </c>
      <c r="AC566" s="7">
        <v>106160.88</v>
      </c>
      <c r="AD566" s="17"/>
      <c r="AE566" s="5">
        <f>SUMIFS(PGĐ!$H:$H,PGĐ!$F:$F,"="&amp;'HQ2'!B566,PGĐ!$I:$I,"="&amp;'HQ2'!A566)</f>
        <v>0</v>
      </c>
      <c r="AF566" s="17"/>
      <c r="AG566" s="7">
        <f>SUMIFS(ĐMCP!$Q:$Q,ĐMCP!$P:$P,"="&amp;'HQ2'!B566,ĐMCP!$O:$O,"="&amp;'HQ2'!A566)</f>
        <v>0</v>
      </c>
      <c r="AH566" s="7">
        <f t="shared" si="8"/>
        <v>0</v>
      </c>
    </row>
    <row r="567" spans="1:34" x14ac:dyDescent="0.25">
      <c r="A567" s="123" t="s">
        <v>112</v>
      </c>
      <c r="B567" s="16" t="s">
        <v>269</v>
      </c>
      <c r="G567" s="7">
        <v>4440000</v>
      </c>
      <c r="H567" s="7">
        <v>-444000</v>
      </c>
      <c r="I567" s="7">
        <v>444000</v>
      </c>
      <c r="AB567" s="7">
        <v>0</v>
      </c>
      <c r="AC567" s="7">
        <v>444000</v>
      </c>
      <c r="AD567" s="17"/>
      <c r="AE567" s="5">
        <f>SUMIFS(PGĐ!$H:$H,PGĐ!$F:$F,"="&amp;'HQ2'!B567,PGĐ!$I:$I,"="&amp;'HQ2'!A567)</f>
        <v>0</v>
      </c>
      <c r="AF567" s="17"/>
      <c r="AG567" s="7">
        <f>SUMIFS(ĐMCP!$Q:$Q,ĐMCP!$P:$P,"="&amp;'HQ2'!B567,ĐMCP!$O:$O,"="&amp;'HQ2'!A567)</f>
        <v>0</v>
      </c>
      <c r="AH567" s="7">
        <f t="shared" si="8"/>
        <v>0</v>
      </c>
    </row>
    <row r="568" spans="1:34" x14ac:dyDescent="0.25">
      <c r="A568" s="123" t="s">
        <v>116</v>
      </c>
      <c r="B568" s="15" t="s">
        <v>45</v>
      </c>
      <c r="C568" s="132">
        <v>881776297</v>
      </c>
      <c r="D568" s="132">
        <v>39104508</v>
      </c>
      <c r="E568" s="132">
        <v>842671789</v>
      </c>
      <c r="F568" s="132">
        <v>628011625.05999994</v>
      </c>
      <c r="G568" s="132">
        <v>282761004.5</v>
      </c>
      <c r="H568" s="132">
        <v>49485806.263999991</v>
      </c>
      <c r="I568" s="132">
        <v>578525818.796</v>
      </c>
      <c r="J568" s="132"/>
      <c r="K568" s="132"/>
      <c r="L568" s="132"/>
      <c r="M568" s="132"/>
      <c r="N568" s="132"/>
      <c r="O568" s="132"/>
      <c r="P568" s="132"/>
      <c r="Q568" s="132"/>
      <c r="R568" s="132"/>
      <c r="S568" s="132"/>
      <c r="T568" s="132">
        <v>900000000</v>
      </c>
      <c r="U568" s="132">
        <v>900000000</v>
      </c>
      <c r="V568" s="132"/>
      <c r="W568" s="132">
        <v>0</v>
      </c>
      <c r="X568" s="132">
        <v>323615511.5</v>
      </c>
      <c r="Y568" s="132">
        <v>-323615511.5</v>
      </c>
      <c r="Z568" s="132">
        <v>-323615511.5</v>
      </c>
      <c r="AA568" s="132">
        <v>18840348.751799997</v>
      </c>
      <c r="AB568" s="132">
        <v>725163273</v>
      </c>
      <c r="AC568" s="132">
        <v>158137708.54420009</v>
      </c>
      <c r="AD568" s="96">
        <v>-0.55937954882202656</v>
      </c>
      <c r="AE568" s="5">
        <f>SUMIFS(PGĐ!$H:$H,PGĐ!$F:$F,"="&amp;'HQ2'!B568,PGĐ!$I:$I,"="&amp;'HQ2'!A568)</f>
        <v>0</v>
      </c>
      <c r="AF568" s="96"/>
      <c r="AG568" s="7">
        <f>SUMIFS(ĐMCP!$Q:$Q,ĐMCP!$P:$P,"="&amp;'HQ2'!B568,ĐMCP!$O:$O,"="&amp;'HQ2'!A568)</f>
        <v>0</v>
      </c>
      <c r="AH568" s="7">
        <f t="shared" si="8"/>
        <v>0</v>
      </c>
    </row>
    <row r="569" spans="1:34" x14ac:dyDescent="0.25">
      <c r="A569" s="123" t="s">
        <v>116</v>
      </c>
      <c r="B569" s="16" t="s">
        <v>268</v>
      </c>
      <c r="C569" s="7">
        <v>608153177</v>
      </c>
      <c r="D569" s="7">
        <v>39104508</v>
      </c>
      <c r="E569" s="7">
        <v>569048669</v>
      </c>
      <c r="F569" s="7">
        <v>436265441.05999994</v>
      </c>
      <c r="G569" s="7">
        <v>17854893.699999999</v>
      </c>
      <c r="H569" s="7">
        <v>62761582.103999987</v>
      </c>
      <c r="I569" s="7">
        <v>373503858.95599997</v>
      </c>
      <c r="T569" s="7">
        <v>900000000</v>
      </c>
      <c r="U569" s="7">
        <v>900000000</v>
      </c>
      <c r="W569" s="7">
        <v>0</v>
      </c>
      <c r="X569" s="7">
        <v>323615511.5</v>
      </c>
      <c r="Y569" s="7">
        <v>-323615511.5</v>
      </c>
      <c r="Z569" s="7">
        <v>-323615511.5</v>
      </c>
      <c r="AA569" s="7">
        <v>13087963.231799997</v>
      </c>
      <c r="AB569" s="7">
        <v>30784970</v>
      </c>
      <c r="AC569" s="7">
        <v>653246437.22420001</v>
      </c>
      <c r="AD569" s="17">
        <v>-0.86643150730638907</v>
      </c>
      <c r="AE569" s="5">
        <f>SUMIFS(PGĐ!$H:$H,PGĐ!$F:$F,"="&amp;'HQ2'!B569,PGĐ!$I:$I,"="&amp;'HQ2'!A569)</f>
        <v>0</v>
      </c>
      <c r="AF569" s="17"/>
      <c r="AG569" s="7">
        <f>SUMIFS(ĐMCP!$Q:$Q,ĐMCP!$P:$P,"="&amp;'HQ2'!B569,ĐMCP!$O:$O,"="&amp;'HQ2'!A569)</f>
        <v>30784970.071066279</v>
      </c>
      <c r="AH569" s="7">
        <f t="shared" si="8"/>
        <v>7.1066278964281082E-2</v>
      </c>
    </row>
    <row r="570" spans="1:34" x14ac:dyDescent="0.25">
      <c r="A570" s="123" t="s">
        <v>116</v>
      </c>
      <c r="B570" s="16" t="s">
        <v>271</v>
      </c>
      <c r="C570" s="7">
        <v>271523120</v>
      </c>
      <c r="E570" s="7">
        <v>271523120</v>
      </c>
      <c r="F570" s="7">
        <v>190066184</v>
      </c>
      <c r="G570" s="7">
        <v>223727585.19999999</v>
      </c>
      <c r="H570" s="7">
        <v>-6732280.2399999984</v>
      </c>
      <c r="I570" s="7">
        <v>196798464.24000001</v>
      </c>
      <c r="AA570" s="7">
        <v>5701985.5199999996</v>
      </c>
      <c r="AB570" s="7">
        <v>693643729</v>
      </c>
      <c r="AC570" s="7">
        <v>-502547250.27999997</v>
      </c>
      <c r="AD570" s="17"/>
      <c r="AE570" s="5">
        <f>SUMIFS(PGĐ!$H:$H,PGĐ!$F:$F,"="&amp;'HQ2'!B570,PGĐ!$I:$I,"="&amp;'HQ2'!A570)</f>
        <v>0</v>
      </c>
      <c r="AF570" s="17"/>
      <c r="AG570" s="7">
        <f>SUMIFS(ĐMCP!$Q:$Q,ĐMCP!$P:$P,"="&amp;'HQ2'!B570,ĐMCP!$O:$O,"="&amp;'HQ2'!A570)</f>
        <v>693643729.26108909</v>
      </c>
      <c r="AH570" s="7">
        <f t="shared" si="8"/>
        <v>0.26108908653259277</v>
      </c>
    </row>
    <row r="571" spans="1:34" x14ac:dyDescent="0.25">
      <c r="A571" s="123" t="s">
        <v>116</v>
      </c>
      <c r="B571" s="16" t="s">
        <v>272</v>
      </c>
      <c r="C571" s="7">
        <v>2100000</v>
      </c>
      <c r="E571" s="7">
        <v>2100000</v>
      </c>
      <c r="F571" s="7">
        <v>1680000</v>
      </c>
      <c r="G571" s="7">
        <v>27616430.400000002</v>
      </c>
      <c r="H571" s="7">
        <v>-5187286.080000001</v>
      </c>
      <c r="I571" s="7">
        <v>6867286.080000001</v>
      </c>
      <c r="AA571" s="7">
        <v>50400</v>
      </c>
      <c r="AB571" s="7">
        <v>734574</v>
      </c>
      <c r="AC571" s="7">
        <v>6082312.080000001</v>
      </c>
      <c r="AD571" s="17"/>
      <c r="AE571" s="5">
        <f>SUMIFS(PGĐ!$H:$H,PGĐ!$F:$F,"="&amp;'HQ2'!B571,PGĐ!$I:$I,"="&amp;'HQ2'!A571)</f>
        <v>0</v>
      </c>
      <c r="AF571" s="17"/>
      <c r="AG571" s="7">
        <f>SUMIFS(ĐMCP!$Q:$Q,ĐMCP!$P:$P,"="&amp;'HQ2'!B571,ĐMCP!$O:$O,"="&amp;'HQ2'!A571)</f>
        <v>734573.60519746458</v>
      </c>
      <c r="AH571" s="7">
        <f t="shared" si="8"/>
        <v>-0.39480253541842103</v>
      </c>
    </row>
    <row r="572" spans="1:34" x14ac:dyDescent="0.25">
      <c r="A572" s="123" t="s">
        <v>116</v>
      </c>
      <c r="B572" s="16" t="s">
        <v>270</v>
      </c>
      <c r="G572" s="7">
        <v>13562095.200000001</v>
      </c>
      <c r="H572" s="7">
        <v>-1356209.5200000003</v>
      </c>
      <c r="I572" s="7">
        <v>1356209.5200000003</v>
      </c>
      <c r="AB572" s="7">
        <v>0</v>
      </c>
      <c r="AC572" s="7">
        <v>1356209.5200000003</v>
      </c>
      <c r="AD572" s="17"/>
      <c r="AE572" s="5">
        <f>SUMIFS(PGĐ!$H:$H,PGĐ!$F:$F,"="&amp;'HQ2'!B572,PGĐ!$I:$I,"="&amp;'HQ2'!A572)</f>
        <v>0</v>
      </c>
      <c r="AF572" s="17"/>
      <c r="AG572" s="7">
        <f>SUMIFS(ĐMCP!$Q:$Q,ĐMCP!$P:$P,"="&amp;'HQ2'!B572,ĐMCP!$O:$O,"="&amp;'HQ2'!A572)</f>
        <v>0</v>
      </c>
      <c r="AH572" s="7">
        <f t="shared" si="8"/>
        <v>0</v>
      </c>
    </row>
    <row r="573" spans="1:34" x14ac:dyDescent="0.25">
      <c r="A573" s="123" t="s">
        <v>116</v>
      </c>
      <c r="B573" s="16" t="s">
        <v>269</v>
      </c>
      <c r="AB573" s="7">
        <v>0</v>
      </c>
      <c r="AC573" s="7">
        <v>0</v>
      </c>
      <c r="AD573" s="17"/>
      <c r="AE573" s="5">
        <f>SUMIFS(PGĐ!$H:$H,PGĐ!$F:$F,"="&amp;'HQ2'!B573,PGĐ!$I:$I,"="&amp;'HQ2'!A573)</f>
        <v>0</v>
      </c>
      <c r="AF573" s="17"/>
      <c r="AG573" s="7">
        <f>SUMIFS(ĐMCP!$Q:$Q,ĐMCP!$P:$P,"="&amp;'HQ2'!B573,ĐMCP!$O:$O,"="&amp;'HQ2'!A573)</f>
        <v>0</v>
      </c>
      <c r="AH573" s="7">
        <f t="shared" si="8"/>
        <v>0</v>
      </c>
    </row>
    <row r="574" spans="1:34" x14ac:dyDescent="0.25">
      <c r="A574" s="123" t="s">
        <v>116</v>
      </c>
      <c r="B574" s="16" t="s">
        <v>273</v>
      </c>
      <c r="AB574" s="7">
        <v>0</v>
      </c>
      <c r="AC574" s="7">
        <v>0</v>
      </c>
      <c r="AD574" s="17"/>
      <c r="AE574" s="5">
        <f>SUMIFS(PGĐ!$H:$H,PGĐ!$F:$F,"="&amp;'HQ2'!B574,PGĐ!$I:$I,"="&amp;'HQ2'!A574)</f>
        <v>0</v>
      </c>
      <c r="AF574" s="17"/>
      <c r="AG574" s="7">
        <f>SUMIFS(ĐMCP!$Q:$Q,ĐMCP!$P:$P,"="&amp;'HQ2'!B574,ĐMCP!$O:$O,"="&amp;'HQ2'!A574)</f>
        <v>0</v>
      </c>
      <c r="AH574" s="7">
        <f t="shared" si="8"/>
        <v>0</v>
      </c>
    </row>
    <row r="575" spans="1:34" x14ac:dyDescent="0.25">
      <c r="A575" s="123" t="s">
        <v>116</v>
      </c>
      <c r="B575" s="16" t="s">
        <v>23</v>
      </c>
      <c r="AB575" s="7">
        <v>0</v>
      </c>
      <c r="AC575" s="7">
        <v>0</v>
      </c>
      <c r="AD575" s="17"/>
      <c r="AE575" s="5">
        <f>SUMIFS(PGĐ!$H:$H,PGĐ!$F:$F,"="&amp;'HQ2'!B575,PGĐ!$I:$I,"="&amp;'HQ2'!A575)</f>
        <v>0</v>
      </c>
      <c r="AF575" s="17"/>
      <c r="AG575" s="7">
        <f>SUMIFS(ĐMCP!$Q:$Q,ĐMCP!$P:$P,"="&amp;'HQ2'!B575,ĐMCP!$O:$O,"="&amp;'HQ2'!A575)</f>
        <v>0</v>
      </c>
      <c r="AH575" s="7">
        <f t="shared" si="8"/>
        <v>0</v>
      </c>
    </row>
    <row r="576" spans="1:34" x14ac:dyDescent="0.25">
      <c r="A576" s="123" t="s">
        <v>117</v>
      </c>
      <c r="B576" s="15" t="s">
        <v>45</v>
      </c>
      <c r="C576" s="132">
        <v>718613937</v>
      </c>
      <c r="D576" s="132">
        <v>343612741</v>
      </c>
      <c r="E576" s="132">
        <v>375001196</v>
      </c>
      <c r="F576" s="132">
        <v>590006309.59500003</v>
      </c>
      <c r="G576" s="132">
        <v>621741774.60000002</v>
      </c>
      <c r="H576" s="132">
        <v>8390144.9530000091</v>
      </c>
      <c r="I576" s="132">
        <v>581616164.64199996</v>
      </c>
      <c r="J576" s="132">
        <v>400000000</v>
      </c>
      <c r="K576" s="132"/>
      <c r="L576" s="132"/>
      <c r="M576" s="132">
        <v>400000000</v>
      </c>
      <c r="N576" s="132">
        <v>240000000</v>
      </c>
      <c r="O576" s="132">
        <v>750000000</v>
      </c>
      <c r="P576" s="132"/>
      <c r="Q576" s="132"/>
      <c r="R576" s="132">
        <v>750000000</v>
      </c>
      <c r="S576" s="132">
        <v>450000000</v>
      </c>
      <c r="T576" s="132">
        <v>750000000</v>
      </c>
      <c r="U576" s="132"/>
      <c r="V576" s="132"/>
      <c r="W576" s="132">
        <v>750000000</v>
      </c>
      <c r="X576" s="132">
        <v>450000000</v>
      </c>
      <c r="Y576" s="132">
        <v>0</v>
      </c>
      <c r="Z576" s="132">
        <v>240000000</v>
      </c>
      <c r="AA576" s="132">
        <v>17700189.28785</v>
      </c>
      <c r="AB576" s="132">
        <v>242839612</v>
      </c>
      <c r="AC576" s="132">
        <v>81076363.354149923</v>
      </c>
      <c r="AD576" s="96">
        <v>0.41264327676952772</v>
      </c>
      <c r="AE576" s="5">
        <f>SUMIFS(PGĐ!$H:$H,PGĐ!$F:$F,"="&amp;'HQ2'!B576,PGĐ!$I:$I,"="&amp;'HQ2'!A576)</f>
        <v>0</v>
      </c>
      <c r="AF576" s="96"/>
      <c r="AG576" s="7">
        <f>SUMIFS(ĐMCP!$Q:$Q,ĐMCP!$P:$P,"="&amp;'HQ2'!B576,ĐMCP!$O:$O,"="&amp;'HQ2'!A576)</f>
        <v>0</v>
      </c>
      <c r="AH576" s="7">
        <f t="shared" si="8"/>
        <v>0</v>
      </c>
    </row>
    <row r="577" spans="1:34" x14ac:dyDescent="0.25">
      <c r="A577" s="123" t="s">
        <v>117</v>
      </c>
      <c r="B577" s="16" t="s">
        <v>271</v>
      </c>
      <c r="C577" s="7">
        <v>352880910</v>
      </c>
      <c r="D577" s="7">
        <v>257795455</v>
      </c>
      <c r="E577" s="7">
        <v>95085455</v>
      </c>
      <c r="F577" s="7">
        <v>320488341.67499995</v>
      </c>
      <c r="G577" s="7">
        <v>66647047.599999994</v>
      </c>
      <c r="H577" s="7">
        <v>50768258.814999998</v>
      </c>
      <c r="I577" s="7">
        <v>269720082.85999995</v>
      </c>
      <c r="J577" s="7">
        <v>400000000</v>
      </c>
      <c r="M577" s="7">
        <v>400000000</v>
      </c>
      <c r="N577" s="7">
        <v>240000000</v>
      </c>
      <c r="O577" s="7">
        <v>750000000</v>
      </c>
      <c r="R577" s="7">
        <v>750000000</v>
      </c>
      <c r="S577" s="7">
        <v>450000000</v>
      </c>
      <c r="T577" s="7">
        <v>750000000</v>
      </c>
      <c r="W577" s="7">
        <v>750000000</v>
      </c>
      <c r="X577" s="7">
        <v>450000000</v>
      </c>
      <c r="Y577" s="7">
        <v>0</v>
      </c>
      <c r="Z577" s="7">
        <v>240000000</v>
      </c>
      <c r="AA577" s="7">
        <v>9614650.2502499986</v>
      </c>
      <c r="AB577" s="7">
        <v>115139874</v>
      </c>
      <c r="AC577" s="7">
        <v>-95034441.390250042</v>
      </c>
      <c r="AD577" s="17">
        <v>0.88981138317599295</v>
      </c>
      <c r="AE577" s="5">
        <f>SUMIFS(PGĐ!$H:$H,PGĐ!$F:$F,"="&amp;'HQ2'!B577,PGĐ!$I:$I,"="&amp;'HQ2'!A577)</f>
        <v>0</v>
      </c>
      <c r="AF577" s="17"/>
      <c r="AG577" s="7">
        <f>SUMIFS(ĐMCP!$Q:$Q,ĐMCP!$P:$P,"="&amp;'HQ2'!B577,ĐMCP!$O:$O,"="&amp;'HQ2'!A577)</f>
        <v>115139874.01215568</v>
      </c>
      <c r="AH577" s="7">
        <f t="shared" si="8"/>
        <v>1.2155681848526001E-2</v>
      </c>
    </row>
    <row r="578" spans="1:34" x14ac:dyDescent="0.25">
      <c r="A578" s="123" t="s">
        <v>117</v>
      </c>
      <c r="B578" s="16" t="s">
        <v>268</v>
      </c>
      <c r="C578" s="7">
        <v>269074845</v>
      </c>
      <c r="D578" s="7">
        <v>85817286</v>
      </c>
      <c r="E578" s="7">
        <v>183257559</v>
      </c>
      <c r="F578" s="7">
        <v>211523058.72</v>
      </c>
      <c r="G578" s="7">
        <v>487931817.79999995</v>
      </c>
      <c r="H578" s="7">
        <v>-41461313.861999989</v>
      </c>
      <c r="I578" s="7">
        <v>252984372.58199999</v>
      </c>
      <c r="AA578" s="7">
        <v>6345691.7615999999</v>
      </c>
      <c r="AB578" s="7">
        <v>122841895</v>
      </c>
      <c r="AC578" s="7">
        <v>123796785.82039998</v>
      </c>
      <c r="AD578" s="17"/>
      <c r="AE578" s="5">
        <f>SUMIFS(PGĐ!$H:$H,PGĐ!$F:$F,"="&amp;'HQ2'!B578,PGĐ!$I:$I,"="&amp;'HQ2'!A578)</f>
        <v>0</v>
      </c>
      <c r="AF578" s="17"/>
      <c r="AG578" s="7">
        <f>SUMIFS(ĐMCP!$Q:$Q,ĐMCP!$P:$P,"="&amp;'HQ2'!B578,ĐMCP!$O:$O,"="&amp;'HQ2'!A578)</f>
        <v>122841894.82918687</v>
      </c>
      <c r="AH578" s="7">
        <f t="shared" si="8"/>
        <v>-0.17081312835216522</v>
      </c>
    </row>
    <row r="579" spans="1:34" x14ac:dyDescent="0.25">
      <c r="A579" s="123" t="s">
        <v>117</v>
      </c>
      <c r="B579" s="16" t="s">
        <v>269</v>
      </c>
      <c r="C579" s="7">
        <v>96658182</v>
      </c>
      <c r="E579" s="7">
        <v>96658182</v>
      </c>
      <c r="F579" s="7">
        <v>57994909.199999996</v>
      </c>
      <c r="G579" s="7">
        <v>67162909.200000003</v>
      </c>
      <c r="H579" s="7">
        <v>-916800.00000000081</v>
      </c>
      <c r="I579" s="7">
        <v>58911709.199999996</v>
      </c>
      <c r="AA579" s="7">
        <v>1739847.2759999998</v>
      </c>
      <c r="AB579" s="7">
        <v>4857843</v>
      </c>
      <c r="AC579" s="7">
        <v>52314018.923999995</v>
      </c>
      <c r="AD579" s="17"/>
      <c r="AE579" s="5">
        <f>SUMIFS(PGĐ!$H:$H,PGĐ!$F:$F,"="&amp;'HQ2'!B579,PGĐ!$I:$I,"="&amp;'HQ2'!A579)</f>
        <v>0</v>
      </c>
      <c r="AF579" s="17"/>
      <c r="AG579" s="7">
        <f>SUMIFS(ĐMCP!$Q:$Q,ĐMCP!$P:$P,"="&amp;'HQ2'!B579,ĐMCP!$O:$O,"="&amp;'HQ2'!A579)</f>
        <v>4857843.3494206723</v>
      </c>
      <c r="AH579" s="7">
        <f t="shared" si="8"/>
        <v>0.34942067228257656</v>
      </c>
    </row>
    <row r="580" spans="1:34" x14ac:dyDescent="0.25">
      <c r="A580" s="123" t="s">
        <v>117</v>
      </c>
      <c r="B580" s="16" t="s">
        <v>270</v>
      </c>
      <c r="AB580" s="7">
        <v>0</v>
      </c>
      <c r="AC580" s="7">
        <v>0</v>
      </c>
      <c r="AD580" s="17"/>
      <c r="AE580" s="5">
        <f>SUMIFS(PGĐ!$H:$H,PGĐ!$F:$F,"="&amp;'HQ2'!B580,PGĐ!$I:$I,"="&amp;'HQ2'!A580)</f>
        <v>0</v>
      </c>
      <c r="AF580" s="17"/>
      <c r="AG580" s="7">
        <f>SUMIFS(ĐMCP!$Q:$Q,ĐMCP!$P:$P,"="&amp;'HQ2'!B580,ĐMCP!$O:$O,"="&amp;'HQ2'!A580)</f>
        <v>0</v>
      </c>
      <c r="AH580" s="7">
        <f t="shared" ref="AH580:AH643" si="9">IF(AG580=0,0,AG580-AB580)</f>
        <v>0</v>
      </c>
    </row>
    <row r="581" spans="1:34" x14ac:dyDescent="0.25">
      <c r="A581" s="123" t="s">
        <v>117</v>
      </c>
      <c r="B581" s="16" t="s">
        <v>273</v>
      </c>
      <c r="AB581" s="7">
        <v>0</v>
      </c>
      <c r="AC581" s="7">
        <v>0</v>
      </c>
      <c r="AD581" s="17"/>
      <c r="AE581" s="5">
        <f>SUMIFS(PGĐ!$H:$H,PGĐ!$F:$F,"="&amp;'HQ2'!B581,PGĐ!$I:$I,"="&amp;'HQ2'!A581)</f>
        <v>0</v>
      </c>
      <c r="AF581" s="17"/>
      <c r="AG581" s="7">
        <f>SUMIFS(ĐMCP!$Q:$Q,ĐMCP!$P:$P,"="&amp;'HQ2'!B581,ĐMCP!$O:$O,"="&amp;'HQ2'!A581)</f>
        <v>0</v>
      </c>
      <c r="AH581" s="7">
        <f t="shared" si="9"/>
        <v>0</v>
      </c>
    </row>
    <row r="582" spans="1:34" x14ac:dyDescent="0.25">
      <c r="A582" s="123" t="s">
        <v>117</v>
      </c>
      <c r="B582" s="16" t="s">
        <v>23</v>
      </c>
      <c r="AB582" s="7">
        <v>0</v>
      </c>
      <c r="AC582" s="7">
        <v>0</v>
      </c>
      <c r="AD582" s="17"/>
      <c r="AE582" s="5">
        <f>SUMIFS(PGĐ!$H:$H,PGĐ!$F:$F,"="&amp;'HQ2'!B582,PGĐ!$I:$I,"="&amp;'HQ2'!A582)</f>
        <v>0</v>
      </c>
      <c r="AF582" s="17"/>
      <c r="AG582" s="7">
        <f>SUMIFS(ĐMCP!$Q:$Q,ĐMCP!$P:$P,"="&amp;'HQ2'!B582,ĐMCP!$O:$O,"="&amp;'HQ2'!A582)</f>
        <v>0</v>
      </c>
      <c r="AH582" s="7">
        <f t="shared" si="9"/>
        <v>0</v>
      </c>
    </row>
    <row r="583" spans="1:34" x14ac:dyDescent="0.25">
      <c r="A583" s="123" t="s">
        <v>117</v>
      </c>
      <c r="B583" s="16" t="s">
        <v>272</v>
      </c>
      <c r="AB583" s="7">
        <v>0</v>
      </c>
      <c r="AC583" s="7">
        <v>0</v>
      </c>
      <c r="AD583" s="17"/>
      <c r="AE583" s="5">
        <f>SUMIFS(PGĐ!$H:$H,PGĐ!$F:$F,"="&amp;'HQ2'!B583,PGĐ!$I:$I,"="&amp;'HQ2'!A583)</f>
        <v>0</v>
      </c>
      <c r="AF583" s="17"/>
      <c r="AG583" s="7">
        <f>SUMIFS(ĐMCP!$Q:$Q,ĐMCP!$P:$P,"="&amp;'HQ2'!B583,ĐMCP!$O:$O,"="&amp;'HQ2'!A583)</f>
        <v>0</v>
      </c>
      <c r="AH583" s="7">
        <f t="shared" si="9"/>
        <v>0</v>
      </c>
    </row>
    <row r="584" spans="1:34" x14ac:dyDescent="0.25">
      <c r="A584" s="123" t="s">
        <v>118</v>
      </c>
      <c r="B584" s="15" t="s">
        <v>45</v>
      </c>
      <c r="C584" s="132">
        <v>417070056</v>
      </c>
      <c r="D584" s="132">
        <v>384405287</v>
      </c>
      <c r="E584" s="132">
        <v>32664769</v>
      </c>
      <c r="F584" s="132">
        <v>490378377.75999999</v>
      </c>
      <c r="G584" s="132">
        <v>3395006480.2999997</v>
      </c>
      <c r="H584" s="132">
        <v>-456151968.54399997</v>
      </c>
      <c r="I584" s="132">
        <v>946530346.3039999</v>
      </c>
      <c r="J584" s="132">
        <v>5457100424</v>
      </c>
      <c r="K584" s="132">
        <v>4951509958</v>
      </c>
      <c r="L584" s="132"/>
      <c r="M584" s="132">
        <v>505590466</v>
      </c>
      <c r="N584" s="132">
        <v>574939710.1500001</v>
      </c>
      <c r="O584" s="132">
        <v>1907932951</v>
      </c>
      <c r="P584" s="132">
        <v>836215706</v>
      </c>
      <c r="Q584" s="132">
        <v>71717245</v>
      </c>
      <c r="R584" s="132">
        <v>1000000000</v>
      </c>
      <c r="S584" s="132">
        <v>621828396.65999997</v>
      </c>
      <c r="T584" s="132">
        <v>2136215706</v>
      </c>
      <c r="U584" s="132">
        <v>1136215706</v>
      </c>
      <c r="V584" s="132"/>
      <c r="W584" s="132">
        <v>1000000000</v>
      </c>
      <c r="X584" s="132">
        <v>537329453.88999999</v>
      </c>
      <c r="Y584" s="132">
        <v>84498942.769999981</v>
      </c>
      <c r="Z584" s="132">
        <v>659438652.92000008</v>
      </c>
      <c r="AA584" s="132">
        <v>14711351.332799999</v>
      </c>
      <c r="AB584" s="132">
        <v>706310143</v>
      </c>
      <c r="AC584" s="132">
        <v>-433929800.94880009</v>
      </c>
      <c r="AD584" s="96">
        <v>0.69669045001564722</v>
      </c>
      <c r="AE584" s="5">
        <f>SUMIFS(PGĐ!$H:$H,PGĐ!$F:$F,"="&amp;'HQ2'!B584,PGĐ!$I:$I,"="&amp;'HQ2'!A584)</f>
        <v>0</v>
      </c>
      <c r="AF584" s="96"/>
      <c r="AG584" s="7">
        <f>SUMIFS(ĐMCP!$Q:$Q,ĐMCP!$P:$P,"="&amp;'HQ2'!B584,ĐMCP!$O:$O,"="&amp;'HQ2'!A584)</f>
        <v>0</v>
      </c>
      <c r="AH584" s="7">
        <f t="shared" si="9"/>
        <v>0</v>
      </c>
    </row>
    <row r="585" spans="1:34" x14ac:dyDescent="0.25">
      <c r="A585" s="123" t="s">
        <v>118</v>
      </c>
      <c r="B585" s="16" t="s">
        <v>268</v>
      </c>
      <c r="C585" s="7">
        <v>335214104</v>
      </c>
      <c r="D585" s="7">
        <v>163270239</v>
      </c>
      <c r="E585" s="7">
        <v>171943865</v>
      </c>
      <c r="F585" s="7">
        <v>278732837.32999998</v>
      </c>
      <c r="G585" s="7">
        <v>2985404960.2999997</v>
      </c>
      <c r="H585" s="7">
        <v>-406000818.44549996</v>
      </c>
      <c r="I585" s="7">
        <v>684733655.77549994</v>
      </c>
      <c r="J585" s="7">
        <v>5449151424</v>
      </c>
      <c r="K585" s="7">
        <v>4946365755</v>
      </c>
      <c r="M585" s="7">
        <v>502785669</v>
      </c>
      <c r="N585" s="7">
        <v>572948559.95000005</v>
      </c>
      <c r="O585" s="7">
        <v>836215706</v>
      </c>
      <c r="P585" s="7">
        <v>836215706</v>
      </c>
      <c r="R585" s="7">
        <v>0</v>
      </c>
      <c r="S585" s="7">
        <v>50111151.659999996</v>
      </c>
      <c r="T585" s="7">
        <v>1136215706</v>
      </c>
      <c r="U585" s="7">
        <v>1136215706</v>
      </c>
      <c r="W585" s="7">
        <v>0</v>
      </c>
      <c r="X585" s="7">
        <v>37329453.890000001</v>
      </c>
      <c r="Y585" s="7">
        <v>12781697.769999996</v>
      </c>
      <c r="Z585" s="7">
        <v>585730257.72000003</v>
      </c>
      <c r="AA585" s="7">
        <v>8361985.1198999994</v>
      </c>
      <c r="AB585" s="7">
        <v>681046686</v>
      </c>
      <c r="AC585" s="7">
        <v>-590405273.06440008</v>
      </c>
      <c r="AD585" s="17">
        <v>0.85541327314578552</v>
      </c>
      <c r="AE585" s="5">
        <f>SUMIFS(PGĐ!$H:$H,PGĐ!$F:$F,"="&amp;'HQ2'!B585,PGĐ!$I:$I,"="&amp;'HQ2'!A585)</f>
        <v>1189878238</v>
      </c>
      <c r="AF585" s="17"/>
      <c r="AG585" s="7">
        <f>SUMIFS(ĐMCP!$Q:$Q,ĐMCP!$P:$P,"="&amp;'HQ2'!B585,ĐMCP!$O:$O,"="&amp;'HQ2'!A585)</f>
        <v>681046685.62321496</v>
      </c>
      <c r="AH585" s="7">
        <f t="shared" si="9"/>
        <v>-0.3767850399017334</v>
      </c>
    </row>
    <row r="586" spans="1:34" x14ac:dyDescent="0.25">
      <c r="A586" s="123" t="s">
        <v>118</v>
      </c>
      <c r="B586" s="16" t="s">
        <v>271</v>
      </c>
      <c r="C586" s="7">
        <v>182463636</v>
      </c>
      <c r="D586" s="7">
        <v>182463636</v>
      </c>
      <c r="F586" s="7">
        <v>179726681.46000001</v>
      </c>
      <c r="G586" s="7">
        <v>295539322.39999998</v>
      </c>
      <c r="H586" s="7">
        <v>-23162528.187999994</v>
      </c>
      <c r="I586" s="7">
        <v>202889209.648</v>
      </c>
      <c r="K586" s="7">
        <v>5144203</v>
      </c>
      <c r="M586" s="7">
        <v>-5144203</v>
      </c>
      <c r="N586" s="7">
        <v>-2778249.8</v>
      </c>
      <c r="Z586" s="7">
        <v>-2778249.8</v>
      </c>
      <c r="AA586" s="7">
        <v>5391800.4438000005</v>
      </c>
      <c r="AB586" s="7">
        <v>28969970</v>
      </c>
      <c r="AC586" s="7">
        <v>171305689.00420001</v>
      </c>
      <c r="AD586" s="17">
        <v>-1.3693433006220923E-2</v>
      </c>
      <c r="AE586" s="5">
        <f>SUMIFS(PGĐ!$H:$H,PGĐ!$F:$F,"="&amp;'HQ2'!B586,PGĐ!$I:$I,"="&amp;'HQ2'!A586)</f>
        <v>0</v>
      </c>
      <c r="AF586" s="17"/>
      <c r="AG586" s="7">
        <f>SUMIFS(ĐMCP!$Q:$Q,ĐMCP!$P:$P,"="&amp;'HQ2'!B586,ĐMCP!$O:$O,"="&amp;'HQ2'!A586)</f>
        <v>28969969.634237785</v>
      </c>
      <c r="AH586" s="7">
        <f t="shared" si="9"/>
        <v>-0.36576221510767937</v>
      </c>
    </row>
    <row r="587" spans="1:34" x14ac:dyDescent="0.25">
      <c r="A587" s="123" t="s">
        <v>118</v>
      </c>
      <c r="B587" s="16" t="s">
        <v>270</v>
      </c>
      <c r="C587" s="7">
        <v>111793795</v>
      </c>
      <c r="D587" s="7">
        <v>12885412</v>
      </c>
      <c r="E587" s="7">
        <v>98908383</v>
      </c>
      <c r="F587" s="7">
        <v>91174566.620000005</v>
      </c>
      <c r="G587" s="7">
        <v>6830560</v>
      </c>
      <c r="H587" s="7">
        <v>8434400.6620000005</v>
      </c>
      <c r="I587" s="7">
        <v>82740165.958000004</v>
      </c>
      <c r="AA587" s="7">
        <v>2735236.9986</v>
      </c>
      <c r="AB587" s="7">
        <v>2111962</v>
      </c>
      <c r="AC587" s="7">
        <v>77892966.959399998</v>
      </c>
      <c r="AD587" s="17"/>
      <c r="AE587" s="5">
        <f>SUMIFS(PGĐ!$H:$H,PGĐ!$F:$F,"="&amp;'HQ2'!B587,PGĐ!$I:$I,"="&amp;'HQ2'!A587)</f>
        <v>0</v>
      </c>
      <c r="AF587" s="17"/>
      <c r="AG587" s="7">
        <f>SUMIFS(ĐMCP!$Q:$Q,ĐMCP!$P:$P,"="&amp;'HQ2'!B587,ĐMCP!$O:$O,"="&amp;'HQ2'!A587)</f>
        <v>2111962.4152443116</v>
      </c>
      <c r="AH587" s="7">
        <f t="shared" si="9"/>
        <v>0.41524431155994534</v>
      </c>
    </row>
    <row r="588" spans="1:34" x14ac:dyDescent="0.25">
      <c r="A588" s="123" t="s">
        <v>118</v>
      </c>
      <c r="B588" s="16" t="s">
        <v>272</v>
      </c>
      <c r="C588" s="7">
        <v>25786000</v>
      </c>
      <c r="D588" s="7">
        <v>25786000</v>
      </c>
      <c r="F588" s="7">
        <v>24109910</v>
      </c>
      <c r="G588" s="7">
        <v>86804364</v>
      </c>
      <c r="H588" s="7">
        <v>-12538890.800000001</v>
      </c>
      <c r="I588" s="7">
        <v>36648800.799999997</v>
      </c>
      <c r="O588" s="7">
        <v>71717245</v>
      </c>
      <c r="Q588" s="7">
        <v>71717245</v>
      </c>
      <c r="R588" s="7">
        <v>0</v>
      </c>
      <c r="S588" s="7">
        <v>71717245</v>
      </c>
      <c r="Y588" s="7">
        <v>71717245</v>
      </c>
      <c r="Z588" s="7">
        <v>71717245</v>
      </c>
      <c r="AA588" s="7">
        <v>723297.29999999993</v>
      </c>
      <c r="AB588" s="7">
        <v>9458360</v>
      </c>
      <c r="AC588" s="7">
        <v>-45250101.5</v>
      </c>
      <c r="AD588" s="17">
        <v>1.9568783543935224</v>
      </c>
      <c r="AE588" s="5">
        <f>SUMIFS(PGĐ!$H:$H,PGĐ!$F:$F,"="&amp;'HQ2'!B588,PGĐ!$I:$I,"="&amp;'HQ2'!A588)</f>
        <v>0</v>
      </c>
      <c r="AF588" s="17"/>
      <c r="AG588" s="7">
        <f>SUMIFS(ĐMCP!$Q:$Q,ĐMCP!$P:$P,"="&amp;'HQ2'!B588,ĐMCP!$O:$O,"="&amp;'HQ2'!A588)</f>
        <v>9458359.7173340302</v>
      </c>
      <c r="AH588" s="7">
        <f t="shared" si="9"/>
        <v>-0.28266596980392933</v>
      </c>
    </row>
    <row r="589" spans="1:34" x14ac:dyDescent="0.25">
      <c r="A589" s="123" t="s">
        <v>118</v>
      </c>
      <c r="B589" s="16" t="s">
        <v>269</v>
      </c>
      <c r="G589" s="7">
        <v>20427273.599999998</v>
      </c>
      <c r="H589" s="7">
        <v>-2042727.3599999999</v>
      </c>
      <c r="I589" s="7">
        <v>2042727.3599999999</v>
      </c>
      <c r="J589" s="7">
        <v>7949000</v>
      </c>
      <c r="M589" s="7">
        <v>7949000</v>
      </c>
      <c r="N589" s="7">
        <v>4769400</v>
      </c>
      <c r="Z589" s="7">
        <v>4769400</v>
      </c>
      <c r="AB589" s="7">
        <v>0</v>
      </c>
      <c r="AC589" s="7">
        <v>-2726672.64</v>
      </c>
      <c r="AD589" s="17">
        <v>2.3348196599275983</v>
      </c>
      <c r="AE589" s="5">
        <f>SUMIFS(PGĐ!$H:$H,PGĐ!$F:$F,"="&amp;'HQ2'!B589,PGĐ!$I:$I,"="&amp;'HQ2'!A589)</f>
        <v>0</v>
      </c>
      <c r="AF589" s="17"/>
      <c r="AG589" s="7">
        <f>SUMIFS(ĐMCP!$Q:$Q,ĐMCP!$P:$P,"="&amp;'HQ2'!B589,ĐMCP!$O:$O,"="&amp;'HQ2'!A589)</f>
        <v>0</v>
      </c>
      <c r="AH589" s="7">
        <f t="shared" si="9"/>
        <v>0</v>
      </c>
    </row>
    <row r="590" spans="1:34" x14ac:dyDescent="0.25">
      <c r="A590" s="123" t="s">
        <v>118</v>
      </c>
      <c r="B590" s="16" t="s">
        <v>273</v>
      </c>
      <c r="O590" s="7">
        <v>1000000000</v>
      </c>
      <c r="R590" s="7">
        <v>1000000000</v>
      </c>
      <c r="S590" s="7">
        <v>500000000</v>
      </c>
      <c r="T590" s="7">
        <v>1000000000</v>
      </c>
      <c r="W590" s="7">
        <v>1000000000</v>
      </c>
      <c r="X590" s="7">
        <v>500000000</v>
      </c>
      <c r="Y590" s="7">
        <v>0</v>
      </c>
      <c r="Z590" s="7">
        <v>0</v>
      </c>
      <c r="AB590" s="7">
        <v>9237178</v>
      </c>
      <c r="AC590" s="7">
        <v>-9237178</v>
      </c>
      <c r="AD590" t="s">
        <v>428</v>
      </c>
      <c r="AE590" s="5">
        <f>SUMIFS(PGĐ!$H:$H,PGĐ!$F:$F,"="&amp;'HQ2'!B590,PGĐ!$I:$I,"="&amp;'HQ2'!A590)</f>
        <v>0</v>
      </c>
      <c r="AG590" s="7">
        <f>SUMIFS(ĐMCP!$Q:$Q,ĐMCP!$P:$P,"="&amp;'HQ2'!B590,ĐMCP!$O:$O,"="&amp;'HQ2'!A590)</f>
        <v>9237177.5390016325</v>
      </c>
      <c r="AH590" s="7">
        <f t="shared" si="9"/>
        <v>-0.46099836751818657</v>
      </c>
    </row>
    <row r="591" spans="1:34" x14ac:dyDescent="0.25">
      <c r="A591" s="123" t="s">
        <v>118</v>
      </c>
      <c r="B591" s="16" t="s">
        <v>23</v>
      </c>
      <c r="C591" s="7">
        <v>-238187479</v>
      </c>
      <c r="E591" s="7">
        <v>-238187479</v>
      </c>
      <c r="F591" s="7">
        <v>-83365617.649999991</v>
      </c>
      <c r="H591" s="7">
        <v>-20841404.412499998</v>
      </c>
      <c r="I591" s="7">
        <v>-62524213.237499997</v>
      </c>
      <c r="AA591" s="7">
        <v>-2500968.5294999997</v>
      </c>
      <c r="AB591" s="7">
        <v>-24514013</v>
      </c>
      <c r="AC591" s="7">
        <v>-35509231.707999997</v>
      </c>
      <c r="AD591" s="17"/>
      <c r="AE591" s="5">
        <f>SUMIFS(PGĐ!$H:$H,PGĐ!$F:$F,"="&amp;'HQ2'!B591,PGĐ!$I:$I,"="&amp;'HQ2'!A591)</f>
        <v>0</v>
      </c>
      <c r="AF591" s="17"/>
      <c r="AG591" s="7">
        <f>SUMIFS(ĐMCP!$Q:$Q,ĐMCP!$P:$P,"="&amp;'HQ2'!B591,ĐMCP!$O:$O,"="&amp;'HQ2'!A591)</f>
        <v>-24514012.966921024</v>
      </c>
      <c r="AH591" s="7">
        <f t="shared" si="9"/>
        <v>3.3078975975513458E-2</v>
      </c>
    </row>
    <row r="592" spans="1:34" x14ac:dyDescent="0.25">
      <c r="A592" s="123" t="s">
        <v>119</v>
      </c>
      <c r="B592" s="15" t="s">
        <v>45</v>
      </c>
      <c r="C592" s="132">
        <v>461109875</v>
      </c>
      <c r="D592" s="132">
        <v>348711792</v>
      </c>
      <c r="E592" s="132">
        <v>112398083</v>
      </c>
      <c r="F592" s="132">
        <v>421406302.05500001</v>
      </c>
      <c r="G592" s="132">
        <v>171137417.59999999</v>
      </c>
      <c r="H592" s="132">
        <v>52704989.282500006</v>
      </c>
      <c r="I592" s="132">
        <v>368701312.77249998</v>
      </c>
      <c r="J592" s="132"/>
      <c r="K592" s="132"/>
      <c r="L592" s="132"/>
      <c r="M592" s="132"/>
      <c r="N592" s="132"/>
      <c r="O592" s="132">
        <v>1140000000</v>
      </c>
      <c r="P592" s="132">
        <v>300000000</v>
      </c>
      <c r="Q592" s="132"/>
      <c r="R592" s="132">
        <v>840000000</v>
      </c>
      <c r="S592" s="132">
        <v>521977832.01999998</v>
      </c>
      <c r="T592" s="132">
        <v>210000000</v>
      </c>
      <c r="U592" s="132"/>
      <c r="V592" s="132"/>
      <c r="W592" s="132">
        <v>210000000</v>
      </c>
      <c r="X592" s="132">
        <v>126000000</v>
      </c>
      <c r="Y592" s="132">
        <v>395977832.01999998</v>
      </c>
      <c r="Z592" s="132">
        <v>395977832.01999998</v>
      </c>
      <c r="AA592" s="132">
        <v>12642189.061650001</v>
      </c>
      <c r="AB592" s="132">
        <v>21427622</v>
      </c>
      <c r="AC592" s="132">
        <v>-61346330.309149981</v>
      </c>
      <c r="AD592" s="96">
        <v>1.0739799894998758</v>
      </c>
      <c r="AE592" s="5">
        <f>SUMIFS(PGĐ!$H:$H,PGĐ!$F:$F,"="&amp;'HQ2'!B592,PGĐ!$I:$I,"="&amp;'HQ2'!A592)</f>
        <v>0</v>
      </c>
      <c r="AF592" s="96"/>
      <c r="AG592" s="7">
        <f>SUMIFS(ĐMCP!$Q:$Q,ĐMCP!$P:$P,"="&amp;'HQ2'!B592,ĐMCP!$O:$O,"="&amp;'HQ2'!A592)</f>
        <v>0</v>
      </c>
      <c r="AH592" s="7">
        <f t="shared" si="9"/>
        <v>0</v>
      </c>
    </row>
    <row r="593" spans="1:34" x14ac:dyDescent="0.25">
      <c r="A593" s="123" t="s">
        <v>119</v>
      </c>
      <c r="B593" s="16" t="s">
        <v>271</v>
      </c>
      <c r="C593" s="7">
        <v>409128464</v>
      </c>
      <c r="D593" s="7">
        <v>298480381</v>
      </c>
      <c r="E593" s="7">
        <v>110648083</v>
      </c>
      <c r="F593" s="7">
        <v>371456833.38499999</v>
      </c>
      <c r="G593" s="7">
        <v>116045559.69999999</v>
      </c>
      <c r="H593" s="7">
        <v>51082254.737000003</v>
      </c>
      <c r="I593" s="7">
        <v>320374578.648</v>
      </c>
      <c r="O593" s="7">
        <v>1140000000</v>
      </c>
      <c r="P593" s="7">
        <v>300000000</v>
      </c>
      <c r="R593" s="7">
        <v>840000000</v>
      </c>
      <c r="S593" s="7">
        <v>521977832.01999998</v>
      </c>
      <c r="T593" s="7">
        <v>210000000</v>
      </c>
      <c r="W593" s="7">
        <v>210000000</v>
      </c>
      <c r="X593" s="7">
        <v>126000000</v>
      </c>
      <c r="Y593" s="7">
        <v>395977832.01999998</v>
      </c>
      <c r="Z593" s="7">
        <v>395977832.01999998</v>
      </c>
      <c r="AA593" s="7">
        <v>11143705.00155</v>
      </c>
      <c r="AB593" s="7">
        <v>19584790</v>
      </c>
      <c r="AC593" s="7">
        <v>-106331748.37354998</v>
      </c>
      <c r="AD593" s="17">
        <v>1.2359839338409753</v>
      </c>
      <c r="AE593" s="5">
        <f>SUMIFS(PGĐ!$H:$H,PGĐ!$F:$F,"="&amp;'HQ2'!B593,PGĐ!$I:$I,"="&amp;'HQ2'!A593)</f>
        <v>0</v>
      </c>
      <c r="AF593" s="17"/>
      <c r="AG593" s="7">
        <f>SUMIFS(ĐMCP!$Q:$Q,ĐMCP!$P:$P,"="&amp;'HQ2'!B593,ĐMCP!$O:$O,"="&amp;'HQ2'!A593)</f>
        <v>19584790.188375425</v>
      </c>
      <c r="AH593" s="7">
        <f t="shared" si="9"/>
        <v>0.18837542459368706</v>
      </c>
    </row>
    <row r="594" spans="1:34" x14ac:dyDescent="0.25">
      <c r="A594" s="123" t="s">
        <v>119</v>
      </c>
      <c r="B594" s="16" t="s">
        <v>268</v>
      </c>
      <c r="C594" s="7">
        <v>51981411</v>
      </c>
      <c r="D594" s="7">
        <v>50231411</v>
      </c>
      <c r="E594" s="7">
        <v>1750000</v>
      </c>
      <c r="F594" s="7">
        <v>49949468.670000002</v>
      </c>
      <c r="G594" s="7">
        <v>7209999.2999999998</v>
      </c>
      <c r="H594" s="7">
        <v>6410920.4055000003</v>
      </c>
      <c r="I594" s="7">
        <v>43538548.2645</v>
      </c>
      <c r="AA594" s="7">
        <v>1498484.0600999999</v>
      </c>
      <c r="AB594" s="7">
        <v>1842832</v>
      </c>
      <c r="AC594" s="7">
        <v>40197232.204400003</v>
      </c>
      <c r="AD594" s="17"/>
      <c r="AE594" s="5">
        <f>SUMIFS(PGĐ!$H:$H,PGĐ!$F:$F,"="&amp;'HQ2'!B594,PGĐ!$I:$I,"="&amp;'HQ2'!A594)</f>
        <v>0</v>
      </c>
      <c r="AF594" s="17"/>
      <c r="AG594" s="7">
        <f>SUMIFS(ĐMCP!$Q:$Q,ĐMCP!$P:$P,"="&amp;'HQ2'!B594,ĐMCP!$O:$O,"="&amp;'HQ2'!A594)</f>
        <v>1842832.4689521343</v>
      </c>
      <c r="AH594" s="7">
        <f t="shared" si="9"/>
        <v>0.46895213425159454</v>
      </c>
    </row>
    <row r="595" spans="1:34" x14ac:dyDescent="0.25">
      <c r="A595" s="123" t="s">
        <v>119</v>
      </c>
      <c r="B595" s="16" t="s">
        <v>270</v>
      </c>
      <c r="G595" s="7">
        <v>32046222.400000002</v>
      </c>
      <c r="H595" s="7">
        <v>-3204622.24</v>
      </c>
      <c r="I595" s="7">
        <v>3204622.24</v>
      </c>
      <c r="AB595" s="7">
        <v>0</v>
      </c>
      <c r="AC595" s="7">
        <v>3204622.24</v>
      </c>
      <c r="AD595" s="17"/>
      <c r="AE595" s="5">
        <f>SUMIFS(PGĐ!$H:$H,PGĐ!$F:$F,"="&amp;'HQ2'!B595,PGĐ!$I:$I,"="&amp;'HQ2'!A595)</f>
        <v>0</v>
      </c>
      <c r="AF595" s="17"/>
      <c r="AG595" s="7">
        <f>SUMIFS(ĐMCP!$Q:$Q,ĐMCP!$P:$P,"="&amp;'HQ2'!B595,ĐMCP!$O:$O,"="&amp;'HQ2'!A595)</f>
        <v>0</v>
      </c>
      <c r="AH595" s="7">
        <f t="shared" si="9"/>
        <v>0</v>
      </c>
    </row>
    <row r="596" spans="1:34" x14ac:dyDescent="0.25">
      <c r="A596" s="123" t="s">
        <v>119</v>
      </c>
      <c r="B596" s="16" t="s">
        <v>269</v>
      </c>
      <c r="G596" s="7">
        <v>15835636.199999999</v>
      </c>
      <c r="H596" s="7">
        <v>-1583563.62</v>
      </c>
      <c r="I596" s="7">
        <v>1583563.62</v>
      </c>
      <c r="AB596" s="7">
        <v>0</v>
      </c>
      <c r="AC596" s="7">
        <v>1583563.62</v>
      </c>
      <c r="AD596" s="17"/>
      <c r="AE596" s="5">
        <f>SUMIFS(PGĐ!$H:$H,PGĐ!$F:$F,"="&amp;'HQ2'!B596,PGĐ!$I:$I,"="&amp;'HQ2'!A596)</f>
        <v>0</v>
      </c>
      <c r="AF596" s="17"/>
      <c r="AG596" s="7">
        <f>SUMIFS(ĐMCP!$Q:$Q,ĐMCP!$P:$P,"="&amp;'HQ2'!B596,ĐMCP!$O:$O,"="&amp;'HQ2'!A596)</f>
        <v>0</v>
      </c>
      <c r="AH596" s="7">
        <f t="shared" si="9"/>
        <v>0</v>
      </c>
    </row>
    <row r="597" spans="1:34" x14ac:dyDescent="0.25">
      <c r="A597" s="123" t="s">
        <v>119</v>
      </c>
      <c r="B597" s="16" t="s">
        <v>273</v>
      </c>
      <c r="AB597" s="7">
        <v>0</v>
      </c>
      <c r="AC597" s="7">
        <v>0</v>
      </c>
      <c r="AD597" s="17"/>
      <c r="AE597" s="5">
        <f>SUMIFS(PGĐ!$H:$H,PGĐ!$F:$F,"="&amp;'HQ2'!B597,PGĐ!$I:$I,"="&amp;'HQ2'!A597)</f>
        <v>0</v>
      </c>
      <c r="AF597" s="17"/>
      <c r="AG597" s="7">
        <f>SUMIFS(ĐMCP!$Q:$Q,ĐMCP!$P:$P,"="&amp;'HQ2'!B597,ĐMCP!$O:$O,"="&amp;'HQ2'!A597)</f>
        <v>0</v>
      </c>
      <c r="AH597" s="7">
        <f t="shared" si="9"/>
        <v>0</v>
      </c>
    </row>
    <row r="598" spans="1:34" x14ac:dyDescent="0.25">
      <c r="A598" s="123" t="s">
        <v>119</v>
      </c>
      <c r="B598" s="16" t="s">
        <v>23</v>
      </c>
      <c r="AB598" s="7">
        <v>0</v>
      </c>
      <c r="AC598" s="7">
        <v>0</v>
      </c>
      <c r="AD598" s="17"/>
      <c r="AE598" s="5">
        <f>SUMIFS(PGĐ!$H:$H,PGĐ!$F:$F,"="&amp;'HQ2'!B598,PGĐ!$I:$I,"="&amp;'HQ2'!A598)</f>
        <v>0</v>
      </c>
      <c r="AF598" s="17"/>
      <c r="AG598" s="7">
        <f>SUMIFS(ĐMCP!$Q:$Q,ĐMCP!$P:$P,"="&amp;'HQ2'!B598,ĐMCP!$O:$O,"="&amp;'HQ2'!A598)</f>
        <v>0</v>
      </c>
      <c r="AH598" s="7">
        <f t="shared" si="9"/>
        <v>0</v>
      </c>
    </row>
    <row r="599" spans="1:34" x14ac:dyDescent="0.25">
      <c r="A599" s="123" t="s">
        <v>119</v>
      </c>
      <c r="B599" s="16" t="s">
        <v>272</v>
      </c>
      <c r="AB599" s="7">
        <v>0</v>
      </c>
      <c r="AC599" s="7">
        <v>0</v>
      </c>
      <c r="AD599" s="17"/>
      <c r="AE599" s="5">
        <f>SUMIFS(PGĐ!$H:$H,PGĐ!$F:$F,"="&amp;'HQ2'!B599,PGĐ!$I:$I,"="&amp;'HQ2'!A599)</f>
        <v>0</v>
      </c>
      <c r="AF599" s="17"/>
      <c r="AG599" s="7">
        <f>SUMIFS(ĐMCP!$Q:$Q,ĐMCP!$P:$P,"="&amp;'HQ2'!B599,ĐMCP!$O:$O,"="&amp;'HQ2'!A599)</f>
        <v>0</v>
      </c>
      <c r="AH599" s="7">
        <f t="shared" si="9"/>
        <v>0</v>
      </c>
    </row>
    <row r="600" spans="1:34" x14ac:dyDescent="0.25">
      <c r="A600" s="123" t="s">
        <v>120</v>
      </c>
      <c r="B600" s="15" t="s">
        <v>45</v>
      </c>
      <c r="C600" s="132">
        <v>555833762</v>
      </c>
      <c r="D600" s="132">
        <v>35921398</v>
      </c>
      <c r="E600" s="132">
        <v>519912364</v>
      </c>
      <c r="F600" s="132">
        <v>398810119.95499992</v>
      </c>
      <c r="G600" s="132">
        <v>547983646</v>
      </c>
      <c r="H600" s="132">
        <v>-24872550.276500009</v>
      </c>
      <c r="I600" s="132">
        <v>423682670.23149991</v>
      </c>
      <c r="J600" s="132"/>
      <c r="K600" s="132"/>
      <c r="L600" s="132"/>
      <c r="M600" s="132"/>
      <c r="N600" s="132"/>
      <c r="O600" s="132">
        <v>8549000000</v>
      </c>
      <c r="P600" s="132"/>
      <c r="Q600" s="132"/>
      <c r="R600" s="132">
        <v>8549000000</v>
      </c>
      <c r="S600" s="132">
        <v>5091200000</v>
      </c>
      <c r="T600" s="132">
        <v>8549000000</v>
      </c>
      <c r="U600" s="132"/>
      <c r="V600" s="132"/>
      <c r="W600" s="132">
        <v>8549000000</v>
      </c>
      <c r="X600" s="132">
        <v>5091200000</v>
      </c>
      <c r="Y600" s="132">
        <v>0</v>
      </c>
      <c r="Z600" s="132">
        <v>0</v>
      </c>
      <c r="AA600" s="132">
        <v>11964303.598649997</v>
      </c>
      <c r="AB600" s="132">
        <v>199543994</v>
      </c>
      <c r="AC600" s="132">
        <v>212174372.63284996</v>
      </c>
      <c r="AD600" s="96">
        <v>0</v>
      </c>
      <c r="AE600" s="5">
        <f>SUMIFS(PGĐ!$H:$H,PGĐ!$F:$F,"="&amp;'HQ2'!B600,PGĐ!$I:$I,"="&amp;'HQ2'!A600)</f>
        <v>0</v>
      </c>
      <c r="AF600" s="96"/>
      <c r="AG600" s="7">
        <f>SUMIFS(ĐMCP!$Q:$Q,ĐMCP!$P:$P,"="&amp;'HQ2'!B600,ĐMCP!$O:$O,"="&amp;'HQ2'!A600)</f>
        <v>0</v>
      </c>
      <c r="AH600" s="7">
        <f t="shared" si="9"/>
        <v>0</v>
      </c>
    </row>
    <row r="601" spans="1:34" x14ac:dyDescent="0.25">
      <c r="A601" s="123" t="s">
        <v>120</v>
      </c>
      <c r="B601" s="16" t="s">
        <v>271</v>
      </c>
      <c r="C601" s="7">
        <v>516759637</v>
      </c>
      <c r="D601" s="7">
        <v>1847273</v>
      </c>
      <c r="E601" s="7">
        <v>514912364</v>
      </c>
      <c r="F601" s="7">
        <v>362258218.70499992</v>
      </c>
      <c r="G601" s="7">
        <v>412188646.09999996</v>
      </c>
      <c r="H601" s="7">
        <v>-9986085.4790000077</v>
      </c>
      <c r="I601" s="7">
        <v>372244304.18399996</v>
      </c>
      <c r="O601" s="7">
        <v>7785000000</v>
      </c>
      <c r="R601" s="7">
        <v>7785000000</v>
      </c>
      <c r="S601" s="7">
        <v>4671000000</v>
      </c>
      <c r="T601" s="7">
        <v>7785000000</v>
      </c>
      <c r="W601" s="7">
        <v>7785000000</v>
      </c>
      <c r="X601" s="7">
        <v>4671000000</v>
      </c>
      <c r="Y601" s="7">
        <v>0</v>
      </c>
      <c r="Z601" s="7">
        <v>0</v>
      </c>
      <c r="AA601" s="7">
        <v>10867746.561149998</v>
      </c>
      <c r="AB601" s="7">
        <v>195995537</v>
      </c>
      <c r="AC601" s="7">
        <v>165381020.62284997</v>
      </c>
      <c r="AD601" s="17">
        <v>0</v>
      </c>
      <c r="AE601" s="5">
        <f>SUMIFS(PGĐ!$H:$H,PGĐ!$F:$F,"="&amp;'HQ2'!B601,PGĐ!$I:$I,"="&amp;'HQ2'!A601)</f>
        <v>0</v>
      </c>
      <c r="AF601" s="17"/>
      <c r="AG601" s="7">
        <f>SUMIFS(ĐMCP!$Q:$Q,ĐMCP!$P:$P,"="&amp;'HQ2'!B601,ĐMCP!$O:$O,"="&amp;'HQ2'!A601)</f>
        <v>195995537.34811741</v>
      </c>
      <c r="AH601" s="7">
        <f t="shared" si="9"/>
        <v>0.3481174111366272</v>
      </c>
    </row>
    <row r="602" spans="1:34" x14ac:dyDescent="0.25">
      <c r="A602" s="123" t="s">
        <v>120</v>
      </c>
      <c r="B602" s="16" t="s">
        <v>268</v>
      </c>
      <c r="C602" s="7">
        <v>39074125</v>
      </c>
      <c r="D602" s="7">
        <v>34074125</v>
      </c>
      <c r="E602" s="7">
        <v>5000000</v>
      </c>
      <c r="F602" s="7">
        <v>36551901.25</v>
      </c>
      <c r="G602" s="7">
        <v>135794999.90000001</v>
      </c>
      <c r="H602" s="7">
        <v>-14886464.797500001</v>
      </c>
      <c r="I602" s="7">
        <v>51438366.047499999</v>
      </c>
      <c r="O602" s="7">
        <v>764000000</v>
      </c>
      <c r="R602" s="7">
        <v>764000000</v>
      </c>
      <c r="S602" s="7">
        <v>420200000.00000006</v>
      </c>
      <c r="T602" s="7">
        <v>764000000</v>
      </c>
      <c r="W602" s="7">
        <v>764000000</v>
      </c>
      <c r="X602" s="7">
        <v>420200000.00000006</v>
      </c>
      <c r="Y602" s="7">
        <v>0</v>
      </c>
      <c r="Z602" s="7">
        <v>0</v>
      </c>
      <c r="AA602" s="7">
        <v>1096557.0374999999</v>
      </c>
      <c r="AB602" s="7">
        <v>3548457</v>
      </c>
      <c r="AC602" s="7">
        <v>46793352.009999998</v>
      </c>
      <c r="AD602" s="17">
        <v>0</v>
      </c>
      <c r="AE602" s="5">
        <f>SUMIFS(PGĐ!$H:$H,PGĐ!$F:$F,"="&amp;'HQ2'!B602,PGĐ!$I:$I,"="&amp;'HQ2'!A602)</f>
        <v>0</v>
      </c>
      <c r="AF602" s="17"/>
      <c r="AG602" s="7">
        <f>SUMIFS(ĐMCP!$Q:$Q,ĐMCP!$P:$P,"="&amp;'HQ2'!B602,ĐMCP!$O:$O,"="&amp;'HQ2'!A602)</f>
        <v>3548457.073904878</v>
      </c>
      <c r="AH602" s="7">
        <f t="shared" si="9"/>
        <v>7.3904877994209528E-2</v>
      </c>
    </row>
    <row r="603" spans="1:34" x14ac:dyDescent="0.25">
      <c r="A603" s="123" t="s">
        <v>120</v>
      </c>
      <c r="B603" s="16" t="s">
        <v>270</v>
      </c>
      <c r="AB603" s="7">
        <v>0</v>
      </c>
      <c r="AC603" s="7">
        <v>0</v>
      </c>
      <c r="AD603" s="17"/>
      <c r="AE603" s="5">
        <f>SUMIFS(PGĐ!$H:$H,PGĐ!$F:$F,"="&amp;'HQ2'!B603,PGĐ!$I:$I,"="&amp;'HQ2'!A603)</f>
        <v>0</v>
      </c>
      <c r="AF603" s="17"/>
      <c r="AG603" s="7">
        <f>SUMIFS(ĐMCP!$Q:$Q,ĐMCP!$P:$P,"="&amp;'HQ2'!B603,ĐMCP!$O:$O,"="&amp;'HQ2'!A603)</f>
        <v>0</v>
      </c>
      <c r="AH603" s="7">
        <f t="shared" si="9"/>
        <v>0</v>
      </c>
    </row>
    <row r="604" spans="1:34" x14ac:dyDescent="0.25">
      <c r="A604" s="123" t="s">
        <v>120</v>
      </c>
      <c r="B604" s="16" t="s">
        <v>269</v>
      </c>
      <c r="AB604" s="7">
        <v>0</v>
      </c>
      <c r="AC604" s="7">
        <v>0</v>
      </c>
      <c r="AD604" s="17"/>
      <c r="AE604" s="5">
        <f>SUMIFS(PGĐ!$H:$H,PGĐ!$F:$F,"="&amp;'HQ2'!B604,PGĐ!$I:$I,"="&amp;'HQ2'!A604)</f>
        <v>0</v>
      </c>
      <c r="AF604" s="17"/>
      <c r="AG604" s="7">
        <f>SUMIFS(ĐMCP!$Q:$Q,ĐMCP!$P:$P,"="&amp;'HQ2'!B604,ĐMCP!$O:$O,"="&amp;'HQ2'!A604)</f>
        <v>0</v>
      </c>
      <c r="AH604" s="7">
        <f t="shared" si="9"/>
        <v>0</v>
      </c>
    </row>
    <row r="605" spans="1:34" x14ac:dyDescent="0.25">
      <c r="A605" s="123" t="s">
        <v>120</v>
      </c>
      <c r="B605" s="16" t="s">
        <v>273</v>
      </c>
      <c r="AB605" s="7">
        <v>0</v>
      </c>
      <c r="AC605" s="7">
        <v>0</v>
      </c>
      <c r="AD605" s="17"/>
      <c r="AE605" s="5">
        <f>SUMIFS(PGĐ!$H:$H,PGĐ!$F:$F,"="&amp;'HQ2'!B605,PGĐ!$I:$I,"="&amp;'HQ2'!A605)</f>
        <v>0</v>
      </c>
      <c r="AF605" s="17"/>
      <c r="AG605" s="7">
        <f>SUMIFS(ĐMCP!$Q:$Q,ĐMCP!$P:$P,"="&amp;'HQ2'!B605,ĐMCP!$O:$O,"="&amp;'HQ2'!A605)</f>
        <v>0</v>
      </c>
      <c r="AH605" s="7">
        <f t="shared" si="9"/>
        <v>0</v>
      </c>
    </row>
    <row r="606" spans="1:34" x14ac:dyDescent="0.25">
      <c r="A606" s="123" t="s">
        <v>120</v>
      </c>
      <c r="B606" s="16" t="s">
        <v>23</v>
      </c>
      <c r="AB606" s="7">
        <v>0</v>
      </c>
      <c r="AC606" s="7">
        <v>0</v>
      </c>
      <c r="AD606" s="17"/>
      <c r="AE606" s="5">
        <f>SUMIFS(PGĐ!$H:$H,PGĐ!$F:$F,"="&amp;'HQ2'!B606,PGĐ!$I:$I,"="&amp;'HQ2'!A606)</f>
        <v>0</v>
      </c>
      <c r="AF606" s="17"/>
      <c r="AG606" s="7">
        <f>SUMIFS(ĐMCP!$Q:$Q,ĐMCP!$P:$P,"="&amp;'HQ2'!B606,ĐMCP!$O:$O,"="&amp;'HQ2'!A606)</f>
        <v>0</v>
      </c>
      <c r="AH606" s="7">
        <f t="shared" si="9"/>
        <v>0</v>
      </c>
    </row>
    <row r="607" spans="1:34" x14ac:dyDescent="0.25">
      <c r="A607" s="123" t="s">
        <v>120</v>
      </c>
      <c r="B607" s="16" t="s">
        <v>272</v>
      </c>
      <c r="AB607" s="7">
        <v>0</v>
      </c>
      <c r="AC607" s="7">
        <v>0</v>
      </c>
      <c r="AD607" s="17"/>
      <c r="AE607" s="5">
        <f>SUMIFS(PGĐ!$H:$H,PGĐ!$F:$F,"="&amp;'HQ2'!B607,PGĐ!$I:$I,"="&amp;'HQ2'!A607)</f>
        <v>0</v>
      </c>
      <c r="AF607" s="17"/>
      <c r="AG607" s="7">
        <f>SUMIFS(ĐMCP!$Q:$Q,ĐMCP!$P:$P,"="&amp;'HQ2'!B607,ĐMCP!$O:$O,"="&amp;'HQ2'!A607)</f>
        <v>0</v>
      </c>
      <c r="AH607" s="7">
        <f t="shared" si="9"/>
        <v>0</v>
      </c>
    </row>
    <row r="608" spans="1:34" x14ac:dyDescent="0.25">
      <c r="A608" s="123" t="s">
        <v>121</v>
      </c>
      <c r="B608" s="15" t="s">
        <v>45</v>
      </c>
      <c r="C608" s="132">
        <v>572314139</v>
      </c>
      <c r="D608" s="132">
        <v>137853613</v>
      </c>
      <c r="E608" s="132">
        <v>434460526</v>
      </c>
      <c r="F608" s="132">
        <v>381673519.69499999</v>
      </c>
      <c r="G608" s="132">
        <v>1368386157.1999998</v>
      </c>
      <c r="H608" s="132">
        <v>-141703057.91549996</v>
      </c>
      <c r="I608" s="132">
        <v>523376577.61049998</v>
      </c>
      <c r="J608" s="132"/>
      <c r="K608" s="132"/>
      <c r="L608" s="132"/>
      <c r="M608" s="132"/>
      <c r="N608" s="132"/>
      <c r="O608" s="132">
        <v>7567965875</v>
      </c>
      <c r="P608" s="132"/>
      <c r="Q608" s="132"/>
      <c r="R608" s="132">
        <v>7567965875</v>
      </c>
      <c r="S608" s="132">
        <v>4540779525</v>
      </c>
      <c r="T608" s="132">
        <v>7567965875</v>
      </c>
      <c r="U608" s="132"/>
      <c r="V608" s="132"/>
      <c r="W608" s="132">
        <v>7567965875</v>
      </c>
      <c r="X608" s="132">
        <v>4540779525</v>
      </c>
      <c r="Y608" s="132">
        <v>0</v>
      </c>
      <c r="Z608" s="132">
        <v>0</v>
      </c>
      <c r="AA608" s="132">
        <v>11450205.590849999</v>
      </c>
      <c r="AB608" s="132">
        <v>149262900</v>
      </c>
      <c r="AC608" s="132">
        <v>362663472.01964992</v>
      </c>
      <c r="AD608" s="96">
        <v>0</v>
      </c>
      <c r="AE608" s="5">
        <f>SUMIFS(PGĐ!$H:$H,PGĐ!$F:$F,"="&amp;'HQ2'!B608,PGĐ!$I:$I,"="&amp;'HQ2'!A608)</f>
        <v>0</v>
      </c>
      <c r="AF608" s="96"/>
      <c r="AG608" s="7">
        <f>SUMIFS(ĐMCP!$Q:$Q,ĐMCP!$P:$P,"="&amp;'HQ2'!B608,ĐMCP!$O:$O,"="&amp;'HQ2'!A608)</f>
        <v>0</v>
      </c>
      <c r="AH608" s="7">
        <f t="shared" si="9"/>
        <v>0</v>
      </c>
    </row>
    <row r="609" spans="1:34" x14ac:dyDescent="0.25">
      <c r="A609" s="123" t="s">
        <v>121</v>
      </c>
      <c r="B609" s="16" t="s">
        <v>268</v>
      </c>
      <c r="C609" s="7">
        <v>341323736</v>
      </c>
      <c r="D609" s="7">
        <v>72918984</v>
      </c>
      <c r="E609" s="7">
        <v>268404752</v>
      </c>
      <c r="F609" s="7">
        <v>258614740.88</v>
      </c>
      <c r="G609" s="7">
        <v>1320363773.3999999</v>
      </c>
      <c r="H609" s="7">
        <v>-159262354.87799996</v>
      </c>
      <c r="I609" s="7">
        <v>417877095.75799996</v>
      </c>
      <c r="AA609" s="7">
        <v>7758442.2263999991</v>
      </c>
      <c r="AB609" s="7">
        <v>101870861</v>
      </c>
      <c r="AC609" s="7">
        <v>308247792.53159994</v>
      </c>
      <c r="AD609" s="17"/>
      <c r="AE609" s="5">
        <f>SUMIFS(PGĐ!$H:$H,PGĐ!$F:$F,"="&amp;'HQ2'!B609,PGĐ!$I:$I,"="&amp;'HQ2'!A609)</f>
        <v>0</v>
      </c>
      <c r="AF609" s="17"/>
      <c r="AG609" s="7">
        <f>SUMIFS(ĐMCP!$Q:$Q,ĐMCP!$P:$P,"="&amp;'HQ2'!B609,ĐMCP!$O:$O,"="&amp;'HQ2'!A609)</f>
        <v>101870861.34366733</v>
      </c>
      <c r="AH609" s="7">
        <f t="shared" si="9"/>
        <v>0.34366732835769653</v>
      </c>
    </row>
    <row r="610" spans="1:34" x14ac:dyDescent="0.25">
      <c r="A610" s="123" t="s">
        <v>121</v>
      </c>
      <c r="B610" s="16" t="s">
        <v>23</v>
      </c>
      <c r="C610" s="7">
        <v>160055774</v>
      </c>
      <c r="E610" s="7">
        <v>160055774</v>
      </c>
      <c r="F610" s="7">
        <v>56019520.899999999</v>
      </c>
      <c r="H610" s="7">
        <v>14004880.225</v>
      </c>
      <c r="I610" s="7">
        <v>42014640.674999997</v>
      </c>
      <c r="AA610" s="7">
        <v>1680585.6269999999</v>
      </c>
      <c r="AB610" s="7">
        <v>24980468</v>
      </c>
      <c r="AC610" s="7">
        <v>15353587.047999997</v>
      </c>
      <c r="AD610" s="17"/>
      <c r="AE610" s="5">
        <f>SUMIFS(PGĐ!$H:$H,PGĐ!$F:$F,"="&amp;'HQ2'!B610,PGĐ!$I:$I,"="&amp;'HQ2'!A610)</f>
        <v>0</v>
      </c>
      <c r="AF610" s="17"/>
      <c r="AG610" s="7">
        <f>SUMIFS(ĐMCP!$Q:$Q,ĐMCP!$P:$P,"="&amp;'HQ2'!B610,ĐMCP!$O:$O,"="&amp;'HQ2'!A610)</f>
        <v>24980467.65466509</v>
      </c>
      <c r="AH610" s="7">
        <f t="shared" si="9"/>
        <v>-0.34533490985631943</v>
      </c>
    </row>
    <row r="611" spans="1:34" x14ac:dyDescent="0.25">
      <c r="A611" s="123" t="s">
        <v>121</v>
      </c>
      <c r="B611" s="16" t="s">
        <v>271</v>
      </c>
      <c r="C611" s="7">
        <v>54507596</v>
      </c>
      <c r="D611" s="7">
        <v>54507596</v>
      </c>
      <c r="F611" s="7">
        <v>53689982.060000002</v>
      </c>
      <c r="G611" s="7">
        <v>46042383.799999997</v>
      </c>
      <c r="H611" s="7">
        <v>1529519.6520000012</v>
      </c>
      <c r="I611" s="7">
        <v>52160462.408</v>
      </c>
      <c r="O611" s="7">
        <v>7567965875</v>
      </c>
      <c r="R611" s="7">
        <v>7567965875</v>
      </c>
      <c r="S611" s="7">
        <v>4540779525</v>
      </c>
      <c r="T611" s="7">
        <v>7567965875</v>
      </c>
      <c r="W611" s="7">
        <v>7567965875</v>
      </c>
      <c r="X611" s="7">
        <v>4540779525</v>
      </c>
      <c r="Y611" s="7">
        <v>0</v>
      </c>
      <c r="Z611" s="7">
        <v>0</v>
      </c>
      <c r="AA611" s="7">
        <v>1610699.4617999999</v>
      </c>
      <c r="AB611" s="7">
        <v>16955871</v>
      </c>
      <c r="AC611" s="7">
        <v>33593891.946199998</v>
      </c>
      <c r="AD611" s="17">
        <v>0</v>
      </c>
      <c r="AE611" s="5">
        <f>SUMIFS(PGĐ!$H:$H,PGĐ!$F:$F,"="&amp;'HQ2'!B611,PGĐ!$I:$I,"="&amp;'HQ2'!A611)</f>
        <v>0</v>
      </c>
      <c r="AF611" s="17"/>
      <c r="AG611" s="7">
        <f>SUMIFS(ĐMCP!$Q:$Q,ĐMCP!$P:$P,"="&amp;'HQ2'!B611,ĐMCP!$O:$O,"="&amp;'HQ2'!A611)</f>
        <v>16955870.736252885</v>
      </c>
      <c r="AH611" s="7">
        <f t="shared" si="9"/>
        <v>-0.26374711468815804</v>
      </c>
    </row>
    <row r="612" spans="1:34" x14ac:dyDescent="0.25">
      <c r="A612" s="123" t="s">
        <v>121</v>
      </c>
      <c r="B612" s="16" t="s">
        <v>272</v>
      </c>
      <c r="C612" s="7">
        <v>9497000</v>
      </c>
      <c r="D612" s="7">
        <v>9497000</v>
      </c>
      <c r="F612" s="7">
        <v>8879695</v>
      </c>
      <c r="H612" s="7">
        <v>1775939</v>
      </c>
      <c r="I612" s="7">
        <v>7103756</v>
      </c>
      <c r="AA612" s="7">
        <v>266390.84999999998</v>
      </c>
      <c r="AB612" s="7">
        <v>3470650</v>
      </c>
      <c r="AC612" s="7">
        <v>3366715.15</v>
      </c>
      <c r="AD612" s="17"/>
      <c r="AE612" s="5">
        <f>SUMIFS(PGĐ!$H:$H,PGĐ!$F:$F,"="&amp;'HQ2'!B612,PGĐ!$I:$I,"="&amp;'HQ2'!A612)</f>
        <v>0</v>
      </c>
      <c r="AF612" s="17"/>
      <c r="AG612" s="7">
        <f>SUMIFS(ĐMCP!$Q:$Q,ĐMCP!$P:$P,"="&amp;'HQ2'!B612,ĐMCP!$O:$O,"="&amp;'HQ2'!A612)</f>
        <v>3470650.2092987858</v>
      </c>
      <c r="AH612" s="7">
        <f t="shared" si="9"/>
        <v>0.20929878577589989</v>
      </c>
    </row>
    <row r="613" spans="1:34" x14ac:dyDescent="0.25">
      <c r="A613" s="123" t="s">
        <v>121</v>
      </c>
      <c r="B613" s="16" t="s">
        <v>269</v>
      </c>
      <c r="C613" s="7">
        <v>6000000</v>
      </c>
      <c r="E613" s="7">
        <v>6000000</v>
      </c>
      <c r="F613" s="7">
        <v>3600000</v>
      </c>
      <c r="G613" s="7">
        <v>1980000</v>
      </c>
      <c r="H613" s="7">
        <v>162000</v>
      </c>
      <c r="I613" s="7">
        <v>3438000</v>
      </c>
      <c r="AA613" s="7">
        <v>108000</v>
      </c>
      <c r="AB613" s="7">
        <v>1686441</v>
      </c>
      <c r="AC613" s="7">
        <v>1643559</v>
      </c>
      <c r="AD613" s="17"/>
      <c r="AE613" s="5">
        <f>SUMIFS(PGĐ!$H:$H,PGĐ!$F:$F,"="&amp;'HQ2'!B613,PGĐ!$I:$I,"="&amp;'HQ2'!A613)</f>
        <v>0</v>
      </c>
      <c r="AF613" s="17"/>
      <c r="AG613" s="7">
        <f>SUMIFS(ĐMCP!$Q:$Q,ĐMCP!$P:$P,"="&amp;'HQ2'!B613,ĐMCP!$O:$O,"="&amp;'HQ2'!A613)</f>
        <v>1686441.1135929993</v>
      </c>
      <c r="AH613" s="7">
        <f t="shared" si="9"/>
        <v>0.11359299928881228</v>
      </c>
    </row>
    <row r="614" spans="1:34" x14ac:dyDescent="0.25">
      <c r="A614" s="123" t="s">
        <v>121</v>
      </c>
      <c r="B614" s="16" t="s">
        <v>270</v>
      </c>
      <c r="C614" s="7">
        <v>930033</v>
      </c>
      <c r="D614" s="7">
        <v>930033</v>
      </c>
      <c r="F614" s="7">
        <v>869580.8550000001</v>
      </c>
      <c r="H614" s="7">
        <v>86958.085500000016</v>
      </c>
      <c r="I614" s="7">
        <v>782622.76950000005</v>
      </c>
      <c r="AA614" s="7">
        <v>26087.425650000001</v>
      </c>
      <c r="AB614" s="7">
        <v>298609</v>
      </c>
      <c r="AC614" s="7">
        <v>457926.34385000006</v>
      </c>
      <c r="AD614" s="17"/>
      <c r="AE614" s="5">
        <f>SUMIFS(PGĐ!$H:$H,PGĐ!$F:$F,"="&amp;'HQ2'!B614,PGĐ!$I:$I,"="&amp;'HQ2'!A614)</f>
        <v>0</v>
      </c>
      <c r="AF614" s="17"/>
      <c r="AG614" s="7">
        <f>SUMIFS(ĐMCP!$Q:$Q,ĐMCP!$P:$P,"="&amp;'HQ2'!B614,ĐMCP!$O:$O,"="&amp;'HQ2'!A614)</f>
        <v>298609.05803303968</v>
      </c>
      <c r="AH614" s="7">
        <f t="shared" si="9"/>
        <v>5.8033039676956832E-2</v>
      </c>
    </row>
    <row r="615" spans="1:34" x14ac:dyDescent="0.25">
      <c r="A615" s="123" t="s">
        <v>121</v>
      </c>
      <c r="B615" s="16" t="s">
        <v>273</v>
      </c>
      <c r="AB615" s="7">
        <v>0</v>
      </c>
      <c r="AC615" s="7">
        <v>0</v>
      </c>
      <c r="AD615" s="17"/>
      <c r="AE615" s="5">
        <f>SUMIFS(PGĐ!$H:$H,PGĐ!$F:$F,"="&amp;'HQ2'!B615,PGĐ!$I:$I,"="&amp;'HQ2'!A615)</f>
        <v>0</v>
      </c>
      <c r="AF615" s="17"/>
      <c r="AG615" s="7">
        <f>SUMIFS(ĐMCP!$Q:$Q,ĐMCP!$P:$P,"="&amp;'HQ2'!B615,ĐMCP!$O:$O,"="&amp;'HQ2'!A615)</f>
        <v>0</v>
      </c>
      <c r="AH615" s="7">
        <f t="shared" si="9"/>
        <v>0</v>
      </c>
    </row>
    <row r="616" spans="1:34" x14ac:dyDescent="0.25">
      <c r="A616" s="123" t="s">
        <v>122</v>
      </c>
      <c r="B616" s="15" t="s">
        <v>45</v>
      </c>
      <c r="C616" s="132">
        <v>405163993</v>
      </c>
      <c r="D616" s="132">
        <v>350262035</v>
      </c>
      <c r="E616" s="132">
        <v>54901958</v>
      </c>
      <c r="F616" s="132">
        <v>379553447.39999998</v>
      </c>
      <c r="G616" s="132">
        <v>1363143621.3</v>
      </c>
      <c r="H616" s="132">
        <v>-156077739.84249997</v>
      </c>
      <c r="I616" s="132">
        <v>535631187.24249995</v>
      </c>
      <c r="J616" s="132">
        <v>573327013</v>
      </c>
      <c r="K616" s="132"/>
      <c r="L616" s="132"/>
      <c r="M616" s="132">
        <v>573327013</v>
      </c>
      <c r="N616" s="132">
        <v>343996207.80000001</v>
      </c>
      <c r="O616" s="132">
        <v>2312000000</v>
      </c>
      <c r="P616" s="132">
        <v>1550000000</v>
      </c>
      <c r="Q616" s="132"/>
      <c r="R616" s="132">
        <v>762000000</v>
      </c>
      <c r="S616" s="132">
        <v>1129361866.8000002</v>
      </c>
      <c r="T616" s="132">
        <v>2762000000</v>
      </c>
      <c r="U616" s="132">
        <v>1550000000</v>
      </c>
      <c r="V616" s="132"/>
      <c r="W616" s="132">
        <v>1212000000</v>
      </c>
      <c r="X616" s="132">
        <v>1284537825.4000001</v>
      </c>
      <c r="Y616" s="132">
        <v>-155175958.5999999</v>
      </c>
      <c r="Z616" s="132">
        <v>188820249.20000011</v>
      </c>
      <c r="AA616" s="132">
        <v>11386603.421999998</v>
      </c>
      <c r="AB616" s="132">
        <v>546912418</v>
      </c>
      <c r="AC616" s="132">
        <v>-211488083.37950006</v>
      </c>
      <c r="AD616" s="96">
        <v>0.35251914693778696</v>
      </c>
      <c r="AE616" s="5">
        <f>SUMIFS(PGĐ!$H:$H,PGĐ!$F:$F,"="&amp;'HQ2'!B616,PGĐ!$I:$I,"="&amp;'HQ2'!A616)</f>
        <v>0</v>
      </c>
      <c r="AF616" s="96"/>
      <c r="AG616" s="7">
        <f>SUMIFS(ĐMCP!$Q:$Q,ĐMCP!$P:$P,"="&amp;'HQ2'!B616,ĐMCP!$O:$O,"="&amp;'HQ2'!A616)</f>
        <v>0</v>
      </c>
      <c r="AH616" s="7">
        <f t="shared" si="9"/>
        <v>0</v>
      </c>
    </row>
    <row r="617" spans="1:34" x14ac:dyDescent="0.25">
      <c r="A617" s="123" t="s">
        <v>122</v>
      </c>
      <c r="B617" s="16" t="s">
        <v>268</v>
      </c>
      <c r="C617" s="7">
        <v>302327203</v>
      </c>
      <c r="D617" s="7">
        <v>254078845</v>
      </c>
      <c r="E617" s="7">
        <v>48248358</v>
      </c>
      <c r="F617" s="7">
        <v>280230330.25</v>
      </c>
      <c r="G617" s="7">
        <v>1090840105.5999999</v>
      </c>
      <c r="H617" s="7">
        <v>-121591466.30249998</v>
      </c>
      <c r="I617" s="7">
        <v>401821796.55250001</v>
      </c>
      <c r="AA617" s="7">
        <v>8406909.9074999988</v>
      </c>
      <c r="AB617" s="7">
        <v>190852179</v>
      </c>
      <c r="AC617" s="7">
        <v>202562707.64500001</v>
      </c>
      <c r="AD617" s="17"/>
      <c r="AE617" s="5">
        <f>SUMIFS(PGĐ!$H:$H,PGĐ!$F:$F,"="&amp;'HQ2'!B617,PGĐ!$I:$I,"="&amp;'HQ2'!A617)</f>
        <v>0</v>
      </c>
      <c r="AF617" s="17"/>
      <c r="AG617" s="7">
        <f>SUMIFS(ĐMCP!$Q:$Q,ĐMCP!$P:$P,"="&amp;'HQ2'!B617,ĐMCP!$O:$O,"="&amp;'HQ2'!A617)</f>
        <v>190852179.16092315</v>
      </c>
      <c r="AH617" s="7">
        <f t="shared" si="9"/>
        <v>0.16092315316200256</v>
      </c>
    </row>
    <row r="618" spans="1:34" x14ac:dyDescent="0.25">
      <c r="A618" s="123" t="s">
        <v>122</v>
      </c>
      <c r="B618" s="16" t="s">
        <v>271</v>
      </c>
      <c r="C618" s="7">
        <v>81379090</v>
      </c>
      <c r="D618" s="7">
        <v>81379090</v>
      </c>
      <c r="F618" s="7">
        <v>80158403.650000006</v>
      </c>
      <c r="G618" s="7">
        <v>257363620.49999997</v>
      </c>
      <c r="H618" s="7">
        <v>-35441043.369999997</v>
      </c>
      <c r="I618" s="7">
        <v>115599447.02000001</v>
      </c>
      <c r="J618" s="7">
        <v>492827013</v>
      </c>
      <c r="M618" s="7">
        <v>492827013</v>
      </c>
      <c r="N618" s="7">
        <v>295696207.80000001</v>
      </c>
      <c r="O618" s="7">
        <v>2312000000</v>
      </c>
      <c r="P618" s="7">
        <v>1550000000</v>
      </c>
      <c r="R618" s="7">
        <v>762000000</v>
      </c>
      <c r="S618" s="7">
        <v>1129361866.8000002</v>
      </c>
      <c r="T618" s="7">
        <v>2762000000</v>
      </c>
      <c r="U618" s="7">
        <v>1550000000</v>
      </c>
      <c r="W618" s="7">
        <v>1212000000</v>
      </c>
      <c r="X618" s="7">
        <v>1284537825.4000001</v>
      </c>
      <c r="Y618" s="7">
        <v>-155175958.5999999</v>
      </c>
      <c r="Z618" s="7">
        <v>140520249.20000011</v>
      </c>
      <c r="AA618" s="7">
        <v>2404752.1095000003</v>
      </c>
      <c r="AB618" s="7">
        <v>348660961</v>
      </c>
      <c r="AC618" s="7">
        <v>-375986515.28950006</v>
      </c>
      <c r="AD618" s="17">
        <v>1.2155789047649035</v>
      </c>
      <c r="AE618" s="5">
        <f>SUMIFS(PGĐ!$H:$H,PGĐ!$F:$F,"="&amp;'HQ2'!B618,PGĐ!$I:$I,"="&amp;'HQ2'!A618)</f>
        <v>57407500</v>
      </c>
      <c r="AF618" s="17"/>
      <c r="AG618" s="7">
        <f>SUMIFS(ĐMCP!$Q:$Q,ĐMCP!$P:$P,"="&amp;'HQ2'!B618,ĐMCP!$O:$O,"="&amp;'HQ2'!A618)</f>
        <v>348660960.59361094</v>
      </c>
      <c r="AH618" s="7">
        <f t="shared" si="9"/>
        <v>-0.40638905763626099</v>
      </c>
    </row>
    <row r="619" spans="1:34" x14ac:dyDescent="0.25">
      <c r="A619" s="123" t="s">
        <v>122</v>
      </c>
      <c r="B619" s="16" t="s">
        <v>270</v>
      </c>
      <c r="C619" s="7">
        <v>14804100</v>
      </c>
      <c r="D619" s="7">
        <v>14804100</v>
      </c>
      <c r="F619" s="7">
        <v>13841833.5</v>
      </c>
      <c r="G619" s="7">
        <v>5939895.2000000002</v>
      </c>
      <c r="H619" s="7">
        <v>790193.83000000007</v>
      </c>
      <c r="I619" s="7">
        <v>13051639.67</v>
      </c>
      <c r="AA619" s="7">
        <v>415255.005</v>
      </c>
      <c r="AB619" s="7">
        <v>4921293</v>
      </c>
      <c r="AC619" s="7">
        <v>7715091.665</v>
      </c>
      <c r="AD619" s="17"/>
      <c r="AE619" s="5">
        <f>SUMIFS(PGĐ!$H:$H,PGĐ!$F:$F,"="&amp;'HQ2'!B619,PGĐ!$I:$I,"="&amp;'HQ2'!A619)</f>
        <v>0</v>
      </c>
      <c r="AF619" s="17"/>
      <c r="AG619" s="7">
        <f>SUMIFS(ĐMCP!$Q:$Q,ĐMCP!$P:$P,"="&amp;'HQ2'!B619,ĐMCP!$O:$O,"="&amp;'HQ2'!A619)</f>
        <v>4921293.1358131925</v>
      </c>
      <c r="AH619" s="7">
        <f t="shared" si="9"/>
        <v>0.13581319246441126</v>
      </c>
    </row>
    <row r="620" spans="1:34" x14ac:dyDescent="0.25">
      <c r="A620" s="123" t="s">
        <v>122</v>
      </c>
      <c r="B620" s="16" t="s">
        <v>272</v>
      </c>
      <c r="C620" s="7">
        <v>6653600</v>
      </c>
      <c r="E620" s="7">
        <v>6653600</v>
      </c>
      <c r="F620" s="7">
        <v>5322880</v>
      </c>
      <c r="H620" s="7">
        <v>1064576</v>
      </c>
      <c r="I620" s="7">
        <v>4258304</v>
      </c>
      <c r="AA620" s="7">
        <v>159686.39999999999</v>
      </c>
      <c r="AB620" s="7">
        <v>2477985</v>
      </c>
      <c r="AC620" s="7">
        <v>1620632.6</v>
      </c>
      <c r="AD620" s="17"/>
      <c r="AE620" s="5">
        <f>SUMIFS(PGĐ!$H:$H,PGĐ!$F:$F,"="&amp;'HQ2'!B620,PGĐ!$I:$I,"="&amp;'HQ2'!A620)</f>
        <v>0</v>
      </c>
      <c r="AF620" s="17"/>
      <c r="AG620" s="7">
        <f>SUMIFS(ĐMCP!$Q:$Q,ĐMCP!$P:$P,"="&amp;'HQ2'!B620,ĐMCP!$O:$O,"="&amp;'HQ2'!A620)</f>
        <v>2477985.0446056603</v>
      </c>
      <c r="AH620" s="7">
        <f t="shared" si="9"/>
        <v>4.4605660252273083E-2</v>
      </c>
    </row>
    <row r="621" spans="1:34" x14ac:dyDescent="0.25">
      <c r="A621" s="123" t="s">
        <v>122</v>
      </c>
      <c r="B621" s="16" t="s">
        <v>269</v>
      </c>
      <c r="G621" s="7">
        <v>9000000</v>
      </c>
      <c r="H621" s="7">
        <v>-900000</v>
      </c>
      <c r="I621" s="7">
        <v>900000</v>
      </c>
      <c r="J621" s="7">
        <v>80500000</v>
      </c>
      <c r="M621" s="7">
        <v>80500000</v>
      </c>
      <c r="N621" s="7">
        <v>48300000</v>
      </c>
      <c r="Z621" s="7">
        <v>48300000</v>
      </c>
      <c r="AB621" s="7">
        <v>0</v>
      </c>
      <c r="AC621" s="7">
        <v>-47400000</v>
      </c>
      <c r="AD621" s="17">
        <v>53.666666666666664</v>
      </c>
      <c r="AE621" s="5">
        <f>SUMIFS(PGĐ!$H:$H,PGĐ!$F:$F,"="&amp;'HQ2'!B621,PGĐ!$I:$I,"="&amp;'HQ2'!A621)</f>
        <v>0</v>
      </c>
      <c r="AF621" s="17"/>
      <c r="AG621" s="7">
        <f>SUMIFS(ĐMCP!$Q:$Q,ĐMCP!$P:$P,"="&amp;'HQ2'!B621,ĐMCP!$O:$O,"="&amp;'HQ2'!A621)</f>
        <v>0</v>
      </c>
      <c r="AH621" s="7">
        <f t="shared" si="9"/>
        <v>0</v>
      </c>
    </row>
    <row r="622" spans="1:34" x14ac:dyDescent="0.25">
      <c r="A622" s="123" t="s">
        <v>122</v>
      </c>
      <c r="B622" s="16" t="s">
        <v>273</v>
      </c>
      <c r="AB622" s="7">
        <v>0</v>
      </c>
      <c r="AC622" s="7">
        <v>0</v>
      </c>
      <c r="AD622" s="17"/>
      <c r="AE622" s="5">
        <f>SUMIFS(PGĐ!$H:$H,PGĐ!$F:$F,"="&amp;'HQ2'!B622,PGĐ!$I:$I,"="&amp;'HQ2'!A622)</f>
        <v>0</v>
      </c>
      <c r="AF622" s="17"/>
      <c r="AG622" s="7">
        <f>SUMIFS(ĐMCP!$Q:$Q,ĐMCP!$P:$P,"="&amp;'HQ2'!B622,ĐMCP!$O:$O,"="&amp;'HQ2'!A622)</f>
        <v>0</v>
      </c>
      <c r="AH622" s="7">
        <f t="shared" si="9"/>
        <v>0</v>
      </c>
    </row>
    <row r="623" spans="1:34" x14ac:dyDescent="0.25">
      <c r="A623" s="123" t="s">
        <v>122</v>
      </c>
      <c r="B623" s="16" t="s">
        <v>23</v>
      </c>
      <c r="AB623" s="7">
        <v>0</v>
      </c>
      <c r="AC623" s="7">
        <v>0</v>
      </c>
      <c r="AD623" s="17"/>
      <c r="AE623" s="5">
        <f>SUMIFS(PGĐ!$H:$H,PGĐ!$F:$F,"="&amp;'HQ2'!B623,PGĐ!$I:$I,"="&amp;'HQ2'!A623)</f>
        <v>0</v>
      </c>
      <c r="AF623" s="17"/>
      <c r="AG623" s="7">
        <f>SUMIFS(ĐMCP!$Q:$Q,ĐMCP!$P:$P,"="&amp;'HQ2'!B623,ĐMCP!$O:$O,"="&amp;'HQ2'!A623)</f>
        <v>0</v>
      </c>
      <c r="AH623" s="7">
        <f t="shared" si="9"/>
        <v>0</v>
      </c>
    </row>
    <row r="624" spans="1:34" x14ac:dyDescent="0.25">
      <c r="A624" s="123" t="s">
        <v>123</v>
      </c>
      <c r="B624" s="15" t="s">
        <v>45</v>
      </c>
      <c r="C624" s="132">
        <v>367649687</v>
      </c>
      <c r="D624" s="132">
        <v>272383850</v>
      </c>
      <c r="E624" s="132">
        <v>95265837</v>
      </c>
      <c r="F624" s="132">
        <v>332740162.78499997</v>
      </c>
      <c r="G624" s="132">
        <v>424763027.60000002</v>
      </c>
      <c r="H624" s="132">
        <v>-7457636.1740000034</v>
      </c>
      <c r="I624" s="132">
        <v>340197798.95899999</v>
      </c>
      <c r="J624" s="132">
        <v>113895291</v>
      </c>
      <c r="K624" s="132"/>
      <c r="L624" s="132"/>
      <c r="M624" s="132">
        <v>113895291</v>
      </c>
      <c r="N624" s="132">
        <v>62642410.050000004</v>
      </c>
      <c r="O624" s="132">
        <v>196515816</v>
      </c>
      <c r="P624" s="132"/>
      <c r="Q624" s="132"/>
      <c r="R624" s="132">
        <v>196515816</v>
      </c>
      <c r="S624" s="132">
        <v>134712652.80000001</v>
      </c>
      <c r="T624" s="132">
        <v>760000000</v>
      </c>
      <c r="U624" s="132"/>
      <c r="V624" s="132"/>
      <c r="W624" s="132">
        <v>760000000</v>
      </c>
      <c r="X624" s="132">
        <v>420500000.00000006</v>
      </c>
      <c r="Y624" s="132">
        <v>-285787347.20000005</v>
      </c>
      <c r="Z624" s="132">
        <v>-223144937.15000004</v>
      </c>
      <c r="AA624" s="132">
        <v>9982204.8835499994</v>
      </c>
      <c r="AB624" s="132">
        <v>56861299</v>
      </c>
      <c r="AC624" s="132">
        <v>496499232.2254501</v>
      </c>
      <c r="AD624" s="96">
        <v>-0.65592704548007097</v>
      </c>
      <c r="AE624" s="5">
        <f>SUMIFS(PGĐ!$H:$H,PGĐ!$F:$F,"="&amp;'HQ2'!B624,PGĐ!$I:$I,"="&amp;'HQ2'!A624)</f>
        <v>0</v>
      </c>
      <c r="AF624" s="96"/>
      <c r="AG624" s="7">
        <f>SUMIFS(ĐMCP!$Q:$Q,ĐMCP!$P:$P,"="&amp;'HQ2'!B624,ĐMCP!$O:$O,"="&amp;'HQ2'!A624)</f>
        <v>0</v>
      </c>
      <c r="AH624" s="7">
        <f t="shared" si="9"/>
        <v>0</v>
      </c>
    </row>
    <row r="625" spans="1:34" x14ac:dyDescent="0.25">
      <c r="A625" s="123" t="s">
        <v>123</v>
      </c>
      <c r="B625" s="16" t="s">
        <v>268</v>
      </c>
      <c r="C625" s="7">
        <v>290131567</v>
      </c>
      <c r="D625" s="7">
        <v>233050001</v>
      </c>
      <c r="E625" s="7">
        <v>57081566</v>
      </c>
      <c r="F625" s="7">
        <v>266015597.16999999</v>
      </c>
      <c r="G625" s="7">
        <v>184513758.79999998</v>
      </c>
      <c r="H625" s="7">
        <v>12225275.7555</v>
      </c>
      <c r="I625" s="7">
        <v>253790321.4145</v>
      </c>
      <c r="J625" s="7">
        <v>113895291</v>
      </c>
      <c r="M625" s="7">
        <v>113895291</v>
      </c>
      <c r="N625" s="7">
        <v>62642410.050000004</v>
      </c>
      <c r="O625" s="7">
        <v>50000000</v>
      </c>
      <c r="R625" s="7">
        <v>50000000</v>
      </c>
      <c r="S625" s="7">
        <v>27500000.000000004</v>
      </c>
      <c r="T625" s="7">
        <v>710000000</v>
      </c>
      <c r="W625" s="7">
        <v>710000000</v>
      </c>
      <c r="X625" s="7">
        <v>390500000.00000006</v>
      </c>
      <c r="Y625" s="7">
        <v>-363000000.00000006</v>
      </c>
      <c r="Z625" s="7">
        <v>-300357589.95000005</v>
      </c>
      <c r="AA625" s="7">
        <v>7980467.9150999989</v>
      </c>
      <c r="AB625" s="7">
        <v>29346096</v>
      </c>
      <c r="AC625" s="7">
        <v>516821347.44940007</v>
      </c>
      <c r="AD625" s="17">
        <v>-1.183487172702085</v>
      </c>
      <c r="AE625" s="5">
        <f>SUMIFS(PGĐ!$H:$H,PGĐ!$F:$F,"="&amp;'HQ2'!B625,PGĐ!$I:$I,"="&amp;'HQ2'!A625)</f>
        <v>118100600</v>
      </c>
      <c r="AF625" s="17"/>
      <c r="AG625" s="7">
        <f>SUMIFS(ĐMCP!$Q:$Q,ĐMCP!$P:$P,"="&amp;'HQ2'!B625,ĐMCP!$O:$O,"="&amp;'HQ2'!A625)</f>
        <v>29346095.633672561</v>
      </c>
      <c r="AH625" s="7">
        <f t="shared" si="9"/>
        <v>-0.3663274385035038</v>
      </c>
    </row>
    <row r="626" spans="1:34" x14ac:dyDescent="0.25">
      <c r="A626" s="123" t="s">
        <v>123</v>
      </c>
      <c r="B626" s="16" t="s">
        <v>272</v>
      </c>
      <c r="C626" s="7">
        <v>54918125</v>
      </c>
      <c r="D626" s="7">
        <v>19733854</v>
      </c>
      <c r="E626" s="7">
        <v>35184271</v>
      </c>
      <c r="F626" s="7">
        <v>46598570.290000007</v>
      </c>
      <c r="G626" s="7">
        <v>69902986.400000006</v>
      </c>
      <c r="H626" s="7">
        <v>-4660883.2220000001</v>
      </c>
      <c r="I626" s="7">
        <v>51259453.512000009</v>
      </c>
      <c r="O626" s="7">
        <v>96515816</v>
      </c>
      <c r="R626" s="7">
        <v>96515816</v>
      </c>
      <c r="S626" s="7">
        <v>77212652.799999997</v>
      </c>
      <c r="Y626" s="7">
        <v>77212652.799999997</v>
      </c>
      <c r="Z626" s="7">
        <v>77212652.799999997</v>
      </c>
      <c r="AA626" s="7">
        <v>1397957.1087000002</v>
      </c>
      <c r="AB626" s="7">
        <v>19989192</v>
      </c>
      <c r="AC626" s="7">
        <v>-47340348.396699987</v>
      </c>
      <c r="AD626" s="17">
        <v>1.5063104951348001</v>
      </c>
      <c r="AE626" s="5">
        <f>SUMIFS(PGĐ!$H:$H,PGĐ!$F:$F,"="&amp;'HQ2'!B626,PGĐ!$I:$I,"="&amp;'HQ2'!A626)</f>
        <v>0</v>
      </c>
      <c r="AF626" s="17"/>
      <c r="AG626" s="7">
        <f>SUMIFS(ĐMCP!$Q:$Q,ĐMCP!$P:$P,"="&amp;'HQ2'!B626,ĐMCP!$O:$O,"="&amp;'HQ2'!A626)</f>
        <v>19989192.216292333</v>
      </c>
      <c r="AH626" s="7">
        <f t="shared" si="9"/>
        <v>0.21629233285784721</v>
      </c>
    </row>
    <row r="627" spans="1:34" x14ac:dyDescent="0.25">
      <c r="A627" s="123" t="s">
        <v>123</v>
      </c>
      <c r="B627" s="16" t="s">
        <v>270</v>
      </c>
      <c r="C627" s="7">
        <v>19599995</v>
      </c>
      <c r="D627" s="7">
        <v>19599995</v>
      </c>
      <c r="F627" s="7">
        <v>18325995.324999999</v>
      </c>
      <c r="G627" s="7">
        <v>169746282.40000001</v>
      </c>
      <c r="H627" s="7">
        <v>-15142028.707500003</v>
      </c>
      <c r="I627" s="7">
        <v>33468024.032500003</v>
      </c>
      <c r="AA627" s="7">
        <v>549779.85974999995</v>
      </c>
      <c r="AB627" s="7">
        <v>6631054</v>
      </c>
      <c r="AC627" s="7">
        <v>26287190.172750004</v>
      </c>
      <c r="AD627" s="17"/>
      <c r="AE627" s="5">
        <f>SUMIFS(PGĐ!$H:$H,PGĐ!$F:$F,"="&amp;'HQ2'!B627,PGĐ!$I:$I,"="&amp;'HQ2'!A627)</f>
        <v>0</v>
      </c>
      <c r="AF627" s="17"/>
      <c r="AG627" s="7">
        <f>SUMIFS(ĐMCP!$Q:$Q,ĐMCP!$P:$P,"="&amp;'HQ2'!B627,ĐMCP!$O:$O,"="&amp;'HQ2'!A627)</f>
        <v>6631054.4975732267</v>
      </c>
      <c r="AH627" s="7">
        <f t="shared" si="9"/>
        <v>0.49757322669029236</v>
      </c>
    </row>
    <row r="628" spans="1:34" x14ac:dyDescent="0.25">
      <c r="A628" s="123" t="s">
        <v>123</v>
      </c>
      <c r="B628" s="16" t="s">
        <v>269</v>
      </c>
      <c r="C628" s="7">
        <v>3000000</v>
      </c>
      <c r="E628" s="7">
        <v>3000000</v>
      </c>
      <c r="F628" s="7">
        <v>1800000</v>
      </c>
      <c r="G628" s="7">
        <v>600000</v>
      </c>
      <c r="H628" s="7">
        <v>120000</v>
      </c>
      <c r="I628" s="7">
        <v>1680000</v>
      </c>
      <c r="AA628" s="7">
        <v>54000</v>
      </c>
      <c r="AB628" s="7">
        <v>894957</v>
      </c>
      <c r="AC628" s="7">
        <v>731043</v>
      </c>
      <c r="AD628" s="17"/>
      <c r="AE628" s="5">
        <f>SUMIFS(PGĐ!$H:$H,PGĐ!$F:$F,"="&amp;'HQ2'!B628,PGĐ!$I:$I,"="&amp;'HQ2'!A628)</f>
        <v>0</v>
      </c>
      <c r="AF628" s="17"/>
      <c r="AG628" s="7">
        <f>SUMIFS(ĐMCP!$Q:$Q,ĐMCP!$P:$P,"="&amp;'HQ2'!B628,ĐMCP!$O:$O,"="&amp;'HQ2'!A628)</f>
        <v>894957.37334217073</v>
      </c>
      <c r="AH628" s="7">
        <f t="shared" si="9"/>
        <v>0.37334217072930187</v>
      </c>
    </row>
    <row r="629" spans="1:34" x14ac:dyDescent="0.25">
      <c r="A629" s="123" t="s">
        <v>123</v>
      </c>
      <c r="B629" s="16" t="s">
        <v>271</v>
      </c>
      <c r="O629" s="7">
        <v>50000000</v>
      </c>
      <c r="R629" s="7">
        <v>50000000</v>
      </c>
      <c r="S629" s="7">
        <v>30000000</v>
      </c>
      <c r="T629" s="7">
        <v>50000000</v>
      </c>
      <c r="W629" s="7">
        <v>50000000</v>
      </c>
      <c r="X629" s="7">
        <v>30000000</v>
      </c>
      <c r="Y629" s="7">
        <v>0</v>
      </c>
      <c r="Z629" s="7">
        <v>0</v>
      </c>
      <c r="AB629" s="7">
        <v>0</v>
      </c>
      <c r="AC629" s="7">
        <v>0</v>
      </c>
      <c r="AD629" t="s">
        <v>428</v>
      </c>
      <c r="AE629" s="5">
        <f>SUMIFS(PGĐ!$H:$H,PGĐ!$F:$F,"="&amp;'HQ2'!B629,PGĐ!$I:$I,"="&amp;'HQ2'!A629)</f>
        <v>0</v>
      </c>
      <c r="AG629" s="7">
        <f>SUMIFS(ĐMCP!$Q:$Q,ĐMCP!$P:$P,"="&amp;'HQ2'!B629,ĐMCP!$O:$O,"="&amp;'HQ2'!A629)</f>
        <v>0</v>
      </c>
      <c r="AH629" s="7">
        <f t="shared" si="9"/>
        <v>0</v>
      </c>
    </row>
    <row r="630" spans="1:34" x14ac:dyDescent="0.25">
      <c r="A630" s="123" t="s">
        <v>123</v>
      </c>
      <c r="B630" s="16" t="s">
        <v>273</v>
      </c>
      <c r="AB630" s="7">
        <v>0</v>
      </c>
      <c r="AC630" s="7">
        <v>0</v>
      </c>
      <c r="AD630" s="17"/>
      <c r="AE630" s="5">
        <f>SUMIFS(PGĐ!$H:$H,PGĐ!$F:$F,"="&amp;'HQ2'!B630,PGĐ!$I:$I,"="&amp;'HQ2'!A630)</f>
        <v>0</v>
      </c>
      <c r="AF630" s="17"/>
      <c r="AG630" s="7">
        <f>SUMIFS(ĐMCP!$Q:$Q,ĐMCP!$P:$P,"="&amp;'HQ2'!B630,ĐMCP!$O:$O,"="&amp;'HQ2'!A630)</f>
        <v>0</v>
      </c>
      <c r="AH630" s="7">
        <f t="shared" si="9"/>
        <v>0</v>
      </c>
    </row>
    <row r="631" spans="1:34" x14ac:dyDescent="0.25">
      <c r="A631" s="123" t="s">
        <v>123</v>
      </c>
      <c r="B631" s="16" t="s">
        <v>23</v>
      </c>
      <c r="AB631" s="7">
        <v>0</v>
      </c>
      <c r="AC631" s="7">
        <v>0</v>
      </c>
      <c r="AD631" s="17"/>
      <c r="AE631" s="5">
        <f>SUMIFS(PGĐ!$H:$H,PGĐ!$F:$F,"="&amp;'HQ2'!B631,PGĐ!$I:$I,"="&amp;'HQ2'!A631)</f>
        <v>0</v>
      </c>
      <c r="AF631" s="17"/>
      <c r="AG631" s="7">
        <f>SUMIFS(ĐMCP!$Q:$Q,ĐMCP!$P:$P,"="&amp;'HQ2'!B631,ĐMCP!$O:$O,"="&amp;'HQ2'!A631)</f>
        <v>0</v>
      </c>
      <c r="AH631" s="7">
        <f t="shared" si="9"/>
        <v>0</v>
      </c>
    </row>
    <row r="632" spans="1:34" x14ac:dyDescent="0.25">
      <c r="A632" s="123" t="s">
        <v>124</v>
      </c>
      <c r="B632" s="15" t="s">
        <v>45</v>
      </c>
      <c r="C632" s="132">
        <v>315587159</v>
      </c>
      <c r="D632" s="132">
        <v>61728953</v>
      </c>
      <c r="E632" s="132">
        <v>253858206</v>
      </c>
      <c r="F632" s="132">
        <v>237577828.61000001</v>
      </c>
      <c r="G632" s="132">
        <v>33645609.199999996</v>
      </c>
      <c r="H632" s="132">
        <v>40367470.221500002</v>
      </c>
      <c r="I632" s="132">
        <v>197210358.38850001</v>
      </c>
      <c r="J632" s="132"/>
      <c r="K632" s="132"/>
      <c r="L632" s="132"/>
      <c r="M632" s="132"/>
      <c r="N632" s="132"/>
      <c r="O632" s="132">
        <v>110000000</v>
      </c>
      <c r="P632" s="132">
        <v>80000000</v>
      </c>
      <c r="Q632" s="132">
        <v>80000000</v>
      </c>
      <c r="R632" s="132">
        <v>-50000000</v>
      </c>
      <c r="S632" s="132">
        <v>76595157</v>
      </c>
      <c r="T632" s="132">
        <v>110000000</v>
      </c>
      <c r="U632" s="132">
        <v>80000000</v>
      </c>
      <c r="V632" s="132">
        <v>80000000</v>
      </c>
      <c r="W632" s="132">
        <v>-50000000</v>
      </c>
      <c r="X632" s="132">
        <v>72158048.359999999</v>
      </c>
      <c r="Y632" s="132">
        <v>4437108.6400000006</v>
      </c>
      <c r="Z632" s="132">
        <v>4437108.6400000006</v>
      </c>
      <c r="AA632" s="132">
        <v>7127334.8583000004</v>
      </c>
      <c r="AB632" s="132">
        <v>28378908</v>
      </c>
      <c r="AC632" s="132">
        <v>157267006.89019999</v>
      </c>
      <c r="AD632" s="96">
        <v>2.2499369081105749E-2</v>
      </c>
      <c r="AE632" s="5">
        <f>SUMIFS(PGĐ!$H:$H,PGĐ!$F:$F,"="&amp;'HQ2'!B632,PGĐ!$I:$I,"="&amp;'HQ2'!A632)</f>
        <v>0</v>
      </c>
      <c r="AF632" s="96"/>
      <c r="AG632" s="7">
        <f>SUMIFS(ĐMCP!$Q:$Q,ĐMCP!$P:$P,"="&amp;'HQ2'!B632,ĐMCP!$O:$O,"="&amp;'HQ2'!A632)</f>
        <v>0</v>
      </c>
      <c r="AH632" s="7">
        <f t="shared" si="9"/>
        <v>0</v>
      </c>
    </row>
    <row r="633" spans="1:34" x14ac:dyDescent="0.25">
      <c r="A633" s="123" t="s">
        <v>124</v>
      </c>
      <c r="B633" s="16" t="s">
        <v>271</v>
      </c>
      <c r="C633" s="7">
        <v>236820910</v>
      </c>
      <c r="E633" s="7">
        <v>236820910</v>
      </c>
      <c r="F633" s="7">
        <v>165774637</v>
      </c>
      <c r="H633" s="7">
        <v>33154927.400000002</v>
      </c>
      <c r="I633" s="7">
        <v>132619709.59999999</v>
      </c>
      <c r="O633" s="7">
        <v>30000000</v>
      </c>
      <c r="R633" s="7">
        <v>30000000</v>
      </c>
      <c r="S633" s="7">
        <v>18000000</v>
      </c>
      <c r="T633" s="7">
        <v>30000000</v>
      </c>
      <c r="W633" s="7">
        <v>30000000</v>
      </c>
      <c r="X633" s="7">
        <v>18000000</v>
      </c>
      <c r="Y633" s="7">
        <v>0</v>
      </c>
      <c r="Z633" s="7">
        <v>0</v>
      </c>
      <c r="AA633" s="7">
        <v>4973239.1099999994</v>
      </c>
      <c r="AB633" s="7">
        <v>0</v>
      </c>
      <c r="AC633" s="7">
        <v>127646470.48999999</v>
      </c>
      <c r="AD633" s="17">
        <v>0</v>
      </c>
      <c r="AE633" s="5">
        <f>SUMIFS(PGĐ!$H:$H,PGĐ!$F:$F,"="&amp;'HQ2'!B633,PGĐ!$I:$I,"="&amp;'HQ2'!A633)</f>
        <v>0</v>
      </c>
      <c r="AF633" s="17"/>
      <c r="AG633" s="7">
        <f>SUMIFS(ĐMCP!$Q:$Q,ĐMCP!$P:$P,"="&amp;'HQ2'!B633,ĐMCP!$O:$O,"="&amp;'HQ2'!A633)</f>
        <v>0</v>
      </c>
      <c r="AH633" s="7">
        <f t="shared" si="9"/>
        <v>0</v>
      </c>
    </row>
    <row r="634" spans="1:34" x14ac:dyDescent="0.25">
      <c r="A634" s="123" t="s">
        <v>124</v>
      </c>
      <c r="B634" s="16" t="s">
        <v>268</v>
      </c>
      <c r="C634" s="7">
        <v>78766249</v>
      </c>
      <c r="D634" s="7">
        <v>61728953</v>
      </c>
      <c r="E634" s="7">
        <v>17037296</v>
      </c>
      <c r="F634" s="7">
        <v>71803191.609999999</v>
      </c>
      <c r="G634" s="7">
        <v>3867499.9999999995</v>
      </c>
      <c r="H634" s="7">
        <v>10190353.7415</v>
      </c>
      <c r="I634" s="7">
        <v>61612837.868500002</v>
      </c>
      <c r="O634" s="7">
        <v>80000000</v>
      </c>
      <c r="P634" s="7">
        <v>80000000</v>
      </c>
      <c r="Q634" s="7">
        <v>80000000</v>
      </c>
      <c r="R634" s="7">
        <v>-80000000</v>
      </c>
      <c r="S634" s="7">
        <v>58595157</v>
      </c>
      <c r="T634" s="7">
        <v>80000000</v>
      </c>
      <c r="U634" s="7">
        <v>80000000</v>
      </c>
      <c r="V634" s="7">
        <v>80000000</v>
      </c>
      <c r="W634" s="7">
        <v>-80000000</v>
      </c>
      <c r="X634" s="7">
        <v>54158048.359999999</v>
      </c>
      <c r="Y634" s="7">
        <v>4437108.6400000006</v>
      </c>
      <c r="Z634" s="7">
        <v>4437108.6400000006</v>
      </c>
      <c r="AA634" s="7">
        <v>2154095.7483000001</v>
      </c>
      <c r="AB634" s="7">
        <v>28378908</v>
      </c>
      <c r="AC634" s="7">
        <v>26642725.4802</v>
      </c>
      <c r="AD634" s="17">
        <v>7.2015975785275479E-2</v>
      </c>
      <c r="AE634" s="5">
        <f>SUMIFS(PGĐ!$H:$H,PGĐ!$F:$F,"="&amp;'HQ2'!B634,PGĐ!$I:$I,"="&amp;'HQ2'!A634)</f>
        <v>0</v>
      </c>
      <c r="AF634" s="17"/>
      <c r="AG634" s="7">
        <f>SUMIFS(ĐMCP!$Q:$Q,ĐMCP!$P:$P,"="&amp;'HQ2'!B634,ĐMCP!$O:$O,"="&amp;'HQ2'!A634)</f>
        <v>28378908.418961294</v>
      </c>
      <c r="AH634" s="7">
        <f t="shared" si="9"/>
        <v>0.4189612939953804</v>
      </c>
    </row>
    <row r="635" spans="1:34" x14ac:dyDescent="0.25">
      <c r="A635" s="123" t="s">
        <v>124</v>
      </c>
      <c r="B635" s="16" t="s">
        <v>270</v>
      </c>
      <c r="AB635" s="7">
        <v>0</v>
      </c>
      <c r="AC635" s="7">
        <v>0</v>
      </c>
      <c r="AD635" s="17"/>
      <c r="AE635" s="5">
        <f>SUMIFS(PGĐ!$H:$H,PGĐ!$F:$F,"="&amp;'HQ2'!B635,PGĐ!$I:$I,"="&amp;'HQ2'!A635)</f>
        <v>0</v>
      </c>
      <c r="AF635" s="17"/>
      <c r="AG635" s="7">
        <f>SUMIFS(ĐMCP!$Q:$Q,ĐMCP!$P:$P,"="&amp;'HQ2'!B635,ĐMCP!$O:$O,"="&amp;'HQ2'!A635)</f>
        <v>0</v>
      </c>
      <c r="AH635" s="7">
        <f t="shared" si="9"/>
        <v>0</v>
      </c>
    </row>
    <row r="636" spans="1:34" x14ac:dyDescent="0.25">
      <c r="A636" s="123" t="s">
        <v>124</v>
      </c>
      <c r="B636" s="16" t="s">
        <v>269</v>
      </c>
      <c r="G636" s="7">
        <v>29778109.199999999</v>
      </c>
      <c r="H636" s="7">
        <v>-2977810.92</v>
      </c>
      <c r="I636" s="7">
        <v>2977810.92</v>
      </c>
      <c r="AB636" s="7">
        <v>0</v>
      </c>
      <c r="AC636" s="7">
        <v>2977810.92</v>
      </c>
      <c r="AD636" s="17"/>
      <c r="AE636" s="5">
        <f>SUMIFS(PGĐ!$H:$H,PGĐ!$F:$F,"="&amp;'HQ2'!B636,PGĐ!$I:$I,"="&amp;'HQ2'!A636)</f>
        <v>0</v>
      </c>
      <c r="AF636" s="17"/>
      <c r="AG636" s="7">
        <f>SUMIFS(ĐMCP!$Q:$Q,ĐMCP!$P:$P,"="&amp;'HQ2'!B636,ĐMCP!$O:$O,"="&amp;'HQ2'!A636)</f>
        <v>0</v>
      </c>
      <c r="AH636" s="7">
        <f t="shared" si="9"/>
        <v>0</v>
      </c>
    </row>
    <row r="637" spans="1:34" x14ac:dyDescent="0.25">
      <c r="A637" s="123" t="s">
        <v>124</v>
      </c>
      <c r="B637" s="16" t="s">
        <v>273</v>
      </c>
      <c r="AB637" s="7">
        <v>0</v>
      </c>
      <c r="AC637" s="7">
        <v>0</v>
      </c>
      <c r="AD637" s="17"/>
      <c r="AE637" s="5">
        <f>SUMIFS(PGĐ!$H:$H,PGĐ!$F:$F,"="&amp;'HQ2'!B637,PGĐ!$I:$I,"="&amp;'HQ2'!A637)</f>
        <v>0</v>
      </c>
      <c r="AF637" s="17"/>
      <c r="AG637" s="7">
        <f>SUMIFS(ĐMCP!$Q:$Q,ĐMCP!$P:$P,"="&amp;'HQ2'!B637,ĐMCP!$O:$O,"="&amp;'HQ2'!A637)</f>
        <v>0</v>
      </c>
      <c r="AH637" s="7">
        <f t="shared" si="9"/>
        <v>0</v>
      </c>
    </row>
    <row r="638" spans="1:34" x14ac:dyDescent="0.25">
      <c r="A638" s="123" t="s">
        <v>124</v>
      </c>
      <c r="B638" s="16" t="s">
        <v>23</v>
      </c>
      <c r="AB638" s="7">
        <v>0</v>
      </c>
      <c r="AC638" s="7">
        <v>0</v>
      </c>
      <c r="AD638" s="17"/>
      <c r="AE638" s="5">
        <f>SUMIFS(PGĐ!$H:$H,PGĐ!$F:$F,"="&amp;'HQ2'!B638,PGĐ!$I:$I,"="&amp;'HQ2'!A638)</f>
        <v>0</v>
      </c>
      <c r="AF638" s="17"/>
      <c r="AG638" s="7">
        <f>SUMIFS(ĐMCP!$Q:$Q,ĐMCP!$P:$P,"="&amp;'HQ2'!B638,ĐMCP!$O:$O,"="&amp;'HQ2'!A638)</f>
        <v>0</v>
      </c>
      <c r="AH638" s="7">
        <f t="shared" si="9"/>
        <v>0</v>
      </c>
    </row>
    <row r="639" spans="1:34" x14ac:dyDescent="0.25">
      <c r="A639" s="123" t="s">
        <v>124</v>
      </c>
      <c r="B639" s="16" t="s">
        <v>272</v>
      </c>
      <c r="AB639" s="7">
        <v>0</v>
      </c>
      <c r="AC639" s="7">
        <v>0</v>
      </c>
      <c r="AD639" s="17"/>
      <c r="AE639" s="5">
        <f>SUMIFS(PGĐ!$H:$H,PGĐ!$F:$F,"="&amp;'HQ2'!B639,PGĐ!$I:$I,"="&amp;'HQ2'!A639)</f>
        <v>0</v>
      </c>
      <c r="AF639" s="17"/>
      <c r="AG639" s="7">
        <f>SUMIFS(ĐMCP!$Q:$Q,ĐMCP!$P:$P,"="&amp;'HQ2'!B639,ĐMCP!$O:$O,"="&amp;'HQ2'!A639)</f>
        <v>0</v>
      </c>
      <c r="AH639" s="7">
        <f t="shared" si="9"/>
        <v>0</v>
      </c>
    </row>
    <row r="640" spans="1:34" x14ac:dyDescent="0.25">
      <c r="A640" s="123" t="s">
        <v>125</v>
      </c>
      <c r="B640" s="15" t="s">
        <v>45</v>
      </c>
      <c r="C640" s="132">
        <v>269233911</v>
      </c>
      <c r="D640" s="132">
        <v>149047729</v>
      </c>
      <c r="E640" s="132">
        <v>120186182</v>
      </c>
      <c r="F640" s="132">
        <v>229364363.08499998</v>
      </c>
      <c r="G640" s="132">
        <v>1052309363.7</v>
      </c>
      <c r="H640" s="132">
        <v>-132867540.255</v>
      </c>
      <c r="I640" s="132">
        <v>362231903.33999997</v>
      </c>
      <c r="J640" s="132"/>
      <c r="K640" s="132"/>
      <c r="L640" s="132"/>
      <c r="M640" s="132"/>
      <c r="N640" s="132"/>
      <c r="O640" s="132"/>
      <c r="P640" s="132"/>
      <c r="Q640" s="132"/>
      <c r="R640" s="132"/>
      <c r="S640" s="132"/>
      <c r="T640" s="132"/>
      <c r="U640" s="132"/>
      <c r="V640" s="132"/>
      <c r="W640" s="132"/>
      <c r="X640" s="132"/>
      <c r="Y640" s="132"/>
      <c r="Z640" s="132"/>
      <c r="AA640" s="132">
        <v>6880930.8925499991</v>
      </c>
      <c r="AB640" s="132">
        <v>136213113</v>
      </c>
      <c r="AC640" s="132">
        <v>219137859.44744998</v>
      </c>
      <c r="AD640" s="96"/>
      <c r="AE640" s="5">
        <f>SUMIFS(PGĐ!$H:$H,PGĐ!$F:$F,"="&amp;'HQ2'!B640,PGĐ!$I:$I,"="&amp;'HQ2'!A640)</f>
        <v>0</v>
      </c>
      <c r="AF640" s="96"/>
      <c r="AG640" s="7">
        <f>SUMIFS(ĐMCP!$Q:$Q,ĐMCP!$P:$P,"="&amp;'HQ2'!B640,ĐMCP!$O:$O,"="&amp;'HQ2'!A640)</f>
        <v>0</v>
      </c>
      <c r="AH640" s="7">
        <f t="shared" si="9"/>
        <v>0</v>
      </c>
    </row>
    <row r="641" spans="1:34" x14ac:dyDescent="0.25">
      <c r="A641" s="123" t="s">
        <v>125</v>
      </c>
      <c r="B641" s="16" t="s">
        <v>268</v>
      </c>
      <c r="C641" s="7">
        <v>127757239</v>
      </c>
      <c r="D641" s="7">
        <v>105198492</v>
      </c>
      <c r="E641" s="7">
        <v>22558747</v>
      </c>
      <c r="F641" s="7">
        <v>117833660.13999999</v>
      </c>
      <c r="G641" s="7">
        <v>752262857.5</v>
      </c>
      <c r="H641" s="7">
        <v>-95164379.604000002</v>
      </c>
      <c r="I641" s="7">
        <v>212998039.74399999</v>
      </c>
      <c r="AA641" s="7">
        <v>3535009.8041999997</v>
      </c>
      <c r="AB641" s="7">
        <v>135585681</v>
      </c>
      <c r="AC641" s="7">
        <v>73877348.939799994</v>
      </c>
      <c r="AD641" s="17"/>
      <c r="AE641" s="5">
        <f>SUMIFS(PGĐ!$H:$H,PGĐ!$F:$F,"="&amp;'HQ2'!B641,PGĐ!$I:$I,"="&amp;'HQ2'!A641)</f>
        <v>0</v>
      </c>
      <c r="AF641" s="17"/>
      <c r="AG641" s="7">
        <f>SUMIFS(ĐMCP!$Q:$Q,ĐMCP!$P:$P,"="&amp;'HQ2'!B641,ĐMCP!$O:$O,"="&amp;'HQ2'!A641)</f>
        <v>135585680.91271052</v>
      </c>
      <c r="AH641" s="7">
        <f t="shared" si="9"/>
        <v>-8.7289482355117798E-2</v>
      </c>
    </row>
    <row r="642" spans="1:34" x14ac:dyDescent="0.25">
      <c r="A642" s="123" t="s">
        <v>125</v>
      </c>
      <c r="B642" s="16" t="s">
        <v>271</v>
      </c>
      <c r="C642" s="7">
        <v>141476672</v>
      </c>
      <c r="D642" s="7">
        <v>43849237</v>
      </c>
      <c r="E642" s="7">
        <v>97627435</v>
      </c>
      <c r="F642" s="7">
        <v>111530702.94499999</v>
      </c>
      <c r="G642" s="7">
        <v>300046506.19999999</v>
      </c>
      <c r="H642" s="7">
        <v>-37703160.651000001</v>
      </c>
      <c r="I642" s="7">
        <v>149233863.59599999</v>
      </c>
      <c r="AA642" s="7">
        <v>3345921.0883499999</v>
      </c>
      <c r="AB642" s="7">
        <v>627432</v>
      </c>
      <c r="AC642" s="7">
        <v>145260510.50764999</v>
      </c>
      <c r="AD642" s="17"/>
      <c r="AE642" s="5">
        <f>SUMIFS(PGĐ!$H:$H,PGĐ!$F:$F,"="&amp;'HQ2'!B642,PGĐ!$I:$I,"="&amp;'HQ2'!A642)</f>
        <v>0</v>
      </c>
      <c r="AF642" s="17"/>
      <c r="AG642" s="7">
        <f>SUMIFS(ĐMCP!$Q:$Q,ĐMCP!$P:$P,"="&amp;'HQ2'!B642,ĐMCP!$O:$O,"="&amp;'HQ2'!A642)</f>
        <v>627431.7617665804</v>
      </c>
      <c r="AH642" s="7">
        <f t="shared" si="9"/>
        <v>-0.23823341960087419</v>
      </c>
    </row>
    <row r="643" spans="1:34" x14ac:dyDescent="0.25">
      <c r="A643" s="123" t="s">
        <v>125</v>
      </c>
      <c r="B643" s="16" t="s">
        <v>270</v>
      </c>
      <c r="AB643" s="7">
        <v>0</v>
      </c>
      <c r="AC643" s="7">
        <v>0</v>
      </c>
      <c r="AD643" s="17"/>
      <c r="AE643" s="5">
        <f>SUMIFS(PGĐ!$H:$H,PGĐ!$F:$F,"="&amp;'HQ2'!B643,PGĐ!$I:$I,"="&amp;'HQ2'!A643)</f>
        <v>0</v>
      </c>
      <c r="AF643" s="17"/>
      <c r="AG643" s="7">
        <f>SUMIFS(ĐMCP!$Q:$Q,ĐMCP!$P:$P,"="&amp;'HQ2'!B643,ĐMCP!$O:$O,"="&amp;'HQ2'!A643)</f>
        <v>0</v>
      </c>
      <c r="AH643" s="7">
        <f t="shared" si="9"/>
        <v>0</v>
      </c>
    </row>
    <row r="644" spans="1:34" x14ac:dyDescent="0.25">
      <c r="A644" s="123" t="s">
        <v>125</v>
      </c>
      <c r="B644" s="16" t="s">
        <v>269</v>
      </c>
      <c r="AB644" s="7">
        <v>0</v>
      </c>
      <c r="AC644" s="7">
        <v>0</v>
      </c>
      <c r="AD644" s="17"/>
      <c r="AE644" s="5">
        <f>SUMIFS(PGĐ!$H:$H,PGĐ!$F:$F,"="&amp;'HQ2'!B644,PGĐ!$I:$I,"="&amp;'HQ2'!A644)</f>
        <v>0</v>
      </c>
      <c r="AF644" s="17"/>
      <c r="AG644" s="7">
        <f>SUMIFS(ĐMCP!$Q:$Q,ĐMCP!$P:$P,"="&amp;'HQ2'!B644,ĐMCP!$O:$O,"="&amp;'HQ2'!A644)</f>
        <v>0</v>
      </c>
      <c r="AH644" s="7">
        <f t="shared" ref="AH644:AH707" si="10">IF(AG644=0,0,AG644-AB644)</f>
        <v>0</v>
      </c>
    </row>
    <row r="645" spans="1:34" x14ac:dyDescent="0.25">
      <c r="A645" s="123" t="s">
        <v>125</v>
      </c>
      <c r="B645" s="16" t="s">
        <v>273</v>
      </c>
      <c r="AB645" s="7">
        <v>0</v>
      </c>
      <c r="AC645" s="7">
        <v>0</v>
      </c>
      <c r="AD645" s="17"/>
      <c r="AE645" s="5">
        <f>SUMIFS(PGĐ!$H:$H,PGĐ!$F:$F,"="&amp;'HQ2'!B645,PGĐ!$I:$I,"="&amp;'HQ2'!A645)</f>
        <v>0</v>
      </c>
      <c r="AF645" s="17"/>
      <c r="AG645" s="7">
        <f>SUMIFS(ĐMCP!$Q:$Q,ĐMCP!$P:$P,"="&amp;'HQ2'!B645,ĐMCP!$O:$O,"="&amp;'HQ2'!A645)</f>
        <v>0</v>
      </c>
      <c r="AH645" s="7">
        <f t="shared" si="10"/>
        <v>0</v>
      </c>
    </row>
    <row r="646" spans="1:34" x14ac:dyDescent="0.25">
      <c r="A646" s="123" t="s">
        <v>125</v>
      </c>
      <c r="B646" s="16" t="s">
        <v>23</v>
      </c>
      <c r="AB646" s="7">
        <v>0</v>
      </c>
      <c r="AC646" s="7">
        <v>0</v>
      </c>
      <c r="AD646" s="17"/>
      <c r="AE646" s="5">
        <f>SUMIFS(PGĐ!$H:$H,PGĐ!$F:$F,"="&amp;'HQ2'!B646,PGĐ!$I:$I,"="&amp;'HQ2'!A646)</f>
        <v>0</v>
      </c>
      <c r="AF646" s="17"/>
      <c r="AG646" s="7">
        <f>SUMIFS(ĐMCP!$Q:$Q,ĐMCP!$P:$P,"="&amp;'HQ2'!B646,ĐMCP!$O:$O,"="&amp;'HQ2'!A646)</f>
        <v>0</v>
      </c>
      <c r="AH646" s="7">
        <f t="shared" si="10"/>
        <v>0</v>
      </c>
    </row>
    <row r="647" spans="1:34" x14ac:dyDescent="0.25">
      <c r="A647" s="123" t="s">
        <v>125</v>
      </c>
      <c r="B647" s="16" t="s">
        <v>272</v>
      </c>
      <c r="AB647" s="7">
        <v>0</v>
      </c>
      <c r="AC647" s="7">
        <v>0</v>
      </c>
      <c r="AD647" s="17"/>
      <c r="AE647" s="5">
        <f>SUMIFS(PGĐ!$H:$H,PGĐ!$F:$F,"="&amp;'HQ2'!B647,PGĐ!$I:$I,"="&amp;'HQ2'!A647)</f>
        <v>0</v>
      </c>
      <c r="AF647" s="17"/>
      <c r="AG647" s="7">
        <f>SUMIFS(ĐMCP!$Q:$Q,ĐMCP!$P:$P,"="&amp;'HQ2'!B647,ĐMCP!$O:$O,"="&amp;'HQ2'!A647)</f>
        <v>0</v>
      </c>
      <c r="AH647" s="7">
        <f t="shared" si="10"/>
        <v>0</v>
      </c>
    </row>
    <row r="648" spans="1:34" x14ac:dyDescent="0.25">
      <c r="A648" s="123" t="s">
        <v>126</v>
      </c>
      <c r="B648" s="15" t="s">
        <v>45</v>
      </c>
      <c r="C648" s="132">
        <v>275213730</v>
      </c>
      <c r="D648" s="132">
        <v>125725444</v>
      </c>
      <c r="E648" s="132">
        <v>149488286</v>
      </c>
      <c r="F648" s="132">
        <v>213652247.97999996</v>
      </c>
      <c r="G648" s="132"/>
      <c r="H648" s="132">
        <v>28164867.326999996</v>
      </c>
      <c r="I648" s="132">
        <v>185487380.65299997</v>
      </c>
      <c r="J648" s="132"/>
      <c r="K648" s="132"/>
      <c r="L648" s="132"/>
      <c r="M648" s="132"/>
      <c r="N648" s="132"/>
      <c r="O648" s="132">
        <v>2380304520</v>
      </c>
      <c r="P648" s="132"/>
      <c r="Q648" s="132"/>
      <c r="R648" s="132">
        <v>2380304520</v>
      </c>
      <c r="S648" s="132">
        <v>1428182712</v>
      </c>
      <c r="T648" s="132"/>
      <c r="U648" s="132"/>
      <c r="V648" s="132"/>
      <c r="W648" s="132"/>
      <c r="X648" s="132"/>
      <c r="Y648" s="132">
        <v>1428182712</v>
      </c>
      <c r="Z648" s="132">
        <v>1428182712</v>
      </c>
      <c r="AA648" s="132">
        <v>6409567.4393999986</v>
      </c>
      <c r="AB648" s="132">
        <v>45616326.580000006</v>
      </c>
      <c r="AC648" s="132">
        <v>-1294721225.3664</v>
      </c>
      <c r="AD648" s="96">
        <v>7.6996219741318637</v>
      </c>
      <c r="AE648" s="5">
        <f>SUMIFS(PGĐ!$H:$H,PGĐ!$F:$F,"="&amp;'HQ2'!B648,PGĐ!$I:$I,"="&amp;'HQ2'!A648)</f>
        <v>0</v>
      </c>
      <c r="AF648" s="96"/>
      <c r="AG648" s="7">
        <f>SUMIFS(ĐMCP!$Q:$Q,ĐMCP!$P:$P,"="&amp;'HQ2'!B648,ĐMCP!$O:$O,"="&amp;'HQ2'!A648)</f>
        <v>0</v>
      </c>
      <c r="AH648" s="7">
        <f t="shared" si="10"/>
        <v>0</v>
      </c>
    </row>
    <row r="649" spans="1:34" x14ac:dyDescent="0.25">
      <c r="A649" s="123" t="s">
        <v>126</v>
      </c>
      <c r="B649" s="16" t="s">
        <v>268</v>
      </c>
      <c r="C649" s="7">
        <v>145781401</v>
      </c>
      <c r="D649" s="7">
        <v>125725444</v>
      </c>
      <c r="E649" s="7">
        <v>20055957</v>
      </c>
      <c r="F649" s="7">
        <v>135992850.57999998</v>
      </c>
      <c r="H649" s="7">
        <v>20398927.586999997</v>
      </c>
      <c r="I649" s="7">
        <v>115593922.99299999</v>
      </c>
      <c r="AA649" s="7">
        <v>4079785.5173999993</v>
      </c>
      <c r="AB649" s="7">
        <v>41076338.380000003</v>
      </c>
      <c r="AC649" s="7">
        <v>70437799.095599979</v>
      </c>
      <c r="AD649" s="17"/>
      <c r="AE649" s="5">
        <f>SUMIFS(PGĐ!$H:$H,PGĐ!$F:$F,"="&amp;'HQ2'!B649,PGĐ!$I:$I,"="&amp;'HQ2'!A649)</f>
        <v>0</v>
      </c>
      <c r="AF649" s="17"/>
      <c r="AG649" s="7">
        <f>SUMIFS(ĐMCP!$Q:$Q,ĐMCP!$P:$P,"="&amp;'HQ2'!B649,ĐMCP!$O:$O,"="&amp;'HQ2'!A649)</f>
        <v>41076338.380000003</v>
      </c>
      <c r="AH649" s="7">
        <f t="shared" si="10"/>
        <v>0</v>
      </c>
    </row>
    <row r="650" spans="1:34" x14ac:dyDescent="0.25">
      <c r="A650" s="123" t="s">
        <v>126</v>
      </c>
      <c r="B650" s="16" t="s">
        <v>269</v>
      </c>
      <c r="C650" s="7">
        <v>129432329</v>
      </c>
      <c r="E650" s="7">
        <v>129432329</v>
      </c>
      <c r="F650" s="7">
        <v>77659397.399999991</v>
      </c>
      <c r="H650" s="7">
        <v>7765939.7399999993</v>
      </c>
      <c r="I650" s="7">
        <v>69893457.659999996</v>
      </c>
      <c r="O650" s="7">
        <v>2380304520</v>
      </c>
      <c r="R650" s="7">
        <v>2380304520</v>
      </c>
      <c r="S650" s="7">
        <v>1428182712</v>
      </c>
      <c r="Y650" s="7">
        <v>1428182712</v>
      </c>
      <c r="Z650" s="7">
        <v>1428182712</v>
      </c>
      <c r="AA650" s="7">
        <v>2329781.9219999998</v>
      </c>
      <c r="AB650" s="7">
        <v>4539988.2</v>
      </c>
      <c r="AC650" s="7">
        <v>-1365159024.4619999</v>
      </c>
      <c r="AD650" s="17">
        <v>20.43371096258339</v>
      </c>
      <c r="AE650" s="5">
        <f>SUMIFS(PGĐ!$H:$H,PGĐ!$F:$F,"="&amp;'HQ2'!B650,PGĐ!$I:$I,"="&amp;'HQ2'!A650)</f>
        <v>0</v>
      </c>
      <c r="AF650" s="17"/>
      <c r="AG650" s="7">
        <f>SUMIFS(ĐMCP!$Q:$Q,ĐMCP!$P:$P,"="&amp;'HQ2'!B650,ĐMCP!$O:$O,"="&amp;'HQ2'!A650)</f>
        <v>4539988.2</v>
      </c>
      <c r="AH650" s="7">
        <f t="shared" si="10"/>
        <v>0</v>
      </c>
    </row>
    <row r="651" spans="1:34" x14ac:dyDescent="0.25">
      <c r="A651" s="123" t="s">
        <v>127</v>
      </c>
      <c r="B651" s="15" t="s">
        <v>45</v>
      </c>
      <c r="C651" s="132">
        <v>93768947</v>
      </c>
      <c r="D651" s="132">
        <v>91800402</v>
      </c>
      <c r="E651" s="132">
        <v>1968545</v>
      </c>
      <c r="F651" s="132">
        <v>90707871.439999998</v>
      </c>
      <c r="G651" s="132">
        <v>243077083.89999998</v>
      </c>
      <c r="H651" s="132">
        <v>-32604394.463999994</v>
      </c>
      <c r="I651" s="132">
        <v>123312265.90399998</v>
      </c>
      <c r="J651" s="132">
        <v>1200000</v>
      </c>
      <c r="K651" s="132"/>
      <c r="L651" s="132"/>
      <c r="M651" s="132">
        <v>1200000</v>
      </c>
      <c r="N651" s="132">
        <v>720000</v>
      </c>
      <c r="O651" s="132">
        <v>4096200000</v>
      </c>
      <c r="P651" s="132">
        <v>124200000</v>
      </c>
      <c r="Q651" s="132"/>
      <c r="R651" s="132">
        <v>3972000000</v>
      </c>
      <c r="S651" s="132">
        <v>2418278981.2399998</v>
      </c>
      <c r="T651" s="132">
        <v>4096200000</v>
      </c>
      <c r="U651" s="132">
        <v>124200000</v>
      </c>
      <c r="V651" s="132"/>
      <c r="W651" s="132">
        <v>3972000000</v>
      </c>
      <c r="X651" s="132">
        <v>2411390370.0799999</v>
      </c>
      <c r="Y651" s="132">
        <v>6888611.1599998474</v>
      </c>
      <c r="Z651" s="132">
        <v>7608611.1599998474</v>
      </c>
      <c r="AA651" s="132">
        <v>2721236.1431999998</v>
      </c>
      <c r="AB651" s="132">
        <v>35098300</v>
      </c>
      <c r="AC651" s="132">
        <v>77884118.600800142</v>
      </c>
      <c r="AD651" s="96">
        <v>6.1701981584891472E-2</v>
      </c>
      <c r="AE651" s="5">
        <f>SUMIFS(PGĐ!$H:$H,PGĐ!$F:$F,"="&amp;'HQ2'!B651,PGĐ!$I:$I,"="&amp;'HQ2'!A651)</f>
        <v>0</v>
      </c>
      <c r="AF651" s="96"/>
      <c r="AG651" s="7">
        <f>SUMIFS(ĐMCP!$Q:$Q,ĐMCP!$P:$P,"="&amp;'HQ2'!B651,ĐMCP!$O:$O,"="&amp;'HQ2'!A651)</f>
        <v>0</v>
      </c>
      <c r="AH651" s="7">
        <f t="shared" si="10"/>
        <v>0</v>
      </c>
    </row>
    <row r="652" spans="1:34" x14ac:dyDescent="0.25">
      <c r="A652" s="123" t="s">
        <v>127</v>
      </c>
      <c r="B652" s="16" t="s">
        <v>268</v>
      </c>
      <c r="C652" s="7">
        <v>74868947</v>
      </c>
      <c r="D652" s="7">
        <v>72900402</v>
      </c>
      <c r="E652" s="7">
        <v>1968545</v>
      </c>
      <c r="F652" s="7">
        <v>72091371.439999998</v>
      </c>
      <c r="G652" s="7">
        <v>29480331.999999996</v>
      </c>
      <c r="H652" s="7">
        <v>6391655.9159999993</v>
      </c>
      <c r="I652" s="7">
        <v>65699715.523999996</v>
      </c>
      <c r="AA652" s="7">
        <v>2162741.1431999998</v>
      </c>
      <c r="AB652" s="7">
        <v>20946623</v>
      </c>
      <c r="AC652" s="7">
        <v>42590351.380799994</v>
      </c>
      <c r="AD652" s="17"/>
      <c r="AE652" s="5">
        <f>SUMIFS(PGĐ!$H:$H,PGĐ!$F:$F,"="&amp;'HQ2'!B652,PGĐ!$I:$I,"="&amp;'HQ2'!A652)</f>
        <v>0</v>
      </c>
      <c r="AF652" s="17"/>
      <c r="AG652" s="7">
        <f>SUMIFS(ĐMCP!$Q:$Q,ĐMCP!$P:$P,"="&amp;'HQ2'!B652,ĐMCP!$O:$O,"="&amp;'HQ2'!A652)</f>
        <v>20946622.584346965</v>
      </c>
      <c r="AH652" s="7">
        <f t="shared" si="10"/>
        <v>-0.4156530350446701</v>
      </c>
    </row>
    <row r="653" spans="1:34" x14ac:dyDescent="0.25">
      <c r="A653" s="123" t="s">
        <v>127</v>
      </c>
      <c r="B653" s="16" t="s">
        <v>271</v>
      </c>
      <c r="C653" s="7">
        <v>18900000</v>
      </c>
      <c r="D653" s="7">
        <v>18900000</v>
      </c>
      <c r="F653" s="7">
        <v>18616500</v>
      </c>
      <c r="G653" s="7">
        <v>213596751.89999998</v>
      </c>
      <c r="H653" s="7">
        <v>-38996050.379999995</v>
      </c>
      <c r="I653" s="7">
        <v>57612550.379999995</v>
      </c>
      <c r="O653" s="7">
        <v>4096200000</v>
      </c>
      <c r="P653" s="7">
        <v>124200000</v>
      </c>
      <c r="R653" s="7">
        <v>3972000000</v>
      </c>
      <c r="S653" s="7">
        <v>2418278981.2399998</v>
      </c>
      <c r="T653" s="7">
        <v>4096200000</v>
      </c>
      <c r="U653" s="7">
        <v>124200000</v>
      </c>
      <c r="W653" s="7">
        <v>3972000000</v>
      </c>
      <c r="X653" s="7">
        <v>2411390370.0799999</v>
      </c>
      <c r="Y653" s="7">
        <v>6888611.1599998474</v>
      </c>
      <c r="Z653" s="7">
        <v>6888611.1599998474</v>
      </c>
      <c r="AA653" s="7">
        <v>558495</v>
      </c>
      <c r="AB653" s="7">
        <v>14151677</v>
      </c>
      <c r="AC653" s="7">
        <v>36013767.220000148</v>
      </c>
      <c r="AD653" s="17">
        <v>0.11956789127653696</v>
      </c>
      <c r="AE653" s="5">
        <f>SUMIFS(PGĐ!$H:$H,PGĐ!$F:$F,"="&amp;'HQ2'!B653,PGĐ!$I:$I,"="&amp;'HQ2'!A653)</f>
        <v>0</v>
      </c>
      <c r="AF653" s="17"/>
      <c r="AG653" s="7">
        <f>SUMIFS(ĐMCP!$Q:$Q,ĐMCP!$P:$P,"="&amp;'HQ2'!B653,ĐMCP!$O:$O,"="&amp;'HQ2'!A653)</f>
        <v>14151677.031466216</v>
      </c>
      <c r="AH653" s="7">
        <f t="shared" si="10"/>
        <v>3.1466215848922729E-2</v>
      </c>
    </row>
    <row r="654" spans="1:34" x14ac:dyDescent="0.25">
      <c r="A654" s="123" t="s">
        <v>127</v>
      </c>
      <c r="B654" s="16" t="s">
        <v>270</v>
      </c>
      <c r="AB654" s="7">
        <v>0</v>
      </c>
      <c r="AC654" s="7">
        <v>0</v>
      </c>
      <c r="AD654" s="17"/>
      <c r="AE654" s="5">
        <f>SUMIFS(PGĐ!$H:$H,PGĐ!$F:$F,"="&amp;'HQ2'!B654,PGĐ!$I:$I,"="&amp;'HQ2'!A654)</f>
        <v>0</v>
      </c>
      <c r="AF654" s="17"/>
      <c r="AG654" s="7">
        <f>SUMIFS(ĐMCP!$Q:$Q,ĐMCP!$P:$P,"="&amp;'HQ2'!B654,ĐMCP!$O:$O,"="&amp;'HQ2'!A654)</f>
        <v>0</v>
      </c>
      <c r="AH654" s="7">
        <f t="shared" si="10"/>
        <v>0</v>
      </c>
    </row>
    <row r="655" spans="1:34" x14ac:dyDescent="0.25">
      <c r="A655" s="123" t="s">
        <v>127</v>
      </c>
      <c r="B655" s="16" t="s">
        <v>269</v>
      </c>
      <c r="J655" s="7">
        <v>1200000</v>
      </c>
      <c r="M655" s="7">
        <v>1200000</v>
      </c>
      <c r="N655" s="7">
        <v>720000</v>
      </c>
      <c r="Z655" s="7">
        <v>720000</v>
      </c>
      <c r="AB655" s="7">
        <v>0</v>
      </c>
      <c r="AC655" s="7">
        <v>-720000</v>
      </c>
      <c r="AD655" t="s">
        <v>275</v>
      </c>
      <c r="AE655" s="5">
        <f>SUMIFS(PGĐ!$H:$H,PGĐ!$F:$F,"="&amp;'HQ2'!B655,PGĐ!$I:$I,"="&amp;'HQ2'!A655)</f>
        <v>0</v>
      </c>
      <c r="AG655" s="7">
        <f>SUMIFS(ĐMCP!$Q:$Q,ĐMCP!$P:$P,"="&amp;'HQ2'!B655,ĐMCP!$O:$O,"="&amp;'HQ2'!A655)</f>
        <v>0</v>
      </c>
      <c r="AH655" s="7">
        <f t="shared" si="10"/>
        <v>0</v>
      </c>
    </row>
    <row r="656" spans="1:34" x14ac:dyDescent="0.25">
      <c r="A656" s="123" t="s">
        <v>127</v>
      </c>
      <c r="B656" s="16" t="s">
        <v>273</v>
      </c>
      <c r="AB656" s="7">
        <v>0</v>
      </c>
      <c r="AC656" s="7">
        <v>0</v>
      </c>
      <c r="AD656" s="17"/>
      <c r="AE656" s="5">
        <f>SUMIFS(PGĐ!$H:$H,PGĐ!$F:$F,"="&amp;'HQ2'!B656,PGĐ!$I:$I,"="&amp;'HQ2'!A656)</f>
        <v>0</v>
      </c>
      <c r="AF656" s="17"/>
      <c r="AG656" s="7">
        <f>SUMIFS(ĐMCP!$Q:$Q,ĐMCP!$P:$P,"="&amp;'HQ2'!B656,ĐMCP!$O:$O,"="&amp;'HQ2'!A656)</f>
        <v>0</v>
      </c>
      <c r="AH656" s="7">
        <f t="shared" si="10"/>
        <v>0</v>
      </c>
    </row>
    <row r="657" spans="1:34" x14ac:dyDescent="0.25">
      <c r="A657" s="123" t="s">
        <v>127</v>
      </c>
      <c r="B657" s="16" t="s">
        <v>23</v>
      </c>
      <c r="AB657" s="7">
        <v>0</v>
      </c>
      <c r="AC657" s="7">
        <v>0</v>
      </c>
      <c r="AD657" s="17"/>
      <c r="AE657" s="5">
        <f>SUMIFS(PGĐ!$H:$H,PGĐ!$F:$F,"="&amp;'HQ2'!B657,PGĐ!$I:$I,"="&amp;'HQ2'!A657)</f>
        <v>0</v>
      </c>
      <c r="AF657" s="17"/>
      <c r="AG657" s="7">
        <f>SUMIFS(ĐMCP!$Q:$Q,ĐMCP!$P:$P,"="&amp;'HQ2'!B657,ĐMCP!$O:$O,"="&amp;'HQ2'!A657)</f>
        <v>0</v>
      </c>
      <c r="AH657" s="7">
        <f t="shared" si="10"/>
        <v>0</v>
      </c>
    </row>
    <row r="658" spans="1:34" x14ac:dyDescent="0.25">
      <c r="A658" s="123" t="s">
        <v>127</v>
      </c>
      <c r="B658" s="16" t="s">
        <v>272</v>
      </c>
      <c r="AB658" s="7">
        <v>0</v>
      </c>
      <c r="AC658" s="7">
        <v>0</v>
      </c>
      <c r="AD658" s="17"/>
      <c r="AE658" s="5">
        <f>SUMIFS(PGĐ!$H:$H,PGĐ!$F:$F,"="&amp;'HQ2'!B658,PGĐ!$I:$I,"="&amp;'HQ2'!A658)</f>
        <v>0</v>
      </c>
      <c r="AF658" s="17"/>
      <c r="AG658" s="7">
        <f>SUMIFS(ĐMCP!$Q:$Q,ĐMCP!$P:$P,"="&amp;'HQ2'!B658,ĐMCP!$O:$O,"="&amp;'HQ2'!A658)</f>
        <v>0</v>
      </c>
      <c r="AH658" s="7">
        <f t="shared" si="10"/>
        <v>0</v>
      </c>
    </row>
    <row r="659" spans="1:34" x14ac:dyDescent="0.25">
      <c r="A659" s="123" t="s">
        <v>128</v>
      </c>
      <c r="B659" s="15" t="s">
        <v>45</v>
      </c>
      <c r="C659" s="132">
        <v>74932766</v>
      </c>
      <c r="D659" s="132">
        <v>73260039</v>
      </c>
      <c r="E659" s="132">
        <v>1672727</v>
      </c>
      <c r="F659" s="132">
        <v>72701079.63499999</v>
      </c>
      <c r="G659" s="132">
        <v>43577417.099999994</v>
      </c>
      <c r="H659" s="132">
        <v>5492609.3100000005</v>
      </c>
      <c r="I659" s="132">
        <v>67208470.324999988</v>
      </c>
      <c r="J659" s="132"/>
      <c r="K659" s="132"/>
      <c r="L659" s="132"/>
      <c r="M659" s="132"/>
      <c r="N659" s="132"/>
      <c r="O659" s="132">
        <v>2690000000</v>
      </c>
      <c r="P659" s="132">
        <v>2050000000</v>
      </c>
      <c r="Q659" s="132"/>
      <c r="R659" s="132">
        <v>640000000</v>
      </c>
      <c r="S659" s="132">
        <v>1254301939.9400001</v>
      </c>
      <c r="T659" s="132">
        <v>2690000000</v>
      </c>
      <c r="U659" s="132">
        <v>2050000000</v>
      </c>
      <c r="V659" s="132"/>
      <c r="W659" s="132">
        <v>640000000</v>
      </c>
      <c r="X659" s="132">
        <v>1104788290.8200002</v>
      </c>
      <c r="Y659" s="132">
        <v>149513649.11999989</v>
      </c>
      <c r="Z659" s="132">
        <v>149513649.11999989</v>
      </c>
      <c r="AA659" s="132">
        <v>2181032.3890499994</v>
      </c>
      <c r="AB659" s="132">
        <v>13828100</v>
      </c>
      <c r="AC659" s="132">
        <v>-98314311.184049889</v>
      </c>
      <c r="AD659" s="96">
        <v>2.224625086644537</v>
      </c>
      <c r="AE659" s="5">
        <f>SUMIFS(PGĐ!$H:$H,PGĐ!$F:$F,"="&amp;'HQ2'!B659,PGĐ!$I:$I,"="&amp;'HQ2'!A659)</f>
        <v>0</v>
      </c>
      <c r="AF659" s="96"/>
      <c r="AG659" s="7">
        <f>SUMIFS(ĐMCP!$Q:$Q,ĐMCP!$P:$P,"="&amp;'HQ2'!B659,ĐMCP!$O:$O,"="&amp;'HQ2'!A659)</f>
        <v>0</v>
      </c>
      <c r="AH659" s="7">
        <f t="shared" si="10"/>
        <v>0</v>
      </c>
    </row>
    <row r="660" spans="1:34" x14ac:dyDescent="0.25">
      <c r="A660" s="123" t="s">
        <v>128</v>
      </c>
      <c r="B660" s="16" t="s">
        <v>268</v>
      </c>
      <c r="C660" s="7">
        <v>43737239</v>
      </c>
      <c r="D660" s="7">
        <v>42064512</v>
      </c>
      <c r="E660" s="7">
        <v>1672727</v>
      </c>
      <c r="F660" s="7">
        <v>41973485.539999999</v>
      </c>
      <c r="G660" s="7">
        <v>35331021.599999994</v>
      </c>
      <c r="H660" s="7">
        <v>996369.59100000071</v>
      </c>
      <c r="I660" s="7">
        <v>40977115.949000001</v>
      </c>
      <c r="AA660" s="7">
        <v>1259204.5662</v>
      </c>
      <c r="AB660" s="7">
        <v>5220965</v>
      </c>
      <c r="AC660" s="7">
        <v>34496946.382799998</v>
      </c>
      <c r="AD660" s="17"/>
      <c r="AE660" s="5">
        <f>SUMIFS(PGĐ!$H:$H,PGĐ!$F:$F,"="&amp;'HQ2'!B660,PGĐ!$I:$I,"="&amp;'HQ2'!A660)</f>
        <v>0</v>
      </c>
      <c r="AF660" s="17"/>
      <c r="AG660" s="7">
        <f>SUMIFS(ĐMCP!$Q:$Q,ĐMCP!$P:$P,"="&amp;'HQ2'!B660,ĐMCP!$O:$O,"="&amp;'HQ2'!A660)</f>
        <v>5220964.8669383097</v>
      </c>
      <c r="AH660" s="7">
        <f t="shared" si="10"/>
        <v>-0.13306169025599957</v>
      </c>
    </row>
    <row r="661" spans="1:34" x14ac:dyDescent="0.25">
      <c r="A661" s="123" t="s">
        <v>128</v>
      </c>
      <c r="B661" s="16" t="s">
        <v>271</v>
      </c>
      <c r="C661" s="7">
        <v>31195527</v>
      </c>
      <c r="D661" s="7">
        <v>31195527</v>
      </c>
      <c r="F661" s="7">
        <v>30727594.094999999</v>
      </c>
      <c r="G661" s="7">
        <v>8246395.4999999991</v>
      </c>
      <c r="H661" s="7">
        <v>4496239.7189999996</v>
      </c>
      <c r="I661" s="7">
        <v>26231354.375999998</v>
      </c>
      <c r="O661" s="7">
        <v>2690000000</v>
      </c>
      <c r="P661" s="7">
        <v>2050000000</v>
      </c>
      <c r="R661" s="7">
        <v>640000000</v>
      </c>
      <c r="S661" s="7">
        <v>1254301939.9400001</v>
      </c>
      <c r="T661" s="7">
        <v>2690000000</v>
      </c>
      <c r="U661" s="7">
        <v>2050000000</v>
      </c>
      <c r="W661" s="7">
        <v>640000000</v>
      </c>
      <c r="X661" s="7">
        <v>1104788290.8200002</v>
      </c>
      <c r="Y661" s="7">
        <v>149513649.11999989</v>
      </c>
      <c r="Z661" s="7">
        <v>149513649.11999989</v>
      </c>
      <c r="AA661" s="7">
        <v>921827.82284999988</v>
      </c>
      <c r="AB661" s="7">
        <v>8607135</v>
      </c>
      <c r="AC661" s="7">
        <v>-132811257.56684989</v>
      </c>
      <c r="AD661" s="17">
        <v>5.699806688471841</v>
      </c>
      <c r="AE661" s="5">
        <f>SUMIFS(PGĐ!$H:$H,PGĐ!$F:$F,"="&amp;'HQ2'!B661,PGĐ!$I:$I,"="&amp;'HQ2'!A661)</f>
        <v>0</v>
      </c>
      <c r="AF661" s="17"/>
      <c r="AG661" s="7">
        <f>SUMIFS(ĐMCP!$Q:$Q,ĐMCP!$P:$P,"="&amp;'HQ2'!B661,ĐMCP!$O:$O,"="&amp;'HQ2'!A661)</f>
        <v>8607135.4935839549</v>
      </c>
      <c r="AH661" s="7">
        <f t="shared" si="10"/>
        <v>0.49358395487070084</v>
      </c>
    </row>
    <row r="662" spans="1:34" x14ac:dyDescent="0.25">
      <c r="A662" s="123" t="s">
        <v>128</v>
      </c>
      <c r="B662" s="16" t="s">
        <v>270</v>
      </c>
      <c r="AB662" s="7">
        <v>0</v>
      </c>
      <c r="AC662" s="7">
        <v>0</v>
      </c>
      <c r="AD662" s="17"/>
      <c r="AE662" s="5">
        <f>SUMIFS(PGĐ!$H:$H,PGĐ!$F:$F,"="&amp;'HQ2'!B662,PGĐ!$I:$I,"="&amp;'HQ2'!A662)</f>
        <v>0</v>
      </c>
      <c r="AF662" s="17"/>
      <c r="AG662" s="7">
        <f>SUMIFS(ĐMCP!$Q:$Q,ĐMCP!$P:$P,"="&amp;'HQ2'!B662,ĐMCP!$O:$O,"="&amp;'HQ2'!A662)</f>
        <v>0</v>
      </c>
      <c r="AH662" s="7">
        <f t="shared" si="10"/>
        <v>0</v>
      </c>
    </row>
    <row r="663" spans="1:34" x14ac:dyDescent="0.25">
      <c r="A663" s="123" t="s">
        <v>128</v>
      </c>
      <c r="B663" s="16" t="s">
        <v>269</v>
      </c>
      <c r="AB663" s="7">
        <v>0</v>
      </c>
      <c r="AC663" s="7">
        <v>0</v>
      </c>
      <c r="AD663" s="17"/>
      <c r="AE663" s="5">
        <f>SUMIFS(PGĐ!$H:$H,PGĐ!$F:$F,"="&amp;'HQ2'!B663,PGĐ!$I:$I,"="&amp;'HQ2'!A663)</f>
        <v>0</v>
      </c>
      <c r="AF663" s="17"/>
      <c r="AG663" s="7">
        <f>SUMIFS(ĐMCP!$Q:$Q,ĐMCP!$P:$P,"="&amp;'HQ2'!B663,ĐMCP!$O:$O,"="&amp;'HQ2'!A663)</f>
        <v>0</v>
      </c>
      <c r="AH663" s="7">
        <f t="shared" si="10"/>
        <v>0</v>
      </c>
    </row>
    <row r="664" spans="1:34" x14ac:dyDescent="0.25">
      <c r="A664" s="123" t="s">
        <v>128</v>
      </c>
      <c r="B664" s="16" t="s">
        <v>273</v>
      </c>
      <c r="AB664" s="7">
        <v>0</v>
      </c>
      <c r="AC664" s="7">
        <v>0</v>
      </c>
      <c r="AD664" s="17"/>
      <c r="AE664" s="5">
        <f>SUMIFS(PGĐ!$H:$H,PGĐ!$F:$F,"="&amp;'HQ2'!B664,PGĐ!$I:$I,"="&amp;'HQ2'!A664)</f>
        <v>0</v>
      </c>
      <c r="AF664" s="17"/>
      <c r="AG664" s="7">
        <f>SUMIFS(ĐMCP!$Q:$Q,ĐMCP!$P:$P,"="&amp;'HQ2'!B664,ĐMCP!$O:$O,"="&amp;'HQ2'!A664)</f>
        <v>0</v>
      </c>
      <c r="AH664" s="7">
        <f t="shared" si="10"/>
        <v>0</v>
      </c>
    </row>
    <row r="665" spans="1:34" x14ac:dyDescent="0.25">
      <c r="A665" s="123" t="s">
        <v>128</v>
      </c>
      <c r="B665" s="16" t="s">
        <v>23</v>
      </c>
      <c r="AB665" s="7">
        <v>0</v>
      </c>
      <c r="AC665" s="7">
        <v>0</v>
      </c>
      <c r="AD665" s="17"/>
      <c r="AE665" s="5">
        <f>SUMIFS(PGĐ!$H:$H,PGĐ!$F:$F,"="&amp;'HQ2'!B665,PGĐ!$I:$I,"="&amp;'HQ2'!A665)</f>
        <v>0</v>
      </c>
      <c r="AF665" s="17"/>
      <c r="AG665" s="7">
        <f>SUMIFS(ĐMCP!$Q:$Q,ĐMCP!$P:$P,"="&amp;'HQ2'!B665,ĐMCP!$O:$O,"="&amp;'HQ2'!A665)</f>
        <v>0</v>
      </c>
      <c r="AH665" s="7">
        <f t="shared" si="10"/>
        <v>0</v>
      </c>
    </row>
    <row r="666" spans="1:34" x14ac:dyDescent="0.25">
      <c r="A666" s="123" t="s">
        <v>128</v>
      </c>
      <c r="B666" s="16" t="s">
        <v>272</v>
      </c>
      <c r="AB666" s="7">
        <v>0</v>
      </c>
      <c r="AC666" s="7">
        <v>0</v>
      </c>
      <c r="AD666" s="17"/>
      <c r="AE666" s="5">
        <f>SUMIFS(PGĐ!$H:$H,PGĐ!$F:$F,"="&amp;'HQ2'!B666,PGĐ!$I:$I,"="&amp;'HQ2'!A666)</f>
        <v>0</v>
      </c>
      <c r="AF666" s="17"/>
      <c r="AG666" s="7">
        <f>SUMIFS(ĐMCP!$Q:$Q,ĐMCP!$P:$P,"="&amp;'HQ2'!B666,ĐMCP!$O:$O,"="&amp;'HQ2'!A666)</f>
        <v>0</v>
      </c>
      <c r="AH666" s="7">
        <f t="shared" si="10"/>
        <v>0</v>
      </c>
    </row>
    <row r="667" spans="1:34" x14ac:dyDescent="0.25">
      <c r="A667" s="123" t="s">
        <v>129</v>
      </c>
      <c r="B667" s="15" t="s">
        <v>45</v>
      </c>
      <c r="C667" s="132">
        <v>45112761</v>
      </c>
      <c r="D667" s="132">
        <v>33954363</v>
      </c>
      <c r="E667" s="132">
        <v>11158398</v>
      </c>
      <c r="F667" s="132">
        <v>41059183.439999998</v>
      </c>
      <c r="G667" s="132">
        <v>80317163.900000006</v>
      </c>
      <c r="H667" s="132">
        <v>-8096843.9004999995</v>
      </c>
      <c r="I667" s="132">
        <v>49156027.340499997</v>
      </c>
      <c r="J667" s="132">
        <v>2400000</v>
      </c>
      <c r="K667" s="132"/>
      <c r="L667" s="132"/>
      <c r="M667" s="132">
        <v>2400000</v>
      </c>
      <c r="N667" s="132">
        <v>1440000</v>
      </c>
      <c r="O667" s="132">
        <v>116000000</v>
      </c>
      <c r="P667" s="132">
        <v>90000000</v>
      </c>
      <c r="Q667" s="132"/>
      <c r="R667" s="132">
        <v>26000000</v>
      </c>
      <c r="S667" s="132">
        <v>53328753.560000002</v>
      </c>
      <c r="T667" s="132"/>
      <c r="U667" s="132"/>
      <c r="V667" s="132"/>
      <c r="W667" s="132"/>
      <c r="X667" s="132"/>
      <c r="Y667" s="132">
        <v>53328753.560000002</v>
      </c>
      <c r="Z667" s="132">
        <v>54768753.560000002</v>
      </c>
      <c r="AA667" s="132">
        <v>1231775.5031999999</v>
      </c>
      <c r="AB667" s="132">
        <v>11839576</v>
      </c>
      <c r="AC667" s="132">
        <v>-18684077.722700004</v>
      </c>
      <c r="AD667" s="96">
        <v>1.1141818516093882</v>
      </c>
      <c r="AE667" s="5">
        <f>SUMIFS(PGĐ!$H:$H,PGĐ!$F:$F,"="&amp;'HQ2'!B667,PGĐ!$I:$I,"="&amp;'HQ2'!A667)</f>
        <v>0</v>
      </c>
      <c r="AF667" s="96"/>
      <c r="AG667" s="7">
        <f>SUMIFS(ĐMCP!$Q:$Q,ĐMCP!$P:$P,"="&amp;'HQ2'!B667,ĐMCP!$O:$O,"="&amp;'HQ2'!A667)</f>
        <v>0</v>
      </c>
      <c r="AH667" s="7">
        <f t="shared" si="10"/>
        <v>0</v>
      </c>
    </row>
    <row r="668" spans="1:34" x14ac:dyDescent="0.25">
      <c r="A668" s="123" t="s">
        <v>129</v>
      </c>
      <c r="B668" s="16" t="s">
        <v>268</v>
      </c>
      <c r="C668" s="7">
        <v>24274579</v>
      </c>
      <c r="D668" s="7">
        <v>13116181</v>
      </c>
      <c r="E668" s="7">
        <v>11158398</v>
      </c>
      <c r="F668" s="7">
        <v>20533574.170000002</v>
      </c>
      <c r="G668" s="7">
        <v>12028618</v>
      </c>
      <c r="H668" s="7">
        <v>1275743.4255000001</v>
      </c>
      <c r="I668" s="7">
        <v>19257830.7445</v>
      </c>
      <c r="O668" s="7">
        <v>26000000</v>
      </c>
      <c r="R668" s="7">
        <v>26000000</v>
      </c>
      <c r="S668" s="7">
        <v>14300000.000000002</v>
      </c>
      <c r="Y668" s="7">
        <v>14300000.000000002</v>
      </c>
      <c r="Z668" s="7">
        <v>14300000.000000002</v>
      </c>
      <c r="AA668" s="7">
        <v>616007.22510000004</v>
      </c>
      <c r="AB668" s="7">
        <v>8795507</v>
      </c>
      <c r="AC668" s="7">
        <v>-4453683.4806000022</v>
      </c>
      <c r="AD668" s="17">
        <v>0.74255507744993832</v>
      </c>
      <c r="AE668" s="5">
        <f>SUMIFS(PGĐ!$H:$H,PGĐ!$F:$F,"="&amp;'HQ2'!B668,PGĐ!$I:$I,"="&amp;'HQ2'!A668)</f>
        <v>0</v>
      </c>
      <c r="AF668" s="17"/>
      <c r="AG668" s="7">
        <f>SUMIFS(ĐMCP!$Q:$Q,ĐMCP!$P:$P,"="&amp;'HQ2'!B668,ĐMCP!$O:$O,"="&amp;'HQ2'!A668)</f>
        <v>8795506.773197813</v>
      </c>
      <c r="AH668" s="7">
        <f t="shared" si="10"/>
        <v>-0.22680218704044819</v>
      </c>
    </row>
    <row r="669" spans="1:34" x14ac:dyDescent="0.25">
      <c r="A669" s="123" t="s">
        <v>129</v>
      </c>
      <c r="B669" s="16" t="s">
        <v>271</v>
      </c>
      <c r="C669" s="7">
        <v>20838182</v>
      </c>
      <c r="D669" s="7">
        <v>20838182</v>
      </c>
      <c r="F669" s="7">
        <v>20525609.27</v>
      </c>
      <c r="G669" s="7">
        <v>66488545.899999999</v>
      </c>
      <c r="H669" s="7">
        <v>-9192587.3259999994</v>
      </c>
      <c r="I669" s="7">
        <v>29718196.596000001</v>
      </c>
      <c r="O669" s="7">
        <v>90000000</v>
      </c>
      <c r="P669" s="7">
        <v>90000000</v>
      </c>
      <c r="R669" s="7">
        <v>0</v>
      </c>
      <c r="S669" s="7">
        <v>39028753.560000002</v>
      </c>
      <c r="Y669" s="7">
        <v>39028753.560000002</v>
      </c>
      <c r="Z669" s="7">
        <v>39028753.560000002</v>
      </c>
      <c r="AA669" s="7">
        <v>615768.2781</v>
      </c>
      <c r="AB669" s="7">
        <v>3044069</v>
      </c>
      <c r="AC669" s="7">
        <v>-12970394.242100002</v>
      </c>
      <c r="AD669" s="17">
        <v>1.3132948169961693</v>
      </c>
      <c r="AE669" s="5">
        <f>SUMIFS(PGĐ!$H:$H,PGĐ!$F:$F,"="&amp;'HQ2'!B669,PGĐ!$I:$I,"="&amp;'HQ2'!A669)</f>
        <v>0</v>
      </c>
      <c r="AF669" s="17"/>
      <c r="AG669" s="7">
        <f>SUMIFS(ĐMCP!$Q:$Q,ĐMCP!$P:$P,"="&amp;'HQ2'!B669,ĐMCP!$O:$O,"="&amp;'HQ2'!A669)</f>
        <v>3044069.191192863</v>
      </c>
      <c r="AH669" s="7">
        <f t="shared" si="10"/>
        <v>0.19119286304339767</v>
      </c>
    </row>
    <row r="670" spans="1:34" x14ac:dyDescent="0.25">
      <c r="A670" s="123" t="s">
        <v>129</v>
      </c>
      <c r="B670" s="16" t="s">
        <v>270</v>
      </c>
      <c r="AB670" s="7">
        <v>0</v>
      </c>
      <c r="AC670" s="7">
        <v>0</v>
      </c>
      <c r="AD670" s="17"/>
      <c r="AE670" s="5">
        <f>SUMIFS(PGĐ!$H:$H,PGĐ!$F:$F,"="&amp;'HQ2'!B670,PGĐ!$I:$I,"="&amp;'HQ2'!A670)</f>
        <v>0</v>
      </c>
      <c r="AF670" s="17"/>
      <c r="AG670" s="7">
        <f>SUMIFS(ĐMCP!$Q:$Q,ĐMCP!$P:$P,"="&amp;'HQ2'!B670,ĐMCP!$O:$O,"="&amp;'HQ2'!A670)</f>
        <v>0</v>
      </c>
      <c r="AH670" s="7">
        <f t="shared" si="10"/>
        <v>0</v>
      </c>
    </row>
    <row r="671" spans="1:34" x14ac:dyDescent="0.25">
      <c r="A671" s="123" t="s">
        <v>129</v>
      </c>
      <c r="B671" s="16" t="s">
        <v>269</v>
      </c>
      <c r="G671" s="7">
        <v>1800000</v>
      </c>
      <c r="H671" s="7">
        <v>-180000</v>
      </c>
      <c r="I671" s="7">
        <v>180000</v>
      </c>
      <c r="J671" s="7">
        <v>2400000</v>
      </c>
      <c r="M671" s="7">
        <v>2400000</v>
      </c>
      <c r="N671" s="7">
        <v>1440000</v>
      </c>
      <c r="Z671" s="7">
        <v>1440000</v>
      </c>
      <c r="AB671" s="7">
        <v>0</v>
      </c>
      <c r="AC671" s="7">
        <v>-1260000</v>
      </c>
      <c r="AD671" s="17">
        <v>8</v>
      </c>
      <c r="AE671" s="5">
        <f>SUMIFS(PGĐ!$H:$H,PGĐ!$F:$F,"="&amp;'HQ2'!B671,PGĐ!$I:$I,"="&amp;'HQ2'!A671)</f>
        <v>0</v>
      </c>
      <c r="AF671" s="17"/>
      <c r="AG671" s="7">
        <f>SUMIFS(ĐMCP!$Q:$Q,ĐMCP!$P:$P,"="&amp;'HQ2'!B671,ĐMCP!$O:$O,"="&amp;'HQ2'!A671)</f>
        <v>0</v>
      </c>
      <c r="AH671" s="7">
        <f t="shared" si="10"/>
        <v>0</v>
      </c>
    </row>
    <row r="672" spans="1:34" x14ac:dyDescent="0.25">
      <c r="A672" s="123" t="s">
        <v>129</v>
      </c>
      <c r="B672" s="16" t="s">
        <v>273</v>
      </c>
      <c r="AB672" s="7">
        <v>0</v>
      </c>
      <c r="AC672" s="7">
        <v>0</v>
      </c>
      <c r="AD672" s="17"/>
      <c r="AE672" s="5">
        <f>SUMIFS(PGĐ!$H:$H,PGĐ!$F:$F,"="&amp;'HQ2'!B672,PGĐ!$I:$I,"="&amp;'HQ2'!A672)</f>
        <v>0</v>
      </c>
      <c r="AF672" s="17"/>
      <c r="AG672" s="7">
        <f>SUMIFS(ĐMCP!$Q:$Q,ĐMCP!$P:$P,"="&amp;'HQ2'!B672,ĐMCP!$O:$O,"="&amp;'HQ2'!A672)</f>
        <v>0</v>
      </c>
      <c r="AH672" s="7">
        <f t="shared" si="10"/>
        <v>0</v>
      </c>
    </row>
    <row r="673" spans="1:34" x14ac:dyDescent="0.25">
      <c r="A673" s="123" t="s">
        <v>129</v>
      </c>
      <c r="B673" s="16" t="s">
        <v>23</v>
      </c>
      <c r="AB673" s="7">
        <v>0</v>
      </c>
      <c r="AC673" s="7">
        <v>0</v>
      </c>
      <c r="AD673" s="17"/>
      <c r="AE673" s="5">
        <f>SUMIFS(PGĐ!$H:$H,PGĐ!$F:$F,"="&amp;'HQ2'!B673,PGĐ!$I:$I,"="&amp;'HQ2'!A673)</f>
        <v>0</v>
      </c>
      <c r="AF673" s="17"/>
      <c r="AG673" s="7">
        <f>SUMIFS(ĐMCP!$Q:$Q,ĐMCP!$P:$P,"="&amp;'HQ2'!B673,ĐMCP!$O:$O,"="&amp;'HQ2'!A673)</f>
        <v>0</v>
      </c>
      <c r="AH673" s="7">
        <f t="shared" si="10"/>
        <v>0</v>
      </c>
    </row>
    <row r="674" spans="1:34" x14ac:dyDescent="0.25">
      <c r="A674" s="123" t="s">
        <v>129</v>
      </c>
      <c r="B674" s="16" t="s">
        <v>272</v>
      </c>
      <c r="AB674" s="7">
        <v>0</v>
      </c>
      <c r="AC674" s="7">
        <v>0</v>
      </c>
      <c r="AD674" s="17"/>
      <c r="AE674" s="5">
        <f>SUMIFS(PGĐ!$H:$H,PGĐ!$F:$F,"="&amp;'HQ2'!B674,PGĐ!$I:$I,"="&amp;'HQ2'!A674)</f>
        <v>0</v>
      </c>
      <c r="AF674" s="17"/>
      <c r="AG674" s="7">
        <f>SUMIFS(ĐMCP!$Q:$Q,ĐMCP!$P:$P,"="&amp;'HQ2'!B674,ĐMCP!$O:$O,"="&amp;'HQ2'!A674)</f>
        <v>0</v>
      </c>
      <c r="AH674" s="7">
        <f t="shared" si="10"/>
        <v>0</v>
      </c>
    </row>
    <row r="675" spans="1:34" x14ac:dyDescent="0.25">
      <c r="A675" s="123" t="s">
        <v>276</v>
      </c>
      <c r="B675" s="15" t="s">
        <v>45</v>
      </c>
      <c r="C675" s="132">
        <v>14000000</v>
      </c>
      <c r="D675" s="132"/>
      <c r="E675" s="132">
        <v>14000000</v>
      </c>
      <c r="F675" s="132">
        <v>8400000</v>
      </c>
      <c r="G675" s="132"/>
      <c r="H675" s="132">
        <v>840000</v>
      </c>
      <c r="I675" s="132">
        <v>7560000</v>
      </c>
      <c r="J675" s="132"/>
      <c r="K675" s="132"/>
      <c r="L675" s="132"/>
      <c r="M675" s="132"/>
      <c r="N675" s="132"/>
      <c r="O675" s="132"/>
      <c r="P675" s="132"/>
      <c r="Q675" s="132"/>
      <c r="R675" s="132"/>
      <c r="S675" s="132"/>
      <c r="T675" s="132"/>
      <c r="U675" s="132"/>
      <c r="V675" s="132"/>
      <c r="W675" s="132"/>
      <c r="X675" s="132"/>
      <c r="Y675" s="132"/>
      <c r="Z675" s="132"/>
      <c r="AA675" s="132">
        <v>252000</v>
      </c>
      <c r="AB675" s="132"/>
      <c r="AC675" s="132">
        <v>7308000</v>
      </c>
      <c r="AD675" s="96"/>
      <c r="AE675" s="5">
        <f>SUMIFS(PGĐ!$H:$H,PGĐ!$F:$F,"="&amp;'HQ2'!B675,PGĐ!$I:$I,"="&amp;'HQ2'!A675)</f>
        <v>0</v>
      </c>
      <c r="AF675" s="96"/>
      <c r="AG675" s="7">
        <f>SUMIFS(ĐMCP!$Q:$Q,ĐMCP!$P:$P,"="&amp;'HQ2'!B675,ĐMCP!$O:$O,"="&amp;'HQ2'!A675)</f>
        <v>0</v>
      </c>
      <c r="AH675" s="7">
        <f t="shared" si="10"/>
        <v>0</v>
      </c>
    </row>
    <row r="676" spans="1:34" x14ac:dyDescent="0.25">
      <c r="A676" s="123" t="s">
        <v>276</v>
      </c>
      <c r="B676" s="16" t="s">
        <v>269</v>
      </c>
      <c r="C676" s="7">
        <v>14000000</v>
      </c>
      <c r="E676" s="7">
        <v>14000000</v>
      </c>
      <c r="F676" s="7">
        <v>8400000</v>
      </c>
      <c r="H676" s="7">
        <v>840000</v>
      </c>
      <c r="I676" s="7">
        <v>7560000</v>
      </c>
      <c r="AA676" s="7">
        <v>252000</v>
      </c>
      <c r="AC676" s="7">
        <v>7308000</v>
      </c>
      <c r="AD676" s="17"/>
      <c r="AE676" s="5">
        <f>SUMIFS(PGĐ!$H:$H,PGĐ!$F:$F,"="&amp;'HQ2'!B676,PGĐ!$I:$I,"="&amp;'HQ2'!A676)</f>
        <v>0</v>
      </c>
      <c r="AF676" s="17"/>
      <c r="AG676" s="7">
        <f>SUMIFS(ĐMCP!$Q:$Q,ĐMCP!$P:$P,"="&amp;'HQ2'!B676,ĐMCP!$O:$O,"="&amp;'HQ2'!A676)</f>
        <v>0</v>
      </c>
      <c r="AH676" s="7">
        <f t="shared" si="10"/>
        <v>0</v>
      </c>
    </row>
    <row r="677" spans="1:34" x14ac:dyDescent="0.25">
      <c r="A677" s="123" t="s">
        <v>130</v>
      </c>
      <c r="B677" s="15" t="s">
        <v>45</v>
      </c>
      <c r="C677" s="132">
        <v>3813093</v>
      </c>
      <c r="D677" s="132"/>
      <c r="E677" s="132">
        <v>3813093</v>
      </c>
      <c r="F677" s="132">
        <v>2287855.7999999998</v>
      </c>
      <c r="G677" s="132"/>
      <c r="H677" s="132">
        <v>228785.58</v>
      </c>
      <c r="I677" s="132">
        <v>2059070.2199999997</v>
      </c>
      <c r="J677" s="132"/>
      <c r="K677" s="132"/>
      <c r="L677" s="132"/>
      <c r="M677" s="132"/>
      <c r="N677" s="132"/>
      <c r="O677" s="132"/>
      <c r="P677" s="132"/>
      <c r="Q677" s="132"/>
      <c r="R677" s="132"/>
      <c r="S677" s="132"/>
      <c r="T677" s="132"/>
      <c r="U677" s="132"/>
      <c r="V677" s="132"/>
      <c r="W677" s="132"/>
      <c r="X677" s="132"/>
      <c r="Y677" s="132"/>
      <c r="Z677" s="132"/>
      <c r="AA677" s="132">
        <v>68635.673999999999</v>
      </c>
      <c r="AB677" s="132"/>
      <c r="AC677" s="132">
        <v>1990434.5459999996</v>
      </c>
      <c r="AD677" s="96"/>
      <c r="AE677" s="5">
        <f>SUMIFS(PGĐ!$H:$H,PGĐ!$F:$F,"="&amp;'HQ2'!B677,PGĐ!$I:$I,"="&amp;'HQ2'!A677)</f>
        <v>0</v>
      </c>
      <c r="AF677" s="96"/>
      <c r="AG677" s="7">
        <f>SUMIFS(ĐMCP!$Q:$Q,ĐMCP!$P:$P,"="&amp;'HQ2'!B677,ĐMCP!$O:$O,"="&amp;'HQ2'!A677)</f>
        <v>0</v>
      </c>
      <c r="AH677" s="7">
        <f t="shared" si="10"/>
        <v>0</v>
      </c>
    </row>
    <row r="678" spans="1:34" x14ac:dyDescent="0.25">
      <c r="A678" s="123" t="s">
        <v>130</v>
      </c>
      <c r="B678" s="16" t="s">
        <v>269</v>
      </c>
      <c r="C678" s="7">
        <v>3813093</v>
      </c>
      <c r="E678" s="7">
        <v>3813093</v>
      </c>
      <c r="F678" s="7">
        <v>2287855.7999999998</v>
      </c>
      <c r="H678" s="7">
        <v>228785.58</v>
      </c>
      <c r="I678" s="7">
        <v>2059070.2199999997</v>
      </c>
      <c r="AA678" s="7">
        <v>68635.673999999999</v>
      </c>
      <c r="AC678" s="7">
        <v>1990434.5459999996</v>
      </c>
      <c r="AD678" s="17"/>
      <c r="AE678" s="5">
        <f>SUMIFS(PGĐ!$H:$H,PGĐ!$F:$F,"="&amp;'HQ2'!B678,PGĐ!$I:$I,"="&amp;'HQ2'!A678)</f>
        <v>0</v>
      </c>
      <c r="AF678" s="17"/>
      <c r="AG678" s="7">
        <f>SUMIFS(ĐMCP!$Q:$Q,ĐMCP!$P:$P,"="&amp;'HQ2'!B678,ĐMCP!$O:$O,"="&amp;'HQ2'!A678)</f>
        <v>0</v>
      </c>
      <c r="AH678" s="7">
        <f t="shared" si="10"/>
        <v>0</v>
      </c>
    </row>
    <row r="679" spans="1:34" x14ac:dyDescent="0.25">
      <c r="A679" s="123" t="s">
        <v>131</v>
      </c>
      <c r="B679" s="15" t="s">
        <v>45</v>
      </c>
      <c r="C679" s="132"/>
      <c r="D679" s="132"/>
      <c r="E679" s="132"/>
      <c r="F679" s="132"/>
      <c r="G679" s="132">
        <v>182189345188.09998</v>
      </c>
      <c r="H679" s="132">
        <v>-26864354299.934994</v>
      </c>
      <c r="I679" s="132">
        <v>26864354299.934994</v>
      </c>
      <c r="J679" s="132"/>
      <c r="K679" s="132"/>
      <c r="L679" s="132"/>
      <c r="M679" s="132"/>
      <c r="N679" s="132"/>
      <c r="O679" s="132"/>
      <c r="P679" s="132"/>
      <c r="Q679" s="132"/>
      <c r="R679" s="132"/>
      <c r="S679" s="132"/>
      <c r="T679" s="132"/>
      <c r="U679" s="132"/>
      <c r="V679" s="132"/>
      <c r="W679" s="132"/>
      <c r="X679" s="132"/>
      <c r="Y679" s="132"/>
      <c r="Z679" s="132"/>
      <c r="AA679" s="132"/>
      <c r="AB679" s="132"/>
      <c r="AC679" s="132">
        <v>26864354299.934994</v>
      </c>
      <c r="AD679" s="96"/>
      <c r="AE679" s="5">
        <f>SUMIFS(PGĐ!$H:$H,PGĐ!$F:$F,"="&amp;'HQ2'!B679,PGĐ!$I:$I,"="&amp;'HQ2'!A679)</f>
        <v>0</v>
      </c>
      <c r="AF679" s="96"/>
      <c r="AG679" s="7">
        <f>SUMIFS(ĐMCP!$Q:$Q,ĐMCP!$P:$P,"="&amp;'HQ2'!B679,ĐMCP!$O:$O,"="&amp;'HQ2'!A679)</f>
        <v>0</v>
      </c>
      <c r="AH679" s="7">
        <f t="shared" si="10"/>
        <v>0</v>
      </c>
    </row>
    <row r="680" spans="1:34" x14ac:dyDescent="0.25">
      <c r="A680" s="123" t="s">
        <v>131</v>
      </c>
      <c r="B680" s="16" t="s">
        <v>270</v>
      </c>
      <c r="G680" s="7">
        <v>17492470867.200001</v>
      </c>
      <c r="H680" s="7">
        <v>-1749247086.7200003</v>
      </c>
      <c r="I680" s="7">
        <v>1749247086.7200003</v>
      </c>
      <c r="AC680" s="7">
        <v>1749247086.7200003</v>
      </c>
      <c r="AD680" s="17"/>
      <c r="AE680" s="5">
        <f>SUMIFS(PGĐ!$H:$H,PGĐ!$F:$F,"="&amp;'HQ2'!B680,PGĐ!$I:$I,"="&amp;'HQ2'!A680)</f>
        <v>0</v>
      </c>
      <c r="AF680" s="17"/>
      <c r="AG680" s="7">
        <f>SUMIFS(ĐMCP!$Q:$Q,ĐMCP!$P:$P,"="&amp;'HQ2'!B680,ĐMCP!$O:$O,"="&amp;'HQ2'!A680)</f>
        <v>0</v>
      </c>
      <c r="AH680" s="7">
        <f t="shared" si="10"/>
        <v>0</v>
      </c>
    </row>
    <row r="681" spans="1:34" x14ac:dyDescent="0.25">
      <c r="A681" s="123" t="s">
        <v>131</v>
      </c>
      <c r="B681" s="16" t="s">
        <v>271</v>
      </c>
      <c r="G681" s="7">
        <v>11877875809.799999</v>
      </c>
      <c r="H681" s="7">
        <v>-2375575161.96</v>
      </c>
      <c r="I681" s="7">
        <v>2375575161.96</v>
      </c>
      <c r="AC681" s="7">
        <v>2375575161.96</v>
      </c>
      <c r="AD681" s="17"/>
      <c r="AE681" s="5">
        <f>SUMIFS(PGĐ!$H:$H,PGĐ!$F:$F,"="&amp;'HQ2'!B681,PGĐ!$I:$I,"="&amp;'HQ2'!A681)</f>
        <v>0</v>
      </c>
      <c r="AF681" s="17"/>
      <c r="AG681" s="7">
        <f>SUMIFS(ĐMCP!$Q:$Q,ĐMCP!$P:$P,"="&amp;'HQ2'!B681,ĐMCP!$O:$O,"="&amp;'HQ2'!A681)</f>
        <v>0</v>
      </c>
      <c r="AH681" s="7">
        <f t="shared" si="10"/>
        <v>0</v>
      </c>
    </row>
    <row r="682" spans="1:34" x14ac:dyDescent="0.25">
      <c r="A682" s="123" t="s">
        <v>131</v>
      </c>
      <c r="B682" s="16" t="s">
        <v>268</v>
      </c>
      <c r="G682" s="7">
        <v>114627148012.29999</v>
      </c>
      <c r="H682" s="7">
        <v>-17194072201.844997</v>
      </c>
      <c r="I682" s="7">
        <v>17194072201.844997</v>
      </c>
      <c r="AC682" s="7">
        <v>17194072201.844997</v>
      </c>
      <c r="AD682" s="17"/>
      <c r="AE682" s="5">
        <f>SUMIFS(PGĐ!$H:$H,PGĐ!$F:$F,"="&amp;'HQ2'!B682,PGĐ!$I:$I,"="&amp;'HQ2'!A682)</f>
        <v>0</v>
      </c>
      <c r="AF682" s="17"/>
      <c r="AG682" s="7">
        <f>SUMIFS(ĐMCP!$Q:$Q,ĐMCP!$P:$P,"="&amp;'HQ2'!B682,ĐMCP!$O:$O,"="&amp;'HQ2'!A682)</f>
        <v>0</v>
      </c>
      <c r="AH682" s="7">
        <f t="shared" si="10"/>
        <v>0</v>
      </c>
    </row>
    <row r="683" spans="1:34" x14ac:dyDescent="0.25">
      <c r="A683" s="123" t="s">
        <v>131</v>
      </c>
      <c r="B683" s="16" t="s">
        <v>269</v>
      </c>
      <c r="G683" s="7">
        <v>24480678432.599998</v>
      </c>
      <c r="H683" s="7">
        <v>-2448067843.2599998</v>
      </c>
      <c r="I683" s="7">
        <v>2448067843.2599998</v>
      </c>
      <c r="AC683" s="7">
        <v>2448067843.2599998</v>
      </c>
      <c r="AD683" s="17"/>
      <c r="AE683" s="5">
        <f>SUMIFS(PGĐ!$H:$H,PGĐ!$F:$F,"="&amp;'HQ2'!B683,PGĐ!$I:$I,"="&amp;'HQ2'!A683)</f>
        <v>0</v>
      </c>
      <c r="AF683" s="17"/>
      <c r="AG683" s="7">
        <f>SUMIFS(ĐMCP!$Q:$Q,ĐMCP!$P:$P,"="&amp;'HQ2'!B683,ĐMCP!$O:$O,"="&amp;'HQ2'!A683)</f>
        <v>0</v>
      </c>
      <c r="AH683" s="7">
        <f t="shared" si="10"/>
        <v>0</v>
      </c>
    </row>
    <row r="684" spans="1:34" x14ac:dyDescent="0.25">
      <c r="A684" s="123" t="s">
        <v>131</v>
      </c>
      <c r="B684" s="16" t="s">
        <v>273</v>
      </c>
      <c r="G684" s="7">
        <v>2905892492.25</v>
      </c>
      <c r="H684" s="7">
        <v>-726473123.0625</v>
      </c>
      <c r="I684" s="7">
        <v>726473123.0625</v>
      </c>
      <c r="AC684" s="7">
        <v>726473123.0625</v>
      </c>
      <c r="AD684" s="17"/>
      <c r="AE684" s="5">
        <f>SUMIFS(PGĐ!$H:$H,PGĐ!$F:$F,"="&amp;'HQ2'!B684,PGĐ!$I:$I,"="&amp;'HQ2'!A684)</f>
        <v>0</v>
      </c>
      <c r="AF684" s="17"/>
      <c r="AG684" s="7">
        <f>SUMIFS(ĐMCP!$Q:$Q,ĐMCP!$P:$P,"="&amp;'HQ2'!B684,ĐMCP!$O:$O,"="&amp;'HQ2'!A684)</f>
        <v>0</v>
      </c>
      <c r="AH684" s="7">
        <f t="shared" si="10"/>
        <v>0</v>
      </c>
    </row>
    <row r="685" spans="1:34" x14ac:dyDescent="0.25">
      <c r="A685" s="123" t="s">
        <v>131</v>
      </c>
      <c r="B685" s="16" t="s">
        <v>23</v>
      </c>
      <c r="G685" s="7">
        <v>4197259365.9499998</v>
      </c>
      <c r="H685" s="7">
        <v>-1049314841.4875</v>
      </c>
      <c r="I685" s="7">
        <v>1049314841.4875</v>
      </c>
      <c r="AC685" s="7">
        <v>1049314841.4875</v>
      </c>
      <c r="AD685" s="17"/>
      <c r="AE685" s="5">
        <f>SUMIFS(PGĐ!$H:$H,PGĐ!$F:$F,"="&amp;'HQ2'!B685,PGĐ!$I:$I,"="&amp;'HQ2'!A685)</f>
        <v>0</v>
      </c>
      <c r="AF685" s="17"/>
      <c r="AG685" s="7">
        <f>SUMIFS(ĐMCP!$Q:$Q,ĐMCP!$P:$P,"="&amp;'HQ2'!B685,ĐMCP!$O:$O,"="&amp;'HQ2'!A685)</f>
        <v>0</v>
      </c>
      <c r="AH685" s="7">
        <f t="shared" si="10"/>
        <v>0</v>
      </c>
    </row>
    <row r="686" spans="1:34" x14ac:dyDescent="0.25">
      <c r="A686" s="123" t="s">
        <v>131</v>
      </c>
      <c r="B686" s="16" t="s">
        <v>272</v>
      </c>
      <c r="G686" s="7">
        <v>6608020208</v>
      </c>
      <c r="H686" s="7">
        <v>-1321604041.6000001</v>
      </c>
      <c r="I686" s="7">
        <v>1321604041.6000001</v>
      </c>
      <c r="AC686" s="7">
        <v>1321604041.6000001</v>
      </c>
      <c r="AD686" s="17"/>
      <c r="AE686" s="5">
        <f>SUMIFS(PGĐ!$H:$H,PGĐ!$F:$F,"="&amp;'HQ2'!B686,PGĐ!$I:$I,"="&amp;'HQ2'!A686)</f>
        <v>0</v>
      </c>
      <c r="AF686" s="17"/>
      <c r="AG686" s="7">
        <f>SUMIFS(ĐMCP!$Q:$Q,ĐMCP!$P:$P,"="&amp;'HQ2'!B686,ĐMCP!$O:$O,"="&amp;'HQ2'!A686)</f>
        <v>0</v>
      </c>
      <c r="AH686" s="7">
        <f t="shared" si="10"/>
        <v>0</v>
      </c>
    </row>
    <row r="687" spans="1:34" x14ac:dyDescent="0.25">
      <c r="AE687" s="5">
        <f>SUMIFS(PGĐ!$H:$H,PGĐ!$F:$F,"="&amp;'HQ2'!B687,PGĐ!$I:$I,"="&amp;'HQ2'!A687)</f>
        <v>0</v>
      </c>
      <c r="AG687" s="7">
        <f>SUMIFS(ĐMCP!$Q:$Q,ĐMCP!$P:$P,"="&amp;'HQ2'!B687,ĐMCP!$O:$O,"="&amp;'HQ2'!A687)</f>
        <v>0</v>
      </c>
      <c r="AH687" s="7">
        <f t="shared" si="10"/>
        <v>0</v>
      </c>
    </row>
    <row r="688" spans="1:34" x14ac:dyDescent="0.25">
      <c r="AE688" s="5">
        <f>SUMIFS(PGĐ!$H:$H,PGĐ!$F:$F,"="&amp;'HQ2'!B688,PGĐ!$I:$I,"="&amp;'HQ2'!A688)</f>
        <v>0</v>
      </c>
      <c r="AG688" s="7">
        <f>SUMIFS(ĐMCP!$Q:$Q,ĐMCP!$P:$P,"="&amp;'HQ2'!B688,ĐMCP!$O:$O,"="&amp;'HQ2'!A688)</f>
        <v>0</v>
      </c>
      <c r="AH688" s="7">
        <f t="shared" si="10"/>
        <v>0</v>
      </c>
    </row>
    <row r="689" spans="31:34" x14ac:dyDescent="0.25">
      <c r="AE689" s="5">
        <f>SUMIFS(PGĐ!$H:$H,PGĐ!$F:$F,"="&amp;'HQ2'!B689,PGĐ!$I:$I,"="&amp;'HQ2'!A689)</f>
        <v>0</v>
      </c>
      <c r="AG689" s="7">
        <f>SUMIFS(ĐMCP!$Q:$Q,ĐMCP!$P:$P,"="&amp;'HQ2'!B689,ĐMCP!$O:$O,"="&amp;'HQ2'!A689)</f>
        <v>0</v>
      </c>
      <c r="AH689" s="7">
        <f t="shared" si="10"/>
        <v>0</v>
      </c>
    </row>
    <row r="690" spans="31:34" x14ac:dyDescent="0.25">
      <c r="AE690" s="5">
        <f>SUMIFS(PGĐ!$H:$H,PGĐ!$F:$F,"="&amp;'HQ2'!B690,PGĐ!$I:$I,"="&amp;'HQ2'!A690)</f>
        <v>0</v>
      </c>
      <c r="AG690" s="7">
        <f>SUMIFS(ĐMCP!$Q:$Q,ĐMCP!$P:$P,"="&amp;'HQ2'!B690,ĐMCP!$O:$O,"="&amp;'HQ2'!A690)</f>
        <v>0</v>
      </c>
      <c r="AH690" s="7">
        <f t="shared" si="10"/>
        <v>0</v>
      </c>
    </row>
    <row r="691" spans="31:34" x14ac:dyDescent="0.25">
      <c r="AE691" s="5">
        <f>SUMIFS(PGĐ!$H:$H,PGĐ!$F:$F,"="&amp;'HQ2'!B691,PGĐ!$I:$I,"="&amp;'HQ2'!A691)</f>
        <v>0</v>
      </c>
      <c r="AG691" s="7">
        <f>SUMIFS(ĐMCP!$Q:$Q,ĐMCP!$P:$P,"="&amp;'HQ2'!B691,ĐMCP!$O:$O,"="&amp;'HQ2'!A691)</f>
        <v>0</v>
      </c>
      <c r="AH691" s="7">
        <f t="shared" si="10"/>
        <v>0</v>
      </c>
    </row>
    <row r="692" spans="31:34" x14ac:dyDescent="0.25">
      <c r="AE692" s="5">
        <f>SUMIFS(PGĐ!$H:$H,PGĐ!$F:$F,"="&amp;'HQ2'!B692,PGĐ!$I:$I,"="&amp;'HQ2'!A692)</f>
        <v>0</v>
      </c>
      <c r="AG692" s="7">
        <f>SUMIFS(ĐMCP!$Q:$Q,ĐMCP!$P:$P,"="&amp;'HQ2'!B692,ĐMCP!$O:$O,"="&amp;'HQ2'!A692)</f>
        <v>0</v>
      </c>
      <c r="AH692" s="7">
        <f t="shared" si="10"/>
        <v>0</v>
      </c>
    </row>
    <row r="693" spans="31:34" x14ac:dyDescent="0.25">
      <c r="AE693" s="5">
        <f>SUMIFS(PGĐ!$H:$H,PGĐ!$F:$F,"="&amp;'HQ2'!B693,PGĐ!$I:$I,"="&amp;'HQ2'!A693)</f>
        <v>0</v>
      </c>
      <c r="AG693" s="7">
        <f>SUMIFS(ĐMCP!$Q:$Q,ĐMCP!$P:$P,"="&amp;'HQ2'!B693,ĐMCP!$O:$O,"="&amp;'HQ2'!A693)</f>
        <v>0</v>
      </c>
      <c r="AH693" s="7">
        <f t="shared" si="10"/>
        <v>0</v>
      </c>
    </row>
    <row r="694" spans="31:34" x14ac:dyDescent="0.25">
      <c r="AE694" s="5">
        <f>SUMIFS(PGĐ!$H:$H,PGĐ!$F:$F,"="&amp;'HQ2'!B694,PGĐ!$I:$I,"="&amp;'HQ2'!A694)</f>
        <v>0</v>
      </c>
      <c r="AG694" s="7">
        <f>SUMIFS(ĐMCP!$Q:$Q,ĐMCP!$P:$P,"="&amp;'HQ2'!B694,ĐMCP!$O:$O,"="&amp;'HQ2'!A694)</f>
        <v>0</v>
      </c>
      <c r="AH694" s="7">
        <f t="shared" si="10"/>
        <v>0</v>
      </c>
    </row>
    <row r="695" spans="31:34" x14ac:dyDescent="0.25">
      <c r="AE695" s="5">
        <f>SUMIFS(PGĐ!$H:$H,PGĐ!$F:$F,"="&amp;'HQ2'!B695,PGĐ!$I:$I,"="&amp;'HQ2'!A695)</f>
        <v>0</v>
      </c>
      <c r="AG695" s="7">
        <f>SUMIFS(ĐMCP!$Q:$Q,ĐMCP!$P:$P,"="&amp;'HQ2'!B695,ĐMCP!$O:$O,"="&amp;'HQ2'!A695)</f>
        <v>0</v>
      </c>
      <c r="AH695" s="7">
        <f t="shared" si="10"/>
        <v>0</v>
      </c>
    </row>
    <row r="696" spans="31:34" x14ac:dyDescent="0.25">
      <c r="AE696" s="5">
        <f>SUMIFS(PGĐ!$H:$H,PGĐ!$F:$F,"="&amp;'HQ2'!B696,PGĐ!$I:$I,"="&amp;'HQ2'!A696)</f>
        <v>0</v>
      </c>
      <c r="AG696" s="7">
        <f>SUMIFS(ĐMCP!$Q:$Q,ĐMCP!$P:$P,"="&amp;'HQ2'!B696,ĐMCP!$O:$O,"="&amp;'HQ2'!A696)</f>
        <v>0</v>
      </c>
      <c r="AH696" s="7">
        <f t="shared" si="10"/>
        <v>0</v>
      </c>
    </row>
    <row r="697" spans="31:34" x14ac:dyDescent="0.25">
      <c r="AE697" s="5">
        <f>SUMIFS(PGĐ!$H:$H,PGĐ!$F:$F,"="&amp;'HQ2'!B697,PGĐ!$I:$I,"="&amp;'HQ2'!A697)</f>
        <v>0</v>
      </c>
      <c r="AG697" s="7">
        <f>SUMIFS(ĐMCP!$Q:$Q,ĐMCP!$P:$P,"="&amp;'HQ2'!B697,ĐMCP!$O:$O,"="&amp;'HQ2'!A697)</f>
        <v>0</v>
      </c>
      <c r="AH697" s="7">
        <f t="shared" si="10"/>
        <v>0</v>
      </c>
    </row>
    <row r="698" spans="31:34" x14ac:dyDescent="0.25">
      <c r="AE698" s="5">
        <f>SUMIFS(PGĐ!$H:$H,PGĐ!$F:$F,"="&amp;'HQ2'!B698,PGĐ!$I:$I,"="&amp;'HQ2'!A698)</f>
        <v>0</v>
      </c>
      <c r="AG698" s="7">
        <f>SUMIFS(ĐMCP!$Q:$Q,ĐMCP!$P:$P,"="&amp;'HQ2'!B698,ĐMCP!$O:$O,"="&amp;'HQ2'!A698)</f>
        <v>0</v>
      </c>
      <c r="AH698" s="7">
        <f t="shared" si="10"/>
        <v>0</v>
      </c>
    </row>
    <row r="699" spans="31:34" x14ac:dyDescent="0.25">
      <c r="AE699" s="5">
        <f>SUMIFS(PGĐ!$H:$H,PGĐ!$F:$F,"="&amp;'HQ2'!B699,PGĐ!$I:$I,"="&amp;'HQ2'!A699)</f>
        <v>0</v>
      </c>
      <c r="AG699" s="7">
        <f>SUMIFS(ĐMCP!$Q:$Q,ĐMCP!$P:$P,"="&amp;'HQ2'!B699,ĐMCP!$O:$O,"="&amp;'HQ2'!A699)</f>
        <v>0</v>
      </c>
      <c r="AH699" s="7">
        <f t="shared" si="10"/>
        <v>0</v>
      </c>
    </row>
    <row r="700" spans="31:34" x14ac:dyDescent="0.25">
      <c r="AE700" s="5">
        <f>SUMIFS(PGĐ!$H:$H,PGĐ!$F:$F,"="&amp;'HQ2'!B700,PGĐ!$I:$I,"="&amp;'HQ2'!A700)</f>
        <v>0</v>
      </c>
      <c r="AG700" s="7">
        <f>SUMIFS(ĐMCP!$Q:$Q,ĐMCP!$P:$P,"="&amp;'HQ2'!B700,ĐMCP!$O:$O,"="&amp;'HQ2'!A700)</f>
        <v>0</v>
      </c>
      <c r="AH700" s="7">
        <f t="shared" si="10"/>
        <v>0</v>
      </c>
    </row>
    <row r="701" spans="31:34" x14ac:dyDescent="0.25">
      <c r="AE701" s="5">
        <f>SUMIFS(PGĐ!$H:$H,PGĐ!$F:$F,"="&amp;'HQ2'!B701,PGĐ!$I:$I,"="&amp;'HQ2'!A701)</f>
        <v>0</v>
      </c>
      <c r="AG701" s="7">
        <f>SUMIFS(ĐMCP!$Q:$Q,ĐMCP!$P:$P,"="&amp;'HQ2'!B701,ĐMCP!$O:$O,"="&amp;'HQ2'!A701)</f>
        <v>0</v>
      </c>
      <c r="AH701" s="7">
        <f t="shared" si="10"/>
        <v>0</v>
      </c>
    </row>
    <row r="702" spans="31:34" x14ac:dyDescent="0.25">
      <c r="AE702" s="5">
        <f>SUMIFS(PGĐ!$H:$H,PGĐ!$F:$F,"="&amp;'HQ2'!B702,PGĐ!$I:$I,"="&amp;'HQ2'!A702)</f>
        <v>0</v>
      </c>
      <c r="AG702" s="7">
        <f>SUMIFS(ĐMCP!$Q:$Q,ĐMCP!$P:$P,"="&amp;'HQ2'!B702,ĐMCP!$O:$O,"="&amp;'HQ2'!A702)</f>
        <v>0</v>
      </c>
      <c r="AH702" s="7">
        <f t="shared" si="10"/>
        <v>0</v>
      </c>
    </row>
    <row r="703" spans="31:34" x14ac:dyDescent="0.25">
      <c r="AE703" s="5">
        <f>SUMIFS(PGĐ!$H:$H,PGĐ!$F:$F,"="&amp;'HQ2'!B703,PGĐ!$I:$I,"="&amp;'HQ2'!A703)</f>
        <v>0</v>
      </c>
      <c r="AG703" s="7">
        <f>SUMIFS(ĐMCP!$Q:$Q,ĐMCP!$P:$P,"="&amp;'HQ2'!B703,ĐMCP!$O:$O,"="&amp;'HQ2'!A703)</f>
        <v>0</v>
      </c>
      <c r="AH703" s="7">
        <f t="shared" si="10"/>
        <v>0</v>
      </c>
    </row>
    <row r="704" spans="31:34" x14ac:dyDescent="0.25">
      <c r="AE704" s="5">
        <f>SUMIFS(PGĐ!$H:$H,PGĐ!$F:$F,"="&amp;'HQ2'!B704,PGĐ!$I:$I,"="&amp;'HQ2'!A704)</f>
        <v>0</v>
      </c>
      <c r="AG704" s="7">
        <f>SUMIFS(ĐMCP!$Q:$Q,ĐMCP!$P:$P,"="&amp;'HQ2'!B704,ĐMCP!$O:$O,"="&amp;'HQ2'!A704)</f>
        <v>0</v>
      </c>
      <c r="AH704" s="7">
        <f t="shared" si="10"/>
        <v>0</v>
      </c>
    </row>
    <row r="705" spans="31:34" x14ac:dyDescent="0.25">
      <c r="AE705" s="5">
        <f>SUMIFS(PGĐ!$H:$H,PGĐ!$F:$F,"="&amp;'HQ2'!B705,PGĐ!$I:$I,"="&amp;'HQ2'!A705)</f>
        <v>0</v>
      </c>
      <c r="AG705" s="7">
        <f>SUMIFS(ĐMCP!$Q:$Q,ĐMCP!$P:$P,"="&amp;'HQ2'!B705,ĐMCP!$O:$O,"="&amp;'HQ2'!A705)</f>
        <v>0</v>
      </c>
      <c r="AH705" s="7">
        <f t="shared" si="10"/>
        <v>0</v>
      </c>
    </row>
    <row r="706" spans="31:34" x14ac:dyDescent="0.25">
      <c r="AE706" s="5">
        <f>SUMIFS(PGĐ!$H:$H,PGĐ!$F:$F,"="&amp;'HQ2'!B706,PGĐ!$I:$I,"="&amp;'HQ2'!A706)</f>
        <v>0</v>
      </c>
      <c r="AG706" s="7">
        <f>SUMIFS(ĐMCP!$Q:$Q,ĐMCP!$P:$P,"="&amp;'HQ2'!B706,ĐMCP!$O:$O,"="&amp;'HQ2'!A706)</f>
        <v>0</v>
      </c>
      <c r="AH706" s="7">
        <f t="shared" si="10"/>
        <v>0</v>
      </c>
    </row>
    <row r="707" spans="31:34" x14ac:dyDescent="0.25">
      <c r="AE707" s="5">
        <f>SUMIFS(PGĐ!$H:$H,PGĐ!$F:$F,"="&amp;'HQ2'!B707,PGĐ!$I:$I,"="&amp;'HQ2'!A707)</f>
        <v>0</v>
      </c>
      <c r="AG707" s="7">
        <f>SUMIFS(ĐMCP!$Q:$Q,ĐMCP!$P:$P,"="&amp;'HQ2'!B707,ĐMCP!$O:$O,"="&amp;'HQ2'!A707)</f>
        <v>0</v>
      </c>
      <c r="AH707" s="7">
        <f t="shared" si="10"/>
        <v>0</v>
      </c>
    </row>
    <row r="708" spans="31:34" x14ac:dyDescent="0.25">
      <c r="AE708" s="5">
        <f>SUMIFS(PGĐ!$H:$H,PGĐ!$F:$F,"="&amp;'HQ2'!B708,PGĐ!$I:$I,"="&amp;'HQ2'!A708)</f>
        <v>0</v>
      </c>
      <c r="AG708" s="7">
        <f>SUMIFS(ĐMCP!$Q:$Q,ĐMCP!$P:$P,"="&amp;'HQ2'!B708,ĐMCP!$O:$O,"="&amp;'HQ2'!A708)</f>
        <v>0</v>
      </c>
      <c r="AH708" s="7">
        <f t="shared" ref="AH708:AH748" si="11">IF(AG708=0,0,AG708-AB708)</f>
        <v>0</v>
      </c>
    </row>
    <row r="709" spans="31:34" x14ac:dyDescent="0.25">
      <c r="AE709" s="5">
        <f>SUMIFS(PGĐ!$H:$H,PGĐ!$F:$F,"="&amp;'HQ2'!B709,PGĐ!$I:$I,"="&amp;'HQ2'!A709)</f>
        <v>0</v>
      </c>
      <c r="AG709" s="7">
        <f>SUMIFS(ĐMCP!$Q:$Q,ĐMCP!$P:$P,"="&amp;'HQ2'!B709,ĐMCP!$O:$O,"="&amp;'HQ2'!A709)</f>
        <v>0</v>
      </c>
      <c r="AH709" s="7">
        <f t="shared" si="11"/>
        <v>0</v>
      </c>
    </row>
    <row r="710" spans="31:34" x14ac:dyDescent="0.25">
      <c r="AE710" s="5">
        <f>SUMIFS(PGĐ!$H:$H,PGĐ!$F:$F,"="&amp;'HQ2'!B710,PGĐ!$I:$I,"="&amp;'HQ2'!A710)</f>
        <v>0</v>
      </c>
      <c r="AG710" s="7">
        <f>SUMIFS(ĐMCP!$Q:$Q,ĐMCP!$P:$P,"="&amp;'HQ2'!B710,ĐMCP!$O:$O,"="&amp;'HQ2'!A710)</f>
        <v>0</v>
      </c>
      <c r="AH710" s="7">
        <f t="shared" si="11"/>
        <v>0</v>
      </c>
    </row>
    <row r="711" spans="31:34" x14ac:dyDescent="0.25">
      <c r="AE711" s="5">
        <f>SUMIFS(PGĐ!$H:$H,PGĐ!$F:$F,"="&amp;'HQ2'!B711,PGĐ!$I:$I,"="&amp;'HQ2'!A711)</f>
        <v>0</v>
      </c>
      <c r="AG711" s="7">
        <f>SUMIFS(ĐMCP!$Q:$Q,ĐMCP!$P:$P,"="&amp;'HQ2'!B711,ĐMCP!$O:$O,"="&amp;'HQ2'!A711)</f>
        <v>0</v>
      </c>
      <c r="AH711" s="7">
        <f t="shared" si="11"/>
        <v>0</v>
      </c>
    </row>
    <row r="712" spans="31:34" x14ac:dyDescent="0.25">
      <c r="AE712" s="5">
        <f>SUMIFS(PGĐ!$H:$H,PGĐ!$F:$F,"="&amp;'HQ2'!B712,PGĐ!$I:$I,"="&amp;'HQ2'!A712)</f>
        <v>0</v>
      </c>
      <c r="AG712" s="7">
        <f>SUMIFS(ĐMCP!$Q:$Q,ĐMCP!$P:$P,"="&amp;'HQ2'!B712,ĐMCP!$O:$O,"="&amp;'HQ2'!A712)</f>
        <v>0</v>
      </c>
      <c r="AH712" s="7">
        <f t="shared" si="11"/>
        <v>0</v>
      </c>
    </row>
    <row r="713" spans="31:34" x14ac:dyDescent="0.25">
      <c r="AE713" s="5">
        <f>SUMIFS(PGĐ!$H:$H,PGĐ!$F:$F,"="&amp;'HQ2'!B713,PGĐ!$I:$I,"="&amp;'HQ2'!A713)</f>
        <v>0</v>
      </c>
      <c r="AG713" s="7">
        <f>SUMIFS(ĐMCP!$Q:$Q,ĐMCP!$P:$P,"="&amp;'HQ2'!B713,ĐMCP!$O:$O,"="&amp;'HQ2'!A713)</f>
        <v>0</v>
      </c>
      <c r="AH713" s="7">
        <f t="shared" si="11"/>
        <v>0</v>
      </c>
    </row>
    <row r="714" spans="31:34" x14ac:dyDescent="0.25">
      <c r="AE714" s="5">
        <f>SUMIFS(PGĐ!$H:$H,PGĐ!$F:$F,"="&amp;'HQ2'!B714,PGĐ!$I:$I,"="&amp;'HQ2'!A714)</f>
        <v>0</v>
      </c>
      <c r="AG714" s="7">
        <f>SUMIFS(ĐMCP!$Q:$Q,ĐMCP!$P:$P,"="&amp;'HQ2'!B714,ĐMCP!$O:$O,"="&amp;'HQ2'!A714)</f>
        <v>0</v>
      </c>
      <c r="AH714" s="7">
        <f t="shared" si="11"/>
        <v>0</v>
      </c>
    </row>
    <row r="715" spans="31:34" x14ac:dyDescent="0.25">
      <c r="AE715" s="5">
        <f>SUMIFS(PGĐ!$H:$H,PGĐ!$F:$F,"="&amp;'HQ2'!B715,PGĐ!$I:$I,"="&amp;'HQ2'!A715)</f>
        <v>0</v>
      </c>
      <c r="AG715" s="7">
        <f>SUMIFS(ĐMCP!$Q:$Q,ĐMCP!$P:$P,"="&amp;'HQ2'!B715,ĐMCP!$O:$O,"="&amp;'HQ2'!A715)</f>
        <v>0</v>
      </c>
      <c r="AH715" s="7">
        <f t="shared" si="11"/>
        <v>0</v>
      </c>
    </row>
    <row r="716" spans="31:34" x14ac:dyDescent="0.25">
      <c r="AE716" s="5">
        <f>SUMIFS(PGĐ!$H:$H,PGĐ!$F:$F,"="&amp;'HQ2'!B716,PGĐ!$I:$I,"="&amp;'HQ2'!A716)</f>
        <v>0</v>
      </c>
      <c r="AG716" s="7">
        <f>SUMIFS(ĐMCP!$Q:$Q,ĐMCP!$P:$P,"="&amp;'HQ2'!B716,ĐMCP!$O:$O,"="&amp;'HQ2'!A716)</f>
        <v>0</v>
      </c>
      <c r="AH716" s="7">
        <f t="shared" si="11"/>
        <v>0</v>
      </c>
    </row>
    <row r="717" spans="31:34" x14ac:dyDescent="0.25">
      <c r="AE717" s="5">
        <f>SUMIFS(PGĐ!$H:$H,PGĐ!$F:$F,"="&amp;'HQ2'!B717,PGĐ!$I:$I,"="&amp;'HQ2'!A717)</f>
        <v>0</v>
      </c>
      <c r="AG717" s="7">
        <f>SUMIFS(ĐMCP!$Q:$Q,ĐMCP!$P:$P,"="&amp;'HQ2'!B717,ĐMCP!$O:$O,"="&amp;'HQ2'!A717)</f>
        <v>0</v>
      </c>
      <c r="AH717" s="7">
        <f t="shared" si="11"/>
        <v>0</v>
      </c>
    </row>
    <row r="718" spans="31:34" x14ac:dyDescent="0.25">
      <c r="AE718" s="5">
        <f>SUMIFS(PGĐ!$H:$H,PGĐ!$F:$F,"="&amp;'HQ2'!B718,PGĐ!$I:$I,"="&amp;'HQ2'!A718)</f>
        <v>0</v>
      </c>
      <c r="AG718" s="7">
        <f>SUMIFS(ĐMCP!$Q:$Q,ĐMCP!$P:$P,"="&amp;'HQ2'!B718,ĐMCP!$O:$O,"="&amp;'HQ2'!A718)</f>
        <v>0</v>
      </c>
      <c r="AH718" s="7">
        <f t="shared" si="11"/>
        <v>0</v>
      </c>
    </row>
    <row r="719" spans="31:34" x14ac:dyDescent="0.25">
      <c r="AE719" s="5">
        <f>SUMIFS(PGĐ!$H:$H,PGĐ!$F:$F,"="&amp;'HQ2'!B719,PGĐ!$I:$I,"="&amp;'HQ2'!A719)</f>
        <v>0</v>
      </c>
      <c r="AG719" s="7">
        <f>SUMIFS(ĐMCP!$Q:$Q,ĐMCP!$P:$P,"="&amp;'HQ2'!B719,ĐMCP!$O:$O,"="&amp;'HQ2'!A719)</f>
        <v>0</v>
      </c>
      <c r="AH719" s="7">
        <f t="shared" si="11"/>
        <v>0</v>
      </c>
    </row>
    <row r="720" spans="31:34" x14ac:dyDescent="0.25">
      <c r="AE720" s="5">
        <f>SUMIFS(PGĐ!$H:$H,PGĐ!$F:$F,"="&amp;'HQ2'!B720,PGĐ!$I:$I,"="&amp;'HQ2'!A720)</f>
        <v>0</v>
      </c>
      <c r="AG720" s="7">
        <f>SUMIFS(ĐMCP!$Q:$Q,ĐMCP!$P:$P,"="&amp;'HQ2'!B720,ĐMCP!$O:$O,"="&amp;'HQ2'!A720)</f>
        <v>0</v>
      </c>
      <c r="AH720" s="7">
        <f t="shared" si="11"/>
        <v>0</v>
      </c>
    </row>
    <row r="721" spans="31:34" x14ac:dyDescent="0.25">
      <c r="AE721" s="5">
        <f>SUMIFS(PGĐ!$H:$H,PGĐ!$F:$F,"="&amp;'HQ2'!B721,PGĐ!$I:$I,"="&amp;'HQ2'!A721)</f>
        <v>0</v>
      </c>
      <c r="AG721" s="7">
        <f>SUMIFS(ĐMCP!$Q:$Q,ĐMCP!$P:$P,"="&amp;'HQ2'!B721,ĐMCP!$O:$O,"="&amp;'HQ2'!A721)</f>
        <v>0</v>
      </c>
      <c r="AH721" s="7">
        <f t="shared" si="11"/>
        <v>0</v>
      </c>
    </row>
    <row r="722" spans="31:34" x14ac:dyDescent="0.25">
      <c r="AE722" s="5">
        <f>SUMIFS(PGĐ!$H:$H,PGĐ!$F:$F,"="&amp;'HQ2'!B722,PGĐ!$I:$I,"="&amp;'HQ2'!A722)</f>
        <v>0</v>
      </c>
      <c r="AG722" s="7">
        <f>SUMIFS(ĐMCP!$Q:$Q,ĐMCP!$P:$P,"="&amp;'HQ2'!B722,ĐMCP!$O:$O,"="&amp;'HQ2'!A722)</f>
        <v>0</v>
      </c>
      <c r="AH722" s="7">
        <f t="shared" si="11"/>
        <v>0</v>
      </c>
    </row>
    <row r="723" spans="31:34" x14ac:dyDescent="0.25">
      <c r="AE723" s="5">
        <f>SUMIFS(PGĐ!$H:$H,PGĐ!$F:$F,"="&amp;'HQ2'!B723,PGĐ!$I:$I,"="&amp;'HQ2'!A723)</f>
        <v>0</v>
      </c>
      <c r="AG723" s="7">
        <f>SUMIFS(ĐMCP!$Q:$Q,ĐMCP!$P:$P,"="&amp;'HQ2'!B723,ĐMCP!$O:$O,"="&amp;'HQ2'!A723)</f>
        <v>0</v>
      </c>
      <c r="AH723" s="7">
        <f t="shared" si="11"/>
        <v>0</v>
      </c>
    </row>
    <row r="724" spans="31:34" x14ac:dyDescent="0.25">
      <c r="AE724" s="5">
        <f>SUMIFS(PGĐ!$H:$H,PGĐ!$F:$F,"="&amp;'HQ2'!B724,PGĐ!$I:$I,"="&amp;'HQ2'!A724)</f>
        <v>0</v>
      </c>
      <c r="AG724" s="7">
        <f>SUMIFS(ĐMCP!$Q:$Q,ĐMCP!$P:$P,"="&amp;'HQ2'!B724,ĐMCP!$O:$O,"="&amp;'HQ2'!A724)</f>
        <v>0</v>
      </c>
      <c r="AH724" s="7">
        <f t="shared" si="11"/>
        <v>0</v>
      </c>
    </row>
    <row r="725" spans="31:34" x14ac:dyDescent="0.25">
      <c r="AE725" s="5">
        <f>SUMIFS(PGĐ!$H:$H,PGĐ!$F:$F,"="&amp;'HQ2'!B725,PGĐ!$I:$I,"="&amp;'HQ2'!A725)</f>
        <v>0</v>
      </c>
      <c r="AG725" s="7">
        <f>SUMIFS(ĐMCP!$Q:$Q,ĐMCP!$P:$P,"="&amp;'HQ2'!B725,ĐMCP!$O:$O,"="&amp;'HQ2'!A725)</f>
        <v>0</v>
      </c>
      <c r="AH725" s="7">
        <f t="shared" si="11"/>
        <v>0</v>
      </c>
    </row>
    <row r="726" spans="31:34" x14ac:dyDescent="0.25">
      <c r="AE726" s="5">
        <f>SUMIFS(PGĐ!$H:$H,PGĐ!$F:$F,"="&amp;'HQ2'!B726,PGĐ!$I:$I,"="&amp;'HQ2'!A726)</f>
        <v>0</v>
      </c>
      <c r="AG726" s="7">
        <f>SUMIFS(ĐMCP!$Q:$Q,ĐMCP!$P:$P,"="&amp;'HQ2'!B726,ĐMCP!$O:$O,"="&amp;'HQ2'!A726)</f>
        <v>0</v>
      </c>
      <c r="AH726" s="7">
        <f t="shared" si="11"/>
        <v>0</v>
      </c>
    </row>
    <row r="727" spans="31:34" x14ac:dyDescent="0.25">
      <c r="AE727" s="5">
        <f>SUMIFS(PGĐ!$H:$H,PGĐ!$F:$F,"="&amp;'HQ2'!B727,PGĐ!$I:$I,"="&amp;'HQ2'!A727)</f>
        <v>0</v>
      </c>
      <c r="AG727" s="7">
        <f>SUMIFS(ĐMCP!$Q:$Q,ĐMCP!$P:$P,"="&amp;'HQ2'!B727,ĐMCP!$O:$O,"="&amp;'HQ2'!A727)</f>
        <v>0</v>
      </c>
      <c r="AH727" s="7">
        <f t="shared" si="11"/>
        <v>0</v>
      </c>
    </row>
    <row r="728" spans="31:34" x14ac:dyDescent="0.25">
      <c r="AE728" s="5">
        <f>SUMIFS(PGĐ!$H:$H,PGĐ!$F:$F,"="&amp;'HQ2'!B728,PGĐ!$I:$I,"="&amp;'HQ2'!A728)</f>
        <v>0</v>
      </c>
      <c r="AG728" s="7">
        <f>SUMIFS(ĐMCP!$Q:$Q,ĐMCP!$P:$P,"="&amp;'HQ2'!B728,ĐMCP!$O:$O,"="&amp;'HQ2'!A728)</f>
        <v>0</v>
      </c>
      <c r="AH728" s="7">
        <f t="shared" si="11"/>
        <v>0</v>
      </c>
    </row>
    <row r="729" spans="31:34" x14ac:dyDescent="0.25">
      <c r="AE729" s="5">
        <f>SUMIFS(PGĐ!$H:$H,PGĐ!$F:$F,"="&amp;'HQ2'!B729,PGĐ!$I:$I,"="&amp;'HQ2'!A729)</f>
        <v>0</v>
      </c>
      <c r="AG729" s="7">
        <f>SUMIFS(ĐMCP!$Q:$Q,ĐMCP!$P:$P,"="&amp;'HQ2'!B729,ĐMCP!$O:$O,"="&amp;'HQ2'!A729)</f>
        <v>0</v>
      </c>
      <c r="AH729" s="7">
        <f t="shared" si="11"/>
        <v>0</v>
      </c>
    </row>
    <row r="730" spans="31:34" x14ac:dyDescent="0.25">
      <c r="AE730" s="5">
        <f>SUMIFS(PGĐ!$H:$H,PGĐ!$F:$F,"="&amp;'HQ2'!B730,PGĐ!$I:$I,"="&amp;'HQ2'!A730)</f>
        <v>0</v>
      </c>
      <c r="AG730" s="7">
        <f>SUMIFS(ĐMCP!$Q:$Q,ĐMCP!$P:$P,"="&amp;'HQ2'!B730,ĐMCP!$O:$O,"="&amp;'HQ2'!A730)</f>
        <v>0</v>
      </c>
      <c r="AH730" s="7">
        <f t="shared" si="11"/>
        <v>0</v>
      </c>
    </row>
    <row r="731" spans="31:34" x14ac:dyDescent="0.25">
      <c r="AE731" s="5">
        <f>SUMIFS(PGĐ!$H:$H,PGĐ!$F:$F,"="&amp;'HQ2'!B731,PGĐ!$I:$I,"="&amp;'HQ2'!A731)</f>
        <v>0</v>
      </c>
      <c r="AG731" s="7">
        <f>SUMIFS(ĐMCP!$Q:$Q,ĐMCP!$P:$P,"="&amp;'HQ2'!B731,ĐMCP!$O:$O,"="&amp;'HQ2'!A731)</f>
        <v>0</v>
      </c>
      <c r="AH731" s="7">
        <f t="shared" si="11"/>
        <v>0</v>
      </c>
    </row>
    <row r="732" spans="31:34" x14ac:dyDescent="0.25">
      <c r="AE732" s="5">
        <f>SUMIFS(PGĐ!$H:$H,PGĐ!$F:$F,"="&amp;'HQ2'!B732,PGĐ!$I:$I,"="&amp;'HQ2'!A732)</f>
        <v>0</v>
      </c>
      <c r="AG732" s="7">
        <f>SUMIFS(ĐMCP!$Q:$Q,ĐMCP!$P:$P,"="&amp;'HQ2'!B732,ĐMCP!$O:$O,"="&amp;'HQ2'!A732)</f>
        <v>0</v>
      </c>
      <c r="AH732" s="7">
        <f t="shared" si="11"/>
        <v>0</v>
      </c>
    </row>
    <row r="733" spans="31:34" x14ac:dyDescent="0.25">
      <c r="AE733" s="5">
        <f>SUMIFS(PGĐ!$H:$H,PGĐ!$F:$F,"="&amp;'HQ2'!B733,PGĐ!$I:$I,"="&amp;'HQ2'!A733)</f>
        <v>0</v>
      </c>
      <c r="AG733" s="7">
        <f>SUMIFS(ĐMCP!$Q:$Q,ĐMCP!$P:$P,"="&amp;'HQ2'!B733,ĐMCP!$O:$O,"="&amp;'HQ2'!A733)</f>
        <v>0</v>
      </c>
      <c r="AH733" s="7">
        <f t="shared" si="11"/>
        <v>0</v>
      </c>
    </row>
    <row r="734" spans="31:34" x14ac:dyDescent="0.25">
      <c r="AE734" s="5">
        <f>SUMIFS(PGĐ!$H:$H,PGĐ!$F:$F,"="&amp;'HQ2'!B734,PGĐ!$I:$I,"="&amp;'HQ2'!A734)</f>
        <v>0</v>
      </c>
      <c r="AG734" s="7">
        <f>SUMIFS(ĐMCP!$Q:$Q,ĐMCP!$P:$P,"="&amp;'HQ2'!B734,ĐMCP!$O:$O,"="&amp;'HQ2'!A734)</f>
        <v>0</v>
      </c>
      <c r="AH734" s="7">
        <f t="shared" si="11"/>
        <v>0</v>
      </c>
    </row>
    <row r="735" spans="31:34" x14ac:dyDescent="0.25">
      <c r="AE735" s="5">
        <f>SUMIFS(PGĐ!$H:$H,PGĐ!$F:$F,"="&amp;'HQ2'!B735,PGĐ!$I:$I,"="&amp;'HQ2'!A735)</f>
        <v>0</v>
      </c>
      <c r="AG735" s="7">
        <f>SUMIFS(ĐMCP!$Q:$Q,ĐMCP!$P:$P,"="&amp;'HQ2'!B735,ĐMCP!$O:$O,"="&amp;'HQ2'!A735)</f>
        <v>0</v>
      </c>
      <c r="AH735" s="7">
        <f t="shared" si="11"/>
        <v>0</v>
      </c>
    </row>
    <row r="736" spans="31:34" x14ac:dyDescent="0.25">
      <c r="AE736" s="5">
        <f>SUMIFS(PGĐ!$H:$H,PGĐ!$F:$F,"="&amp;'HQ2'!B736,PGĐ!$I:$I,"="&amp;'HQ2'!A736)</f>
        <v>0</v>
      </c>
      <c r="AG736" s="7">
        <f>SUMIFS(ĐMCP!$Q:$Q,ĐMCP!$P:$P,"="&amp;'HQ2'!B736,ĐMCP!$O:$O,"="&amp;'HQ2'!A736)</f>
        <v>0</v>
      </c>
      <c r="AH736" s="7">
        <f t="shared" si="11"/>
        <v>0</v>
      </c>
    </row>
    <row r="737" spans="31:34" x14ac:dyDescent="0.25">
      <c r="AE737" s="5">
        <f>SUMIFS(PGĐ!$H:$H,PGĐ!$F:$F,"="&amp;'HQ2'!B737,PGĐ!$I:$I,"="&amp;'HQ2'!A737)</f>
        <v>0</v>
      </c>
      <c r="AG737" s="7">
        <f>SUMIFS(ĐMCP!$Q:$Q,ĐMCP!$P:$P,"="&amp;'HQ2'!B737,ĐMCP!$O:$O,"="&amp;'HQ2'!A737)</f>
        <v>0</v>
      </c>
      <c r="AH737" s="7">
        <f t="shared" si="11"/>
        <v>0</v>
      </c>
    </row>
    <row r="738" spans="31:34" x14ac:dyDescent="0.25">
      <c r="AE738" s="5">
        <f>SUMIFS(PGĐ!$H:$H,PGĐ!$F:$F,"="&amp;'HQ2'!B738,PGĐ!$I:$I,"="&amp;'HQ2'!A738)</f>
        <v>0</v>
      </c>
      <c r="AG738" s="7">
        <f>SUMIFS(ĐMCP!$Q:$Q,ĐMCP!$P:$P,"="&amp;'HQ2'!B738,ĐMCP!$O:$O,"="&amp;'HQ2'!A738)</f>
        <v>0</v>
      </c>
      <c r="AH738" s="7">
        <f t="shared" si="11"/>
        <v>0</v>
      </c>
    </row>
    <row r="739" spans="31:34" x14ac:dyDescent="0.25">
      <c r="AE739" s="5">
        <f>SUMIFS(PGĐ!$H:$H,PGĐ!$F:$F,"="&amp;'HQ2'!B739,PGĐ!$I:$I,"="&amp;'HQ2'!A739)</f>
        <v>0</v>
      </c>
      <c r="AG739" s="7">
        <f>SUMIFS(ĐMCP!$Q:$Q,ĐMCP!$P:$P,"="&amp;'HQ2'!B739,ĐMCP!$O:$O,"="&amp;'HQ2'!A739)</f>
        <v>0</v>
      </c>
      <c r="AH739" s="7">
        <f t="shared" si="11"/>
        <v>0</v>
      </c>
    </row>
    <row r="740" spans="31:34" x14ac:dyDescent="0.25">
      <c r="AE740" s="5">
        <f>SUMIFS(PGĐ!$H:$H,PGĐ!$F:$F,"="&amp;'HQ2'!B740,PGĐ!$I:$I,"="&amp;'HQ2'!A740)</f>
        <v>0</v>
      </c>
      <c r="AG740" s="7">
        <f>SUMIFS(ĐMCP!$Q:$Q,ĐMCP!$P:$P,"="&amp;'HQ2'!B740,ĐMCP!$O:$O,"="&amp;'HQ2'!A740)</f>
        <v>0</v>
      </c>
      <c r="AH740" s="7">
        <f t="shared" si="11"/>
        <v>0</v>
      </c>
    </row>
    <row r="741" spans="31:34" x14ac:dyDescent="0.25">
      <c r="AE741" s="5">
        <f>SUMIFS(PGĐ!$H:$H,PGĐ!$F:$F,"="&amp;'HQ2'!B741,PGĐ!$I:$I,"="&amp;'HQ2'!A741)</f>
        <v>0</v>
      </c>
      <c r="AG741" s="7">
        <f>SUMIFS(ĐMCP!$Q:$Q,ĐMCP!$P:$P,"="&amp;'HQ2'!B741,ĐMCP!$O:$O,"="&amp;'HQ2'!A741)</f>
        <v>0</v>
      </c>
      <c r="AH741" s="7">
        <f t="shared" si="11"/>
        <v>0</v>
      </c>
    </row>
    <row r="742" spans="31:34" x14ac:dyDescent="0.25">
      <c r="AE742" s="5">
        <f>SUMIFS(PGĐ!$H:$H,PGĐ!$F:$F,"="&amp;'HQ2'!B742,PGĐ!$I:$I,"="&amp;'HQ2'!A742)</f>
        <v>0</v>
      </c>
      <c r="AG742" s="7">
        <f>SUMIFS(ĐMCP!$Q:$Q,ĐMCP!$P:$P,"="&amp;'HQ2'!B742,ĐMCP!$O:$O,"="&amp;'HQ2'!A742)</f>
        <v>0</v>
      </c>
      <c r="AH742" s="7">
        <f t="shared" si="11"/>
        <v>0</v>
      </c>
    </row>
    <row r="743" spans="31:34" x14ac:dyDescent="0.25">
      <c r="AE743" s="5">
        <f>SUMIFS(PGĐ!$H:$H,PGĐ!$F:$F,"="&amp;'HQ2'!B743,PGĐ!$I:$I,"="&amp;'HQ2'!A743)</f>
        <v>0</v>
      </c>
      <c r="AG743" s="7">
        <f>SUMIFS(ĐMCP!$Q:$Q,ĐMCP!$P:$P,"="&amp;'HQ2'!B743,ĐMCP!$O:$O,"="&amp;'HQ2'!A743)</f>
        <v>0</v>
      </c>
      <c r="AH743" s="7">
        <f t="shared" si="11"/>
        <v>0</v>
      </c>
    </row>
    <row r="744" spans="31:34" x14ac:dyDescent="0.25">
      <c r="AE744" s="5">
        <f>SUMIFS(PGĐ!$H:$H,PGĐ!$F:$F,"="&amp;'HQ2'!B744,PGĐ!$I:$I,"="&amp;'HQ2'!A744)</f>
        <v>0</v>
      </c>
      <c r="AG744" s="7">
        <f>SUMIFS(ĐMCP!$Q:$Q,ĐMCP!$P:$P,"="&amp;'HQ2'!B744,ĐMCP!$O:$O,"="&amp;'HQ2'!A744)</f>
        <v>0</v>
      </c>
      <c r="AH744" s="7">
        <f t="shared" si="11"/>
        <v>0</v>
      </c>
    </row>
    <row r="745" spans="31:34" x14ac:dyDescent="0.25">
      <c r="AE745" s="5">
        <f>SUMIFS(PGĐ!$H:$H,PGĐ!$F:$F,"="&amp;'HQ2'!B745,PGĐ!$I:$I,"="&amp;'HQ2'!A745)</f>
        <v>0</v>
      </c>
      <c r="AG745" s="7">
        <f>SUMIFS(ĐMCP!$Q:$Q,ĐMCP!$P:$P,"="&amp;'HQ2'!B745,ĐMCP!$O:$O,"="&amp;'HQ2'!A745)</f>
        <v>0</v>
      </c>
      <c r="AH745" s="7">
        <f t="shared" si="11"/>
        <v>0</v>
      </c>
    </row>
    <row r="746" spans="31:34" x14ac:dyDescent="0.25">
      <c r="AE746" s="5">
        <f>SUMIFS(PGĐ!$H:$H,PGĐ!$F:$F,"="&amp;'HQ2'!B746,PGĐ!$I:$I,"="&amp;'HQ2'!A746)</f>
        <v>0</v>
      </c>
      <c r="AG746" s="7">
        <f>SUMIFS(ĐMCP!$Q:$Q,ĐMCP!$P:$P,"="&amp;'HQ2'!B746,ĐMCP!$O:$O,"="&amp;'HQ2'!A746)</f>
        <v>0</v>
      </c>
      <c r="AH746" s="7">
        <f t="shared" si="11"/>
        <v>0</v>
      </c>
    </row>
    <row r="747" spans="31:34" x14ac:dyDescent="0.25">
      <c r="AE747" s="5">
        <f>SUMIFS(PGĐ!$H:$H,PGĐ!$F:$F,"="&amp;'HQ2'!B747,PGĐ!$I:$I,"="&amp;'HQ2'!A747)</f>
        <v>0</v>
      </c>
      <c r="AG747" s="7">
        <f>SUMIFS(ĐMCP!$Q:$Q,ĐMCP!$P:$P,"="&amp;'HQ2'!B747,ĐMCP!$O:$O,"="&amp;'HQ2'!A747)</f>
        <v>0</v>
      </c>
      <c r="AH747" s="7">
        <f t="shared" si="11"/>
        <v>0</v>
      </c>
    </row>
    <row r="748" spans="31:34" x14ac:dyDescent="0.25">
      <c r="AE748" s="5">
        <f>SUMIFS(PGĐ!$H:$H,PGĐ!$F:$F,"="&amp;'HQ2'!B748,PGĐ!$I:$I,"="&amp;'HQ2'!A748)</f>
        <v>0</v>
      </c>
      <c r="AG748" s="7">
        <f>SUMIFS(ĐMCP!$Q:$Q,ĐMCP!$P:$P,"="&amp;'HQ2'!B748,ĐMCP!$O:$O,"="&amp;'HQ2'!A748)</f>
        <v>0</v>
      </c>
      <c r="AH748" s="7">
        <f t="shared" si="11"/>
        <v>0</v>
      </c>
    </row>
  </sheetData>
  <autoFilter ref="A2:AD748"/>
  <mergeCells count="90">
    <mergeCell ref="A667:A674"/>
    <mergeCell ref="A675:A676"/>
    <mergeCell ref="A677:A678"/>
    <mergeCell ref="A679:A686"/>
    <mergeCell ref="A576:A583"/>
    <mergeCell ref="A584:A591"/>
    <mergeCell ref="A592:A599"/>
    <mergeCell ref="A632:A639"/>
    <mergeCell ref="A640:A647"/>
    <mergeCell ref="A659:A666"/>
    <mergeCell ref="A446:A453"/>
    <mergeCell ref="A454:A461"/>
    <mergeCell ref="A462:A469"/>
    <mergeCell ref="A470:A477"/>
    <mergeCell ref="A478:A485"/>
    <mergeCell ref="A222:A229"/>
    <mergeCell ref="A230:A237"/>
    <mergeCell ref="A238:A245"/>
    <mergeCell ref="A246:A253"/>
    <mergeCell ref="A254:A261"/>
    <mergeCell ref="A318:A325"/>
    <mergeCell ref="A326:A333"/>
    <mergeCell ref="A334:A341"/>
    <mergeCell ref="A262:A269"/>
    <mergeCell ref="A270:A277"/>
    <mergeCell ref="A278:A285"/>
    <mergeCell ref="A286:A293"/>
    <mergeCell ref="A294:A301"/>
    <mergeCell ref="A3:A8"/>
    <mergeCell ref="A9:A16"/>
    <mergeCell ref="A17:A24"/>
    <mergeCell ref="A25:A28"/>
    <mergeCell ref="A142:A149"/>
    <mergeCell ref="A105:A109"/>
    <mergeCell ref="A110:A117"/>
    <mergeCell ref="A118:A125"/>
    <mergeCell ref="A126:A133"/>
    <mergeCell ref="A134:A141"/>
    <mergeCell ref="A66:A73"/>
    <mergeCell ref="A74:A81"/>
    <mergeCell ref="A82:A89"/>
    <mergeCell ref="A90:A97"/>
    <mergeCell ref="A98:A104"/>
    <mergeCell ref="A29:A33"/>
    <mergeCell ref="A510:A517"/>
    <mergeCell ref="A494:A501"/>
    <mergeCell ref="A502:A509"/>
    <mergeCell ref="A150:A157"/>
    <mergeCell ref="A158:A165"/>
    <mergeCell ref="A166:A173"/>
    <mergeCell ref="A174:A181"/>
    <mergeCell ref="A406:A413"/>
    <mergeCell ref="A382:A389"/>
    <mergeCell ref="A390:A397"/>
    <mergeCell ref="A398:A405"/>
    <mergeCell ref="A214:A221"/>
    <mergeCell ref="A182:A189"/>
    <mergeCell ref="A190:A197"/>
    <mergeCell ref="A198:A205"/>
    <mergeCell ref="A206:A213"/>
    <mergeCell ref="A518:A525"/>
    <mergeCell ref="A526:A533"/>
    <mergeCell ref="A534:A541"/>
    <mergeCell ref="A648:A650"/>
    <mergeCell ref="A651:A658"/>
    <mergeCell ref="A600:A607"/>
    <mergeCell ref="A608:A615"/>
    <mergeCell ref="A616:A623"/>
    <mergeCell ref="A624:A631"/>
    <mergeCell ref="A542:A549"/>
    <mergeCell ref="A550:A557"/>
    <mergeCell ref="A558:A559"/>
    <mergeCell ref="A560:A567"/>
    <mergeCell ref="A568:A575"/>
    <mergeCell ref="A34:A41"/>
    <mergeCell ref="A42:A49"/>
    <mergeCell ref="A50:A57"/>
    <mergeCell ref="A58:A65"/>
    <mergeCell ref="A486:A493"/>
    <mergeCell ref="A414:A421"/>
    <mergeCell ref="A422:A429"/>
    <mergeCell ref="A430:A437"/>
    <mergeCell ref="A438:A445"/>
    <mergeCell ref="A342:A349"/>
    <mergeCell ref="A350:A357"/>
    <mergeCell ref="A358:A365"/>
    <mergeCell ref="A366:A373"/>
    <mergeCell ref="A374:A381"/>
    <mergeCell ref="A302:A309"/>
    <mergeCell ref="A310:A3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T790"/>
  <sheetViews>
    <sheetView workbookViewId="0">
      <selection activeCell="L22" sqref="L22"/>
    </sheetView>
  </sheetViews>
  <sheetFormatPr defaultRowHeight="15" x14ac:dyDescent="0.25"/>
  <cols>
    <col min="1" max="1" width="20" bestFit="1" customWidth="1"/>
    <col min="2" max="2" width="17.7109375" bestFit="1" customWidth="1"/>
    <col min="16" max="16" width="36.28515625" customWidth="1"/>
    <col min="17" max="17" width="18.7109375" bestFit="1" customWidth="1"/>
    <col min="18" max="18" width="13.28515625" customWidth="1"/>
    <col min="19" max="19" width="19" style="26" bestFit="1" customWidth="1"/>
    <col min="20" max="20" width="18.7109375" style="7" bestFit="1" customWidth="1"/>
  </cols>
  <sheetData>
    <row r="1" spans="1:20" x14ac:dyDescent="0.25">
      <c r="A1" t="s">
        <v>0</v>
      </c>
      <c r="B1" s="9" t="s">
        <v>1</v>
      </c>
      <c r="C1" t="s">
        <v>2</v>
      </c>
      <c r="D1" t="s">
        <v>3</v>
      </c>
      <c r="E1" t="s">
        <v>4</v>
      </c>
      <c r="F1" t="s">
        <v>5</v>
      </c>
      <c r="G1" t="s">
        <v>6</v>
      </c>
      <c r="H1" t="s">
        <v>7</v>
      </c>
      <c r="I1" t="s">
        <v>8</v>
      </c>
      <c r="J1" t="s">
        <v>9</v>
      </c>
      <c r="K1" t="s">
        <v>10</v>
      </c>
      <c r="L1" t="s">
        <v>221</v>
      </c>
      <c r="M1" t="s">
        <v>11</v>
      </c>
      <c r="N1" t="s">
        <v>12</v>
      </c>
      <c r="O1" t="s">
        <v>13</v>
      </c>
      <c r="S1" s="26" t="s">
        <v>283</v>
      </c>
      <c r="T1" s="7" t="s">
        <v>367</v>
      </c>
    </row>
    <row r="2" spans="1:20" x14ac:dyDescent="0.25">
      <c r="A2" t="s">
        <v>14</v>
      </c>
      <c r="B2" s="9" t="s">
        <v>230</v>
      </c>
      <c r="C2">
        <v>-72962508</v>
      </c>
      <c r="D2">
        <v>0</v>
      </c>
      <c r="E2">
        <v>-716276692</v>
      </c>
      <c r="F2">
        <v>3311144272</v>
      </c>
      <c r="G2">
        <v>979403721</v>
      </c>
      <c r="H2">
        <v>127207875</v>
      </c>
      <c r="I2">
        <v>0</v>
      </c>
      <c r="J2">
        <v>0</v>
      </c>
      <c r="K2">
        <v>3238181764</v>
      </c>
      <c r="L2">
        <v>716276692</v>
      </c>
      <c r="M2" t="s">
        <v>15</v>
      </c>
      <c r="N2">
        <v>1</v>
      </c>
      <c r="O2">
        <v>1</v>
      </c>
      <c r="P2" t="str">
        <f>VLOOKUP(B2,'CHECK_DT-BT_chi_tiet'!$A:$C,3,FALSE)</f>
        <v>TSC-Ban KD Bảo hiểm sức khỏe</v>
      </c>
      <c r="Q2" t="str">
        <f>VLOOKUP(A2,Sheet3!$K$11:$L$21,2,FALSE)</f>
        <v>BH Con người</v>
      </c>
      <c r="R2" t="str">
        <f>VLOOKUP(Q2,Sheet3!$L$11:$M$21,2,FALSE)</f>
        <v>HQ1</v>
      </c>
      <c r="S2" s="26">
        <f>SUMIFS('HQ2'!$O:$O,'HQ2'!$B:$B, "="&amp;'Tong_hop_HQNV_2026Q1_2026-06-23'!Q2, 'HQ2'!$A:$A,"="&amp;'Tong_hop_HQNV_2026Q1_2026-06-23'!P2)</f>
        <v>0</v>
      </c>
      <c r="T2" s="7">
        <f>IFERROR(IF(R2="HQ2",S2-G2,0),0)</f>
        <v>0</v>
      </c>
    </row>
    <row r="3" spans="1:20" x14ac:dyDescent="0.25">
      <c r="A3" t="s">
        <v>14</v>
      </c>
      <c r="B3" s="9" t="s">
        <v>352</v>
      </c>
      <c r="C3">
        <v>-51675241</v>
      </c>
      <c r="D3">
        <v>0</v>
      </c>
      <c r="E3">
        <v>-731147000</v>
      </c>
      <c r="F3">
        <v>1194968523</v>
      </c>
      <c r="G3">
        <v>0</v>
      </c>
      <c r="H3">
        <v>0</v>
      </c>
      <c r="I3">
        <v>0</v>
      </c>
      <c r="J3">
        <v>0</v>
      </c>
      <c r="K3">
        <v>1143293282</v>
      </c>
      <c r="L3">
        <v>731147000</v>
      </c>
      <c r="M3" t="s">
        <v>15</v>
      </c>
      <c r="N3">
        <v>1</v>
      </c>
      <c r="O3">
        <v>1</v>
      </c>
      <c r="P3" t="str">
        <f>VLOOKUP(B3,'CHECK_DT-BT_chi_tiet'!$A:$C,3,FALSE)</f>
        <v>BV Thăng Long</v>
      </c>
      <c r="Q3" t="str">
        <f>VLOOKUP(A3,Sheet3!$K$11:$L$21,2,FALSE)</f>
        <v>BH Con người</v>
      </c>
      <c r="R3" t="str">
        <f>VLOOKUP(Q3,Sheet3!$L$11:$M$21,2,FALSE)</f>
        <v>HQ1</v>
      </c>
      <c r="S3" s="26">
        <f>SUMIFS('HQ2'!$O:$O,'HQ2'!$B:$B, "="&amp;'Tong_hop_HQNV_2026Q1_2026-06-23'!Q3, 'HQ2'!$A:$A,"="&amp;'Tong_hop_HQNV_2026Q1_2026-06-23'!P3)</f>
        <v>0</v>
      </c>
      <c r="T3" s="7">
        <f t="shared" ref="T3:T66" si="0">IFERROR(IF(R3="HQ2",S3-G3,0),0)</f>
        <v>0</v>
      </c>
    </row>
    <row r="4" spans="1:20" x14ac:dyDescent="0.25">
      <c r="A4" t="s">
        <v>14</v>
      </c>
      <c r="B4" s="9" t="s">
        <v>285</v>
      </c>
      <c r="C4">
        <v>-5815134</v>
      </c>
      <c r="D4">
        <v>0</v>
      </c>
      <c r="E4">
        <v>-47545756</v>
      </c>
      <c r="F4">
        <v>1693054555</v>
      </c>
      <c r="G4">
        <v>0</v>
      </c>
      <c r="H4">
        <v>0</v>
      </c>
      <c r="I4">
        <v>0</v>
      </c>
      <c r="J4">
        <v>0</v>
      </c>
      <c r="K4">
        <v>1687239421</v>
      </c>
      <c r="L4">
        <v>47545756</v>
      </c>
      <c r="M4" t="s">
        <v>15</v>
      </c>
      <c r="N4">
        <v>1</v>
      </c>
      <c r="O4">
        <v>1</v>
      </c>
      <c r="P4" t="str">
        <f>VLOOKUP(B4,'CHECK_DT-BT_chi_tiet'!$A:$C,3,FALSE)</f>
        <v>BV An Phú</v>
      </c>
      <c r="Q4" t="str">
        <f>VLOOKUP(A4,Sheet3!$K$11:$L$21,2,FALSE)</f>
        <v>BH Con người</v>
      </c>
      <c r="R4" t="str">
        <f>VLOOKUP(Q4,Sheet3!$L$11:$M$21,2,FALSE)</f>
        <v>HQ1</v>
      </c>
      <c r="S4" s="26">
        <f>SUMIFS('HQ2'!$O:$O,'HQ2'!$B:$B, "="&amp;'Tong_hop_HQNV_2026Q1_2026-06-23'!Q4, 'HQ2'!$A:$A,"="&amp;'Tong_hop_HQNV_2026Q1_2026-06-23'!P4)</f>
        <v>0</v>
      </c>
      <c r="T4" s="7">
        <f t="shared" si="0"/>
        <v>0</v>
      </c>
    </row>
    <row r="5" spans="1:20" x14ac:dyDescent="0.25">
      <c r="A5" t="s">
        <v>14</v>
      </c>
      <c r="B5" s="9" t="s">
        <v>286</v>
      </c>
      <c r="C5">
        <v>-28921</v>
      </c>
      <c r="D5">
        <v>0</v>
      </c>
      <c r="E5">
        <v>-354027335</v>
      </c>
      <c r="F5">
        <v>1061887999</v>
      </c>
      <c r="G5">
        <v>0</v>
      </c>
      <c r="H5">
        <v>0</v>
      </c>
      <c r="I5">
        <v>0</v>
      </c>
      <c r="J5">
        <v>0</v>
      </c>
      <c r="K5">
        <v>1061859078</v>
      </c>
      <c r="L5">
        <v>354027335</v>
      </c>
      <c r="M5" t="s">
        <v>15</v>
      </c>
      <c r="N5">
        <v>1</v>
      </c>
      <c r="O5">
        <v>1</v>
      </c>
      <c r="P5" t="str">
        <f>VLOOKUP(B5,'CHECK_DT-BT_chi_tiet'!$A:$C,3,FALSE)</f>
        <v>BV Bà Rịa - Vũng Tàu</v>
      </c>
      <c r="Q5" t="str">
        <f>VLOOKUP(A5,Sheet3!$K$11:$L$21,2,FALSE)</f>
        <v>BH Con người</v>
      </c>
      <c r="R5" t="str">
        <f>VLOOKUP(Q5,Sheet3!$L$11:$M$21,2,FALSE)</f>
        <v>HQ1</v>
      </c>
      <c r="S5" s="26">
        <f>SUMIFS('HQ2'!$O:$O,'HQ2'!$B:$B, "="&amp;'Tong_hop_HQNV_2026Q1_2026-06-23'!Q5, 'HQ2'!$A:$A,"="&amp;'Tong_hop_HQNV_2026Q1_2026-06-23'!P5)</f>
        <v>0</v>
      </c>
      <c r="T5" s="7">
        <f t="shared" si="0"/>
        <v>0</v>
      </c>
    </row>
    <row r="6" spans="1:20" x14ac:dyDescent="0.25">
      <c r="A6" t="s">
        <v>14</v>
      </c>
      <c r="B6" s="9" t="s">
        <v>313</v>
      </c>
      <c r="C6">
        <v>-531260345</v>
      </c>
      <c r="D6">
        <v>-6809795</v>
      </c>
      <c r="E6">
        <v>-2080072600</v>
      </c>
      <c r="F6">
        <v>9306220221</v>
      </c>
      <c r="G6">
        <v>227782004</v>
      </c>
      <c r="H6">
        <v>37830000</v>
      </c>
      <c r="I6">
        <v>0</v>
      </c>
      <c r="J6">
        <v>0</v>
      </c>
      <c r="K6">
        <v>8768150081</v>
      </c>
      <c r="L6">
        <v>2080072600</v>
      </c>
      <c r="M6" t="s">
        <v>15</v>
      </c>
      <c r="N6">
        <v>1</v>
      </c>
      <c r="O6">
        <v>1</v>
      </c>
      <c r="P6" t="str">
        <f>VLOOKUP(B6,'CHECK_DT-BT_chi_tiet'!$A:$C,3,FALSE)</f>
        <v>BV Hà Nội</v>
      </c>
      <c r="Q6" t="str">
        <f>VLOOKUP(A6,Sheet3!$K$11:$L$21,2,FALSE)</f>
        <v>BH Con người</v>
      </c>
      <c r="R6" t="str">
        <f>VLOOKUP(Q6,Sheet3!$L$11:$M$21,2,FALSE)</f>
        <v>HQ1</v>
      </c>
      <c r="S6" s="26">
        <f>SUMIFS('HQ2'!$O:$O,'HQ2'!$B:$B, "="&amp;'Tong_hop_HQNV_2026Q1_2026-06-23'!Q6, 'HQ2'!$A:$A,"="&amp;'Tong_hop_HQNV_2026Q1_2026-06-23'!P6)</f>
        <v>0</v>
      </c>
      <c r="T6" s="7">
        <f t="shared" si="0"/>
        <v>0</v>
      </c>
    </row>
    <row r="7" spans="1:20" x14ac:dyDescent="0.25">
      <c r="A7" t="s">
        <v>14</v>
      </c>
      <c r="B7" s="9" t="s">
        <v>345</v>
      </c>
      <c r="C7">
        <v>-26430447</v>
      </c>
      <c r="D7">
        <v>-88684963</v>
      </c>
      <c r="E7">
        <v>-1299041929</v>
      </c>
      <c r="F7">
        <v>5182399112</v>
      </c>
      <c r="G7">
        <v>552529807</v>
      </c>
      <c r="H7">
        <v>44195493</v>
      </c>
      <c r="I7">
        <v>0</v>
      </c>
      <c r="J7">
        <v>0</v>
      </c>
      <c r="K7">
        <v>5067283702</v>
      </c>
      <c r="L7">
        <v>1299041929</v>
      </c>
      <c r="M7" t="s">
        <v>15</v>
      </c>
      <c r="N7">
        <v>1</v>
      </c>
      <c r="O7">
        <v>1</v>
      </c>
      <c r="P7" t="str">
        <f>VLOOKUP(B7,'CHECK_DT-BT_chi_tiet'!$A:$C,3,FALSE)</f>
        <v>BV Sài Gòn</v>
      </c>
      <c r="Q7" t="str">
        <f>VLOOKUP(A7,Sheet3!$K$11:$L$21,2,FALSE)</f>
        <v>BH Con người</v>
      </c>
      <c r="R7" t="str">
        <f>VLOOKUP(Q7,Sheet3!$L$11:$M$21,2,FALSE)</f>
        <v>HQ1</v>
      </c>
      <c r="S7" s="26">
        <f>SUMIFS('HQ2'!$O:$O,'HQ2'!$B:$B, "="&amp;'Tong_hop_HQNV_2026Q1_2026-06-23'!Q7, 'HQ2'!$A:$A,"="&amp;'Tong_hop_HQNV_2026Q1_2026-06-23'!P7)</f>
        <v>0</v>
      </c>
      <c r="T7" s="7">
        <f t="shared" si="0"/>
        <v>0</v>
      </c>
    </row>
    <row r="8" spans="1:20" x14ac:dyDescent="0.25">
      <c r="A8" t="s">
        <v>14</v>
      </c>
      <c r="B8" s="9" t="s">
        <v>355</v>
      </c>
      <c r="C8">
        <v>-2057000</v>
      </c>
      <c r="D8">
        <v>-6824772</v>
      </c>
      <c r="E8">
        <v>-2027793873</v>
      </c>
      <c r="F8">
        <v>3246258243</v>
      </c>
      <c r="G8">
        <v>74310000</v>
      </c>
      <c r="H8">
        <v>66630000</v>
      </c>
      <c r="I8">
        <v>0</v>
      </c>
      <c r="J8">
        <v>0</v>
      </c>
      <c r="K8">
        <v>3237376471</v>
      </c>
      <c r="L8">
        <v>2027793873</v>
      </c>
      <c r="M8" t="s">
        <v>15</v>
      </c>
      <c r="N8">
        <v>1</v>
      </c>
      <c r="O8">
        <v>1</v>
      </c>
      <c r="P8" t="str">
        <f>VLOOKUP(B8,'CHECK_DT-BT_chi_tiet'!$A:$C,3,FALSE)</f>
        <v>BV Thừa Thiên Huế</v>
      </c>
      <c r="Q8" t="str">
        <f>VLOOKUP(A8,Sheet3!$K$11:$L$21,2,FALSE)</f>
        <v>BH Con người</v>
      </c>
      <c r="R8" t="str">
        <f>VLOOKUP(Q8,Sheet3!$L$11:$M$21,2,FALSE)</f>
        <v>HQ1</v>
      </c>
      <c r="S8" s="26">
        <f>SUMIFS('HQ2'!$O:$O,'HQ2'!$B:$B, "="&amp;'Tong_hop_HQNV_2026Q1_2026-06-23'!Q8, 'HQ2'!$A:$A,"="&amp;'Tong_hop_HQNV_2026Q1_2026-06-23'!P8)</f>
        <v>0</v>
      </c>
      <c r="T8" s="7">
        <f t="shared" si="0"/>
        <v>0</v>
      </c>
    </row>
    <row r="9" spans="1:20" x14ac:dyDescent="0.25">
      <c r="A9" t="s">
        <v>14</v>
      </c>
      <c r="B9" s="9" t="s">
        <v>331</v>
      </c>
      <c r="C9">
        <v>0</v>
      </c>
      <c r="D9">
        <v>0</v>
      </c>
      <c r="E9">
        <v>-270165248</v>
      </c>
      <c r="F9">
        <v>1408884977</v>
      </c>
      <c r="G9">
        <v>260897645</v>
      </c>
      <c r="H9">
        <v>52125906</v>
      </c>
      <c r="I9">
        <v>0</v>
      </c>
      <c r="J9">
        <v>0</v>
      </c>
      <c r="K9">
        <v>1408884977</v>
      </c>
      <c r="L9">
        <v>270165248</v>
      </c>
      <c r="M9" t="s">
        <v>15</v>
      </c>
      <c r="N9">
        <v>1</v>
      </c>
      <c r="O9">
        <v>1</v>
      </c>
      <c r="P9" t="str">
        <f>VLOOKUP(B9,'CHECK_DT-BT_chi_tiet'!$A:$C,3,FALSE)</f>
        <v>BV Nam Bình Dương</v>
      </c>
      <c r="Q9" t="str">
        <f>VLOOKUP(A9,Sheet3!$K$11:$L$21,2,FALSE)</f>
        <v>BH Con người</v>
      </c>
      <c r="R9" t="str">
        <f>VLOOKUP(Q9,Sheet3!$L$11:$M$21,2,FALSE)</f>
        <v>HQ1</v>
      </c>
      <c r="S9" s="26">
        <f>SUMIFS('HQ2'!$O:$O,'HQ2'!$B:$B, "="&amp;'Tong_hop_HQNV_2026Q1_2026-06-23'!Q9, 'HQ2'!$A:$A,"="&amp;'Tong_hop_HQNV_2026Q1_2026-06-23'!P9)</f>
        <v>0</v>
      </c>
      <c r="T9" s="7">
        <f t="shared" si="0"/>
        <v>0</v>
      </c>
    </row>
    <row r="10" spans="1:20" x14ac:dyDescent="0.25">
      <c r="A10" t="s">
        <v>14</v>
      </c>
      <c r="B10" s="9" t="s">
        <v>336</v>
      </c>
      <c r="C10">
        <v>-387641</v>
      </c>
      <c r="D10">
        <v>0</v>
      </c>
      <c r="E10">
        <v>-57807460</v>
      </c>
      <c r="F10">
        <v>362422104</v>
      </c>
      <c r="G10">
        <v>142757778</v>
      </c>
      <c r="H10">
        <v>15606933</v>
      </c>
      <c r="I10">
        <v>0</v>
      </c>
      <c r="J10">
        <v>0</v>
      </c>
      <c r="K10">
        <v>362034463</v>
      </c>
      <c r="L10">
        <v>57807460</v>
      </c>
      <c r="M10" t="s">
        <v>15</v>
      </c>
      <c r="N10">
        <v>1</v>
      </c>
      <c r="O10">
        <v>1</v>
      </c>
      <c r="P10" t="str">
        <f>VLOOKUP(B10,'CHECK_DT-BT_chi_tiet'!$A:$C,3,FALSE)</f>
        <v>BV Phú Mỹ</v>
      </c>
      <c r="Q10" t="str">
        <f>VLOOKUP(A10,Sheet3!$K$11:$L$21,2,FALSE)</f>
        <v>BH Con người</v>
      </c>
      <c r="R10" t="str">
        <f>VLOOKUP(Q10,Sheet3!$L$11:$M$21,2,FALSE)</f>
        <v>HQ1</v>
      </c>
      <c r="S10" s="26">
        <f>SUMIFS('HQ2'!$O:$O,'HQ2'!$B:$B, "="&amp;'Tong_hop_HQNV_2026Q1_2026-06-23'!Q10, 'HQ2'!$A:$A,"="&amp;'Tong_hop_HQNV_2026Q1_2026-06-23'!P10)</f>
        <v>0</v>
      </c>
      <c r="T10" s="7">
        <f t="shared" si="0"/>
        <v>0</v>
      </c>
    </row>
    <row r="11" spans="1:20" x14ac:dyDescent="0.25">
      <c r="A11" t="s">
        <v>14</v>
      </c>
      <c r="B11" s="9" t="s">
        <v>354</v>
      </c>
      <c r="C11">
        <v>0</v>
      </c>
      <c r="D11">
        <v>0</v>
      </c>
      <c r="E11">
        <v>-128877882</v>
      </c>
      <c r="F11">
        <v>1972162099</v>
      </c>
      <c r="G11">
        <v>0</v>
      </c>
      <c r="H11">
        <v>0</v>
      </c>
      <c r="I11">
        <v>0</v>
      </c>
      <c r="J11">
        <v>0</v>
      </c>
      <c r="K11">
        <v>1972162099</v>
      </c>
      <c r="L11">
        <v>128877882</v>
      </c>
      <c r="M11" t="s">
        <v>15</v>
      </c>
      <c r="N11">
        <v>1</v>
      </c>
      <c r="O11">
        <v>1</v>
      </c>
      <c r="P11" t="str">
        <f>VLOOKUP(B11,'CHECK_DT-BT_chi_tiet'!$A:$C,3,FALSE)</f>
        <v>BV Thành phố HCM</v>
      </c>
      <c r="Q11" t="str">
        <f>VLOOKUP(A11,Sheet3!$K$11:$L$21,2,FALSE)</f>
        <v>BH Con người</v>
      </c>
      <c r="R11" t="str">
        <f>VLOOKUP(Q11,Sheet3!$L$11:$M$21,2,FALSE)</f>
        <v>HQ1</v>
      </c>
      <c r="S11" s="26">
        <f>SUMIFS('HQ2'!$O:$O,'HQ2'!$B:$B, "="&amp;'Tong_hop_HQNV_2026Q1_2026-06-23'!Q11, 'HQ2'!$A:$A,"="&amp;'Tong_hop_HQNV_2026Q1_2026-06-23'!P11)</f>
        <v>0</v>
      </c>
      <c r="T11" s="7">
        <f t="shared" si="0"/>
        <v>0</v>
      </c>
    </row>
    <row r="12" spans="1:20" x14ac:dyDescent="0.25">
      <c r="A12" t="s">
        <v>16</v>
      </c>
      <c r="B12" s="9" t="s">
        <v>336</v>
      </c>
      <c r="C12">
        <v>-230000</v>
      </c>
      <c r="D12">
        <v>-564480</v>
      </c>
      <c r="E12">
        <v>-11482276</v>
      </c>
      <c r="F12">
        <v>229401700</v>
      </c>
      <c r="G12" s="92">
        <v>12000000</v>
      </c>
      <c r="H12" s="92">
        <v>12000000</v>
      </c>
      <c r="I12">
        <v>0</v>
      </c>
      <c r="J12">
        <v>0</v>
      </c>
      <c r="K12">
        <v>228607220</v>
      </c>
      <c r="L12">
        <v>11482276</v>
      </c>
      <c r="M12" t="s">
        <v>17</v>
      </c>
      <c r="N12">
        <v>1</v>
      </c>
      <c r="O12">
        <v>1</v>
      </c>
      <c r="P12" t="str">
        <f>VLOOKUP(B12,'CHECK_DT-BT_chi_tiet'!$A:$C,3,FALSE)</f>
        <v>BV Phú Mỹ</v>
      </c>
      <c r="Q12" t="str">
        <f>VLOOKUP(A12,Sheet3!$K$11:$L$21,2,FALSE)</f>
        <v>BH Du lịch</v>
      </c>
      <c r="R12" t="str">
        <f>VLOOKUP(Q12,Sheet3!$L$11:$M$21,2,FALSE)</f>
        <v>HQ1</v>
      </c>
      <c r="S12" s="26">
        <f>SUMIFS('HQ2'!$O:$O,'HQ2'!$B:$B, "="&amp;'Tong_hop_HQNV_2026Q1_2026-06-23'!Q12, 'HQ2'!$A:$A,"="&amp;'Tong_hop_HQNV_2026Q1_2026-06-23'!P12)</f>
        <v>0</v>
      </c>
      <c r="T12" s="7">
        <f t="shared" si="0"/>
        <v>0</v>
      </c>
    </row>
    <row r="13" spans="1:20" x14ac:dyDescent="0.25">
      <c r="A13" t="s">
        <v>18</v>
      </c>
      <c r="B13" s="9" t="s">
        <v>223</v>
      </c>
      <c r="C13">
        <v>-129266085</v>
      </c>
      <c r="D13">
        <v>0</v>
      </c>
      <c r="E13">
        <v>-5631285405</v>
      </c>
      <c r="F13">
        <v>11882252093</v>
      </c>
      <c r="G13">
        <v>8682953653.0200005</v>
      </c>
      <c r="H13">
        <v>309235980</v>
      </c>
      <c r="I13">
        <v>0</v>
      </c>
      <c r="J13">
        <v>0</v>
      </c>
      <c r="K13">
        <v>11752986008</v>
      </c>
      <c r="L13">
        <v>5631285405</v>
      </c>
      <c r="M13" t="s">
        <v>17</v>
      </c>
      <c r="N13" t="s">
        <v>19</v>
      </c>
      <c r="O13" t="s">
        <v>20</v>
      </c>
      <c r="P13" t="str">
        <f>VLOOKUP(B13,'CHECK_DT-BT_chi_tiet'!$A:$C,3,FALSE)</f>
        <v>TSC-Ban KDBH Hàng hóa</v>
      </c>
      <c r="Q13" t="str">
        <f>VLOOKUP(A13,Sheet3!$K$11:$L$21,2,FALSE)</f>
        <v>BH Hàng hóa</v>
      </c>
      <c r="R13" t="str">
        <f>VLOOKUP(Q13,Sheet3!$L$11:$M$21,2,FALSE)</f>
        <v>HQ2</v>
      </c>
      <c r="S13" s="26">
        <f>SUMIFS('HQ2'!$O:$O,'HQ2'!$B:$B, "="&amp;'Tong_hop_HQNV_2026Q1_2026-06-23'!Q13, 'HQ2'!$A:$A,"="&amp;'Tong_hop_HQNV_2026Q1_2026-06-23'!P13)</f>
        <v>8682953653.3500004</v>
      </c>
      <c r="T13" s="7">
        <f t="shared" si="0"/>
        <v>0.32999992370605469</v>
      </c>
    </row>
    <row r="14" spans="1:20" x14ac:dyDescent="0.25">
      <c r="A14" t="s">
        <v>18</v>
      </c>
      <c r="B14" s="9" t="s">
        <v>231</v>
      </c>
      <c r="C14">
        <v>-378516443</v>
      </c>
      <c r="D14">
        <v>0</v>
      </c>
      <c r="E14">
        <v>0</v>
      </c>
      <c r="F14">
        <v>1490394555</v>
      </c>
      <c r="G14">
        <v>55348645767.480003</v>
      </c>
      <c r="H14">
        <v>0</v>
      </c>
      <c r="I14">
        <v>0</v>
      </c>
      <c r="J14">
        <v>0</v>
      </c>
      <c r="K14">
        <v>1111878112</v>
      </c>
      <c r="L14">
        <v>0</v>
      </c>
      <c r="M14" t="s">
        <v>17</v>
      </c>
      <c r="N14" t="s">
        <v>19</v>
      </c>
      <c r="O14" t="s">
        <v>20</v>
      </c>
      <c r="P14" t="str">
        <f>VLOOKUP(B14,'CHECK_DT-BT_chi_tiet'!$A:$C,3,FALSE)</f>
        <v>TSC-Ban Khách hàng doanh nghiệp</v>
      </c>
      <c r="Q14" t="str">
        <f>VLOOKUP(A14,Sheet3!$K$11:$L$21,2,FALSE)</f>
        <v>BH Hàng hóa</v>
      </c>
      <c r="R14" t="str">
        <f>VLOOKUP(Q14,Sheet3!$L$11:$M$21,2,FALSE)</f>
        <v>HQ2</v>
      </c>
      <c r="S14" s="26">
        <f>SUMIFS('HQ2'!$O:$O,'HQ2'!$B:$B, "="&amp;'Tong_hop_HQNV_2026Q1_2026-06-23'!Q14, 'HQ2'!$A:$A,"="&amp;'Tong_hop_HQNV_2026Q1_2026-06-23'!P14)</f>
        <v>55348645768</v>
      </c>
      <c r="T14" s="7">
        <f t="shared" si="0"/>
        <v>0.51999664306640625</v>
      </c>
    </row>
    <row r="15" spans="1:20" x14ac:dyDescent="0.25">
      <c r="A15" t="s">
        <v>18</v>
      </c>
      <c r="B15" s="9" t="s">
        <v>294</v>
      </c>
      <c r="C15">
        <v>0</v>
      </c>
      <c r="D15">
        <v>0</v>
      </c>
      <c r="E15">
        <v>-15440443</v>
      </c>
      <c r="F15">
        <v>3533621088</v>
      </c>
      <c r="G15">
        <v>2502536720</v>
      </c>
      <c r="H15">
        <v>1318149319</v>
      </c>
      <c r="I15">
        <v>15440443</v>
      </c>
      <c r="J15">
        <v>15440443</v>
      </c>
      <c r="K15">
        <v>3533621088</v>
      </c>
      <c r="L15">
        <v>15440443</v>
      </c>
      <c r="M15" t="s">
        <v>17</v>
      </c>
      <c r="N15" t="s">
        <v>19</v>
      </c>
      <c r="O15" t="s">
        <v>20</v>
      </c>
      <c r="P15" t="str">
        <f>VLOOKUP(B15,'CHECK_DT-BT_chi_tiet'!$A:$C,3,FALSE)</f>
        <v>BV Bình Dương</v>
      </c>
      <c r="Q15" t="str">
        <f>VLOOKUP(A15,Sheet3!$K$11:$L$21,2,FALSE)</f>
        <v>BH Hàng hóa</v>
      </c>
      <c r="R15" t="str">
        <f>VLOOKUP(Q15,Sheet3!$L$11:$M$21,2,FALSE)</f>
        <v>HQ2</v>
      </c>
      <c r="S15" s="26">
        <f>SUMIFS('HQ2'!$O:$O,'HQ2'!$B:$B, "="&amp;'Tong_hop_HQNV_2026Q1_2026-06-23'!Q15, 'HQ2'!$A:$A,"="&amp;'Tong_hop_HQNV_2026Q1_2026-06-23'!P15)</f>
        <v>2502536720.0999999</v>
      </c>
      <c r="T15" s="7">
        <f t="shared" si="0"/>
        <v>9.9999904632568359E-2</v>
      </c>
    </row>
    <row r="16" spans="1:20" x14ac:dyDescent="0.25">
      <c r="A16" t="s">
        <v>18</v>
      </c>
      <c r="B16" s="9" t="s">
        <v>308</v>
      </c>
      <c r="C16">
        <v>-199105512</v>
      </c>
      <c r="D16">
        <v>0</v>
      </c>
      <c r="E16">
        <v>-930009750</v>
      </c>
      <c r="F16">
        <v>3649416523</v>
      </c>
      <c r="G16">
        <v>0</v>
      </c>
      <c r="H16">
        <v>0</v>
      </c>
      <c r="I16">
        <v>953768420.95000005</v>
      </c>
      <c r="J16">
        <v>681669420.95000005</v>
      </c>
      <c r="K16">
        <v>3450311011</v>
      </c>
      <c r="L16">
        <v>930009750</v>
      </c>
      <c r="M16" t="s">
        <v>17</v>
      </c>
      <c r="N16" t="s">
        <v>19</v>
      </c>
      <c r="O16" t="s">
        <v>20</v>
      </c>
      <c r="P16" t="str">
        <f>VLOOKUP(B16,'CHECK_DT-BT_chi_tiet'!$A:$C,3,FALSE)</f>
        <v>BV Đồng Tháp</v>
      </c>
      <c r="Q16" t="str">
        <f>VLOOKUP(A16,Sheet3!$K$11:$L$21,2,FALSE)</f>
        <v>BH Hàng hóa</v>
      </c>
      <c r="R16" t="str">
        <f>VLOOKUP(Q16,Sheet3!$L$11:$M$21,2,FALSE)</f>
        <v>HQ2</v>
      </c>
      <c r="S16" s="26">
        <f>SUMIFS('HQ2'!$O:$O,'HQ2'!$B:$B, "="&amp;'Tong_hop_HQNV_2026Q1_2026-06-23'!Q16, 'HQ2'!$A:$A,"="&amp;'Tong_hop_HQNV_2026Q1_2026-06-23'!P16)</f>
        <v>0</v>
      </c>
      <c r="T16" s="7">
        <f t="shared" si="0"/>
        <v>0</v>
      </c>
    </row>
    <row r="17" spans="1:20" x14ac:dyDescent="0.25">
      <c r="A17" t="s">
        <v>18</v>
      </c>
      <c r="B17" s="9" t="s">
        <v>313</v>
      </c>
      <c r="C17">
        <v>-28592961</v>
      </c>
      <c r="D17">
        <v>0</v>
      </c>
      <c r="E17">
        <v>-24820028</v>
      </c>
      <c r="F17">
        <v>3835642333</v>
      </c>
      <c r="G17">
        <v>160164000</v>
      </c>
      <c r="H17">
        <v>0</v>
      </c>
      <c r="I17">
        <v>0</v>
      </c>
      <c r="J17">
        <v>0</v>
      </c>
      <c r="K17">
        <v>3807049372</v>
      </c>
      <c r="L17">
        <v>24820028</v>
      </c>
      <c r="M17" t="s">
        <v>17</v>
      </c>
      <c r="N17" t="s">
        <v>19</v>
      </c>
      <c r="O17" t="s">
        <v>20</v>
      </c>
      <c r="P17" t="str">
        <f>VLOOKUP(B17,'CHECK_DT-BT_chi_tiet'!$A:$C,3,FALSE)</f>
        <v>BV Hà Nội</v>
      </c>
      <c r="Q17" t="str">
        <f>VLOOKUP(A17,Sheet3!$K$11:$L$21,2,FALSE)</f>
        <v>BH Hàng hóa</v>
      </c>
      <c r="R17" t="str">
        <f>VLOOKUP(Q17,Sheet3!$L$11:$M$21,2,FALSE)</f>
        <v>HQ2</v>
      </c>
      <c r="S17" s="26">
        <f>SUMIFS('HQ2'!$O:$O,'HQ2'!$B:$B, "="&amp;'Tong_hop_HQNV_2026Q1_2026-06-23'!Q17, 'HQ2'!$A:$A,"="&amp;'Tong_hop_HQNV_2026Q1_2026-06-23'!P17)</f>
        <v>160164000</v>
      </c>
      <c r="T17" s="7">
        <f t="shared" si="0"/>
        <v>0</v>
      </c>
    </row>
    <row r="18" spans="1:20" x14ac:dyDescent="0.25">
      <c r="A18" t="s">
        <v>18</v>
      </c>
      <c r="B18" s="9" t="s">
        <v>345</v>
      </c>
      <c r="C18">
        <v>-615957415</v>
      </c>
      <c r="D18">
        <v>-265883637</v>
      </c>
      <c r="E18">
        <v>-5913718324</v>
      </c>
      <c r="F18">
        <v>23168652492</v>
      </c>
      <c r="G18">
        <v>9449118318.6800003</v>
      </c>
      <c r="H18">
        <v>2732640886.1900001</v>
      </c>
      <c r="I18">
        <v>6096489669</v>
      </c>
      <c r="J18">
        <v>1849513138.8099999</v>
      </c>
      <c r="K18">
        <v>22286811440</v>
      </c>
      <c r="L18">
        <v>5913718324</v>
      </c>
      <c r="M18" t="s">
        <v>17</v>
      </c>
      <c r="N18" t="s">
        <v>19</v>
      </c>
      <c r="O18" t="s">
        <v>20</v>
      </c>
      <c r="P18" t="str">
        <f>VLOOKUP(B18,'CHECK_DT-BT_chi_tiet'!$A:$C,3,FALSE)</f>
        <v>BV Sài Gòn</v>
      </c>
      <c r="Q18" t="str">
        <f>VLOOKUP(A18,Sheet3!$K$11:$L$21,2,FALSE)</f>
        <v>BH Hàng hóa</v>
      </c>
      <c r="R18" t="str">
        <f>VLOOKUP(Q18,Sheet3!$L$11:$M$21,2,FALSE)</f>
        <v>HQ2</v>
      </c>
      <c r="S18" s="26">
        <f>SUMIFS('HQ2'!$O:$O,'HQ2'!$B:$B, "="&amp;'Tong_hop_HQNV_2026Q1_2026-06-23'!Q18, 'HQ2'!$A:$A,"="&amp;'Tong_hop_HQNV_2026Q1_2026-06-23'!P18)</f>
        <v>9449118318.3999996</v>
      </c>
      <c r="T18" s="7">
        <f t="shared" si="0"/>
        <v>-0.28000068664550781</v>
      </c>
    </row>
    <row r="19" spans="1:20" x14ac:dyDescent="0.25">
      <c r="A19" t="s">
        <v>18</v>
      </c>
      <c r="B19" s="9" t="s">
        <v>331</v>
      </c>
      <c r="C19">
        <v>0</v>
      </c>
      <c r="D19">
        <v>0</v>
      </c>
      <c r="E19">
        <v>-1834907670</v>
      </c>
      <c r="F19">
        <v>8626129701</v>
      </c>
      <c r="G19">
        <v>1705091909.3900001</v>
      </c>
      <c r="H19">
        <v>785804383.72000003</v>
      </c>
      <c r="I19">
        <v>1966476715</v>
      </c>
      <c r="J19">
        <v>666788659</v>
      </c>
      <c r="K19">
        <v>8626129701</v>
      </c>
      <c r="L19">
        <v>1834907670</v>
      </c>
      <c r="M19" t="s">
        <v>17</v>
      </c>
      <c r="N19" t="s">
        <v>19</v>
      </c>
      <c r="O19" t="s">
        <v>20</v>
      </c>
      <c r="P19" t="str">
        <f>VLOOKUP(B19,'CHECK_DT-BT_chi_tiet'!$A:$C,3,FALSE)</f>
        <v>BV Nam Bình Dương</v>
      </c>
      <c r="Q19" t="str">
        <f>VLOOKUP(A19,Sheet3!$K$11:$L$21,2,FALSE)</f>
        <v>BH Hàng hóa</v>
      </c>
      <c r="R19" t="str">
        <f>VLOOKUP(Q19,Sheet3!$L$11:$M$21,2,FALSE)</f>
        <v>HQ2</v>
      </c>
      <c r="S19" s="26">
        <f>SUMIFS('HQ2'!$O:$O,'HQ2'!$B:$B, "="&amp;'Tong_hop_HQNV_2026Q1_2026-06-23'!Q19, 'HQ2'!$A:$A,"="&amp;'Tong_hop_HQNV_2026Q1_2026-06-23'!P19)</f>
        <v>1705091909.4200001</v>
      </c>
      <c r="T19" s="7">
        <f t="shared" si="0"/>
        <v>2.9999971389770508E-2</v>
      </c>
    </row>
    <row r="20" spans="1:20" x14ac:dyDescent="0.25">
      <c r="A20" t="s">
        <v>18</v>
      </c>
      <c r="B20" s="9" t="s">
        <v>336</v>
      </c>
      <c r="C20">
        <v>-601637</v>
      </c>
      <c r="D20">
        <v>0</v>
      </c>
      <c r="E20">
        <v>0</v>
      </c>
      <c r="F20">
        <v>581233672</v>
      </c>
      <c r="G20">
        <v>105774100</v>
      </c>
      <c r="H20">
        <v>15774100</v>
      </c>
      <c r="I20">
        <v>8625973</v>
      </c>
      <c r="J20">
        <v>0</v>
      </c>
      <c r="K20">
        <v>580632035</v>
      </c>
      <c r="L20">
        <v>0</v>
      </c>
      <c r="M20" t="s">
        <v>17</v>
      </c>
      <c r="N20" t="s">
        <v>19</v>
      </c>
      <c r="O20" t="s">
        <v>20</v>
      </c>
      <c r="P20" t="str">
        <f>VLOOKUP(B20,'CHECK_DT-BT_chi_tiet'!$A:$C,3,FALSE)</f>
        <v>BV Phú Mỹ</v>
      </c>
      <c r="Q20" t="str">
        <f>VLOOKUP(A20,Sheet3!$K$11:$L$21,2,FALSE)</f>
        <v>BH Hàng hóa</v>
      </c>
      <c r="R20" t="str">
        <f>VLOOKUP(Q20,Sheet3!$L$11:$M$21,2,FALSE)</f>
        <v>HQ2</v>
      </c>
      <c r="S20" s="26">
        <f>SUMIFS('HQ2'!$O:$O,'HQ2'!$B:$B, "="&amp;'Tong_hop_HQNV_2026Q1_2026-06-23'!Q20, 'HQ2'!$A:$A,"="&amp;'Tong_hop_HQNV_2026Q1_2026-06-23'!P20)</f>
        <v>105774100</v>
      </c>
      <c r="T20" s="7">
        <f t="shared" si="0"/>
        <v>0</v>
      </c>
    </row>
    <row r="21" spans="1:20" x14ac:dyDescent="0.25">
      <c r="A21" t="s">
        <v>18</v>
      </c>
      <c r="B21" s="9" t="s">
        <v>354</v>
      </c>
      <c r="C21">
        <v>0</v>
      </c>
      <c r="D21">
        <v>0</v>
      </c>
      <c r="E21">
        <v>-432845669</v>
      </c>
      <c r="F21">
        <v>5242002145</v>
      </c>
      <c r="G21">
        <v>9749248258.3600006</v>
      </c>
      <c r="H21">
        <v>16500000</v>
      </c>
      <c r="I21">
        <v>4540681250</v>
      </c>
      <c r="J21">
        <v>0</v>
      </c>
      <c r="K21">
        <v>5242002145</v>
      </c>
      <c r="L21">
        <v>432845669</v>
      </c>
      <c r="M21" t="s">
        <v>17</v>
      </c>
      <c r="N21" t="s">
        <v>19</v>
      </c>
      <c r="O21" t="s">
        <v>20</v>
      </c>
      <c r="P21" t="str">
        <f>VLOOKUP(B21,'CHECK_DT-BT_chi_tiet'!$A:$C,3,FALSE)</f>
        <v>BV Thành phố HCM</v>
      </c>
      <c r="Q21" t="str">
        <f>VLOOKUP(A21,Sheet3!$K$11:$L$21,2,FALSE)</f>
        <v>BH Hàng hóa</v>
      </c>
      <c r="R21" t="str">
        <f>VLOOKUP(Q21,Sheet3!$L$11:$M$21,2,FALSE)</f>
        <v>HQ2</v>
      </c>
      <c r="S21" s="26">
        <f>SUMIFS('HQ2'!$O:$O,'HQ2'!$B:$B, "="&amp;'Tong_hop_HQNV_2026Q1_2026-06-23'!Q21, 'HQ2'!$A:$A,"="&amp;'Tong_hop_HQNV_2026Q1_2026-06-23'!P21)</f>
        <v>9749248258</v>
      </c>
      <c r="T21" s="7">
        <f t="shared" si="0"/>
        <v>-0.3600006103515625</v>
      </c>
    </row>
    <row r="22" spans="1:20" x14ac:dyDescent="0.25">
      <c r="A22" t="s">
        <v>21</v>
      </c>
      <c r="B22" s="9" t="s">
        <v>226</v>
      </c>
      <c r="C22">
        <v>-344283215</v>
      </c>
      <c r="D22">
        <v>-1165929799</v>
      </c>
      <c r="E22">
        <v>-10517000840</v>
      </c>
      <c r="F22">
        <v>101663510346</v>
      </c>
      <c r="G22">
        <v>0</v>
      </c>
      <c r="H22">
        <v>0</v>
      </c>
      <c r="I22">
        <v>0</v>
      </c>
      <c r="J22">
        <v>0</v>
      </c>
      <c r="K22">
        <v>100153297332</v>
      </c>
      <c r="L22">
        <v>10517000840</v>
      </c>
      <c r="M22" t="s">
        <v>22</v>
      </c>
      <c r="N22" t="s">
        <v>22</v>
      </c>
      <c r="O22" t="s">
        <v>22</v>
      </c>
      <c r="P22" t="e">
        <f>VLOOKUP(B22,'CHECK_DT-BT_chi_tiet'!$A:$C,3,FALSE)</f>
        <v>#N/A</v>
      </c>
      <c r="Q22" t="e">
        <f>VLOOKUP(A22,Sheet3!$K$11:$L$21,2,FALSE)</f>
        <v>#N/A</v>
      </c>
      <c r="R22" t="e">
        <f>VLOOKUP(Q22,Sheet3!$L$11:$M$21,2,FALSE)</f>
        <v>#N/A</v>
      </c>
      <c r="S22" s="26">
        <f>SUMIFS('HQ2'!$O:$O,'HQ2'!$B:$B, "="&amp;'Tong_hop_HQNV_2026Q1_2026-06-23'!Q22, 'HQ2'!$A:$A,"="&amp;'Tong_hop_HQNV_2026Q1_2026-06-23'!P22)</f>
        <v>0</v>
      </c>
      <c r="T22" s="7">
        <f t="shared" si="0"/>
        <v>0</v>
      </c>
    </row>
    <row r="23" spans="1:20" x14ac:dyDescent="0.25">
      <c r="A23" t="s">
        <v>23</v>
      </c>
      <c r="B23" s="9" t="s">
        <v>228</v>
      </c>
      <c r="C23">
        <v>-39991875</v>
      </c>
      <c r="D23">
        <v>0</v>
      </c>
      <c r="E23">
        <v>-5165112876</v>
      </c>
      <c r="F23">
        <v>30564304492</v>
      </c>
      <c r="G23">
        <v>124027547586.67101</v>
      </c>
      <c r="H23">
        <v>10127696029.23</v>
      </c>
      <c r="I23">
        <v>0</v>
      </c>
      <c r="J23">
        <v>0</v>
      </c>
      <c r="K23">
        <v>30524312617</v>
      </c>
      <c r="L23">
        <v>5165112876</v>
      </c>
      <c r="M23" t="s">
        <v>15</v>
      </c>
      <c r="N23" t="s">
        <v>24</v>
      </c>
      <c r="O23" t="s">
        <v>15</v>
      </c>
      <c r="P23" t="str">
        <f>VLOOKUP(B23,'CHECK_DT-BT_chi_tiet'!$A:$C,3,FALSE)</f>
        <v>TSC-Ban KDBH Tàu thủy</v>
      </c>
      <c r="Q23" t="str">
        <f>VLOOKUP(A23,Sheet3!$K$11:$L$21,2,FALSE)</f>
        <v>P&amp;I</v>
      </c>
      <c r="R23" t="str">
        <f>VLOOKUP(Q23,Sheet3!$L$11:$M$21,2,FALSE)</f>
        <v>HQ2</v>
      </c>
      <c r="S23" s="26">
        <f>SUMIFS('HQ2'!$O:$O,'HQ2'!$B:$B, "="&amp;'Tong_hop_HQNV_2026Q1_2026-06-23'!Q23, 'HQ2'!$A:$A,"="&amp;'Tong_hop_HQNV_2026Q1_2026-06-23'!P23)</f>
        <v>124027547586.5</v>
      </c>
      <c r="T23" s="7">
        <f t="shared" si="0"/>
        <v>-0.1710052490234375</v>
      </c>
    </row>
    <row r="24" spans="1:20" x14ac:dyDescent="0.25">
      <c r="A24" t="s">
        <v>25</v>
      </c>
      <c r="B24" s="9" t="s">
        <v>228</v>
      </c>
      <c r="C24">
        <v>-367810360</v>
      </c>
      <c r="D24">
        <v>-172899630</v>
      </c>
      <c r="E24">
        <v>-2908190971</v>
      </c>
      <c r="F24">
        <v>15968467175</v>
      </c>
      <c r="G24">
        <v>32657343459</v>
      </c>
      <c r="H24">
        <v>5393918750</v>
      </c>
      <c r="I24">
        <v>0</v>
      </c>
      <c r="J24">
        <v>0</v>
      </c>
      <c r="K24">
        <v>15427757185</v>
      </c>
      <c r="L24">
        <v>2908190971</v>
      </c>
      <c r="M24" t="s">
        <v>15</v>
      </c>
      <c r="N24" t="s">
        <v>26</v>
      </c>
      <c r="O24" t="s">
        <v>27</v>
      </c>
      <c r="P24" t="str">
        <f>VLOOKUP(B24,'CHECK_DT-BT_chi_tiet'!$A:$C,3,FALSE)</f>
        <v>TSC-Ban KDBH Tàu thủy</v>
      </c>
      <c r="Q24" t="str">
        <f>VLOOKUP(A24,Sheet3!$K$11:$L$21,2,FALSE)</f>
        <v>Hull (Thân tàu biển)</v>
      </c>
      <c r="R24" t="str">
        <f>VLOOKUP(Q24,Sheet3!$L$11:$M$21,2,FALSE)</f>
        <v>HQ2</v>
      </c>
      <c r="S24" s="26">
        <f>SUMIFS('HQ2'!$O:$O,'HQ2'!$B:$B, "="&amp;'Tong_hop_HQNV_2026Q1_2026-06-23'!Q24, 'HQ2'!$A:$A,"="&amp;'Tong_hop_HQNV_2026Q1_2026-06-23'!P24)</f>
        <v>32657343459</v>
      </c>
      <c r="T24" s="7">
        <f t="shared" si="0"/>
        <v>0</v>
      </c>
    </row>
    <row r="25" spans="1:20" x14ac:dyDescent="0.25">
      <c r="A25" t="s">
        <v>28</v>
      </c>
      <c r="B25" s="9" t="s">
        <v>227</v>
      </c>
      <c r="C25">
        <v>-18804600</v>
      </c>
      <c r="D25">
        <v>-760446464</v>
      </c>
      <c r="E25">
        <v>-91397591</v>
      </c>
      <c r="F25">
        <v>64085861543</v>
      </c>
      <c r="G25">
        <v>72542680410</v>
      </c>
      <c r="H25">
        <v>39390225</v>
      </c>
      <c r="I25">
        <v>0</v>
      </c>
      <c r="J25">
        <v>0</v>
      </c>
      <c r="K25">
        <v>63306610479</v>
      </c>
      <c r="L25">
        <v>91397591</v>
      </c>
      <c r="M25" t="s">
        <v>17</v>
      </c>
      <c r="N25" t="s">
        <v>20</v>
      </c>
      <c r="O25" t="s">
        <v>20</v>
      </c>
      <c r="P25" t="str">
        <f>VLOOKUP(B25,'CHECK_DT-BT_chi_tiet'!$A:$C,3,FALSE)</f>
        <v>TSC-Ban BH Dự án (Fronting)</v>
      </c>
      <c r="Q25" t="str">
        <f>VLOOKUP(A25,Sheet3!$K$11:$L$21,2,FALSE)</f>
        <v>BH Trách nhiệm</v>
      </c>
      <c r="R25" t="str">
        <f>VLOOKUP(Q25,Sheet3!$L$11:$M$21,2,FALSE)</f>
        <v>HQ2</v>
      </c>
      <c r="S25" s="26">
        <f>SUMIFS('HQ2'!$O:$O,'HQ2'!$B:$B, "="&amp;'Tong_hop_HQNV_2026Q1_2026-06-23'!Q25, 'HQ2'!$A:$A,"="&amp;'Tong_hop_HQNV_2026Q1_2026-06-23'!P25)</f>
        <v>72542680410</v>
      </c>
      <c r="T25" s="7">
        <f t="shared" si="0"/>
        <v>0</v>
      </c>
    </row>
    <row r="26" spans="1:20" x14ac:dyDescent="0.25">
      <c r="A26" t="s">
        <v>28</v>
      </c>
      <c r="B26" s="9" t="s">
        <v>228</v>
      </c>
      <c r="C26">
        <v>-242411497</v>
      </c>
      <c r="D26">
        <v>0</v>
      </c>
      <c r="E26">
        <v>0</v>
      </c>
      <c r="F26">
        <v>728211986</v>
      </c>
      <c r="G26">
        <v>0</v>
      </c>
      <c r="H26">
        <v>0</v>
      </c>
      <c r="I26">
        <v>0</v>
      </c>
      <c r="J26">
        <v>0</v>
      </c>
      <c r="K26">
        <v>485800489</v>
      </c>
      <c r="L26">
        <v>0</v>
      </c>
      <c r="M26" t="s">
        <v>17</v>
      </c>
      <c r="N26" t="s">
        <v>20</v>
      </c>
      <c r="O26" t="s">
        <v>20</v>
      </c>
      <c r="P26" t="str">
        <f>VLOOKUP(B26,'CHECK_DT-BT_chi_tiet'!$A:$C,3,FALSE)</f>
        <v>TSC-Ban KDBH Tàu thủy</v>
      </c>
      <c r="Q26" t="str">
        <f>VLOOKUP(A26,Sheet3!$K$11:$L$21,2,FALSE)</f>
        <v>BH Trách nhiệm</v>
      </c>
      <c r="R26" t="str">
        <f>VLOOKUP(Q26,Sheet3!$L$11:$M$21,2,FALSE)</f>
        <v>HQ2</v>
      </c>
      <c r="S26" s="26">
        <f>SUMIFS('HQ2'!$O:$O,'HQ2'!$B:$B, "="&amp;'Tong_hop_HQNV_2026Q1_2026-06-23'!Q26, 'HQ2'!$A:$A,"="&amp;'Tong_hop_HQNV_2026Q1_2026-06-23'!P26)</f>
        <v>0</v>
      </c>
      <c r="T26" s="7">
        <f t="shared" si="0"/>
        <v>0</v>
      </c>
    </row>
    <row r="27" spans="1:20" x14ac:dyDescent="0.25">
      <c r="A27" t="s">
        <v>28</v>
      </c>
      <c r="B27" s="9" t="s">
        <v>231</v>
      </c>
      <c r="C27">
        <v>-52537148</v>
      </c>
      <c r="D27">
        <v>0</v>
      </c>
      <c r="E27">
        <v>0</v>
      </c>
      <c r="F27">
        <v>459809275</v>
      </c>
      <c r="G27" s="92">
        <v>7000000</v>
      </c>
      <c r="H27">
        <v>0</v>
      </c>
      <c r="I27">
        <v>0</v>
      </c>
      <c r="J27">
        <v>0</v>
      </c>
      <c r="K27">
        <v>407272127</v>
      </c>
      <c r="L27">
        <v>0</v>
      </c>
      <c r="M27" t="s">
        <v>17</v>
      </c>
      <c r="N27" t="s">
        <v>20</v>
      </c>
      <c r="O27" t="s">
        <v>20</v>
      </c>
      <c r="P27" t="str">
        <f>VLOOKUP(B27,'CHECK_DT-BT_chi_tiet'!$A:$C,3,FALSE)</f>
        <v>TSC-Ban Khách hàng doanh nghiệp</v>
      </c>
      <c r="Q27" t="str">
        <f>VLOOKUP(A27,Sheet3!$K$11:$L$21,2,FALSE)</f>
        <v>BH Trách nhiệm</v>
      </c>
      <c r="R27" t="str">
        <f>VLOOKUP(Q27,Sheet3!$L$11:$M$21,2,FALSE)</f>
        <v>HQ2</v>
      </c>
      <c r="S27" s="26">
        <f>SUMIFS('HQ2'!$O:$O,'HQ2'!$B:$B, "="&amp;'Tong_hop_HQNV_2026Q1_2026-06-23'!Q27, 'HQ2'!$A:$A,"="&amp;'Tong_hop_HQNV_2026Q1_2026-06-23'!P27)</f>
        <v>7000000</v>
      </c>
      <c r="T27" s="7">
        <f t="shared" si="0"/>
        <v>0</v>
      </c>
    </row>
    <row r="28" spans="1:20" x14ac:dyDescent="0.25">
      <c r="A28" t="s">
        <v>28</v>
      </c>
      <c r="B28" s="9" t="s">
        <v>313</v>
      </c>
      <c r="C28">
        <v>-14782140</v>
      </c>
      <c r="D28">
        <v>0</v>
      </c>
      <c r="E28">
        <v>0</v>
      </c>
      <c r="F28">
        <v>2615278672</v>
      </c>
      <c r="G28">
        <v>0</v>
      </c>
      <c r="H28">
        <v>0</v>
      </c>
      <c r="I28">
        <v>0</v>
      </c>
      <c r="J28">
        <v>0</v>
      </c>
      <c r="K28">
        <v>2600496532</v>
      </c>
      <c r="L28">
        <v>0</v>
      </c>
      <c r="M28" t="s">
        <v>17</v>
      </c>
      <c r="N28" t="s">
        <v>20</v>
      </c>
      <c r="O28" t="s">
        <v>20</v>
      </c>
      <c r="P28" t="str">
        <f>VLOOKUP(B28,'CHECK_DT-BT_chi_tiet'!$A:$C,3,FALSE)</f>
        <v>BV Hà Nội</v>
      </c>
      <c r="Q28" t="str">
        <f>VLOOKUP(A28,Sheet3!$K$11:$L$21,2,FALSE)</f>
        <v>BH Trách nhiệm</v>
      </c>
      <c r="R28" t="str">
        <f>VLOOKUP(Q28,Sheet3!$L$11:$M$21,2,FALSE)</f>
        <v>HQ2</v>
      </c>
      <c r="S28" s="26">
        <f>SUMIFS('HQ2'!$O:$O,'HQ2'!$B:$B, "="&amp;'Tong_hop_HQNV_2026Q1_2026-06-23'!Q28, 'HQ2'!$A:$A,"="&amp;'Tong_hop_HQNV_2026Q1_2026-06-23'!P28)</f>
        <v>0</v>
      </c>
      <c r="T28" s="7">
        <f t="shared" si="0"/>
        <v>0</v>
      </c>
    </row>
    <row r="29" spans="1:20" x14ac:dyDescent="0.25">
      <c r="A29" t="s">
        <v>28</v>
      </c>
      <c r="B29" s="9" t="s">
        <v>345</v>
      </c>
      <c r="C29">
        <v>-48176</v>
      </c>
      <c r="D29">
        <v>0</v>
      </c>
      <c r="E29">
        <v>5658255</v>
      </c>
      <c r="F29">
        <v>7133966853</v>
      </c>
      <c r="G29">
        <v>3771404320</v>
      </c>
      <c r="H29">
        <v>117107000</v>
      </c>
      <c r="I29">
        <v>0</v>
      </c>
      <c r="J29">
        <v>0</v>
      </c>
      <c r="K29">
        <v>7133918677</v>
      </c>
      <c r="L29">
        <v>-5658255</v>
      </c>
      <c r="M29" t="s">
        <v>17</v>
      </c>
      <c r="N29" t="s">
        <v>20</v>
      </c>
      <c r="O29" t="s">
        <v>20</v>
      </c>
      <c r="P29" t="str">
        <f>VLOOKUP(B29,'CHECK_DT-BT_chi_tiet'!$A:$C,3,FALSE)</f>
        <v>BV Sài Gòn</v>
      </c>
      <c r="Q29" t="str">
        <f>VLOOKUP(A29,Sheet3!$K$11:$L$21,2,FALSE)</f>
        <v>BH Trách nhiệm</v>
      </c>
      <c r="R29" t="str">
        <f>VLOOKUP(Q29,Sheet3!$L$11:$M$21,2,FALSE)</f>
        <v>HQ2</v>
      </c>
      <c r="S29" s="26">
        <f>SUMIFS('HQ2'!$O:$O,'HQ2'!$B:$B, "="&amp;'Tong_hop_HQNV_2026Q1_2026-06-23'!Q29, 'HQ2'!$A:$A,"="&amp;'Tong_hop_HQNV_2026Q1_2026-06-23'!P29)</f>
        <v>3771404320</v>
      </c>
      <c r="T29" s="7">
        <f t="shared" si="0"/>
        <v>0</v>
      </c>
    </row>
    <row r="30" spans="1:20" x14ac:dyDescent="0.25">
      <c r="A30" t="s">
        <v>28</v>
      </c>
      <c r="B30" s="9" t="s">
        <v>354</v>
      </c>
      <c r="C30">
        <v>0</v>
      </c>
      <c r="D30">
        <v>0</v>
      </c>
      <c r="E30">
        <v>-7992607</v>
      </c>
      <c r="F30">
        <v>836791851</v>
      </c>
      <c r="G30" s="92">
        <v>704000000</v>
      </c>
      <c r="H30">
        <v>0</v>
      </c>
      <c r="I30">
        <v>0</v>
      </c>
      <c r="J30">
        <v>0</v>
      </c>
      <c r="K30">
        <v>836791851</v>
      </c>
      <c r="L30">
        <v>7992607</v>
      </c>
      <c r="M30" t="s">
        <v>17</v>
      </c>
      <c r="N30" t="s">
        <v>20</v>
      </c>
      <c r="O30" t="s">
        <v>20</v>
      </c>
      <c r="P30" t="str">
        <f>VLOOKUP(B30,'CHECK_DT-BT_chi_tiet'!$A:$C,3,FALSE)</f>
        <v>BV Thành phố HCM</v>
      </c>
      <c r="Q30" t="str">
        <f>VLOOKUP(A30,Sheet3!$K$11:$L$21,2,FALSE)</f>
        <v>BH Trách nhiệm</v>
      </c>
      <c r="R30" t="str">
        <f>VLOOKUP(Q30,Sheet3!$L$11:$M$21,2,FALSE)</f>
        <v>HQ2</v>
      </c>
      <c r="S30" s="26">
        <f>SUMIFS('HQ2'!$O:$O,'HQ2'!$B:$B, "="&amp;'Tong_hop_HQNV_2026Q1_2026-06-23'!Q30, 'HQ2'!$A:$A,"="&amp;'Tong_hop_HQNV_2026Q1_2026-06-23'!P30)</f>
        <v>704000000</v>
      </c>
      <c r="T30" s="7">
        <f t="shared" si="0"/>
        <v>0</v>
      </c>
    </row>
    <row r="31" spans="1:20" x14ac:dyDescent="0.25">
      <c r="A31" t="s">
        <v>28</v>
      </c>
      <c r="B31" s="9" t="s">
        <v>291</v>
      </c>
      <c r="C31">
        <v>0</v>
      </c>
      <c r="D31">
        <v>0</v>
      </c>
      <c r="E31">
        <v>0</v>
      </c>
      <c r="F31">
        <v>1545173217</v>
      </c>
      <c r="G31">
        <v>8161292262</v>
      </c>
      <c r="H31">
        <v>0</v>
      </c>
      <c r="I31">
        <v>0</v>
      </c>
      <c r="J31">
        <v>0</v>
      </c>
      <c r="K31">
        <v>1545173217</v>
      </c>
      <c r="L31">
        <v>0</v>
      </c>
      <c r="M31" t="s">
        <v>17</v>
      </c>
      <c r="N31" t="s">
        <v>20</v>
      </c>
      <c r="O31" t="s">
        <v>20</v>
      </c>
      <c r="P31" t="str">
        <f>VLOOKUP(B31,'CHECK_DT-BT_chi_tiet'!$A:$C,3,FALSE)</f>
        <v>BV Bến Thành</v>
      </c>
      <c r="Q31" t="str">
        <f>VLOOKUP(A31,Sheet3!$K$11:$L$21,2,FALSE)</f>
        <v>BH Trách nhiệm</v>
      </c>
      <c r="R31" t="str">
        <f>VLOOKUP(Q31,Sheet3!$L$11:$M$21,2,FALSE)</f>
        <v>HQ2</v>
      </c>
      <c r="S31" s="26">
        <f>SUMIFS('HQ2'!$O:$O,'HQ2'!$B:$B, "="&amp;'Tong_hop_HQNV_2026Q1_2026-06-23'!Q31, 'HQ2'!$A:$A,"="&amp;'Tong_hop_HQNV_2026Q1_2026-06-23'!P31)</f>
        <v>8161292262</v>
      </c>
      <c r="T31" s="7">
        <f t="shared" si="0"/>
        <v>0</v>
      </c>
    </row>
    <row r="32" spans="1:20" x14ac:dyDescent="0.25">
      <c r="A32" t="s">
        <v>29</v>
      </c>
      <c r="B32" s="9" t="s">
        <v>231</v>
      </c>
      <c r="C32">
        <v>-2223737821</v>
      </c>
      <c r="D32">
        <v>0</v>
      </c>
      <c r="E32">
        <v>0</v>
      </c>
      <c r="F32">
        <v>14915150541</v>
      </c>
      <c r="G32">
        <v>53164654536.578003</v>
      </c>
      <c r="H32">
        <v>0</v>
      </c>
      <c r="I32">
        <v>0</v>
      </c>
      <c r="J32">
        <v>0</v>
      </c>
      <c r="K32">
        <v>12691412720</v>
      </c>
      <c r="L32">
        <v>0</v>
      </c>
      <c r="M32" t="s">
        <v>30</v>
      </c>
      <c r="N32" t="s">
        <v>31</v>
      </c>
      <c r="O32" t="s">
        <v>26</v>
      </c>
      <c r="P32" t="str">
        <f>VLOOKUP(B32,'CHECK_DT-BT_chi_tiet'!$A:$C,3,FALSE)</f>
        <v>TSC-Ban Khách hàng doanh nghiệp</v>
      </c>
      <c r="Q32" t="str">
        <f>VLOOKUP(A32,Sheet3!$K$11:$L$21,2,FALSE)</f>
        <v>BH Tài sản</v>
      </c>
      <c r="R32" t="str">
        <f>VLOOKUP(Q32,Sheet3!$L$11:$M$21,2,FALSE)</f>
        <v>HQ2</v>
      </c>
      <c r="S32" s="26">
        <f>SUMIFS('HQ2'!$O:$O,'HQ2'!$B:$B, "="&amp;'Tong_hop_HQNV_2026Q1_2026-06-23'!Q32, 'HQ2'!$A:$A,"="&amp;'Tong_hop_HQNV_2026Q1_2026-06-23'!P32)</f>
        <v>53164654536.580002</v>
      </c>
      <c r="T32" s="7">
        <f t="shared" si="0"/>
        <v>1.9989013671875E-3</v>
      </c>
    </row>
    <row r="33" spans="1:20" x14ac:dyDescent="0.25">
      <c r="A33" t="s">
        <v>29</v>
      </c>
      <c r="B33" s="9" t="s">
        <v>358</v>
      </c>
      <c r="C33">
        <v>-285000</v>
      </c>
      <c r="D33">
        <v>0</v>
      </c>
      <c r="E33">
        <v>-92745466</v>
      </c>
      <c r="F33">
        <v>4227579113</v>
      </c>
      <c r="G33">
        <v>22563725193.25</v>
      </c>
      <c r="H33">
        <v>0</v>
      </c>
      <c r="I33">
        <v>57947873</v>
      </c>
      <c r="J33">
        <v>0</v>
      </c>
      <c r="K33">
        <v>4227294113</v>
      </c>
      <c r="L33">
        <v>92745466</v>
      </c>
      <c r="M33" t="s">
        <v>30</v>
      </c>
      <c r="N33" t="s">
        <v>31</v>
      </c>
      <c r="O33" t="s">
        <v>26</v>
      </c>
      <c r="P33" t="str">
        <f>VLOOKUP(B33,'CHECK_DT-BT_chi_tiet'!$A:$C,3,FALSE)</f>
        <v>BV Tràng An</v>
      </c>
      <c r="Q33" t="str">
        <f>VLOOKUP(A33,Sheet3!$K$11:$L$21,2,FALSE)</f>
        <v>BH Tài sản</v>
      </c>
      <c r="R33" t="str">
        <f>VLOOKUP(Q33,Sheet3!$L$11:$M$21,2,FALSE)</f>
        <v>HQ2</v>
      </c>
      <c r="S33" s="26">
        <f>SUMIFS('HQ2'!$O:$O,'HQ2'!$B:$B, "="&amp;'Tong_hop_HQNV_2026Q1_2026-06-23'!Q33, 'HQ2'!$A:$A,"="&amp;'Tong_hop_HQNV_2026Q1_2026-06-23'!P33)</f>
        <v>22563725193.25</v>
      </c>
      <c r="T33" s="7">
        <f t="shared" si="0"/>
        <v>0</v>
      </c>
    </row>
    <row r="34" spans="1:20" x14ac:dyDescent="0.25">
      <c r="A34" t="s">
        <v>29</v>
      </c>
      <c r="B34" s="9" t="s">
        <v>285</v>
      </c>
      <c r="C34">
        <v>-53016152</v>
      </c>
      <c r="D34">
        <v>0</v>
      </c>
      <c r="E34">
        <v>-17500000</v>
      </c>
      <c r="F34">
        <v>5519541932</v>
      </c>
      <c r="G34">
        <v>1350301955.3</v>
      </c>
      <c r="H34">
        <v>0</v>
      </c>
      <c r="I34">
        <v>17500000</v>
      </c>
      <c r="J34">
        <v>0</v>
      </c>
      <c r="K34">
        <v>5466525780</v>
      </c>
      <c r="L34">
        <v>17500000</v>
      </c>
      <c r="M34" t="s">
        <v>30</v>
      </c>
      <c r="N34" t="s">
        <v>31</v>
      </c>
      <c r="O34" t="s">
        <v>26</v>
      </c>
      <c r="P34" t="str">
        <f>VLOOKUP(B34,'CHECK_DT-BT_chi_tiet'!$A:$C,3,FALSE)</f>
        <v>BV An Phú</v>
      </c>
      <c r="Q34" t="str">
        <f>VLOOKUP(A34,Sheet3!$K$11:$L$21,2,FALSE)</f>
        <v>BH Tài sản</v>
      </c>
      <c r="R34" t="str">
        <f>VLOOKUP(Q34,Sheet3!$L$11:$M$21,2,FALSE)</f>
        <v>HQ2</v>
      </c>
      <c r="S34" s="26">
        <f>SUMIFS('HQ2'!$O:$O,'HQ2'!$B:$B, "="&amp;'Tong_hop_HQNV_2026Q1_2026-06-23'!Q34, 'HQ2'!$A:$A,"="&amp;'Tong_hop_HQNV_2026Q1_2026-06-23'!P34)</f>
        <v>1350301955.3</v>
      </c>
      <c r="T34" s="7">
        <f t="shared" si="0"/>
        <v>0</v>
      </c>
    </row>
    <row r="35" spans="1:20" x14ac:dyDescent="0.25">
      <c r="A35" t="s">
        <v>29</v>
      </c>
      <c r="B35" s="9" t="s">
        <v>290</v>
      </c>
      <c r="C35">
        <v>-153267403</v>
      </c>
      <c r="D35">
        <v>-22593698</v>
      </c>
      <c r="E35">
        <v>0</v>
      </c>
      <c r="F35">
        <v>25032880769</v>
      </c>
      <c r="G35">
        <v>5439041964</v>
      </c>
      <c r="H35">
        <v>0</v>
      </c>
      <c r="I35">
        <v>0</v>
      </c>
      <c r="J35">
        <v>0</v>
      </c>
      <c r="K35">
        <v>24857019668</v>
      </c>
      <c r="L35">
        <v>0</v>
      </c>
      <c r="M35" t="s">
        <v>30</v>
      </c>
      <c r="N35" t="s">
        <v>31</v>
      </c>
      <c r="O35" t="s">
        <v>26</v>
      </c>
      <c r="P35" t="str">
        <f>VLOOKUP(B35,'CHECK_DT-BT_chi_tiet'!$A:$C,3,FALSE)</f>
        <v>BV Bắc Ninh</v>
      </c>
      <c r="Q35" t="str">
        <f>VLOOKUP(A35,Sheet3!$K$11:$L$21,2,FALSE)</f>
        <v>BH Tài sản</v>
      </c>
      <c r="R35" t="str">
        <f>VLOOKUP(Q35,Sheet3!$L$11:$M$21,2,FALSE)</f>
        <v>HQ2</v>
      </c>
      <c r="S35" s="26">
        <f>SUMIFS('HQ2'!$O:$O,'HQ2'!$B:$B, "="&amp;'Tong_hop_HQNV_2026Q1_2026-06-23'!Q35, 'HQ2'!$A:$A,"="&amp;'Tong_hop_HQNV_2026Q1_2026-06-23'!P35)</f>
        <v>5439041964</v>
      </c>
      <c r="T35" s="7">
        <f t="shared" si="0"/>
        <v>0</v>
      </c>
    </row>
    <row r="36" spans="1:20" x14ac:dyDescent="0.25">
      <c r="A36" t="s">
        <v>29</v>
      </c>
      <c r="B36" s="9" t="s">
        <v>308</v>
      </c>
      <c r="C36">
        <v>-7840909</v>
      </c>
      <c r="D36">
        <v>-3650000</v>
      </c>
      <c r="E36">
        <v>-330617870</v>
      </c>
      <c r="F36">
        <v>6689902563</v>
      </c>
      <c r="G36">
        <v>1790625000</v>
      </c>
      <c r="H36">
        <v>0</v>
      </c>
      <c r="I36">
        <v>330617870</v>
      </c>
      <c r="J36">
        <v>0</v>
      </c>
      <c r="K36">
        <v>6678411654</v>
      </c>
      <c r="L36">
        <v>330617870</v>
      </c>
      <c r="M36" t="s">
        <v>30</v>
      </c>
      <c r="N36" t="s">
        <v>31</v>
      </c>
      <c r="O36" t="s">
        <v>26</v>
      </c>
      <c r="P36" t="str">
        <f>VLOOKUP(B36,'CHECK_DT-BT_chi_tiet'!$A:$C,3,FALSE)</f>
        <v>BV Đồng Tháp</v>
      </c>
      <c r="Q36" t="str">
        <f>VLOOKUP(A36,Sheet3!$K$11:$L$21,2,FALSE)</f>
        <v>BH Tài sản</v>
      </c>
      <c r="R36" t="str">
        <f>VLOOKUP(Q36,Sheet3!$L$11:$M$21,2,FALSE)</f>
        <v>HQ2</v>
      </c>
      <c r="S36" s="26">
        <f>SUMIFS('HQ2'!$O:$O,'HQ2'!$B:$B, "="&amp;'Tong_hop_HQNV_2026Q1_2026-06-23'!Q36, 'HQ2'!$A:$A,"="&amp;'Tong_hop_HQNV_2026Q1_2026-06-23'!P36)</f>
        <v>1790625000</v>
      </c>
      <c r="T36" s="7">
        <f t="shared" si="0"/>
        <v>0</v>
      </c>
    </row>
    <row r="37" spans="1:20" x14ac:dyDescent="0.25">
      <c r="A37" t="s">
        <v>29</v>
      </c>
      <c r="B37" s="9" t="s">
        <v>345</v>
      </c>
      <c r="C37">
        <v>-143072075</v>
      </c>
      <c r="D37">
        <v>0</v>
      </c>
      <c r="E37">
        <v>-5022564961</v>
      </c>
      <c r="F37">
        <v>23678399688</v>
      </c>
      <c r="G37">
        <v>67460382386.510002</v>
      </c>
      <c r="H37">
        <v>342667870</v>
      </c>
      <c r="I37">
        <v>4972761701</v>
      </c>
      <c r="J37">
        <v>0</v>
      </c>
      <c r="K37">
        <v>23535327613</v>
      </c>
      <c r="L37">
        <v>5022564961</v>
      </c>
      <c r="M37" t="s">
        <v>30</v>
      </c>
      <c r="N37" t="s">
        <v>31</v>
      </c>
      <c r="O37" t="s">
        <v>26</v>
      </c>
      <c r="P37" t="str">
        <f>VLOOKUP(B37,'CHECK_DT-BT_chi_tiet'!$A:$C,3,FALSE)</f>
        <v>BV Sài Gòn</v>
      </c>
      <c r="Q37" t="str">
        <f>VLOOKUP(A37,Sheet3!$K$11:$L$21,2,FALSE)</f>
        <v>BH Tài sản</v>
      </c>
      <c r="R37" t="str">
        <f>VLOOKUP(Q37,Sheet3!$L$11:$M$21,2,FALSE)</f>
        <v>HQ2</v>
      </c>
      <c r="S37" s="26">
        <f>SUMIFS('HQ2'!$O:$O,'HQ2'!$B:$B, "="&amp;'Tong_hop_HQNV_2026Q1_2026-06-23'!Q37, 'HQ2'!$A:$A,"="&amp;'Tong_hop_HQNV_2026Q1_2026-06-23'!P37)</f>
        <v>67460382387.349991</v>
      </c>
      <c r="T37" s="7">
        <f t="shared" si="0"/>
        <v>0.83998870849609375</v>
      </c>
    </row>
    <row r="38" spans="1:20" x14ac:dyDescent="0.25">
      <c r="A38" t="s">
        <v>29</v>
      </c>
      <c r="B38" s="9" t="s">
        <v>331</v>
      </c>
      <c r="C38">
        <v>0</v>
      </c>
      <c r="D38">
        <v>0</v>
      </c>
      <c r="E38">
        <v>-53684443</v>
      </c>
      <c r="F38">
        <v>11392854526</v>
      </c>
      <c r="G38">
        <v>3523813583.3000002</v>
      </c>
      <c r="H38" s="92">
        <v>53000000</v>
      </c>
      <c r="I38">
        <v>114313063</v>
      </c>
      <c r="J38">
        <v>0</v>
      </c>
      <c r="K38">
        <v>11392854526</v>
      </c>
      <c r="L38">
        <v>53684443</v>
      </c>
      <c r="M38" t="s">
        <v>30</v>
      </c>
      <c r="N38" t="s">
        <v>31</v>
      </c>
      <c r="O38" t="s">
        <v>26</v>
      </c>
      <c r="P38" t="str">
        <f>VLOOKUP(B38,'CHECK_DT-BT_chi_tiet'!$A:$C,3,FALSE)</f>
        <v>BV Nam Bình Dương</v>
      </c>
      <c r="Q38" t="str">
        <f>VLOOKUP(A38,Sheet3!$K$11:$L$21,2,FALSE)</f>
        <v>BH Tài sản</v>
      </c>
      <c r="R38" t="str">
        <f>VLOOKUP(Q38,Sheet3!$L$11:$M$21,2,FALSE)</f>
        <v>HQ2</v>
      </c>
      <c r="S38" s="26">
        <f>SUMIFS('HQ2'!$O:$O,'HQ2'!$B:$B, "="&amp;'Tong_hop_HQNV_2026Q1_2026-06-23'!Q38, 'HQ2'!$A:$A,"="&amp;'Tong_hop_HQNV_2026Q1_2026-06-23'!P38)</f>
        <v>3523813583.3000002</v>
      </c>
      <c r="T38" s="7">
        <f t="shared" si="0"/>
        <v>0</v>
      </c>
    </row>
    <row r="39" spans="1:20" x14ac:dyDescent="0.25">
      <c r="A39" t="s">
        <v>29</v>
      </c>
      <c r="B39" s="9" t="s">
        <v>354</v>
      </c>
      <c r="C39">
        <v>0</v>
      </c>
      <c r="D39">
        <v>0</v>
      </c>
      <c r="E39">
        <v>-8168033003</v>
      </c>
      <c r="F39">
        <v>8885872378</v>
      </c>
      <c r="G39">
        <v>11321649734</v>
      </c>
      <c r="H39">
        <v>0</v>
      </c>
      <c r="I39">
        <v>8069659403</v>
      </c>
      <c r="J39">
        <v>0</v>
      </c>
      <c r="K39">
        <v>8885872378</v>
      </c>
      <c r="L39">
        <v>8168033003</v>
      </c>
      <c r="M39" t="s">
        <v>30</v>
      </c>
      <c r="N39" t="s">
        <v>31</v>
      </c>
      <c r="O39" t="s">
        <v>26</v>
      </c>
      <c r="P39" t="str">
        <f>VLOOKUP(B39,'CHECK_DT-BT_chi_tiet'!$A:$C,3,FALSE)</f>
        <v>BV Thành phố HCM</v>
      </c>
      <c r="Q39" t="str">
        <f>VLOOKUP(A39,Sheet3!$K$11:$L$21,2,FALSE)</f>
        <v>BH Tài sản</v>
      </c>
      <c r="R39" t="str">
        <f>VLOOKUP(Q39,Sheet3!$L$11:$M$21,2,FALSE)</f>
        <v>HQ2</v>
      </c>
      <c r="S39" s="26">
        <f>SUMIFS('HQ2'!$O:$O,'HQ2'!$B:$B, "="&amp;'Tong_hop_HQNV_2026Q1_2026-06-23'!Q39, 'HQ2'!$A:$A,"="&amp;'Tong_hop_HQNV_2026Q1_2026-06-23'!P39)</f>
        <v>11321649734</v>
      </c>
      <c r="T39" s="7">
        <f t="shared" si="0"/>
        <v>0</v>
      </c>
    </row>
    <row r="40" spans="1:20" x14ac:dyDescent="0.25">
      <c r="A40" t="s">
        <v>32</v>
      </c>
      <c r="B40" s="9" t="s">
        <v>358</v>
      </c>
      <c r="C40">
        <v>-24024085</v>
      </c>
      <c r="D40">
        <v>-3781177</v>
      </c>
      <c r="E40">
        <v>-4212671883</v>
      </c>
      <c r="F40">
        <v>5705574152</v>
      </c>
      <c r="G40">
        <v>5102885095</v>
      </c>
      <c r="H40">
        <v>2135242834</v>
      </c>
      <c r="I40">
        <v>0</v>
      </c>
      <c r="J40">
        <v>0</v>
      </c>
      <c r="K40">
        <v>5677768890</v>
      </c>
      <c r="L40">
        <v>4212671883</v>
      </c>
      <c r="M40" t="s">
        <v>15</v>
      </c>
      <c r="N40">
        <v>1</v>
      </c>
      <c r="O40">
        <v>1</v>
      </c>
      <c r="P40" t="str">
        <f>VLOOKUP(B40,'CHECK_DT-BT_chi_tiet'!$A:$C,3,FALSE)</f>
        <v>BV Tràng An</v>
      </c>
      <c r="Q40" t="str">
        <f>VLOOKUP(A40,Sheet3!$K$11:$L$21,2,FALSE)</f>
        <v>BH Xe cơ giới</v>
      </c>
      <c r="R40" t="str">
        <f>VLOOKUP(Q40,Sheet3!$L$11:$M$21,2,FALSE)</f>
        <v>HQ1</v>
      </c>
      <c r="S40" s="26">
        <f>SUMIFS('HQ2'!$O:$O,'HQ2'!$B:$B, "="&amp;'Tong_hop_HQNV_2026Q1_2026-06-23'!Q40, 'HQ2'!$A:$A,"="&amp;'Tong_hop_HQNV_2026Q1_2026-06-23'!P40)</f>
        <v>0</v>
      </c>
      <c r="T40" s="7">
        <f t="shared" si="0"/>
        <v>0</v>
      </c>
    </row>
    <row r="41" spans="1:20" x14ac:dyDescent="0.25">
      <c r="A41" t="s">
        <v>32</v>
      </c>
      <c r="B41" s="9" t="s">
        <v>310</v>
      </c>
      <c r="C41">
        <v>-7825000</v>
      </c>
      <c r="D41">
        <v>0</v>
      </c>
      <c r="E41">
        <v>-2565709821</v>
      </c>
      <c r="F41">
        <v>7734708326</v>
      </c>
      <c r="G41">
        <v>5939595938</v>
      </c>
      <c r="H41">
        <v>1445081407</v>
      </c>
      <c r="I41">
        <v>0</v>
      </c>
      <c r="J41">
        <v>0</v>
      </c>
      <c r="K41">
        <v>7726883326</v>
      </c>
      <c r="L41">
        <v>2565709821</v>
      </c>
      <c r="M41" t="s">
        <v>15</v>
      </c>
      <c r="N41">
        <v>1</v>
      </c>
      <c r="O41">
        <v>1</v>
      </c>
      <c r="P41" t="str">
        <f>VLOOKUP(B41,'CHECK_DT-BT_chi_tiet'!$A:$C,3,FALSE)</f>
        <v>BV Gia Lai</v>
      </c>
      <c r="Q41" t="str">
        <f>VLOOKUP(A41,Sheet3!$K$11:$L$21,2,FALSE)</f>
        <v>BH Xe cơ giới</v>
      </c>
      <c r="R41" t="str">
        <f>VLOOKUP(Q41,Sheet3!$L$11:$M$21,2,FALSE)</f>
        <v>HQ1</v>
      </c>
      <c r="S41" s="26">
        <f>SUMIFS('HQ2'!$O:$O,'HQ2'!$B:$B, "="&amp;'Tong_hop_HQNV_2026Q1_2026-06-23'!Q41, 'HQ2'!$A:$A,"="&amp;'Tong_hop_HQNV_2026Q1_2026-06-23'!P41)</f>
        <v>0</v>
      </c>
      <c r="T41" s="7">
        <f t="shared" si="0"/>
        <v>0</v>
      </c>
    </row>
    <row r="42" spans="1:20" x14ac:dyDescent="0.25">
      <c r="A42" t="s">
        <v>32</v>
      </c>
      <c r="B42" s="9" t="s">
        <v>313</v>
      </c>
      <c r="C42">
        <v>-64145529</v>
      </c>
      <c r="D42">
        <v>-15985326</v>
      </c>
      <c r="E42">
        <v>-6016628942</v>
      </c>
      <c r="F42">
        <v>18786863353</v>
      </c>
      <c r="G42">
        <v>9285481010</v>
      </c>
      <c r="H42">
        <v>4213980841</v>
      </c>
      <c r="I42">
        <v>0</v>
      </c>
      <c r="J42">
        <v>0</v>
      </c>
      <c r="K42">
        <v>18706732498</v>
      </c>
      <c r="L42">
        <v>6016628942</v>
      </c>
      <c r="M42" t="s">
        <v>15</v>
      </c>
      <c r="N42">
        <v>1</v>
      </c>
      <c r="O42">
        <v>1</v>
      </c>
      <c r="P42" t="str">
        <f>VLOOKUP(B42,'CHECK_DT-BT_chi_tiet'!$A:$C,3,FALSE)</f>
        <v>BV Hà Nội</v>
      </c>
      <c r="Q42" t="str">
        <f>VLOOKUP(A42,Sheet3!$K$11:$L$21,2,FALSE)</f>
        <v>BH Xe cơ giới</v>
      </c>
      <c r="R42" t="str">
        <f>VLOOKUP(Q42,Sheet3!$L$11:$M$21,2,FALSE)</f>
        <v>HQ1</v>
      </c>
      <c r="S42" s="26">
        <f>SUMIFS('HQ2'!$O:$O,'HQ2'!$B:$B, "="&amp;'Tong_hop_HQNV_2026Q1_2026-06-23'!Q42, 'HQ2'!$A:$A,"="&amp;'Tong_hop_HQNV_2026Q1_2026-06-23'!P42)</f>
        <v>0</v>
      </c>
      <c r="T42" s="7">
        <f t="shared" si="0"/>
        <v>0</v>
      </c>
    </row>
    <row r="43" spans="1:20" x14ac:dyDescent="0.25">
      <c r="A43" t="s">
        <v>32</v>
      </c>
      <c r="B43" s="9" t="s">
        <v>344</v>
      </c>
      <c r="C43">
        <v>-1107818</v>
      </c>
      <c r="D43">
        <v>-11603665</v>
      </c>
      <c r="E43">
        <v>-3556043706</v>
      </c>
      <c r="F43">
        <v>8036347676</v>
      </c>
      <c r="G43">
        <v>3542892469</v>
      </c>
      <c r="H43">
        <v>2708240445</v>
      </c>
      <c r="I43">
        <v>0</v>
      </c>
      <c r="J43">
        <v>0</v>
      </c>
      <c r="K43">
        <v>8023636193</v>
      </c>
      <c r="L43">
        <v>3556043706</v>
      </c>
      <c r="M43" t="s">
        <v>15</v>
      </c>
      <c r="N43">
        <v>1</v>
      </c>
      <c r="O43">
        <v>1</v>
      </c>
      <c r="P43" t="str">
        <f>VLOOKUP(B43,'CHECK_DT-BT_chi_tiet'!$A:$C,3,FALSE)</f>
        <v>BV Quảng Trị</v>
      </c>
      <c r="Q43" t="str">
        <f>VLOOKUP(A43,Sheet3!$K$11:$L$21,2,FALSE)</f>
        <v>BH Xe cơ giới</v>
      </c>
      <c r="R43" t="str">
        <f>VLOOKUP(Q43,Sheet3!$L$11:$M$21,2,FALSE)</f>
        <v>HQ1</v>
      </c>
      <c r="S43" s="26">
        <f>SUMIFS('HQ2'!$O:$O,'HQ2'!$B:$B, "="&amp;'Tong_hop_HQNV_2026Q1_2026-06-23'!Q43, 'HQ2'!$A:$A,"="&amp;'Tong_hop_HQNV_2026Q1_2026-06-23'!P43)</f>
        <v>0</v>
      </c>
      <c r="T43" s="7">
        <f t="shared" si="0"/>
        <v>0</v>
      </c>
    </row>
    <row r="44" spans="1:20" x14ac:dyDescent="0.25">
      <c r="A44" t="s">
        <v>32</v>
      </c>
      <c r="B44" s="9" t="s">
        <v>345</v>
      </c>
      <c r="C44">
        <v>-76640993</v>
      </c>
      <c r="D44">
        <v>-42921298</v>
      </c>
      <c r="E44">
        <v>-10666287719</v>
      </c>
      <c r="F44">
        <v>24155458398</v>
      </c>
      <c r="G44">
        <v>16843330209</v>
      </c>
      <c r="H44">
        <v>8941214467</v>
      </c>
      <c r="I44">
        <v>0</v>
      </c>
      <c r="J44">
        <v>0</v>
      </c>
      <c r="K44">
        <v>24035896107</v>
      </c>
      <c r="L44">
        <v>10666287719</v>
      </c>
      <c r="M44" t="s">
        <v>15</v>
      </c>
      <c r="N44">
        <v>1</v>
      </c>
      <c r="O44">
        <v>1</v>
      </c>
      <c r="P44" t="str">
        <f>VLOOKUP(B44,'CHECK_DT-BT_chi_tiet'!$A:$C,3,FALSE)</f>
        <v>BV Sài Gòn</v>
      </c>
      <c r="Q44" t="str">
        <f>VLOOKUP(A44,Sheet3!$K$11:$L$21,2,FALSE)</f>
        <v>BH Xe cơ giới</v>
      </c>
      <c r="R44" t="str">
        <f>VLOOKUP(Q44,Sheet3!$L$11:$M$21,2,FALSE)</f>
        <v>HQ1</v>
      </c>
      <c r="S44" s="26">
        <f>SUMIFS('HQ2'!$O:$O,'HQ2'!$B:$B, "="&amp;'Tong_hop_HQNV_2026Q1_2026-06-23'!Q44, 'HQ2'!$A:$A,"="&amp;'Tong_hop_HQNV_2026Q1_2026-06-23'!P44)</f>
        <v>0</v>
      </c>
      <c r="T44" s="7">
        <f t="shared" si="0"/>
        <v>0</v>
      </c>
    </row>
    <row r="45" spans="1:20" x14ac:dyDescent="0.25">
      <c r="A45" t="s">
        <v>32</v>
      </c>
      <c r="B45" s="9" t="s">
        <v>355</v>
      </c>
      <c r="C45">
        <v>-9542889</v>
      </c>
      <c r="D45">
        <v>-3262492</v>
      </c>
      <c r="E45">
        <v>-2901333897</v>
      </c>
      <c r="F45">
        <v>4847500628</v>
      </c>
      <c r="G45">
        <v>3809243461</v>
      </c>
      <c r="H45">
        <v>1467607991</v>
      </c>
      <c r="I45">
        <v>0</v>
      </c>
      <c r="J45">
        <v>0</v>
      </c>
      <c r="K45">
        <v>4834695247</v>
      </c>
      <c r="L45">
        <v>2901333897</v>
      </c>
      <c r="M45" t="s">
        <v>15</v>
      </c>
      <c r="N45">
        <v>1</v>
      </c>
      <c r="O45">
        <v>1</v>
      </c>
      <c r="P45" t="str">
        <f>VLOOKUP(B45,'CHECK_DT-BT_chi_tiet'!$A:$C,3,FALSE)</f>
        <v>BV Thừa Thiên Huế</v>
      </c>
      <c r="Q45" t="str">
        <f>VLOOKUP(A45,Sheet3!$K$11:$L$21,2,FALSE)</f>
        <v>BH Xe cơ giới</v>
      </c>
      <c r="R45" t="str">
        <f>VLOOKUP(Q45,Sheet3!$L$11:$M$21,2,FALSE)</f>
        <v>HQ1</v>
      </c>
      <c r="S45" s="26">
        <f>SUMIFS('HQ2'!$O:$O,'HQ2'!$B:$B, "="&amp;'Tong_hop_HQNV_2026Q1_2026-06-23'!Q45, 'HQ2'!$A:$A,"="&amp;'Tong_hop_HQNV_2026Q1_2026-06-23'!P45)</f>
        <v>0</v>
      </c>
      <c r="T45" s="7">
        <f t="shared" si="0"/>
        <v>0</v>
      </c>
    </row>
    <row r="46" spans="1:20" x14ac:dyDescent="0.25">
      <c r="A46" t="s">
        <v>32</v>
      </c>
      <c r="B46" s="9" t="s">
        <v>331</v>
      </c>
      <c r="C46">
        <v>0</v>
      </c>
      <c r="D46">
        <v>0</v>
      </c>
      <c r="E46">
        <v>-5105541721</v>
      </c>
      <c r="F46">
        <v>12465458045</v>
      </c>
      <c r="G46">
        <v>5214729594</v>
      </c>
      <c r="H46">
        <v>3839046271</v>
      </c>
      <c r="I46">
        <v>0</v>
      </c>
      <c r="J46">
        <v>0</v>
      </c>
      <c r="K46">
        <v>12465458045</v>
      </c>
      <c r="L46">
        <v>5105541721</v>
      </c>
      <c r="M46" t="s">
        <v>15</v>
      </c>
      <c r="N46">
        <v>1</v>
      </c>
      <c r="O46">
        <v>1</v>
      </c>
      <c r="P46" t="str">
        <f>VLOOKUP(B46,'CHECK_DT-BT_chi_tiet'!$A:$C,3,FALSE)</f>
        <v>BV Nam Bình Dương</v>
      </c>
      <c r="Q46" t="str">
        <f>VLOOKUP(A46,Sheet3!$K$11:$L$21,2,FALSE)</f>
        <v>BH Xe cơ giới</v>
      </c>
      <c r="R46" t="str">
        <f>VLOOKUP(Q46,Sheet3!$L$11:$M$21,2,FALSE)</f>
        <v>HQ1</v>
      </c>
      <c r="S46" s="26">
        <f>SUMIFS('HQ2'!$O:$O,'HQ2'!$B:$B, "="&amp;'Tong_hop_HQNV_2026Q1_2026-06-23'!Q46, 'HQ2'!$A:$A,"="&amp;'Tong_hop_HQNV_2026Q1_2026-06-23'!P46)</f>
        <v>0</v>
      </c>
      <c r="T46" s="7">
        <f t="shared" si="0"/>
        <v>0</v>
      </c>
    </row>
    <row r="47" spans="1:20" x14ac:dyDescent="0.25">
      <c r="A47" t="s">
        <v>32</v>
      </c>
      <c r="B47" s="9" t="s">
        <v>354</v>
      </c>
      <c r="C47">
        <v>0</v>
      </c>
      <c r="D47">
        <v>0</v>
      </c>
      <c r="E47">
        <v>-6897086279</v>
      </c>
      <c r="F47">
        <v>14635242048</v>
      </c>
      <c r="G47">
        <v>9394015318</v>
      </c>
      <c r="H47">
        <v>4828452152</v>
      </c>
      <c r="I47">
        <v>0</v>
      </c>
      <c r="J47">
        <v>0</v>
      </c>
      <c r="K47">
        <v>14635242048</v>
      </c>
      <c r="L47">
        <v>6897086279</v>
      </c>
      <c r="M47" t="s">
        <v>15</v>
      </c>
      <c r="N47">
        <v>1</v>
      </c>
      <c r="O47">
        <v>1</v>
      </c>
      <c r="P47" t="str">
        <f>VLOOKUP(B47,'CHECK_DT-BT_chi_tiet'!$A:$C,3,FALSE)</f>
        <v>BV Thành phố HCM</v>
      </c>
      <c r="Q47" t="str">
        <f>VLOOKUP(A47,Sheet3!$K$11:$L$21,2,FALSE)</f>
        <v>BH Xe cơ giới</v>
      </c>
      <c r="R47" t="str">
        <f>VLOOKUP(Q47,Sheet3!$L$11:$M$21,2,FALSE)</f>
        <v>HQ1</v>
      </c>
      <c r="S47" s="26">
        <f>SUMIFS('HQ2'!$O:$O,'HQ2'!$B:$B, "="&amp;'Tong_hop_HQNV_2026Q1_2026-06-23'!Q47, 'HQ2'!$A:$A,"="&amp;'Tong_hop_HQNV_2026Q1_2026-06-23'!P47)</f>
        <v>0</v>
      </c>
      <c r="T47" s="7">
        <f t="shared" si="0"/>
        <v>0</v>
      </c>
    </row>
    <row r="48" spans="1:20" x14ac:dyDescent="0.25">
      <c r="A48" t="s">
        <v>33</v>
      </c>
      <c r="B48" s="9" t="s">
        <v>223</v>
      </c>
      <c r="C48">
        <v>-83273310</v>
      </c>
      <c r="D48">
        <v>-88578954</v>
      </c>
      <c r="E48">
        <v>-1010021779</v>
      </c>
      <c r="F48">
        <v>658365107</v>
      </c>
      <c r="G48">
        <v>182559833</v>
      </c>
      <c r="H48">
        <v>179757813</v>
      </c>
      <c r="I48">
        <v>0</v>
      </c>
      <c r="J48">
        <v>0</v>
      </c>
      <c r="K48">
        <v>486512843</v>
      </c>
      <c r="L48">
        <v>1010021779</v>
      </c>
      <c r="M48" t="s">
        <v>34</v>
      </c>
      <c r="N48">
        <v>1</v>
      </c>
      <c r="O48">
        <v>1</v>
      </c>
      <c r="P48" t="str">
        <f>VLOOKUP(B48,'CHECK_DT-BT_chi_tiet'!$A:$C,3,FALSE)</f>
        <v>TSC-Ban KDBH Hàng hóa</v>
      </c>
      <c r="Q48" t="str">
        <f>VLOOKUP(A48,Sheet3!$K$11:$L$21,2,FALSE)</f>
        <v>BH Y tế</v>
      </c>
      <c r="R48" t="str">
        <f>VLOOKUP(Q48,Sheet3!$L$11:$M$21,2,FALSE)</f>
        <v>HQ1</v>
      </c>
      <c r="S48" s="26">
        <f>SUMIFS('HQ2'!$O:$O,'HQ2'!$B:$B, "="&amp;'Tong_hop_HQNV_2026Q1_2026-06-23'!Q48, 'HQ2'!$A:$A,"="&amp;'Tong_hop_HQNV_2026Q1_2026-06-23'!P48)</f>
        <v>0</v>
      </c>
      <c r="T48" s="7">
        <f t="shared" si="0"/>
        <v>0</v>
      </c>
    </row>
    <row r="49" spans="1:20" x14ac:dyDescent="0.25">
      <c r="A49" t="s">
        <v>33</v>
      </c>
      <c r="B49" s="9" t="s">
        <v>234</v>
      </c>
      <c r="C49">
        <v>-177836444</v>
      </c>
      <c r="D49">
        <v>-758873229</v>
      </c>
      <c r="E49">
        <v>-67305068103</v>
      </c>
      <c r="F49">
        <v>167710489480</v>
      </c>
      <c r="G49">
        <v>0</v>
      </c>
      <c r="H49">
        <v>0</v>
      </c>
      <c r="I49">
        <v>0</v>
      </c>
      <c r="J49">
        <v>0</v>
      </c>
      <c r="K49">
        <v>166773779807</v>
      </c>
      <c r="L49">
        <v>67305068103</v>
      </c>
      <c r="M49" t="s">
        <v>34</v>
      </c>
      <c r="N49">
        <v>1</v>
      </c>
      <c r="O49">
        <v>1</v>
      </c>
      <c r="P49" t="str">
        <f>VLOOKUP(B49,'CHECK_DT-BT_chi_tiet'!$A:$C,3,FALSE)</f>
        <v>TSC-Ban KDBH Phi hàng hải TSC</v>
      </c>
      <c r="Q49" t="str">
        <f>VLOOKUP(A49,Sheet3!$K$11:$L$21,2,FALSE)</f>
        <v>BH Y tế</v>
      </c>
      <c r="R49" t="str">
        <f>VLOOKUP(Q49,Sheet3!$L$11:$M$21,2,FALSE)</f>
        <v>HQ1</v>
      </c>
      <c r="S49" s="26">
        <f>SUMIFS('HQ2'!$O:$O,'HQ2'!$B:$B, "="&amp;'Tong_hop_HQNV_2026Q1_2026-06-23'!Q49, 'HQ2'!$A:$A,"="&amp;'Tong_hop_HQNV_2026Q1_2026-06-23'!P49)</f>
        <v>0</v>
      </c>
      <c r="T49" s="7">
        <f t="shared" si="0"/>
        <v>0</v>
      </c>
    </row>
    <row r="50" spans="1:20" x14ac:dyDescent="0.25">
      <c r="A50" t="s">
        <v>33</v>
      </c>
      <c r="B50" s="9" t="s">
        <v>230</v>
      </c>
      <c r="C50">
        <v>-2485333296</v>
      </c>
      <c r="D50">
        <v>0</v>
      </c>
      <c r="E50">
        <v>-137826067230</v>
      </c>
      <c r="F50">
        <v>488469496849</v>
      </c>
      <c r="G50">
        <v>48169640021</v>
      </c>
      <c r="H50">
        <v>35643766322</v>
      </c>
      <c r="I50">
        <v>0</v>
      </c>
      <c r="J50">
        <v>0</v>
      </c>
      <c r="K50">
        <v>485984163553</v>
      </c>
      <c r="L50">
        <v>137826067230</v>
      </c>
      <c r="M50" t="s">
        <v>34</v>
      </c>
      <c r="N50">
        <v>1</v>
      </c>
      <c r="O50">
        <v>1</v>
      </c>
      <c r="P50" t="str">
        <f>VLOOKUP(B50,'CHECK_DT-BT_chi_tiet'!$A:$C,3,FALSE)</f>
        <v>TSC-Ban KD Bảo hiểm sức khỏe</v>
      </c>
      <c r="Q50" t="str">
        <f>VLOOKUP(A50,Sheet3!$K$11:$L$21,2,FALSE)</f>
        <v>BH Y tế</v>
      </c>
      <c r="R50" t="str">
        <f>VLOOKUP(Q50,Sheet3!$L$11:$M$21,2,FALSE)</f>
        <v>HQ1</v>
      </c>
      <c r="S50" s="26">
        <f>SUMIFS('HQ2'!$O:$O,'HQ2'!$B:$B, "="&amp;'Tong_hop_HQNV_2026Q1_2026-06-23'!Q50, 'HQ2'!$A:$A,"="&amp;'Tong_hop_HQNV_2026Q1_2026-06-23'!P50)</f>
        <v>0</v>
      </c>
      <c r="T50" s="7">
        <f t="shared" si="0"/>
        <v>0</v>
      </c>
    </row>
    <row r="51" spans="1:20" x14ac:dyDescent="0.25">
      <c r="A51" t="s">
        <v>33</v>
      </c>
      <c r="B51" s="9" t="s">
        <v>352</v>
      </c>
      <c r="C51">
        <v>-413614125</v>
      </c>
      <c r="D51">
        <v>-142929276</v>
      </c>
      <c r="E51">
        <v>-6017789217</v>
      </c>
      <c r="F51">
        <v>13434096543</v>
      </c>
      <c r="G51">
        <v>1504092794</v>
      </c>
      <c r="H51">
        <v>1407401794</v>
      </c>
      <c r="I51">
        <v>0</v>
      </c>
      <c r="J51">
        <v>0</v>
      </c>
      <c r="K51">
        <v>12877553142</v>
      </c>
      <c r="L51">
        <v>6017789217</v>
      </c>
      <c r="M51" t="s">
        <v>34</v>
      </c>
      <c r="N51">
        <v>1</v>
      </c>
      <c r="O51">
        <v>1</v>
      </c>
      <c r="P51" t="str">
        <f>VLOOKUP(B51,'CHECK_DT-BT_chi_tiet'!$A:$C,3,FALSE)</f>
        <v>BV Thăng Long</v>
      </c>
      <c r="Q51" t="str">
        <f>VLOOKUP(A51,Sheet3!$K$11:$L$21,2,FALSE)</f>
        <v>BH Y tế</v>
      </c>
      <c r="R51" t="str">
        <f>VLOOKUP(Q51,Sheet3!$L$11:$M$21,2,FALSE)</f>
        <v>HQ1</v>
      </c>
      <c r="S51" s="26">
        <f>SUMIFS('HQ2'!$O:$O,'HQ2'!$B:$B, "="&amp;'Tong_hop_HQNV_2026Q1_2026-06-23'!Q51, 'HQ2'!$A:$A,"="&amp;'Tong_hop_HQNV_2026Q1_2026-06-23'!P51)</f>
        <v>0</v>
      </c>
      <c r="T51" s="7">
        <f t="shared" si="0"/>
        <v>0</v>
      </c>
    </row>
    <row r="52" spans="1:20" x14ac:dyDescent="0.25">
      <c r="A52" t="s">
        <v>33</v>
      </c>
      <c r="B52" s="9" t="s">
        <v>358</v>
      </c>
      <c r="C52">
        <v>-14094000</v>
      </c>
      <c r="D52">
        <v>-40183540</v>
      </c>
      <c r="E52">
        <v>-2195234045</v>
      </c>
      <c r="F52">
        <v>7716341421</v>
      </c>
      <c r="G52">
        <v>750180623</v>
      </c>
      <c r="H52">
        <v>668538770</v>
      </c>
      <c r="I52">
        <v>0</v>
      </c>
      <c r="J52">
        <v>0</v>
      </c>
      <c r="K52">
        <v>7662063881</v>
      </c>
      <c r="L52">
        <v>2195234045</v>
      </c>
      <c r="M52" t="s">
        <v>34</v>
      </c>
      <c r="N52">
        <v>1</v>
      </c>
      <c r="O52">
        <v>1</v>
      </c>
      <c r="P52" t="str">
        <f>VLOOKUP(B52,'CHECK_DT-BT_chi_tiet'!$A:$C,3,FALSE)</f>
        <v>BV Tràng An</v>
      </c>
      <c r="Q52" t="str">
        <f>VLOOKUP(A52,Sheet3!$K$11:$L$21,2,FALSE)</f>
        <v>BH Y tế</v>
      </c>
      <c r="R52" t="str">
        <f>VLOOKUP(Q52,Sheet3!$L$11:$M$21,2,FALSE)</f>
        <v>HQ1</v>
      </c>
      <c r="S52" s="26">
        <f>SUMIFS('HQ2'!$O:$O,'HQ2'!$B:$B, "="&amp;'Tong_hop_HQNV_2026Q1_2026-06-23'!Q52, 'HQ2'!$A:$A,"="&amp;'Tong_hop_HQNV_2026Q1_2026-06-23'!P52)</f>
        <v>0</v>
      </c>
      <c r="T52" s="7">
        <f t="shared" si="0"/>
        <v>0</v>
      </c>
    </row>
    <row r="53" spans="1:20" x14ac:dyDescent="0.25">
      <c r="A53" t="s">
        <v>33</v>
      </c>
      <c r="B53" s="9" t="s">
        <v>285</v>
      </c>
      <c r="C53">
        <v>-263856181</v>
      </c>
      <c r="D53">
        <v>-11647121</v>
      </c>
      <c r="E53">
        <v>-3597479961</v>
      </c>
      <c r="F53">
        <v>12114318891</v>
      </c>
      <c r="G53">
        <v>1387117531</v>
      </c>
      <c r="H53">
        <v>1008329454</v>
      </c>
      <c r="I53">
        <v>0</v>
      </c>
      <c r="J53">
        <v>0</v>
      </c>
      <c r="K53">
        <v>11838815589</v>
      </c>
      <c r="L53">
        <v>3597479961</v>
      </c>
      <c r="M53" t="s">
        <v>34</v>
      </c>
      <c r="N53">
        <v>1</v>
      </c>
      <c r="O53">
        <v>1</v>
      </c>
      <c r="P53" t="str">
        <f>VLOOKUP(B53,'CHECK_DT-BT_chi_tiet'!$A:$C,3,FALSE)</f>
        <v>BV An Phú</v>
      </c>
      <c r="Q53" t="str">
        <f>VLOOKUP(A53,Sheet3!$K$11:$L$21,2,FALSE)</f>
        <v>BH Y tế</v>
      </c>
      <c r="R53" t="str">
        <f>VLOOKUP(Q53,Sheet3!$L$11:$M$21,2,FALSE)</f>
        <v>HQ1</v>
      </c>
      <c r="S53" s="26">
        <f>SUMIFS('HQ2'!$O:$O,'HQ2'!$B:$B, "="&amp;'Tong_hop_HQNV_2026Q1_2026-06-23'!Q53, 'HQ2'!$A:$A,"="&amp;'Tong_hop_HQNV_2026Q1_2026-06-23'!P53)</f>
        <v>0</v>
      </c>
      <c r="T53" s="7">
        <f t="shared" si="0"/>
        <v>0</v>
      </c>
    </row>
    <row r="54" spans="1:20" x14ac:dyDescent="0.25">
      <c r="A54" t="s">
        <v>33</v>
      </c>
      <c r="B54" s="9" t="s">
        <v>286</v>
      </c>
      <c r="C54">
        <v>20156900</v>
      </c>
      <c r="D54">
        <v>-4034821</v>
      </c>
      <c r="E54">
        <v>-1454400170</v>
      </c>
      <c r="F54">
        <v>6705587421</v>
      </c>
      <c r="G54">
        <v>556771604</v>
      </c>
      <c r="H54">
        <v>420889739</v>
      </c>
      <c r="I54">
        <v>0</v>
      </c>
      <c r="J54">
        <v>0</v>
      </c>
      <c r="K54">
        <v>6721709500</v>
      </c>
      <c r="L54">
        <v>1454400170</v>
      </c>
      <c r="M54" t="s">
        <v>34</v>
      </c>
      <c r="N54">
        <v>1</v>
      </c>
      <c r="O54">
        <v>1</v>
      </c>
      <c r="P54" t="str">
        <f>VLOOKUP(B54,'CHECK_DT-BT_chi_tiet'!$A:$C,3,FALSE)</f>
        <v>BV Bà Rịa - Vũng Tàu</v>
      </c>
      <c r="Q54" t="str">
        <f>VLOOKUP(A54,Sheet3!$K$11:$L$21,2,FALSE)</f>
        <v>BH Y tế</v>
      </c>
      <c r="R54" t="str">
        <f>VLOOKUP(Q54,Sheet3!$L$11:$M$21,2,FALSE)</f>
        <v>HQ1</v>
      </c>
      <c r="S54" s="26">
        <f>SUMIFS('HQ2'!$O:$O,'HQ2'!$B:$B, "="&amp;'Tong_hop_HQNV_2026Q1_2026-06-23'!Q54, 'HQ2'!$A:$A,"="&amp;'Tong_hop_HQNV_2026Q1_2026-06-23'!P54)</f>
        <v>0</v>
      </c>
      <c r="T54" s="7">
        <f t="shared" si="0"/>
        <v>0</v>
      </c>
    </row>
    <row r="55" spans="1:20" x14ac:dyDescent="0.25">
      <c r="A55" t="s">
        <v>33</v>
      </c>
      <c r="B55" s="9" t="s">
        <v>313</v>
      </c>
      <c r="C55">
        <v>-70620466</v>
      </c>
      <c r="D55">
        <v>-76920035</v>
      </c>
      <c r="E55">
        <v>-26280758461</v>
      </c>
      <c r="F55">
        <v>64378271723</v>
      </c>
      <c r="G55">
        <v>9560385293</v>
      </c>
      <c r="H55">
        <v>7730510203</v>
      </c>
      <c r="I55">
        <v>0</v>
      </c>
      <c r="J55">
        <v>0</v>
      </c>
      <c r="K55">
        <v>64230731222</v>
      </c>
      <c r="L55">
        <v>26280758461</v>
      </c>
      <c r="M55" t="s">
        <v>34</v>
      </c>
      <c r="N55">
        <v>1</v>
      </c>
      <c r="O55">
        <v>1</v>
      </c>
      <c r="P55" t="str">
        <f>VLOOKUP(B55,'CHECK_DT-BT_chi_tiet'!$A:$C,3,FALSE)</f>
        <v>BV Hà Nội</v>
      </c>
      <c r="Q55" t="str">
        <f>VLOOKUP(A55,Sheet3!$K$11:$L$21,2,FALSE)</f>
        <v>BH Y tế</v>
      </c>
      <c r="R55" t="str">
        <f>VLOOKUP(Q55,Sheet3!$L$11:$M$21,2,FALSE)</f>
        <v>HQ1</v>
      </c>
      <c r="S55" s="26">
        <f>SUMIFS('HQ2'!$O:$O,'HQ2'!$B:$B, "="&amp;'Tong_hop_HQNV_2026Q1_2026-06-23'!Q55, 'HQ2'!$A:$A,"="&amp;'Tong_hop_HQNV_2026Q1_2026-06-23'!P55)</f>
        <v>0</v>
      </c>
      <c r="T55" s="7">
        <f t="shared" si="0"/>
        <v>0</v>
      </c>
    </row>
    <row r="56" spans="1:20" x14ac:dyDescent="0.25">
      <c r="A56" t="s">
        <v>33</v>
      </c>
      <c r="B56" s="9" t="s">
        <v>345</v>
      </c>
      <c r="C56">
        <v>-637450591</v>
      </c>
      <c r="D56">
        <v>-4672548</v>
      </c>
      <c r="E56">
        <v>-39245869603</v>
      </c>
      <c r="F56">
        <v>83317938927</v>
      </c>
      <c r="G56">
        <v>12720034333</v>
      </c>
      <c r="H56">
        <v>9697409550</v>
      </c>
      <c r="I56">
        <v>0</v>
      </c>
      <c r="J56">
        <v>0</v>
      </c>
      <c r="K56">
        <v>82675815788</v>
      </c>
      <c r="L56">
        <v>39245869603</v>
      </c>
      <c r="M56" t="s">
        <v>34</v>
      </c>
      <c r="N56">
        <v>1</v>
      </c>
      <c r="O56">
        <v>1</v>
      </c>
      <c r="P56" t="str">
        <f>VLOOKUP(B56,'CHECK_DT-BT_chi_tiet'!$A:$C,3,FALSE)</f>
        <v>BV Sài Gòn</v>
      </c>
      <c r="Q56" t="str">
        <f>VLOOKUP(A56,Sheet3!$K$11:$L$21,2,FALSE)</f>
        <v>BH Y tế</v>
      </c>
      <c r="R56" t="str">
        <f>VLOOKUP(Q56,Sheet3!$L$11:$M$21,2,FALSE)</f>
        <v>HQ1</v>
      </c>
      <c r="S56" s="26">
        <f>SUMIFS('HQ2'!$O:$O,'HQ2'!$B:$B, "="&amp;'Tong_hop_HQNV_2026Q1_2026-06-23'!Q56, 'HQ2'!$A:$A,"="&amp;'Tong_hop_HQNV_2026Q1_2026-06-23'!P56)</f>
        <v>0</v>
      </c>
      <c r="T56" s="7">
        <f t="shared" si="0"/>
        <v>0</v>
      </c>
    </row>
    <row r="57" spans="1:20" x14ac:dyDescent="0.25">
      <c r="A57" t="s">
        <v>33</v>
      </c>
      <c r="B57" s="9" t="s">
        <v>331</v>
      </c>
      <c r="C57">
        <v>0</v>
      </c>
      <c r="D57">
        <v>0</v>
      </c>
      <c r="E57">
        <v>-2964879717</v>
      </c>
      <c r="F57">
        <v>3742860639</v>
      </c>
      <c r="G57">
        <v>226616982</v>
      </c>
      <c r="H57">
        <v>222194562</v>
      </c>
      <c r="I57">
        <v>0</v>
      </c>
      <c r="J57">
        <v>0</v>
      </c>
      <c r="K57">
        <v>3742860639</v>
      </c>
      <c r="L57">
        <v>2964879717</v>
      </c>
      <c r="M57" t="s">
        <v>34</v>
      </c>
      <c r="N57">
        <v>1</v>
      </c>
      <c r="O57">
        <v>1</v>
      </c>
      <c r="P57" t="str">
        <f>VLOOKUP(B57,'CHECK_DT-BT_chi_tiet'!$A:$C,3,FALSE)</f>
        <v>BV Nam Bình Dương</v>
      </c>
      <c r="Q57" t="str">
        <f>VLOOKUP(A57,Sheet3!$K$11:$L$21,2,FALSE)</f>
        <v>BH Y tế</v>
      </c>
      <c r="R57" t="str">
        <f>VLOOKUP(Q57,Sheet3!$L$11:$M$21,2,FALSE)</f>
        <v>HQ1</v>
      </c>
      <c r="S57" s="26">
        <f>SUMIFS('HQ2'!$O:$O,'HQ2'!$B:$B, "="&amp;'Tong_hop_HQNV_2026Q1_2026-06-23'!Q57, 'HQ2'!$A:$A,"="&amp;'Tong_hop_HQNV_2026Q1_2026-06-23'!P57)</f>
        <v>0</v>
      </c>
      <c r="T57" s="7">
        <f t="shared" si="0"/>
        <v>0</v>
      </c>
    </row>
    <row r="58" spans="1:20" x14ac:dyDescent="0.25">
      <c r="A58" t="s">
        <v>33</v>
      </c>
      <c r="B58" s="9" t="s">
        <v>336</v>
      </c>
      <c r="C58">
        <v>-128789062</v>
      </c>
      <c r="D58">
        <v>-1235057</v>
      </c>
      <c r="E58">
        <v>-3206374119</v>
      </c>
      <c r="F58">
        <v>10469006468</v>
      </c>
      <c r="G58">
        <v>1132435258</v>
      </c>
      <c r="H58">
        <v>867909833</v>
      </c>
      <c r="I58">
        <v>0</v>
      </c>
      <c r="J58">
        <v>0</v>
      </c>
      <c r="K58">
        <v>10338982349</v>
      </c>
      <c r="L58">
        <v>3206374119</v>
      </c>
      <c r="M58" t="s">
        <v>34</v>
      </c>
      <c r="N58">
        <v>1</v>
      </c>
      <c r="O58">
        <v>1</v>
      </c>
      <c r="P58" t="str">
        <f>VLOOKUP(B58,'CHECK_DT-BT_chi_tiet'!$A:$C,3,FALSE)</f>
        <v>BV Phú Mỹ</v>
      </c>
      <c r="Q58" t="str">
        <f>VLOOKUP(A58,Sheet3!$K$11:$L$21,2,FALSE)</f>
        <v>BH Y tế</v>
      </c>
      <c r="R58" t="str">
        <f>VLOOKUP(Q58,Sheet3!$L$11:$M$21,2,FALSE)</f>
        <v>HQ1</v>
      </c>
      <c r="S58" s="26">
        <f>SUMIFS('HQ2'!$O:$O,'HQ2'!$B:$B, "="&amp;'Tong_hop_HQNV_2026Q1_2026-06-23'!Q58, 'HQ2'!$A:$A,"="&amp;'Tong_hop_HQNV_2026Q1_2026-06-23'!P58)</f>
        <v>0</v>
      </c>
      <c r="T58" s="7">
        <f t="shared" si="0"/>
        <v>0</v>
      </c>
    </row>
    <row r="59" spans="1:20" x14ac:dyDescent="0.25">
      <c r="A59" t="s">
        <v>33</v>
      </c>
      <c r="B59" s="9" t="s">
        <v>354</v>
      </c>
      <c r="C59">
        <v>0</v>
      </c>
      <c r="D59">
        <v>0</v>
      </c>
      <c r="E59">
        <v>-17138888707</v>
      </c>
      <c r="F59">
        <v>42211297445</v>
      </c>
      <c r="G59">
        <v>5094029682.3999996</v>
      </c>
      <c r="H59">
        <v>4012978558.4000001</v>
      </c>
      <c r="I59">
        <v>0</v>
      </c>
      <c r="J59">
        <v>0</v>
      </c>
      <c r="K59">
        <v>42211297445</v>
      </c>
      <c r="L59">
        <v>17138888707</v>
      </c>
      <c r="M59" t="s">
        <v>34</v>
      </c>
      <c r="N59">
        <v>1</v>
      </c>
      <c r="O59">
        <v>1</v>
      </c>
      <c r="P59" t="str">
        <f>VLOOKUP(B59,'CHECK_DT-BT_chi_tiet'!$A:$C,3,FALSE)</f>
        <v>BV Thành phố HCM</v>
      </c>
      <c r="Q59" t="str">
        <f>VLOOKUP(A59,Sheet3!$K$11:$L$21,2,FALSE)</f>
        <v>BH Y tế</v>
      </c>
      <c r="R59" t="str">
        <f>VLOOKUP(Q59,Sheet3!$L$11:$M$21,2,FALSE)</f>
        <v>HQ1</v>
      </c>
      <c r="S59" s="26">
        <f>SUMIFS('HQ2'!$O:$O,'HQ2'!$B:$B, "="&amp;'Tong_hop_HQNV_2026Q1_2026-06-23'!Q59, 'HQ2'!$A:$A,"="&amp;'Tong_hop_HQNV_2026Q1_2026-06-23'!P59)</f>
        <v>0</v>
      </c>
      <c r="T59" s="7">
        <f t="shared" si="0"/>
        <v>0</v>
      </c>
    </row>
    <row r="60" spans="1:20" x14ac:dyDescent="0.25">
      <c r="A60" t="s">
        <v>22</v>
      </c>
      <c r="B60" s="9" t="s">
        <v>345</v>
      </c>
      <c r="C60">
        <v>1499599697</v>
      </c>
      <c r="D60">
        <v>410758852</v>
      </c>
      <c r="E60">
        <v>0</v>
      </c>
      <c r="F60">
        <v>-1910358549</v>
      </c>
      <c r="G60">
        <v>0</v>
      </c>
      <c r="H60">
        <v>0</v>
      </c>
      <c r="I60">
        <v>0</v>
      </c>
      <c r="J60">
        <v>0</v>
      </c>
      <c r="K60">
        <v>0</v>
      </c>
      <c r="L60">
        <v>0</v>
      </c>
      <c r="M60" t="s">
        <v>22</v>
      </c>
      <c r="N60" t="s">
        <v>22</v>
      </c>
      <c r="O60" t="s">
        <v>22</v>
      </c>
      <c r="P60" t="str">
        <f>VLOOKUP(B60,'CHECK_DT-BT_chi_tiet'!$A:$C,3,FALSE)</f>
        <v>BV Sài Gòn</v>
      </c>
      <c r="Q60" t="e">
        <f>VLOOKUP(A60,Sheet3!$K$11:$L$21,2,FALSE)</f>
        <v>#N/A</v>
      </c>
      <c r="R60" t="e">
        <f>VLOOKUP(Q60,Sheet3!$L$11:$M$21,2,FALSE)</f>
        <v>#N/A</v>
      </c>
      <c r="S60" s="26">
        <f>SUMIFS('HQ2'!$O:$O,'HQ2'!$B:$B, "="&amp;'Tong_hop_HQNV_2026Q1_2026-06-23'!Q60, 'HQ2'!$A:$A,"="&amp;'Tong_hop_HQNV_2026Q1_2026-06-23'!P60)</f>
        <v>0</v>
      </c>
      <c r="T60" s="7">
        <f t="shared" si="0"/>
        <v>0</v>
      </c>
    </row>
    <row r="61" spans="1:20" x14ac:dyDescent="0.25">
      <c r="A61" t="s">
        <v>22</v>
      </c>
      <c r="B61" s="9" t="s">
        <v>336</v>
      </c>
      <c r="C61">
        <v>130008340</v>
      </c>
      <c r="D61">
        <v>1559683077</v>
      </c>
      <c r="E61">
        <v>0</v>
      </c>
      <c r="F61">
        <v>-1689691417</v>
      </c>
      <c r="G61">
        <v>0</v>
      </c>
      <c r="H61">
        <v>0</v>
      </c>
      <c r="I61">
        <v>0</v>
      </c>
      <c r="J61">
        <v>0</v>
      </c>
      <c r="K61">
        <v>0</v>
      </c>
      <c r="L61">
        <v>0</v>
      </c>
      <c r="M61" t="s">
        <v>22</v>
      </c>
      <c r="N61" t="s">
        <v>22</v>
      </c>
      <c r="O61" t="s">
        <v>22</v>
      </c>
      <c r="P61" t="str">
        <f>VLOOKUP(B61,'CHECK_DT-BT_chi_tiet'!$A:$C,3,FALSE)</f>
        <v>BV Phú Mỹ</v>
      </c>
      <c r="Q61" t="e">
        <f>VLOOKUP(A61,Sheet3!$K$11:$L$21,2,FALSE)</f>
        <v>#N/A</v>
      </c>
      <c r="R61" t="e">
        <f>VLOOKUP(Q61,Sheet3!$L$11:$M$21,2,FALSE)</f>
        <v>#N/A</v>
      </c>
      <c r="S61" s="26">
        <f>SUMIFS('HQ2'!$O:$O,'HQ2'!$B:$B, "="&amp;'Tong_hop_HQNV_2026Q1_2026-06-23'!Q61, 'HQ2'!$A:$A,"="&amp;'Tong_hop_HQNV_2026Q1_2026-06-23'!P61)</f>
        <v>0</v>
      </c>
      <c r="T61" s="7">
        <f t="shared" si="0"/>
        <v>0</v>
      </c>
    </row>
    <row r="62" spans="1:20" x14ac:dyDescent="0.25">
      <c r="A62" t="s">
        <v>14</v>
      </c>
      <c r="B62" s="9" t="s">
        <v>229</v>
      </c>
      <c r="C62">
        <v>0</v>
      </c>
      <c r="D62">
        <v>-7329804</v>
      </c>
      <c r="E62">
        <v>-5320000</v>
      </c>
      <c r="F62">
        <v>2009647865</v>
      </c>
      <c r="G62">
        <v>6800000</v>
      </c>
      <c r="H62" s="92">
        <v>2000000</v>
      </c>
      <c r="I62">
        <v>0</v>
      </c>
      <c r="J62">
        <v>0</v>
      </c>
      <c r="K62">
        <v>2002318061</v>
      </c>
      <c r="L62">
        <v>5320000</v>
      </c>
      <c r="M62" t="s">
        <v>15</v>
      </c>
      <c r="N62">
        <v>1</v>
      </c>
      <c r="O62">
        <v>1</v>
      </c>
      <c r="P62" t="str">
        <f>VLOOKUP(B62,'CHECK_DT-BT_chi_tiet'!$A:$C,3,FALSE)</f>
        <v>TSC-Ban Bảo hiểm trực tuyến</v>
      </c>
      <c r="Q62" t="str">
        <f>VLOOKUP(A62,Sheet3!$K$11:$L$21,2,FALSE)</f>
        <v>BH Con người</v>
      </c>
      <c r="R62" t="str">
        <f>VLOOKUP(Q62,Sheet3!$L$11:$M$21,2,FALSE)</f>
        <v>HQ1</v>
      </c>
      <c r="S62" s="26">
        <f>SUMIFS('HQ2'!$O:$O,'HQ2'!$B:$B, "="&amp;'Tong_hop_HQNV_2026Q1_2026-06-23'!Q62, 'HQ2'!$A:$A,"="&amp;'Tong_hop_HQNV_2026Q1_2026-06-23'!P62)</f>
        <v>0</v>
      </c>
      <c r="T62" s="7">
        <f t="shared" si="0"/>
        <v>0</v>
      </c>
    </row>
    <row r="63" spans="1:20" x14ac:dyDescent="0.25">
      <c r="A63" t="s">
        <v>14</v>
      </c>
      <c r="B63" s="9" t="s">
        <v>358</v>
      </c>
      <c r="C63">
        <v>0</v>
      </c>
      <c r="D63">
        <v>-8782438</v>
      </c>
      <c r="E63">
        <v>-1728141383</v>
      </c>
      <c r="F63">
        <v>4315948434</v>
      </c>
      <c r="G63">
        <v>119405000</v>
      </c>
      <c r="H63">
        <v>106815000</v>
      </c>
      <c r="I63">
        <v>0</v>
      </c>
      <c r="J63">
        <v>0</v>
      </c>
      <c r="K63">
        <v>4307165996</v>
      </c>
      <c r="L63">
        <v>1728141383</v>
      </c>
      <c r="M63" t="s">
        <v>15</v>
      </c>
      <c r="N63">
        <v>1</v>
      </c>
      <c r="O63">
        <v>1</v>
      </c>
      <c r="P63" t="str">
        <f>VLOOKUP(B63,'CHECK_DT-BT_chi_tiet'!$A:$C,3,FALSE)</f>
        <v>BV Tràng An</v>
      </c>
      <c r="Q63" t="str">
        <f>VLOOKUP(A63,Sheet3!$K$11:$L$21,2,FALSE)</f>
        <v>BH Con người</v>
      </c>
      <c r="R63" t="str">
        <f>VLOOKUP(Q63,Sheet3!$L$11:$M$21,2,FALSE)</f>
        <v>HQ1</v>
      </c>
      <c r="S63" s="26">
        <f>SUMIFS('HQ2'!$O:$O,'HQ2'!$B:$B, "="&amp;'Tong_hop_HQNV_2026Q1_2026-06-23'!Q63, 'HQ2'!$A:$A,"="&amp;'Tong_hop_HQNV_2026Q1_2026-06-23'!P63)</f>
        <v>0</v>
      </c>
      <c r="T63" s="7">
        <f t="shared" si="0"/>
        <v>0</v>
      </c>
    </row>
    <row r="64" spans="1:20" x14ac:dyDescent="0.25">
      <c r="A64" t="s">
        <v>14</v>
      </c>
      <c r="B64" s="9" t="s">
        <v>329</v>
      </c>
      <c r="C64">
        <v>0</v>
      </c>
      <c r="D64">
        <v>5314308</v>
      </c>
      <c r="E64">
        <v>-1436659667</v>
      </c>
      <c r="F64">
        <v>818312724</v>
      </c>
      <c r="G64">
        <v>403182000</v>
      </c>
      <c r="H64">
        <v>147828000</v>
      </c>
      <c r="I64">
        <v>0</v>
      </c>
      <c r="J64">
        <v>0</v>
      </c>
      <c r="K64">
        <v>823627032</v>
      </c>
      <c r="L64">
        <v>1436659667</v>
      </c>
      <c r="M64" t="s">
        <v>15</v>
      </c>
      <c r="N64">
        <v>1</v>
      </c>
      <c r="O64">
        <v>1</v>
      </c>
      <c r="P64" t="str">
        <f>VLOOKUP(B64,'CHECK_DT-BT_chi_tiet'!$A:$C,3,FALSE)</f>
        <v>BV Long Thành</v>
      </c>
      <c r="Q64" t="str">
        <f>VLOOKUP(A64,Sheet3!$K$11:$L$21,2,FALSE)</f>
        <v>BH Con người</v>
      </c>
      <c r="R64" t="str">
        <f>VLOOKUP(Q64,Sheet3!$L$11:$M$21,2,FALSE)</f>
        <v>HQ1</v>
      </c>
      <c r="S64" s="26">
        <f>SUMIFS('HQ2'!$O:$O,'HQ2'!$B:$B, "="&amp;'Tong_hop_HQNV_2026Q1_2026-06-23'!Q64, 'HQ2'!$A:$A,"="&amp;'Tong_hop_HQNV_2026Q1_2026-06-23'!P64)</f>
        <v>0</v>
      </c>
      <c r="T64" s="7">
        <f t="shared" si="0"/>
        <v>0</v>
      </c>
    </row>
    <row r="65" spans="1:20" x14ac:dyDescent="0.25">
      <c r="A65" t="s">
        <v>14</v>
      </c>
      <c r="B65" s="9" t="s">
        <v>305</v>
      </c>
      <c r="C65">
        <v>0</v>
      </c>
      <c r="D65">
        <v>-1298306</v>
      </c>
      <c r="E65">
        <v>-372480000</v>
      </c>
      <c r="F65">
        <v>611366000</v>
      </c>
      <c r="G65">
        <v>0</v>
      </c>
      <c r="H65">
        <v>0</v>
      </c>
      <c r="I65">
        <v>0</v>
      </c>
      <c r="J65">
        <v>0</v>
      </c>
      <c r="K65">
        <v>610067694</v>
      </c>
      <c r="L65">
        <v>372480000</v>
      </c>
      <c r="M65" t="s">
        <v>15</v>
      </c>
      <c r="N65">
        <v>1</v>
      </c>
      <c r="O65">
        <v>1</v>
      </c>
      <c r="P65" t="str">
        <f>VLOOKUP(B65,'CHECK_DT-BT_chi_tiet'!$A:$C,3,FALSE)</f>
        <v>BV Đông Bắc</v>
      </c>
      <c r="Q65" t="str">
        <f>VLOOKUP(A65,Sheet3!$K$11:$L$21,2,FALSE)</f>
        <v>BH Con người</v>
      </c>
      <c r="R65" t="str">
        <f>VLOOKUP(Q65,Sheet3!$L$11:$M$21,2,FALSE)</f>
        <v>HQ1</v>
      </c>
      <c r="S65" s="26">
        <f>SUMIFS('HQ2'!$O:$O,'HQ2'!$B:$B, "="&amp;'Tong_hop_HQNV_2026Q1_2026-06-23'!Q65, 'HQ2'!$A:$A,"="&amp;'Tong_hop_HQNV_2026Q1_2026-06-23'!P65)</f>
        <v>0</v>
      </c>
      <c r="T65" s="7">
        <f t="shared" si="0"/>
        <v>0</v>
      </c>
    </row>
    <row r="66" spans="1:20" x14ac:dyDescent="0.25">
      <c r="A66" t="s">
        <v>14</v>
      </c>
      <c r="B66" s="9" t="s">
        <v>284</v>
      </c>
      <c r="C66">
        <v>0</v>
      </c>
      <c r="D66">
        <v>-555000</v>
      </c>
      <c r="E66">
        <v>-7008590701</v>
      </c>
      <c r="F66">
        <v>8391179609</v>
      </c>
      <c r="G66">
        <v>0</v>
      </c>
      <c r="H66">
        <v>0</v>
      </c>
      <c r="I66">
        <v>0</v>
      </c>
      <c r="J66">
        <v>0</v>
      </c>
      <c r="K66">
        <v>8390624609</v>
      </c>
      <c r="L66">
        <v>7008590701</v>
      </c>
      <c r="M66" t="s">
        <v>15</v>
      </c>
      <c r="N66">
        <v>1</v>
      </c>
      <c r="O66">
        <v>1</v>
      </c>
      <c r="P66" t="str">
        <f>VLOOKUP(B66,'CHECK_DT-BT_chi_tiet'!$A:$C,3,FALSE)</f>
        <v>BV An Giang</v>
      </c>
      <c r="Q66" t="str">
        <f>VLOOKUP(A66,Sheet3!$K$11:$L$21,2,FALSE)</f>
        <v>BH Con người</v>
      </c>
      <c r="R66" t="str">
        <f>VLOOKUP(Q66,Sheet3!$L$11:$M$21,2,FALSE)</f>
        <v>HQ1</v>
      </c>
      <c r="S66" s="26">
        <f>SUMIFS('HQ2'!$O:$O,'HQ2'!$B:$B, "="&amp;'Tong_hop_HQNV_2026Q1_2026-06-23'!Q66, 'HQ2'!$A:$A,"="&amp;'Tong_hop_HQNV_2026Q1_2026-06-23'!P66)</f>
        <v>0</v>
      </c>
      <c r="T66" s="7">
        <f t="shared" si="0"/>
        <v>0</v>
      </c>
    </row>
    <row r="67" spans="1:20" x14ac:dyDescent="0.25">
      <c r="A67" t="s">
        <v>14</v>
      </c>
      <c r="B67" s="9" t="s">
        <v>288</v>
      </c>
      <c r="C67">
        <v>0</v>
      </c>
      <c r="D67">
        <v>-8400196</v>
      </c>
      <c r="E67">
        <v>-4869786700</v>
      </c>
      <c r="F67">
        <v>6265942225</v>
      </c>
      <c r="G67">
        <v>0</v>
      </c>
      <c r="H67">
        <v>0</v>
      </c>
      <c r="I67">
        <v>0</v>
      </c>
      <c r="J67">
        <v>0</v>
      </c>
      <c r="K67">
        <v>6257542029</v>
      </c>
      <c r="L67">
        <v>4869786700</v>
      </c>
      <c r="M67" t="s">
        <v>15</v>
      </c>
      <c r="N67">
        <v>1</v>
      </c>
      <c r="O67">
        <v>1</v>
      </c>
      <c r="P67" t="str">
        <f>VLOOKUP(B67,'CHECK_DT-BT_chi_tiet'!$A:$C,3,FALSE)</f>
        <v>BV Bắc Giang</v>
      </c>
      <c r="Q67" t="str">
        <f>VLOOKUP(A67,Sheet3!$K$11:$L$21,2,FALSE)</f>
        <v>BH Con người</v>
      </c>
      <c r="R67" t="str">
        <f>VLOOKUP(Q67,Sheet3!$L$11:$M$21,2,FALSE)</f>
        <v>HQ1</v>
      </c>
      <c r="S67" s="26">
        <f>SUMIFS('HQ2'!$O:$O,'HQ2'!$B:$B, "="&amp;'Tong_hop_HQNV_2026Q1_2026-06-23'!Q67, 'HQ2'!$A:$A,"="&amp;'Tong_hop_HQNV_2026Q1_2026-06-23'!P67)</f>
        <v>0</v>
      </c>
      <c r="T67" s="7">
        <f t="shared" ref="T67:T130" si="1">IFERROR(IF(R67="HQ2",S67-G67,0),0)</f>
        <v>0</v>
      </c>
    </row>
    <row r="68" spans="1:20" x14ac:dyDescent="0.25">
      <c r="A68" t="s">
        <v>14</v>
      </c>
      <c r="B68" s="9" t="s">
        <v>290</v>
      </c>
      <c r="C68">
        <v>0</v>
      </c>
      <c r="D68">
        <v>-3806201</v>
      </c>
      <c r="E68">
        <v>-4072420811</v>
      </c>
      <c r="F68">
        <v>2905119813</v>
      </c>
      <c r="G68">
        <v>7191000</v>
      </c>
      <c r="H68">
        <v>3855000</v>
      </c>
      <c r="I68">
        <v>0</v>
      </c>
      <c r="J68">
        <v>0</v>
      </c>
      <c r="K68">
        <v>2901313612</v>
      </c>
      <c r="L68">
        <v>4072420811</v>
      </c>
      <c r="M68" t="s">
        <v>15</v>
      </c>
      <c r="N68">
        <v>1</v>
      </c>
      <c r="O68">
        <v>1</v>
      </c>
      <c r="P68" t="str">
        <f>VLOOKUP(B68,'CHECK_DT-BT_chi_tiet'!$A:$C,3,FALSE)</f>
        <v>BV Bắc Ninh</v>
      </c>
      <c r="Q68" t="str">
        <f>VLOOKUP(A68,Sheet3!$K$11:$L$21,2,FALSE)</f>
        <v>BH Con người</v>
      </c>
      <c r="R68" t="str">
        <f>VLOOKUP(Q68,Sheet3!$L$11:$M$21,2,FALSE)</f>
        <v>HQ1</v>
      </c>
      <c r="S68" s="26">
        <f>SUMIFS('HQ2'!$O:$O,'HQ2'!$B:$B, "="&amp;'Tong_hop_HQNV_2026Q1_2026-06-23'!Q68, 'HQ2'!$A:$A,"="&amp;'Tong_hop_HQNV_2026Q1_2026-06-23'!P68)</f>
        <v>0</v>
      </c>
      <c r="T68" s="7">
        <f t="shared" si="1"/>
        <v>0</v>
      </c>
    </row>
    <row r="69" spans="1:20" x14ac:dyDescent="0.25">
      <c r="A69" t="s">
        <v>14</v>
      </c>
      <c r="B69" s="9" t="s">
        <v>289</v>
      </c>
      <c r="C69">
        <v>0</v>
      </c>
      <c r="D69">
        <v>0</v>
      </c>
      <c r="E69">
        <v>-734299300</v>
      </c>
      <c r="F69">
        <v>593082550</v>
      </c>
      <c r="G69">
        <v>0</v>
      </c>
      <c r="H69">
        <v>0</v>
      </c>
      <c r="I69">
        <v>0</v>
      </c>
      <c r="J69">
        <v>0</v>
      </c>
      <c r="K69">
        <v>593082550</v>
      </c>
      <c r="L69">
        <v>734299300</v>
      </c>
      <c r="M69" t="s">
        <v>15</v>
      </c>
      <c r="N69">
        <v>1</v>
      </c>
      <c r="O69">
        <v>1</v>
      </c>
      <c r="P69" t="str">
        <f>VLOOKUP(B69,'CHECK_DT-BT_chi_tiet'!$A:$C,3,FALSE)</f>
        <v>BV Bạc Liêu</v>
      </c>
      <c r="Q69" t="str">
        <f>VLOOKUP(A69,Sheet3!$K$11:$L$21,2,FALSE)</f>
        <v>BH Con người</v>
      </c>
      <c r="R69" t="str">
        <f>VLOOKUP(Q69,Sheet3!$L$11:$M$21,2,FALSE)</f>
        <v>HQ1</v>
      </c>
      <c r="S69" s="26">
        <f>SUMIFS('HQ2'!$O:$O,'HQ2'!$B:$B, "="&amp;'Tong_hop_HQNV_2026Q1_2026-06-23'!Q69, 'HQ2'!$A:$A,"="&amp;'Tong_hop_HQNV_2026Q1_2026-06-23'!P69)</f>
        <v>0</v>
      </c>
      <c r="T69" s="7">
        <f t="shared" si="1"/>
        <v>0</v>
      </c>
    </row>
    <row r="70" spans="1:20" x14ac:dyDescent="0.25">
      <c r="A70" t="s">
        <v>14</v>
      </c>
      <c r="B70" s="9" t="s">
        <v>294</v>
      </c>
      <c r="C70">
        <v>0</v>
      </c>
      <c r="D70">
        <v>0</v>
      </c>
      <c r="E70">
        <v>-868850670</v>
      </c>
      <c r="F70">
        <v>1857584516</v>
      </c>
      <c r="G70">
        <v>640455316</v>
      </c>
      <c r="H70">
        <v>173435000</v>
      </c>
      <c r="I70">
        <v>0</v>
      </c>
      <c r="J70">
        <v>0</v>
      </c>
      <c r="K70">
        <v>1857584516</v>
      </c>
      <c r="L70">
        <v>868850670</v>
      </c>
      <c r="M70" t="s">
        <v>15</v>
      </c>
      <c r="N70">
        <v>1</v>
      </c>
      <c r="O70">
        <v>1</v>
      </c>
      <c r="P70" t="str">
        <f>VLOOKUP(B70,'CHECK_DT-BT_chi_tiet'!$A:$C,3,FALSE)</f>
        <v>BV Bình Dương</v>
      </c>
      <c r="Q70" t="str">
        <f>VLOOKUP(A70,Sheet3!$K$11:$L$21,2,FALSE)</f>
        <v>BH Con người</v>
      </c>
      <c r="R70" t="str">
        <f>VLOOKUP(Q70,Sheet3!$L$11:$M$21,2,FALSE)</f>
        <v>HQ1</v>
      </c>
      <c r="S70" s="26">
        <f>SUMIFS('HQ2'!$O:$O,'HQ2'!$B:$B, "="&amp;'Tong_hop_HQNV_2026Q1_2026-06-23'!Q70, 'HQ2'!$A:$A,"="&amp;'Tong_hop_HQNV_2026Q1_2026-06-23'!P70)</f>
        <v>0</v>
      </c>
      <c r="T70" s="7">
        <f t="shared" si="1"/>
        <v>0</v>
      </c>
    </row>
    <row r="71" spans="1:20" x14ac:dyDescent="0.25">
      <c r="A71" t="s">
        <v>14</v>
      </c>
      <c r="B71" s="9" t="s">
        <v>293</v>
      </c>
      <c r="C71">
        <v>0</v>
      </c>
      <c r="D71">
        <v>0</v>
      </c>
      <c r="E71">
        <v>-2148037400</v>
      </c>
      <c r="F71">
        <v>6009799673</v>
      </c>
      <c r="G71">
        <v>1407190500</v>
      </c>
      <c r="H71">
        <v>256078000</v>
      </c>
      <c r="I71">
        <v>0</v>
      </c>
      <c r="J71">
        <v>0</v>
      </c>
      <c r="K71">
        <v>6009799673</v>
      </c>
      <c r="L71">
        <v>2148037400</v>
      </c>
      <c r="M71" t="s">
        <v>15</v>
      </c>
      <c r="N71">
        <v>1</v>
      </c>
      <c r="O71">
        <v>1</v>
      </c>
      <c r="P71" t="str">
        <f>VLOOKUP(B71,'CHECK_DT-BT_chi_tiet'!$A:$C,3,FALSE)</f>
        <v>BV Bình Định</v>
      </c>
      <c r="Q71" t="str">
        <f>VLOOKUP(A71,Sheet3!$K$11:$L$21,2,FALSE)</f>
        <v>BH Con người</v>
      </c>
      <c r="R71" t="str">
        <f>VLOOKUP(Q71,Sheet3!$L$11:$M$21,2,FALSE)</f>
        <v>HQ1</v>
      </c>
      <c r="S71" s="26">
        <f>SUMIFS('HQ2'!$O:$O,'HQ2'!$B:$B, "="&amp;'Tong_hop_HQNV_2026Q1_2026-06-23'!Q71, 'HQ2'!$A:$A,"="&amp;'Tong_hop_HQNV_2026Q1_2026-06-23'!P71)</f>
        <v>0</v>
      </c>
      <c r="T71" s="7">
        <f t="shared" si="1"/>
        <v>0</v>
      </c>
    </row>
    <row r="72" spans="1:20" x14ac:dyDescent="0.25">
      <c r="A72" t="s">
        <v>14</v>
      </c>
      <c r="B72" s="9" t="s">
        <v>295</v>
      </c>
      <c r="C72">
        <v>0</v>
      </c>
      <c r="D72">
        <v>0</v>
      </c>
      <c r="E72">
        <v>-1161236293</v>
      </c>
      <c r="F72">
        <v>1422788000</v>
      </c>
      <c r="G72">
        <v>18020000</v>
      </c>
      <c r="H72">
        <v>18020000</v>
      </c>
      <c r="I72">
        <v>0</v>
      </c>
      <c r="J72">
        <v>0</v>
      </c>
      <c r="K72">
        <v>1422788000</v>
      </c>
      <c r="L72">
        <v>1161236293</v>
      </c>
      <c r="M72" t="s">
        <v>15</v>
      </c>
      <c r="N72">
        <v>1</v>
      </c>
      <c r="O72">
        <v>1</v>
      </c>
      <c r="P72" t="str">
        <f>VLOOKUP(B72,'CHECK_DT-BT_chi_tiet'!$A:$C,3,FALSE)</f>
        <v>BV Bình Phước</v>
      </c>
      <c r="Q72" t="str">
        <f>VLOOKUP(A72,Sheet3!$K$11:$L$21,2,FALSE)</f>
        <v>BH Con người</v>
      </c>
      <c r="R72" t="str">
        <f>VLOOKUP(Q72,Sheet3!$L$11:$M$21,2,FALSE)</f>
        <v>HQ1</v>
      </c>
      <c r="S72" s="26">
        <f>SUMIFS('HQ2'!$O:$O,'HQ2'!$B:$B, "="&amp;'Tong_hop_HQNV_2026Q1_2026-06-23'!Q72, 'HQ2'!$A:$A,"="&amp;'Tong_hop_HQNV_2026Q1_2026-06-23'!P72)</f>
        <v>0</v>
      </c>
      <c r="T72" s="7">
        <f t="shared" si="1"/>
        <v>0</v>
      </c>
    </row>
    <row r="73" spans="1:20" x14ac:dyDescent="0.25">
      <c r="A73" t="s">
        <v>14</v>
      </c>
      <c r="B73" s="9" t="s">
        <v>297</v>
      </c>
      <c r="C73">
        <v>0</v>
      </c>
      <c r="D73">
        <v>0</v>
      </c>
      <c r="E73">
        <v>-1183759602</v>
      </c>
      <c r="F73">
        <v>1263057320</v>
      </c>
      <c r="G73">
        <v>67645000</v>
      </c>
      <c r="H73">
        <v>67645000</v>
      </c>
      <c r="I73">
        <v>0</v>
      </c>
      <c r="J73">
        <v>0</v>
      </c>
      <c r="K73">
        <v>1263057320</v>
      </c>
      <c r="L73">
        <v>1183759602</v>
      </c>
      <c r="M73" t="s">
        <v>15</v>
      </c>
      <c r="N73">
        <v>1</v>
      </c>
      <c r="O73">
        <v>1</v>
      </c>
      <c r="P73" t="str">
        <f>VLOOKUP(B73,'CHECK_DT-BT_chi_tiet'!$A:$C,3,FALSE)</f>
        <v>BV Cà Mau</v>
      </c>
      <c r="Q73" t="str">
        <f>VLOOKUP(A73,Sheet3!$K$11:$L$21,2,FALSE)</f>
        <v>BH Con người</v>
      </c>
      <c r="R73" t="str">
        <f>VLOOKUP(Q73,Sheet3!$L$11:$M$21,2,FALSE)</f>
        <v>HQ1</v>
      </c>
      <c r="S73" s="26">
        <f>SUMIFS('HQ2'!$O:$O,'HQ2'!$B:$B, "="&amp;'Tong_hop_HQNV_2026Q1_2026-06-23'!Q73, 'HQ2'!$A:$A,"="&amp;'Tong_hop_HQNV_2026Q1_2026-06-23'!P73)</f>
        <v>0</v>
      </c>
      <c r="T73" s="7">
        <f t="shared" si="1"/>
        <v>0</v>
      </c>
    </row>
    <row r="74" spans="1:20" x14ac:dyDescent="0.25">
      <c r="A74" t="s">
        <v>14</v>
      </c>
      <c r="B74" s="9" t="s">
        <v>299</v>
      </c>
      <c r="C74">
        <v>0</v>
      </c>
      <c r="D74">
        <v>-3713300</v>
      </c>
      <c r="E74">
        <v>-392870500</v>
      </c>
      <c r="F74">
        <v>474428600</v>
      </c>
      <c r="G74">
        <v>0</v>
      </c>
      <c r="H74">
        <v>0</v>
      </c>
      <c r="I74">
        <v>0</v>
      </c>
      <c r="J74">
        <v>0</v>
      </c>
      <c r="K74">
        <v>470715300</v>
      </c>
      <c r="L74">
        <v>392870500</v>
      </c>
      <c r="M74" t="s">
        <v>15</v>
      </c>
      <c r="N74">
        <v>1</v>
      </c>
      <c r="O74">
        <v>1</v>
      </c>
      <c r="P74" t="str">
        <f>VLOOKUP(B74,'CHECK_DT-BT_chi_tiet'!$A:$C,3,FALSE)</f>
        <v>BV Cao Bằng</v>
      </c>
      <c r="Q74" t="str">
        <f>VLOOKUP(A74,Sheet3!$K$11:$L$21,2,FALSE)</f>
        <v>BH Con người</v>
      </c>
      <c r="R74" t="str">
        <f>VLOOKUP(Q74,Sheet3!$L$11:$M$21,2,FALSE)</f>
        <v>HQ1</v>
      </c>
      <c r="S74" s="26">
        <f>SUMIFS('HQ2'!$O:$O,'HQ2'!$B:$B, "="&amp;'Tong_hop_HQNV_2026Q1_2026-06-23'!Q74, 'HQ2'!$A:$A,"="&amp;'Tong_hop_HQNV_2026Q1_2026-06-23'!P74)</f>
        <v>0</v>
      </c>
      <c r="T74" s="7">
        <f t="shared" si="1"/>
        <v>0</v>
      </c>
    </row>
    <row r="75" spans="1:20" x14ac:dyDescent="0.25">
      <c r="A75" t="s">
        <v>14</v>
      </c>
      <c r="B75" s="9" t="s">
        <v>298</v>
      </c>
      <c r="C75">
        <v>0</v>
      </c>
      <c r="D75">
        <v>0</v>
      </c>
      <c r="E75">
        <v>-1750244000</v>
      </c>
      <c r="F75">
        <v>1394803753</v>
      </c>
      <c r="G75">
        <v>102548800</v>
      </c>
      <c r="H75">
        <v>101948800</v>
      </c>
      <c r="I75">
        <v>0</v>
      </c>
      <c r="J75">
        <v>0</v>
      </c>
      <c r="K75">
        <v>1394803753</v>
      </c>
      <c r="L75">
        <v>1750244000</v>
      </c>
      <c r="M75" t="s">
        <v>15</v>
      </c>
      <c r="N75">
        <v>1</v>
      </c>
      <c r="O75">
        <v>1</v>
      </c>
      <c r="P75" t="str">
        <f>VLOOKUP(B75,'CHECK_DT-BT_chi_tiet'!$A:$C,3,FALSE)</f>
        <v>BV Cần Thơ</v>
      </c>
      <c r="Q75" t="str">
        <f>VLOOKUP(A75,Sheet3!$K$11:$L$21,2,FALSE)</f>
        <v>BH Con người</v>
      </c>
      <c r="R75" t="str">
        <f>VLOOKUP(Q75,Sheet3!$L$11:$M$21,2,FALSE)</f>
        <v>HQ1</v>
      </c>
      <c r="S75" s="26">
        <f>SUMIFS('HQ2'!$O:$O,'HQ2'!$B:$B, "="&amp;'Tong_hop_HQNV_2026Q1_2026-06-23'!Q75, 'HQ2'!$A:$A,"="&amp;'Tong_hop_HQNV_2026Q1_2026-06-23'!P75)</f>
        <v>0</v>
      </c>
      <c r="T75" s="7">
        <f t="shared" si="1"/>
        <v>0</v>
      </c>
    </row>
    <row r="76" spans="1:20" x14ac:dyDescent="0.25">
      <c r="A76" t="s">
        <v>14</v>
      </c>
      <c r="B76" s="9" t="s">
        <v>300</v>
      </c>
      <c r="C76">
        <v>0</v>
      </c>
      <c r="D76">
        <v>-6065307</v>
      </c>
      <c r="E76">
        <v>-1005872430</v>
      </c>
      <c r="F76">
        <v>2270407136</v>
      </c>
      <c r="G76">
        <v>28180000</v>
      </c>
      <c r="H76">
        <v>8180000</v>
      </c>
      <c r="I76">
        <v>0</v>
      </c>
      <c r="J76">
        <v>0</v>
      </c>
      <c r="K76">
        <v>2264341829</v>
      </c>
      <c r="L76">
        <v>1005872430</v>
      </c>
      <c r="M76" t="s">
        <v>15</v>
      </c>
      <c r="N76">
        <v>1</v>
      </c>
      <c r="O76">
        <v>1</v>
      </c>
      <c r="P76" t="str">
        <f>VLOOKUP(B76,'CHECK_DT-BT_chi_tiet'!$A:$C,3,FALSE)</f>
        <v>BV Đà Nẵng</v>
      </c>
      <c r="Q76" t="str">
        <f>VLOOKUP(A76,Sheet3!$K$11:$L$21,2,FALSE)</f>
        <v>BH Con người</v>
      </c>
      <c r="R76" t="str">
        <f>VLOOKUP(Q76,Sheet3!$L$11:$M$21,2,FALSE)</f>
        <v>HQ1</v>
      </c>
      <c r="S76" s="26">
        <f>SUMIFS('HQ2'!$O:$O,'HQ2'!$B:$B, "="&amp;'Tong_hop_HQNV_2026Q1_2026-06-23'!Q76, 'HQ2'!$A:$A,"="&amp;'Tong_hop_HQNV_2026Q1_2026-06-23'!P76)</f>
        <v>0</v>
      </c>
      <c r="T76" s="7">
        <f t="shared" si="1"/>
        <v>0</v>
      </c>
    </row>
    <row r="77" spans="1:20" x14ac:dyDescent="0.25">
      <c r="A77" t="s">
        <v>14</v>
      </c>
      <c r="B77" s="9" t="s">
        <v>301</v>
      </c>
      <c r="C77">
        <v>0</v>
      </c>
      <c r="D77">
        <v>-2606483</v>
      </c>
      <c r="E77">
        <v>-1753747019</v>
      </c>
      <c r="F77">
        <v>3838373400</v>
      </c>
      <c r="G77">
        <v>223885000</v>
      </c>
      <c r="H77">
        <v>195385000</v>
      </c>
      <c r="I77">
        <v>0</v>
      </c>
      <c r="J77">
        <v>0</v>
      </c>
      <c r="K77">
        <v>3835766917</v>
      </c>
      <c r="L77">
        <v>1753747019</v>
      </c>
      <c r="M77" t="s">
        <v>15</v>
      </c>
      <c r="N77">
        <v>1</v>
      </c>
      <c r="O77">
        <v>1</v>
      </c>
      <c r="P77" t="str">
        <f>VLOOKUP(B77,'CHECK_DT-BT_chi_tiet'!$A:$C,3,FALSE)</f>
        <v>BV Dak Lak</v>
      </c>
      <c r="Q77" t="str">
        <f>VLOOKUP(A77,Sheet3!$K$11:$L$21,2,FALSE)</f>
        <v>BH Con người</v>
      </c>
      <c r="R77" t="str">
        <f>VLOOKUP(Q77,Sheet3!$L$11:$M$21,2,FALSE)</f>
        <v>HQ1</v>
      </c>
      <c r="S77" s="26">
        <f>SUMIFS('HQ2'!$O:$O,'HQ2'!$B:$B, "="&amp;'Tong_hop_HQNV_2026Q1_2026-06-23'!Q77, 'HQ2'!$A:$A,"="&amp;'Tong_hop_HQNV_2026Q1_2026-06-23'!P77)</f>
        <v>0</v>
      </c>
      <c r="T77" s="7">
        <f t="shared" si="1"/>
        <v>0</v>
      </c>
    </row>
    <row r="78" spans="1:20" x14ac:dyDescent="0.25">
      <c r="A78" t="s">
        <v>14</v>
      </c>
      <c r="B78" s="9" t="s">
        <v>307</v>
      </c>
      <c r="C78">
        <v>0</v>
      </c>
      <c r="D78">
        <v>32085226</v>
      </c>
      <c r="E78">
        <v>-3759718429</v>
      </c>
      <c r="F78">
        <v>1385486213</v>
      </c>
      <c r="G78">
        <v>495769000</v>
      </c>
      <c r="H78">
        <v>190875000</v>
      </c>
      <c r="I78">
        <v>0</v>
      </c>
      <c r="J78">
        <v>0</v>
      </c>
      <c r="K78">
        <v>1417571439</v>
      </c>
      <c r="L78">
        <v>3759718429</v>
      </c>
      <c r="M78" t="s">
        <v>15</v>
      </c>
      <c r="N78">
        <v>1</v>
      </c>
      <c r="O78">
        <v>1</v>
      </c>
      <c r="P78" t="str">
        <f>VLOOKUP(B78,'CHECK_DT-BT_chi_tiet'!$A:$C,3,FALSE)</f>
        <v>BV Đồng Nai</v>
      </c>
      <c r="Q78" t="str">
        <f>VLOOKUP(A78,Sheet3!$K$11:$L$21,2,FALSE)</f>
        <v>BH Con người</v>
      </c>
      <c r="R78" t="str">
        <f>VLOOKUP(Q78,Sheet3!$L$11:$M$21,2,FALSE)</f>
        <v>HQ1</v>
      </c>
      <c r="S78" s="26">
        <f>SUMIFS('HQ2'!$O:$O,'HQ2'!$B:$B, "="&amp;'Tong_hop_HQNV_2026Q1_2026-06-23'!Q78, 'HQ2'!$A:$A,"="&amp;'Tong_hop_HQNV_2026Q1_2026-06-23'!P78)</f>
        <v>0</v>
      </c>
      <c r="T78" s="7">
        <f t="shared" si="1"/>
        <v>0</v>
      </c>
    </row>
    <row r="79" spans="1:20" x14ac:dyDescent="0.25">
      <c r="A79" t="s">
        <v>14</v>
      </c>
      <c r="B79" s="9" t="s">
        <v>308</v>
      </c>
      <c r="C79">
        <v>0</v>
      </c>
      <c r="D79">
        <v>-2509807</v>
      </c>
      <c r="E79">
        <v>-8592358940</v>
      </c>
      <c r="F79">
        <v>2765561568</v>
      </c>
      <c r="G79" s="92">
        <v>120000000</v>
      </c>
      <c r="H79" s="92">
        <v>120000000</v>
      </c>
      <c r="I79">
        <v>0</v>
      </c>
      <c r="J79">
        <v>0</v>
      </c>
      <c r="K79">
        <v>2763051761</v>
      </c>
      <c r="L79">
        <v>8592358940</v>
      </c>
      <c r="M79" t="s">
        <v>15</v>
      </c>
      <c r="N79">
        <v>1</v>
      </c>
      <c r="O79">
        <v>1</v>
      </c>
      <c r="P79" t="str">
        <f>VLOOKUP(B79,'CHECK_DT-BT_chi_tiet'!$A:$C,3,FALSE)</f>
        <v>BV Đồng Tháp</v>
      </c>
      <c r="Q79" t="str">
        <f>VLOOKUP(A79,Sheet3!$K$11:$L$21,2,FALSE)</f>
        <v>BH Con người</v>
      </c>
      <c r="R79" t="str">
        <f>VLOOKUP(Q79,Sheet3!$L$11:$M$21,2,FALSE)</f>
        <v>HQ1</v>
      </c>
      <c r="S79" s="26">
        <f>SUMIFS('HQ2'!$O:$O,'HQ2'!$B:$B, "="&amp;'Tong_hop_HQNV_2026Q1_2026-06-23'!Q79, 'HQ2'!$A:$A,"="&amp;'Tong_hop_HQNV_2026Q1_2026-06-23'!P79)</f>
        <v>0</v>
      </c>
      <c r="T79" s="7">
        <f t="shared" si="1"/>
        <v>0</v>
      </c>
    </row>
    <row r="80" spans="1:20" x14ac:dyDescent="0.25">
      <c r="A80" t="s">
        <v>14</v>
      </c>
      <c r="B80" s="9" t="s">
        <v>310</v>
      </c>
      <c r="C80">
        <v>0</v>
      </c>
      <c r="D80">
        <v>-3298100</v>
      </c>
      <c r="E80">
        <v>-928285000</v>
      </c>
      <c r="F80">
        <v>2040040400</v>
      </c>
      <c r="G80">
        <v>118805000</v>
      </c>
      <c r="H80">
        <v>73055000</v>
      </c>
      <c r="I80">
        <v>0</v>
      </c>
      <c r="J80">
        <v>0</v>
      </c>
      <c r="K80">
        <v>2036742300</v>
      </c>
      <c r="L80">
        <v>928285000</v>
      </c>
      <c r="M80" t="s">
        <v>15</v>
      </c>
      <c r="N80">
        <v>1</v>
      </c>
      <c r="O80">
        <v>1</v>
      </c>
      <c r="P80" t="str">
        <f>VLOOKUP(B80,'CHECK_DT-BT_chi_tiet'!$A:$C,3,FALSE)</f>
        <v>BV Gia Lai</v>
      </c>
      <c r="Q80" t="str">
        <f>VLOOKUP(A80,Sheet3!$K$11:$L$21,2,FALSE)</f>
        <v>BH Con người</v>
      </c>
      <c r="R80" t="str">
        <f>VLOOKUP(Q80,Sheet3!$L$11:$M$21,2,FALSE)</f>
        <v>HQ1</v>
      </c>
      <c r="S80" s="26">
        <f>SUMIFS('HQ2'!$O:$O,'HQ2'!$B:$B, "="&amp;'Tong_hop_HQNV_2026Q1_2026-06-23'!Q80, 'HQ2'!$A:$A,"="&amp;'Tong_hop_HQNV_2026Q1_2026-06-23'!P80)</f>
        <v>0</v>
      </c>
      <c r="T80" s="7">
        <f t="shared" si="1"/>
        <v>0</v>
      </c>
    </row>
    <row r="81" spans="1:20" x14ac:dyDescent="0.25">
      <c r="A81" t="s">
        <v>14</v>
      </c>
      <c r="B81" s="9" t="s">
        <v>311</v>
      </c>
      <c r="C81">
        <v>0</v>
      </c>
      <c r="D81">
        <v>0</v>
      </c>
      <c r="E81">
        <v>-241944700</v>
      </c>
      <c r="F81">
        <v>447352189</v>
      </c>
      <c r="G81">
        <v>0</v>
      </c>
      <c r="H81">
        <v>0</v>
      </c>
      <c r="I81">
        <v>0</v>
      </c>
      <c r="J81">
        <v>0</v>
      </c>
      <c r="K81">
        <v>447352189</v>
      </c>
      <c r="L81">
        <v>241944700</v>
      </c>
      <c r="M81" t="s">
        <v>15</v>
      </c>
      <c r="N81">
        <v>1</v>
      </c>
      <c r="O81">
        <v>1</v>
      </c>
      <c r="P81" t="str">
        <f>VLOOKUP(B81,'CHECK_DT-BT_chi_tiet'!$A:$C,3,FALSE)</f>
        <v>BV Hà Giang</v>
      </c>
      <c r="Q81" t="str">
        <f>VLOOKUP(A81,Sheet3!$K$11:$L$21,2,FALSE)</f>
        <v>BH Con người</v>
      </c>
      <c r="R81" t="str">
        <f>VLOOKUP(Q81,Sheet3!$L$11:$M$21,2,FALSE)</f>
        <v>HQ1</v>
      </c>
      <c r="S81" s="26">
        <f>SUMIFS('HQ2'!$O:$O,'HQ2'!$B:$B, "="&amp;'Tong_hop_HQNV_2026Q1_2026-06-23'!Q81, 'HQ2'!$A:$A,"="&amp;'Tong_hop_HQNV_2026Q1_2026-06-23'!P81)</f>
        <v>0</v>
      </c>
      <c r="T81" s="7">
        <f t="shared" si="1"/>
        <v>0</v>
      </c>
    </row>
    <row r="82" spans="1:20" x14ac:dyDescent="0.25">
      <c r="A82" t="s">
        <v>14</v>
      </c>
      <c r="B82" s="9" t="s">
        <v>312</v>
      </c>
      <c r="C82">
        <v>0</v>
      </c>
      <c r="D82">
        <v>-5119852</v>
      </c>
      <c r="E82">
        <v>-1860601385</v>
      </c>
      <c r="F82">
        <v>1458857553</v>
      </c>
      <c r="G82">
        <v>35360000</v>
      </c>
      <c r="H82">
        <v>0</v>
      </c>
      <c r="I82">
        <v>0</v>
      </c>
      <c r="J82">
        <v>0</v>
      </c>
      <c r="K82">
        <v>1453737701</v>
      </c>
      <c r="L82">
        <v>1860601385</v>
      </c>
      <c r="M82" t="s">
        <v>15</v>
      </c>
      <c r="N82">
        <v>1</v>
      </c>
      <c r="O82">
        <v>1</v>
      </c>
      <c r="P82" t="str">
        <f>VLOOKUP(B82,'CHECK_DT-BT_chi_tiet'!$A:$C,3,FALSE)</f>
        <v>BV Hà Nam</v>
      </c>
      <c r="Q82" t="str">
        <f>VLOOKUP(A82,Sheet3!$K$11:$L$21,2,FALSE)</f>
        <v>BH Con người</v>
      </c>
      <c r="R82" t="str">
        <f>VLOOKUP(Q82,Sheet3!$L$11:$M$21,2,FALSE)</f>
        <v>HQ1</v>
      </c>
      <c r="S82" s="26">
        <f>SUMIFS('HQ2'!$O:$O,'HQ2'!$B:$B, "="&amp;'Tong_hop_HQNV_2026Q1_2026-06-23'!Q82, 'HQ2'!$A:$A,"="&amp;'Tong_hop_HQNV_2026Q1_2026-06-23'!P82)</f>
        <v>0</v>
      </c>
      <c r="T82" s="7">
        <f t="shared" si="1"/>
        <v>0</v>
      </c>
    </row>
    <row r="83" spans="1:20" x14ac:dyDescent="0.25">
      <c r="A83" t="s">
        <v>14</v>
      </c>
      <c r="B83" s="9" t="s">
        <v>306</v>
      </c>
      <c r="C83">
        <v>0</v>
      </c>
      <c r="D83">
        <v>-4597404</v>
      </c>
      <c r="E83">
        <v>-6268953487</v>
      </c>
      <c r="F83">
        <v>8039359986</v>
      </c>
      <c r="G83">
        <v>331880000</v>
      </c>
      <c r="H83">
        <v>279025000</v>
      </c>
      <c r="I83">
        <v>0</v>
      </c>
      <c r="J83">
        <v>0</v>
      </c>
      <c r="K83">
        <v>8034762582</v>
      </c>
      <c r="L83">
        <v>6268953487</v>
      </c>
      <c r="M83" t="s">
        <v>15</v>
      </c>
      <c r="N83">
        <v>1</v>
      </c>
      <c r="O83">
        <v>1</v>
      </c>
      <c r="P83" t="str">
        <f>VLOOKUP(B83,'CHECK_DT-BT_chi_tiet'!$A:$C,3,FALSE)</f>
        <v>BV Đông Đô</v>
      </c>
      <c r="Q83" t="str">
        <f>VLOOKUP(A83,Sheet3!$K$11:$L$21,2,FALSE)</f>
        <v>BH Con người</v>
      </c>
      <c r="R83" t="str">
        <f>VLOOKUP(Q83,Sheet3!$L$11:$M$21,2,FALSE)</f>
        <v>HQ1</v>
      </c>
      <c r="S83" s="26">
        <f>SUMIFS('HQ2'!$O:$O,'HQ2'!$B:$B, "="&amp;'Tong_hop_HQNV_2026Q1_2026-06-23'!Q83, 'HQ2'!$A:$A,"="&amp;'Tong_hop_HQNV_2026Q1_2026-06-23'!P83)</f>
        <v>0</v>
      </c>
      <c r="T83" s="7">
        <f t="shared" si="1"/>
        <v>0</v>
      </c>
    </row>
    <row r="84" spans="1:20" x14ac:dyDescent="0.25">
      <c r="A84" t="s">
        <v>14</v>
      </c>
      <c r="B84" s="9" t="s">
        <v>315</v>
      </c>
      <c r="C84">
        <v>0</v>
      </c>
      <c r="D84">
        <v>0</v>
      </c>
      <c r="E84">
        <v>-1855190000</v>
      </c>
      <c r="F84">
        <v>3388132347</v>
      </c>
      <c r="G84">
        <v>412570000</v>
      </c>
      <c r="H84">
        <v>208266000</v>
      </c>
      <c r="I84">
        <v>0</v>
      </c>
      <c r="J84">
        <v>0</v>
      </c>
      <c r="K84">
        <v>3388132347</v>
      </c>
      <c r="L84">
        <v>1855190000</v>
      </c>
      <c r="M84" t="s">
        <v>15</v>
      </c>
      <c r="N84">
        <v>1</v>
      </c>
      <c r="O84">
        <v>1</v>
      </c>
      <c r="P84" t="str">
        <f>VLOOKUP(B84,'CHECK_DT-BT_chi_tiet'!$A:$C,3,FALSE)</f>
        <v>BV Hà Tĩnh</v>
      </c>
      <c r="Q84" t="str">
        <f>VLOOKUP(A84,Sheet3!$K$11:$L$21,2,FALSE)</f>
        <v>BH Con người</v>
      </c>
      <c r="R84" t="str">
        <f>VLOOKUP(Q84,Sheet3!$L$11:$M$21,2,FALSE)</f>
        <v>HQ1</v>
      </c>
      <c r="S84" s="26">
        <f>SUMIFS('HQ2'!$O:$O,'HQ2'!$B:$B, "="&amp;'Tong_hop_HQNV_2026Q1_2026-06-23'!Q84, 'HQ2'!$A:$A,"="&amp;'Tong_hop_HQNV_2026Q1_2026-06-23'!P84)</f>
        <v>0</v>
      </c>
      <c r="T84" s="7">
        <f t="shared" si="1"/>
        <v>0</v>
      </c>
    </row>
    <row r="85" spans="1:20" x14ac:dyDescent="0.25">
      <c r="A85" t="s">
        <v>14</v>
      </c>
      <c r="B85" s="9" t="s">
        <v>316</v>
      </c>
      <c r="C85">
        <v>0</v>
      </c>
      <c r="D85">
        <v>-28216500</v>
      </c>
      <c r="E85">
        <v>-6532654000</v>
      </c>
      <c r="F85">
        <v>4272523900</v>
      </c>
      <c r="G85">
        <v>0</v>
      </c>
      <c r="H85">
        <v>0</v>
      </c>
      <c r="I85">
        <v>0</v>
      </c>
      <c r="J85">
        <v>0</v>
      </c>
      <c r="K85">
        <v>4244307400</v>
      </c>
      <c r="L85">
        <v>6532654000</v>
      </c>
      <c r="M85" t="s">
        <v>15</v>
      </c>
      <c r="N85">
        <v>1</v>
      </c>
      <c r="O85">
        <v>1</v>
      </c>
      <c r="P85" t="str">
        <f>VLOOKUP(B85,'CHECK_DT-BT_chi_tiet'!$A:$C,3,FALSE)</f>
        <v>BV Hải Dương</v>
      </c>
      <c r="Q85" t="str">
        <f>VLOOKUP(A85,Sheet3!$K$11:$L$21,2,FALSE)</f>
        <v>BH Con người</v>
      </c>
      <c r="R85" t="str">
        <f>VLOOKUP(Q85,Sheet3!$L$11:$M$21,2,FALSE)</f>
        <v>HQ1</v>
      </c>
      <c r="S85" s="26">
        <f>SUMIFS('HQ2'!$O:$O,'HQ2'!$B:$B, "="&amp;'Tong_hop_HQNV_2026Q1_2026-06-23'!Q85, 'HQ2'!$A:$A,"="&amp;'Tong_hop_HQNV_2026Q1_2026-06-23'!P85)</f>
        <v>0</v>
      </c>
      <c r="T85" s="7">
        <f t="shared" si="1"/>
        <v>0</v>
      </c>
    </row>
    <row r="86" spans="1:20" x14ac:dyDescent="0.25">
      <c r="A86" t="s">
        <v>14</v>
      </c>
      <c r="B86" s="9" t="s">
        <v>317</v>
      </c>
      <c r="C86">
        <v>0</v>
      </c>
      <c r="D86">
        <v>-3193000</v>
      </c>
      <c r="E86">
        <v>-2951423398</v>
      </c>
      <c r="F86">
        <v>4866201856</v>
      </c>
      <c r="G86">
        <v>117395000</v>
      </c>
      <c r="H86">
        <v>101220000</v>
      </c>
      <c r="I86">
        <v>0</v>
      </c>
      <c r="J86">
        <v>0</v>
      </c>
      <c r="K86">
        <v>4863008856</v>
      </c>
      <c r="L86">
        <v>2951423398</v>
      </c>
      <c r="M86" t="s">
        <v>15</v>
      </c>
      <c r="N86">
        <v>1</v>
      </c>
      <c r="O86">
        <v>1</v>
      </c>
      <c r="P86" t="str">
        <f>VLOOKUP(B86,'CHECK_DT-BT_chi_tiet'!$A:$C,3,FALSE)</f>
        <v>BV Hải Phòng</v>
      </c>
      <c r="Q86" t="str">
        <f>VLOOKUP(A86,Sheet3!$K$11:$L$21,2,FALSE)</f>
        <v>BH Con người</v>
      </c>
      <c r="R86" t="str">
        <f>VLOOKUP(Q86,Sheet3!$L$11:$M$21,2,FALSE)</f>
        <v>HQ1</v>
      </c>
      <c r="S86" s="26">
        <f>SUMIFS('HQ2'!$O:$O,'HQ2'!$B:$B, "="&amp;'Tong_hop_HQNV_2026Q1_2026-06-23'!Q86, 'HQ2'!$A:$A,"="&amp;'Tong_hop_HQNV_2026Q1_2026-06-23'!P86)</f>
        <v>0</v>
      </c>
      <c r="T86" s="7">
        <f t="shared" si="1"/>
        <v>0</v>
      </c>
    </row>
    <row r="87" spans="1:20" x14ac:dyDescent="0.25">
      <c r="A87" t="s">
        <v>14</v>
      </c>
      <c r="B87" s="9" t="s">
        <v>320</v>
      </c>
      <c r="C87">
        <v>0</v>
      </c>
      <c r="D87">
        <v>-5750600</v>
      </c>
      <c r="E87">
        <v>-5430630000</v>
      </c>
      <c r="F87">
        <v>3797234060</v>
      </c>
      <c r="G87">
        <v>355920000</v>
      </c>
      <c r="H87">
        <v>227650000</v>
      </c>
      <c r="I87">
        <v>0</v>
      </c>
      <c r="J87">
        <v>0</v>
      </c>
      <c r="K87">
        <v>3791483460</v>
      </c>
      <c r="L87">
        <v>5430630000</v>
      </c>
      <c r="M87" t="s">
        <v>15</v>
      </c>
      <c r="N87">
        <v>1</v>
      </c>
      <c r="O87">
        <v>1</v>
      </c>
      <c r="P87" t="str">
        <f>VLOOKUP(B87,'CHECK_DT-BT_chi_tiet'!$A:$C,3,FALSE)</f>
        <v>BV Hưng Yên</v>
      </c>
      <c r="Q87" t="str">
        <f>VLOOKUP(A87,Sheet3!$K$11:$L$21,2,FALSE)</f>
        <v>BH Con người</v>
      </c>
      <c r="R87" t="str">
        <f>VLOOKUP(Q87,Sheet3!$L$11:$M$21,2,FALSE)</f>
        <v>HQ1</v>
      </c>
      <c r="S87" s="26">
        <f>SUMIFS('HQ2'!$O:$O,'HQ2'!$B:$B, "="&amp;'Tong_hop_HQNV_2026Q1_2026-06-23'!Q87, 'HQ2'!$A:$A,"="&amp;'Tong_hop_HQNV_2026Q1_2026-06-23'!P87)</f>
        <v>0</v>
      </c>
      <c r="T87" s="7">
        <f t="shared" si="1"/>
        <v>0</v>
      </c>
    </row>
    <row r="88" spans="1:20" x14ac:dyDescent="0.25">
      <c r="A88" t="s">
        <v>14</v>
      </c>
      <c r="B88" s="9" t="s">
        <v>319</v>
      </c>
      <c r="C88">
        <v>0</v>
      </c>
      <c r="D88">
        <v>-2994965</v>
      </c>
      <c r="E88">
        <v>-664593000</v>
      </c>
      <c r="F88">
        <v>961538225</v>
      </c>
      <c r="G88">
        <v>0</v>
      </c>
      <c r="H88">
        <v>0</v>
      </c>
      <c r="I88">
        <v>0</v>
      </c>
      <c r="J88">
        <v>0</v>
      </c>
      <c r="K88">
        <v>958543260</v>
      </c>
      <c r="L88">
        <v>664593000</v>
      </c>
      <c r="M88" t="s">
        <v>15</v>
      </c>
      <c r="N88">
        <v>1</v>
      </c>
      <c r="O88">
        <v>1</v>
      </c>
      <c r="P88" t="str">
        <f>VLOOKUP(B88,'CHECK_DT-BT_chi_tiet'!$A:$C,3,FALSE)</f>
        <v>BV Hòa Bình</v>
      </c>
      <c r="Q88" t="str">
        <f>VLOOKUP(A88,Sheet3!$K$11:$L$21,2,FALSE)</f>
        <v>BH Con người</v>
      </c>
      <c r="R88" t="str">
        <f>VLOOKUP(Q88,Sheet3!$L$11:$M$21,2,FALSE)</f>
        <v>HQ1</v>
      </c>
      <c r="S88" s="26">
        <f>SUMIFS('HQ2'!$O:$O,'HQ2'!$B:$B, "="&amp;'Tong_hop_HQNV_2026Q1_2026-06-23'!Q88, 'HQ2'!$A:$A,"="&amp;'Tong_hop_HQNV_2026Q1_2026-06-23'!P88)</f>
        <v>0</v>
      </c>
      <c r="T88" s="7">
        <f t="shared" si="1"/>
        <v>0</v>
      </c>
    </row>
    <row r="89" spans="1:20" x14ac:dyDescent="0.25">
      <c r="A89" t="s">
        <v>14</v>
      </c>
      <c r="B89" s="9" t="s">
        <v>321</v>
      </c>
      <c r="C89">
        <v>0</v>
      </c>
      <c r="D89">
        <v>-20205364</v>
      </c>
      <c r="E89">
        <v>-1408164716</v>
      </c>
      <c r="F89">
        <v>2648221549</v>
      </c>
      <c r="G89">
        <v>0</v>
      </c>
      <c r="H89">
        <v>0</v>
      </c>
      <c r="I89">
        <v>0</v>
      </c>
      <c r="J89">
        <v>0</v>
      </c>
      <c r="K89">
        <v>2628016185</v>
      </c>
      <c r="L89">
        <v>1408164716</v>
      </c>
      <c r="M89" t="s">
        <v>15</v>
      </c>
      <c r="N89">
        <v>1</v>
      </c>
      <c r="O89">
        <v>1</v>
      </c>
      <c r="P89" t="str">
        <f>VLOOKUP(B89,'CHECK_DT-BT_chi_tiet'!$A:$C,3,FALSE)</f>
        <v>BV Khánh Hòa</v>
      </c>
      <c r="Q89" t="str">
        <f>VLOOKUP(A89,Sheet3!$K$11:$L$21,2,FALSE)</f>
        <v>BH Con người</v>
      </c>
      <c r="R89" t="str">
        <f>VLOOKUP(Q89,Sheet3!$L$11:$M$21,2,FALSE)</f>
        <v>HQ1</v>
      </c>
      <c r="S89" s="26">
        <f>SUMIFS('HQ2'!$O:$O,'HQ2'!$B:$B, "="&amp;'Tong_hop_HQNV_2026Q1_2026-06-23'!Q89, 'HQ2'!$A:$A,"="&amp;'Tong_hop_HQNV_2026Q1_2026-06-23'!P89)</f>
        <v>0</v>
      </c>
      <c r="T89" s="7">
        <f t="shared" si="1"/>
        <v>0</v>
      </c>
    </row>
    <row r="90" spans="1:20" x14ac:dyDescent="0.25">
      <c r="A90" t="s">
        <v>14</v>
      </c>
      <c r="B90" s="9" t="s">
        <v>322</v>
      </c>
      <c r="C90">
        <v>0</v>
      </c>
      <c r="D90">
        <v>-3040535</v>
      </c>
      <c r="E90">
        <v>-8915518640</v>
      </c>
      <c r="F90">
        <v>16137527270</v>
      </c>
      <c r="G90">
        <v>0</v>
      </c>
      <c r="H90">
        <v>0</v>
      </c>
      <c r="I90">
        <v>0</v>
      </c>
      <c r="J90">
        <v>0</v>
      </c>
      <c r="K90">
        <v>16134486735</v>
      </c>
      <c r="L90">
        <v>8915518640</v>
      </c>
      <c r="M90" t="s">
        <v>15</v>
      </c>
      <c r="N90">
        <v>1</v>
      </c>
      <c r="O90">
        <v>1</v>
      </c>
      <c r="P90" t="str">
        <f>VLOOKUP(B90,'CHECK_DT-BT_chi_tiet'!$A:$C,3,FALSE)</f>
        <v>BV Kiên Giang</v>
      </c>
      <c r="Q90" t="str">
        <f>VLOOKUP(A90,Sheet3!$K$11:$L$21,2,FALSE)</f>
        <v>BH Con người</v>
      </c>
      <c r="R90" t="str">
        <f>VLOOKUP(Q90,Sheet3!$L$11:$M$21,2,FALSE)</f>
        <v>HQ1</v>
      </c>
      <c r="S90" s="26">
        <f>SUMIFS('HQ2'!$O:$O,'HQ2'!$B:$B, "="&amp;'Tong_hop_HQNV_2026Q1_2026-06-23'!Q90, 'HQ2'!$A:$A,"="&amp;'Tong_hop_HQNV_2026Q1_2026-06-23'!P90)</f>
        <v>0</v>
      </c>
      <c r="T90" s="7">
        <f t="shared" si="1"/>
        <v>0</v>
      </c>
    </row>
    <row r="91" spans="1:20" x14ac:dyDescent="0.25">
      <c r="A91" t="s">
        <v>14</v>
      </c>
      <c r="B91" s="9" t="s">
        <v>325</v>
      </c>
      <c r="C91">
        <v>0</v>
      </c>
      <c r="D91">
        <v>-14600</v>
      </c>
      <c r="E91">
        <v>-399365000</v>
      </c>
      <c r="F91">
        <v>672964900</v>
      </c>
      <c r="G91">
        <v>171500000</v>
      </c>
      <c r="H91">
        <v>26600000</v>
      </c>
      <c r="I91">
        <v>0</v>
      </c>
      <c r="J91">
        <v>0</v>
      </c>
      <c r="K91">
        <v>672950300</v>
      </c>
      <c r="L91">
        <v>399365000</v>
      </c>
      <c r="M91" t="s">
        <v>15</v>
      </c>
      <c r="N91">
        <v>1</v>
      </c>
      <c r="O91">
        <v>1</v>
      </c>
      <c r="P91" t="str">
        <f>VLOOKUP(B91,'CHECK_DT-BT_chi_tiet'!$A:$C,3,FALSE)</f>
        <v>BV Lâm Đồng</v>
      </c>
      <c r="Q91" t="str">
        <f>VLOOKUP(A91,Sheet3!$K$11:$L$21,2,FALSE)</f>
        <v>BH Con người</v>
      </c>
      <c r="R91" t="str">
        <f>VLOOKUP(Q91,Sheet3!$L$11:$M$21,2,FALSE)</f>
        <v>HQ1</v>
      </c>
      <c r="S91" s="26">
        <f>SUMIFS('HQ2'!$O:$O,'HQ2'!$B:$B, "="&amp;'Tong_hop_HQNV_2026Q1_2026-06-23'!Q91, 'HQ2'!$A:$A,"="&amp;'Tong_hop_HQNV_2026Q1_2026-06-23'!P91)</f>
        <v>0</v>
      </c>
      <c r="T91" s="7">
        <f t="shared" si="1"/>
        <v>0</v>
      </c>
    </row>
    <row r="92" spans="1:20" x14ac:dyDescent="0.25">
      <c r="A92" t="s">
        <v>14</v>
      </c>
      <c r="B92" s="9" t="s">
        <v>327</v>
      </c>
      <c r="C92">
        <v>0</v>
      </c>
      <c r="D92">
        <v>-301193</v>
      </c>
      <c r="E92">
        <v>-741264195</v>
      </c>
      <c r="F92">
        <v>1236184191</v>
      </c>
      <c r="G92">
        <v>83765000</v>
      </c>
      <c r="H92">
        <v>29665000</v>
      </c>
      <c r="I92">
        <v>0</v>
      </c>
      <c r="J92">
        <v>0</v>
      </c>
      <c r="K92">
        <v>1235882998</v>
      </c>
      <c r="L92">
        <v>741264195</v>
      </c>
      <c r="M92" t="s">
        <v>15</v>
      </c>
      <c r="N92">
        <v>1</v>
      </c>
      <c r="O92">
        <v>1</v>
      </c>
      <c r="P92" t="str">
        <f>VLOOKUP(B92,'CHECK_DT-BT_chi_tiet'!$A:$C,3,FALSE)</f>
        <v>BV Lào Cai</v>
      </c>
      <c r="Q92" t="str">
        <f>VLOOKUP(A92,Sheet3!$K$11:$L$21,2,FALSE)</f>
        <v>BH Con người</v>
      </c>
      <c r="R92" t="str">
        <f>VLOOKUP(Q92,Sheet3!$L$11:$M$21,2,FALSE)</f>
        <v>HQ1</v>
      </c>
      <c r="S92" s="26">
        <f>SUMIFS('HQ2'!$O:$O,'HQ2'!$B:$B, "="&amp;'Tong_hop_HQNV_2026Q1_2026-06-23'!Q92, 'HQ2'!$A:$A,"="&amp;'Tong_hop_HQNV_2026Q1_2026-06-23'!P92)</f>
        <v>0</v>
      </c>
      <c r="T92" s="7">
        <f t="shared" si="1"/>
        <v>0</v>
      </c>
    </row>
    <row r="93" spans="1:20" x14ac:dyDescent="0.25">
      <c r="A93" t="s">
        <v>14</v>
      </c>
      <c r="B93" s="9" t="s">
        <v>303</v>
      </c>
      <c r="C93">
        <v>0</v>
      </c>
      <c r="D93">
        <v>-10060000</v>
      </c>
      <c r="E93">
        <v>-1376374000</v>
      </c>
      <c r="F93">
        <v>927275900</v>
      </c>
      <c r="G93">
        <v>19634000</v>
      </c>
      <c r="H93">
        <v>19634000</v>
      </c>
      <c r="I93">
        <v>0</v>
      </c>
      <c r="J93">
        <v>0</v>
      </c>
      <c r="K93">
        <v>917215900</v>
      </c>
      <c r="L93">
        <v>1376374000</v>
      </c>
      <c r="M93" t="s">
        <v>15</v>
      </c>
      <c r="N93">
        <v>1</v>
      </c>
      <c r="O93">
        <v>1</v>
      </c>
      <c r="P93" t="str">
        <f>VLOOKUP(B93,'CHECK_DT-BT_chi_tiet'!$A:$C,3,FALSE)</f>
        <v>BV Điện Biên</v>
      </c>
      <c r="Q93" t="str">
        <f>VLOOKUP(A93,Sheet3!$K$11:$L$21,2,FALSE)</f>
        <v>BH Con người</v>
      </c>
      <c r="R93" t="str">
        <f>VLOOKUP(Q93,Sheet3!$L$11:$M$21,2,FALSE)</f>
        <v>HQ1</v>
      </c>
      <c r="S93" s="26">
        <f>SUMIFS('HQ2'!$O:$O,'HQ2'!$B:$B, "="&amp;'Tong_hop_HQNV_2026Q1_2026-06-23'!Q93, 'HQ2'!$A:$A,"="&amp;'Tong_hop_HQNV_2026Q1_2026-06-23'!P93)</f>
        <v>0</v>
      </c>
      <c r="T93" s="7">
        <f t="shared" si="1"/>
        <v>0</v>
      </c>
    </row>
    <row r="94" spans="1:20" x14ac:dyDescent="0.25">
      <c r="A94" t="s">
        <v>14</v>
      </c>
      <c r="B94" s="9" t="s">
        <v>328</v>
      </c>
      <c r="C94">
        <v>0</v>
      </c>
      <c r="D94">
        <v>-7933786</v>
      </c>
      <c r="E94">
        <v>-2014059600</v>
      </c>
      <c r="F94">
        <v>2581347448</v>
      </c>
      <c r="G94">
        <v>30200000</v>
      </c>
      <c r="H94" s="92">
        <v>30000000</v>
      </c>
      <c r="I94">
        <v>0</v>
      </c>
      <c r="J94">
        <v>0</v>
      </c>
      <c r="K94">
        <v>2573413662</v>
      </c>
      <c r="L94">
        <v>2014059600</v>
      </c>
      <c r="M94" t="s">
        <v>15</v>
      </c>
      <c r="N94">
        <v>1</v>
      </c>
      <c r="O94">
        <v>1</v>
      </c>
      <c r="P94" t="str">
        <f>VLOOKUP(B94,'CHECK_DT-BT_chi_tiet'!$A:$C,3,FALSE)</f>
        <v>BV Long An</v>
      </c>
      <c r="Q94" t="str">
        <f>VLOOKUP(A94,Sheet3!$K$11:$L$21,2,FALSE)</f>
        <v>BH Con người</v>
      </c>
      <c r="R94" t="str">
        <f>VLOOKUP(Q94,Sheet3!$L$11:$M$21,2,FALSE)</f>
        <v>HQ1</v>
      </c>
      <c r="S94" s="26">
        <f>SUMIFS('HQ2'!$O:$O,'HQ2'!$B:$B, "="&amp;'Tong_hop_HQNV_2026Q1_2026-06-23'!Q94, 'HQ2'!$A:$A,"="&amp;'Tong_hop_HQNV_2026Q1_2026-06-23'!P94)</f>
        <v>0</v>
      </c>
      <c r="T94" s="7">
        <f t="shared" si="1"/>
        <v>0</v>
      </c>
    </row>
    <row r="95" spans="1:20" x14ac:dyDescent="0.25">
      <c r="A95" t="s">
        <v>14</v>
      </c>
      <c r="B95" s="9" t="s">
        <v>332</v>
      </c>
      <c r="C95">
        <v>0</v>
      </c>
      <c r="D95">
        <v>-11269000</v>
      </c>
      <c r="E95">
        <v>-1948746500</v>
      </c>
      <c r="F95">
        <v>3029704000</v>
      </c>
      <c r="G95">
        <v>0</v>
      </c>
      <c r="H95">
        <v>0</v>
      </c>
      <c r="I95">
        <v>0</v>
      </c>
      <c r="J95">
        <v>0</v>
      </c>
      <c r="K95">
        <v>3018435000</v>
      </c>
      <c r="L95">
        <v>1948746500</v>
      </c>
      <c r="M95" t="s">
        <v>15</v>
      </c>
      <c r="N95">
        <v>1</v>
      </c>
      <c r="O95">
        <v>1</v>
      </c>
      <c r="P95" t="str">
        <f>VLOOKUP(B95,'CHECK_DT-BT_chi_tiet'!$A:$C,3,FALSE)</f>
        <v>BV Nam Định</v>
      </c>
      <c r="Q95" t="str">
        <f>VLOOKUP(A95,Sheet3!$K$11:$L$21,2,FALSE)</f>
        <v>BH Con người</v>
      </c>
      <c r="R95" t="str">
        <f>VLOOKUP(Q95,Sheet3!$L$11:$M$21,2,FALSE)</f>
        <v>HQ1</v>
      </c>
      <c r="S95" s="26">
        <f>SUMIFS('HQ2'!$O:$O,'HQ2'!$B:$B, "="&amp;'Tong_hop_HQNV_2026Q1_2026-06-23'!Q95, 'HQ2'!$A:$A,"="&amp;'Tong_hop_HQNV_2026Q1_2026-06-23'!P95)</f>
        <v>0</v>
      </c>
      <c r="T95" s="7">
        <f t="shared" si="1"/>
        <v>0</v>
      </c>
    </row>
    <row r="96" spans="1:20" x14ac:dyDescent="0.25">
      <c r="A96" t="s">
        <v>14</v>
      </c>
      <c r="B96" s="9" t="s">
        <v>333</v>
      </c>
      <c r="C96">
        <v>0</v>
      </c>
      <c r="D96">
        <v>-27703000</v>
      </c>
      <c r="E96">
        <v>-12577349262</v>
      </c>
      <c r="F96">
        <v>20419943200</v>
      </c>
      <c r="G96">
        <v>1590328500</v>
      </c>
      <c r="H96">
        <v>1417868500</v>
      </c>
      <c r="I96">
        <v>0</v>
      </c>
      <c r="J96">
        <v>0</v>
      </c>
      <c r="K96">
        <v>20392240200</v>
      </c>
      <c r="L96">
        <v>12577349262</v>
      </c>
      <c r="M96" t="s">
        <v>15</v>
      </c>
      <c r="N96">
        <v>1</v>
      </c>
      <c r="O96">
        <v>1</v>
      </c>
      <c r="P96" t="str">
        <f>VLOOKUP(B96,'CHECK_DT-BT_chi_tiet'!$A:$C,3,FALSE)</f>
        <v>BV Nghệ An</v>
      </c>
      <c r="Q96" t="str">
        <f>VLOOKUP(A96,Sheet3!$K$11:$L$21,2,FALSE)</f>
        <v>BH Con người</v>
      </c>
      <c r="R96" t="str">
        <f>VLOOKUP(Q96,Sheet3!$L$11:$M$21,2,FALSE)</f>
        <v>HQ1</v>
      </c>
      <c r="S96" s="26">
        <f>SUMIFS('HQ2'!$O:$O,'HQ2'!$B:$B, "="&amp;'Tong_hop_HQNV_2026Q1_2026-06-23'!Q96, 'HQ2'!$A:$A,"="&amp;'Tong_hop_HQNV_2026Q1_2026-06-23'!P96)</f>
        <v>0</v>
      </c>
      <c r="T96" s="7">
        <f t="shared" si="1"/>
        <v>0</v>
      </c>
    </row>
    <row r="97" spans="1:20" x14ac:dyDescent="0.25">
      <c r="A97" t="s">
        <v>14</v>
      </c>
      <c r="B97" s="9" t="s">
        <v>334</v>
      </c>
      <c r="C97">
        <v>0</v>
      </c>
      <c r="D97">
        <v>-6189080</v>
      </c>
      <c r="E97">
        <v>-2674415500</v>
      </c>
      <c r="F97">
        <v>2405277300</v>
      </c>
      <c r="G97">
        <v>0</v>
      </c>
      <c r="H97">
        <v>0</v>
      </c>
      <c r="I97">
        <v>0</v>
      </c>
      <c r="J97">
        <v>0</v>
      </c>
      <c r="K97">
        <v>2399088220</v>
      </c>
      <c r="L97">
        <v>2674415500</v>
      </c>
      <c r="M97" t="s">
        <v>15</v>
      </c>
      <c r="N97">
        <v>1</v>
      </c>
      <c r="O97">
        <v>1</v>
      </c>
      <c r="P97" t="str">
        <f>VLOOKUP(B97,'CHECK_DT-BT_chi_tiet'!$A:$C,3,FALSE)</f>
        <v>BV Ninh Bình</v>
      </c>
      <c r="Q97" t="str">
        <f>VLOOKUP(A97,Sheet3!$K$11:$L$21,2,FALSE)</f>
        <v>BH Con người</v>
      </c>
      <c r="R97" t="str">
        <f>VLOOKUP(Q97,Sheet3!$L$11:$M$21,2,FALSE)</f>
        <v>HQ1</v>
      </c>
      <c r="S97" s="26">
        <f>SUMIFS('HQ2'!$O:$O,'HQ2'!$B:$B, "="&amp;'Tong_hop_HQNV_2026Q1_2026-06-23'!Q97, 'HQ2'!$A:$A,"="&amp;'Tong_hop_HQNV_2026Q1_2026-06-23'!P97)</f>
        <v>0</v>
      </c>
      <c r="T97" s="7">
        <f t="shared" si="1"/>
        <v>0</v>
      </c>
    </row>
    <row r="98" spans="1:20" x14ac:dyDescent="0.25">
      <c r="A98" t="s">
        <v>14</v>
      </c>
      <c r="B98" s="9" t="s">
        <v>335</v>
      </c>
      <c r="C98">
        <v>0</v>
      </c>
      <c r="D98">
        <v>-578200</v>
      </c>
      <c r="E98">
        <v>-2464704115</v>
      </c>
      <c r="F98">
        <v>4732445750</v>
      </c>
      <c r="G98">
        <v>0</v>
      </c>
      <c r="H98">
        <v>0</v>
      </c>
      <c r="I98">
        <v>0</v>
      </c>
      <c r="J98">
        <v>0</v>
      </c>
      <c r="K98">
        <v>4731867550</v>
      </c>
      <c r="L98">
        <v>2464704115</v>
      </c>
      <c r="M98" t="s">
        <v>15</v>
      </c>
      <c r="N98">
        <v>1</v>
      </c>
      <c r="O98">
        <v>1</v>
      </c>
      <c r="P98" t="str">
        <f>VLOOKUP(B98,'CHECK_DT-BT_chi_tiet'!$A:$C,3,FALSE)</f>
        <v>BV Ninh Thuận</v>
      </c>
      <c r="Q98" t="str">
        <f>VLOOKUP(A98,Sheet3!$K$11:$L$21,2,FALSE)</f>
        <v>BH Con người</v>
      </c>
      <c r="R98" t="str">
        <f>VLOOKUP(Q98,Sheet3!$L$11:$M$21,2,FALSE)</f>
        <v>HQ1</v>
      </c>
      <c r="S98" s="26">
        <f>SUMIFS('HQ2'!$O:$O,'HQ2'!$B:$B, "="&amp;'Tong_hop_HQNV_2026Q1_2026-06-23'!Q98, 'HQ2'!$A:$A,"="&amp;'Tong_hop_HQNV_2026Q1_2026-06-23'!P98)</f>
        <v>0</v>
      </c>
      <c r="T98" s="7">
        <f t="shared" si="1"/>
        <v>0</v>
      </c>
    </row>
    <row r="99" spans="1:20" x14ac:dyDescent="0.25">
      <c r="A99" t="s">
        <v>14</v>
      </c>
      <c r="B99" s="9" t="s">
        <v>338</v>
      </c>
      <c r="C99">
        <v>0</v>
      </c>
      <c r="D99">
        <v>0</v>
      </c>
      <c r="E99">
        <v>-1916653327</v>
      </c>
      <c r="F99">
        <v>1561643064</v>
      </c>
      <c r="G99">
        <v>142313000</v>
      </c>
      <c r="H99">
        <v>129769000</v>
      </c>
      <c r="I99">
        <v>0</v>
      </c>
      <c r="J99">
        <v>0</v>
      </c>
      <c r="K99">
        <v>1561643064</v>
      </c>
      <c r="L99">
        <v>1916653327</v>
      </c>
      <c r="M99" t="s">
        <v>15</v>
      </c>
      <c r="N99">
        <v>1</v>
      </c>
      <c r="O99">
        <v>1</v>
      </c>
      <c r="P99" t="str">
        <f>VLOOKUP(B99,'CHECK_DT-BT_chi_tiet'!$A:$C,3,FALSE)</f>
        <v>BV Phú Thọ</v>
      </c>
      <c r="Q99" t="str">
        <f>VLOOKUP(A99,Sheet3!$K$11:$L$21,2,FALSE)</f>
        <v>BH Con người</v>
      </c>
      <c r="R99" t="str">
        <f>VLOOKUP(Q99,Sheet3!$L$11:$M$21,2,FALSE)</f>
        <v>HQ1</v>
      </c>
      <c r="S99" s="26">
        <f>SUMIFS('HQ2'!$O:$O,'HQ2'!$B:$B, "="&amp;'Tong_hop_HQNV_2026Q1_2026-06-23'!Q99, 'HQ2'!$A:$A,"="&amp;'Tong_hop_HQNV_2026Q1_2026-06-23'!P99)</f>
        <v>0</v>
      </c>
      <c r="T99" s="7">
        <f t="shared" si="1"/>
        <v>0</v>
      </c>
    </row>
    <row r="100" spans="1:20" x14ac:dyDescent="0.25">
      <c r="A100" t="s">
        <v>14</v>
      </c>
      <c r="B100" s="9" t="s">
        <v>339</v>
      </c>
      <c r="C100">
        <v>0</v>
      </c>
      <c r="D100">
        <v>0</v>
      </c>
      <c r="E100">
        <v>-2705608140</v>
      </c>
      <c r="F100">
        <v>2539532500</v>
      </c>
      <c r="G100">
        <v>237817000</v>
      </c>
      <c r="H100">
        <v>78337000</v>
      </c>
      <c r="I100">
        <v>0</v>
      </c>
      <c r="J100">
        <v>0</v>
      </c>
      <c r="K100">
        <v>2539532500</v>
      </c>
      <c r="L100">
        <v>2705608140</v>
      </c>
      <c r="M100" t="s">
        <v>15</v>
      </c>
      <c r="N100">
        <v>1</v>
      </c>
      <c r="O100">
        <v>1</v>
      </c>
      <c r="P100" t="str">
        <f>VLOOKUP(B100,'CHECK_DT-BT_chi_tiet'!$A:$C,3,FALSE)</f>
        <v>BV Phú Yên</v>
      </c>
      <c r="Q100" t="str">
        <f>VLOOKUP(A100,Sheet3!$K$11:$L$21,2,FALSE)</f>
        <v>BH Con người</v>
      </c>
      <c r="R100" t="str">
        <f>VLOOKUP(Q100,Sheet3!$L$11:$M$21,2,FALSE)</f>
        <v>HQ1</v>
      </c>
      <c r="S100" s="26">
        <f>SUMIFS('HQ2'!$O:$O,'HQ2'!$B:$B, "="&amp;'Tong_hop_HQNV_2026Q1_2026-06-23'!Q100, 'HQ2'!$A:$A,"="&amp;'Tong_hop_HQNV_2026Q1_2026-06-23'!P100)</f>
        <v>0</v>
      </c>
      <c r="T100" s="7">
        <f t="shared" si="1"/>
        <v>0</v>
      </c>
    </row>
    <row r="101" spans="1:20" x14ac:dyDescent="0.25">
      <c r="A101" t="s">
        <v>14</v>
      </c>
      <c r="B101" s="9" t="s">
        <v>340</v>
      </c>
      <c r="C101">
        <v>0</v>
      </c>
      <c r="D101">
        <v>-9847000</v>
      </c>
      <c r="E101">
        <v>-2717178976</v>
      </c>
      <c r="F101">
        <v>4551285677</v>
      </c>
      <c r="G101">
        <v>0</v>
      </c>
      <c r="H101">
        <v>0</v>
      </c>
      <c r="I101">
        <v>0</v>
      </c>
      <c r="J101">
        <v>0</v>
      </c>
      <c r="K101">
        <v>4541438677</v>
      </c>
      <c r="L101">
        <v>2717178976</v>
      </c>
      <c r="M101" t="s">
        <v>15</v>
      </c>
      <c r="N101">
        <v>1</v>
      </c>
      <c r="O101">
        <v>1</v>
      </c>
      <c r="P101" t="str">
        <f>VLOOKUP(B101,'CHECK_DT-BT_chi_tiet'!$A:$C,3,FALSE)</f>
        <v>BV Quảng Bình</v>
      </c>
      <c r="Q101" t="str">
        <f>VLOOKUP(A101,Sheet3!$K$11:$L$21,2,FALSE)</f>
        <v>BH Con người</v>
      </c>
      <c r="R101" t="str">
        <f>VLOOKUP(Q101,Sheet3!$L$11:$M$21,2,FALSE)</f>
        <v>HQ1</v>
      </c>
      <c r="S101" s="26">
        <f>SUMIFS('HQ2'!$O:$O,'HQ2'!$B:$B, "="&amp;'Tong_hop_HQNV_2026Q1_2026-06-23'!Q101, 'HQ2'!$A:$A,"="&amp;'Tong_hop_HQNV_2026Q1_2026-06-23'!P101)</f>
        <v>0</v>
      </c>
      <c r="T101" s="7">
        <f t="shared" si="1"/>
        <v>0</v>
      </c>
    </row>
    <row r="102" spans="1:20" x14ac:dyDescent="0.25">
      <c r="A102" t="s">
        <v>14</v>
      </c>
      <c r="B102" s="9" t="s">
        <v>341</v>
      </c>
      <c r="C102">
        <v>0</v>
      </c>
      <c r="D102">
        <v>-5756137</v>
      </c>
      <c r="E102">
        <v>-7365283500</v>
      </c>
      <c r="F102">
        <v>8243226450</v>
      </c>
      <c r="G102">
        <v>0</v>
      </c>
      <c r="H102">
        <v>0</v>
      </c>
      <c r="I102">
        <v>0</v>
      </c>
      <c r="J102">
        <v>0</v>
      </c>
      <c r="K102">
        <v>8237470313</v>
      </c>
      <c r="L102">
        <v>7365283500</v>
      </c>
      <c r="M102" t="s">
        <v>15</v>
      </c>
      <c r="N102">
        <v>1</v>
      </c>
      <c r="O102">
        <v>1</v>
      </c>
      <c r="P102" t="str">
        <f>VLOOKUP(B102,'CHECK_DT-BT_chi_tiet'!$A:$C,3,FALSE)</f>
        <v>BV Quảng Nam</v>
      </c>
      <c r="Q102" t="str">
        <f>VLOOKUP(A102,Sheet3!$K$11:$L$21,2,FALSE)</f>
        <v>BH Con người</v>
      </c>
      <c r="R102" t="str">
        <f>VLOOKUP(Q102,Sheet3!$L$11:$M$21,2,FALSE)</f>
        <v>HQ1</v>
      </c>
      <c r="S102" s="26">
        <f>SUMIFS('HQ2'!$O:$O,'HQ2'!$B:$B, "="&amp;'Tong_hop_HQNV_2026Q1_2026-06-23'!Q102, 'HQ2'!$A:$A,"="&amp;'Tong_hop_HQNV_2026Q1_2026-06-23'!P102)</f>
        <v>0</v>
      </c>
      <c r="T102" s="7">
        <f t="shared" si="1"/>
        <v>0</v>
      </c>
    </row>
    <row r="103" spans="1:20" x14ac:dyDescent="0.25">
      <c r="A103" t="s">
        <v>14</v>
      </c>
      <c r="B103" s="9" t="s">
        <v>342</v>
      </c>
      <c r="C103">
        <v>0</v>
      </c>
      <c r="D103">
        <v>-2290500</v>
      </c>
      <c r="E103">
        <v>-1577031300</v>
      </c>
      <c r="F103">
        <v>3147611445</v>
      </c>
      <c r="G103">
        <v>0</v>
      </c>
      <c r="H103">
        <v>0</v>
      </c>
      <c r="I103">
        <v>0</v>
      </c>
      <c r="J103">
        <v>0</v>
      </c>
      <c r="K103">
        <v>3145320945</v>
      </c>
      <c r="L103">
        <v>1577031300</v>
      </c>
      <c r="M103" t="s">
        <v>15</v>
      </c>
      <c r="N103">
        <v>1</v>
      </c>
      <c r="O103">
        <v>1</v>
      </c>
      <c r="P103" t="str">
        <f>VLOOKUP(B103,'CHECK_DT-BT_chi_tiet'!$A:$C,3,FALSE)</f>
        <v>BV Quảng Ngãi</v>
      </c>
      <c r="Q103" t="str">
        <f>VLOOKUP(A103,Sheet3!$K$11:$L$21,2,FALSE)</f>
        <v>BH Con người</v>
      </c>
      <c r="R103" t="str">
        <f>VLOOKUP(Q103,Sheet3!$L$11:$M$21,2,FALSE)</f>
        <v>HQ1</v>
      </c>
      <c r="S103" s="26">
        <f>SUMIFS('HQ2'!$O:$O,'HQ2'!$B:$B, "="&amp;'Tong_hop_HQNV_2026Q1_2026-06-23'!Q103, 'HQ2'!$A:$A,"="&amp;'Tong_hop_HQNV_2026Q1_2026-06-23'!P103)</f>
        <v>0</v>
      </c>
      <c r="T103" s="7">
        <f t="shared" si="1"/>
        <v>0</v>
      </c>
    </row>
    <row r="104" spans="1:20" x14ac:dyDescent="0.25">
      <c r="A104" t="s">
        <v>14</v>
      </c>
      <c r="B104" s="9" t="s">
        <v>343</v>
      </c>
      <c r="C104">
        <v>0</v>
      </c>
      <c r="D104">
        <v>-1470500</v>
      </c>
      <c r="E104">
        <v>-1647982600</v>
      </c>
      <c r="F104">
        <v>3747808924</v>
      </c>
      <c r="G104">
        <v>92500000</v>
      </c>
      <c r="H104">
        <v>88500000</v>
      </c>
      <c r="I104">
        <v>0</v>
      </c>
      <c r="J104">
        <v>0</v>
      </c>
      <c r="K104">
        <v>3746338424</v>
      </c>
      <c r="L104">
        <v>1647982600</v>
      </c>
      <c r="M104" t="s">
        <v>15</v>
      </c>
      <c r="N104">
        <v>1</v>
      </c>
      <c r="O104">
        <v>1</v>
      </c>
      <c r="P104" t="str">
        <f>VLOOKUP(B104,'CHECK_DT-BT_chi_tiet'!$A:$C,3,FALSE)</f>
        <v>BV Quảng Ninh</v>
      </c>
      <c r="Q104" t="str">
        <f>VLOOKUP(A104,Sheet3!$K$11:$L$21,2,FALSE)</f>
        <v>BH Con người</v>
      </c>
      <c r="R104" t="str">
        <f>VLOOKUP(Q104,Sheet3!$L$11:$M$21,2,FALSE)</f>
        <v>HQ1</v>
      </c>
      <c r="S104" s="26">
        <f>SUMIFS('HQ2'!$O:$O,'HQ2'!$B:$B, "="&amp;'Tong_hop_HQNV_2026Q1_2026-06-23'!Q104, 'HQ2'!$A:$A,"="&amp;'Tong_hop_HQNV_2026Q1_2026-06-23'!P104)</f>
        <v>0</v>
      </c>
      <c r="T104" s="7">
        <f t="shared" si="1"/>
        <v>0</v>
      </c>
    </row>
    <row r="105" spans="1:20" x14ac:dyDescent="0.25">
      <c r="A105" t="s">
        <v>14</v>
      </c>
      <c r="B105" s="9" t="s">
        <v>347</v>
      </c>
      <c r="C105">
        <v>0</v>
      </c>
      <c r="D105">
        <v>-19558650</v>
      </c>
      <c r="E105">
        <v>-1071437000</v>
      </c>
      <c r="F105">
        <v>1623544673</v>
      </c>
      <c r="G105">
        <v>65684000</v>
      </c>
      <c r="H105">
        <v>51651000</v>
      </c>
      <c r="I105">
        <v>0</v>
      </c>
      <c r="J105">
        <v>0</v>
      </c>
      <c r="K105">
        <v>1603986023</v>
      </c>
      <c r="L105">
        <v>1071437000</v>
      </c>
      <c r="M105" t="s">
        <v>15</v>
      </c>
      <c r="N105">
        <v>1</v>
      </c>
      <c r="O105">
        <v>1</v>
      </c>
      <c r="P105" t="str">
        <f>VLOOKUP(B105,'CHECK_DT-BT_chi_tiet'!$A:$C,3,FALSE)</f>
        <v>BV Sơn La</v>
      </c>
      <c r="Q105" t="str">
        <f>VLOOKUP(A105,Sheet3!$K$11:$L$21,2,FALSE)</f>
        <v>BH Con người</v>
      </c>
      <c r="R105" t="str">
        <f>VLOOKUP(Q105,Sheet3!$L$11:$M$21,2,FALSE)</f>
        <v>HQ1</v>
      </c>
      <c r="S105" s="26">
        <f>SUMIFS('HQ2'!$O:$O,'HQ2'!$B:$B, "="&amp;'Tong_hop_HQNV_2026Q1_2026-06-23'!Q105, 'HQ2'!$A:$A,"="&amp;'Tong_hop_HQNV_2026Q1_2026-06-23'!P105)</f>
        <v>0</v>
      </c>
      <c r="T105" s="7">
        <f t="shared" si="1"/>
        <v>0</v>
      </c>
    </row>
    <row r="106" spans="1:20" x14ac:dyDescent="0.25">
      <c r="A106" t="s">
        <v>14</v>
      </c>
      <c r="B106" s="9" t="s">
        <v>350</v>
      </c>
      <c r="C106">
        <v>0</v>
      </c>
      <c r="D106">
        <v>0</v>
      </c>
      <c r="E106">
        <v>-5388601913</v>
      </c>
      <c r="F106">
        <v>6736502350</v>
      </c>
      <c r="G106">
        <v>0</v>
      </c>
      <c r="H106">
        <v>0</v>
      </c>
      <c r="I106">
        <v>0</v>
      </c>
      <c r="J106">
        <v>0</v>
      </c>
      <c r="K106">
        <v>6736502350</v>
      </c>
      <c r="L106">
        <v>5388601913</v>
      </c>
      <c r="M106" t="s">
        <v>15</v>
      </c>
      <c r="N106">
        <v>1</v>
      </c>
      <c r="O106">
        <v>1</v>
      </c>
      <c r="P106" t="str">
        <f>VLOOKUP(B106,'CHECK_DT-BT_chi_tiet'!$A:$C,3,FALSE)</f>
        <v>BV Thái Bình</v>
      </c>
      <c r="Q106" t="str">
        <f>VLOOKUP(A106,Sheet3!$K$11:$L$21,2,FALSE)</f>
        <v>BH Con người</v>
      </c>
      <c r="R106" t="str">
        <f>VLOOKUP(Q106,Sheet3!$L$11:$M$21,2,FALSE)</f>
        <v>HQ1</v>
      </c>
      <c r="S106" s="26">
        <f>SUMIFS('HQ2'!$O:$O,'HQ2'!$B:$B, "="&amp;'Tong_hop_HQNV_2026Q1_2026-06-23'!Q106, 'HQ2'!$A:$A,"="&amp;'Tong_hop_HQNV_2026Q1_2026-06-23'!P106)</f>
        <v>0</v>
      </c>
      <c r="T106" s="7">
        <f t="shared" si="1"/>
        <v>0</v>
      </c>
    </row>
    <row r="107" spans="1:20" x14ac:dyDescent="0.25">
      <c r="A107" t="s">
        <v>14</v>
      </c>
      <c r="B107" s="9" t="s">
        <v>351</v>
      </c>
      <c r="C107">
        <v>0</v>
      </c>
      <c r="D107">
        <v>-17163000</v>
      </c>
      <c r="E107">
        <v>-3010321143</v>
      </c>
      <c r="F107">
        <v>4235300100</v>
      </c>
      <c r="G107">
        <v>0</v>
      </c>
      <c r="H107">
        <v>0</v>
      </c>
      <c r="I107">
        <v>0</v>
      </c>
      <c r="J107">
        <v>0</v>
      </c>
      <c r="K107">
        <v>4218137100</v>
      </c>
      <c r="L107">
        <v>3010321143</v>
      </c>
      <c r="M107" t="s">
        <v>15</v>
      </c>
      <c r="N107">
        <v>1</v>
      </c>
      <c r="O107">
        <v>1</v>
      </c>
      <c r="P107" t="str">
        <f>VLOOKUP(B107,'CHECK_DT-BT_chi_tiet'!$A:$C,3,FALSE)</f>
        <v>BV Thái Nguyên</v>
      </c>
      <c r="Q107" t="str">
        <f>VLOOKUP(A107,Sheet3!$K$11:$L$21,2,FALSE)</f>
        <v>BH Con người</v>
      </c>
      <c r="R107" t="str">
        <f>VLOOKUP(Q107,Sheet3!$L$11:$M$21,2,FALSE)</f>
        <v>HQ1</v>
      </c>
      <c r="S107" s="26">
        <f>SUMIFS('HQ2'!$O:$O,'HQ2'!$B:$B, "="&amp;'Tong_hop_HQNV_2026Q1_2026-06-23'!Q107, 'HQ2'!$A:$A,"="&amp;'Tong_hop_HQNV_2026Q1_2026-06-23'!P107)</f>
        <v>0</v>
      </c>
      <c r="T107" s="7">
        <f t="shared" si="1"/>
        <v>0</v>
      </c>
    </row>
    <row r="108" spans="1:20" x14ac:dyDescent="0.25">
      <c r="A108" t="s">
        <v>14</v>
      </c>
      <c r="B108" s="9" t="s">
        <v>353</v>
      </c>
      <c r="C108">
        <v>0</v>
      </c>
      <c r="D108">
        <v>0</v>
      </c>
      <c r="E108">
        <v>-2795106000</v>
      </c>
      <c r="F108">
        <v>3517306077</v>
      </c>
      <c r="G108">
        <v>352220000</v>
      </c>
      <c r="H108">
        <v>301920000</v>
      </c>
      <c r="I108">
        <v>0</v>
      </c>
      <c r="J108">
        <v>0</v>
      </c>
      <c r="K108">
        <v>3517306077</v>
      </c>
      <c r="L108">
        <v>2795106000</v>
      </c>
      <c r="M108" t="s">
        <v>15</v>
      </c>
      <c r="N108">
        <v>1</v>
      </c>
      <c r="O108">
        <v>1</v>
      </c>
      <c r="P108" t="str">
        <f>VLOOKUP(B108,'CHECK_DT-BT_chi_tiet'!$A:$C,3,FALSE)</f>
        <v>BV Thanh Hóa</v>
      </c>
      <c r="Q108" t="str">
        <f>VLOOKUP(A108,Sheet3!$K$11:$L$21,2,FALSE)</f>
        <v>BH Con người</v>
      </c>
      <c r="R108" t="str">
        <f>VLOOKUP(Q108,Sheet3!$L$11:$M$21,2,FALSE)</f>
        <v>HQ1</v>
      </c>
      <c r="S108" s="26">
        <f>SUMIFS('HQ2'!$O:$O,'HQ2'!$B:$B, "="&amp;'Tong_hop_HQNV_2026Q1_2026-06-23'!Q108, 'HQ2'!$A:$A,"="&amp;'Tong_hop_HQNV_2026Q1_2026-06-23'!P108)</f>
        <v>0</v>
      </c>
      <c r="T108" s="7">
        <f t="shared" si="1"/>
        <v>0</v>
      </c>
    </row>
    <row r="109" spans="1:20" x14ac:dyDescent="0.25">
      <c r="A109" t="s">
        <v>14</v>
      </c>
      <c r="B109" s="9" t="s">
        <v>356</v>
      </c>
      <c r="C109">
        <v>0</v>
      </c>
      <c r="D109">
        <v>0</v>
      </c>
      <c r="E109">
        <v>-4239324600</v>
      </c>
      <c r="F109">
        <v>2192254162</v>
      </c>
      <c r="G109">
        <v>0</v>
      </c>
      <c r="H109">
        <v>0</v>
      </c>
      <c r="I109">
        <v>0</v>
      </c>
      <c r="J109">
        <v>0</v>
      </c>
      <c r="K109">
        <v>2192254162</v>
      </c>
      <c r="L109">
        <v>4239324600</v>
      </c>
      <c r="M109" t="s">
        <v>15</v>
      </c>
      <c r="N109">
        <v>1</v>
      </c>
      <c r="O109">
        <v>1</v>
      </c>
      <c r="P109" t="str">
        <f>VLOOKUP(B109,'CHECK_DT-BT_chi_tiet'!$A:$C,3,FALSE)</f>
        <v>BV Tiền Giang</v>
      </c>
      <c r="Q109" t="str">
        <f>VLOOKUP(A109,Sheet3!$K$11:$L$21,2,FALSE)</f>
        <v>BH Con người</v>
      </c>
      <c r="R109" t="str">
        <f>VLOOKUP(Q109,Sheet3!$L$11:$M$21,2,FALSE)</f>
        <v>HQ1</v>
      </c>
      <c r="S109" s="26">
        <f>SUMIFS('HQ2'!$O:$O,'HQ2'!$B:$B, "="&amp;'Tong_hop_HQNV_2026Q1_2026-06-23'!Q109, 'HQ2'!$A:$A,"="&amp;'Tong_hop_HQNV_2026Q1_2026-06-23'!P109)</f>
        <v>0</v>
      </c>
      <c r="T109" s="7">
        <f t="shared" si="1"/>
        <v>0</v>
      </c>
    </row>
    <row r="110" spans="1:20" x14ac:dyDescent="0.25">
      <c r="A110" t="s">
        <v>14</v>
      </c>
      <c r="B110" s="9" t="s">
        <v>357</v>
      </c>
      <c r="C110">
        <v>0</v>
      </c>
      <c r="D110">
        <v>-1084050</v>
      </c>
      <c r="E110">
        <v>-731029000</v>
      </c>
      <c r="F110">
        <v>438775700</v>
      </c>
      <c r="G110">
        <v>0</v>
      </c>
      <c r="H110">
        <v>0</v>
      </c>
      <c r="I110">
        <v>0</v>
      </c>
      <c r="J110">
        <v>0</v>
      </c>
      <c r="K110">
        <v>437691650</v>
      </c>
      <c r="L110">
        <v>731029000</v>
      </c>
      <c r="M110" t="s">
        <v>15</v>
      </c>
      <c r="N110">
        <v>1</v>
      </c>
      <c r="O110">
        <v>1</v>
      </c>
      <c r="P110" t="str">
        <f>VLOOKUP(B110,'CHECK_DT-BT_chi_tiet'!$A:$C,3,FALSE)</f>
        <v>BV Trà Vinh</v>
      </c>
      <c r="Q110" t="str">
        <f>VLOOKUP(A110,Sheet3!$K$11:$L$21,2,FALSE)</f>
        <v>BH Con người</v>
      </c>
      <c r="R110" t="str">
        <f>VLOOKUP(Q110,Sheet3!$L$11:$M$21,2,FALSE)</f>
        <v>HQ1</v>
      </c>
      <c r="S110" s="26">
        <f>SUMIFS('HQ2'!$O:$O,'HQ2'!$B:$B, "="&amp;'Tong_hop_HQNV_2026Q1_2026-06-23'!Q110, 'HQ2'!$A:$A,"="&amp;'Tong_hop_HQNV_2026Q1_2026-06-23'!P110)</f>
        <v>0</v>
      </c>
      <c r="T110" s="7">
        <f t="shared" si="1"/>
        <v>0</v>
      </c>
    </row>
    <row r="111" spans="1:20" x14ac:dyDescent="0.25">
      <c r="A111" t="s">
        <v>14</v>
      </c>
      <c r="B111" s="9" t="s">
        <v>359</v>
      </c>
      <c r="C111">
        <v>0</v>
      </c>
      <c r="D111">
        <v>0</v>
      </c>
      <c r="E111">
        <v>-1959093954</v>
      </c>
      <c r="F111">
        <v>2451140900</v>
      </c>
      <c r="G111">
        <v>0</v>
      </c>
      <c r="H111">
        <v>0</v>
      </c>
      <c r="I111">
        <v>0</v>
      </c>
      <c r="J111">
        <v>0</v>
      </c>
      <c r="K111">
        <v>2451140900</v>
      </c>
      <c r="L111">
        <v>1959093954</v>
      </c>
      <c r="M111" t="s">
        <v>15</v>
      </c>
      <c r="N111">
        <v>1</v>
      </c>
      <c r="O111">
        <v>1</v>
      </c>
      <c r="P111" t="str">
        <f>VLOOKUP(B111,'CHECK_DT-BT_chi_tiet'!$A:$C,3,FALSE)</f>
        <v>BV Tuyên Quang</v>
      </c>
      <c r="Q111" t="str">
        <f>VLOOKUP(A111,Sheet3!$K$11:$L$21,2,FALSE)</f>
        <v>BH Con người</v>
      </c>
      <c r="R111" t="str">
        <f>VLOOKUP(Q111,Sheet3!$L$11:$M$21,2,FALSE)</f>
        <v>HQ1</v>
      </c>
      <c r="S111" s="26">
        <f>SUMIFS('HQ2'!$O:$O,'HQ2'!$B:$B, "="&amp;'Tong_hop_HQNV_2026Q1_2026-06-23'!Q111, 'HQ2'!$A:$A,"="&amp;'Tong_hop_HQNV_2026Q1_2026-06-23'!P111)</f>
        <v>0</v>
      </c>
      <c r="T111" s="7">
        <f t="shared" si="1"/>
        <v>0</v>
      </c>
    </row>
    <row r="112" spans="1:20" x14ac:dyDescent="0.25">
      <c r="A112" t="s">
        <v>14</v>
      </c>
      <c r="B112" s="9" t="s">
        <v>361</v>
      </c>
      <c r="C112">
        <v>0</v>
      </c>
      <c r="D112">
        <v>-233562</v>
      </c>
      <c r="E112">
        <v>-2259772407</v>
      </c>
      <c r="F112">
        <v>3836355427</v>
      </c>
      <c r="G112">
        <v>75995000</v>
      </c>
      <c r="H112">
        <v>63085000</v>
      </c>
      <c r="I112">
        <v>0</v>
      </c>
      <c r="J112">
        <v>0</v>
      </c>
      <c r="K112">
        <v>3836121865</v>
      </c>
      <c r="L112">
        <v>2259772407</v>
      </c>
      <c r="M112" t="s">
        <v>15</v>
      </c>
      <c r="N112">
        <v>1</v>
      </c>
      <c r="O112">
        <v>1</v>
      </c>
      <c r="P112" t="str">
        <f>VLOOKUP(B112,'CHECK_DT-BT_chi_tiet'!$A:$C,3,FALSE)</f>
        <v>BV Vĩnh Phúc</v>
      </c>
      <c r="Q112" t="str">
        <f>VLOOKUP(A112,Sheet3!$K$11:$L$21,2,FALSE)</f>
        <v>BH Con người</v>
      </c>
      <c r="R112" t="str">
        <f>VLOOKUP(Q112,Sheet3!$L$11:$M$21,2,FALSE)</f>
        <v>HQ1</v>
      </c>
      <c r="S112" s="26">
        <f>SUMIFS('HQ2'!$O:$O,'HQ2'!$B:$B, "="&amp;'Tong_hop_HQNV_2026Q1_2026-06-23'!Q112, 'HQ2'!$A:$A,"="&amp;'Tong_hop_HQNV_2026Q1_2026-06-23'!P112)</f>
        <v>0</v>
      </c>
      <c r="T112" s="7">
        <f t="shared" si="1"/>
        <v>0</v>
      </c>
    </row>
    <row r="113" spans="1:20" x14ac:dyDescent="0.25">
      <c r="A113" t="s">
        <v>14</v>
      </c>
      <c r="B113" s="9" t="s">
        <v>362</v>
      </c>
      <c r="C113">
        <v>0</v>
      </c>
      <c r="D113">
        <v>-2595935</v>
      </c>
      <c r="E113">
        <v>-1471665828</v>
      </c>
      <c r="F113">
        <v>1491143800</v>
      </c>
      <c r="G113">
        <v>0</v>
      </c>
      <c r="H113">
        <v>0</v>
      </c>
      <c r="I113">
        <v>0</v>
      </c>
      <c r="J113">
        <v>0</v>
      </c>
      <c r="K113">
        <v>1488547865</v>
      </c>
      <c r="L113">
        <v>1471665828</v>
      </c>
      <c r="M113" t="s">
        <v>15</v>
      </c>
      <c r="N113">
        <v>1</v>
      </c>
      <c r="O113">
        <v>1</v>
      </c>
      <c r="P113" t="str">
        <f>VLOOKUP(B113,'CHECK_DT-BT_chi_tiet'!$A:$C,3,FALSE)</f>
        <v>BV Yên Bái</v>
      </c>
      <c r="Q113" t="str">
        <f>VLOOKUP(A113,Sheet3!$K$11:$L$21,2,FALSE)</f>
        <v>BH Con người</v>
      </c>
      <c r="R113" t="str">
        <f>VLOOKUP(Q113,Sheet3!$L$11:$M$21,2,FALSE)</f>
        <v>HQ1</v>
      </c>
      <c r="S113" s="26">
        <f>SUMIFS('HQ2'!$O:$O,'HQ2'!$B:$B, "="&amp;'Tong_hop_HQNV_2026Q1_2026-06-23'!Q113, 'HQ2'!$A:$A,"="&amp;'Tong_hop_HQNV_2026Q1_2026-06-23'!P113)</f>
        <v>0</v>
      </c>
      <c r="T113" s="7">
        <f t="shared" si="1"/>
        <v>0</v>
      </c>
    </row>
    <row r="114" spans="1:20" x14ac:dyDescent="0.25">
      <c r="A114" t="s">
        <v>14</v>
      </c>
      <c r="B114" s="9" t="s">
        <v>324</v>
      </c>
      <c r="C114">
        <v>0</v>
      </c>
      <c r="D114">
        <v>-26528355</v>
      </c>
      <c r="E114">
        <v>-98523000</v>
      </c>
      <c r="F114">
        <v>400736206</v>
      </c>
      <c r="G114">
        <v>0</v>
      </c>
      <c r="H114">
        <v>0</v>
      </c>
      <c r="I114">
        <v>0</v>
      </c>
      <c r="J114">
        <v>0</v>
      </c>
      <c r="K114">
        <v>374207851</v>
      </c>
      <c r="L114">
        <v>98523000</v>
      </c>
      <c r="M114" t="s">
        <v>15</v>
      </c>
      <c r="N114">
        <v>1</v>
      </c>
      <c r="O114">
        <v>1</v>
      </c>
      <c r="P114" t="str">
        <f>VLOOKUP(B114,'CHECK_DT-BT_chi_tiet'!$A:$C,3,FALSE)</f>
        <v>BV Lai Châu</v>
      </c>
      <c r="Q114" t="str">
        <f>VLOOKUP(A114,Sheet3!$K$11:$L$21,2,FALSE)</f>
        <v>BH Con người</v>
      </c>
      <c r="R114" t="str">
        <f>VLOOKUP(Q114,Sheet3!$L$11:$M$21,2,FALSE)</f>
        <v>HQ1</v>
      </c>
      <c r="S114" s="26">
        <f>SUMIFS('HQ2'!$O:$O,'HQ2'!$B:$B, "="&amp;'Tong_hop_HQNV_2026Q1_2026-06-23'!Q114, 'HQ2'!$A:$A,"="&amp;'Tong_hop_HQNV_2026Q1_2026-06-23'!P114)</f>
        <v>0</v>
      </c>
      <c r="T114" s="7">
        <f t="shared" si="1"/>
        <v>0</v>
      </c>
    </row>
    <row r="115" spans="1:20" x14ac:dyDescent="0.25">
      <c r="A115" t="s">
        <v>14</v>
      </c>
      <c r="B115" s="9" t="s">
        <v>318</v>
      </c>
      <c r="C115">
        <v>0</v>
      </c>
      <c r="D115">
        <v>-90214</v>
      </c>
      <c r="E115">
        <v>-2492097216</v>
      </c>
      <c r="F115">
        <v>1503199681</v>
      </c>
      <c r="G115">
        <v>0</v>
      </c>
      <c r="H115">
        <v>0</v>
      </c>
      <c r="I115">
        <v>0</v>
      </c>
      <c r="J115">
        <v>0</v>
      </c>
      <c r="K115">
        <v>1503109467</v>
      </c>
      <c r="L115">
        <v>2492097216</v>
      </c>
      <c r="M115" t="s">
        <v>15</v>
      </c>
      <c r="N115">
        <v>1</v>
      </c>
      <c r="O115">
        <v>1</v>
      </c>
      <c r="P115" t="str">
        <f>VLOOKUP(B115,'CHECK_DT-BT_chi_tiet'!$A:$C,3,FALSE)</f>
        <v>BV Hậu Giang</v>
      </c>
      <c r="Q115" t="str">
        <f>VLOOKUP(A115,Sheet3!$K$11:$L$21,2,FALSE)</f>
        <v>BH Con người</v>
      </c>
      <c r="R115" t="str">
        <f>VLOOKUP(Q115,Sheet3!$L$11:$M$21,2,FALSE)</f>
        <v>HQ1</v>
      </c>
      <c r="S115" s="26">
        <f>SUMIFS('HQ2'!$O:$O,'HQ2'!$B:$B, "="&amp;'Tong_hop_HQNV_2026Q1_2026-06-23'!Q115, 'HQ2'!$A:$A,"="&amp;'Tong_hop_HQNV_2026Q1_2026-06-23'!P115)</f>
        <v>0</v>
      </c>
      <c r="T115" s="7">
        <f t="shared" si="1"/>
        <v>0</v>
      </c>
    </row>
    <row r="116" spans="1:20" x14ac:dyDescent="0.25">
      <c r="A116" t="s">
        <v>14</v>
      </c>
      <c r="B116" s="9" t="s">
        <v>302</v>
      </c>
      <c r="C116">
        <v>0</v>
      </c>
      <c r="D116">
        <v>-1787000</v>
      </c>
      <c r="E116">
        <v>-783259000</v>
      </c>
      <c r="F116">
        <v>1603109000</v>
      </c>
      <c r="G116">
        <v>0</v>
      </c>
      <c r="H116">
        <v>0</v>
      </c>
      <c r="I116">
        <v>0</v>
      </c>
      <c r="J116">
        <v>0</v>
      </c>
      <c r="K116">
        <v>1601322000</v>
      </c>
      <c r="L116">
        <v>783259000</v>
      </c>
      <c r="M116" t="s">
        <v>15</v>
      </c>
      <c r="N116">
        <v>1</v>
      </c>
      <c r="O116">
        <v>1</v>
      </c>
      <c r="P116" t="str">
        <f>VLOOKUP(B116,'CHECK_DT-BT_chi_tiet'!$A:$C,3,FALSE)</f>
        <v>BV Dak Nong</v>
      </c>
      <c r="Q116" t="str">
        <f>VLOOKUP(A116,Sheet3!$K$11:$L$21,2,FALSE)</f>
        <v>BH Con người</v>
      </c>
      <c r="R116" t="str">
        <f>VLOOKUP(Q116,Sheet3!$L$11:$M$21,2,FALSE)</f>
        <v>HQ1</v>
      </c>
      <c r="S116" s="26">
        <f>SUMIFS('HQ2'!$O:$O,'HQ2'!$B:$B, "="&amp;'Tong_hop_HQNV_2026Q1_2026-06-23'!Q116, 'HQ2'!$A:$A,"="&amp;'Tong_hop_HQNV_2026Q1_2026-06-23'!P116)</f>
        <v>0</v>
      </c>
      <c r="T116" s="7">
        <f t="shared" si="1"/>
        <v>0</v>
      </c>
    </row>
    <row r="117" spans="1:20" x14ac:dyDescent="0.25">
      <c r="A117" t="s">
        <v>14</v>
      </c>
      <c r="B117" s="9" t="s">
        <v>348</v>
      </c>
      <c r="C117">
        <v>0</v>
      </c>
      <c r="D117">
        <v>-6043400</v>
      </c>
      <c r="E117">
        <v>-6191721860</v>
      </c>
      <c r="F117">
        <v>7820530740</v>
      </c>
      <c r="G117">
        <v>23095000</v>
      </c>
      <c r="H117">
        <v>22095000</v>
      </c>
      <c r="I117">
        <v>0</v>
      </c>
      <c r="J117">
        <v>0</v>
      </c>
      <c r="K117">
        <v>7814487340</v>
      </c>
      <c r="L117">
        <v>6191721860</v>
      </c>
      <c r="M117" t="s">
        <v>15</v>
      </c>
      <c r="N117">
        <v>1</v>
      </c>
      <c r="O117">
        <v>1</v>
      </c>
      <c r="P117" t="str">
        <f>VLOOKUP(B117,'CHECK_DT-BT_chi_tiet'!$A:$C,3,FALSE)</f>
        <v>BV Sơn Tây</v>
      </c>
      <c r="Q117" t="str">
        <f>VLOOKUP(A117,Sheet3!$K$11:$L$21,2,FALSE)</f>
        <v>BH Con người</v>
      </c>
      <c r="R117" t="str">
        <f>VLOOKUP(Q117,Sheet3!$L$11:$M$21,2,FALSE)</f>
        <v>HQ1</v>
      </c>
      <c r="S117" s="26">
        <f>SUMIFS('HQ2'!$O:$O,'HQ2'!$B:$B, "="&amp;'Tong_hop_HQNV_2026Q1_2026-06-23'!Q117, 'HQ2'!$A:$A,"="&amp;'Tong_hop_HQNV_2026Q1_2026-06-23'!P117)</f>
        <v>0</v>
      </c>
      <c r="T117" s="7">
        <f t="shared" si="1"/>
        <v>0</v>
      </c>
    </row>
    <row r="118" spans="1:20" x14ac:dyDescent="0.25">
      <c r="A118" t="s">
        <v>14</v>
      </c>
      <c r="B118" s="9" t="s">
        <v>291</v>
      </c>
      <c r="C118">
        <v>0</v>
      </c>
      <c r="D118">
        <v>0</v>
      </c>
      <c r="E118">
        <v>-47563774</v>
      </c>
      <c r="F118">
        <v>402535468</v>
      </c>
      <c r="G118">
        <v>258349149</v>
      </c>
      <c r="H118">
        <v>46400858</v>
      </c>
      <c r="I118">
        <v>0</v>
      </c>
      <c r="J118">
        <v>0</v>
      </c>
      <c r="K118">
        <v>402535468</v>
      </c>
      <c r="L118">
        <v>47563774</v>
      </c>
      <c r="M118" t="s">
        <v>15</v>
      </c>
      <c r="N118">
        <v>1</v>
      </c>
      <c r="O118">
        <v>1</v>
      </c>
      <c r="P118" t="str">
        <f>VLOOKUP(B118,'CHECK_DT-BT_chi_tiet'!$A:$C,3,FALSE)</f>
        <v>BV Bến Thành</v>
      </c>
      <c r="Q118" t="str">
        <f>VLOOKUP(A118,Sheet3!$K$11:$L$21,2,FALSE)</f>
        <v>BH Con người</v>
      </c>
      <c r="R118" t="str">
        <f>VLOOKUP(Q118,Sheet3!$L$11:$M$21,2,FALSE)</f>
        <v>HQ1</v>
      </c>
      <c r="S118" s="26">
        <f>SUMIFS('HQ2'!$O:$O,'HQ2'!$B:$B, "="&amp;'Tong_hop_HQNV_2026Q1_2026-06-23'!Q118, 'HQ2'!$A:$A,"="&amp;'Tong_hop_HQNV_2026Q1_2026-06-23'!P118)</f>
        <v>0</v>
      </c>
      <c r="T118" s="7">
        <f t="shared" si="1"/>
        <v>0</v>
      </c>
    </row>
    <row r="119" spans="1:20" x14ac:dyDescent="0.25">
      <c r="A119" t="s">
        <v>16</v>
      </c>
      <c r="B119" s="9" t="s">
        <v>352</v>
      </c>
      <c r="C119">
        <v>0</v>
      </c>
      <c r="D119">
        <v>-1352000</v>
      </c>
      <c r="E119">
        <v>-1163775296</v>
      </c>
      <c r="F119">
        <v>464359150</v>
      </c>
      <c r="G119">
        <v>21240240</v>
      </c>
      <c r="H119">
        <v>21240240</v>
      </c>
      <c r="I119">
        <v>0</v>
      </c>
      <c r="J119">
        <v>0</v>
      </c>
      <c r="K119">
        <v>463007150</v>
      </c>
      <c r="L119">
        <v>1163775296</v>
      </c>
      <c r="M119" t="s">
        <v>17</v>
      </c>
      <c r="N119">
        <v>1</v>
      </c>
      <c r="O119">
        <v>1</v>
      </c>
      <c r="P119" t="str">
        <f>VLOOKUP(B119,'CHECK_DT-BT_chi_tiet'!$A:$C,3,FALSE)</f>
        <v>BV Thăng Long</v>
      </c>
      <c r="Q119" t="str">
        <f>VLOOKUP(A119,Sheet3!$K$11:$L$21,2,FALSE)</f>
        <v>BH Du lịch</v>
      </c>
      <c r="R119" t="str">
        <f>VLOOKUP(Q119,Sheet3!$L$11:$M$21,2,FALSE)</f>
        <v>HQ1</v>
      </c>
      <c r="S119" s="26">
        <f>SUMIFS('HQ2'!$O:$O,'HQ2'!$B:$B, "="&amp;'Tong_hop_HQNV_2026Q1_2026-06-23'!Q119, 'HQ2'!$A:$A,"="&amp;'Tong_hop_HQNV_2026Q1_2026-06-23'!P119)</f>
        <v>0</v>
      </c>
      <c r="T119" s="7">
        <f t="shared" si="1"/>
        <v>0</v>
      </c>
    </row>
    <row r="120" spans="1:20" x14ac:dyDescent="0.25">
      <c r="A120" t="s">
        <v>16</v>
      </c>
      <c r="B120" s="9" t="s">
        <v>290</v>
      </c>
      <c r="C120">
        <v>0</v>
      </c>
      <c r="D120">
        <v>-8435200</v>
      </c>
      <c r="E120">
        <v>0</v>
      </c>
      <c r="F120">
        <v>99682200</v>
      </c>
      <c r="G120">
        <v>0</v>
      </c>
      <c r="H120">
        <v>0</v>
      </c>
      <c r="I120">
        <v>0</v>
      </c>
      <c r="J120">
        <v>0</v>
      </c>
      <c r="K120">
        <v>91247000</v>
      </c>
      <c r="L120">
        <v>0</v>
      </c>
      <c r="M120" t="s">
        <v>17</v>
      </c>
      <c r="N120">
        <v>1</v>
      </c>
      <c r="O120">
        <v>1</v>
      </c>
      <c r="P120" t="str">
        <f>VLOOKUP(B120,'CHECK_DT-BT_chi_tiet'!$A:$C,3,FALSE)</f>
        <v>BV Bắc Ninh</v>
      </c>
      <c r="Q120" t="str">
        <f>VLOOKUP(A120,Sheet3!$K$11:$L$21,2,FALSE)</f>
        <v>BH Du lịch</v>
      </c>
      <c r="R120" t="str">
        <f>VLOOKUP(Q120,Sheet3!$L$11:$M$21,2,FALSE)</f>
        <v>HQ1</v>
      </c>
      <c r="S120" s="26">
        <f>SUMIFS('HQ2'!$O:$O,'HQ2'!$B:$B, "="&amp;'Tong_hop_HQNV_2026Q1_2026-06-23'!Q120, 'HQ2'!$A:$A,"="&amp;'Tong_hop_HQNV_2026Q1_2026-06-23'!P120)</f>
        <v>0</v>
      </c>
      <c r="T120" s="7">
        <f t="shared" si="1"/>
        <v>0</v>
      </c>
    </row>
    <row r="121" spans="1:20" x14ac:dyDescent="0.25">
      <c r="A121" t="s">
        <v>16</v>
      </c>
      <c r="B121" s="9" t="s">
        <v>300</v>
      </c>
      <c r="C121">
        <v>0</v>
      </c>
      <c r="D121">
        <v>-1724800</v>
      </c>
      <c r="E121">
        <v>-855416</v>
      </c>
      <c r="F121">
        <v>770500100</v>
      </c>
      <c r="G121">
        <v>0</v>
      </c>
      <c r="H121">
        <v>0</v>
      </c>
      <c r="I121">
        <v>0</v>
      </c>
      <c r="J121">
        <v>0</v>
      </c>
      <c r="K121">
        <v>768775300</v>
      </c>
      <c r="L121">
        <v>855416</v>
      </c>
      <c r="M121" t="s">
        <v>17</v>
      </c>
      <c r="N121">
        <v>1</v>
      </c>
      <c r="O121">
        <v>1</v>
      </c>
      <c r="P121" t="str">
        <f>VLOOKUP(B121,'CHECK_DT-BT_chi_tiet'!$A:$C,3,FALSE)</f>
        <v>BV Đà Nẵng</v>
      </c>
      <c r="Q121" t="str">
        <f>VLOOKUP(A121,Sheet3!$K$11:$L$21,2,FALSE)</f>
        <v>BH Du lịch</v>
      </c>
      <c r="R121" t="str">
        <f>VLOOKUP(Q121,Sheet3!$L$11:$M$21,2,FALSE)</f>
        <v>HQ1</v>
      </c>
      <c r="S121" s="26">
        <f>SUMIFS('HQ2'!$O:$O,'HQ2'!$B:$B, "="&amp;'Tong_hop_HQNV_2026Q1_2026-06-23'!Q121, 'HQ2'!$A:$A,"="&amp;'Tong_hop_HQNV_2026Q1_2026-06-23'!P121)</f>
        <v>0</v>
      </c>
      <c r="T121" s="7">
        <f t="shared" si="1"/>
        <v>0</v>
      </c>
    </row>
    <row r="122" spans="1:20" x14ac:dyDescent="0.25">
      <c r="A122" t="s">
        <v>16</v>
      </c>
      <c r="B122" s="9" t="s">
        <v>313</v>
      </c>
      <c r="C122">
        <v>0</v>
      </c>
      <c r="D122">
        <v>-2486480</v>
      </c>
      <c r="E122">
        <v>-145570773</v>
      </c>
      <c r="F122">
        <v>2443816441</v>
      </c>
      <c r="G122">
        <v>60004488</v>
      </c>
      <c r="H122">
        <v>58004488</v>
      </c>
      <c r="I122">
        <v>0</v>
      </c>
      <c r="J122">
        <v>0</v>
      </c>
      <c r="K122">
        <v>2441329961</v>
      </c>
      <c r="L122">
        <v>145570773</v>
      </c>
      <c r="M122" t="s">
        <v>17</v>
      </c>
      <c r="N122">
        <v>1</v>
      </c>
      <c r="O122">
        <v>1</v>
      </c>
      <c r="P122" t="str">
        <f>VLOOKUP(B122,'CHECK_DT-BT_chi_tiet'!$A:$C,3,FALSE)</f>
        <v>BV Hà Nội</v>
      </c>
      <c r="Q122" t="str">
        <f>VLOOKUP(A122,Sheet3!$K$11:$L$21,2,FALSE)</f>
        <v>BH Du lịch</v>
      </c>
      <c r="R122" t="str">
        <f>VLOOKUP(Q122,Sheet3!$L$11:$M$21,2,FALSE)</f>
        <v>HQ1</v>
      </c>
      <c r="S122" s="26">
        <f>SUMIFS('HQ2'!$O:$O,'HQ2'!$B:$B, "="&amp;'Tong_hop_HQNV_2026Q1_2026-06-23'!Q122, 'HQ2'!$A:$A,"="&amp;'Tong_hop_HQNV_2026Q1_2026-06-23'!P122)</f>
        <v>0</v>
      </c>
      <c r="T122" s="7">
        <f t="shared" si="1"/>
        <v>0</v>
      </c>
    </row>
    <row r="123" spans="1:20" x14ac:dyDescent="0.25">
      <c r="A123" t="s">
        <v>16</v>
      </c>
      <c r="B123" s="9" t="s">
        <v>315</v>
      </c>
      <c r="C123">
        <v>0</v>
      </c>
      <c r="D123">
        <v>0</v>
      </c>
      <c r="E123">
        <v>0</v>
      </c>
      <c r="F123">
        <v>50846900</v>
      </c>
      <c r="G123">
        <v>0</v>
      </c>
      <c r="H123">
        <v>0</v>
      </c>
      <c r="I123">
        <v>0</v>
      </c>
      <c r="J123">
        <v>0</v>
      </c>
      <c r="K123">
        <v>50846900</v>
      </c>
      <c r="L123">
        <v>0</v>
      </c>
      <c r="M123" t="s">
        <v>17</v>
      </c>
      <c r="N123">
        <v>1</v>
      </c>
      <c r="O123">
        <v>1</v>
      </c>
      <c r="P123" t="str">
        <f>VLOOKUP(B123,'CHECK_DT-BT_chi_tiet'!$A:$C,3,FALSE)</f>
        <v>BV Hà Tĩnh</v>
      </c>
      <c r="Q123" t="str">
        <f>VLOOKUP(A123,Sheet3!$K$11:$L$21,2,FALSE)</f>
        <v>BH Du lịch</v>
      </c>
      <c r="R123" t="str">
        <f>VLOOKUP(Q123,Sheet3!$L$11:$M$21,2,FALSE)</f>
        <v>HQ1</v>
      </c>
      <c r="S123" s="26">
        <f>SUMIFS('HQ2'!$O:$O,'HQ2'!$B:$B, "="&amp;'Tong_hop_HQNV_2026Q1_2026-06-23'!Q123, 'HQ2'!$A:$A,"="&amp;'Tong_hop_HQNV_2026Q1_2026-06-23'!P123)</f>
        <v>0</v>
      </c>
      <c r="T123" s="7">
        <f t="shared" si="1"/>
        <v>0</v>
      </c>
    </row>
    <row r="124" spans="1:20" x14ac:dyDescent="0.25">
      <c r="A124" t="s">
        <v>16</v>
      </c>
      <c r="B124" s="9" t="s">
        <v>321</v>
      </c>
      <c r="C124">
        <v>0</v>
      </c>
      <c r="D124">
        <v>-2114000</v>
      </c>
      <c r="E124">
        <v>-48574816</v>
      </c>
      <c r="F124">
        <v>201908000</v>
      </c>
      <c r="G124">
        <v>0</v>
      </c>
      <c r="H124">
        <v>0</v>
      </c>
      <c r="I124">
        <v>0</v>
      </c>
      <c r="J124">
        <v>0</v>
      </c>
      <c r="K124">
        <v>199794000</v>
      </c>
      <c r="L124">
        <v>48574816</v>
      </c>
      <c r="M124" t="s">
        <v>17</v>
      </c>
      <c r="N124">
        <v>1</v>
      </c>
      <c r="O124">
        <v>1</v>
      </c>
      <c r="P124" t="str">
        <f>VLOOKUP(B124,'CHECK_DT-BT_chi_tiet'!$A:$C,3,FALSE)</f>
        <v>BV Khánh Hòa</v>
      </c>
      <c r="Q124" t="str">
        <f>VLOOKUP(A124,Sheet3!$K$11:$L$21,2,FALSE)</f>
        <v>BH Du lịch</v>
      </c>
      <c r="R124" t="str">
        <f>VLOOKUP(Q124,Sheet3!$L$11:$M$21,2,FALSE)</f>
        <v>HQ1</v>
      </c>
      <c r="S124" s="26">
        <f>SUMIFS('HQ2'!$O:$O,'HQ2'!$B:$B, "="&amp;'Tong_hop_HQNV_2026Q1_2026-06-23'!Q124, 'HQ2'!$A:$A,"="&amp;'Tong_hop_HQNV_2026Q1_2026-06-23'!P124)</f>
        <v>0</v>
      </c>
      <c r="T124" s="7">
        <f t="shared" si="1"/>
        <v>0</v>
      </c>
    </row>
    <row r="125" spans="1:20" x14ac:dyDescent="0.25">
      <c r="A125" t="s">
        <v>16</v>
      </c>
      <c r="B125" s="9" t="s">
        <v>334</v>
      </c>
      <c r="C125">
        <v>0</v>
      </c>
      <c r="D125">
        <v>-1402560</v>
      </c>
      <c r="E125">
        <v>0</v>
      </c>
      <c r="F125">
        <v>8887800</v>
      </c>
      <c r="G125">
        <v>0</v>
      </c>
      <c r="H125">
        <v>0</v>
      </c>
      <c r="I125">
        <v>0</v>
      </c>
      <c r="J125">
        <v>0</v>
      </c>
      <c r="K125">
        <v>7485240</v>
      </c>
      <c r="L125">
        <v>0</v>
      </c>
      <c r="M125" t="s">
        <v>17</v>
      </c>
      <c r="N125">
        <v>1</v>
      </c>
      <c r="O125">
        <v>1</v>
      </c>
      <c r="P125" t="str">
        <f>VLOOKUP(B125,'CHECK_DT-BT_chi_tiet'!$A:$C,3,FALSE)</f>
        <v>BV Ninh Bình</v>
      </c>
      <c r="Q125" t="str">
        <f>VLOOKUP(A125,Sheet3!$K$11:$L$21,2,FALSE)</f>
        <v>BH Du lịch</v>
      </c>
      <c r="R125" t="str">
        <f>VLOOKUP(Q125,Sheet3!$L$11:$M$21,2,FALSE)</f>
        <v>HQ1</v>
      </c>
      <c r="S125" s="26">
        <f>SUMIFS('HQ2'!$O:$O,'HQ2'!$B:$B, "="&amp;'Tong_hop_HQNV_2026Q1_2026-06-23'!Q125, 'HQ2'!$A:$A,"="&amp;'Tong_hop_HQNV_2026Q1_2026-06-23'!P125)</f>
        <v>0</v>
      </c>
      <c r="T125" s="7">
        <f t="shared" si="1"/>
        <v>0</v>
      </c>
    </row>
    <row r="126" spans="1:20" x14ac:dyDescent="0.25">
      <c r="A126" t="s">
        <v>16</v>
      </c>
      <c r="B126" s="9" t="s">
        <v>345</v>
      </c>
      <c r="C126">
        <v>0</v>
      </c>
      <c r="D126">
        <v>-3331200</v>
      </c>
      <c r="E126">
        <v>-60501605</v>
      </c>
      <c r="F126">
        <v>1347896237</v>
      </c>
      <c r="G126">
        <v>327494005</v>
      </c>
      <c r="H126">
        <v>29708771</v>
      </c>
      <c r="I126">
        <v>0</v>
      </c>
      <c r="J126">
        <v>0</v>
      </c>
      <c r="K126">
        <v>1344565037</v>
      </c>
      <c r="L126">
        <v>60501605</v>
      </c>
      <c r="M126" t="s">
        <v>17</v>
      </c>
      <c r="N126">
        <v>1</v>
      </c>
      <c r="O126">
        <v>1</v>
      </c>
      <c r="P126" t="str">
        <f>VLOOKUP(B126,'CHECK_DT-BT_chi_tiet'!$A:$C,3,FALSE)</f>
        <v>BV Sài Gòn</v>
      </c>
      <c r="Q126" t="str">
        <f>VLOOKUP(A126,Sheet3!$K$11:$L$21,2,FALSE)</f>
        <v>BH Du lịch</v>
      </c>
      <c r="R126" t="str">
        <f>VLOOKUP(Q126,Sheet3!$L$11:$M$21,2,FALSE)</f>
        <v>HQ1</v>
      </c>
      <c r="S126" s="26">
        <f>SUMIFS('HQ2'!$O:$O,'HQ2'!$B:$B, "="&amp;'Tong_hop_HQNV_2026Q1_2026-06-23'!Q126, 'HQ2'!$A:$A,"="&amp;'Tong_hop_HQNV_2026Q1_2026-06-23'!P126)</f>
        <v>0</v>
      </c>
      <c r="T126" s="7">
        <f t="shared" si="1"/>
        <v>0</v>
      </c>
    </row>
    <row r="127" spans="1:20" x14ac:dyDescent="0.25">
      <c r="A127" t="s">
        <v>16</v>
      </c>
      <c r="B127" s="9" t="s">
        <v>355</v>
      </c>
      <c r="C127">
        <v>0</v>
      </c>
      <c r="D127">
        <v>-526400</v>
      </c>
      <c r="E127">
        <v>-4044536</v>
      </c>
      <c r="F127">
        <v>72438165</v>
      </c>
      <c r="G127">
        <v>0</v>
      </c>
      <c r="H127">
        <v>0</v>
      </c>
      <c r="I127">
        <v>0</v>
      </c>
      <c r="J127">
        <v>0</v>
      </c>
      <c r="K127">
        <v>71911765</v>
      </c>
      <c r="L127">
        <v>4044536</v>
      </c>
      <c r="M127" t="s">
        <v>17</v>
      </c>
      <c r="N127">
        <v>1</v>
      </c>
      <c r="O127">
        <v>1</v>
      </c>
      <c r="P127" t="str">
        <f>VLOOKUP(B127,'CHECK_DT-BT_chi_tiet'!$A:$C,3,FALSE)</f>
        <v>BV Thừa Thiên Huế</v>
      </c>
      <c r="Q127" t="str">
        <f>VLOOKUP(A127,Sheet3!$K$11:$L$21,2,FALSE)</f>
        <v>BH Du lịch</v>
      </c>
      <c r="R127" t="str">
        <f>VLOOKUP(Q127,Sheet3!$L$11:$M$21,2,FALSE)</f>
        <v>HQ1</v>
      </c>
      <c r="S127" s="26">
        <f>SUMIFS('HQ2'!$O:$O,'HQ2'!$B:$B, "="&amp;'Tong_hop_HQNV_2026Q1_2026-06-23'!Q127, 'HQ2'!$A:$A,"="&amp;'Tong_hop_HQNV_2026Q1_2026-06-23'!P127)</f>
        <v>0</v>
      </c>
      <c r="T127" s="7">
        <f t="shared" si="1"/>
        <v>0</v>
      </c>
    </row>
    <row r="128" spans="1:20" x14ac:dyDescent="0.25">
      <c r="A128" t="s">
        <v>16</v>
      </c>
      <c r="B128" s="9" t="s">
        <v>356</v>
      </c>
      <c r="C128">
        <v>0</v>
      </c>
      <c r="D128">
        <v>0</v>
      </c>
      <c r="E128">
        <v>0</v>
      </c>
      <c r="F128">
        <v>59082800</v>
      </c>
      <c r="G128">
        <v>0</v>
      </c>
      <c r="H128">
        <v>0</v>
      </c>
      <c r="I128">
        <v>0</v>
      </c>
      <c r="J128">
        <v>0</v>
      </c>
      <c r="K128">
        <v>59082800</v>
      </c>
      <c r="L128">
        <v>0</v>
      </c>
      <c r="M128" t="s">
        <v>17</v>
      </c>
      <c r="N128">
        <v>1</v>
      </c>
      <c r="O128">
        <v>1</v>
      </c>
      <c r="P128" t="str">
        <f>VLOOKUP(B128,'CHECK_DT-BT_chi_tiet'!$A:$C,3,FALSE)</f>
        <v>BV Tiền Giang</v>
      </c>
      <c r="Q128" t="str">
        <f>VLOOKUP(A128,Sheet3!$K$11:$L$21,2,FALSE)</f>
        <v>BH Du lịch</v>
      </c>
      <c r="R128" t="str">
        <f>VLOOKUP(Q128,Sheet3!$L$11:$M$21,2,FALSE)</f>
        <v>HQ1</v>
      </c>
      <c r="S128" s="26">
        <f>SUMIFS('HQ2'!$O:$O,'HQ2'!$B:$B, "="&amp;'Tong_hop_HQNV_2026Q1_2026-06-23'!Q128, 'HQ2'!$A:$A,"="&amp;'Tong_hop_HQNV_2026Q1_2026-06-23'!P128)</f>
        <v>0</v>
      </c>
      <c r="T128" s="7">
        <f t="shared" si="1"/>
        <v>0</v>
      </c>
    </row>
    <row r="129" spans="1:20" x14ac:dyDescent="0.25">
      <c r="A129" t="s">
        <v>16</v>
      </c>
      <c r="B129" s="9" t="s">
        <v>309</v>
      </c>
      <c r="C129">
        <v>0</v>
      </c>
      <c r="D129">
        <v>-1465600</v>
      </c>
      <c r="E129">
        <v>-656634</v>
      </c>
      <c r="F129">
        <v>371687200</v>
      </c>
      <c r="G129">
        <v>0</v>
      </c>
      <c r="H129">
        <v>0</v>
      </c>
      <c r="I129">
        <v>0</v>
      </c>
      <c r="J129">
        <v>0</v>
      </c>
      <c r="K129">
        <v>370221600</v>
      </c>
      <c r="L129">
        <v>656634</v>
      </c>
      <c r="M129" t="s">
        <v>17</v>
      </c>
      <c r="N129">
        <v>1</v>
      </c>
      <c r="O129">
        <v>1</v>
      </c>
      <c r="P129" t="str">
        <f>VLOOKUP(B129,'CHECK_DT-BT_chi_tiet'!$A:$C,3,FALSE)</f>
        <v>BV Gia Định</v>
      </c>
      <c r="Q129" t="str">
        <f>VLOOKUP(A129,Sheet3!$K$11:$L$21,2,FALSE)</f>
        <v>BH Du lịch</v>
      </c>
      <c r="R129" t="str">
        <f>VLOOKUP(Q129,Sheet3!$L$11:$M$21,2,FALSE)</f>
        <v>HQ1</v>
      </c>
      <c r="S129" s="26">
        <f>SUMIFS('HQ2'!$O:$O,'HQ2'!$B:$B, "="&amp;'Tong_hop_HQNV_2026Q1_2026-06-23'!Q129, 'HQ2'!$A:$A,"="&amp;'Tong_hop_HQNV_2026Q1_2026-06-23'!P129)</f>
        <v>0</v>
      </c>
      <c r="T129" s="7">
        <f t="shared" si="1"/>
        <v>0</v>
      </c>
    </row>
    <row r="130" spans="1:20" x14ac:dyDescent="0.25">
      <c r="A130" t="s">
        <v>16</v>
      </c>
      <c r="B130" s="9" t="s">
        <v>354</v>
      </c>
      <c r="C130">
        <v>0</v>
      </c>
      <c r="D130">
        <v>0</v>
      </c>
      <c r="E130">
        <v>-124678214</v>
      </c>
      <c r="F130">
        <v>945665265</v>
      </c>
      <c r="G130" s="92">
        <v>60000000</v>
      </c>
      <c r="H130" s="92">
        <v>60000000</v>
      </c>
      <c r="I130">
        <v>0</v>
      </c>
      <c r="J130">
        <v>0</v>
      </c>
      <c r="K130">
        <v>945665265</v>
      </c>
      <c r="L130">
        <v>124678214</v>
      </c>
      <c r="M130" t="s">
        <v>17</v>
      </c>
      <c r="N130">
        <v>1</v>
      </c>
      <c r="O130">
        <v>1</v>
      </c>
      <c r="P130" t="str">
        <f>VLOOKUP(B130,'CHECK_DT-BT_chi_tiet'!$A:$C,3,FALSE)</f>
        <v>BV Thành phố HCM</v>
      </c>
      <c r="Q130" t="str">
        <f>VLOOKUP(A130,Sheet3!$K$11:$L$21,2,FALSE)</f>
        <v>BH Du lịch</v>
      </c>
      <c r="R130" t="str">
        <f>VLOOKUP(Q130,Sheet3!$L$11:$M$21,2,FALSE)</f>
        <v>HQ1</v>
      </c>
      <c r="S130" s="26">
        <f>SUMIFS('HQ2'!$O:$O,'HQ2'!$B:$B, "="&amp;'Tong_hop_HQNV_2026Q1_2026-06-23'!Q130, 'HQ2'!$A:$A,"="&amp;'Tong_hop_HQNV_2026Q1_2026-06-23'!P130)</f>
        <v>0</v>
      </c>
      <c r="T130" s="7">
        <f t="shared" si="1"/>
        <v>0</v>
      </c>
    </row>
    <row r="131" spans="1:20" x14ac:dyDescent="0.25">
      <c r="A131" t="s">
        <v>16</v>
      </c>
      <c r="B131" s="9" t="s">
        <v>337</v>
      </c>
      <c r="C131">
        <v>0</v>
      </c>
      <c r="D131">
        <v>-406700</v>
      </c>
      <c r="E131">
        <v>0</v>
      </c>
      <c r="F131">
        <v>107567060</v>
      </c>
      <c r="G131">
        <v>0</v>
      </c>
      <c r="H131">
        <v>0</v>
      </c>
      <c r="I131">
        <v>0</v>
      </c>
      <c r="J131">
        <v>0</v>
      </c>
      <c r="K131">
        <v>107160360</v>
      </c>
      <c r="L131">
        <v>0</v>
      </c>
      <c r="M131" t="s">
        <v>17</v>
      </c>
      <c r="N131">
        <v>1</v>
      </c>
      <c r="O131">
        <v>1</v>
      </c>
      <c r="P131" t="str">
        <f>VLOOKUP(B131,'CHECK_DT-BT_chi_tiet'!$A:$C,3,FALSE)</f>
        <v>BV Phú Quốc</v>
      </c>
      <c r="Q131" t="str">
        <f>VLOOKUP(A131,Sheet3!$K$11:$L$21,2,FALSE)</f>
        <v>BH Du lịch</v>
      </c>
      <c r="R131" t="str">
        <f>VLOOKUP(Q131,Sheet3!$L$11:$M$21,2,FALSE)</f>
        <v>HQ1</v>
      </c>
      <c r="S131" s="26">
        <f>SUMIFS('HQ2'!$O:$O,'HQ2'!$B:$B, "="&amp;'Tong_hop_HQNV_2026Q1_2026-06-23'!Q131, 'HQ2'!$A:$A,"="&amp;'Tong_hop_HQNV_2026Q1_2026-06-23'!P131)</f>
        <v>0</v>
      </c>
      <c r="T131" s="7">
        <f t="shared" ref="T131:T194" si="2">IFERROR(IF(R131="HQ2",S131-G131,0),0)</f>
        <v>0</v>
      </c>
    </row>
    <row r="132" spans="1:20" x14ac:dyDescent="0.25">
      <c r="A132" t="s">
        <v>16</v>
      </c>
      <c r="B132" s="9" t="s">
        <v>291</v>
      </c>
      <c r="C132">
        <v>0</v>
      </c>
      <c r="D132">
        <v>0</v>
      </c>
      <c r="E132">
        <v>-1148690</v>
      </c>
      <c r="F132">
        <v>198955000</v>
      </c>
      <c r="G132" s="92">
        <v>4000000</v>
      </c>
      <c r="H132" s="92">
        <v>4000000</v>
      </c>
      <c r="I132">
        <v>0</v>
      </c>
      <c r="J132">
        <v>0</v>
      </c>
      <c r="K132">
        <v>198955000</v>
      </c>
      <c r="L132">
        <v>1148690</v>
      </c>
      <c r="M132" t="s">
        <v>17</v>
      </c>
      <c r="N132">
        <v>1</v>
      </c>
      <c r="O132">
        <v>1</v>
      </c>
      <c r="P132" t="str">
        <f>VLOOKUP(B132,'CHECK_DT-BT_chi_tiet'!$A:$C,3,FALSE)</f>
        <v>BV Bến Thành</v>
      </c>
      <c r="Q132" t="str">
        <f>VLOOKUP(A132,Sheet3!$K$11:$L$21,2,FALSE)</f>
        <v>BH Du lịch</v>
      </c>
      <c r="R132" t="str">
        <f>VLOOKUP(Q132,Sheet3!$L$11:$M$21,2,FALSE)</f>
        <v>HQ1</v>
      </c>
      <c r="S132" s="26">
        <f>SUMIFS('HQ2'!$O:$O,'HQ2'!$B:$B, "="&amp;'Tong_hop_HQNV_2026Q1_2026-06-23'!Q132, 'HQ2'!$A:$A,"="&amp;'Tong_hop_HQNV_2026Q1_2026-06-23'!P132)</f>
        <v>0</v>
      </c>
      <c r="T132" s="7">
        <f t="shared" si="2"/>
        <v>0</v>
      </c>
    </row>
    <row r="133" spans="1:20" x14ac:dyDescent="0.25">
      <c r="A133" t="s">
        <v>16</v>
      </c>
      <c r="B133" s="9" t="s">
        <v>330</v>
      </c>
      <c r="C133">
        <v>0</v>
      </c>
      <c r="D133">
        <v>-8186400</v>
      </c>
      <c r="E133">
        <v>-29701956</v>
      </c>
      <c r="F133">
        <v>933046150</v>
      </c>
      <c r="G133">
        <v>98026722</v>
      </c>
      <c r="H133">
        <v>4460000</v>
      </c>
      <c r="I133">
        <v>0</v>
      </c>
      <c r="J133">
        <v>0</v>
      </c>
      <c r="K133">
        <v>924859750</v>
      </c>
      <c r="L133">
        <v>29701956</v>
      </c>
      <c r="M133" t="s">
        <v>17</v>
      </c>
      <c r="N133">
        <v>1</v>
      </c>
      <c r="O133">
        <v>1</v>
      </c>
      <c r="P133" t="str">
        <f>VLOOKUP(B133,'CHECK_DT-BT_chi_tiet'!$A:$C,3,FALSE)</f>
        <v>BV Mỹ Đình</v>
      </c>
      <c r="Q133" t="str">
        <f>VLOOKUP(A133,Sheet3!$K$11:$L$21,2,FALSE)</f>
        <v>BH Du lịch</v>
      </c>
      <c r="R133" t="str">
        <f>VLOOKUP(Q133,Sheet3!$L$11:$M$21,2,FALSE)</f>
        <v>HQ1</v>
      </c>
      <c r="S133" s="26">
        <f>SUMIFS('HQ2'!$O:$O,'HQ2'!$B:$B, "="&amp;'Tong_hop_HQNV_2026Q1_2026-06-23'!Q133, 'HQ2'!$A:$A,"="&amp;'Tong_hop_HQNV_2026Q1_2026-06-23'!P133)</f>
        <v>0</v>
      </c>
      <c r="T133" s="7">
        <f t="shared" si="2"/>
        <v>0</v>
      </c>
    </row>
    <row r="134" spans="1:20" x14ac:dyDescent="0.25">
      <c r="A134" t="s">
        <v>18</v>
      </c>
      <c r="B134" s="9" t="s">
        <v>285</v>
      </c>
      <c r="C134">
        <v>0</v>
      </c>
      <c r="D134">
        <v>-565808</v>
      </c>
      <c r="E134">
        <v>-694504790</v>
      </c>
      <c r="F134">
        <v>4558623706</v>
      </c>
      <c r="G134">
        <v>647555485.20000005</v>
      </c>
      <c r="H134">
        <v>0</v>
      </c>
      <c r="I134">
        <v>697141338.03999996</v>
      </c>
      <c r="J134">
        <v>84239128</v>
      </c>
      <c r="K134">
        <v>4558057898</v>
      </c>
      <c r="L134">
        <v>694504790</v>
      </c>
      <c r="M134" t="s">
        <v>17</v>
      </c>
      <c r="N134" t="s">
        <v>19</v>
      </c>
      <c r="O134" t="s">
        <v>20</v>
      </c>
      <c r="P134" t="str">
        <f>VLOOKUP(B134,'CHECK_DT-BT_chi_tiet'!$A:$C,3,FALSE)</f>
        <v>BV An Phú</v>
      </c>
      <c r="Q134" t="str">
        <f>VLOOKUP(A134,Sheet3!$K$11:$L$21,2,FALSE)</f>
        <v>BH Hàng hóa</v>
      </c>
      <c r="R134" t="str">
        <f>VLOOKUP(Q134,Sheet3!$L$11:$M$21,2,FALSE)</f>
        <v>HQ2</v>
      </c>
      <c r="S134" s="26">
        <f>SUMIFS('HQ2'!$O:$O,'HQ2'!$B:$B, "="&amp;'Tong_hop_HQNV_2026Q1_2026-06-23'!Q134, 'HQ2'!$A:$A,"="&amp;'Tong_hop_HQNV_2026Q1_2026-06-23'!P134)</f>
        <v>647555485.20000005</v>
      </c>
      <c r="T134" s="7">
        <f t="shared" si="2"/>
        <v>0</v>
      </c>
    </row>
    <row r="135" spans="1:20" x14ac:dyDescent="0.25">
      <c r="A135" t="s">
        <v>18</v>
      </c>
      <c r="B135" s="9" t="s">
        <v>296</v>
      </c>
      <c r="C135">
        <v>0</v>
      </c>
      <c r="D135">
        <v>-3627847</v>
      </c>
      <c r="E135">
        <v>0</v>
      </c>
      <c r="F135">
        <v>40120000</v>
      </c>
      <c r="G135">
        <v>0</v>
      </c>
      <c r="H135">
        <v>0</v>
      </c>
      <c r="I135">
        <v>0</v>
      </c>
      <c r="J135">
        <v>0</v>
      </c>
      <c r="K135">
        <v>36492153</v>
      </c>
      <c r="L135">
        <v>0</v>
      </c>
      <c r="M135" t="s">
        <v>17</v>
      </c>
      <c r="N135" t="s">
        <v>19</v>
      </c>
      <c r="O135" t="s">
        <v>20</v>
      </c>
      <c r="P135" t="str">
        <f>VLOOKUP(B135,'CHECK_DT-BT_chi_tiet'!$A:$C,3,FALSE)</f>
        <v>BV Bình Thuận</v>
      </c>
      <c r="Q135" t="str">
        <f>VLOOKUP(A135,Sheet3!$K$11:$L$21,2,FALSE)</f>
        <v>BH Hàng hóa</v>
      </c>
      <c r="R135" t="str">
        <f>VLOOKUP(Q135,Sheet3!$L$11:$M$21,2,FALSE)</f>
        <v>HQ2</v>
      </c>
      <c r="S135" s="26">
        <f>SUMIFS('HQ2'!$O:$O,'HQ2'!$B:$B, "="&amp;'Tong_hop_HQNV_2026Q1_2026-06-23'!Q135, 'HQ2'!$A:$A,"="&amp;'Tong_hop_HQNV_2026Q1_2026-06-23'!P135)</f>
        <v>0</v>
      </c>
      <c r="T135" s="7">
        <f t="shared" si="2"/>
        <v>0</v>
      </c>
    </row>
    <row r="136" spans="1:20" x14ac:dyDescent="0.25">
      <c r="A136" t="s">
        <v>18</v>
      </c>
      <c r="B136" s="9" t="s">
        <v>307</v>
      </c>
      <c r="C136">
        <v>0</v>
      </c>
      <c r="D136">
        <v>-4818780</v>
      </c>
      <c r="E136">
        <v>-4343977</v>
      </c>
      <c r="F136">
        <v>423307497</v>
      </c>
      <c r="G136">
        <v>369498579</v>
      </c>
      <c r="H136">
        <v>0</v>
      </c>
      <c r="I136">
        <v>0</v>
      </c>
      <c r="J136">
        <v>0</v>
      </c>
      <c r="K136">
        <v>418488717</v>
      </c>
      <c r="L136">
        <v>4343977</v>
      </c>
      <c r="M136" t="s">
        <v>17</v>
      </c>
      <c r="N136" t="s">
        <v>19</v>
      </c>
      <c r="O136" t="s">
        <v>20</v>
      </c>
      <c r="P136" t="str">
        <f>VLOOKUP(B136,'CHECK_DT-BT_chi_tiet'!$A:$C,3,FALSE)</f>
        <v>BV Đồng Nai</v>
      </c>
      <c r="Q136" t="str">
        <f>VLOOKUP(A136,Sheet3!$K$11:$L$21,2,FALSE)</f>
        <v>BH Hàng hóa</v>
      </c>
      <c r="R136" t="str">
        <f>VLOOKUP(Q136,Sheet3!$L$11:$M$21,2,FALSE)</f>
        <v>HQ2</v>
      </c>
      <c r="S136" s="26">
        <f>SUMIFS('HQ2'!$O:$O,'HQ2'!$B:$B, "="&amp;'Tong_hop_HQNV_2026Q1_2026-06-23'!Q136, 'HQ2'!$A:$A,"="&amp;'Tong_hop_HQNV_2026Q1_2026-06-23'!P136)</f>
        <v>369498579</v>
      </c>
      <c r="T136" s="7">
        <f t="shared" si="2"/>
        <v>0</v>
      </c>
    </row>
    <row r="137" spans="1:20" x14ac:dyDescent="0.25">
      <c r="A137" t="s">
        <v>18</v>
      </c>
      <c r="B137" s="9" t="s">
        <v>309</v>
      </c>
      <c r="C137">
        <v>0</v>
      </c>
      <c r="D137">
        <v>-42580393</v>
      </c>
      <c r="E137">
        <v>-205310688</v>
      </c>
      <c r="F137">
        <v>1849560959</v>
      </c>
      <c r="G137">
        <v>402216907.15399998</v>
      </c>
      <c r="H137">
        <v>0</v>
      </c>
      <c r="I137">
        <v>205681370.12</v>
      </c>
      <c r="J137">
        <v>0</v>
      </c>
      <c r="K137">
        <v>1806980566</v>
      </c>
      <c r="L137">
        <v>205310688</v>
      </c>
      <c r="M137" t="s">
        <v>17</v>
      </c>
      <c r="N137" t="s">
        <v>19</v>
      </c>
      <c r="O137" t="s">
        <v>20</v>
      </c>
      <c r="P137" t="str">
        <f>VLOOKUP(B137,'CHECK_DT-BT_chi_tiet'!$A:$C,3,FALSE)</f>
        <v>BV Gia Định</v>
      </c>
      <c r="Q137" t="str">
        <f>VLOOKUP(A137,Sheet3!$K$11:$L$21,2,FALSE)</f>
        <v>BH Hàng hóa</v>
      </c>
      <c r="R137" t="str">
        <f>VLOOKUP(Q137,Sheet3!$L$11:$M$21,2,FALSE)</f>
        <v>HQ2</v>
      </c>
      <c r="S137" s="26">
        <f>SUMIFS('HQ2'!$O:$O,'HQ2'!$B:$B, "="&amp;'Tong_hop_HQNV_2026Q1_2026-06-23'!Q137, 'HQ2'!$A:$A,"="&amp;'Tong_hop_HQNV_2026Q1_2026-06-23'!P137)</f>
        <v>402216907.10000002</v>
      </c>
      <c r="T137" s="7">
        <f t="shared" si="2"/>
        <v>-5.3999960422515869E-2</v>
      </c>
    </row>
    <row r="138" spans="1:20" x14ac:dyDescent="0.25">
      <c r="A138" t="s">
        <v>35</v>
      </c>
      <c r="B138" s="9" t="s">
        <v>293</v>
      </c>
      <c r="C138">
        <v>0</v>
      </c>
      <c r="D138">
        <v>0</v>
      </c>
      <c r="E138">
        <v>-53257680</v>
      </c>
      <c r="F138">
        <v>478189010</v>
      </c>
      <c r="G138">
        <v>546215446.04999995</v>
      </c>
      <c r="H138">
        <v>0</v>
      </c>
      <c r="I138">
        <v>53257680</v>
      </c>
      <c r="J138">
        <v>0</v>
      </c>
      <c r="K138">
        <v>478189010</v>
      </c>
      <c r="L138">
        <v>53257680</v>
      </c>
      <c r="M138" t="s">
        <v>36</v>
      </c>
      <c r="N138" t="s">
        <v>31</v>
      </c>
      <c r="O138" t="s">
        <v>20</v>
      </c>
      <c r="P138" t="str">
        <f>VLOOKUP(B138,'CHECK_DT-BT_chi_tiet'!$A:$C,3,FALSE)</f>
        <v>BV Bình Định</v>
      </c>
      <c r="Q138" t="str">
        <f>VLOOKUP(A138,Sheet3!$K$11:$L$21,2,FALSE)</f>
        <v>BH Kỹ thuật</v>
      </c>
      <c r="R138" t="str">
        <f>VLOOKUP(Q138,Sheet3!$L$11:$M$21,2,FALSE)</f>
        <v>HQ2</v>
      </c>
      <c r="S138" s="26">
        <f>SUMIFS('HQ2'!$O:$O,'HQ2'!$B:$B, "="&amp;'Tong_hop_HQNV_2026Q1_2026-06-23'!Q138, 'HQ2'!$A:$A,"="&amp;'Tong_hop_HQNV_2026Q1_2026-06-23'!P138)</f>
        <v>546215446.10000002</v>
      </c>
      <c r="T138" s="7">
        <f t="shared" si="2"/>
        <v>5.000007152557373E-2</v>
      </c>
    </row>
    <row r="139" spans="1:20" x14ac:dyDescent="0.25">
      <c r="A139" t="s">
        <v>35</v>
      </c>
      <c r="B139" s="9" t="s">
        <v>316</v>
      </c>
      <c r="C139">
        <v>0</v>
      </c>
      <c r="D139">
        <v>-3461741</v>
      </c>
      <c r="E139">
        <v>0</v>
      </c>
      <c r="F139">
        <v>264925577</v>
      </c>
      <c r="G139">
        <v>0</v>
      </c>
      <c r="H139">
        <v>0</v>
      </c>
      <c r="I139">
        <v>0</v>
      </c>
      <c r="J139">
        <v>0</v>
      </c>
      <c r="K139">
        <v>261463836</v>
      </c>
      <c r="L139">
        <v>0</v>
      </c>
      <c r="M139" t="s">
        <v>36</v>
      </c>
      <c r="N139" t="s">
        <v>31</v>
      </c>
      <c r="O139" t="s">
        <v>20</v>
      </c>
      <c r="P139" t="str">
        <f>VLOOKUP(B139,'CHECK_DT-BT_chi_tiet'!$A:$C,3,FALSE)</f>
        <v>BV Hải Dương</v>
      </c>
      <c r="Q139" t="str">
        <f>VLOOKUP(A139,Sheet3!$K$11:$L$21,2,FALSE)</f>
        <v>BH Kỹ thuật</v>
      </c>
      <c r="R139" t="str">
        <f>VLOOKUP(Q139,Sheet3!$L$11:$M$21,2,FALSE)</f>
        <v>HQ2</v>
      </c>
      <c r="S139" s="26">
        <f>SUMIFS('HQ2'!$O:$O,'HQ2'!$B:$B, "="&amp;'Tong_hop_HQNV_2026Q1_2026-06-23'!Q139, 'HQ2'!$A:$A,"="&amp;'Tong_hop_HQNV_2026Q1_2026-06-23'!P139)</f>
        <v>0</v>
      </c>
      <c r="T139" s="7">
        <f t="shared" si="2"/>
        <v>0</v>
      </c>
    </row>
    <row r="140" spans="1:20" x14ac:dyDescent="0.25">
      <c r="A140" t="s">
        <v>35</v>
      </c>
      <c r="B140" s="9" t="s">
        <v>319</v>
      </c>
      <c r="C140">
        <v>0</v>
      </c>
      <c r="D140">
        <v>-4690909</v>
      </c>
      <c r="E140">
        <v>-492827013</v>
      </c>
      <c r="F140">
        <v>86069999</v>
      </c>
      <c r="G140" s="92">
        <v>2312000000</v>
      </c>
      <c r="H140">
        <v>0</v>
      </c>
      <c r="I140">
        <v>492827013</v>
      </c>
      <c r="J140">
        <v>0</v>
      </c>
      <c r="K140">
        <v>81379090</v>
      </c>
      <c r="L140">
        <v>492827013</v>
      </c>
      <c r="M140" t="s">
        <v>36</v>
      </c>
      <c r="N140" t="s">
        <v>31</v>
      </c>
      <c r="O140" t="s">
        <v>20</v>
      </c>
      <c r="P140" t="str">
        <f>VLOOKUP(B140,'CHECK_DT-BT_chi_tiet'!$A:$C,3,FALSE)</f>
        <v>BV Hòa Bình</v>
      </c>
      <c r="Q140" t="str">
        <f>VLOOKUP(A140,Sheet3!$K$11:$L$21,2,FALSE)</f>
        <v>BH Kỹ thuật</v>
      </c>
      <c r="R140" t="str">
        <f>VLOOKUP(Q140,Sheet3!$L$11:$M$21,2,FALSE)</f>
        <v>HQ2</v>
      </c>
      <c r="S140" s="26">
        <f>SUMIFS('HQ2'!$O:$O,'HQ2'!$B:$B, "="&amp;'Tong_hop_HQNV_2026Q1_2026-06-23'!Q140, 'HQ2'!$A:$A,"="&amp;'Tong_hop_HQNV_2026Q1_2026-06-23'!P140)</f>
        <v>2312000000</v>
      </c>
      <c r="T140" s="7">
        <f t="shared" si="2"/>
        <v>0</v>
      </c>
    </row>
    <row r="141" spans="1:20" x14ac:dyDescent="0.25">
      <c r="A141" t="s">
        <v>35</v>
      </c>
      <c r="B141" s="9" t="s">
        <v>321</v>
      </c>
      <c r="C141">
        <v>0</v>
      </c>
      <c r="D141">
        <v>-3546364</v>
      </c>
      <c r="E141">
        <v>0</v>
      </c>
      <c r="F141">
        <v>1541602264</v>
      </c>
      <c r="G141">
        <v>572891000</v>
      </c>
      <c r="H141">
        <v>0</v>
      </c>
      <c r="I141">
        <v>0</v>
      </c>
      <c r="J141">
        <v>0</v>
      </c>
      <c r="K141">
        <v>1538055900</v>
      </c>
      <c r="L141">
        <v>0</v>
      </c>
      <c r="M141" t="s">
        <v>36</v>
      </c>
      <c r="N141" t="s">
        <v>31</v>
      </c>
      <c r="O141" t="s">
        <v>20</v>
      </c>
      <c r="P141" t="str">
        <f>VLOOKUP(B141,'CHECK_DT-BT_chi_tiet'!$A:$C,3,FALSE)</f>
        <v>BV Khánh Hòa</v>
      </c>
      <c r="Q141" t="str">
        <f>VLOOKUP(A141,Sheet3!$K$11:$L$21,2,FALSE)</f>
        <v>BH Kỹ thuật</v>
      </c>
      <c r="R141" t="str">
        <f>VLOOKUP(Q141,Sheet3!$L$11:$M$21,2,FALSE)</f>
        <v>HQ2</v>
      </c>
      <c r="S141" s="26">
        <f>SUMIFS('HQ2'!$O:$O,'HQ2'!$B:$B, "="&amp;'Tong_hop_HQNV_2026Q1_2026-06-23'!Q141, 'HQ2'!$A:$A,"="&amp;'Tong_hop_HQNV_2026Q1_2026-06-23'!P141)</f>
        <v>572891000</v>
      </c>
      <c r="T141" s="7">
        <f t="shared" si="2"/>
        <v>0</v>
      </c>
    </row>
    <row r="142" spans="1:20" x14ac:dyDescent="0.25">
      <c r="A142" t="s">
        <v>35</v>
      </c>
      <c r="B142" s="9" t="s">
        <v>322</v>
      </c>
      <c r="C142">
        <v>0</v>
      </c>
      <c r="D142">
        <v>-827528</v>
      </c>
      <c r="E142">
        <v>0</v>
      </c>
      <c r="F142">
        <v>1351264603</v>
      </c>
      <c r="G142">
        <v>0</v>
      </c>
      <c r="H142">
        <v>0</v>
      </c>
      <c r="I142">
        <v>0</v>
      </c>
      <c r="J142">
        <v>0</v>
      </c>
      <c r="K142">
        <v>1350437075</v>
      </c>
      <c r="L142">
        <v>0</v>
      </c>
      <c r="M142" t="s">
        <v>36</v>
      </c>
      <c r="N142" t="s">
        <v>31</v>
      </c>
      <c r="O142" t="s">
        <v>20</v>
      </c>
      <c r="P142" t="str">
        <f>VLOOKUP(B142,'CHECK_DT-BT_chi_tiet'!$A:$C,3,FALSE)</f>
        <v>BV Kiên Giang</v>
      </c>
      <c r="Q142" t="str">
        <f>VLOOKUP(A142,Sheet3!$K$11:$L$21,2,FALSE)</f>
        <v>BH Kỹ thuật</v>
      </c>
      <c r="R142" t="str">
        <f>VLOOKUP(Q142,Sheet3!$L$11:$M$21,2,FALSE)</f>
        <v>HQ2</v>
      </c>
      <c r="S142" s="26">
        <f>SUMIFS('HQ2'!$O:$O,'HQ2'!$B:$B, "="&amp;'Tong_hop_HQNV_2026Q1_2026-06-23'!Q142, 'HQ2'!$A:$A,"="&amp;'Tong_hop_HQNV_2026Q1_2026-06-23'!P142)</f>
        <v>0</v>
      </c>
      <c r="T142" s="7">
        <f t="shared" si="2"/>
        <v>0</v>
      </c>
    </row>
    <row r="143" spans="1:20" x14ac:dyDescent="0.25">
      <c r="A143" t="s">
        <v>35</v>
      </c>
      <c r="B143" s="9" t="s">
        <v>328</v>
      </c>
      <c r="C143">
        <v>0</v>
      </c>
      <c r="D143">
        <v>-4451818</v>
      </c>
      <c r="E143">
        <v>0</v>
      </c>
      <c r="F143">
        <v>304269091</v>
      </c>
      <c r="G143">
        <v>0</v>
      </c>
      <c r="H143">
        <v>0</v>
      </c>
      <c r="I143">
        <v>0</v>
      </c>
      <c r="J143">
        <v>0</v>
      </c>
      <c r="K143">
        <v>299817273</v>
      </c>
      <c r="L143">
        <v>0</v>
      </c>
      <c r="M143" t="s">
        <v>36</v>
      </c>
      <c r="N143" t="s">
        <v>31</v>
      </c>
      <c r="O143" t="s">
        <v>20</v>
      </c>
      <c r="P143" t="str">
        <f>VLOOKUP(B143,'CHECK_DT-BT_chi_tiet'!$A:$C,3,FALSE)</f>
        <v>BV Long An</v>
      </c>
      <c r="Q143" t="str">
        <f>VLOOKUP(A143,Sheet3!$K$11:$L$21,2,FALSE)</f>
        <v>BH Kỹ thuật</v>
      </c>
      <c r="R143" t="str">
        <f>VLOOKUP(Q143,Sheet3!$L$11:$M$21,2,FALSE)</f>
        <v>HQ2</v>
      </c>
      <c r="S143" s="26">
        <f>SUMIFS('HQ2'!$O:$O,'HQ2'!$B:$B, "="&amp;'Tong_hop_HQNV_2026Q1_2026-06-23'!Q143, 'HQ2'!$A:$A,"="&amp;'Tong_hop_HQNV_2026Q1_2026-06-23'!P143)</f>
        <v>0</v>
      </c>
      <c r="T143" s="7">
        <f t="shared" si="2"/>
        <v>0</v>
      </c>
    </row>
    <row r="144" spans="1:20" x14ac:dyDescent="0.25">
      <c r="A144" t="s">
        <v>35</v>
      </c>
      <c r="B144" s="9" t="s">
        <v>345</v>
      </c>
      <c r="C144">
        <v>0</v>
      </c>
      <c r="D144">
        <v>-5265206</v>
      </c>
      <c r="E144">
        <v>-1988253976</v>
      </c>
      <c r="F144">
        <v>3558214639</v>
      </c>
      <c r="G144">
        <v>42074548340</v>
      </c>
      <c r="H144">
        <v>0</v>
      </c>
      <c r="I144">
        <v>1988253976</v>
      </c>
      <c r="J144">
        <v>0</v>
      </c>
      <c r="K144">
        <v>3552949433</v>
      </c>
      <c r="L144">
        <v>1988253976</v>
      </c>
      <c r="M144" t="s">
        <v>36</v>
      </c>
      <c r="N144" t="s">
        <v>31</v>
      </c>
      <c r="O144" t="s">
        <v>20</v>
      </c>
      <c r="P144" t="str">
        <f>VLOOKUP(B144,'CHECK_DT-BT_chi_tiet'!$A:$C,3,FALSE)</f>
        <v>BV Sài Gòn</v>
      </c>
      <c r="Q144" t="str">
        <f>VLOOKUP(A144,Sheet3!$K$11:$L$21,2,FALSE)</f>
        <v>BH Kỹ thuật</v>
      </c>
      <c r="R144" t="str">
        <f>VLOOKUP(Q144,Sheet3!$L$11:$M$21,2,FALSE)</f>
        <v>HQ2</v>
      </c>
      <c r="S144" s="26">
        <f>SUMIFS('HQ2'!$O:$O,'HQ2'!$B:$B, "="&amp;'Tong_hop_HQNV_2026Q1_2026-06-23'!Q144, 'HQ2'!$A:$A,"="&amp;'Tong_hop_HQNV_2026Q1_2026-06-23'!P144)</f>
        <v>42074548340</v>
      </c>
      <c r="T144" s="7">
        <f t="shared" si="2"/>
        <v>0</v>
      </c>
    </row>
    <row r="145" spans="1:20" x14ac:dyDescent="0.25">
      <c r="A145" t="s">
        <v>35</v>
      </c>
      <c r="B145" s="9" t="s">
        <v>349</v>
      </c>
      <c r="C145">
        <v>0</v>
      </c>
      <c r="D145">
        <v>-566396</v>
      </c>
      <c r="E145">
        <v>0</v>
      </c>
      <c r="F145">
        <v>76894929</v>
      </c>
      <c r="G145">
        <v>0</v>
      </c>
      <c r="H145">
        <v>0</v>
      </c>
      <c r="I145">
        <v>0</v>
      </c>
      <c r="J145">
        <v>0</v>
      </c>
      <c r="K145">
        <v>76328533</v>
      </c>
      <c r="L145">
        <v>0</v>
      </c>
      <c r="M145" t="s">
        <v>36</v>
      </c>
      <c r="N145" t="s">
        <v>31</v>
      </c>
      <c r="O145" t="s">
        <v>20</v>
      </c>
      <c r="P145" t="str">
        <f>VLOOKUP(B145,'CHECK_DT-BT_chi_tiet'!$A:$C,3,FALSE)</f>
        <v>BV Tây Ninh</v>
      </c>
      <c r="Q145" t="str">
        <f>VLOOKUP(A145,Sheet3!$K$11:$L$21,2,FALSE)</f>
        <v>BH Kỹ thuật</v>
      </c>
      <c r="R145" t="str">
        <f>VLOOKUP(Q145,Sheet3!$L$11:$M$21,2,FALSE)</f>
        <v>HQ2</v>
      </c>
      <c r="S145" s="26">
        <f>SUMIFS('HQ2'!$O:$O,'HQ2'!$B:$B, "="&amp;'Tong_hop_HQNV_2026Q1_2026-06-23'!Q145, 'HQ2'!$A:$A,"="&amp;'Tong_hop_HQNV_2026Q1_2026-06-23'!P145)</f>
        <v>0</v>
      </c>
      <c r="T145" s="7">
        <f t="shared" si="2"/>
        <v>0</v>
      </c>
    </row>
    <row r="146" spans="1:20" x14ac:dyDescent="0.25">
      <c r="A146" t="s">
        <v>23</v>
      </c>
      <c r="B146" s="9" t="s">
        <v>305</v>
      </c>
      <c r="C146">
        <v>0</v>
      </c>
      <c r="D146">
        <v>-238187479</v>
      </c>
      <c r="E146">
        <v>0</v>
      </c>
      <c r="F146">
        <v>0</v>
      </c>
      <c r="G146">
        <v>0</v>
      </c>
      <c r="H146">
        <v>0</v>
      </c>
      <c r="I146">
        <v>0</v>
      </c>
      <c r="J146">
        <v>0</v>
      </c>
      <c r="K146">
        <v>-238187479</v>
      </c>
      <c r="L146">
        <v>0</v>
      </c>
      <c r="M146" t="s">
        <v>15</v>
      </c>
      <c r="N146" t="s">
        <v>24</v>
      </c>
      <c r="O146" t="s">
        <v>15</v>
      </c>
      <c r="P146" t="str">
        <f>VLOOKUP(B146,'CHECK_DT-BT_chi_tiet'!$A:$C,3,FALSE)</f>
        <v>BV Đông Bắc</v>
      </c>
      <c r="Q146" t="str">
        <f>VLOOKUP(A146,Sheet3!$K$11:$L$21,2,FALSE)</f>
        <v>P&amp;I</v>
      </c>
      <c r="R146" t="str">
        <f>VLOOKUP(Q146,Sheet3!$L$11:$M$21,2,FALSE)</f>
        <v>HQ2</v>
      </c>
      <c r="S146" s="26">
        <f>SUMIFS('HQ2'!$O:$O,'HQ2'!$B:$B, "="&amp;'Tong_hop_HQNV_2026Q1_2026-06-23'!Q146, 'HQ2'!$A:$A,"="&amp;'Tong_hop_HQNV_2026Q1_2026-06-23'!P146)</f>
        <v>0</v>
      </c>
      <c r="T146" s="7">
        <f t="shared" si="2"/>
        <v>0</v>
      </c>
    </row>
    <row r="147" spans="1:20" x14ac:dyDescent="0.25">
      <c r="A147" t="s">
        <v>23</v>
      </c>
      <c r="B147" s="9" t="s">
        <v>317</v>
      </c>
      <c r="C147">
        <v>0</v>
      </c>
      <c r="D147">
        <v>-737796345</v>
      </c>
      <c r="E147">
        <v>-16525591421</v>
      </c>
      <c r="F147">
        <v>61723347297</v>
      </c>
      <c r="G147">
        <v>51673103720.739998</v>
      </c>
      <c r="H147">
        <v>4182834519.6300001</v>
      </c>
      <c r="I147">
        <v>9664505076.0900002</v>
      </c>
      <c r="J147">
        <v>0</v>
      </c>
      <c r="K147">
        <v>60985550952</v>
      </c>
      <c r="L147">
        <v>16525591421</v>
      </c>
      <c r="M147" t="s">
        <v>15</v>
      </c>
      <c r="N147" t="s">
        <v>24</v>
      </c>
      <c r="O147" t="s">
        <v>15</v>
      </c>
      <c r="P147" t="str">
        <f>VLOOKUP(B147,'CHECK_DT-BT_chi_tiet'!$A:$C,3,FALSE)</f>
        <v>BV Hải Phòng</v>
      </c>
      <c r="Q147" t="str">
        <f>VLOOKUP(A147,Sheet3!$K$11:$L$21,2,FALSE)</f>
        <v>P&amp;I</v>
      </c>
      <c r="R147" t="str">
        <f>VLOOKUP(Q147,Sheet3!$L$11:$M$21,2,FALSE)</f>
        <v>HQ2</v>
      </c>
      <c r="S147" s="26">
        <f>SUMIFS('HQ2'!$O:$O,'HQ2'!$B:$B, "="&amp;'Tong_hop_HQNV_2026Q1_2026-06-23'!Q147, 'HQ2'!$A:$A,"="&amp;'Tong_hop_HQNV_2026Q1_2026-06-23'!P147)</f>
        <v>51673103721.199997</v>
      </c>
      <c r="T147" s="7">
        <f t="shared" si="2"/>
        <v>0.45999908447265625</v>
      </c>
    </row>
    <row r="148" spans="1:20" x14ac:dyDescent="0.25">
      <c r="A148" t="s">
        <v>23</v>
      </c>
      <c r="B148" s="9" t="s">
        <v>320</v>
      </c>
      <c r="C148">
        <v>0</v>
      </c>
      <c r="D148">
        <v>-251062934</v>
      </c>
      <c r="E148">
        <v>0</v>
      </c>
      <c r="F148">
        <v>0</v>
      </c>
      <c r="G148">
        <v>0</v>
      </c>
      <c r="H148">
        <v>0</v>
      </c>
      <c r="I148">
        <v>0</v>
      </c>
      <c r="J148">
        <v>0</v>
      </c>
      <c r="K148">
        <v>-251062934</v>
      </c>
      <c r="L148">
        <v>0</v>
      </c>
      <c r="M148" t="s">
        <v>15</v>
      </c>
      <c r="N148" t="s">
        <v>24</v>
      </c>
      <c r="O148" t="s">
        <v>15</v>
      </c>
      <c r="P148" t="str">
        <f>VLOOKUP(B148,'CHECK_DT-BT_chi_tiet'!$A:$C,3,FALSE)</f>
        <v>BV Hưng Yên</v>
      </c>
      <c r="Q148" t="str">
        <f>VLOOKUP(A148,Sheet3!$K$11:$L$21,2,FALSE)</f>
        <v>P&amp;I</v>
      </c>
      <c r="R148" t="str">
        <f>VLOOKUP(Q148,Sheet3!$L$11:$M$21,2,FALSE)</f>
        <v>HQ2</v>
      </c>
      <c r="S148" s="26">
        <f>SUMIFS('HQ2'!$O:$O,'HQ2'!$B:$B, "="&amp;'Tong_hop_HQNV_2026Q1_2026-06-23'!Q148, 'HQ2'!$A:$A,"="&amp;'Tong_hop_HQNV_2026Q1_2026-06-23'!P148)</f>
        <v>0</v>
      </c>
      <c r="T148" s="7">
        <f t="shared" si="2"/>
        <v>0</v>
      </c>
    </row>
    <row r="149" spans="1:20" x14ac:dyDescent="0.25">
      <c r="A149" t="s">
        <v>23</v>
      </c>
      <c r="B149" s="9" t="s">
        <v>344</v>
      </c>
      <c r="C149">
        <v>0</v>
      </c>
      <c r="D149">
        <v>-461981627</v>
      </c>
      <c r="E149">
        <v>-815215082</v>
      </c>
      <c r="F149">
        <v>827766218</v>
      </c>
      <c r="G149">
        <v>5249400000</v>
      </c>
      <c r="H149">
        <v>0</v>
      </c>
      <c r="I149">
        <v>668200000</v>
      </c>
      <c r="J149">
        <v>0</v>
      </c>
      <c r="K149">
        <v>365784591</v>
      </c>
      <c r="L149">
        <v>815215082</v>
      </c>
      <c r="M149" t="s">
        <v>15</v>
      </c>
      <c r="N149" t="s">
        <v>24</v>
      </c>
      <c r="O149" t="s">
        <v>15</v>
      </c>
      <c r="P149" t="str">
        <f>VLOOKUP(B149,'CHECK_DT-BT_chi_tiet'!$A:$C,3,FALSE)</f>
        <v>BV Quảng Trị</v>
      </c>
      <c r="Q149" t="str">
        <f>VLOOKUP(A149,Sheet3!$K$11:$L$21,2,FALSE)</f>
        <v>P&amp;I</v>
      </c>
      <c r="R149" t="str">
        <f>VLOOKUP(Q149,Sheet3!$L$11:$M$21,2,FALSE)</f>
        <v>HQ2</v>
      </c>
      <c r="S149" s="26">
        <f>SUMIFS('HQ2'!$O:$O,'HQ2'!$B:$B, "="&amp;'Tong_hop_HQNV_2026Q1_2026-06-23'!Q149, 'HQ2'!$A:$A,"="&amp;'Tong_hop_HQNV_2026Q1_2026-06-23'!P149)</f>
        <v>5249400000</v>
      </c>
      <c r="T149" s="7">
        <f t="shared" si="2"/>
        <v>0</v>
      </c>
    </row>
    <row r="150" spans="1:20" x14ac:dyDescent="0.25">
      <c r="A150" t="s">
        <v>23</v>
      </c>
      <c r="B150" s="9" t="s">
        <v>336</v>
      </c>
      <c r="C150">
        <v>0</v>
      </c>
      <c r="D150">
        <v>-1533215745</v>
      </c>
      <c r="E150">
        <v>49925662</v>
      </c>
      <c r="F150">
        <v>3267546420</v>
      </c>
      <c r="G150">
        <v>0</v>
      </c>
      <c r="H150">
        <v>0</v>
      </c>
      <c r="I150">
        <v>171509985</v>
      </c>
      <c r="J150">
        <v>0</v>
      </c>
      <c r="K150">
        <v>1734330675</v>
      </c>
      <c r="L150">
        <v>-49925662</v>
      </c>
      <c r="M150" t="s">
        <v>15</v>
      </c>
      <c r="N150" t="s">
        <v>24</v>
      </c>
      <c r="O150" t="s">
        <v>15</v>
      </c>
      <c r="P150" t="str">
        <f>VLOOKUP(B150,'CHECK_DT-BT_chi_tiet'!$A:$C,3,FALSE)</f>
        <v>BV Phú Mỹ</v>
      </c>
      <c r="Q150" t="str">
        <f>VLOOKUP(A150,Sheet3!$K$11:$L$21,2,FALSE)</f>
        <v>P&amp;I</v>
      </c>
      <c r="R150" t="str">
        <f>VLOOKUP(Q150,Sheet3!$L$11:$M$21,2,FALSE)</f>
        <v>HQ2</v>
      </c>
      <c r="S150" s="26">
        <f>SUMIFS('HQ2'!$O:$O,'HQ2'!$B:$B, "="&amp;'Tong_hop_HQNV_2026Q1_2026-06-23'!Q150, 'HQ2'!$A:$A,"="&amp;'Tong_hop_HQNV_2026Q1_2026-06-23'!P150)</f>
        <v>0</v>
      </c>
      <c r="T150" s="7">
        <f t="shared" si="2"/>
        <v>0</v>
      </c>
    </row>
    <row r="151" spans="1:20" x14ac:dyDescent="0.25">
      <c r="A151" t="s">
        <v>23</v>
      </c>
      <c r="B151" s="9" t="s">
        <v>304</v>
      </c>
      <c r="C151">
        <v>0</v>
      </c>
      <c r="D151">
        <v>0</v>
      </c>
      <c r="E151">
        <v>-14426487285</v>
      </c>
      <c r="F151">
        <v>34140906170</v>
      </c>
      <c r="G151">
        <v>65878341616</v>
      </c>
      <c r="H151">
        <v>65778341616</v>
      </c>
      <c r="I151">
        <v>19280119822.580002</v>
      </c>
      <c r="J151">
        <v>27241638</v>
      </c>
      <c r="K151">
        <v>34140906170</v>
      </c>
      <c r="L151">
        <v>14426487285</v>
      </c>
      <c r="M151" t="s">
        <v>15</v>
      </c>
      <c r="N151" t="s">
        <v>24</v>
      </c>
      <c r="O151" t="s">
        <v>15</v>
      </c>
      <c r="P151" t="str">
        <f>VLOOKUP(B151,'CHECK_DT-BT_chi_tiet'!$A:$C,3,FALSE)</f>
        <v>BV Đình Vũ</v>
      </c>
      <c r="Q151" t="str">
        <f>VLOOKUP(A151,Sheet3!$K$11:$L$21,2,FALSE)</f>
        <v>P&amp;I</v>
      </c>
      <c r="R151" t="str">
        <f>VLOOKUP(Q151,Sheet3!$L$11:$M$21,2,FALSE)</f>
        <v>HQ2</v>
      </c>
      <c r="S151" s="26">
        <f>SUMIFS('HQ2'!$O:$O,'HQ2'!$B:$B, "="&amp;'Tong_hop_HQNV_2026Q1_2026-06-23'!Q151, 'HQ2'!$A:$A,"="&amp;'Tong_hop_HQNV_2026Q1_2026-06-23'!P151)</f>
        <v>65878341616</v>
      </c>
      <c r="T151" s="7">
        <f t="shared" si="2"/>
        <v>0</v>
      </c>
    </row>
    <row r="152" spans="1:20" x14ac:dyDescent="0.25">
      <c r="A152" t="s">
        <v>25</v>
      </c>
      <c r="B152" s="9" t="s">
        <v>317</v>
      </c>
      <c r="C152">
        <v>0</v>
      </c>
      <c r="D152">
        <v>-66293150</v>
      </c>
      <c r="E152">
        <v>-7447941515</v>
      </c>
      <c r="F152">
        <v>15772308784</v>
      </c>
      <c r="G152">
        <v>33013564585</v>
      </c>
      <c r="H152">
        <v>9554379600</v>
      </c>
      <c r="I152">
        <v>6693333472</v>
      </c>
      <c r="J152">
        <v>0</v>
      </c>
      <c r="K152">
        <v>15706015634</v>
      </c>
      <c r="L152">
        <v>7447941515</v>
      </c>
      <c r="M152" t="s">
        <v>15</v>
      </c>
      <c r="N152" t="s">
        <v>26</v>
      </c>
      <c r="O152" t="s">
        <v>27</v>
      </c>
      <c r="P152" t="str">
        <f>VLOOKUP(B152,'CHECK_DT-BT_chi_tiet'!$A:$C,3,FALSE)</f>
        <v>BV Hải Phòng</v>
      </c>
      <c r="Q152" t="str">
        <f>VLOOKUP(A152,Sheet3!$K$11:$L$21,2,FALSE)</f>
        <v>Hull (Thân tàu biển)</v>
      </c>
      <c r="R152" t="str">
        <f>VLOOKUP(Q152,Sheet3!$L$11:$M$21,2,FALSE)</f>
        <v>HQ2</v>
      </c>
      <c r="S152" s="26">
        <f>SUMIFS('HQ2'!$O:$O,'HQ2'!$B:$B, "="&amp;'Tong_hop_HQNV_2026Q1_2026-06-23'!Q152, 'HQ2'!$A:$A,"="&amp;'Tong_hop_HQNV_2026Q1_2026-06-23'!P152)</f>
        <v>33013564585</v>
      </c>
      <c r="T152" s="7">
        <f t="shared" si="2"/>
        <v>0</v>
      </c>
    </row>
    <row r="153" spans="1:20" x14ac:dyDescent="0.25">
      <c r="A153" t="s">
        <v>25</v>
      </c>
      <c r="B153" s="9" t="s">
        <v>304</v>
      </c>
      <c r="C153">
        <v>0</v>
      </c>
      <c r="D153">
        <v>0</v>
      </c>
      <c r="E153">
        <v>-646248343</v>
      </c>
      <c r="F153">
        <v>10320468477</v>
      </c>
      <c r="G153">
        <v>7875974680</v>
      </c>
      <c r="H153" s="92">
        <v>1248000000</v>
      </c>
      <c r="I153">
        <v>571110016</v>
      </c>
      <c r="J153">
        <v>0</v>
      </c>
      <c r="K153">
        <v>10320468477</v>
      </c>
      <c r="L153">
        <v>646248343</v>
      </c>
      <c r="M153" t="s">
        <v>15</v>
      </c>
      <c r="N153" t="s">
        <v>26</v>
      </c>
      <c r="O153" t="s">
        <v>27</v>
      </c>
      <c r="P153" t="str">
        <f>VLOOKUP(B153,'CHECK_DT-BT_chi_tiet'!$A:$C,3,FALSE)</f>
        <v>BV Đình Vũ</v>
      </c>
      <c r="Q153" t="str">
        <f>VLOOKUP(A153,Sheet3!$K$11:$L$21,2,FALSE)</f>
        <v>Hull (Thân tàu biển)</v>
      </c>
      <c r="R153" t="str">
        <f>VLOOKUP(Q153,Sheet3!$L$11:$M$21,2,FALSE)</f>
        <v>HQ2</v>
      </c>
      <c r="S153" s="26">
        <f>SUMIFS('HQ2'!$O:$O,'HQ2'!$B:$B, "="&amp;'Tong_hop_HQNV_2026Q1_2026-06-23'!Q153, 'HQ2'!$A:$A,"="&amp;'Tong_hop_HQNV_2026Q1_2026-06-23'!P153)</f>
        <v>7875974680</v>
      </c>
      <c r="T153" s="7">
        <f t="shared" si="2"/>
        <v>0</v>
      </c>
    </row>
    <row r="154" spans="1:20" x14ac:dyDescent="0.25">
      <c r="A154" t="s">
        <v>28</v>
      </c>
      <c r="B154" s="9" t="s">
        <v>329</v>
      </c>
      <c r="C154">
        <v>0</v>
      </c>
      <c r="D154">
        <v>-2975342</v>
      </c>
      <c r="E154">
        <v>0</v>
      </c>
      <c r="F154">
        <v>18700000</v>
      </c>
      <c r="G154">
        <v>0</v>
      </c>
      <c r="H154">
        <v>0</v>
      </c>
      <c r="I154">
        <v>0</v>
      </c>
      <c r="J154">
        <v>0</v>
      </c>
      <c r="K154">
        <v>15724658</v>
      </c>
      <c r="L154">
        <v>0</v>
      </c>
      <c r="M154" t="s">
        <v>17</v>
      </c>
      <c r="N154" t="s">
        <v>20</v>
      </c>
      <c r="O154" t="s">
        <v>20</v>
      </c>
      <c r="P154" t="str">
        <f>VLOOKUP(B154,'CHECK_DT-BT_chi_tiet'!$A:$C,3,FALSE)</f>
        <v>BV Long Thành</v>
      </c>
      <c r="Q154" t="str">
        <f>VLOOKUP(A154,Sheet3!$K$11:$L$21,2,FALSE)</f>
        <v>BH Trách nhiệm</v>
      </c>
      <c r="R154" t="str">
        <f>VLOOKUP(Q154,Sheet3!$L$11:$M$21,2,FALSE)</f>
        <v>HQ2</v>
      </c>
      <c r="S154" s="26">
        <f>SUMIFS('HQ2'!$O:$O,'HQ2'!$B:$B, "="&amp;'Tong_hop_HQNV_2026Q1_2026-06-23'!Q154, 'HQ2'!$A:$A,"="&amp;'Tong_hop_HQNV_2026Q1_2026-06-23'!P154)</f>
        <v>0</v>
      </c>
      <c r="T154" s="7">
        <f t="shared" si="2"/>
        <v>0</v>
      </c>
    </row>
    <row r="155" spans="1:20" x14ac:dyDescent="0.25">
      <c r="A155" t="s">
        <v>28</v>
      </c>
      <c r="B155" s="9" t="s">
        <v>306</v>
      </c>
      <c r="C155">
        <v>0</v>
      </c>
      <c r="D155">
        <v>-118776799</v>
      </c>
      <c r="E155">
        <v>0</v>
      </c>
      <c r="F155">
        <v>763502764</v>
      </c>
      <c r="G155">
        <v>0</v>
      </c>
      <c r="H155">
        <v>0</v>
      </c>
      <c r="I155">
        <v>0</v>
      </c>
      <c r="J155">
        <v>0</v>
      </c>
      <c r="K155">
        <v>644725965</v>
      </c>
      <c r="L155">
        <v>0</v>
      </c>
      <c r="M155" t="s">
        <v>17</v>
      </c>
      <c r="N155" t="s">
        <v>20</v>
      </c>
      <c r="O155" t="s">
        <v>20</v>
      </c>
      <c r="P155" t="str">
        <f>VLOOKUP(B155,'CHECK_DT-BT_chi_tiet'!$A:$C,3,FALSE)</f>
        <v>BV Đông Đô</v>
      </c>
      <c r="Q155" t="str">
        <f>VLOOKUP(A155,Sheet3!$K$11:$L$21,2,FALSE)</f>
        <v>BH Trách nhiệm</v>
      </c>
      <c r="R155" t="str">
        <f>VLOOKUP(Q155,Sheet3!$L$11:$M$21,2,FALSE)</f>
        <v>HQ2</v>
      </c>
      <c r="S155" s="26">
        <f>SUMIFS('HQ2'!$O:$O,'HQ2'!$B:$B, "="&amp;'Tong_hop_HQNV_2026Q1_2026-06-23'!Q155, 'HQ2'!$A:$A,"="&amp;'Tong_hop_HQNV_2026Q1_2026-06-23'!P155)</f>
        <v>0</v>
      </c>
      <c r="T155" s="7">
        <f t="shared" si="2"/>
        <v>0</v>
      </c>
    </row>
    <row r="156" spans="1:20" x14ac:dyDescent="0.25">
      <c r="A156" t="s">
        <v>28</v>
      </c>
      <c r="B156" s="9" t="s">
        <v>331</v>
      </c>
      <c r="C156">
        <v>0</v>
      </c>
      <c r="D156">
        <v>0</v>
      </c>
      <c r="E156">
        <v>0</v>
      </c>
      <c r="F156">
        <v>552342293</v>
      </c>
      <c r="G156">
        <v>157419749</v>
      </c>
      <c r="H156">
        <v>0</v>
      </c>
      <c r="I156">
        <v>0</v>
      </c>
      <c r="J156">
        <v>0</v>
      </c>
      <c r="K156">
        <v>552342293</v>
      </c>
      <c r="L156">
        <v>0</v>
      </c>
      <c r="M156" t="s">
        <v>17</v>
      </c>
      <c r="N156" t="s">
        <v>20</v>
      </c>
      <c r="O156" t="s">
        <v>20</v>
      </c>
      <c r="P156" t="str">
        <f>VLOOKUP(B156,'CHECK_DT-BT_chi_tiet'!$A:$C,3,FALSE)</f>
        <v>BV Nam Bình Dương</v>
      </c>
      <c r="Q156" t="str">
        <f>VLOOKUP(A156,Sheet3!$K$11:$L$21,2,FALSE)</f>
        <v>BH Trách nhiệm</v>
      </c>
      <c r="R156" t="str">
        <f>VLOOKUP(Q156,Sheet3!$L$11:$M$21,2,FALSE)</f>
        <v>HQ2</v>
      </c>
      <c r="S156" s="26">
        <f>SUMIFS('HQ2'!$O:$O,'HQ2'!$B:$B, "="&amp;'Tong_hop_HQNV_2026Q1_2026-06-23'!Q156, 'HQ2'!$A:$A,"="&amp;'Tong_hop_HQNV_2026Q1_2026-06-23'!P156)</f>
        <v>157419749</v>
      </c>
      <c r="T156" s="7">
        <f t="shared" si="2"/>
        <v>0</v>
      </c>
    </row>
    <row r="157" spans="1:20" x14ac:dyDescent="0.25">
      <c r="A157" t="s">
        <v>29</v>
      </c>
      <c r="B157" s="9" t="s">
        <v>234</v>
      </c>
      <c r="C157">
        <v>0</v>
      </c>
      <c r="D157">
        <v>-2566478</v>
      </c>
      <c r="E157">
        <v>0</v>
      </c>
      <c r="F157">
        <v>148347879</v>
      </c>
      <c r="G157">
        <v>0</v>
      </c>
      <c r="H157">
        <v>0</v>
      </c>
      <c r="I157">
        <v>0</v>
      </c>
      <c r="J157">
        <v>0</v>
      </c>
      <c r="K157">
        <v>145781401</v>
      </c>
      <c r="L157">
        <v>0</v>
      </c>
      <c r="M157" t="s">
        <v>30</v>
      </c>
      <c r="N157" t="s">
        <v>31</v>
      </c>
      <c r="O157" t="s">
        <v>26</v>
      </c>
      <c r="P157" t="str">
        <f>VLOOKUP(B157,'CHECK_DT-BT_chi_tiet'!$A:$C,3,FALSE)</f>
        <v>TSC-Ban KDBH Phi hàng hải TSC</v>
      </c>
      <c r="Q157" t="str">
        <f>VLOOKUP(A157,Sheet3!$K$11:$L$21,2,FALSE)</f>
        <v>BH Tài sản</v>
      </c>
      <c r="R157" t="str">
        <f>VLOOKUP(Q157,Sheet3!$L$11:$M$21,2,FALSE)</f>
        <v>HQ2</v>
      </c>
      <c r="S157" s="26">
        <f>SUMIFS('HQ2'!$O:$O,'HQ2'!$B:$B, "="&amp;'Tong_hop_HQNV_2026Q1_2026-06-23'!Q157, 'HQ2'!$A:$A,"="&amp;'Tong_hop_HQNV_2026Q1_2026-06-23'!P157)</f>
        <v>0</v>
      </c>
      <c r="T157" s="7">
        <f t="shared" si="2"/>
        <v>0</v>
      </c>
    </row>
    <row r="158" spans="1:20" x14ac:dyDescent="0.25">
      <c r="A158" t="s">
        <v>29</v>
      </c>
      <c r="B158" s="9" t="s">
        <v>227</v>
      </c>
      <c r="C158">
        <v>0</v>
      </c>
      <c r="D158">
        <v>-1021747358</v>
      </c>
      <c r="E158">
        <v>-5928810255</v>
      </c>
      <c r="F158">
        <v>269874628326</v>
      </c>
      <c r="G158">
        <v>113965457070.008</v>
      </c>
      <c r="H158">
        <v>1773040328</v>
      </c>
      <c r="I158">
        <v>0</v>
      </c>
      <c r="J158">
        <v>0</v>
      </c>
      <c r="K158">
        <v>268852880968</v>
      </c>
      <c r="L158">
        <v>5928810255</v>
      </c>
      <c r="M158" t="s">
        <v>30</v>
      </c>
      <c r="N158" t="s">
        <v>31</v>
      </c>
      <c r="O158" t="s">
        <v>26</v>
      </c>
      <c r="P158" t="str">
        <f>VLOOKUP(B158,'CHECK_DT-BT_chi_tiet'!$A:$C,3,FALSE)</f>
        <v>TSC-Ban BH Dự án (Fronting)</v>
      </c>
      <c r="Q158" t="str">
        <f>VLOOKUP(A158,Sheet3!$K$11:$L$21,2,FALSE)</f>
        <v>BH Tài sản</v>
      </c>
      <c r="R158" t="str">
        <f>VLOOKUP(Q158,Sheet3!$L$11:$M$21,2,FALSE)</f>
        <v>HQ2</v>
      </c>
      <c r="S158" s="26">
        <f>SUMIFS('HQ2'!$O:$O,'HQ2'!$B:$B, "="&amp;'Tong_hop_HQNV_2026Q1_2026-06-23'!Q158, 'HQ2'!$A:$A,"="&amp;'Tong_hop_HQNV_2026Q1_2026-06-23'!P158)</f>
        <v>24526723143.400002</v>
      </c>
      <c r="T158" s="7">
        <f t="shared" si="2"/>
        <v>-89438733926.608002</v>
      </c>
    </row>
    <row r="159" spans="1:20" x14ac:dyDescent="0.25">
      <c r="A159" t="s">
        <v>29</v>
      </c>
      <c r="B159" s="9" t="s">
        <v>352</v>
      </c>
      <c r="C159">
        <v>0</v>
      </c>
      <c r="D159">
        <v>-3610179</v>
      </c>
      <c r="E159">
        <v>-764974277</v>
      </c>
      <c r="F159">
        <v>7978477775</v>
      </c>
      <c r="G159">
        <v>2481433352</v>
      </c>
      <c r="H159">
        <v>53200000</v>
      </c>
      <c r="I159">
        <v>700981405</v>
      </c>
      <c r="J159">
        <v>0</v>
      </c>
      <c r="K159">
        <v>7974867596</v>
      </c>
      <c r="L159">
        <v>764974277</v>
      </c>
      <c r="M159" t="s">
        <v>30</v>
      </c>
      <c r="N159" t="s">
        <v>31</v>
      </c>
      <c r="O159" t="s">
        <v>26</v>
      </c>
      <c r="P159" t="str">
        <f>VLOOKUP(B159,'CHECK_DT-BT_chi_tiet'!$A:$C,3,FALSE)</f>
        <v>BV Thăng Long</v>
      </c>
      <c r="Q159" t="str">
        <f>VLOOKUP(A159,Sheet3!$K$11:$L$21,2,FALSE)</f>
        <v>BH Tài sản</v>
      </c>
      <c r="R159" t="str">
        <f>VLOOKUP(Q159,Sheet3!$L$11:$M$21,2,FALSE)</f>
        <v>HQ2</v>
      </c>
      <c r="S159" s="26">
        <f>SUMIFS('HQ2'!$O:$O,'HQ2'!$B:$B, "="&amp;'Tong_hop_HQNV_2026Q1_2026-06-23'!Q159, 'HQ2'!$A:$A,"="&amp;'Tong_hop_HQNV_2026Q1_2026-06-23'!P159)</f>
        <v>2481433352</v>
      </c>
      <c r="T159" s="7">
        <f t="shared" si="2"/>
        <v>0</v>
      </c>
    </row>
    <row r="160" spans="1:20" x14ac:dyDescent="0.25">
      <c r="A160" t="s">
        <v>29</v>
      </c>
      <c r="B160" s="9" t="s">
        <v>289</v>
      </c>
      <c r="C160">
        <v>0</v>
      </c>
      <c r="D160">
        <v>0</v>
      </c>
      <c r="E160">
        <v>-113895291</v>
      </c>
      <c r="F160">
        <v>290131567</v>
      </c>
      <c r="G160" s="92">
        <v>50000000</v>
      </c>
      <c r="H160">
        <v>0</v>
      </c>
      <c r="I160">
        <v>113895291</v>
      </c>
      <c r="J160">
        <v>0</v>
      </c>
      <c r="K160">
        <v>290131567</v>
      </c>
      <c r="L160">
        <v>113895291</v>
      </c>
      <c r="M160" t="s">
        <v>30</v>
      </c>
      <c r="N160" t="s">
        <v>31</v>
      </c>
      <c r="O160" t="s">
        <v>26</v>
      </c>
      <c r="P160" t="str">
        <f>VLOOKUP(B160,'CHECK_DT-BT_chi_tiet'!$A:$C,3,FALSE)</f>
        <v>BV Bạc Liêu</v>
      </c>
      <c r="Q160" t="str">
        <f>VLOOKUP(A160,Sheet3!$K$11:$L$21,2,FALSE)</f>
        <v>BH Tài sản</v>
      </c>
      <c r="R160" t="str">
        <f>VLOOKUP(Q160,Sheet3!$L$11:$M$21,2,FALSE)</f>
        <v>HQ2</v>
      </c>
      <c r="S160" s="26">
        <f>SUMIFS('HQ2'!$O:$O,'HQ2'!$B:$B, "="&amp;'Tong_hop_HQNV_2026Q1_2026-06-23'!Q160, 'HQ2'!$A:$A,"="&amp;'Tong_hop_HQNV_2026Q1_2026-06-23'!P160)</f>
        <v>50000000</v>
      </c>
      <c r="T160" s="7">
        <f t="shared" si="2"/>
        <v>0</v>
      </c>
    </row>
    <row r="161" spans="1:20" x14ac:dyDescent="0.25">
      <c r="A161" t="s">
        <v>29</v>
      </c>
      <c r="B161" s="9" t="s">
        <v>293</v>
      </c>
      <c r="C161">
        <v>0</v>
      </c>
      <c r="D161">
        <v>0</v>
      </c>
      <c r="E161">
        <v>-1691740042</v>
      </c>
      <c r="F161">
        <v>1148716450</v>
      </c>
      <c r="G161">
        <v>12060524591</v>
      </c>
      <c r="H161">
        <v>0</v>
      </c>
      <c r="I161">
        <v>1718355817</v>
      </c>
      <c r="J161">
        <v>0</v>
      </c>
      <c r="K161">
        <v>1148716450</v>
      </c>
      <c r="L161">
        <v>1691740042</v>
      </c>
      <c r="M161" t="s">
        <v>30</v>
      </c>
      <c r="N161" t="s">
        <v>31</v>
      </c>
      <c r="O161" t="s">
        <v>26</v>
      </c>
      <c r="P161" t="str">
        <f>VLOOKUP(B161,'CHECK_DT-BT_chi_tiet'!$A:$C,3,FALSE)</f>
        <v>BV Bình Định</v>
      </c>
      <c r="Q161" t="str">
        <f>VLOOKUP(A161,Sheet3!$K$11:$L$21,2,FALSE)</f>
        <v>BH Tài sản</v>
      </c>
      <c r="R161" t="str">
        <f>VLOOKUP(Q161,Sheet3!$L$11:$M$21,2,FALSE)</f>
        <v>HQ2</v>
      </c>
      <c r="S161" s="26">
        <f>SUMIFS('HQ2'!$O:$O,'HQ2'!$B:$B, "="&amp;'Tong_hop_HQNV_2026Q1_2026-06-23'!Q161, 'HQ2'!$A:$A,"="&amp;'Tong_hop_HQNV_2026Q1_2026-06-23'!P161)</f>
        <v>12060524591</v>
      </c>
      <c r="T161" s="7">
        <f t="shared" si="2"/>
        <v>0</v>
      </c>
    </row>
    <row r="162" spans="1:20" x14ac:dyDescent="0.25">
      <c r="A162" t="s">
        <v>29</v>
      </c>
      <c r="B162" s="9" t="s">
        <v>296</v>
      </c>
      <c r="C162">
        <v>0</v>
      </c>
      <c r="D162">
        <v>-50173329</v>
      </c>
      <c r="E162">
        <v>0</v>
      </c>
      <c r="F162">
        <v>1680116813</v>
      </c>
      <c r="G162">
        <v>0</v>
      </c>
      <c r="H162">
        <v>0</v>
      </c>
      <c r="I162">
        <v>0</v>
      </c>
      <c r="J162">
        <v>0</v>
      </c>
      <c r="K162">
        <v>1629943484</v>
      </c>
      <c r="L162">
        <v>0</v>
      </c>
      <c r="M162" t="s">
        <v>30</v>
      </c>
      <c r="N162" t="s">
        <v>31</v>
      </c>
      <c r="O162" t="s">
        <v>26</v>
      </c>
      <c r="P162" t="str">
        <f>VLOOKUP(B162,'CHECK_DT-BT_chi_tiet'!$A:$C,3,FALSE)</f>
        <v>BV Bình Thuận</v>
      </c>
      <c r="Q162" t="str">
        <f>VLOOKUP(A162,Sheet3!$K$11:$L$21,2,FALSE)</f>
        <v>BH Tài sản</v>
      </c>
      <c r="R162" t="str">
        <f>VLOOKUP(Q162,Sheet3!$L$11:$M$21,2,FALSE)</f>
        <v>HQ2</v>
      </c>
      <c r="S162" s="26">
        <f>SUMIFS('HQ2'!$O:$O,'HQ2'!$B:$B, "="&amp;'Tong_hop_HQNV_2026Q1_2026-06-23'!Q162, 'HQ2'!$A:$A,"="&amp;'Tong_hop_HQNV_2026Q1_2026-06-23'!P162)</f>
        <v>0</v>
      </c>
      <c r="T162" s="7">
        <f t="shared" si="2"/>
        <v>0</v>
      </c>
    </row>
    <row r="163" spans="1:20" x14ac:dyDescent="0.25">
      <c r="A163" t="s">
        <v>29</v>
      </c>
      <c r="B163" s="9" t="s">
        <v>298</v>
      </c>
      <c r="C163">
        <v>0</v>
      </c>
      <c r="D163">
        <v>0</v>
      </c>
      <c r="E163">
        <v>-108039685</v>
      </c>
      <c r="F163">
        <v>2350120135</v>
      </c>
      <c r="G163" s="92">
        <v>470000000</v>
      </c>
      <c r="H163">
        <v>0</v>
      </c>
      <c r="I163">
        <v>0</v>
      </c>
      <c r="J163">
        <v>0</v>
      </c>
      <c r="K163">
        <v>2350120135</v>
      </c>
      <c r="L163">
        <v>108039685</v>
      </c>
      <c r="M163" t="s">
        <v>30</v>
      </c>
      <c r="N163" t="s">
        <v>31</v>
      </c>
      <c r="O163" t="s">
        <v>26</v>
      </c>
      <c r="P163" t="str">
        <f>VLOOKUP(B163,'CHECK_DT-BT_chi_tiet'!$A:$C,3,FALSE)</f>
        <v>BV Cần Thơ</v>
      </c>
      <c r="Q163" t="str">
        <f>VLOOKUP(A163,Sheet3!$K$11:$L$21,2,FALSE)</f>
        <v>BH Tài sản</v>
      </c>
      <c r="R163" t="str">
        <f>VLOOKUP(Q163,Sheet3!$L$11:$M$21,2,FALSE)</f>
        <v>HQ2</v>
      </c>
      <c r="S163" s="26">
        <f>SUMIFS('HQ2'!$O:$O,'HQ2'!$B:$B, "="&amp;'Tong_hop_HQNV_2026Q1_2026-06-23'!Q163, 'HQ2'!$A:$A,"="&amp;'Tong_hop_HQNV_2026Q1_2026-06-23'!P163)</f>
        <v>470000000</v>
      </c>
      <c r="T163" s="7">
        <f t="shared" si="2"/>
        <v>0</v>
      </c>
    </row>
    <row r="164" spans="1:20" x14ac:dyDescent="0.25">
      <c r="A164" t="s">
        <v>29</v>
      </c>
      <c r="B164" s="9" t="s">
        <v>307</v>
      </c>
      <c r="C164">
        <v>0</v>
      </c>
      <c r="D164">
        <v>-1334782</v>
      </c>
      <c r="E164">
        <v>-2412959138</v>
      </c>
      <c r="F164">
        <v>2107607186</v>
      </c>
      <c r="G164">
        <v>5934059915.8299999</v>
      </c>
      <c r="H164">
        <v>0</v>
      </c>
      <c r="I164">
        <v>2412959138</v>
      </c>
      <c r="J164">
        <v>0</v>
      </c>
      <c r="K164">
        <v>2106272404</v>
      </c>
      <c r="L164">
        <v>2412959138</v>
      </c>
      <c r="M164" t="s">
        <v>30</v>
      </c>
      <c r="N164" t="s">
        <v>31</v>
      </c>
      <c r="O164" t="s">
        <v>26</v>
      </c>
      <c r="P164" t="str">
        <f>VLOOKUP(B164,'CHECK_DT-BT_chi_tiet'!$A:$C,3,FALSE)</f>
        <v>BV Đồng Nai</v>
      </c>
      <c r="Q164" t="str">
        <f>VLOOKUP(A164,Sheet3!$K$11:$L$21,2,FALSE)</f>
        <v>BH Tài sản</v>
      </c>
      <c r="R164" t="str">
        <f>VLOOKUP(Q164,Sheet3!$L$11:$M$21,2,FALSE)</f>
        <v>HQ2</v>
      </c>
      <c r="S164" s="26">
        <f>SUMIFS('HQ2'!$O:$O,'HQ2'!$B:$B, "="&amp;'Tong_hop_HQNV_2026Q1_2026-06-23'!Q164, 'HQ2'!$A:$A,"="&amp;'Tong_hop_HQNV_2026Q1_2026-06-23'!P164)</f>
        <v>5934059915.8299999</v>
      </c>
      <c r="T164" s="7">
        <f t="shared" si="2"/>
        <v>0</v>
      </c>
    </row>
    <row r="165" spans="1:20" x14ac:dyDescent="0.25">
      <c r="A165" t="s">
        <v>29</v>
      </c>
      <c r="B165" s="9" t="s">
        <v>313</v>
      </c>
      <c r="C165">
        <v>0</v>
      </c>
      <c r="D165">
        <v>-1342027</v>
      </c>
      <c r="E165">
        <v>-696746876</v>
      </c>
      <c r="F165">
        <v>9052280284</v>
      </c>
      <c r="G165">
        <v>65352686768.199997</v>
      </c>
      <c r="H165" s="92">
        <v>250000000</v>
      </c>
      <c r="I165">
        <v>-839398605</v>
      </c>
      <c r="J165">
        <v>0</v>
      </c>
      <c r="K165">
        <v>9050938257</v>
      </c>
      <c r="L165">
        <v>696746876</v>
      </c>
      <c r="M165" t="s">
        <v>30</v>
      </c>
      <c r="N165" t="s">
        <v>31</v>
      </c>
      <c r="O165" t="s">
        <v>26</v>
      </c>
      <c r="P165" t="str">
        <f>VLOOKUP(B165,'CHECK_DT-BT_chi_tiet'!$A:$C,3,FALSE)</f>
        <v>BV Hà Nội</v>
      </c>
      <c r="Q165" t="str">
        <f>VLOOKUP(A165,Sheet3!$K$11:$L$21,2,FALSE)</f>
        <v>BH Tài sản</v>
      </c>
      <c r="R165" t="str">
        <f>VLOOKUP(Q165,Sheet3!$L$11:$M$21,2,FALSE)</f>
        <v>HQ2</v>
      </c>
      <c r="S165" s="26">
        <f>SUMIFS('HQ2'!$O:$O,'HQ2'!$B:$B, "="&amp;'Tong_hop_HQNV_2026Q1_2026-06-23'!Q165, 'HQ2'!$A:$A,"="&amp;'Tong_hop_HQNV_2026Q1_2026-06-23'!P165)</f>
        <v>65352686768.25</v>
      </c>
      <c r="T165" s="7">
        <f t="shared" si="2"/>
        <v>5.00030517578125E-2</v>
      </c>
    </row>
    <row r="166" spans="1:20" x14ac:dyDescent="0.25">
      <c r="A166" t="s">
        <v>29</v>
      </c>
      <c r="B166" s="9" t="s">
        <v>306</v>
      </c>
      <c r="C166">
        <v>0</v>
      </c>
      <c r="D166">
        <v>-532582</v>
      </c>
      <c r="E166">
        <v>-2782341210</v>
      </c>
      <c r="F166">
        <v>3644347032</v>
      </c>
      <c r="G166">
        <v>6598545042.96</v>
      </c>
      <c r="H166" s="92">
        <v>1600000000</v>
      </c>
      <c r="I166">
        <v>-704604685</v>
      </c>
      <c r="J166">
        <v>0</v>
      </c>
      <c r="K166">
        <v>3643814450</v>
      </c>
      <c r="L166">
        <v>2782341210</v>
      </c>
      <c r="M166" t="s">
        <v>30</v>
      </c>
      <c r="N166" t="s">
        <v>31</v>
      </c>
      <c r="O166" t="s">
        <v>26</v>
      </c>
      <c r="P166" t="str">
        <f>VLOOKUP(B166,'CHECK_DT-BT_chi_tiet'!$A:$C,3,FALSE)</f>
        <v>BV Đông Đô</v>
      </c>
      <c r="Q166" t="str">
        <f>VLOOKUP(A166,Sheet3!$K$11:$L$21,2,FALSE)</f>
        <v>BH Tài sản</v>
      </c>
      <c r="R166" t="str">
        <f>VLOOKUP(Q166,Sheet3!$L$11:$M$21,2,FALSE)</f>
        <v>HQ2</v>
      </c>
      <c r="S166" s="26">
        <f>SUMIFS('HQ2'!$O:$O,'HQ2'!$B:$B, "="&amp;'Tong_hop_HQNV_2026Q1_2026-06-23'!Q166, 'HQ2'!$A:$A,"="&amp;'Tong_hop_HQNV_2026Q1_2026-06-23'!P166)</f>
        <v>6598545043</v>
      </c>
      <c r="T166" s="7">
        <f t="shared" si="2"/>
        <v>3.9999961853027344E-2</v>
      </c>
    </row>
    <row r="167" spans="1:20" x14ac:dyDescent="0.25">
      <c r="A167" t="s">
        <v>29</v>
      </c>
      <c r="B167" s="9" t="s">
        <v>322</v>
      </c>
      <c r="C167">
        <v>0</v>
      </c>
      <c r="D167">
        <v>-4121315</v>
      </c>
      <c r="E167">
        <v>0</v>
      </c>
      <c r="F167">
        <v>2519585379</v>
      </c>
      <c r="G167">
        <v>0</v>
      </c>
      <c r="H167">
        <v>0</v>
      </c>
      <c r="I167">
        <v>0</v>
      </c>
      <c r="J167">
        <v>0</v>
      </c>
      <c r="K167">
        <v>2515464064</v>
      </c>
      <c r="L167">
        <v>0</v>
      </c>
      <c r="M167" t="s">
        <v>30</v>
      </c>
      <c r="N167" t="s">
        <v>31</v>
      </c>
      <c r="O167" t="s">
        <v>26</v>
      </c>
      <c r="P167" t="str">
        <f>VLOOKUP(B167,'CHECK_DT-BT_chi_tiet'!$A:$C,3,FALSE)</f>
        <v>BV Kiên Giang</v>
      </c>
      <c r="Q167" t="str">
        <f>VLOOKUP(A167,Sheet3!$K$11:$L$21,2,FALSE)</f>
        <v>BH Tài sản</v>
      </c>
      <c r="R167" t="str">
        <f>VLOOKUP(Q167,Sheet3!$L$11:$M$21,2,FALSE)</f>
        <v>HQ2</v>
      </c>
      <c r="S167" s="26">
        <f>SUMIFS('HQ2'!$O:$O,'HQ2'!$B:$B, "="&amp;'Tong_hop_HQNV_2026Q1_2026-06-23'!Q167, 'HQ2'!$A:$A,"="&amp;'Tong_hop_HQNV_2026Q1_2026-06-23'!P167)</f>
        <v>0</v>
      </c>
      <c r="T167" s="7">
        <f t="shared" si="2"/>
        <v>0</v>
      </c>
    </row>
    <row r="168" spans="1:20" x14ac:dyDescent="0.25">
      <c r="A168" t="s">
        <v>29</v>
      </c>
      <c r="B168" s="9" t="s">
        <v>328</v>
      </c>
      <c r="C168">
        <v>0</v>
      </c>
      <c r="D168">
        <v>-18158280</v>
      </c>
      <c r="E168">
        <v>0</v>
      </c>
      <c r="F168">
        <v>3344820464</v>
      </c>
      <c r="G168" s="92">
        <v>8500000000</v>
      </c>
      <c r="H168">
        <v>0</v>
      </c>
      <c r="I168">
        <v>0</v>
      </c>
      <c r="J168">
        <v>0</v>
      </c>
      <c r="K168">
        <v>3326662184</v>
      </c>
      <c r="L168">
        <v>0</v>
      </c>
      <c r="M168" t="s">
        <v>30</v>
      </c>
      <c r="N168" t="s">
        <v>31</v>
      </c>
      <c r="O168" t="s">
        <v>26</v>
      </c>
      <c r="P168" t="str">
        <f>VLOOKUP(B168,'CHECK_DT-BT_chi_tiet'!$A:$C,3,FALSE)</f>
        <v>BV Long An</v>
      </c>
      <c r="Q168" t="str">
        <f>VLOOKUP(A168,Sheet3!$K$11:$L$21,2,FALSE)</f>
        <v>BH Tài sản</v>
      </c>
      <c r="R168" t="str">
        <f>VLOOKUP(Q168,Sheet3!$L$11:$M$21,2,FALSE)</f>
        <v>HQ2</v>
      </c>
      <c r="S168" s="26">
        <f>SUMIFS('HQ2'!$O:$O,'HQ2'!$B:$B, "="&amp;'Tong_hop_HQNV_2026Q1_2026-06-23'!Q168, 'HQ2'!$A:$A,"="&amp;'Tong_hop_HQNV_2026Q1_2026-06-23'!P168)</f>
        <v>8500000000</v>
      </c>
      <c r="T168" s="7">
        <f t="shared" si="2"/>
        <v>0</v>
      </c>
    </row>
    <row r="169" spans="1:20" x14ac:dyDescent="0.25">
      <c r="A169" t="s">
        <v>29</v>
      </c>
      <c r="B169" s="9" t="s">
        <v>332</v>
      </c>
      <c r="C169">
        <v>0</v>
      </c>
      <c r="D169">
        <v>-11498764</v>
      </c>
      <c r="E169">
        <v>0</v>
      </c>
      <c r="F169">
        <v>991189088</v>
      </c>
      <c r="G169">
        <v>0</v>
      </c>
      <c r="H169">
        <v>0</v>
      </c>
      <c r="I169">
        <v>0</v>
      </c>
      <c r="J169">
        <v>0</v>
      </c>
      <c r="K169">
        <v>979690324</v>
      </c>
      <c r="L169">
        <v>0</v>
      </c>
      <c r="M169" t="s">
        <v>30</v>
      </c>
      <c r="N169" t="s">
        <v>31</v>
      </c>
      <c r="O169" t="s">
        <v>26</v>
      </c>
      <c r="P169" t="str">
        <f>VLOOKUP(B169,'CHECK_DT-BT_chi_tiet'!$A:$C,3,FALSE)</f>
        <v>BV Nam Định</v>
      </c>
      <c r="Q169" t="str">
        <f>VLOOKUP(A169,Sheet3!$K$11:$L$21,2,FALSE)</f>
        <v>BH Tài sản</v>
      </c>
      <c r="R169" t="str">
        <f>VLOOKUP(Q169,Sheet3!$L$11:$M$21,2,FALSE)</f>
        <v>HQ2</v>
      </c>
      <c r="S169" s="26">
        <f>SUMIFS('HQ2'!$O:$O,'HQ2'!$B:$B, "="&amp;'Tong_hop_HQNV_2026Q1_2026-06-23'!Q169, 'HQ2'!$A:$A,"="&amp;'Tong_hop_HQNV_2026Q1_2026-06-23'!P169)</f>
        <v>0</v>
      </c>
      <c r="T169" s="7">
        <f t="shared" si="2"/>
        <v>0</v>
      </c>
    </row>
    <row r="170" spans="1:20" x14ac:dyDescent="0.25">
      <c r="A170" t="s">
        <v>29</v>
      </c>
      <c r="B170" s="9" t="s">
        <v>334</v>
      </c>
      <c r="C170">
        <v>0</v>
      </c>
      <c r="D170">
        <v>-2407545</v>
      </c>
      <c r="E170">
        <v>0</v>
      </c>
      <c r="F170">
        <v>320901305</v>
      </c>
      <c r="G170">
        <v>0</v>
      </c>
      <c r="H170">
        <v>0</v>
      </c>
      <c r="I170">
        <v>0</v>
      </c>
      <c r="J170">
        <v>0</v>
      </c>
      <c r="K170">
        <v>318493760</v>
      </c>
      <c r="L170">
        <v>0</v>
      </c>
      <c r="M170" t="s">
        <v>30</v>
      </c>
      <c r="N170" t="s">
        <v>31</v>
      </c>
      <c r="O170" t="s">
        <v>26</v>
      </c>
      <c r="P170" t="str">
        <f>VLOOKUP(B170,'CHECK_DT-BT_chi_tiet'!$A:$C,3,FALSE)</f>
        <v>BV Ninh Bình</v>
      </c>
      <c r="Q170" t="str">
        <f>VLOOKUP(A170,Sheet3!$K$11:$L$21,2,FALSE)</f>
        <v>BH Tài sản</v>
      </c>
      <c r="R170" t="str">
        <f>VLOOKUP(Q170,Sheet3!$L$11:$M$21,2,FALSE)</f>
        <v>HQ2</v>
      </c>
      <c r="S170" s="26">
        <f>SUMIFS('HQ2'!$O:$O,'HQ2'!$B:$B, "="&amp;'Tong_hop_HQNV_2026Q1_2026-06-23'!Q170, 'HQ2'!$A:$A,"="&amp;'Tong_hop_HQNV_2026Q1_2026-06-23'!P170)</f>
        <v>0</v>
      </c>
      <c r="T170" s="7">
        <f t="shared" si="2"/>
        <v>0</v>
      </c>
    </row>
    <row r="171" spans="1:20" x14ac:dyDescent="0.25">
      <c r="A171" t="s">
        <v>29</v>
      </c>
      <c r="B171" s="9" t="s">
        <v>318</v>
      </c>
      <c r="C171">
        <v>0</v>
      </c>
      <c r="D171">
        <v>-62942910</v>
      </c>
      <c r="E171">
        <v>0</v>
      </c>
      <c r="F171">
        <v>671358749</v>
      </c>
      <c r="G171">
        <v>0</v>
      </c>
      <c r="H171">
        <v>0</v>
      </c>
      <c r="I171">
        <v>0</v>
      </c>
      <c r="J171">
        <v>0</v>
      </c>
      <c r="K171">
        <v>608415839</v>
      </c>
      <c r="L171">
        <v>0</v>
      </c>
      <c r="M171" t="s">
        <v>30</v>
      </c>
      <c r="N171" t="s">
        <v>31</v>
      </c>
      <c r="O171" t="s">
        <v>26</v>
      </c>
      <c r="P171" t="str">
        <f>VLOOKUP(B171,'CHECK_DT-BT_chi_tiet'!$A:$C,3,FALSE)</f>
        <v>BV Hậu Giang</v>
      </c>
      <c r="Q171" t="str">
        <f>VLOOKUP(A171,Sheet3!$K$11:$L$21,2,FALSE)</f>
        <v>BH Tài sản</v>
      </c>
      <c r="R171" t="str">
        <f>VLOOKUP(Q171,Sheet3!$L$11:$M$21,2,FALSE)</f>
        <v>HQ2</v>
      </c>
      <c r="S171" s="26">
        <f>SUMIFS('HQ2'!$O:$O,'HQ2'!$B:$B, "="&amp;'Tong_hop_HQNV_2026Q1_2026-06-23'!Q171, 'HQ2'!$A:$A,"="&amp;'Tong_hop_HQNV_2026Q1_2026-06-23'!P171)</f>
        <v>0</v>
      </c>
      <c r="T171" s="7">
        <f t="shared" si="2"/>
        <v>0</v>
      </c>
    </row>
    <row r="172" spans="1:20" x14ac:dyDescent="0.25">
      <c r="A172" t="s">
        <v>29</v>
      </c>
      <c r="B172" s="9" t="s">
        <v>291</v>
      </c>
      <c r="C172">
        <v>0</v>
      </c>
      <c r="D172">
        <v>0</v>
      </c>
      <c r="E172">
        <v>-11175406946</v>
      </c>
      <c r="F172">
        <v>1684586241</v>
      </c>
      <c r="G172">
        <v>2822150080</v>
      </c>
      <c r="H172">
        <v>0</v>
      </c>
      <c r="I172">
        <v>11175406946</v>
      </c>
      <c r="J172">
        <v>0</v>
      </c>
      <c r="K172">
        <v>1684586241</v>
      </c>
      <c r="L172">
        <v>11175406946</v>
      </c>
      <c r="M172" t="s">
        <v>30</v>
      </c>
      <c r="N172" t="s">
        <v>31</v>
      </c>
      <c r="O172" t="s">
        <v>26</v>
      </c>
      <c r="P172" t="str">
        <f>VLOOKUP(B172,'CHECK_DT-BT_chi_tiet'!$A:$C,3,FALSE)</f>
        <v>BV Bến Thành</v>
      </c>
      <c r="Q172" t="str">
        <f>VLOOKUP(A172,Sheet3!$K$11:$L$21,2,FALSE)</f>
        <v>BH Tài sản</v>
      </c>
      <c r="R172" t="str">
        <f>VLOOKUP(Q172,Sheet3!$L$11:$M$21,2,FALSE)</f>
        <v>HQ2</v>
      </c>
      <c r="S172" s="26">
        <f>SUMIFS('HQ2'!$O:$O,'HQ2'!$B:$B, "="&amp;'Tong_hop_HQNV_2026Q1_2026-06-23'!Q172, 'HQ2'!$A:$A,"="&amp;'Tong_hop_HQNV_2026Q1_2026-06-23'!P172)</f>
        <v>2822150080</v>
      </c>
      <c r="T172" s="7">
        <f t="shared" si="2"/>
        <v>0</v>
      </c>
    </row>
    <row r="173" spans="1:20" x14ac:dyDescent="0.25">
      <c r="A173" t="s">
        <v>37</v>
      </c>
      <c r="B173" s="9" t="s">
        <v>290</v>
      </c>
      <c r="C173">
        <v>0</v>
      </c>
      <c r="D173">
        <v>-2057330</v>
      </c>
      <c r="E173">
        <v>-71470000</v>
      </c>
      <c r="F173">
        <v>355935097</v>
      </c>
      <c r="G173">
        <v>14580500</v>
      </c>
      <c r="H173">
        <v>0</v>
      </c>
      <c r="I173">
        <v>71470000</v>
      </c>
      <c r="J173">
        <v>0</v>
      </c>
      <c r="K173">
        <v>353877767</v>
      </c>
      <c r="L173">
        <v>71470000</v>
      </c>
      <c r="M173" t="s">
        <v>36</v>
      </c>
      <c r="N173" t="s">
        <v>19</v>
      </c>
      <c r="O173" t="s">
        <v>19</v>
      </c>
      <c r="P173" t="str">
        <f>VLOOKUP(B173,'CHECK_DT-BT_chi_tiet'!$A:$C,3,FALSE)</f>
        <v>BV Bắc Ninh</v>
      </c>
      <c r="Q173" t="str">
        <f>VLOOKUP(A173,Sheet3!$K$11:$L$21,2,FALSE)</f>
        <v>Tàu khác</v>
      </c>
      <c r="R173" t="str">
        <f>VLOOKUP(Q173,Sheet3!$L$11:$M$21,2,FALSE)</f>
        <v>HQ2</v>
      </c>
      <c r="S173" s="26">
        <f>SUMIFS('HQ2'!$O:$O,'HQ2'!$B:$B, "="&amp;'Tong_hop_HQNV_2026Q1_2026-06-23'!Q173, 'HQ2'!$A:$A,"="&amp;'Tong_hop_HQNV_2026Q1_2026-06-23'!P173)</f>
        <v>14580500</v>
      </c>
      <c r="T173" s="7">
        <f t="shared" si="2"/>
        <v>0</v>
      </c>
    </row>
    <row r="174" spans="1:20" x14ac:dyDescent="0.25">
      <c r="A174" t="s">
        <v>37</v>
      </c>
      <c r="B174" s="9" t="s">
        <v>292</v>
      </c>
      <c r="C174">
        <v>0</v>
      </c>
      <c r="D174">
        <v>-8427936</v>
      </c>
      <c r="E174">
        <v>-82801734</v>
      </c>
      <c r="F174">
        <v>735275636</v>
      </c>
      <c r="G174" s="92">
        <v>1220000000</v>
      </c>
      <c r="H174" s="92">
        <v>1150000000</v>
      </c>
      <c r="I174">
        <v>82801734</v>
      </c>
      <c r="J174">
        <v>0</v>
      </c>
      <c r="K174">
        <v>726847700</v>
      </c>
      <c r="L174">
        <v>82801734</v>
      </c>
      <c r="M174" t="s">
        <v>36</v>
      </c>
      <c r="N174" t="s">
        <v>19</v>
      </c>
      <c r="O174" t="s">
        <v>19</v>
      </c>
      <c r="P174" t="str">
        <f>VLOOKUP(B174,'CHECK_DT-BT_chi_tiet'!$A:$C,3,FALSE)</f>
        <v>BV Bến Tre</v>
      </c>
      <c r="Q174" t="str">
        <f>VLOOKUP(A174,Sheet3!$K$11:$L$21,2,FALSE)</f>
        <v>Tàu khác</v>
      </c>
      <c r="R174" t="str">
        <f>VLOOKUP(Q174,Sheet3!$L$11:$M$21,2,FALSE)</f>
        <v>HQ2</v>
      </c>
      <c r="S174" s="26">
        <f>SUMIFS('HQ2'!$O:$O,'HQ2'!$B:$B, "="&amp;'Tong_hop_HQNV_2026Q1_2026-06-23'!Q174, 'HQ2'!$A:$A,"="&amp;'Tong_hop_HQNV_2026Q1_2026-06-23'!P174)</f>
        <v>1220000000</v>
      </c>
      <c r="T174" s="7">
        <f t="shared" si="2"/>
        <v>0</v>
      </c>
    </row>
    <row r="175" spans="1:20" x14ac:dyDescent="0.25">
      <c r="A175" t="s">
        <v>37</v>
      </c>
      <c r="B175" s="9" t="s">
        <v>308</v>
      </c>
      <c r="C175">
        <v>0</v>
      </c>
      <c r="D175">
        <v>-13411039</v>
      </c>
      <c r="E175">
        <v>-163135500</v>
      </c>
      <c r="F175">
        <v>716624817</v>
      </c>
      <c r="G175" s="92">
        <v>650000000</v>
      </c>
      <c r="H175" s="92">
        <v>500000000</v>
      </c>
      <c r="I175">
        <v>183135500</v>
      </c>
      <c r="J175">
        <v>0</v>
      </c>
      <c r="K175">
        <v>703213778</v>
      </c>
      <c r="L175">
        <v>163135500</v>
      </c>
      <c r="M175" t="s">
        <v>36</v>
      </c>
      <c r="N175" t="s">
        <v>19</v>
      </c>
      <c r="O175" t="s">
        <v>19</v>
      </c>
      <c r="P175" t="str">
        <f>VLOOKUP(B175,'CHECK_DT-BT_chi_tiet'!$A:$C,3,FALSE)</f>
        <v>BV Đồng Tháp</v>
      </c>
      <c r="Q175" t="str">
        <f>VLOOKUP(A175,Sheet3!$K$11:$L$21,2,FALSE)</f>
        <v>Tàu khác</v>
      </c>
      <c r="R175" t="str">
        <f>VLOOKUP(Q175,Sheet3!$L$11:$M$21,2,FALSE)</f>
        <v>HQ2</v>
      </c>
      <c r="S175" s="26">
        <f>SUMIFS('HQ2'!$O:$O,'HQ2'!$B:$B, "="&amp;'Tong_hop_HQNV_2026Q1_2026-06-23'!Q175, 'HQ2'!$A:$A,"="&amp;'Tong_hop_HQNV_2026Q1_2026-06-23'!P175)</f>
        <v>650000000</v>
      </c>
      <c r="T175" s="7">
        <f t="shared" si="2"/>
        <v>0</v>
      </c>
    </row>
    <row r="176" spans="1:20" x14ac:dyDescent="0.25">
      <c r="A176" t="s">
        <v>37</v>
      </c>
      <c r="B176" s="9" t="s">
        <v>322</v>
      </c>
      <c r="C176">
        <v>0</v>
      </c>
      <c r="D176">
        <v>-4134800</v>
      </c>
      <c r="E176">
        <v>-446231306</v>
      </c>
      <c r="F176">
        <v>3317040569</v>
      </c>
      <c r="G176">
        <v>365740000</v>
      </c>
      <c r="H176" s="92">
        <v>30000000</v>
      </c>
      <c r="I176">
        <v>448189725</v>
      </c>
      <c r="J176">
        <v>213861000</v>
      </c>
      <c r="K176">
        <v>3312905769</v>
      </c>
      <c r="L176">
        <v>446231306</v>
      </c>
      <c r="M176" t="s">
        <v>36</v>
      </c>
      <c r="N176" t="s">
        <v>19</v>
      </c>
      <c r="O176" t="s">
        <v>19</v>
      </c>
      <c r="P176" t="str">
        <f>VLOOKUP(B176,'CHECK_DT-BT_chi_tiet'!$A:$C,3,FALSE)</f>
        <v>BV Kiên Giang</v>
      </c>
      <c r="Q176" t="str">
        <f>VLOOKUP(A176,Sheet3!$K$11:$L$21,2,FALSE)</f>
        <v>Tàu khác</v>
      </c>
      <c r="R176" t="str">
        <f>VLOOKUP(Q176,Sheet3!$L$11:$M$21,2,FALSE)</f>
        <v>HQ2</v>
      </c>
      <c r="S176" s="26">
        <f>SUMIFS('HQ2'!$O:$O,'HQ2'!$B:$B, "="&amp;'Tong_hop_HQNV_2026Q1_2026-06-23'!Q176, 'HQ2'!$A:$A,"="&amp;'Tong_hop_HQNV_2026Q1_2026-06-23'!P176)</f>
        <v>365740000</v>
      </c>
      <c r="T176" s="7">
        <f t="shared" si="2"/>
        <v>0</v>
      </c>
    </row>
    <row r="177" spans="1:20" x14ac:dyDescent="0.25">
      <c r="A177" t="s">
        <v>37</v>
      </c>
      <c r="B177" s="9" t="s">
        <v>328</v>
      </c>
      <c r="C177">
        <v>0</v>
      </c>
      <c r="D177">
        <v>-13660001</v>
      </c>
      <c r="E177">
        <v>0</v>
      </c>
      <c r="F177">
        <v>370465945</v>
      </c>
      <c r="G177">
        <v>311972500</v>
      </c>
      <c r="H177">
        <v>0</v>
      </c>
      <c r="I177">
        <v>0</v>
      </c>
      <c r="J177">
        <v>0</v>
      </c>
      <c r="K177">
        <v>356805944</v>
      </c>
      <c r="L177">
        <v>0</v>
      </c>
      <c r="M177" t="s">
        <v>36</v>
      </c>
      <c r="N177" t="s">
        <v>19</v>
      </c>
      <c r="O177" t="s">
        <v>19</v>
      </c>
      <c r="P177" t="str">
        <f>VLOOKUP(B177,'CHECK_DT-BT_chi_tiet'!$A:$C,3,FALSE)</f>
        <v>BV Long An</v>
      </c>
      <c r="Q177" t="str">
        <f>VLOOKUP(A177,Sheet3!$K$11:$L$21,2,FALSE)</f>
        <v>Tàu khác</v>
      </c>
      <c r="R177" t="str">
        <f>VLOOKUP(Q177,Sheet3!$L$11:$M$21,2,FALSE)</f>
        <v>HQ2</v>
      </c>
      <c r="S177" s="26">
        <f>SUMIFS('HQ2'!$O:$O,'HQ2'!$B:$B, "="&amp;'Tong_hop_HQNV_2026Q1_2026-06-23'!Q177, 'HQ2'!$A:$A,"="&amp;'Tong_hop_HQNV_2026Q1_2026-06-23'!P177)</f>
        <v>311972500</v>
      </c>
      <c r="T177" s="7">
        <f t="shared" si="2"/>
        <v>0</v>
      </c>
    </row>
    <row r="178" spans="1:20" x14ac:dyDescent="0.25">
      <c r="A178" t="s">
        <v>37</v>
      </c>
      <c r="B178" s="9" t="s">
        <v>347</v>
      </c>
      <c r="C178">
        <v>0</v>
      </c>
      <c r="D178">
        <v>-136940997</v>
      </c>
      <c r="E178">
        <v>0</v>
      </c>
      <c r="F178">
        <v>136940997</v>
      </c>
      <c r="G178">
        <v>0</v>
      </c>
      <c r="H178">
        <v>0</v>
      </c>
      <c r="I178">
        <v>0</v>
      </c>
      <c r="J178">
        <v>0</v>
      </c>
      <c r="K178">
        <v>0</v>
      </c>
      <c r="L178">
        <v>0</v>
      </c>
      <c r="M178" t="s">
        <v>36</v>
      </c>
      <c r="N178" t="s">
        <v>19</v>
      </c>
      <c r="O178" t="s">
        <v>19</v>
      </c>
      <c r="P178" t="str">
        <f>VLOOKUP(B178,'CHECK_DT-BT_chi_tiet'!$A:$C,3,FALSE)</f>
        <v>BV Sơn La</v>
      </c>
      <c r="Q178" t="str">
        <f>VLOOKUP(A178,Sheet3!$K$11:$L$21,2,FALSE)</f>
        <v>Tàu khác</v>
      </c>
      <c r="R178" t="str">
        <f>VLOOKUP(Q178,Sheet3!$L$11:$M$21,2,FALSE)</f>
        <v>HQ2</v>
      </c>
      <c r="S178" s="26">
        <f>SUMIFS('HQ2'!$O:$O,'HQ2'!$B:$B, "="&amp;'Tong_hop_HQNV_2026Q1_2026-06-23'!Q178, 'HQ2'!$A:$A,"="&amp;'Tong_hop_HQNV_2026Q1_2026-06-23'!P178)</f>
        <v>0</v>
      </c>
      <c r="T178" s="7">
        <f t="shared" si="2"/>
        <v>0</v>
      </c>
    </row>
    <row r="179" spans="1:20" x14ac:dyDescent="0.25">
      <c r="A179" t="s">
        <v>37</v>
      </c>
      <c r="B179" s="9" t="s">
        <v>318</v>
      </c>
      <c r="C179">
        <v>0</v>
      </c>
      <c r="D179">
        <v>-16176784</v>
      </c>
      <c r="E179">
        <v>-55202375</v>
      </c>
      <c r="F179">
        <v>239422785</v>
      </c>
      <c r="G179" s="92">
        <v>50000000</v>
      </c>
      <c r="H179">
        <v>0</v>
      </c>
      <c r="I179">
        <v>55202375</v>
      </c>
      <c r="J179">
        <v>0</v>
      </c>
      <c r="K179">
        <v>223246001</v>
      </c>
      <c r="L179">
        <v>55202375</v>
      </c>
      <c r="M179" t="s">
        <v>36</v>
      </c>
      <c r="N179" t="s">
        <v>19</v>
      </c>
      <c r="O179" t="s">
        <v>19</v>
      </c>
      <c r="P179" t="str">
        <f>VLOOKUP(B179,'CHECK_DT-BT_chi_tiet'!$A:$C,3,FALSE)</f>
        <v>BV Hậu Giang</v>
      </c>
      <c r="Q179" t="str">
        <f>VLOOKUP(A179,Sheet3!$K$11:$L$21,2,FALSE)</f>
        <v>Tàu khác</v>
      </c>
      <c r="R179" t="str">
        <f>VLOOKUP(Q179,Sheet3!$L$11:$M$21,2,FALSE)</f>
        <v>HQ2</v>
      </c>
      <c r="S179" s="26">
        <f>SUMIFS('HQ2'!$O:$O,'HQ2'!$B:$B, "="&amp;'Tong_hop_HQNV_2026Q1_2026-06-23'!Q179, 'HQ2'!$A:$A,"="&amp;'Tong_hop_HQNV_2026Q1_2026-06-23'!P179)</f>
        <v>50000000</v>
      </c>
      <c r="T179" s="7">
        <f t="shared" si="2"/>
        <v>0</v>
      </c>
    </row>
    <row r="180" spans="1:20" x14ac:dyDescent="0.25">
      <c r="A180" t="s">
        <v>32</v>
      </c>
      <c r="B180" s="9" t="s">
        <v>234</v>
      </c>
      <c r="C180">
        <v>0</v>
      </c>
      <c r="D180">
        <v>-35893219</v>
      </c>
      <c r="E180">
        <v>-67556036</v>
      </c>
      <c r="F180">
        <v>1272372744</v>
      </c>
      <c r="G180">
        <v>0</v>
      </c>
      <c r="H180">
        <v>0</v>
      </c>
      <c r="I180">
        <v>0</v>
      </c>
      <c r="J180">
        <v>0</v>
      </c>
      <c r="K180">
        <v>1236479525</v>
      </c>
      <c r="L180">
        <v>67556036</v>
      </c>
      <c r="M180" t="s">
        <v>15</v>
      </c>
      <c r="N180">
        <v>1</v>
      </c>
      <c r="O180">
        <v>1</v>
      </c>
      <c r="P180" t="str">
        <f>VLOOKUP(B180,'CHECK_DT-BT_chi_tiet'!$A:$C,3,FALSE)</f>
        <v>TSC-Ban KDBH Phi hàng hải TSC</v>
      </c>
      <c r="Q180" t="str">
        <f>VLOOKUP(A180,Sheet3!$K$11:$L$21,2,FALSE)</f>
        <v>BH Xe cơ giới</v>
      </c>
      <c r="R180" t="str">
        <f>VLOOKUP(Q180,Sheet3!$L$11:$M$21,2,FALSE)</f>
        <v>HQ1</v>
      </c>
      <c r="S180" s="26">
        <f>SUMIFS('HQ2'!$O:$O,'HQ2'!$B:$B, "="&amp;'Tong_hop_HQNV_2026Q1_2026-06-23'!Q180, 'HQ2'!$A:$A,"="&amp;'Tong_hop_HQNV_2026Q1_2026-06-23'!P180)</f>
        <v>0</v>
      </c>
      <c r="T180" s="7">
        <f t="shared" si="2"/>
        <v>0</v>
      </c>
    </row>
    <row r="181" spans="1:20" x14ac:dyDescent="0.25">
      <c r="A181" t="s">
        <v>32</v>
      </c>
      <c r="B181" s="9" t="s">
        <v>352</v>
      </c>
      <c r="C181">
        <v>0</v>
      </c>
      <c r="D181">
        <v>-8946575</v>
      </c>
      <c r="E181">
        <v>-8536444336</v>
      </c>
      <c r="F181">
        <v>12138904855</v>
      </c>
      <c r="G181">
        <v>8619775576</v>
      </c>
      <c r="H181">
        <v>4096383935</v>
      </c>
      <c r="I181">
        <v>0</v>
      </c>
      <c r="J181">
        <v>0</v>
      </c>
      <c r="K181">
        <v>12129958280</v>
      </c>
      <c r="L181">
        <v>8536444336</v>
      </c>
      <c r="M181" t="s">
        <v>15</v>
      </c>
      <c r="N181">
        <v>1</v>
      </c>
      <c r="O181">
        <v>1</v>
      </c>
      <c r="P181" t="str">
        <f>VLOOKUP(B181,'CHECK_DT-BT_chi_tiet'!$A:$C,3,FALSE)</f>
        <v>BV Thăng Long</v>
      </c>
      <c r="Q181" t="str">
        <f>VLOOKUP(A181,Sheet3!$K$11:$L$21,2,FALSE)</f>
        <v>BH Xe cơ giới</v>
      </c>
      <c r="R181" t="str">
        <f>VLOOKUP(Q181,Sheet3!$L$11:$M$21,2,FALSE)</f>
        <v>HQ1</v>
      </c>
      <c r="S181" s="26">
        <f>SUMIFS('HQ2'!$O:$O,'HQ2'!$B:$B, "="&amp;'Tong_hop_HQNV_2026Q1_2026-06-23'!Q181, 'HQ2'!$A:$A,"="&amp;'Tong_hop_HQNV_2026Q1_2026-06-23'!P181)</f>
        <v>0</v>
      </c>
      <c r="T181" s="7">
        <f t="shared" si="2"/>
        <v>0</v>
      </c>
    </row>
    <row r="182" spans="1:20" x14ac:dyDescent="0.25">
      <c r="A182" t="s">
        <v>32</v>
      </c>
      <c r="B182" s="9" t="s">
        <v>329</v>
      </c>
      <c r="C182">
        <v>0</v>
      </c>
      <c r="D182">
        <v>-1420778</v>
      </c>
      <c r="E182">
        <v>-1293855827</v>
      </c>
      <c r="F182">
        <v>3766564584</v>
      </c>
      <c r="G182">
        <v>1870302540</v>
      </c>
      <c r="H182">
        <v>720254291</v>
      </c>
      <c r="I182">
        <v>0</v>
      </c>
      <c r="J182">
        <v>0</v>
      </c>
      <c r="K182">
        <v>3765143806</v>
      </c>
      <c r="L182">
        <v>1293855827</v>
      </c>
      <c r="M182" t="s">
        <v>15</v>
      </c>
      <c r="N182">
        <v>1</v>
      </c>
      <c r="O182">
        <v>1</v>
      </c>
      <c r="P182" t="str">
        <f>VLOOKUP(B182,'CHECK_DT-BT_chi_tiet'!$A:$C,3,FALSE)</f>
        <v>BV Long Thành</v>
      </c>
      <c r="Q182" t="str">
        <f>VLOOKUP(A182,Sheet3!$K$11:$L$21,2,FALSE)</f>
        <v>BH Xe cơ giới</v>
      </c>
      <c r="R182" t="str">
        <f>VLOOKUP(Q182,Sheet3!$L$11:$M$21,2,FALSE)</f>
        <v>HQ1</v>
      </c>
      <c r="S182" s="26">
        <f>SUMIFS('HQ2'!$O:$O,'HQ2'!$B:$B, "="&amp;'Tong_hop_HQNV_2026Q1_2026-06-23'!Q182, 'HQ2'!$A:$A,"="&amp;'Tong_hop_HQNV_2026Q1_2026-06-23'!P182)</f>
        <v>0</v>
      </c>
      <c r="T182" s="7">
        <f t="shared" si="2"/>
        <v>0</v>
      </c>
    </row>
    <row r="183" spans="1:20" x14ac:dyDescent="0.25">
      <c r="A183" t="s">
        <v>32</v>
      </c>
      <c r="B183" s="9" t="s">
        <v>305</v>
      </c>
      <c r="C183">
        <v>0</v>
      </c>
      <c r="D183">
        <v>-30170948</v>
      </c>
      <c r="E183">
        <v>-1246437442</v>
      </c>
      <c r="F183">
        <v>4668836392</v>
      </c>
      <c r="G183">
        <v>1767356156</v>
      </c>
      <c r="H183">
        <v>632635166</v>
      </c>
      <c r="I183">
        <v>0</v>
      </c>
      <c r="J183">
        <v>0</v>
      </c>
      <c r="K183">
        <v>4638665444</v>
      </c>
      <c r="L183">
        <v>1246437442</v>
      </c>
      <c r="M183" t="s">
        <v>15</v>
      </c>
      <c r="N183">
        <v>1</v>
      </c>
      <c r="O183">
        <v>1</v>
      </c>
      <c r="P183" t="str">
        <f>VLOOKUP(B183,'CHECK_DT-BT_chi_tiet'!$A:$C,3,FALSE)</f>
        <v>BV Đông Bắc</v>
      </c>
      <c r="Q183" t="str">
        <f>VLOOKUP(A183,Sheet3!$K$11:$L$21,2,FALSE)</f>
        <v>BH Xe cơ giới</v>
      </c>
      <c r="R183" t="str">
        <f>VLOOKUP(Q183,Sheet3!$L$11:$M$21,2,FALSE)</f>
        <v>HQ1</v>
      </c>
      <c r="S183" s="26">
        <f>SUMIFS('HQ2'!$O:$O,'HQ2'!$B:$B, "="&amp;'Tong_hop_HQNV_2026Q1_2026-06-23'!Q183, 'HQ2'!$A:$A,"="&amp;'Tong_hop_HQNV_2026Q1_2026-06-23'!P183)</f>
        <v>0</v>
      </c>
      <c r="T183" s="7">
        <f t="shared" si="2"/>
        <v>0</v>
      </c>
    </row>
    <row r="184" spans="1:20" x14ac:dyDescent="0.25">
      <c r="A184" t="s">
        <v>32</v>
      </c>
      <c r="B184" s="9" t="s">
        <v>285</v>
      </c>
      <c r="C184">
        <v>0</v>
      </c>
      <c r="D184">
        <v>-65166720</v>
      </c>
      <c r="E184">
        <v>-7449408983</v>
      </c>
      <c r="F184">
        <v>18315771364</v>
      </c>
      <c r="G184">
        <v>6881380478</v>
      </c>
      <c r="H184">
        <v>5811505318</v>
      </c>
      <c r="I184">
        <v>0</v>
      </c>
      <c r="J184">
        <v>0</v>
      </c>
      <c r="K184">
        <v>18250604644</v>
      </c>
      <c r="L184">
        <v>7449408983</v>
      </c>
      <c r="M184" t="s">
        <v>15</v>
      </c>
      <c r="N184">
        <v>1</v>
      </c>
      <c r="O184">
        <v>1</v>
      </c>
      <c r="P184" t="str">
        <f>VLOOKUP(B184,'CHECK_DT-BT_chi_tiet'!$A:$C,3,FALSE)</f>
        <v>BV An Phú</v>
      </c>
      <c r="Q184" t="str">
        <f>VLOOKUP(A184,Sheet3!$K$11:$L$21,2,FALSE)</f>
        <v>BH Xe cơ giới</v>
      </c>
      <c r="R184" t="str">
        <f>VLOOKUP(Q184,Sheet3!$L$11:$M$21,2,FALSE)</f>
        <v>HQ1</v>
      </c>
      <c r="S184" s="26">
        <f>SUMIFS('HQ2'!$O:$O,'HQ2'!$B:$B, "="&amp;'Tong_hop_HQNV_2026Q1_2026-06-23'!Q184, 'HQ2'!$A:$A,"="&amp;'Tong_hop_HQNV_2026Q1_2026-06-23'!P184)</f>
        <v>0</v>
      </c>
      <c r="T184" s="7">
        <f t="shared" si="2"/>
        <v>0</v>
      </c>
    </row>
    <row r="185" spans="1:20" x14ac:dyDescent="0.25">
      <c r="A185" t="s">
        <v>32</v>
      </c>
      <c r="B185" s="9" t="s">
        <v>284</v>
      </c>
      <c r="C185">
        <v>0</v>
      </c>
      <c r="D185">
        <v>-17106809</v>
      </c>
      <c r="E185">
        <v>-3491094304</v>
      </c>
      <c r="F185">
        <v>7452012780</v>
      </c>
      <c r="G185">
        <v>5134124445</v>
      </c>
      <c r="H185">
        <v>3048018797</v>
      </c>
      <c r="I185">
        <v>0</v>
      </c>
      <c r="J185">
        <v>0</v>
      </c>
      <c r="K185">
        <v>7434905971</v>
      </c>
      <c r="L185">
        <v>3491094304</v>
      </c>
      <c r="M185" t="s">
        <v>15</v>
      </c>
      <c r="N185">
        <v>1</v>
      </c>
      <c r="O185">
        <v>1</v>
      </c>
      <c r="P185" t="str">
        <f>VLOOKUP(B185,'CHECK_DT-BT_chi_tiet'!$A:$C,3,FALSE)</f>
        <v>BV An Giang</v>
      </c>
      <c r="Q185" t="str">
        <f>VLOOKUP(A185,Sheet3!$K$11:$L$21,2,FALSE)</f>
        <v>BH Xe cơ giới</v>
      </c>
      <c r="R185" t="str">
        <f>VLOOKUP(Q185,Sheet3!$L$11:$M$21,2,FALSE)</f>
        <v>HQ1</v>
      </c>
      <c r="S185" s="26">
        <f>SUMIFS('HQ2'!$O:$O,'HQ2'!$B:$B, "="&amp;'Tong_hop_HQNV_2026Q1_2026-06-23'!Q185, 'HQ2'!$A:$A,"="&amp;'Tong_hop_HQNV_2026Q1_2026-06-23'!P185)</f>
        <v>0</v>
      </c>
      <c r="T185" s="7">
        <f t="shared" si="2"/>
        <v>0</v>
      </c>
    </row>
    <row r="186" spans="1:20" x14ac:dyDescent="0.25">
      <c r="A186" t="s">
        <v>32</v>
      </c>
      <c r="B186" s="9" t="s">
        <v>287</v>
      </c>
      <c r="C186">
        <v>0</v>
      </c>
      <c r="D186">
        <v>0</v>
      </c>
      <c r="E186">
        <v>-18126707</v>
      </c>
      <c r="F186">
        <v>860684099</v>
      </c>
      <c r="G186">
        <v>1925974000</v>
      </c>
      <c r="H186">
        <v>67121818</v>
      </c>
      <c r="I186">
        <v>0</v>
      </c>
      <c r="J186">
        <v>0</v>
      </c>
      <c r="K186">
        <v>860684099</v>
      </c>
      <c r="L186">
        <v>18126707</v>
      </c>
      <c r="M186" t="s">
        <v>15</v>
      </c>
      <c r="N186">
        <v>1</v>
      </c>
      <c r="O186">
        <v>1</v>
      </c>
      <c r="P186" t="str">
        <f>VLOOKUP(B186,'CHECK_DT-BT_chi_tiet'!$A:$C,3,FALSE)</f>
        <v>BV Bắc Cạn</v>
      </c>
      <c r="Q186" t="str">
        <f>VLOOKUP(A186,Sheet3!$K$11:$L$21,2,FALSE)</f>
        <v>BH Xe cơ giới</v>
      </c>
      <c r="R186" t="str">
        <f>VLOOKUP(Q186,Sheet3!$L$11:$M$21,2,FALSE)</f>
        <v>HQ1</v>
      </c>
      <c r="S186" s="26">
        <f>SUMIFS('HQ2'!$O:$O,'HQ2'!$B:$B, "="&amp;'Tong_hop_HQNV_2026Q1_2026-06-23'!Q186, 'HQ2'!$A:$A,"="&amp;'Tong_hop_HQNV_2026Q1_2026-06-23'!P186)</f>
        <v>0</v>
      </c>
      <c r="T186" s="7">
        <f t="shared" si="2"/>
        <v>0</v>
      </c>
    </row>
    <row r="187" spans="1:20" x14ac:dyDescent="0.25">
      <c r="A187" t="s">
        <v>32</v>
      </c>
      <c r="B187" s="9" t="s">
        <v>288</v>
      </c>
      <c r="C187">
        <v>0</v>
      </c>
      <c r="D187">
        <v>-24656361</v>
      </c>
      <c r="E187">
        <v>-1639551006</v>
      </c>
      <c r="F187">
        <v>7281788570</v>
      </c>
      <c r="G187">
        <v>5732610551</v>
      </c>
      <c r="H187">
        <v>286271247</v>
      </c>
      <c r="I187">
        <v>0</v>
      </c>
      <c r="J187">
        <v>0</v>
      </c>
      <c r="K187">
        <v>7257132209</v>
      </c>
      <c r="L187">
        <v>1639551006</v>
      </c>
      <c r="M187" t="s">
        <v>15</v>
      </c>
      <c r="N187">
        <v>1</v>
      </c>
      <c r="O187">
        <v>1</v>
      </c>
      <c r="P187" t="str">
        <f>VLOOKUP(B187,'CHECK_DT-BT_chi_tiet'!$A:$C,3,FALSE)</f>
        <v>BV Bắc Giang</v>
      </c>
      <c r="Q187" t="str">
        <f>VLOOKUP(A187,Sheet3!$K$11:$L$21,2,FALSE)</f>
        <v>BH Xe cơ giới</v>
      </c>
      <c r="R187" t="str">
        <f>VLOOKUP(Q187,Sheet3!$L$11:$M$21,2,FALSE)</f>
        <v>HQ1</v>
      </c>
      <c r="S187" s="26">
        <f>SUMIFS('HQ2'!$O:$O,'HQ2'!$B:$B, "="&amp;'Tong_hop_HQNV_2026Q1_2026-06-23'!Q187, 'HQ2'!$A:$A,"="&amp;'Tong_hop_HQNV_2026Q1_2026-06-23'!P187)</f>
        <v>0</v>
      </c>
      <c r="T187" s="7">
        <f t="shared" si="2"/>
        <v>0</v>
      </c>
    </row>
    <row r="188" spans="1:20" x14ac:dyDescent="0.25">
      <c r="A188" t="s">
        <v>32</v>
      </c>
      <c r="B188" s="9" t="s">
        <v>290</v>
      </c>
      <c r="C188">
        <v>0</v>
      </c>
      <c r="D188">
        <v>-137231059</v>
      </c>
      <c r="E188">
        <v>-3107539082</v>
      </c>
      <c r="F188">
        <v>7517752256</v>
      </c>
      <c r="G188">
        <v>5196660109</v>
      </c>
      <c r="H188">
        <v>2290099975</v>
      </c>
      <c r="I188">
        <v>0</v>
      </c>
      <c r="J188">
        <v>0</v>
      </c>
      <c r="K188">
        <v>7380521197</v>
      </c>
      <c r="L188">
        <v>3107539082</v>
      </c>
      <c r="M188" t="s">
        <v>15</v>
      </c>
      <c r="N188">
        <v>1</v>
      </c>
      <c r="O188">
        <v>1</v>
      </c>
      <c r="P188" t="str">
        <f>VLOOKUP(B188,'CHECK_DT-BT_chi_tiet'!$A:$C,3,FALSE)</f>
        <v>BV Bắc Ninh</v>
      </c>
      <c r="Q188" t="str">
        <f>VLOOKUP(A188,Sheet3!$K$11:$L$21,2,FALSE)</f>
        <v>BH Xe cơ giới</v>
      </c>
      <c r="R188" t="str">
        <f>VLOOKUP(Q188,Sheet3!$L$11:$M$21,2,FALSE)</f>
        <v>HQ1</v>
      </c>
      <c r="S188" s="26">
        <f>SUMIFS('HQ2'!$O:$O,'HQ2'!$B:$B, "="&amp;'Tong_hop_HQNV_2026Q1_2026-06-23'!Q188, 'HQ2'!$A:$A,"="&amp;'Tong_hop_HQNV_2026Q1_2026-06-23'!P188)</f>
        <v>0</v>
      </c>
      <c r="T188" s="7">
        <f t="shared" si="2"/>
        <v>0</v>
      </c>
    </row>
    <row r="189" spans="1:20" x14ac:dyDescent="0.25">
      <c r="A189" t="s">
        <v>32</v>
      </c>
      <c r="B189" s="9" t="s">
        <v>289</v>
      </c>
      <c r="C189">
        <v>0</v>
      </c>
      <c r="D189">
        <v>0</v>
      </c>
      <c r="E189">
        <v>-1351470260</v>
      </c>
      <c r="F189">
        <v>3558196380</v>
      </c>
      <c r="G189">
        <v>1260141150</v>
      </c>
      <c r="H189">
        <v>635031367</v>
      </c>
      <c r="I189">
        <v>0</v>
      </c>
      <c r="J189">
        <v>0</v>
      </c>
      <c r="K189">
        <v>3558196380</v>
      </c>
      <c r="L189">
        <v>1351470260</v>
      </c>
      <c r="M189" t="s">
        <v>15</v>
      </c>
      <c r="N189">
        <v>1</v>
      </c>
      <c r="O189">
        <v>1</v>
      </c>
      <c r="P189" t="str">
        <f>VLOOKUP(B189,'CHECK_DT-BT_chi_tiet'!$A:$C,3,FALSE)</f>
        <v>BV Bạc Liêu</v>
      </c>
      <c r="Q189" t="str">
        <f>VLOOKUP(A189,Sheet3!$K$11:$L$21,2,FALSE)</f>
        <v>BH Xe cơ giới</v>
      </c>
      <c r="R189" t="str">
        <f>VLOOKUP(Q189,Sheet3!$L$11:$M$21,2,FALSE)</f>
        <v>HQ1</v>
      </c>
      <c r="S189" s="26">
        <f>SUMIFS('HQ2'!$O:$O,'HQ2'!$B:$B, "="&amp;'Tong_hop_HQNV_2026Q1_2026-06-23'!Q189, 'HQ2'!$A:$A,"="&amp;'Tong_hop_HQNV_2026Q1_2026-06-23'!P189)</f>
        <v>0</v>
      </c>
      <c r="T189" s="7">
        <f t="shared" si="2"/>
        <v>0</v>
      </c>
    </row>
    <row r="190" spans="1:20" x14ac:dyDescent="0.25">
      <c r="A190" t="s">
        <v>32</v>
      </c>
      <c r="B190" s="9" t="s">
        <v>292</v>
      </c>
      <c r="C190">
        <v>0</v>
      </c>
      <c r="D190">
        <v>-1082526</v>
      </c>
      <c r="E190">
        <v>-358409271</v>
      </c>
      <c r="F190">
        <v>1365892705</v>
      </c>
      <c r="G190">
        <v>512899782</v>
      </c>
      <c r="H190">
        <v>512899782</v>
      </c>
      <c r="I190">
        <v>0</v>
      </c>
      <c r="J190">
        <v>0</v>
      </c>
      <c r="K190">
        <v>1364810179</v>
      </c>
      <c r="L190">
        <v>358409271</v>
      </c>
      <c r="M190" t="s">
        <v>15</v>
      </c>
      <c r="N190">
        <v>1</v>
      </c>
      <c r="O190">
        <v>1</v>
      </c>
      <c r="P190" t="str">
        <f>VLOOKUP(B190,'CHECK_DT-BT_chi_tiet'!$A:$C,3,FALSE)</f>
        <v>BV Bến Tre</v>
      </c>
      <c r="Q190" t="str">
        <f>VLOOKUP(A190,Sheet3!$K$11:$L$21,2,FALSE)</f>
        <v>BH Xe cơ giới</v>
      </c>
      <c r="R190" t="str">
        <f>VLOOKUP(Q190,Sheet3!$L$11:$M$21,2,FALSE)</f>
        <v>HQ1</v>
      </c>
      <c r="S190" s="26">
        <f>SUMIFS('HQ2'!$O:$O,'HQ2'!$B:$B, "="&amp;'Tong_hop_HQNV_2026Q1_2026-06-23'!Q190, 'HQ2'!$A:$A,"="&amp;'Tong_hop_HQNV_2026Q1_2026-06-23'!P190)</f>
        <v>0</v>
      </c>
      <c r="T190" s="7">
        <f t="shared" si="2"/>
        <v>0</v>
      </c>
    </row>
    <row r="191" spans="1:20" x14ac:dyDescent="0.25">
      <c r="A191" t="s">
        <v>32</v>
      </c>
      <c r="B191" s="9" t="s">
        <v>294</v>
      </c>
      <c r="C191">
        <v>0</v>
      </c>
      <c r="D191">
        <v>0</v>
      </c>
      <c r="E191">
        <v>-5390570887</v>
      </c>
      <c r="F191">
        <v>8926022983</v>
      </c>
      <c r="G191">
        <v>3464892529</v>
      </c>
      <c r="H191">
        <v>1987802947</v>
      </c>
      <c r="I191">
        <v>0</v>
      </c>
      <c r="J191">
        <v>0</v>
      </c>
      <c r="K191">
        <v>8926022983</v>
      </c>
      <c r="L191">
        <v>5390570887</v>
      </c>
      <c r="M191" t="s">
        <v>15</v>
      </c>
      <c r="N191">
        <v>1</v>
      </c>
      <c r="O191">
        <v>1</v>
      </c>
      <c r="P191" t="str">
        <f>VLOOKUP(B191,'CHECK_DT-BT_chi_tiet'!$A:$C,3,FALSE)</f>
        <v>BV Bình Dương</v>
      </c>
      <c r="Q191" t="str">
        <f>VLOOKUP(A191,Sheet3!$K$11:$L$21,2,FALSE)</f>
        <v>BH Xe cơ giới</v>
      </c>
      <c r="R191" t="str">
        <f>VLOOKUP(Q191,Sheet3!$L$11:$M$21,2,FALSE)</f>
        <v>HQ1</v>
      </c>
      <c r="S191" s="26">
        <f>SUMIFS('HQ2'!$O:$O,'HQ2'!$B:$B, "="&amp;'Tong_hop_HQNV_2026Q1_2026-06-23'!Q191, 'HQ2'!$A:$A,"="&amp;'Tong_hop_HQNV_2026Q1_2026-06-23'!P191)</f>
        <v>0</v>
      </c>
      <c r="T191" s="7">
        <f t="shared" si="2"/>
        <v>0</v>
      </c>
    </row>
    <row r="192" spans="1:20" x14ac:dyDescent="0.25">
      <c r="A192" t="s">
        <v>32</v>
      </c>
      <c r="B192" s="9" t="s">
        <v>293</v>
      </c>
      <c r="C192">
        <v>0</v>
      </c>
      <c r="D192">
        <v>0</v>
      </c>
      <c r="E192">
        <v>-4558282915</v>
      </c>
      <c r="F192">
        <v>6831481128</v>
      </c>
      <c r="G192">
        <v>8021292257</v>
      </c>
      <c r="H192">
        <v>2375862586</v>
      </c>
      <c r="I192">
        <v>0</v>
      </c>
      <c r="J192">
        <v>0</v>
      </c>
      <c r="K192">
        <v>6831481128</v>
      </c>
      <c r="L192">
        <v>4558282915</v>
      </c>
      <c r="M192" t="s">
        <v>15</v>
      </c>
      <c r="N192">
        <v>1</v>
      </c>
      <c r="O192">
        <v>1</v>
      </c>
      <c r="P192" t="str">
        <f>VLOOKUP(B192,'CHECK_DT-BT_chi_tiet'!$A:$C,3,FALSE)</f>
        <v>BV Bình Định</v>
      </c>
      <c r="Q192" t="str">
        <f>VLOOKUP(A192,Sheet3!$K$11:$L$21,2,FALSE)</f>
        <v>BH Xe cơ giới</v>
      </c>
      <c r="R192" t="str">
        <f>VLOOKUP(Q192,Sheet3!$L$11:$M$21,2,FALSE)</f>
        <v>HQ1</v>
      </c>
      <c r="S192" s="26">
        <f>SUMIFS('HQ2'!$O:$O,'HQ2'!$B:$B, "="&amp;'Tong_hop_HQNV_2026Q1_2026-06-23'!Q192, 'HQ2'!$A:$A,"="&amp;'Tong_hop_HQNV_2026Q1_2026-06-23'!P192)</f>
        <v>0</v>
      </c>
      <c r="T192" s="7">
        <f t="shared" si="2"/>
        <v>0</v>
      </c>
    </row>
    <row r="193" spans="1:20" x14ac:dyDescent="0.25">
      <c r="A193" t="s">
        <v>32</v>
      </c>
      <c r="B193" s="9" t="s">
        <v>295</v>
      </c>
      <c r="C193">
        <v>0</v>
      </c>
      <c r="D193">
        <v>0</v>
      </c>
      <c r="E193">
        <v>-2509112397</v>
      </c>
      <c r="F193">
        <v>6502349157</v>
      </c>
      <c r="G193">
        <v>2387901838</v>
      </c>
      <c r="H193">
        <v>1643928885</v>
      </c>
      <c r="I193">
        <v>0</v>
      </c>
      <c r="J193">
        <v>0</v>
      </c>
      <c r="K193">
        <v>6502349157</v>
      </c>
      <c r="L193">
        <v>2509112397</v>
      </c>
      <c r="M193" t="s">
        <v>15</v>
      </c>
      <c r="N193">
        <v>1</v>
      </c>
      <c r="O193">
        <v>1</v>
      </c>
      <c r="P193" t="str">
        <f>VLOOKUP(B193,'CHECK_DT-BT_chi_tiet'!$A:$C,3,FALSE)</f>
        <v>BV Bình Phước</v>
      </c>
      <c r="Q193" t="str">
        <f>VLOOKUP(A193,Sheet3!$K$11:$L$21,2,FALSE)</f>
        <v>BH Xe cơ giới</v>
      </c>
      <c r="R193" t="str">
        <f>VLOOKUP(Q193,Sheet3!$L$11:$M$21,2,FALSE)</f>
        <v>HQ1</v>
      </c>
      <c r="S193" s="26">
        <f>SUMIFS('HQ2'!$O:$O,'HQ2'!$B:$B, "="&amp;'Tong_hop_HQNV_2026Q1_2026-06-23'!Q193, 'HQ2'!$A:$A,"="&amp;'Tong_hop_HQNV_2026Q1_2026-06-23'!P193)</f>
        <v>0</v>
      </c>
      <c r="T193" s="7">
        <f t="shared" si="2"/>
        <v>0</v>
      </c>
    </row>
    <row r="194" spans="1:20" x14ac:dyDescent="0.25">
      <c r="A194" t="s">
        <v>32</v>
      </c>
      <c r="B194" s="9" t="s">
        <v>296</v>
      </c>
      <c r="C194">
        <v>0</v>
      </c>
      <c r="D194">
        <v>-12304000</v>
      </c>
      <c r="E194">
        <v>-3047597238</v>
      </c>
      <c r="F194">
        <v>7549337112</v>
      </c>
      <c r="G194">
        <v>1166867917</v>
      </c>
      <c r="H194">
        <v>816849356</v>
      </c>
      <c r="I194">
        <v>0</v>
      </c>
      <c r="J194">
        <v>0</v>
      </c>
      <c r="K194">
        <v>7537033112</v>
      </c>
      <c r="L194">
        <v>3047597238</v>
      </c>
      <c r="M194" t="s">
        <v>15</v>
      </c>
      <c r="N194">
        <v>1</v>
      </c>
      <c r="O194">
        <v>1</v>
      </c>
      <c r="P194" t="str">
        <f>VLOOKUP(B194,'CHECK_DT-BT_chi_tiet'!$A:$C,3,FALSE)</f>
        <v>BV Bình Thuận</v>
      </c>
      <c r="Q194" t="str">
        <f>VLOOKUP(A194,Sheet3!$K$11:$L$21,2,FALSE)</f>
        <v>BH Xe cơ giới</v>
      </c>
      <c r="R194" t="str">
        <f>VLOOKUP(Q194,Sheet3!$L$11:$M$21,2,FALSE)</f>
        <v>HQ1</v>
      </c>
      <c r="S194" s="26">
        <f>SUMIFS('HQ2'!$O:$O,'HQ2'!$B:$B, "="&amp;'Tong_hop_HQNV_2026Q1_2026-06-23'!Q194, 'HQ2'!$A:$A,"="&amp;'Tong_hop_HQNV_2026Q1_2026-06-23'!P194)</f>
        <v>0</v>
      </c>
      <c r="T194" s="7">
        <f t="shared" si="2"/>
        <v>0</v>
      </c>
    </row>
    <row r="195" spans="1:20" x14ac:dyDescent="0.25">
      <c r="A195" t="s">
        <v>32</v>
      </c>
      <c r="B195" s="9" t="s">
        <v>297</v>
      </c>
      <c r="C195">
        <v>0</v>
      </c>
      <c r="D195">
        <v>0</v>
      </c>
      <c r="E195">
        <v>-893161298</v>
      </c>
      <c r="F195">
        <v>2900145301</v>
      </c>
      <c r="G195">
        <v>2897304215</v>
      </c>
      <c r="H195">
        <v>1234821455</v>
      </c>
      <c r="I195">
        <v>0</v>
      </c>
      <c r="J195">
        <v>0</v>
      </c>
      <c r="K195">
        <v>2900145301</v>
      </c>
      <c r="L195">
        <v>893161298</v>
      </c>
      <c r="M195" t="s">
        <v>15</v>
      </c>
      <c r="N195">
        <v>1</v>
      </c>
      <c r="O195">
        <v>1</v>
      </c>
      <c r="P195" t="str">
        <f>VLOOKUP(B195,'CHECK_DT-BT_chi_tiet'!$A:$C,3,FALSE)</f>
        <v>BV Cà Mau</v>
      </c>
      <c r="Q195" t="str">
        <f>VLOOKUP(A195,Sheet3!$K$11:$L$21,2,FALSE)</f>
        <v>BH Xe cơ giới</v>
      </c>
      <c r="R195" t="str">
        <f>VLOOKUP(Q195,Sheet3!$L$11:$M$21,2,FALSE)</f>
        <v>HQ1</v>
      </c>
      <c r="S195" s="26">
        <f>SUMIFS('HQ2'!$O:$O,'HQ2'!$B:$B, "="&amp;'Tong_hop_HQNV_2026Q1_2026-06-23'!Q195, 'HQ2'!$A:$A,"="&amp;'Tong_hop_HQNV_2026Q1_2026-06-23'!P195)</f>
        <v>0</v>
      </c>
      <c r="T195" s="7">
        <f t="shared" ref="T195:T258" si="3">IFERROR(IF(R195="HQ2",S195-G195,0),0)</f>
        <v>0</v>
      </c>
    </row>
    <row r="196" spans="1:20" x14ac:dyDescent="0.25">
      <c r="A196" t="s">
        <v>32</v>
      </c>
      <c r="B196" s="9" t="s">
        <v>299</v>
      </c>
      <c r="C196">
        <v>0</v>
      </c>
      <c r="D196">
        <v>-5100368</v>
      </c>
      <c r="E196">
        <v>-308625734</v>
      </c>
      <c r="F196">
        <v>2220031606</v>
      </c>
      <c r="G196">
        <v>1871563292</v>
      </c>
      <c r="H196">
        <v>274310162</v>
      </c>
      <c r="I196">
        <v>0</v>
      </c>
      <c r="J196">
        <v>0</v>
      </c>
      <c r="K196">
        <v>2214931238</v>
      </c>
      <c r="L196">
        <v>308625734</v>
      </c>
      <c r="M196" t="s">
        <v>15</v>
      </c>
      <c r="N196">
        <v>1</v>
      </c>
      <c r="O196">
        <v>1</v>
      </c>
      <c r="P196" t="str">
        <f>VLOOKUP(B196,'CHECK_DT-BT_chi_tiet'!$A:$C,3,FALSE)</f>
        <v>BV Cao Bằng</v>
      </c>
      <c r="Q196" t="str">
        <f>VLOOKUP(A196,Sheet3!$K$11:$L$21,2,FALSE)</f>
        <v>BH Xe cơ giới</v>
      </c>
      <c r="R196" t="str">
        <f>VLOOKUP(Q196,Sheet3!$L$11:$M$21,2,FALSE)</f>
        <v>HQ1</v>
      </c>
      <c r="S196" s="26">
        <f>SUMIFS('HQ2'!$O:$O,'HQ2'!$B:$B, "="&amp;'Tong_hop_HQNV_2026Q1_2026-06-23'!Q196, 'HQ2'!$A:$A,"="&amp;'Tong_hop_HQNV_2026Q1_2026-06-23'!P196)</f>
        <v>0</v>
      </c>
      <c r="T196" s="7">
        <f t="shared" si="3"/>
        <v>0</v>
      </c>
    </row>
    <row r="197" spans="1:20" x14ac:dyDescent="0.25">
      <c r="A197" t="s">
        <v>32</v>
      </c>
      <c r="B197" s="9" t="s">
        <v>298</v>
      </c>
      <c r="C197">
        <v>0</v>
      </c>
      <c r="D197">
        <v>0</v>
      </c>
      <c r="E197">
        <v>-6794515687</v>
      </c>
      <c r="F197">
        <v>15104557335</v>
      </c>
      <c r="G197">
        <v>7252775770</v>
      </c>
      <c r="H197">
        <v>4787536533</v>
      </c>
      <c r="I197">
        <v>0</v>
      </c>
      <c r="J197">
        <v>0</v>
      </c>
      <c r="K197">
        <v>15104557335</v>
      </c>
      <c r="L197">
        <v>6794515687</v>
      </c>
      <c r="M197" t="s">
        <v>15</v>
      </c>
      <c r="N197">
        <v>1</v>
      </c>
      <c r="O197">
        <v>1</v>
      </c>
      <c r="P197" t="str">
        <f>VLOOKUP(B197,'CHECK_DT-BT_chi_tiet'!$A:$C,3,FALSE)</f>
        <v>BV Cần Thơ</v>
      </c>
      <c r="Q197" t="str">
        <f>VLOOKUP(A197,Sheet3!$K$11:$L$21,2,FALSE)</f>
        <v>BH Xe cơ giới</v>
      </c>
      <c r="R197" t="str">
        <f>VLOOKUP(Q197,Sheet3!$L$11:$M$21,2,FALSE)</f>
        <v>HQ1</v>
      </c>
      <c r="S197" s="26">
        <f>SUMIFS('HQ2'!$O:$O,'HQ2'!$B:$B, "="&amp;'Tong_hop_HQNV_2026Q1_2026-06-23'!Q197, 'HQ2'!$A:$A,"="&amp;'Tong_hop_HQNV_2026Q1_2026-06-23'!P197)</f>
        <v>0</v>
      </c>
      <c r="T197" s="7">
        <f t="shared" si="3"/>
        <v>0</v>
      </c>
    </row>
    <row r="198" spans="1:20" x14ac:dyDescent="0.25">
      <c r="A198" t="s">
        <v>32</v>
      </c>
      <c r="B198" s="9" t="s">
        <v>300</v>
      </c>
      <c r="C198">
        <v>0</v>
      </c>
      <c r="D198">
        <v>-20265419</v>
      </c>
      <c r="E198">
        <v>-7093134493</v>
      </c>
      <c r="F198">
        <v>19847088801</v>
      </c>
      <c r="G198">
        <v>10422513222</v>
      </c>
      <c r="H198">
        <v>6500287484</v>
      </c>
      <c r="I198">
        <v>0</v>
      </c>
      <c r="J198">
        <v>0</v>
      </c>
      <c r="K198">
        <v>19826823382</v>
      </c>
      <c r="L198">
        <v>7093134493</v>
      </c>
      <c r="M198" t="s">
        <v>15</v>
      </c>
      <c r="N198">
        <v>1</v>
      </c>
      <c r="O198">
        <v>1</v>
      </c>
      <c r="P198" t="str">
        <f>VLOOKUP(B198,'CHECK_DT-BT_chi_tiet'!$A:$C,3,FALSE)</f>
        <v>BV Đà Nẵng</v>
      </c>
      <c r="Q198" t="str">
        <f>VLOOKUP(A198,Sheet3!$K$11:$L$21,2,FALSE)</f>
        <v>BH Xe cơ giới</v>
      </c>
      <c r="R198" t="str">
        <f>VLOOKUP(Q198,Sheet3!$L$11:$M$21,2,FALSE)</f>
        <v>HQ1</v>
      </c>
      <c r="S198" s="26">
        <f>SUMIFS('HQ2'!$O:$O,'HQ2'!$B:$B, "="&amp;'Tong_hop_HQNV_2026Q1_2026-06-23'!Q198, 'HQ2'!$A:$A,"="&amp;'Tong_hop_HQNV_2026Q1_2026-06-23'!P198)</f>
        <v>0</v>
      </c>
      <c r="T198" s="7">
        <f t="shared" si="3"/>
        <v>0</v>
      </c>
    </row>
    <row r="199" spans="1:20" x14ac:dyDescent="0.25">
      <c r="A199" t="s">
        <v>32</v>
      </c>
      <c r="B199" s="9" t="s">
        <v>301</v>
      </c>
      <c r="C199">
        <v>0</v>
      </c>
      <c r="D199">
        <v>-20290922</v>
      </c>
      <c r="E199">
        <v>-6241753890</v>
      </c>
      <c r="F199">
        <v>11021349510</v>
      </c>
      <c r="G199">
        <v>8282041566</v>
      </c>
      <c r="H199">
        <v>5743301548</v>
      </c>
      <c r="I199">
        <v>0</v>
      </c>
      <c r="J199">
        <v>0</v>
      </c>
      <c r="K199">
        <v>11001058588</v>
      </c>
      <c r="L199">
        <v>6241753890</v>
      </c>
      <c r="M199" t="s">
        <v>15</v>
      </c>
      <c r="N199">
        <v>1</v>
      </c>
      <c r="O199">
        <v>1</v>
      </c>
      <c r="P199" t="str">
        <f>VLOOKUP(B199,'CHECK_DT-BT_chi_tiet'!$A:$C,3,FALSE)</f>
        <v>BV Dak Lak</v>
      </c>
      <c r="Q199" t="str">
        <f>VLOOKUP(A199,Sheet3!$K$11:$L$21,2,FALSE)</f>
        <v>BH Xe cơ giới</v>
      </c>
      <c r="R199" t="str">
        <f>VLOOKUP(Q199,Sheet3!$L$11:$M$21,2,FALSE)</f>
        <v>HQ1</v>
      </c>
      <c r="S199" s="26">
        <f>SUMIFS('HQ2'!$O:$O,'HQ2'!$B:$B, "="&amp;'Tong_hop_HQNV_2026Q1_2026-06-23'!Q199, 'HQ2'!$A:$A,"="&amp;'Tong_hop_HQNV_2026Q1_2026-06-23'!P199)</f>
        <v>0</v>
      </c>
      <c r="T199" s="7">
        <f t="shared" si="3"/>
        <v>0</v>
      </c>
    </row>
    <row r="200" spans="1:20" x14ac:dyDescent="0.25">
      <c r="A200" t="s">
        <v>32</v>
      </c>
      <c r="B200" s="9" t="s">
        <v>307</v>
      </c>
      <c r="C200">
        <v>0</v>
      </c>
      <c r="D200">
        <v>-21139899</v>
      </c>
      <c r="E200">
        <v>-1522138687</v>
      </c>
      <c r="F200">
        <v>4109735113</v>
      </c>
      <c r="G200">
        <v>1330938329</v>
      </c>
      <c r="H200">
        <v>780152546</v>
      </c>
      <c r="I200">
        <v>0</v>
      </c>
      <c r="J200">
        <v>0</v>
      </c>
      <c r="K200">
        <v>4088595214</v>
      </c>
      <c r="L200">
        <v>1522138687</v>
      </c>
      <c r="M200" t="s">
        <v>15</v>
      </c>
      <c r="N200">
        <v>1</v>
      </c>
      <c r="O200">
        <v>1</v>
      </c>
      <c r="P200" t="str">
        <f>VLOOKUP(B200,'CHECK_DT-BT_chi_tiet'!$A:$C,3,FALSE)</f>
        <v>BV Đồng Nai</v>
      </c>
      <c r="Q200" t="str">
        <f>VLOOKUP(A200,Sheet3!$K$11:$L$21,2,FALSE)</f>
        <v>BH Xe cơ giới</v>
      </c>
      <c r="R200" t="str">
        <f>VLOOKUP(Q200,Sheet3!$L$11:$M$21,2,FALSE)</f>
        <v>HQ1</v>
      </c>
      <c r="S200" s="26">
        <f>SUMIFS('HQ2'!$O:$O,'HQ2'!$B:$B, "="&amp;'Tong_hop_HQNV_2026Q1_2026-06-23'!Q200, 'HQ2'!$A:$A,"="&amp;'Tong_hop_HQNV_2026Q1_2026-06-23'!P200)</f>
        <v>0</v>
      </c>
      <c r="T200" s="7">
        <f t="shared" si="3"/>
        <v>0</v>
      </c>
    </row>
    <row r="201" spans="1:20" x14ac:dyDescent="0.25">
      <c r="A201" t="s">
        <v>32</v>
      </c>
      <c r="B201" s="9" t="s">
        <v>308</v>
      </c>
      <c r="C201">
        <v>0</v>
      </c>
      <c r="D201">
        <v>-35536667</v>
      </c>
      <c r="E201">
        <v>-1600252975</v>
      </c>
      <c r="F201">
        <v>5852379974</v>
      </c>
      <c r="G201">
        <v>2726203074</v>
      </c>
      <c r="H201">
        <v>1311836227</v>
      </c>
      <c r="I201">
        <v>0</v>
      </c>
      <c r="J201">
        <v>0</v>
      </c>
      <c r="K201">
        <v>5816843307</v>
      </c>
      <c r="L201">
        <v>1600252975</v>
      </c>
      <c r="M201" t="s">
        <v>15</v>
      </c>
      <c r="N201">
        <v>1</v>
      </c>
      <c r="O201">
        <v>1</v>
      </c>
      <c r="P201" t="str">
        <f>VLOOKUP(B201,'CHECK_DT-BT_chi_tiet'!$A:$C,3,FALSE)</f>
        <v>BV Đồng Tháp</v>
      </c>
      <c r="Q201" t="str">
        <f>VLOOKUP(A201,Sheet3!$K$11:$L$21,2,FALSE)</f>
        <v>BH Xe cơ giới</v>
      </c>
      <c r="R201" t="str">
        <f>VLOOKUP(Q201,Sheet3!$L$11:$M$21,2,FALSE)</f>
        <v>HQ1</v>
      </c>
      <c r="S201" s="26">
        <f>SUMIFS('HQ2'!$O:$O,'HQ2'!$B:$B, "="&amp;'Tong_hop_HQNV_2026Q1_2026-06-23'!Q201, 'HQ2'!$A:$A,"="&amp;'Tong_hop_HQNV_2026Q1_2026-06-23'!P201)</f>
        <v>0</v>
      </c>
      <c r="T201" s="7">
        <f t="shared" si="3"/>
        <v>0</v>
      </c>
    </row>
    <row r="202" spans="1:20" x14ac:dyDescent="0.25">
      <c r="A202" t="s">
        <v>32</v>
      </c>
      <c r="B202" s="9" t="s">
        <v>306</v>
      </c>
      <c r="C202">
        <v>0</v>
      </c>
      <c r="D202">
        <v>-38035779</v>
      </c>
      <c r="E202">
        <v>-9429352049</v>
      </c>
      <c r="F202">
        <v>15542149391</v>
      </c>
      <c r="G202">
        <v>25280543203</v>
      </c>
      <c r="H202">
        <v>12086685072</v>
      </c>
      <c r="I202">
        <v>0</v>
      </c>
      <c r="J202">
        <v>0</v>
      </c>
      <c r="K202">
        <v>15504113612</v>
      </c>
      <c r="L202">
        <v>9429352049</v>
      </c>
      <c r="M202" t="s">
        <v>15</v>
      </c>
      <c r="N202">
        <v>1</v>
      </c>
      <c r="O202">
        <v>1</v>
      </c>
      <c r="P202" t="str">
        <f>VLOOKUP(B202,'CHECK_DT-BT_chi_tiet'!$A:$C,3,FALSE)</f>
        <v>BV Đông Đô</v>
      </c>
      <c r="Q202" t="str">
        <f>VLOOKUP(A202,Sheet3!$K$11:$L$21,2,FALSE)</f>
        <v>BH Xe cơ giới</v>
      </c>
      <c r="R202" t="str">
        <f>VLOOKUP(Q202,Sheet3!$L$11:$M$21,2,FALSE)</f>
        <v>HQ1</v>
      </c>
      <c r="S202" s="26">
        <f>SUMIFS('HQ2'!$O:$O,'HQ2'!$B:$B, "="&amp;'Tong_hop_HQNV_2026Q1_2026-06-23'!Q202, 'HQ2'!$A:$A,"="&amp;'Tong_hop_HQNV_2026Q1_2026-06-23'!P202)</f>
        <v>0</v>
      </c>
      <c r="T202" s="7">
        <f t="shared" si="3"/>
        <v>0</v>
      </c>
    </row>
    <row r="203" spans="1:20" x14ac:dyDescent="0.25">
      <c r="A203" t="s">
        <v>32</v>
      </c>
      <c r="B203" s="9" t="s">
        <v>315</v>
      </c>
      <c r="C203">
        <v>0</v>
      </c>
      <c r="D203">
        <v>0</v>
      </c>
      <c r="E203">
        <v>-2549438914</v>
      </c>
      <c r="F203">
        <v>5385409801</v>
      </c>
      <c r="G203">
        <v>3195715934</v>
      </c>
      <c r="H203">
        <v>1952093171</v>
      </c>
      <c r="I203">
        <v>0</v>
      </c>
      <c r="J203">
        <v>0</v>
      </c>
      <c r="K203">
        <v>5385409801</v>
      </c>
      <c r="L203">
        <v>2549438914</v>
      </c>
      <c r="M203" t="s">
        <v>15</v>
      </c>
      <c r="N203">
        <v>1</v>
      </c>
      <c r="O203">
        <v>1</v>
      </c>
      <c r="P203" t="str">
        <f>VLOOKUP(B203,'CHECK_DT-BT_chi_tiet'!$A:$C,3,FALSE)</f>
        <v>BV Hà Tĩnh</v>
      </c>
      <c r="Q203" t="str">
        <f>VLOOKUP(A203,Sheet3!$K$11:$L$21,2,FALSE)</f>
        <v>BH Xe cơ giới</v>
      </c>
      <c r="R203" t="str">
        <f>VLOOKUP(Q203,Sheet3!$L$11:$M$21,2,FALSE)</f>
        <v>HQ1</v>
      </c>
      <c r="S203" s="26">
        <f>SUMIFS('HQ2'!$O:$O,'HQ2'!$B:$B, "="&amp;'Tong_hop_HQNV_2026Q1_2026-06-23'!Q203, 'HQ2'!$A:$A,"="&amp;'Tong_hop_HQNV_2026Q1_2026-06-23'!P203)</f>
        <v>0</v>
      </c>
      <c r="T203" s="7">
        <f t="shared" si="3"/>
        <v>0</v>
      </c>
    </row>
    <row r="204" spans="1:20" x14ac:dyDescent="0.25">
      <c r="A204" t="s">
        <v>32</v>
      </c>
      <c r="B204" s="9" t="s">
        <v>316</v>
      </c>
      <c r="C204">
        <v>0</v>
      </c>
      <c r="D204">
        <v>-27638478</v>
      </c>
      <c r="E204">
        <v>-5281708603</v>
      </c>
      <c r="F204">
        <v>5694116729</v>
      </c>
      <c r="G204">
        <v>2453418694</v>
      </c>
      <c r="H204">
        <v>1171747745</v>
      </c>
      <c r="I204">
        <v>0</v>
      </c>
      <c r="J204">
        <v>0</v>
      </c>
      <c r="K204">
        <v>5666478251</v>
      </c>
      <c r="L204">
        <v>5281708603</v>
      </c>
      <c r="M204" t="s">
        <v>15</v>
      </c>
      <c r="N204">
        <v>1</v>
      </c>
      <c r="O204">
        <v>1</v>
      </c>
      <c r="P204" t="str">
        <f>VLOOKUP(B204,'CHECK_DT-BT_chi_tiet'!$A:$C,3,FALSE)</f>
        <v>BV Hải Dương</v>
      </c>
      <c r="Q204" t="str">
        <f>VLOOKUP(A204,Sheet3!$K$11:$L$21,2,FALSE)</f>
        <v>BH Xe cơ giới</v>
      </c>
      <c r="R204" t="str">
        <f>VLOOKUP(Q204,Sheet3!$L$11:$M$21,2,FALSE)</f>
        <v>HQ1</v>
      </c>
      <c r="S204" s="26">
        <f>SUMIFS('HQ2'!$O:$O,'HQ2'!$B:$B, "="&amp;'Tong_hop_HQNV_2026Q1_2026-06-23'!Q204, 'HQ2'!$A:$A,"="&amp;'Tong_hop_HQNV_2026Q1_2026-06-23'!P204)</f>
        <v>0</v>
      </c>
      <c r="T204" s="7">
        <f t="shared" si="3"/>
        <v>0</v>
      </c>
    </row>
    <row r="205" spans="1:20" x14ac:dyDescent="0.25">
      <c r="A205" t="s">
        <v>32</v>
      </c>
      <c r="B205" s="9" t="s">
        <v>317</v>
      </c>
      <c r="C205">
        <v>0</v>
      </c>
      <c r="D205">
        <v>-6585768</v>
      </c>
      <c r="E205">
        <v>-3983628831</v>
      </c>
      <c r="F205">
        <v>6449341320</v>
      </c>
      <c r="G205">
        <v>5619987101</v>
      </c>
      <c r="H205">
        <v>1484676307</v>
      </c>
      <c r="I205">
        <v>0</v>
      </c>
      <c r="J205">
        <v>0</v>
      </c>
      <c r="K205">
        <v>6442755552</v>
      </c>
      <c r="L205">
        <v>3983628831</v>
      </c>
      <c r="M205" t="s">
        <v>15</v>
      </c>
      <c r="N205">
        <v>1</v>
      </c>
      <c r="O205">
        <v>1</v>
      </c>
      <c r="P205" t="str">
        <f>VLOOKUP(B205,'CHECK_DT-BT_chi_tiet'!$A:$C,3,FALSE)</f>
        <v>BV Hải Phòng</v>
      </c>
      <c r="Q205" t="str">
        <f>VLOOKUP(A205,Sheet3!$K$11:$L$21,2,FALSE)</f>
        <v>BH Xe cơ giới</v>
      </c>
      <c r="R205" t="str">
        <f>VLOOKUP(Q205,Sheet3!$L$11:$M$21,2,FALSE)</f>
        <v>HQ1</v>
      </c>
      <c r="S205" s="26">
        <f>SUMIFS('HQ2'!$O:$O,'HQ2'!$B:$B, "="&amp;'Tong_hop_HQNV_2026Q1_2026-06-23'!Q205, 'HQ2'!$A:$A,"="&amp;'Tong_hop_HQNV_2026Q1_2026-06-23'!P205)</f>
        <v>0</v>
      </c>
      <c r="T205" s="7">
        <f t="shared" si="3"/>
        <v>0</v>
      </c>
    </row>
    <row r="206" spans="1:20" x14ac:dyDescent="0.25">
      <c r="A206" t="s">
        <v>32</v>
      </c>
      <c r="B206" s="9" t="s">
        <v>320</v>
      </c>
      <c r="C206">
        <v>0</v>
      </c>
      <c r="D206">
        <v>-94338658</v>
      </c>
      <c r="E206">
        <v>-4765648773</v>
      </c>
      <c r="F206">
        <v>6319777169</v>
      </c>
      <c r="G206">
        <v>6767493659</v>
      </c>
      <c r="H206">
        <v>2225727123</v>
      </c>
      <c r="I206">
        <v>0</v>
      </c>
      <c r="J206">
        <v>0</v>
      </c>
      <c r="K206">
        <v>6225438511</v>
      </c>
      <c r="L206">
        <v>4765648773</v>
      </c>
      <c r="M206" t="s">
        <v>15</v>
      </c>
      <c r="N206">
        <v>1</v>
      </c>
      <c r="O206">
        <v>1</v>
      </c>
      <c r="P206" t="str">
        <f>VLOOKUP(B206,'CHECK_DT-BT_chi_tiet'!$A:$C,3,FALSE)</f>
        <v>BV Hưng Yên</v>
      </c>
      <c r="Q206" t="str">
        <f>VLOOKUP(A206,Sheet3!$K$11:$L$21,2,FALSE)</f>
        <v>BH Xe cơ giới</v>
      </c>
      <c r="R206" t="str">
        <f>VLOOKUP(Q206,Sheet3!$L$11:$M$21,2,FALSE)</f>
        <v>HQ1</v>
      </c>
      <c r="S206" s="26">
        <f>SUMIFS('HQ2'!$O:$O,'HQ2'!$B:$B, "="&amp;'Tong_hop_HQNV_2026Q1_2026-06-23'!Q206, 'HQ2'!$A:$A,"="&amp;'Tong_hop_HQNV_2026Q1_2026-06-23'!P206)</f>
        <v>0</v>
      </c>
      <c r="T206" s="7">
        <f t="shared" si="3"/>
        <v>0</v>
      </c>
    </row>
    <row r="207" spans="1:20" x14ac:dyDescent="0.25">
      <c r="A207" t="s">
        <v>32</v>
      </c>
      <c r="B207" s="9" t="s">
        <v>319</v>
      </c>
      <c r="C207">
        <v>0</v>
      </c>
      <c r="D207">
        <v>-336913</v>
      </c>
      <c r="E207">
        <v>-374107469</v>
      </c>
      <c r="F207">
        <v>2641661398</v>
      </c>
      <c r="G207">
        <v>806705513</v>
      </c>
      <c r="H207">
        <v>442888064</v>
      </c>
      <c r="I207">
        <v>0</v>
      </c>
      <c r="J207">
        <v>0</v>
      </c>
      <c r="K207">
        <v>2641324485</v>
      </c>
      <c r="L207">
        <v>374107469</v>
      </c>
      <c r="M207" t="s">
        <v>15</v>
      </c>
      <c r="N207">
        <v>1</v>
      </c>
      <c r="O207">
        <v>1</v>
      </c>
      <c r="P207" t="str">
        <f>VLOOKUP(B207,'CHECK_DT-BT_chi_tiet'!$A:$C,3,FALSE)</f>
        <v>BV Hòa Bình</v>
      </c>
      <c r="Q207" t="str">
        <f>VLOOKUP(A207,Sheet3!$K$11:$L$21,2,FALSE)</f>
        <v>BH Xe cơ giới</v>
      </c>
      <c r="R207" t="str">
        <f>VLOOKUP(Q207,Sheet3!$L$11:$M$21,2,FALSE)</f>
        <v>HQ1</v>
      </c>
      <c r="S207" s="26">
        <f>SUMIFS('HQ2'!$O:$O,'HQ2'!$B:$B, "="&amp;'Tong_hop_HQNV_2026Q1_2026-06-23'!Q207, 'HQ2'!$A:$A,"="&amp;'Tong_hop_HQNV_2026Q1_2026-06-23'!P207)</f>
        <v>0</v>
      </c>
      <c r="T207" s="7">
        <f t="shared" si="3"/>
        <v>0</v>
      </c>
    </row>
    <row r="208" spans="1:20" x14ac:dyDescent="0.25">
      <c r="A208" t="s">
        <v>32</v>
      </c>
      <c r="B208" s="9" t="s">
        <v>321</v>
      </c>
      <c r="C208">
        <v>0</v>
      </c>
      <c r="D208">
        <v>-50095610</v>
      </c>
      <c r="E208">
        <v>-9033901695</v>
      </c>
      <c r="F208">
        <v>12988750577</v>
      </c>
      <c r="G208">
        <v>56131047372</v>
      </c>
      <c r="H208">
        <v>5682082445</v>
      </c>
      <c r="I208">
        <v>0</v>
      </c>
      <c r="J208">
        <v>0</v>
      </c>
      <c r="K208">
        <v>12938654967</v>
      </c>
      <c r="L208">
        <v>9033901695</v>
      </c>
      <c r="M208" t="s">
        <v>15</v>
      </c>
      <c r="N208">
        <v>1</v>
      </c>
      <c r="O208">
        <v>1</v>
      </c>
      <c r="P208" t="str">
        <f>VLOOKUP(B208,'CHECK_DT-BT_chi_tiet'!$A:$C,3,FALSE)</f>
        <v>BV Khánh Hòa</v>
      </c>
      <c r="Q208" t="str">
        <f>VLOOKUP(A208,Sheet3!$K$11:$L$21,2,FALSE)</f>
        <v>BH Xe cơ giới</v>
      </c>
      <c r="R208" t="str">
        <f>VLOOKUP(Q208,Sheet3!$L$11:$M$21,2,FALSE)</f>
        <v>HQ1</v>
      </c>
      <c r="S208" s="26">
        <f>SUMIFS('HQ2'!$O:$O,'HQ2'!$B:$B, "="&amp;'Tong_hop_HQNV_2026Q1_2026-06-23'!Q208, 'HQ2'!$A:$A,"="&amp;'Tong_hop_HQNV_2026Q1_2026-06-23'!P208)</f>
        <v>0</v>
      </c>
      <c r="T208" s="7">
        <f t="shared" si="3"/>
        <v>0</v>
      </c>
    </row>
    <row r="209" spans="1:20" x14ac:dyDescent="0.25">
      <c r="A209" t="s">
        <v>32</v>
      </c>
      <c r="B209" s="9" t="s">
        <v>322</v>
      </c>
      <c r="C209">
        <v>0</v>
      </c>
      <c r="D209">
        <v>-14862423</v>
      </c>
      <c r="E209">
        <v>-6173714734</v>
      </c>
      <c r="F209">
        <v>10518250848</v>
      </c>
      <c r="G209">
        <v>4602816290</v>
      </c>
      <c r="H209">
        <v>3316600092</v>
      </c>
      <c r="I209">
        <v>0</v>
      </c>
      <c r="J209">
        <v>0</v>
      </c>
      <c r="K209">
        <v>10503388425</v>
      </c>
      <c r="L209">
        <v>6173714734</v>
      </c>
      <c r="M209" t="s">
        <v>15</v>
      </c>
      <c r="N209">
        <v>1</v>
      </c>
      <c r="O209">
        <v>1</v>
      </c>
      <c r="P209" t="str">
        <f>VLOOKUP(B209,'CHECK_DT-BT_chi_tiet'!$A:$C,3,FALSE)</f>
        <v>BV Kiên Giang</v>
      </c>
      <c r="Q209" t="str">
        <f>VLOOKUP(A209,Sheet3!$K$11:$L$21,2,FALSE)</f>
        <v>BH Xe cơ giới</v>
      </c>
      <c r="R209" t="str">
        <f>VLOOKUP(Q209,Sheet3!$L$11:$M$21,2,FALSE)</f>
        <v>HQ1</v>
      </c>
      <c r="S209" s="26">
        <f>SUMIFS('HQ2'!$O:$O,'HQ2'!$B:$B, "="&amp;'Tong_hop_HQNV_2026Q1_2026-06-23'!Q209, 'HQ2'!$A:$A,"="&amp;'Tong_hop_HQNV_2026Q1_2026-06-23'!P209)</f>
        <v>0</v>
      </c>
      <c r="T209" s="7">
        <f t="shared" si="3"/>
        <v>0</v>
      </c>
    </row>
    <row r="210" spans="1:20" x14ac:dyDescent="0.25">
      <c r="A210" t="s">
        <v>32</v>
      </c>
      <c r="B210" s="9" t="s">
        <v>323</v>
      </c>
      <c r="C210">
        <v>0</v>
      </c>
      <c r="D210">
        <v>-12111144</v>
      </c>
      <c r="E210">
        <v>-1344542110</v>
      </c>
      <c r="F210">
        <v>4115098312</v>
      </c>
      <c r="G210">
        <v>4845434996</v>
      </c>
      <c r="H210">
        <v>2608679153</v>
      </c>
      <c r="I210">
        <v>0</v>
      </c>
      <c r="J210">
        <v>0</v>
      </c>
      <c r="K210">
        <v>4102987168</v>
      </c>
      <c r="L210">
        <v>1344542110</v>
      </c>
      <c r="M210" t="s">
        <v>15</v>
      </c>
      <c r="N210">
        <v>1</v>
      </c>
      <c r="O210">
        <v>1</v>
      </c>
      <c r="P210" t="str">
        <f>VLOOKUP(B210,'CHECK_DT-BT_chi_tiet'!$A:$C,3,FALSE)</f>
        <v>BV Kon Tum</v>
      </c>
      <c r="Q210" t="str">
        <f>VLOOKUP(A210,Sheet3!$K$11:$L$21,2,FALSE)</f>
        <v>BH Xe cơ giới</v>
      </c>
      <c r="R210" t="str">
        <f>VLOOKUP(Q210,Sheet3!$L$11:$M$21,2,FALSE)</f>
        <v>HQ1</v>
      </c>
      <c r="S210" s="26">
        <f>SUMIFS('HQ2'!$O:$O,'HQ2'!$B:$B, "="&amp;'Tong_hop_HQNV_2026Q1_2026-06-23'!Q210, 'HQ2'!$A:$A,"="&amp;'Tong_hop_HQNV_2026Q1_2026-06-23'!P210)</f>
        <v>0</v>
      </c>
      <c r="T210" s="7">
        <f t="shared" si="3"/>
        <v>0</v>
      </c>
    </row>
    <row r="211" spans="1:20" x14ac:dyDescent="0.25">
      <c r="A211" t="s">
        <v>32</v>
      </c>
      <c r="B211" s="9" t="s">
        <v>325</v>
      </c>
      <c r="C211">
        <v>0</v>
      </c>
      <c r="D211">
        <v>-8320455</v>
      </c>
      <c r="E211">
        <v>-3365163253</v>
      </c>
      <c r="F211">
        <v>10334616095</v>
      </c>
      <c r="G211">
        <v>8383732388</v>
      </c>
      <c r="H211">
        <v>3522927444</v>
      </c>
      <c r="I211">
        <v>0</v>
      </c>
      <c r="J211">
        <v>0</v>
      </c>
      <c r="K211">
        <v>10326295640</v>
      </c>
      <c r="L211">
        <v>3365163253</v>
      </c>
      <c r="M211" t="s">
        <v>15</v>
      </c>
      <c r="N211">
        <v>1</v>
      </c>
      <c r="O211">
        <v>1</v>
      </c>
      <c r="P211" t="str">
        <f>VLOOKUP(B211,'CHECK_DT-BT_chi_tiet'!$A:$C,3,FALSE)</f>
        <v>BV Lâm Đồng</v>
      </c>
      <c r="Q211" t="str">
        <f>VLOOKUP(A211,Sheet3!$K$11:$L$21,2,FALSE)</f>
        <v>BH Xe cơ giới</v>
      </c>
      <c r="R211" t="str">
        <f>VLOOKUP(Q211,Sheet3!$L$11:$M$21,2,FALSE)</f>
        <v>HQ1</v>
      </c>
      <c r="S211" s="26">
        <f>SUMIFS('HQ2'!$O:$O,'HQ2'!$B:$B, "="&amp;'Tong_hop_HQNV_2026Q1_2026-06-23'!Q211, 'HQ2'!$A:$A,"="&amp;'Tong_hop_HQNV_2026Q1_2026-06-23'!P211)</f>
        <v>0</v>
      </c>
      <c r="T211" s="7">
        <f t="shared" si="3"/>
        <v>0</v>
      </c>
    </row>
    <row r="212" spans="1:20" x14ac:dyDescent="0.25">
      <c r="A212" t="s">
        <v>32</v>
      </c>
      <c r="B212" s="9" t="s">
        <v>327</v>
      </c>
      <c r="C212">
        <v>0</v>
      </c>
      <c r="D212">
        <v>301193</v>
      </c>
      <c r="E212">
        <v>-582647193</v>
      </c>
      <c r="F212">
        <v>3035641202</v>
      </c>
      <c r="G212">
        <v>1730458501</v>
      </c>
      <c r="H212">
        <v>63742460</v>
      </c>
      <c r="I212">
        <v>0</v>
      </c>
      <c r="J212">
        <v>0</v>
      </c>
      <c r="K212">
        <v>3035942395</v>
      </c>
      <c r="L212">
        <v>582647193</v>
      </c>
      <c r="M212" t="s">
        <v>15</v>
      </c>
      <c r="N212">
        <v>1</v>
      </c>
      <c r="O212">
        <v>1</v>
      </c>
      <c r="P212" t="str">
        <f>VLOOKUP(B212,'CHECK_DT-BT_chi_tiet'!$A:$C,3,FALSE)</f>
        <v>BV Lào Cai</v>
      </c>
      <c r="Q212" t="str">
        <f>VLOOKUP(A212,Sheet3!$K$11:$L$21,2,FALSE)</f>
        <v>BH Xe cơ giới</v>
      </c>
      <c r="R212" t="str">
        <f>VLOOKUP(Q212,Sheet3!$L$11:$M$21,2,FALSE)</f>
        <v>HQ1</v>
      </c>
      <c r="S212" s="26">
        <f>SUMIFS('HQ2'!$O:$O,'HQ2'!$B:$B, "="&amp;'Tong_hop_HQNV_2026Q1_2026-06-23'!Q212, 'HQ2'!$A:$A,"="&amp;'Tong_hop_HQNV_2026Q1_2026-06-23'!P212)</f>
        <v>0</v>
      </c>
      <c r="T212" s="7">
        <f t="shared" si="3"/>
        <v>0</v>
      </c>
    </row>
    <row r="213" spans="1:20" x14ac:dyDescent="0.25">
      <c r="A213" t="s">
        <v>32</v>
      </c>
      <c r="B213" s="9" t="s">
        <v>326</v>
      </c>
      <c r="C213">
        <v>0</v>
      </c>
      <c r="D213">
        <v>-192759</v>
      </c>
      <c r="E213">
        <v>-339776080</v>
      </c>
      <c r="F213">
        <v>2495896089</v>
      </c>
      <c r="G213">
        <v>1222070192</v>
      </c>
      <c r="H213">
        <v>632298049</v>
      </c>
      <c r="I213">
        <v>0</v>
      </c>
      <c r="J213">
        <v>0</v>
      </c>
      <c r="K213">
        <v>2495703330</v>
      </c>
      <c r="L213">
        <v>339776080</v>
      </c>
      <c r="M213" t="s">
        <v>15</v>
      </c>
      <c r="N213">
        <v>1</v>
      </c>
      <c r="O213">
        <v>1</v>
      </c>
      <c r="P213" t="str">
        <f>VLOOKUP(B213,'CHECK_DT-BT_chi_tiet'!$A:$C,3,FALSE)</f>
        <v>BV Lạng Sơn</v>
      </c>
      <c r="Q213" t="str">
        <f>VLOOKUP(A213,Sheet3!$K$11:$L$21,2,FALSE)</f>
        <v>BH Xe cơ giới</v>
      </c>
      <c r="R213" t="str">
        <f>VLOOKUP(Q213,Sheet3!$L$11:$M$21,2,FALSE)</f>
        <v>HQ1</v>
      </c>
      <c r="S213" s="26">
        <f>SUMIFS('HQ2'!$O:$O,'HQ2'!$B:$B, "="&amp;'Tong_hop_HQNV_2026Q1_2026-06-23'!Q213, 'HQ2'!$A:$A,"="&amp;'Tong_hop_HQNV_2026Q1_2026-06-23'!P213)</f>
        <v>0</v>
      </c>
      <c r="T213" s="7">
        <f t="shared" si="3"/>
        <v>0</v>
      </c>
    </row>
    <row r="214" spans="1:20" x14ac:dyDescent="0.25">
      <c r="A214" t="s">
        <v>32</v>
      </c>
      <c r="B214" s="9" t="s">
        <v>303</v>
      </c>
      <c r="C214">
        <v>0</v>
      </c>
      <c r="D214">
        <v>-9411212</v>
      </c>
      <c r="E214">
        <v>-1879771136</v>
      </c>
      <c r="F214">
        <v>5245042582</v>
      </c>
      <c r="G214">
        <v>3280243249</v>
      </c>
      <c r="H214">
        <v>1748593805</v>
      </c>
      <c r="I214">
        <v>0</v>
      </c>
      <c r="J214">
        <v>0</v>
      </c>
      <c r="K214">
        <v>5235631370</v>
      </c>
      <c r="L214">
        <v>1879771136</v>
      </c>
      <c r="M214" t="s">
        <v>15</v>
      </c>
      <c r="N214">
        <v>1</v>
      </c>
      <c r="O214">
        <v>1</v>
      </c>
      <c r="P214" t="str">
        <f>VLOOKUP(B214,'CHECK_DT-BT_chi_tiet'!$A:$C,3,FALSE)</f>
        <v>BV Điện Biên</v>
      </c>
      <c r="Q214" t="str">
        <f>VLOOKUP(A214,Sheet3!$K$11:$L$21,2,FALSE)</f>
        <v>BH Xe cơ giới</v>
      </c>
      <c r="R214" t="str">
        <f>VLOOKUP(Q214,Sheet3!$L$11:$M$21,2,FALSE)</f>
        <v>HQ1</v>
      </c>
      <c r="S214" s="26">
        <f>SUMIFS('HQ2'!$O:$O,'HQ2'!$B:$B, "="&amp;'Tong_hop_HQNV_2026Q1_2026-06-23'!Q214, 'HQ2'!$A:$A,"="&amp;'Tong_hop_HQNV_2026Q1_2026-06-23'!P214)</f>
        <v>0</v>
      </c>
      <c r="T214" s="7">
        <f t="shared" si="3"/>
        <v>0</v>
      </c>
    </row>
    <row r="215" spans="1:20" x14ac:dyDescent="0.25">
      <c r="A215" t="s">
        <v>32</v>
      </c>
      <c r="B215" s="9" t="s">
        <v>328</v>
      </c>
      <c r="C215">
        <v>0</v>
      </c>
      <c r="D215">
        <v>-25183954</v>
      </c>
      <c r="E215">
        <v>-478943618</v>
      </c>
      <c r="F215">
        <v>3915190776</v>
      </c>
      <c r="G215">
        <v>1142666103</v>
      </c>
      <c r="H215">
        <v>445835947</v>
      </c>
      <c r="I215">
        <v>0</v>
      </c>
      <c r="J215">
        <v>0</v>
      </c>
      <c r="K215">
        <v>3890006822</v>
      </c>
      <c r="L215">
        <v>478943618</v>
      </c>
      <c r="M215" t="s">
        <v>15</v>
      </c>
      <c r="N215">
        <v>1</v>
      </c>
      <c r="O215">
        <v>1</v>
      </c>
      <c r="P215" t="str">
        <f>VLOOKUP(B215,'CHECK_DT-BT_chi_tiet'!$A:$C,3,FALSE)</f>
        <v>BV Long An</v>
      </c>
      <c r="Q215" t="str">
        <f>VLOOKUP(A215,Sheet3!$K$11:$L$21,2,FALSE)</f>
        <v>BH Xe cơ giới</v>
      </c>
      <c r="R215" t="str">
        <f>VLOOKUP(Q215,Sheet3!$L$11:$M$21,2,FALSE)</f>
        <v>HQ1</v>
      </c>
      <c r="S215" s="26">
        <f>SUMIFS('HQ2'!$O:$O,'HQ2'!$B:$B, "="&amp;'Tong_hop_HQNV_2026Q1_2026-06-23'!Q215, 'HQ2'!$A:$A,"="&amp;'Tong_hop_HQNV_2026Q1_2026-06-23'!P215)</f>
        <v>0</v>
      </c>
      <c r="T215" s="7">
        <f t="shared" si="3"/>
        <v>0</v>
      </c>
    </row>
    <row r="216" spans="1:20" x14ac:dyDescent="0.25">
      <c r="A216" t="s">
        <v>32</v>
      </c>
      <c r="B216" s="9" t="s">
        <v>332</v>
      </c>
      <c r="C216">
        <v>0</v>
      </c>
      <c r="D216">
        <v>-23038228</v>
      </c>
      <c r="E216">
        <v>-829254747</v>
      </c>
      <c r="F216">
        <v>1246513935</v>
      </c>
      <c r="G216">
        <v>627420827</v>
      </c>
      <c r="H216">
        <v>165193924</v>
      </c>
      <c r="I216">
        <v>0</v>
      </c>
      <c r="J216">
        <v>0</v>
      </c>
      <c r="K216">
        <v>1223475707</v>
      </c>
      <c r="L216">
        <v>829254747</v>
      </c>
      <c r="M216" t="s">
        <v>15</v>
      </c>
      <c r="N216">
        <v>1</v>
      </c>
      <c r="O216">
        <v>1</v>
      </c>
      <c r="P216" t="str">
        <f>VLOOKUP(B216,'CHECK_DT-BT_chi_tiet'!$A:$C,3,FALSE)</f>
        <v>BV Nam Định</v>
      </c>
      <c r="Q216" t="str">
        <f>VLOOKUP(A216,Sheet3!$K$11:$L$21,2,FALSE)</f>
        <v>BH Xe cơ giới</v>
      </c>
      <c r="R216" t="str">
        <f>VLOOKUP(Q216,Sheet3!$L$11:$M$21,2,FALSE)</f>
        <v>HQ1</v>
      </c>
      <c r="S216" s="26">
        <f>SUMIFS('HQ2'!$O:$O,'HQ2'!$B:$B, "="&amp;'Tong_hop_HQNV_2026Q1_2026-06-23'!Q216, 'HQ2'!$A:$A,"="&amp;'Tong_hop_HQNV_2026Q1_2026-06-23'!P216)</f>
        <v>0</v>
      </c>
      <c r="T216" s="7">
        <f t="shared" si="3"/>
        <v>0</v>
      </c>
    </row>
    <row r="217" spans="1:20" x14ac:dyDescent="0.25">
      <c r="A217" t="s">
        <v>32</v>
      </c>
      <c r="B217" s="9" t="s">
        <v>333</v>
      </c>
      <c r="C217">
        <v>0</v>
      </c>
      <c r="D217">
        <v>-17805000</v>
      </c>
      <c r="E217">
        <v>-4363270171</v>
      </c>
      <c r="F217">
        <v>10872066928</v>
      </c>
      <c r="G217">
        <v>7143442463</v>
      </c>
      <c r="H217">
        <v>4405831509</v>
      </c>
      <c r="I217">
        <v>0</v>
      </c>
      <c r="J217">
        <v>0</v>
      </c>
      <c r="K217">
        <v>10854261928</v>
      </c>
      <c r="L217">
        <v>4363270171</v>
      </c>
      <c r="M217" t="s">
        <v>15</v>
      </c>
      <c r="N217">
        <v>1</v>
      </c>
      <c r="O217">
        <v>1</v>
      </c>
      <c r="P217" t="str">
        <f>VLOOKUP(B217,'CHECK_DT-BT_chi_tiet'!$A:$C,3,FALSE)</f>
        <v>BV Nghệ An</v>
      </c>
      <c r="Q217" t="str">
        <f>VLOOKUP(A217,Sheet3!$K$11:$L$21,2,FALSE)</f>
        <v>BH Xe cơ giới</v>
      </c>
      <c r="R217" t="str">
        <f>VLOOKUP(Q217,Sheet3!$L$11:$M$21,2,FALSE)</f>
        <v>HQ1</v>
      </c>
      <c r="S217" s="26">
        <f>SUMIFS('HQ2'!$O:$O,'HQ2'!$B:$B, "="&amp;'Tong_hop_HQNV_2026Q1_2026-06-23'!Q217, 'HQ2'!$A:$A,"="&amp;'Tong_hop_HQNV_2026Q1_2026-06-23'!P217)</f>
        <v>0</v>
      </c>
      <c r="T217" s="7">
        <f t="shared" si="3"/>
        <v>0</v>
      </c>
    </row>
    <row r="218" spans="1:20" x14ac:dyDescent="0.25">
      <c r="A218" t="s">
        <v>32</v>
      </c>
      <c r="B218" s="9" t="s">
        <v>334</v>
      </c>
      <c r="C218">
        <v>0</v>
      </c>
      <c r="D218">
        <v>-8816662</v>
      </c>
      <c r="E218">
        <v>-508713643</v>
      </c>
      <c r="F218">
        <v>1991883691</v>
      </c>
      <c r="G218">
        <v>1205634487</v>
      </c>
      <c r="H218">
        <v>1120045446</v>
      </c>
      <c r="I218">
        <v>0</v>
      </c>
      <c r="J218">
        <v>0</v>
      </c>
      <c r="K218">
        <v>1983067029</v>
      </c>
      <c r="L218">
        <v>508713643</v>
      </c>
      <c r="M218" t="s">
        <v>15</v>
      </c>
      <c r="N218">
        <v>1</v>
      </c>
      <c r="O218">
        <v>1</v>
      </c>
      <c r="P218" t="str">
        <f>VLOOKUP(B218,'CHECK_DT-BT_chi_tiet'!$A:$C,3,FALSE)</f>
        <v>BV Ninh Bình</v>
      </c>
      <c r="Q218" t="str">
        <f>VLOOKUP(A218,Sheet3!$K$11:$L$21,2,FALSE)</f>
        <v>BH Xe cơ giới</v>
      </c>
      <c r="R218" t="str">
        <f>VLOOKUP(Q218,Sheet3!$L$11:$M$21,2,FALSE)</f>
        <v>HQ1</v>
      </c>
      <c r="S218" s="26">
        <f>SUMIFS('HQ2'!$O:$O,'HQ2'!$B:$B, "="&amp;'Tong_hop_HQNV_2026Q1_2026-06-23'!Q218, 'HQ2'!$A:$A,"="&amp;'Tong_hop_HQNV_2026Q1_2026-06-23'!P218)</f>
        <v>0</v>
      </c>
      <c r="T218" s="7">
        <f t="shared" si="3"/>
        <v>0</v>
      </c>
    </row>
    <row r="219" spans="1:20" x14ac:dyDescent="0.25">
      <c r="A219" t="s">
        <v>32</v>
      </c>
      <c r="B219" s="9" t="s">
        <v>335</v>
      </c>
      <c r="C219">
        <v>0</v>
      </c>
      <c r="D219">
        <v>-6411824</v>
      </c>
      <c r="E219">
        <v>-723443730</v>
      </c>
      <c r="F219">
        <v>1574775296</v>
      </c>
      <c r="G219">
        <v>1330551767</v>
      </c>
      <c r="H219">
        <v>483808630</v>
      </c>
      <c r="I219">
        <v>0</v>
      </c>
      <c r="J219">
        <v>0</v>
      </c>
      <c r="K219">
        <v>1568363472</v>
      </c>
      <c r="L219">
        <v>723443730</v>
      </c>
      <c r="M219" t="s">
        <v>15</v>
      </c>
      <c r="N219">
        <v>1</v>
      </c>
      <c r="O219">
        <v>1</v>
      </c>
      <c r="P219" t="str">
        <f>VLOOKUP(B219,'CHECK_DT-BT_chi_tiet'!$A:$C,3,FALSE)</f>
        <v>BV Ninh Thuận</v>
      </c>
      <c r="Q219" t="str">
        <f>VLOOKUP(A219,Sheet3!$K$11:$L$21,2,FALSE)</f>
        <v>BH Xe cơ giới</v>
      </c>
      <c r="R219" t="str">
        <f>VLOOKUP(Q219,Sheet3!$L$11:$M$21,2,FALSE)</f>
        <v>HQ1</v>
      </c>
      <c r="S219" s="26">
        <f>SUMIFS('HQ2'!$O:$O,'HQ2'!$B:$B, "="&amp;'Tong_hop_HQNV_2026Q1_2026-06-23'!Q219, 'HQ2'!$A:$A,"="&amp;'Tong_hop_HQNV_2026Q1_2026-06-23'!P219)</f>
        <v>0</v>
      </c>
      <c r="T219" s="7">
        <f t="shared" si="3"/>
        <v>0</v>
      </c>
    </row>
    <row r="220" spans="1:20" x14ac:dyDescent="0.25">
      <c r="A220" t="s">
        <v>32</v>
      </c>
      <c r="B220" s="9" t="s">
        <v>338</v>
      </c>
      <c r="C220">
        <v>0</v>
      </c>
      <c r="D220">
        <v>0</v>
      </c>
      <c r="E220">
        <v>-1063671334</v>
      </c>
      <c r="F220">
        <v>4673201641</v>
      </c>
      <c r="G220">
        <v>2461969560</v>
      </c>
      <c r="H220">
        <v>1098586152</v>
      </c>
      <c r="I220">
        <v>0</v>
      </c>
      <c r="J220">
        <v>0</v>
      </c>
      <c r="K220">
        <v>4673201641</v>
      </c>
      <c r="L220">
        <v>1063671334</v>
      </c>
      <c r="M220" t="s">
        <v>15</v>
      </c>
      <c r="N220">
        <v>1</v>
      </c>
      <c r="O220">
        <v>1</v>
      </c>
      <c r="P220" t="str">
        <f>VLOOKUP(B220,'CHECK_DT-BT_chi_tiet'!$A:$C,3,FALSE)</f>
        <v>BV Phú Thọ</v>
      </c>
      <c r="Q220" t="str">
        <f>VLOOKUP(A220,Sheet3!$K$11:$L$21,2,FALSE)</f>
        <v>BH Xe cơ giới</v>
      </c>
      <c r="R220" t="str">
        <f>VLOOKUP(Q220,Sheet3!$L$11:$M$21,2,FALSE)</f>
        <v>HQ1</v>
      </c>
      <c r="S220" s="26">
        <f>SUMIFS('HQ2'!$O:$O,'HQ2'!$B:$B, "="&amp;'Tong_hop_HQNV_2026Q1_2026-06-23'!Q220, 'HQ2'!$A:$A,"="&amp;'Tong_hop_HQNV_2026Q1_2026-06-23'!P220)</f>
        <v>0</v>
      </c>
      <c r="T220" s="7">
        <f t="shared" si="3"/>
        <v>0</v>
      </c>
    </row>
    <row r="221" spans="1:20" x14ac:dyDescent="0.25">
      <c r="A221" t="s">
        <v>32</v>
      </c>
      <c r="B221" s="9" t="s">
        <v>339</v>
      </c>
      <c r="C221">
        <v>0</v>
      </c>
      <c r="D221">
        <v>0</v>
      </c>
      <c r="E221">
        <v>-744227252</v>
      </c>
      <c r="F221">
        <v>2604220319</v>
      </c>
      <c r="G221">
        <v>7536305865</v>
      </c>
      <c r="H221">
        <v>1124675837</v>
      </c>
      <c r="I221">
        <v>0</v>
      </c>
      <c r="J221">
        <v>0</v>
      </c>
      <c r="K221">
        <v>2604220319</v>
      </c>
      <c r="L221">
        <v>744227252</v>
      </c>
      <c r="M221" t="s">
        <v>15</v>
      </c>
      <c r="N221">
        <v>1</v>
      </c>
      <c r="O221">
        <v>1</v>
      </c>
      <c r="P221" t="str">
        <f>VLOOKUP(B221,'CHECK_DT-BT_chi_tiet'!$A:$C,3,FALSE)</f>
        <v>BV Phú Yên</v>
      </c>
      <c r="Q221" t="str">
        <f>VLOOKUP(A221,Sheet3!$K$11:$L$21,2,FALSE)</f>
        <v>BH Xe cơ giới</v>
      </c>
      <c r="R221" t="str">
        <f>VLOOKUP(Q221,Sheet3!$L$11:$M$21,2,FALSE)</f>
        <v>HQ1</v>
      </c>
      <c r="S221" s="26">
        <f>SUMIFS('HQ2'!$O:$O,'HQ2'!$B:$B, "="&amp;'Tong_hop_HQNV_2026Q1_2026-06-23'!Q221, 'HQ2'!$A:$A,"="&amp;'Tong_hop_HQNV_2026Q1_2026-06-23'!P221)</f>
        <v>0</v>
      </c>
      <c r="T221" s="7">
        <f t="shared" si="3"/>
        <v>0</v>
      </c>
    </row>
    <row r="222" spans="1:20" x14ac:dyDescent="0.25">
      <c r="A222" t="s">
        <v>32</v>
      </c>
      <c r="B222" s="9" t="s">
        <v>341</v>
      </c>
      <c r="C222">
        <v>0</v>
      </c>
      <c r="D222">
        <v>-7532823</v>
      </c>
      <c r="E222">
        <v>-3122476776</v>
      </c>
      <c r="F222">
        <v>4621264713</v>
      </c>
      <c r="G222">
        <v>3719908438</v>
      </c>
      <c r="H222">
        <v>2005226405</v>
      </c>
      <c r="I222">
        <v>0</v>
      </c>
      <c r="J222">
        <v>0</v>
      </c>
      <c r="K222">
        <v>4613731890</v>
      </c>
      <c r="L222">
        <v>3122476776</v>
      </c>
      <c r="M222" t="s">
        <v>15</v>
      </c>
      <c r="N222">
        <v>1</v>
      </c>
      <c r="O222">
        <v>1</v>
      </c>
      <c r="P222" t="str">
        <f>VLOOKUP(B222,'CHECK_DT-BT_chi_tiet'!$A:$C,3,FALSE)</f>
        <v>BV Quảng Nam</v>
      </c>
      <c r="Q222" t="str">
        <f>VLOOKUP(A222,Sheet3!$K$11:$L$21,2,FALSE)</f>
        <v>BH Xe cơ giới</v>
      </c>
      <c r="R222" t="str">
        <f>VLOOKUP(Q222,Sheet3!$L$11:$M$21,2,FALSE)</f>
        <v>HQ1</v>
      </c>
      <c r="S222" s="26">
        <f>SUMIFS('HQ2'!$O:$O,'HQ2'!$B:$B, "="&amp;'Tong_hop_HQNV_2026Q1_2026-06-23'!Q222, 'HQ2'!$A:$A,"="&amp;'Tong_hop_HQNV_2026Q1_2026-06-23'!P222)</f>
        <v>0</v>
      </c>
      <c r="T222" s="7">
        <f t="shared" si="3"/>
        <v>0</v>
      </c>
    </row>
    <row r="223" spans="1:20" x14ac:dyDescent="0.25">
      <c r="A223" t="s">
        <v>32</v>
      </c>
      <c r="B223" s="9" t="s">
        <v>342</v>
      </c>
      <c r="C223">
        <v>0</v>
      </c>
      <c r="D223">
        <v>-6836674</v>
      </c>
      <c r="E223">
        <v>-1074966138</v>
      </c>
      <c r="F223">
        <v>2870677728</v>
      </c>
      <c r="G223">
        <v>2807801059</v>
      </c>
      <c r="H223">
        <v>879340251</v>
      </c>
      <c r="I223">
        <v>0</v>
      </c>
      <c r="J223">
        <v>0</v>
      </c>
      <c r="K223">
        <v>2863841054</v>
      </c>
      <c r="L223">
        <v>1074966138</v>
      </c>
      <c r="M223" t="s">
        <v>15</v>
      </c>
      <c r="N223">
        <v>1</v>
      </c>
      <c r="O223">
        <v>1</v>
      </c>
      <c r="P223" t="str">
        <f>VLOOKUP(B223,'CHECK_DT-BT_chi_tiet'!$A:$C,3,FALSE)</f>
        <v>BV Quảng Ngãi</v>
      </c>
      <c r="Q223" t="str">
        <f>VLOOKUP(A223,Sheet3!$K$11:$L$21,2,FALSE)</f>
        <v>BH Xe cơ giới</v>
      </c>
      <c r="R223" t="str">
        <f>VLOOKUP(Q223,Sheet3!$L$11:$M$21,2,FALSE)</f>
        <v>HQ1</v>
      </c>
      <c r="S223" s="26">
        <f>SUMIFS('HQ2'!$O:$O,'HQ2'!$B:$B, "="&amp;'Tong_hop_HQNV_2026Q1_2026-06-23'!Q223, 'HQ2'!$A:$A,"="&amp;'Tong_hop_HQNV_2026Q1_2026-06-23'!P223)</f>
        <v>0</v>
      </c>
      <c r="T223" s="7">
        <f t="shared" si="3"/>
        <v>0</v>
      </c>
    </row>
    <row r="224" spans="1:20" x14ac:dyDescent="0.25">
      <c r="A224" t="s">
        <v>32</v>
      </c>
      <c r="B224" s="9" t="s">
        <v>343</v>
      </c>
      <c r="C224">
        <v>0</v>
      </c>
      <c r="D224">
        <v>-15202511</v>
      </c>
      <c r="E224">
        <v>-4480035721</v>
      </c>
      <c r="F224">
        <v>7995833331</v>
      </c>
      <c r="G224">
        <v>5507280819</v>
      </c>
      <c r="H224">
        <v>3210665274</v>
      </c>
      <c r="I224">
        <v>0</v>
      </c>
      <c r="J224">
        <v>0</v>
      </c>
      <c r="K224">
        <v>7980630820</v>
      </c>
      <c r="L224">
        <v>4480035721</v>
      </c>
      <c r="M224" t="s">
        <v>15</v>
      </c>
      <c r="N224">
        <v>1</v>
      </c>
      <c r="O224">
        <v>1</v>
      </c>
      <c r="P224" t="str">
        <f>VLOOKUP(B224,'CHECK_DT-BT_chi_tiet'!$A:$C,3,FALSE)</f>
        <v>BV Quảng Ninh</v>
      </c>
      <c r="Q224" t="str">
        <f>VLOOKUP(A224,Sheet3!$K$11:$L$21,2,FALSE)</f>
        <v>BH Xe cơ giới</v>
      </c>
      <c r="R224" t="str">
        <f>VLOOKUP(Q224,Sheet3!$L$11:$M$21,2,FALSE)</f>
        <v>HQ1</v>
      </c>
      <c r="S224" s="26">
        <f>SUMIFS('HQ2'!$O:$O,'HQ2'!$B:$B, "="&amp;'Tong_hop_HQNV_2026Q1_2026-06-23'!Q224, 'HQ2'!$A:$A,"="&amp;'Tong_hop_HQNV_2026Q1_2026-06-23'!P224)</f>
        <v>0</v>
      </c>
      <c r="T224" s="7">
        <f t="shared" si="3"/>
        <v>0</v>
      </c>
    </row>
    <row r="225" spans="1:20" x14ac:dyDescent="0.25">
      <c r="A225" t="s">
        <v>32</v>
      </c>
      <c r="B225" s="9" t="s">
        <v>347</v>
      </c>
      <c r="C225">
        <v>0</v>
      </c>
      <c r="D225">
        <v>-20817816</v>
      </c>
      <c r="E225">
        <v>-1316512794</v>
      </c>
      <c r="F225">
        <v>6589272183</v>
      </c>
      <c r="G225">
        <v>4843323193</v>
      </c>
      <c r="H225">
        <v>2767344323</v>
      </c>
      <c r="I225">
        <v>0</v>
      </c>
      <c r="J225">
        <v>0</v>
      </c>
      <c r="K225">
        <v>6568454367</v>
      </c>
      <c r="L225">
        <v>1316512794</v>
      </c>
      <c r="M225" t="s">
        <v>15</v>
      </c>
      <c r="N225">
        <v>1</v>
      </c>
      <c r="O225">
        <v>1</v>
      </c>
      <c r="P225" t="str">
        <f>VLOOKUP(B225,'CHECK_DT-BT_chi_tiet'!$A:$C,3,FALSE)</f>
        <v>BV Sơn La</v>
      </c>
      <c r="Q225" t="str">
        <f>VLOOKUP(A225,Sheet3!$K$11:$L$21,2,FALSE)</f>
        <v>BH Xe cơ giới</v>
      </c>
      <c r="R225" t="str">
        <f>VLOOKUP(Q225,Sheet3!$L$11:$M$21,2,FALSE)</f>
        <v>HQ1</v>
      </c>
      <c r="S225" s="26">
        <f>SUMIFS('HQ2'!$O:$O,'HQ2'!$B:$B, "="&amp;'Tong_hop_HQNV_2026Q1_2026-06-23'!Q225, 'HQ2'!$A:$A,"="&amp;'Tong_hop_HQNV_2026Q1_2026-06-23'!P225)</f>
        <v>0</v>
      </c>
      <c r="T225" s="7">
        <f t="shared" si="3"/>
        <v>0</v>
      </c>
    </row>
    <row r="226" spans="1:20" x14ac:dyDescent="0.25">
      <c r="A226" t="s">
        <v>32</v>
      </c>
      <c r="B226" s="9" t="s">
        <v>346</v>
      </c>
      <c r="C226">
        <v>0</v>
      </c>
      <c r="D226">
        <v>0</v>
      </c>
      <c r="E226">
        <v>-1079234884</v>
      </c>
      <c r="F226">
        <v>2738078035</v>
      </c>
      <c r="G226">
        <v>3433793409</v>
      </c>
      <c r="H226">
        <v>608084358</v>
      </c>
      <c r="I226">
        <v>0</v>
      </c>
      <c r="J226">
        <v>0</v>
      </c>
      <c r="K226">
        <v>2738078035</v>
      </c>
      <c r="L226">
        <v>1079234884</v>
      </c>
      <c r="M226" t="s">
        <v>15</v>
      </c>
      <c r="N226">
        <v>1</v>
      </c>
      <c r="O226">
        <v>1</v>
      </c>
      <c r="P226" t="str">
        <f>VLOOKUP(B226,'CHECK_DT-BT_chi_tiet'!$A:$C,3,FALSE)</f>
        <v>BV Sóc Trăng</v>
      </c>
      <c r="Q226" t="str">
        <f>VLOOKUP(A226,Sheet3!$K$11:$L$21,2,FALSE)</f>
        <v>BH Xe cơ giới</v>
      </c>
      <c r="R226" t="str">
        <f>VLOOKUP(Q226,Sheet3!$L$11:$M$21,2,FALSE)</f>
        <v>HQ1</v>
      </c>
      <c r="S226" s="26">
        <f>SUMIFS('HQ2'!$O:$O,'HQ2'!$B:$B, "="&amp;'Tong_hop_HQNV_2026Q1_2026-06-23'!Q226, 'HQ2'!$A:$A,"="&amp;'Tong_hop_HQNV_2026Q1_2026-06-23'!P226)</f>
        <v>0</v>
      </c>
      <c r="T226" s="7">
        <f t="shared" si="3"/>
        <v>0</v>
      </c>
    </row>
    <row r="227" spans="1:20" x14ac:dyDescent="0.25">
      <c r="A227" t="s">
        <v>32</v>
      </c>
      <c r="B227" s="9" t="s">
        <v>349</v>
      </c>
      <c r="C227">
        <v>0</v>
      </c>
      <c r="D227">
        <v>-495805</v>
      </c>
      <c r="E227">
        <v>-1990694683</v>
      </c>
      <c r="F227">
        <v>3613786117</v>
      </c>
      <c r="G227">
        <v>2182285415</v>
      </c>
      <c r="H227">
        <v>1123208272</v>
      </c>
      <c r="I227">
        <v>0</v>
      </c>
      <c r="J227">
        <v>0</v>
      </c>
      <c r="K227">
        <v>3613290312</v>
      </c>
      <c r="L227">
        <v>1990694683</v>
      </c>
      <c r="M227" t="s">
        <v>15</v>
      </c>
      <c r="N227">
        <v>1</v>
      </c>
      <c r="O227">
        <v>1</v>
      </c>
      <c r="P227" t="str">
        <f>VLOOKUP(B227,'CHECK_DT-BT_chi_tiet'!$A:$C,3,FALSE)</f>
        <v>BV Tây Ninh</v>
      </c>
      <c r="Q227" t="str">
        <f>VLOOKUP(A227,Sheet3!$K$11:$L$21,2,FALSE)</f>
        <v>BH Xe cơ giới</v>
      </c>
      <c r="R227" t="str">
        <f>VLOOKUP(Q227,Sheet3!$L$11:$M$21,2,FALSE)</f>
        <v>HQ1</v>
      </c>
      <c r="S227" s="26">
        <f>SUMIFS('HQ2'!$O:$O,'HQ2'!$B:$B, "="&amp;'Tong_hop_HQNV_2026Q1_2026-06-23'!Q227, 'HQ2'!$A:$A,"="&amp;'Tong_hop_HQNV_2026Q1_2026-06-23'!P227)</f>
        <v>0</v>
      </c>
      <c r="T227" s="7">
        <f t="shared" si="3"/>
        <v>0</v>
      </c>
    </row>
    <row r="228" spans="1:20" x14ac:dyDescent="0.25">
      <c r="A228" t="s">
        <v>32</v>
      </c>
      <c r="B228" s="9" t="s">
        <v>351</v>
      </c>
      <c r="C228">
        <v>0</v>
      </c>
      <c r="D228">
        <v>-11064000</v>
      </c>
      <c r="E228">
        <v>-6737003929</v>
      </c>
      <c r="F228">
        <v>5410541120</v>
      </c>
      <c r="G228">
        <v>13092354862</v>
      </c>
      <c r="H228">
        <v>1205207526</v>
      </c>
      <c r="I228">
        <v>0</v>
      </c>
      <c r="J228">
        <v>0</v>
      </c>
      <c r="K228">
        <v>5399477120</v>
      </c>
      <c r="L228">
        <v>6737003929</v>
      </c>
      <c r="M228" t="s">
        <v>15</v>
      </c>
      <c r="N228">
        <v>1</v>
      </c>
      <c r="O228">
        <v>1</v>
      </c>
      <c r="P228" t="str">
        <f>VLOOKUP(B228,'CHECK_DT-BT_chi_tiet'!$A:$C,3,FALSE)</f>
        <v>BV Thái Nguyên</v>
      </c>
      <c r="Q228" t="str">
        <f>VLOOKUP(A228,Sheet3!$K$11:$L$21,2,FALSE)</f>
        <v>BH Xe cơ giới</v>
      </c>
      <c r="R228" t="str">
        <f>VLOOKUP(Q228,Sheet3!$L$11:$M$21,2,FALSE)</f>
        <v>HQ1</v>
      </c>
      <c r="S228" s="26">
        <f>SUMIFS('HQ2'!$O:$O,'HQ2'!$B:$B, "="&amp;'Tong_hop_HQNV_2026Q1_2026-06-23'!Q228, 'HQ2'!$A:$A,"="&amp;'Tong_hop_HQNV_2026Q1_2026-06-23'!P228)</f>
        <v>0</v>
      </c>
      <c r="T228" s="7">
        <f t="shared" si="3"/>
        <v>0</v>
      </c>
    </row>
    <row r="229" spans="1:20" x14ac:dyDescent="0.25">
      <c r="A229" t="s">
        <v>32</v>
      </c>
      <c r="B229" s="9" t="s">
        <v>353</v>
      </c>
      <c r="C229">
        <v>0</v>
      </c>
      <c r="D229">
        <v>0</v>
      </c>
      <c r="E229">
        <v>-2002002982</v>
      </c>
      <c r="F229">
        <v>5016010720</v>
      </c>
      <c r="G229">
        <v>3411850925</v>
      </c>
      <c r="H229">
        <v>1405943240</v>
      </c>
      <c r="I229">
        <v>0</v>
      </c>
      <c r="J229">
        <v>0</v>
      </c>
      <c r="K229">
        <v>5016010720</v>
      </c>
      <c r="L229">
        <v>2002002982</v>
      </c>
      <c r="M229" t="s">
        <v>15</v>
      </c>
      <c r="N229">
        <v>1</v>
      </c>
      <c r="O229">
        <v>1</v>
      </c>
      <c r="P229" t="str">
        <f>VLOOKUP(B229,'CHECK_DT-BT_chi_tiet'!$A:$C,3,FALSE)</f>
        <v>BV Thanh Hóa</v>
      </c>
      <c r="Q229" t="str">
        <f>VLOOKUP(A229,Sheet3!$K$11:$L$21,2,FALSE)</f>
        <v>BH Xe cơ giới</v>
      </c>
      <c r="R229" t="str">
        <f>VLOOKUP(Q229,Sheet3!$L$11:$M$21,2,FALSE)</f>
        <v>HQ1</v>
      </c>
      <c r="S229" s="26">
        <f>SUMIFS('HQ2'!$O:$O,'HQ2'!$B:$B, "="&amp;'Tong_hop_HQNV_2026Q1_2026-06-23'!Q229, 'HQ2'!$A:$A,"="&amp;'Tong_hop_HQNV_2026Q1_2026-06-23'!P229)</f>
        <v>0</v>
      </c>
      <c r="T229" s="7">
        <f t="shared" si="3"/>
        <v>0</v>
      </c>
    </row>
    <row r="230" spans="1:20" x14ac:dyDescent="0.25">
      <c r="A230" t="s">
        <v>32</v>
      </c>
      <c r="B230" s="9" t="s">
        <v>356</v>
      </c>
      <c r="C230">
        <v>0</v>
      </c>
      <c r="D230">
        <v>0</v>
      </c>
      <c r="E230">
        <v>-1122375046</v>
      </c>
      <c r="F230">
        <v>3434242487</v>
      </c>
      <c r="G230">
        <v>2605491087</v>
      </c>
      <c r="H230">
        <v>1847772512</v>
      </c>
      <c r="I230">
        <v>0</v>
      </c>
      <c r="J230">
        <v>0</v>
      </c>
      <c r="K230">
        <v>3434242487</v>
      </c>
      <c r="L230">
        <v>1122375046</v>
      </c>
      <c r="M230" t="s">
        <v>15</v>
      </c>
      <c r="N230">
        <v>1</v>
      </c>
      <c r="O230">
        <v>1</v>
      </c>
      <c r="P230" t="str">
        <f>VLOOKUP(B230,'CHECK_DT-BT_chi_tiet'!$A:$C,3,FALSE)</f>
        <v>BV Tiền Giang</v>
      </c>
      <c r="Q230" t="str">
        <f>VLOOKUP(A230,Sheet3!$K$11:$L$21,2,FALSE)</f>
        <v>BH Xe cơ giới</v>
      </c>
      <c r="R230" t="str">
        <f>VLOOKUP(Q230,Sheet3!$L$11:$M$21,2,FALSE)</f>
        <v>HQ1</v>
      </c>
      <c r="S230" s="26">
        <f>SUMIFS('HQ2'!$O:$O,'HQ2'!$B:$B, "="&amp;'Tong_hop_HQNV_2026Q1_2026-06-23'!Q230, 'HQ2'!$A:$A,"="&amp;'Tong_hop_HQNV_2026Q1_2026-06-23'!P230)</f>
        <v>0</v>
      </c>
      <c r="T230" s="7">
        <f t="shared" si="3"/>
        <v>0</v>
      </c>
    </row>
    <row r="231" spans="1:20" x14ac:dyDescent="0.25">
      <c r="A231" t="s">
        <v>32</v>
      </c>
      <c r="B231" s="9" t="s">
        <v>357</v>
      </c>
      <c r="C231">
        <v>0</v>
      </c>
      <c r="D231">
        <v>-2708233</v>
      </c>
      <c r="E231">
        <v>-1471997938</v>
      </c>
      <c r="F231">
        <v>3149858070</v>
      </c>
      <c r="G231">
        <v>1036521956</v>
      </c>
      <c r="H231">
        <v>536130607</v>
      </c>
      <c r="I231">
        <v>0</v>
      </c>
      <c r="J231">
        <v>0</v>
      </c>
      <c r="K231">
        <v>3147149837</v>
      </c>
      <c r="L231">
        <v>1471997938</v>
      </c>
      <c r="M231" t="s">
        <v>15</v>
      </c>
      <c r="N231">
        <v>1</v>
      </c>
      <c r="O231">
        <v>1</v>
      </c>
      <c r="P231" t="str">
        <f>VLOOKUP(B231,'CHECK_DT-BT_chi_tiet'!$A:$C,3,FALSE)</f>
        <v>BV Trà Vinh</v>
      </c>
      <c r="Q231" t="str">
        <f>VLOOKUP(A231,Sheet3!$K$11:$L$21,2,FALSE)</f>
        <v>BH Xe cơ giới</v>
      </c>
      <c r="R231" t="str">
        <f>VLOOKUP(Q231,Sheet3!$L$11:$M$21,2,FALSE)</f>
        <v>HQ1</v>
      </c>
      <c r="S231" s="26">
        <f>SUMIFS('HQ2'!$O:$O,'HQ2'!$B:$B, "="&amp;'Tong_hop_HQNV_2026Q1_2026-06-23'!Q231, 'HQ2'!$A:$A,"="&amp;'Tong_hop_HQNV_2026Q1_2026-06-23'!P231)</f>
        <v>0</v>
      </c>
      <c r="T231" s="7">
        <f t="shared" si="3"/>
        <v>0</v>
      </c>
    </row>
    <row r="232" spans="1:20" x14ac:dyDescent="0.25">
      <c r="A232" t="s">
        <v>32</v>
      </c>
      <c r="B232" s="9" t="s">
        <v>359</v>
      </c>
      <c r="C232">
        <v>0</v>
      </c>
      <c r="D232">
        <v>0</v>
      </c>
      <c r="E232">
        <v>-156201109</v>
      </c>
      <c r="F232">
        <v>2054058575</v>
      </c>
      <c r="G232">
        <v>1474968680</v>
      </c>
      <c r="H232">
        <v>725121966</v>
      </c>
      <c r="I232">
        <v>0</v>
      </c>
      <c r="J232">
        <v>0</v>
      </c>
      <c r="K232">
        <v>2054058575</v>
      </c>
      <c r="L232">
        <v>156201109</v>
      </c>
      <c r="M232" t="s">
        <v>15</v>
      </c>
      <c r="N232">
        <v>1</v>
      </c>
      <c r="O232">
        <v>1</v>
      </c>
      <c r="P232" t="str">
        <f>VLOOKUP(B232,'CHECK_DT-BT_chi_tiet'!$A:$C,3,FALSE)</f>
        <v>BV Tuyên Quang</v>
      </c>
      <c r="Q232" t="str">
        <f>VLOOKUP(A232,Sheet3!$K$11:$L$21,2,FALSE)</f>
        <v>BH Xe cơ giới</v>
      </c>
      <c r="R232" t="str">
        <f>VLOOKUP(Q232,Sheet3!$L$11:$M$21,2,FALSE)</f>
        <v>HQ1</v>
      </c>
      <c r="S232" s="26">
        <f>SUMIFS('HQ2'!$O:$O,'HQ2'!$B:$B, "="&amp;'Tong_hop_HQNV_2026Q1_2026-06-23'!Q232, 'HQ2'!$A:$A,"="&amp;'Tong_hop_HQNV_2026Q1_2026-06-23'!P232)</f>
        <v>0</v>
      </c>
      <c r="T232" s="7">
        <f t="shared" si="3"/>
        <v>0</v>
      </c>
    </row>
    <row r="233" spans="1:20" x14ac:dyDescent="0.25">
      <c r="A233" t="s">
        <v>32</v>
      </c>
      <c r="B233" s="9" t="s">
        <v>360</v>
      </c>
      <c r="C233">
        <v>0</v>
      </c>
      <c r="D233">
        <v>0</v>
      </c>
      <c r="E233">
        <v>-1550539877</v>
      </c>
      <c r="F233">
        <v>3846640405</v>
      </c>
      <c r="G233">
        <v>1533958916</v>
      </c>
      <c r="H233">
        <v>692840569</v>
      </c>
      <c r="I233">
        <v>0</v>
      </c>
      <c r="J233">
        <v>0</v>
      </c>
      <c r="K233">
        <v>3846640405</v>
      </c>
      <c r="L233">
        <v>1550539877</v>
      </c>
      <c r="M233" t="s">
        <v>15</v>
      </c>
      <c r="N233">
        <v>1</v>
      </c>
      <c r="O233">
        <v>1</v>
      </c>
      <c r="P233" t="str">
        <f>VLOOKUP(B233,'CHECK_DT-BT_chi_tiet'!$A:$C,3,FALSE)</f>
        <v>BV Vĩnh Long</v>
      </c>
      <c r="Q233" t="str">
        <f>VLOOKUP(A233,Sheet3!$K$11:$L$21,2,FALSE)</f>
        <v>BH Xe cơ giới</v>
      </c>
      <c r="R233" t="str">
        <f>VLOOKUP(Q233,Sheet3!$L$11:$M$21,2,FALSE)</f>
        <v>HQ1</v>
      </c>
      <c r="S233" s="26">
        <f>SUMIFS('HQ2'!$O:$O,'HQ2'!$B:$B, "="&amp;'Tong_hop_HQNV_2026Q1_2026-06-23'!Q233, 'HQ2'!$A:$A,"="&amp;'Tong_hop_HQNV_2026Q1_2026-06-23'!P233)</f>
        <v>0</v>
      </c>
      <c r="T233" s="7">
        <f t="shared" si="3"/>
        <v>0</v>
      </c>
    </row>
    <row r="234" spans="1:20" x14ac:dyDescent="0.25">
      <c r="A234" t="s">
        <v>32</v>
      </c>
      <c r="B234" s="9" t="s">
        <v>309</v>
      </c>
      <c r="C234">
        <v>0</v>
      </c>
      <c r="D234">
        <v>-13940859</v>
      </c>
      <c r="E234">
        <v>-4007326988</v>
      </c>
      <c r="F234">
        <v>9014515823</v>
      </c>
      <c r="G234">
        <v>3968517789</v>
      </c>
      <c r="H234">
        <v>2091863582</v>
      </c>
      <c r="I234">
        <v>0</v>
      </c>
      <c r="J234">
        <v>0</v>
      </c>
      <c r="K234">
        <v>9000574964</v>
      </c>
      <c r="L234">
        <v>4007326988</v>
      </c>
      <c r="M234" t="s">
        <v>15</v>
      </c>
      <c r="N234">
        <v>1</v>
      </c>
      <c r="O234">
        <v>1</v>
      </c>
      <c r="P234" t="str">
        <f>VLOOKUP(B234,'CHECK_DT-BT_chi_tiet'!$A:$C,3,FALSE)</f>
        <v>BV Gia Định</v>
      </c>
      <c r="Q234" t="str">
        <f>VLOOKUP(A234,Sheet3!$K$11:$L$21,2,FALSE)</f>
        <v>BH Xe cơ giới</v>
      </c>
      <c r="R234" t="str">
        <f>VLOOKUP(Q234,Sheet3!$L$11:$M$21,2,FALSE)</f>
        <v>HQ1</v>
      </c>
      <c r="S234" s="26">
        <f>SUMIFS('HQ2'!$O:$O,'HQ2'!$B:$B, "="&amp;'Tong_hop_HQNV_2026Q1_2026-06-23'!Q234, 'HQ2'!$A:$A,"="&amp;'Tong_hop_HQNV_2026Q1_2026-06-23'!P234)</f>
        <v>0</v>
      </c>
      <c r="T234" s="7">
        <f t="shared" si="3"/>
        <v>0</v>
      </c>
    </row>
    <row r="235" spans="1:20" x14ac:dyDescent="0.25">
      <c r="A235" t="s">
        <v>32</v>
      </c>
      <c r="B235" s="9" t="s">
        <v>336</v>
      </c>
      <c r="C235">
        <v>0</v>
      </c>
      <c r="D235">
        <v>-24667795</v>
      </c>
      <c r="E235">
        <v>-9498565722</v>
      </c>
      <c r="F235">
        <v>18858490215</v>
      </c>
      <c r="G235">
        <v>7759855860</v>
      </c>
      <c r="H235">
        <v>5272268860</v>
      </c>
      <c r="I235">
        <v>0</v>
      </c>
      <c r="J235">
        <v>0</v>
      </c>
      <c r="K235">
        <v>18833822420</v>
      </c>
      <c r="L235">
        <v>9498565722</v>
      </c>
      <c r="M235" t="s">
        <v>15</v>
      </c>
      <c r="N235">
        <v>1</v>
      </c>
      <c r="O235">
        <v>1</v>
      </c>
      <c r="P235" t="str">
        <f>VLOOKUP(B235,'CHECK_DT-BT_chi_tiet'!$A:$C,3,FALSE)</f>
        <v>BV Phú Mỹ</v>
      </c>
      <c r="Q235" t="str">
        <f>VLOOKUP(A235,Sheet3!$K$11:$L$21,2,FALSE)</f>
        <v>BH Xe cơ giới</v>
      </c>
      <c r="R235" t="str">
        <f>VLOOKUP(Q235,Sheet3!$L$11:$M$21,2,FALSE)</f>
        <v>HQ1</v>
      </c>
      <c r="S235" s="26">
        <f>SUMIFS('HQ2'!$O:$O,'HQ2'!$B:$B, "="&amp;'Tong_hop_HQNV_2026Q1_2026-06-23'!Q235, 'HQ2'!$A:$A,"="&amp;'Tong_hop_HQNV_2026Q1_2026-06-23'!P235)</f>
        <v>0</v>
      </c>
      <c r="T235" s="7">
        <f t="shared" si="3"/>
        <v>0</v>
      </c>
    </row>
    <row r="236" spans="1:20" x14ac:dyDescent="0.25">
      <c r="A236" t="s">
        <v>32</v>
      </c>
      <c r="B236" s="9" t="s">
        <v>318</v>
      </c>
      <c r="C236">
        <v>0</v>
      </c>
      <c r="D236">
        <v>-8192816</v>
      </c>
      <c r="E236">
        <v>-1731150588</v>
      </c>
      <c r="F236">
        <v>3690439786</v>
      </c>
      <c r="G236">
        <v>3011432440</v>
      </c>
      <c r="H236">
        <v>1997716007</v>
      </c>
      <c r="I236">
        <v>0</v>
      </c>
      <c r="J236">
        <v>0</v>
      </c>
      <c r="K236">
        <v>3682246970</v>
      </c>
      <c r="L236">
        <v>1731150588</v>
      </c>
      <c r="M236" t="s">
        <v>15</v>
      </c>
      <c r="N236">
        <v>1</v>
      </c>
      <c r="O236">
        <v>1</v>
      </c>
      <c r="P236" t="str">
        <f>VLOOKUP(B236,'CHECK_DT-BT_chi_tiet'!$A:$C,3,FALSE)</f>
        <v>BV Hậu Giang</v>
      </c>
      <c r="Q236" t="str">
        <f>VLOOKUP(A236,Sheet3!$K$11:$L$21,2,FALSE)</f>
        <v>BH Xe cơ giới</v>
      </c>
      <c r="R236" t="str">
        <f>VLOOKUP(Q236,Sheet3!$L$11:$M$21,2,FALSE)</f>
        <v>HQ1</v>
      </c>
      <c r="S236" s="26">
        <f>SUMIFS('HQ2'!$O:$O,'HQ2'!$B:$B, "="&amp;'Tong_hop_HQNV_2026Q1_2026-06-23'!Q236, 'HQ2'!$A:$A,"="&amp;'Tong_hop_HQNV_2026Q1_2026-06-23'!P236)</f>
        <v>0</v>
      </c>
      <c r="T236" s="7">
        <f t="shared" si="3"/>
        <v>0</v>
      </c>
    </row>
    <row r="237" spans="1:20" x14ac:dyDescent="0.25">
      <c r="A237" t="s">
        <v>32</v>
      </c>
      <c r="B237" s="9" t="s">
        <v>302</v>
      </c>
      <c r="C237">
        <v>0</v>
      </c>
      <c r="D237">
        <v>-11181292</v>
      </c>
      <c r="E237">
        <v>-1324984604</v>
      </c>
      <c r="F237">
        <v>2815561075</v>
      </c>
      <c r="G237">
        <v>1689882234</v>
      </c>
      <c r="H237">
        <v>820409171</v>
      </c>
      <c r="I237">
        <v>0</v>
      </c>
      <c r="J237">
        <v>0</v>
      </c>
      <c r="K237">
        <v>2804379783</v>
      </c>
      <c r="L237">
        <v>1324984604</v>
      </c>
      <c r="M237" t="s">
        <v>15</v>
      </c>
      <c r="N237">
        <v>1</v>
      </c>
      <c r="O237">
        <v>1</v>
      </c>
      <c r="P237" t="str">
        <f>VLOOKUP(B237,'CHECK_DT-BT_chi_tiet'!$A:$C,3,FALSE)</f>
        <v>BV Dak Nong</v>
      </c>
      <c r="Q237" t="str">
        <f>VLOOKUP(A237,Sheet3!$K$11:$L$21,2,FALSE)</f>
        <v>BH Xe cơ giới</v>
      </c>
      <c r="R237" t="str">
        <f>VLOOKUP(Q237,Sheet3!$L$11:$M$21,2,FALSE)</f>
        <v>HQ1</v>
      </c>
      <c r="S237" s="26">
        <f>SUMIFS('HQ2'!$O:$O,'HQ2'!$B:$B, "="&amp;'Tong_hop_HQNV_2026Q1_2026-06-23'!Q237, 'HQ2'!$A:$A,"="&amp;'Tong_hop_HQNV_2026Q1_2026-06-23'!P237)</f>
        <v>0</v>
      </c>
      <c r="T237" s="7">
        <f t="shared" si="3"/>
        <v>0</v>
      </c>
    </row>
    <row r="238" spans="1:20" x14ac:dyDescent="0.25">
      <c r="A238" t="s">
        <v>32</v>
      </c>
      <c r="B238" s="9" t="s">
        <v>337</v>
      </c>
      <c r="C238">
        <v>0</v>
      </c>
      <c r="D238">
        <v>-3161100</v>
      </c>
      <c r="E238">
        <v>-393013408</v>
      </c>
      <c r="F238">
        <v>1945674938</v>
      </c>
      <c r="G238">
        <v>1077913671</v>
      </c>
      <c r="H238">
        <v>804205331</v>
      </c>
      <c r="I238">
        <v>0</v>
      </c>
      <c r="J238">
        <v>0</v>
      </c>
      <c r="K238">
        <v>1942513838</v>
      </c>
      <c r="L238">
        <v>393013408</v>
      </c>
      <c r="M238" t="s">
        <v>15</v>
      </c>
      <c r="N238">
        <v>1</v>
      </c>
      <c r="O238">
        <v>1</v>
      </c>
      <c r="P238" t="str">
        <f>VLOOKUP(B238,'CHECK_DT-BT_chi_tiet'!$A:$C,3,FALSE)</f>
        <v>BV Phú Quốc</v>
      </c>
      <c r="Q238" t="str">
        <f>VLOOKUP(A238,Sheet3!$K$11:$L$21,2,FALSE)</f>
        <v>BH Xe cơ giới</v>
      </c>
      <c r="R238" t="str">
        <f>VLOOKUP(Q238,Sheet3!$L$11:$M$21,2,FALSE)</f>
        <v>HQ1</v>
      </c>
      <c r="S238" s="26">
        <f>SUMIFS('HQ2'!$O:$O,'HQ2'!$B:$B, "="&amp;'Tong_hop_HQNV_2026Q1_2026-06-23'!Q238, 'HQ2'!$A:$A,"="&amp;'Tong_hop_HQNV_2026Q1_2026-06-23'!P238)</f>
        <v>0</v>
      </c>
      <c r="T238" s="7">
        <f t="shared" si="3"/>
        <v>0</v>
      </c>
    </row>
    <row r="239" spans="1:20" x14ac:dyDescent="0.25">
      <c r="A239" t="s">
        <v>32</v>
      </c>
      <c r="B239" s="9" t="s">
        <v>304</v>
      </c>
      <c r="C239">
        <v>0</v>
      </c>
      <c r="D239">
        <v>0</v>
      </c>
      <c r="E239">
        <v>-1829602985</v>
      </c>
      <c r="F239">
        <v>5031585613</v>
      </c>
      <c r="G239">
        <v>2289253217</v>
      </c>
      <c r="H239">
        <v>1754116190</v>
      </c>
      <c r="I239">
        <v>0</v>
      </c>
      <c r="J239">
        <v>0</v>
      </c>
      <c r="K239">
        <v>5031585613</v>
      </c>
      <c r="L239">
        <v>1829602985</v>
      </c>
      <c r="M239" t="s">
        <v>15</v>
      </c>
      <c r="N239">
        <v>1</v>
      </c>
      <c r="O239">
        <v>1</v>
      </c>
      <c r="P239" t="str">
        <f>VLOOKUP(B239,'CHECK_DT-BT_chi_tiet'!$A:$C,3,FALSE)</f>
        <v>BV Đình Vũ</v>
      </c>
      <c r="Q239" t="str">
        <f>VLOOKUP(A239,Sheet3!$K$11:$L$21,2,FALSE)</f>
        <v>BH Xe cơ giới</v>
      </c>
      <c r="R239" t="str">
        <f>VLOOKUP(Q239,Sheet3!$L$11:$M$21,2,FALSE)</f>
        <v>HQ1</v>
      </c>
      <c r="S239" s="26">
        <f>SUMIFS('HQ2'!$O:$O,'HQ2'!$B:$B, "="&amp;'Tong_hop_HQNV_2026Q1_2026-06-23'!Q239, 'HQ2'!$A:$A,"="&amp;'Tong_hop_HQNV_2026Q1_2026-06-23'!P239)</f>
        <v>0</v>
      </c>
      <c r="T239" s="7">
        <f t="shared" si="3"/>
        <v>0</v>
      </c>
    </row>
    <row r="240" spans="1:20" x14ac:dyDescent="0.25">
      <c r="A240" t="s">
        <v>32</v>
      </c>
      <c r="B240" s="9" t="s">
        <v>291</v>
      </c>
      <c r="C240">
        <v>0</v>
      </c>
      <c r="D240">
        <v>0</v>
      </c>
      <c r="E240">
        <v>-2034155612</v>
      </c>
      <c r="F240">
        <v>5611667288</v>
      </c>
      <c r="G240">
        <v>3263125664</v>
      </c>
      <c r="H240">
        <v>1191686819</v>
      </c>
      <c r="I240">
        <v>0</v>
      </c>
      <c r="J240">
        <v>0</v>
      </c>
      <c r="K240">
        <v>5611667288</v>
      </c>
      <c r="L240">
        <v>2034155612</v>
      </c>
      <c r="M240" t="s">
        <v>15</v>
      </c>
      <c r="N240">
        <v>1</v>
      </c>
      <c r="O240">
        <v>1</v>
      </c>
      <c r="P240" t="str">
        <f>VLOOKUP(B240,'CHECK_DT-BT_chi_tiet'!$A:$C,3,FALSE)</f>
        <v>BV Bến Thành</v>
      </c>
      <c r="Q240" t="str">
        <f>VLOOKUP(A240,Sheet3!$K$11:$L$21,2,FALSE)</f>
        <v>BH Xe cơ giới</v>
      </c>
      <c r="R240" t="str">
        <f>VLOOKUP(Q240,Sheet3!$L$11:$M$21,2,FALSE)</f>
        <v>HQ1</v>
      </c>
      <c r="S240" s="26">
        <f>SUMIFS('HQ2'!$O:$O,'HQ2'!$B:$B, "="&amp;'Tong_hop_HQNV_2026Q1_2026-06-23'!Q240, 'HQ2'!$A:$A,"="&amp;'Tong_hop_HQNV_2026Q1_2026-06-23'!P240)</f>
        <v>0</v>
      </c>
      <c r="T240" s="7">
        <f t="shared" si="3"/>
        <v>0</v>
      </c>
    </row>
    <row r="241" spans="1:20" x14ac:dyDescent="0.25">
      <c r="A241" t="s">
        <v>32</v>
      </c>
      <c r="B241" s="9" t="s">
        <v>330</v>
      </c>
      <c r="C241">
        <v>0</v>
      </c>
      <c r="D241">
        <v>-12281788</v>
      </c>
      <c r="E241">
        <v>-5482772700</v>
      </c>
      <c r="F241">
        <v>15401694841</v>
      </c>
      <c r="G241">
        <v>5965293680</v>
      </c>
      <c r="H241">
        <v>2446215246</v>
      </c>
      <c r="I241">
        <v>0</v>
      </c>
      <c r="J241">
        <v>0</v>
      </c>
      <c r="K241">
        <v>15389413053</v>
      </c>
      <c r="L241">
        <v>5482772700</v>
      </c>
      <c r="M241" t="s">
        <v>15</v>
      </c>
      <c r="N241">
        <v>1</v>
      </c>
      <c r="O241">
        <v>1</v>
      </c>
      <c r="P241" t="str">
        <f>VLOOKUP(B241,'CHECK_DT-BT_chi_tiet'!$A:$C,3,FALSE)</f>
        <v>BV Mỹ Đình</v>
      </c>
      <c r="Q241" t="str">
        <f>VLOOKUP(A241,Sheet3!$K$11:$L$21,2,FALSE)</f>
        <v>BH Xe cơ giới</v>
      </c>
      <c r="R241" t="str">
        <f>VLOOKUP(Q241,Sheet3!$L$11:$M$21,2,FALSE)</f>
        <v>HQ1</v>
      </c>
      <c r="S241" s="26">
        <f>SUMIFS('HQ2'!$O:$O,'HQ2'!$B:$B, "="&amp;'Tong_hop_HQNV_2026Q1_2026-06-23'!Q241, 'HQ2'!$A:$A,"="&amp;'Tong_hop_HQNV_2026Q1_2026-06-23'!P241)</f>
        <v>0</v>
      </c>
      <c r="T241" s="7">
        <f t="shared" si="3"/>
        <v>0</v>
      </c>
    </row>
    <row r="242" spans="1:20" x14ac:dyDescent="0.25">
      <c r="A242" t="s">
        <v>33</v>
      </c>
      <c r="B242" s="9" t="s">
        <v>225</v>
      </c>
      <c r="C242">
        <v>0</v>
      </c>
      <c r="D242">
        <v>-1810865947</v>
      </c>
      <c r="E242">
        <v>-26906398361</v>
      </c>
      <c r="F242">
        <v>85379411297</v>
      </c>
      <c r="G242">
        <v>0</v>
      </c>
      <c r="H242">
        <v>0</v>
      </c>
      <c r="I242">
        <v>0</v>
      </c>
      <c r="J242">
        <v>0</v>
      </c>
      <c r="K242">
        <v>83568545350</v>
      </c>
      <c r="L242">
        <v>26906398361</v>
      </c>
      <c r="M242" t="s">
        <v>34</v>
      </c>
      <c r="N242">
        <v>1</v>
      </c>
      <c r="O242">
        <v>1</v>
      </c>
      <c r="P242" t="str">
        <f>VLOOKUP(B242,'CHECK_DT-BT_chi_tiet'!$A:$C,3,FALSE)</f>
        <v>TSC-Ban Kinh doanh Phi hàng hải - Phòng Allianz</v>
      </c>
      <c r="Q242" t="str">
        <f>VLOOKUP(A242,Sheet3!$K$11:$L$21,2,FALSE)</f>
        <v>BH Y tế</v>
      </c>
      <c r="R242" t="str">
        <f>VLOOKUP(Q242,Sheet3!$L$11:$M$21,2,FALSE)</f>
        <v>HQ1</v>
      </c>
      <c r="S242" s="26">
        <f>SUMIFS('HQ2'!$O:$O,'HQ2'!$B:$B, "="&amp;'Tong_hop_HQNV_2026Q1_2026-06-23'!Q242, 'HQ2'!$A:$A,"="&amp;'Tong_hop_HQNV_2026Q1_2026-06-23'!P242)</f>
        <v>0</v>
      </c>
      <c r="T242" s="7">
        <f t="shared" si="3"/>
        <v>0</v>
      </c>
    </row>
    <row r="243" spans="1:20" x14ac:dyDescent="0.25">
      <c r="A243" t="s">
        <v>33</v>
      </c>
      <c r="B243" s="9" t="s">
        <v>227</v>
      </c>
      <c r="C243">
        <v>0</v>
      </c>
      <c r="D243">
        <v>-337444604</v>
      </c>
      <c r="E243">
        <v>-2581056163</v>
      </c>
      <c r="F243">
        <v>5444678441</v>
      </c>
      <c r="G243">
        <v>11241640</v>
      </c>
      <c r="H243">
        <v>0</v>
      </c>
      <c r="I243">
        <v>0</v>
      </c>
      <c r="J243">
        <v>0</v>
      </c>
      <c r="K243">
        <v>5107233837</v>
      </c>
      <c r="L243">
        <v>2581056163</v>
      </c>
      <c r="M243" t="s">
        <v>34</v>
      </c>
      <c r="N243">
        <v>1</v>
      </c>
      <c r="O243">
        <v>1</v>
      </c>
      <c r="P243" t="str">
        <f>VLOOKUP(B243,'CHECK_DT-BT_chi_tiet'!$A:$C,3,FALSE)</f>
        <v>TSC-Ban BH Dự án (Fronting)</v>
      </c>
      <c r="Q243" t="str">
        <f>VLOOKUP(A243,Sheet3!$K$11:$L$21,2,FALSE)</f>
        <v>BH Y tế</v>
      </c>
      <c r="R243" t="str">
        <f>VLOOKUP(Q243,Sheet3!$L$11:$M$21,2,FALSE)</f>
        <v>HQ1</v>
      </c>
      <c r="S243" s="26">
        <f>SUMIFS('HQ2'!$O:$O,'HQ2'!$B:$B, "="&amp;'Tong_hop_HQNV_2026Q1_2026-06-23'!Q243, 'HQ2'!$A:$A,"="&amp;'Tong_hop_HQNV_2026Q1_2026-06-23'!P243)</f>
        <v>0</v>
      </c>
      <c r="T243" s="7">
        <f t="shared" si="3"/>
        <v>0</v>
      </c>
    </row>
    <row r="244" spans="1:20" x14ac:dyDescent="0.25">
      <c r="A244" t="s">
        <v>33</v>
      </c>
      <c r="B244" s="9" t="s">
        <v>329</v>
      </c>
      <c r="C244">
        <v>0</v>
      </c>
      <c r="D244">
        <v>-3421684</v>
      </c>
      <c r="E244">
        <v>-341361520</v>
      </c>
      <c r="F244">
        <v>1643726050</v>
      </c>
      <c r="G244">
        <v>106582325</v>
      </c>
      <c r="H244">
        <v>93948545</v>
      </c>
      <c r="I244">
        <v>0</v>
      </c>
      <c r="J244">
        <v>0</v>
      </c>
      <c r="K244">
        <v>1640304366</v>
      </c>
      <c r="L244">
        <v>341361520</v>
      </c>
      <c r="M244" t="s">
        <v>34</v>
      </c>
      <c r="N244">
        <v>1</v>
      </c>
      <c r="O244">
        <v>1</v>
      </c>
      <c r="P244" t="str">
        <f>VLOOKUP(B244,'CHECK_DT-BT_chi_tiet'!$A:$C,3,FALSE)</f>
        <v>BV Long Thành</v>
      </c>
      <c r="Q244" t="str">
        <f>VLOOKUP(A244,Sheet3!$K$11:$L$21,2,FALSE)</f>
        <v>BH Y tế</v>
      </c>
      <c r="R244" t="str">
        <f>VLOOKUP(Q244,Sheet3!$L$11:$M$21,2,FALSE)</f>
        <v>HQ1</v>
      </c>
      <c r="S244" s="26">
        <f>SUMIFS('HQ2'!$O:$O,'HQ2'!$B:$B, "="&amp;'Tong_hop_HQNV_2026Q1_2026-06-23'!Q244, 'HQ2'!$A:$A,"="&amp;'Tong_hop_HQNV_2026Q1_2026-06-23'!P244)</f>
        <v>0</v>
      </c>
      <c r="T244" s="7">
        <f t="shared" si="3"/>
        <v>0</v>
      </c>
    </row>
    <row r="245" spans="1:20" x14ac:dyDescent="0.25">
      <c r="A245" t="s">
        <v>33</v>
      </c>
      <c r="B245" s="9" t="s">
        <v>288</v>
      </c>
      <c r="C245">
        <v>0</v>
      </c>
      <c r="D245">
        <v>-8500576</v>
      </c>
      <c r="E245">
        <v>-219822987</v>
      </c>
      <c r="F245">
        <v>538289540</v>
      </c>
      <c r="G245">
        <v>43559074</v>
      </c>
      <c r="H245">
        <v>18311778</v>
      </c>
      <c r="I245">
        <v>0</v>
      </c>
      <c r="J245">
        <v>0</v>
      </c>
      <c r="K245">
        <v>529788964</v>
      </c>
      <c r="L245">
        <v>219822987</v>
      </c>
      <c r="M245" t="s">
        <v>34</v>
      </c>
      <c r="N245">
        <v>1</v>
      </c>
      <c r="O245">
        <v>1</v>
      </c>
      <c r="P245" t="str">
        <f>VLOOKUP(B245,'CHECK_DT-BT_chi_tiet'!$A:$C,3,FALSE)</f>
        <v>BV Bắc Giang</v>
      </c>
      <c r="Q245" t="str">
        <f>VLOOKUP(A245,Sheet3!$K$11:$L$21,2,FALSE)</f>
        <v>BH Y tế</v>
      </c>
      <c r="R245" t="str">
        <f>VLOOKUP(Q245,Sheet3!$L$11:$M$21,2,FALSE)</f>
        <v>HQ1</v>
      </c>
      <c r="S245" s="26">
        <f>SUMIFS('HQ2'!$O:$O,'HQ2'!$B:$B, "="&amp;'Tong_hop_HQNV_2026Q1_2026-06-23'!Q245, 'HQ2'!$A:$A,"="&amp;'Tong_hop_HQNV_2026Q1_2026-06-23'!P245)</f>
        <v>0</v>
      </c>
      <c r="T245" s="7">
        <f t="shared" si="3"/>
        <v>0</v>
      </c>
    </row>
    <row r="246" spans="1:20" x14ac:dyDescent="0.25">
      <c r="A246" t="s">
        <v>33</v>
      </c>
      <c r="B246" s="9" t="s">
        <v>290</v>
      </c>
      <c r="C246">
        <v>0</v>
      </c>
      <c r="D246">
        <v>-12116887</v>
      </c>
      <c r="E246">
        <v>-499781379</v>
      </c>
      <c r="F246">
        <v>2031847207</v>
      </c>
      <c r="G246">
        <v>89942792</v>
      </c>
      <c r="H246">
        <v>81886565</v>
      </c>
      <c r="I246">
        <v>0</v>
      </c>
      <c r="J246">
        <v>0</v>
      </c>
      <c r="K246">
        <v>2019730320</v>
      </c>
      <c r="L246">
        <v>499781379</v>
      </c>
      <c r="M246" t="s">
        <v>34</v>
      </c>
      <c r="N246">
        <v>1</v>
      </c>
      <c r="O246">
        <v>1</v>
      </c>
      <c r="P246" t="str">
        <f>VLOOKUP(B246,'CHECK_DT-BT_chi_tiet'!$A:$C,3,FALSE)</f>
        <v>BV Bắc Ninh</v>
      </c>
      <c r="Q246" t="str">
        <f>VLOOKUP(A246,Sheet3!$K$11:$L$21,2,FALSE)</f>
        <v>BH Y tế</v>
      </c>
      <c r="R246" t="str">
        <f>VLOOKUP(Q246,Sheet3!$L$11:$M$21,2,FALSE)</f>
        <v>HQ1</v>
      </c>
      <c r="S246" s="26">
        <f>SUMIFS('HQ2'!$O:$O,'HQ2'!$B:$B, "="&amp;'Tong_hop_HQNV_2026Q1_2026-06-23'!Q246, 'HQ2'!$A:$A,"="&amp;'Tong_hop_HQNV_2026Q1_2026-06-23'!P246)</f>
        <v>0</v>
      </c>
      <c r="T246" s="7">
        <f t="shared" si="3"/>
        <v>0</v>
      </c>
    </row>
    <row r="247" spans="1:20" x14ac:dyDescent="0.25">
      <c r="A247" t="s">
        <v>33</v>
      </c>
      <c r="B247" s="9" t="s">
        <v>289</v>
      </c>
      <c r="C247">
        <v>0</v>
      </c>
      <c r="D247">
        <v>0</v>
      </c>
      <c r="E247">
        <v>-39018447</v>
      </c>
      <c r="F247">
        <v>506810928</v>
      </c>
      <c r="G247">
        <v>1690286</v>
      </c>
      <c r="H247">
        <v>1690286</v>
      </c>
      <c r="I247">
        <v>0</v>
      </c>
      <c r="J247">
        <v>0</v>
      </c>
      <c r="K247">
        <v>506810928</v>
      </c>
      <c r="L247">
        <v>39018447</v>
      </c>
      <c r="M247" t="s">
        <v>34</v>
      </c>
      <c r="N247">
        <v>1</v>
      </c>
      <c r="O247">
        <v>1</v>
      </c>
      <c r="P247" t="str">
        <f>VLOOKUP(B247,'CHECK_DT-BT_chi_tiet'!$A:$C,3,FALSE)</f>
        <v>BV Bạc Liêu</v>
      </c>
      <c r="Q247" t="str">
        <f>VLOOKUP(A247,Sheet3!$K$11:$L$21,2,FALSE)</f>
        <v>BH Y tế</v>
      </c>
      <c r="R247" t="str">
        <f>VLOOKUP(Q247,Sheet3!$L$11:$M$21,2,FALSE)</f>
        <v>HQ1</v>
      </c>
      <c r="S247" s="26">
        <f>SUMIFS('HQ2'!$O:$O,'HQ2'!$B:$B, "="&amp;'Tong_hop_HQNV_2026Q1_2026-06-23'!Q247, 'HQ2'!$A:$A,"="&amp;'Tong_hop_HQNV_2026Q1_2026-06-23'!P247)</f>
        <v>0</v>
      </c>
      <c r="T247" s="7">
        <f t="shared" si="3"/>
        <v>0</v>
      </c>
    </row>
    <row r="248" spans="1:20" x14ac:dyDescent="0.25">
      <c r="A248" t="s">
        <v>33</v>
      </c>
      <c r="B248" s="9" t="s">
        <v>294</v>
      </c>
      <c r="C248">
        <v>0</v>
      </c>
      <c r="D248">
        <v>0</v>
      </c>
      <c r="E248">
        <v>-2520899947</v>
      </c>
      <c r="F248">
        <v>3190047407</v>
      </c>
      <c r="G248">
        <v>707589706</v>
      </c>
      <c r="H248">
        <v>508824461</v>
      </c>
      <c r="I248">
        <v>0</v>
      </c>
      <c r="J248">
        <v>0</v>
      </c>
      <c r="K248">
        <v>3190047407</v>
      </c>
      <c r="L248">
        <v>2520899947</v>
      </c>
      <c r="M248" t="s">
        <v>34</v>
      </c>
      <c r="N248">
        <v>1</v>
      </c>
      <c r="O248">
        <v>1</v>
      </c>
      <c r="P248" t="str">
        <f>VLOOKUP(B248,'CHECK_DT-BT_chi_tiet'!$A:$C,3,FALSE)</f>
        <v>BV Bình Dương</v>
      </c>
      <c r="Q248" t="str">
        <f>VLOOKUP(A248,Sheet3!$K$11:$L$21,2,FALSE)</f>
        <v>BH Y tế</v>
      </c>
      <c r="R248" t="str">
        <f>VLOOKUP(Q248,Sheet3!$L$11:$M$21,2,FALSE)</f>
        <v>HQ1</v>
      </c>
      <c r="S248" s="26">
        <f>SUMIFS('HQ2'!$O:$O,'HQ2'!$B:$B, "="&amp;'Tong_hop_HQNV_2026Q1_2026-06-23'!Q248, 'HQ2'!$A:$A,"="&amp;'Tong_hop_HQNV_2026Q1_2026-06-23'!P248)</f>
        <v>0</v>
      </c>
      <c r="T248" s="7">
        <f t="shared" si="3"/>
        <v>0</v>
      </c>
    </row>
    <row r="249" spans="1:20" x14ac:dyDescent="0.25">
      <c r="A249" t="s">
        <v>33</v>
      </c>
      <c r="B249" s="9" t="s">
        <v>293</v>
      </c>
      <c r="C249">
        <v>0</v>
      </c>
      <c r="D249">
        <v>0</v>
      </c>
      <c r="E249">
        <v>-183770191</v>
      </c>
      <c r="F249">
        <v>645942650</v>
      </c>
      <c r="G249">
        <v>45662182</v>
      </c>
      <c r="H249">
        <v>45462182</v>
      </c>
      <c r="I249">
        <v>0</v>
      </c>
      <c r="J249">
        <v>0</v>
      </c>
      <c r="K249">
        <v>645942650</v>
      </c>
      <c r="L249">
        <v>183770191</v>
      </c>
      <c r="M249" t="s">
        <v>34</v>
      </c>
      <c r="N249">
        <v>1</v>
      </c>
      <c r="O249">
        <v>1</v>
      </c>
      <c r="P249" t="str">
        <f>VLOOKUP(B249,'CHECK_DT-BT_chi_tiet'!$A:$C,3,FALSE)</f>
        <v>BV Bình Định</v>
      </c>
      <c r="Q249" t="str">
        <f>VLOOKUP(A249,Sheet3!$K$11:$L$21,2,FALSE)</f>
        <v>BH Y tế</v>
      </c>
      <c r="R249" t="str">
        <f>VLOOKUP(Q249,Sheet3!$L$11:$M$21,2,FALSE)</f>
        <v>HQ1</v>
      </c>
      <c r="S249" s="26">
        <f>SUMIFS('HQ2'!$O:$O,'HQ2'!$B:$B, "="&amp;'Tong_hop_HQNV_2026Q1_2026-06-23'!Q249, 'HQ2'!$A:$A,"="&amp;'Tong_hop_HQNV_2026Q1_2026-06-23'!P249)</f>
        <v>0</v>
      </c>
      <c r="T249" s="7">
        <f t="shared" si="3"/>
        <v>0</v>
      </c>
    </row>
    <row r="250" spans="1:20" x14ac:dyDescent="0.25">
      <c r="A250" t="s">
        <v>33</v>
      </c>
      <c r="B250" s="9" t="s">
        <v>295</v>
      </c>
      <c r="C250">
        <v>0</v>
      </c>
      <c r="D250">
        <v>0</v>
      </c>
      <c r="E250">
        <v>-531133016</v>
      </c>
      <c r="F250">
        <v>607147990</v>
      </c>
      <c r="G250">
        <v>59711043</v>
      </c>
      <c r="H250">
        <v>57515443</v>
      </c>
      <c r="I250">
        <v>0</v>
      </c>
      <c r="J250">
        <v>0</v>
      </c>
      <c r="K250">
        <v>607147990</v>
      </c>
      <c r="L250">
        <v>531133016</v>
      </c>
      <c r="M250" t="s">
        <v>34</v>
      </c>
      <c r="N250">
        <v>1</v>
      </c>
      <c r="O250">
        <v>1</v>
      </c>
      <c r="P250" t="str">
        <f>VLOOKUP(B250,'CHECK_DT-BT_chi_tiet'!$A:$C,3,FALSE)</f>
        <v>BV Bình Phước</v>
      </c>
      <c r="Q250" t="str">
        <f>VLOOKUP(A250,Sheet3!$K$11:$L$21,2,FALSE)</f>
        <v>BH Y tế</v>
      </c>
      <c r="R250" t="str">
        <f>VLOOKUP(Q250,Sheet3!$L$11:$M$21,2,FALSE)</f>
        <v>HQ1</v>
      </c>
      <c r="S250" s="26">
        <f>SUMIFS('HQ2'!$O:$O,'HQ2'!$B:$B, "="&amp;'Tong_hop_HQNV_2026Q1_2026-06-23'!Q250, 'HQ2'!$A:$A,"="&amp;'Tong_hop_HQNV_2026Q1_2026-06-23'!P250)</f>
        <v>0</v>
      </c>
      <c r="T250" s="7">
        <f t="shared" si="3"/>
        <v>0</v>
      </c>
    </row>
    <row r="251" spans="1:20" x14ac:dyDescent="0.25">
      <c r="A251" t="s">
        <v>33</v>
      </c>
      <c r="B251" s="9" t="s">
        <v>297</v>
      </c>
      <c r="C251">
        <v>0</v>
      </c>
      <c r="D251">
        <v>0</v>
      </c>
      <c r="E251">
        <v>-249910499</v>
      </c>
      <c r="F251">
        <v>817871273</v>
      </c>
      <c r="G251">
        <v>11113887</v>
      </c>
      <c r="H251">
        <v>11113887</v>
      </c>
      <c r="I251">
        <v>0</v>
      </c>
      <c r="J251">
        <v>0</v>
      </c>
      <c r="K251">
        <v>817871273</v>
      </c>
      <c r="L251">
        <v>249910499</v>
      </c>
      <c r="M251" t="s">
        <v>34</v>
      </c>
      <c r="N251">
        <v>1</v>
      </c>
      <c r="O251">
        <v>1</v>
      </c>
      <c r="P251" t="str">
        <f>VLOOKUP(B251,'CHECK_DT-BT_chi_tiet'!$A:$C,3,FALSE)</f>
        <v>BV Cà Mau</v>
      </c>
      <c r="Q251" t="str">
        <f>VLOOKUP(A251,Sheet3!$K$11:$L$21,2,FALSE)</f>
        <v>BH Y tế</v>
      </c>
      <c r="R251" t="str">
        <f>VLOOKUP(Q251,Sheet3!$L$11:$M$21,2,FALSE)</f>
        <v>HQ1</v>
      </c>
      <c r="S251" s="26">
        <f>SUMIFS('HQ2'!$O:$O,'HQ2'!$B:$B, "="&amp;'Tong_hop_HQNV_2026Q1_2026-06-23'!Q251, 'HQ2'!$A:$A,"="&amp;'Tong_hop_HQNV_2026Q1_2026-06-23'!P251)</f>
        <v>0</v>
      </c>
      <c r="T251" s="7">
        <f t="shared" si="3"/>
        <v>0</v>
      </c>
    </row>
    <row r="252" spans="1:20" x14ac:dyDescent="0.25">
      <c r="A252" t="s">
        <v>33</v>
      </c>
      <c r="B252" s="9" t="s">
        <v>298</v>
      </c>
      <c r="C252">
        <v>0</v>
      </c>
      <c r="D252">
        <v>0</v>
      </c>
      <c r="E252">
        <v>-1107397557</v>
      </c>
      <c r="F252">
        <v>4874623654</v>
      </c>
      <c r="G252">
        <v>240012826</v>
      </c>
      <c r="H252">
        <v>221252791</v>
      </c>
      <c r="I252">
        <v>0</v>
      </c>
      <c r="J252">
        <v>0</v>
      </c>
      <c r="K252">
        <v>4874623654</v>
      </c>
      <c r="L252">
        <v>1107397557</v>
      </c>
      <c r="M252" t="s">
        <v>34</v>
      </c>
      <c r="N252">
        <v>1</v>
      </c>
      <c r="O252">
        <v>1</v>
      </c>
      <c r="P252" t="str">
        <f>VLOOKUP(B252,'CHECK_DT-BT_chi_tiet'!$A:$C,3,FALSE)</f>
        <v>BV Cần Thơ</v>
      </c>
      <c r="Q252" t="str">
        <f>VLOOKUP(A252,Sheet3!$K$11:$L$21,2,FALSE)</f>
        <v>BH Y tế</v>
      </c>
      <c r="R252" t="str">
        <f>VLOOKUP(Q252,Sheet3!$L$11:$M$21,2,FALSE)</f>
        <v>HQ1</v>
      </c>
      <c r="S252" s="26">
        <f>SUMIFS('HQ2'!$O:$O,'HQ2'!$B:$B, "="&amp;'Tong_hop_HQNV_2026Q1_2026-06-23'!Q252, 'HQ2'!$A:$A,"="&amp;'Tong_hop_HQNV_2026Q1_2026-06-23'!P252)</f>
        <v>0</v>
      </c>
      <c r="T252" s="7">
        <f t="shared" si="3"/>
        <v>0</v>
      </c>
    </row>
    <row r="253" spans="1:20" x14ac:dyDescent="0.25">
      <c r="A253" t="s">
        <v>33</v>
      </c>
      <c r="B253" s="9" t="s">
        <v>300</v>
      </c>
      <c r="C253">
        <v>0</v>
      </c>
      <c r="D253">
        <v>-173331100</v>
      </c>
      <c r="E253">
        <v>-11883099084</v>
      </c>
      <c r="F253">
        <v>30488352052</v>
      </c>
      <c r="G253">
        <v>4214841503</v>
      </c>
      <c r="H253">
        <v>3459396766</v>
      </c>
      <c r="I253">
        <v>0</v>
      </c>
      <c r="J253">
        <v>0</v>
      </c>
      <c r="K253">
        <v>30315020952</v>
      </c>
      <c r="L253">
        <v>11883099084</v>
      </c>
      <c r="M253" t="s">
        <v>34</v>
      </c>
      <c r="N253">
        <v>1</v>
      </c>
      <c r="O253">
        <v>1</v>
      </c>
      <c r="P253" t="str">
        <f>VLOOKUP(B253,'CHECK_DT-BT_chi_tiet'!$A:$C,3,FALSE)</f>
        <v>BV Đà Nẵng</v>
      </c>
      <c r="Q253" t="str">
        <f>VLOOKUP(A253,Sheet3!$K$11:$L$21,2,FALSE)</f>
        <v>BH Y tế</v>
      </c>
      <c r="R253" t="str">
        <f>VLOOKUP(Q253,Sheet3!$L$11:$M$21,2,FALSE)</f>
        <v>HQ1</v>
      </c>
      <c r="S253" s="26">
        <f>SUMIFS('HQ2'!$O:$O,'HQ2'!$B:$B, "="&amp;'Tong_hop_HQNV_2026Q1_2026-06-23'!Q253, 'HQ2'!$A:$A,"="&amp;'Tong_hop_HQNV_2026Q1_2026-06-23'!P253)</f>
        <v>0</v>
      </c>
      <c r="T253" s="7">
        <f t="shared" si="3"/>
        <v>0</v>
      </c>
    </row>
    <row r="254" spans="1:20" x14ac:dyDescent="0.25">
      <c r="A254" t="s">
        <v>33</v>
      </c>
      <c r="B254" s="9" t="s">
        <v>307</v>
      </c>
      <c r="C254">
        <v>0</v>
      </c>
      <c r="D254">
        <v>-4791765</v>
      </c>
      <c r="E254">
        <v>-977836306</v>
      </c>
      <c r="F254">
        <v>4250259792</v>
      </c>
      <c r="G254">
        <v>451268517</v>
      </c>
      <c r="H254">
        <v>427606307</v>
      </c>
      <c r="I254">
        <v>0</v>
      </c>
      <c r="J254">
        <v>0</v>
      </c>
      <c r="K254">
        <v>4245468027</v>
      </c>
      <c r="L254">
        <v>977836306</v>
      </c>
      <c r="M254" t="s">
        <v>34</v>
      </c>
      <c r="N254">
        <v>1</v>
      </c>
      <c r="O254">
        <v>1</v>
      </c>
      <c r="P254" t="str">
        <f>VLOOKUP(B254,'CHECK_DT-BT_chi_tiet'!$A:$C,3,FALSE)</f>
        <v>BV Đồng Nai</v>
      </c>
      <c r="Q254" t="str">
        <f>VLOOKUP(A254,Sheet3!$K$11:$L$21,2,FALSE)</f>
        <v>BH Y tế</v>
      </c>
      <c r="R254" t="str">
        <f>VLOOKUP(Q254,Sheet3!$L$11:$M$21,2,FALSE)</f>
        <v>HQ1</v>
      </c>
      <c r="S254" s="26">
        <f>SUMIFS('HQ2'!$O:$O,'HQ2'!$B:$B, "="&amp;'Tong_hop_HQNV_2026Q1_2026-06-23'!Q254, 'HQ2'!$A:$A,"="&amp;'Tong_hop_HQNV_2026Q1_2026-06-23'!P254)</f>
        <v>0</v>
      </c>
      <c r="T254" s="7">
        <f t="shared" si="3"/>
        <v>0</v>
      </c>
    </row>
    <row r="255" spans="1:20" x14ac:dyDescent="0.25">
      <c r="A255" t="s">
        <v>33</v>
      </c>
      <c r="B255" s="9" t="s">
        <v>308</v>
      </c>
      <c r="C255">
        <v>0</v>
      </c>
      <c r="D255">
        <v>-447347</v>
      </c>
      <c r="E255">
        <v>-589104430</v>
      </c>
      <c r="F255">
        <v>1243695500</v>
      </c>
      <c r="G255">
        <v>95322742</v>
      </c>
      <c r="H255">
        <v>77728147</v>
      </c>
      <c r="I255">
        <v>0</v>
      </c>
      <c r="J255">
        <v>0</v>
      </c>
      <c r="K255">
        <v>1243248153</v>
      </c>
      <c r="L255">
        <v>589104430</v>
      </c>
      <c r="M255" t="s">
        <v>34</v>
      </c>
      <c r="N255">
        <v>1</v>
      </c>
      <c r="O255">
        <v>1</v>
      </c>
      <c r="P255" t="str">
        <f>VLOOKUP(B255,'CHECK_DT-BT_chi_tiet'!$A:$C,3,FALSE)</f>
        <v>BV Đồng Tháp</v>
      </c>
      <c r="Q255" t="str">
        <f>VLOOKUP(A255,Sheet3!$K$11:$L$21,2,FALSE)</f>
        <v>BH Y tế</v>
      </c>
      <c r="R255" t="str">
        <f>VLOOKUP(Q255,Sheet3!$L$11:$M$21,2,FALSE)</f>
        <v>HQ1</v>
      </c>
      <c r="S255" s="26">
        <f>SUMIFS('HQ2'!$O:$O,'HQ2'!$B:$B, "="&amp;'Tong_hop_HQNV_2026Q1_2026-06-23'!Q255, 'HQ2'!$A:$A,"="&amp;'Tong_hop_HQNV_2026Q1_2026-06-23'!P255)</f>
        <v>0</v>
      </c>
      <c r="T255" s="7">
        <f t="shared" si="3"/>
        <v>0</v>
      </c>
    </row>
    <row r="256" spans="1:20" x14ac:dyDescent="0.25">
      <c r="A256" t="s">
        <v>33</v>
      </c>
      <c r="B256" s="9" t="s">
        <v>310</v>
      </c>
      <c r="C256">
        <v>0</v>
      </c>
      <c r="D256">
        <v>-36667025</v>
      </c>
      <c r="E256">
        <v>-1224503974</v>
      </c>
      <c r="F256">
        <v>2802122496</v>
      </c>
      <c r="G256">
        <v>187968172</v>
      </c>
      <c r="H256">
        <v>182141607</v>
      </c>
      <c r="I256">
        <v>0</v>
      </c>
      <c r="J256">
        <v>0</v>
      </c>
      <c r="K256">
        <v>2765455471</v>
      </c>
      <c r="L256">
        <v>1224503974</v>
      </c>
      <c r="M256" t="s">
        <v>34</v>
      </c>
      <c r="N256">
        <v>1</v>
      </c>
      <c r="O256">
        <v>1</v>
      </c>
      <c r="P256" t="str">
        <f>VLOOKUP(B256,'CHECK_DT-BT_chi_tiet'!$A:$C,3,FALSE)</f>
        <v>BV Gia Lai</v>
      </c>
      <c r="Q256" t="str">
        <f>VLOOKUP(A256,Sheet3!$K$11:$L$21,2,FALSE)</f>
        <v>BH Y tế</v>
      </c>
      <c r="R256" t="str">
        <f>VLOOKUP(Q256,Sheet3!$L$11:$M$21,2,FALSE)</f>
        <v>HQ1</v>
      </c>
      <c r="S256" s="26">
        <f>SUMIFS('HQ2'!$O:$O,'HQ2'!$B:$B, "="&amp;'Tong_hop_HQNV_2026Q1_2026-06-23'!Q256, 'HQ2'!$A:$A,"="&amp;'Tong_hop_HQNV_2026Q1_2026-06-23'!P256)</f>
        <v>0</v>
      </c>
      <c r="T256" s="7">
        <f t="shared" si="3"/>
        <v>0</v>
      </c>
    </row>
    <row r="257" spans="1:20" x14ac:dyDescent="0.25">
      <c r="A257" t="s">
        <v>33</v>
      </c>
      <c r="B257" s="9" t="s">
        <v>311</v>
      </c>
      <c r="C257">
        <v>0</v>
      </c>
      <c r="D257">
        <v>0</v>
      </c>
      <c r="E257">
        <v>-40543000</v>
      </c>
      <c r="F257">
        <v>194872816</v>
      </c>
      <c r="G257">
        <v>26669114</v>
      </c>
      <c r="H257">
        <v>26669114</v>
      </c>
      <c r="I257">
        <v>0</v>
      </c>
      <c r="J257">
        <v>0</v>
      </c>
      <c r="K257">
        <v>194872816</v>
      </c>
      <c r="L257">
        <v>40543000</v>
      </c>
      <c r="M257" t="s">
        <v>34</v>
      </c>
      <c r="N257">
        <v>1</v>
      </c>
      <c r="O257">
        <v>1</v>
      </c>
      <c r="P257" t="str">
        <f>VLOOKUP(B257,'CHECK_DT-BT_chi_tiet'!$A:$C,3,FALSE)</f>
        <v>BV Hà Giang</v>
      </c>
      <c r="Q257" t="str">
        <f>VLOOKUP(A257,Sheet3!$K$11:$L$21,2,FALSE)</f>
        <v>BH Y tế</v>
      </c>
      <c r="R257" t="str">
        <f>VLOOKUP(Q257,Sheet3!$L$11:$M$21,2,FALSE)</f>
        <v>HQ1</v>
      </c>
      <c r="S257" s="26">
        <f>SUMIFS('HQ2'!$O:$O,'HQ2'!$B:$B, "="&amp;'Tong_hop_HQNV_2026Q1_2026-06-23'!Q257, 'HQ2'!$A:$A,"="&amp;'Tong_hop_HQNV_2026Q1_2026-06-23'!P257)</f>
        <v>0</v>
      </c>
      <c r="T257" s="7">
        <f t="shared" si="3"/>
        <v>0</v>
      </c>
    </row>
    <row r="258" spans="1:20" x14ac:dyDescent="0.25">
      <c r="A258" t="s">
        <v>33</v>
      </c>
      <c r="B258" s="9" t="s">
        <v>312</v>
      </c>
      <c r="C258">
        <v>0</v>
      </c>
      <c r="D258">
        <v>-546700</v>
      </c>
      <c r="E258">
        <v>-70426236</v>
      </c>
      <c r="F258">
        <v>296940350</v>
      </c>
      <c r="G258">
        <v>315786532</v>
      </c>
      <c r="H258">
        <v>15786532</v>
      </c>
      <c r="I258">
        <v>0</v>
      </c>
      <c r="J258">
        <v>0</v>
      </c>
      <c r="K258">
        <v>296393650</v>
      </c>
      <c r="L258">
        <v>70426236</v>
      </c>
      <c r="M258" t="s">
        <v>34</v>
      </c>
      <c r="N258">
        <v>1</v>
      </c>
      <c r="O258">
        <v>1</v>
      </c>
      <c r="P258" t="str">
        <f>VLOOKUP(B258,'CHECK_DT-BT_chi_tiet'!$A:$C,3,FALSE)</f>
        <v>BV Hà Nam</v>
      </c>
      <c r="Q258" t="str">
        <f>VLOOKUP(A258,Sheet3!$K$11:$L$21,2,FALSE)</f>
        <v>BH Y tế</v>
      </c>
      <c r="R258" t="str">
        <f>VLOOKUP(Q258,Sheet3!$L$11:$M$21,2,FALSE)</f>
        <v>HQ1</v>
      </c>
      <c r="S258" s="26">
        <f>SUMIFS('HQ2'!$O:$O,'HQ2'!$B:$B, "="&amp;'Tong_hop_HQNV_2026Q1_2026-06-23'!Q258, 'HQ2'!$A:$A,"="&amp;'Tong_hop_HQNV_2026Q1_2026-06-23'!P258)</f>
        <v>0</v>
      </c>
      <c r="T258" s="7">
        <f t="shared" si="3"/>
        <v>0</v>
      </c>
    </row>
    <row r="259" spans="1:20" x14ac:dyDescent="0.25">
      <c r="A259" t="s">
        <v>33</v>
      </c>
      <c r="B259" s="9" t="s">
        <v>306</v>
      </c>
      <c r="C259">
        <v>0</v>
      </c>
      <c r="D259">
        <v>-53987143</v>
      </c>
      <c r="E259">
        <v>-13217041531</v>
      </c>
      <c r="F259">
        <v>14647476843</v>
      </c>
      <c r="G259">
        <v>4980382289</v>
      </c>
      <c r="H259">
        <v>3589381031</v>
      </c>
      <c r="I259">
        <v>0</v>
      </c>
      <c r="J259">
        <v>0</v>
      </c>
      <c r="K259">
        <v>14593489700</v>
      </c>
      <c r="L259">
        <v>13217041531</v>
      </c>
      <c r="M259" t="s">
        <v>34</v>
      </c>
      <c r="N259">
        <v>1</v>
      </c>
      <c r="O259">
        <v>1</v>
      </c>
      <c r="P259" t="str">
        <f>VLOOKUP(B259,'CHECK_DT-BT_chi_tiet'!$A:$C,3,FALSE)</f>
        <v>BV Đông Đô</v>
      </c>
      <c r="Q259" t="str">
        <f>VLOOKUP(A259,Sheet3!$K$11:$L$21,2,FALSE)</f>
        <v>BH Y tế</v>
      </c>
      <c r="R259" t="str">
        <f>VLOOKUP(Q259,Sheet3!$L$11:$M$21,2,FALSE)</f>
        <v>HQ1</v>
      </c>
      <c r="S259" s="26">
        <f>SUMIFS('HQ2'!$O:$O,'HQ2'!$B:$B, "="&amp;'Tong_hop_HQNV_2026Q1_2026-06-23'!Q259, 'HQ2'!$A:$A,"="&amp;'Tong_hop_HQNV_2026Q1_2026-06-23'!P259)</f>
        <v>0</v>
      </c>
      <c r="T259" s="7">
        <f t="shared" ref="T259:T322" si="4">IFERROR(IF(R259="HQ2",S259-G259,0),0)</f>
        <v>0</v>
      </c>
    </row>
    <row r="260" spans="1:20" x14ac:dyDescent="0.25">
      <c r="A260" t="s">
        <v>33</v>
      </c>
      <c r="B260" s="9" t="s">
        <v>315</v>
      </c>
      <c r="C260">
        <v>0</v>
      </c>
      <c r="D260">
        <v>0</v>
      </c>
      <c r="E260">
        <v>-9448679</v>
      </c>
      <c r="F260">
        <v>248808250</v>
      </c>
      <c r="G260">
        <v>25259603</v>
      </c>
      <c r="H260">
        <v>25259603</v>
      </c>
      <c r="I260">
        <v>0</v>
      </c>
      <c r="J260">
        <v>0</v>
      </c>
      <c r="K260">
        <v>248808250</v>
      </c>
      <c r="L260">
        <v>9448679</v>
      </c>
      <c r="M260" t="s">
        <v>34</v>
      </c>
      <c r="N260">
        <v>1</v>
      </c>
      <c r="O260">
        <v>1</v>
      </c>
      <c r="P260" t="str">
        <f>VLOOKUP(B260,'CHECK_DT-BT_chi_tiet'!$A:$C,3,FALSE)</f>
        <v>BV Hà Tĩnh</v>
      </c>
      <c r="Q260" t="str">
        <f>VLOOKUP(A260,Sheet3!$K$11:$L$21,2,FALSE)</f>
        <v>BH Y tế</v>
      </c>
      <c r="R260" t="str">
        <f>VLOOKUP(Q260,Sheet3!$L$11:$M$21,2,FALSE)</f>
        <v>HQ1</v>
      </c>
      <c r="S260" s="26">
        <f>SUMIFS('HQ2'!$O:$O,'HQ2'!$B:$B, "="&amp;'Tong_hop_HQNV_2026Q1_2026-06-23'!Q260, 'HQ2'!$A:$A,"="&amp;'Tong_hop_HQNV_2026Q1_2026-06-23'!P260)</f>
        <v>0</v>
      </c>
      <c r="T260" s="7">
        <f t="shared" si="4"/>
        <v>0</v>
      </c>
    </row>
    <row r="261" spans="1:20" x14ac:dyDescent="0.25">
      <c r="A261" t="s">
        <v>33</v>
      </c>
      <c r="B261" s="9" t="s">
        <v>316</v>
      </c>
      <c r="C261">
        <v>0</v>
      </c>
      <c r="D261">
        <v>-1315000</v>
      </c>
      <c r="E261">
        <v>-177768529</v>
      </c>
      <c r="F261">
        <v>592362300</v>
      </c>
      <c r="G261">
        <v>73177876</v>
      </c>
      <c r="H261">
        <v>71047603</v>
      </c>
      <c r="I261">
        <v>0</v>
      </c>
      <c r="J261">
        <v>0</v>
      </c>
      <c r="K261">
        <v>591047300</v>
      </c>
      <c r="L261">
        <v>177768529</v>
      </c>
      <c r="M261" t="s">
        <v>34</v>
      </c>
      <c r="N261">
        <v>1</v>
      </c>
      <c r="O261">
        <v>1</v>
      </c>
      <c r="P261" t="str">
        <f>VLOOKUP(B261,'CHECK_DT-BT_chi_tiet'!$A:$C,3,FALSE)</f>
        <v>BV Hải Dương</v>
      </c>
      <c r="Q261" t="str">
        <f>VLOOKUP(A261,Sheet3!$K$11:$L$21,2,FALSE)</f>
        <v>BH Y tế</v>
      </c>
      <c r="R261" t="str">
        <f>VLOOKUP(Q261,Sheet3!$L$11:$M$21,2,FALSE)</f>
        <v>HQ1</v>
      </c>
      <c r="S261" s="26">
        <f>SUMIFS('HQ2'!$O:$O,'HQ2'!$B:$B, "="&amp;'Tong_hop_HQNV_2026Q1_2026-06-23'!Q261, 'HQ2'!$A:$A,"="&amp;'Tong_hop_HQNV_2026Q1_2026-06-23'!P261)</f>
        <v>0</v>
      </c>
      <c r="T261" s="7">
        <f t="shared" si="4"/>
        <v>0</v>
      </c>
    </row>
    <row r="262" spans="1:20" x14ac:dyDescent="0.25">
      <c r="A262" t="s">
        <v>33</v>
      </c>
      <c r="B262" s="9" t="s">
        <v>317</v>
      </c>
      <c r="C262">
        <v>0</v>
      </c>
      <c r="D262">
        <v>2100044</v>
      </c>
      <c r="E262">
        <v>-2814662081</v>
      </c>
      <c r="F262">
        <v>7819291941</v>
      </c>
      <c r="G262">
        <v>1446625465</v>
      </c>
      <c r="H262">
        <v>779315164</v>
      </c>
      <c r="I262">
        <v>0</v>
      </c>
      <c r="J262">
        <v>0</v>
      </c>
      <c r="K262">
        <v>7821391985</v>
      </c>
      <c r="L262">
        <v>2814662081</v>
      </c>
      <c r="M262" t="s">
        <v>34</v>
      </c>
      <c r="N262">
        <v>1</v>
      </c>
      <c r="O262">
        <v>1</v>
      </c>
      <c r="P262" t="str">
        <f>VLOOKUP(B262,'CHECK_DT-BT_chi_tiet'!$A:$C,3,FALSE)</f>
        <v>BV Hải Phòng</v>
      </c>
      <c r="Q262" t="str">
        <f>VLOOKUP(A262,Sheet3!$K$11:$L$21,2,FALSE)</f>
        <v>BH Y tế</v>
      </c>
      <c r="R262" t="str">
        <f>VLOOKUP(Q262,Sheet3!$L$11:$M$21,2,FALSE)</f>
        <v>HQ1</v>
      </c>
      <c r="S262" s="26">
        <f>SUMIFS('HQ2'!$O:$O,'HQ2'!$B:$B, "="&amp;'Tong_hop_HQNV_2026Q1_2026-06-23'!Q262, 'HQ2'!$A:$A,"="&amp;'Tong_hop_HQNV_2026Q1_2026-06-23'!P262)</f>
        <v>0</v>
      </c>
      <c r="T262" s="7">
        <f t="shared" si="4"/>
        <v>0</v>
      </c>
    </row>
    <row r="263" spans="1:20" x14ac:dyDescent="0.25">
      <c r="A263" t="s">
        <v>33</v>
      </c>
      <c r="B263" s="9" t="s">
        <v>321</v>
      </c>
      <c r="C263">
        <v>0</v>
      </c>
      <c r="D263">
        <v>-7976000</v>
      </c>
      <c r="E263">
        <v>-2143799824</v>
      </c>
      <c r="F263">
        <v>4205267338</v>
      </c>
      <c r="G263">
        <v>538445961</v>
      </c>
      <c r="H263">
        <v>470977752</v>
      </c>
      <c r="I263">
        <v>0</v>
      </c>
      <c r="J263">
        <v>0</v>
      </c>
      <c r="K263">
        <v>4197291338</v>
      </c>
      <c r="L263">
        <v>2143799824</v>
      </c>
      <c r="M263" t="s">
        <v>34</v>
      </c>
      <c r="N263">
        <v>1</v>
      </c>
      <c r="O263">
        <v>1</v>
      </c>
      <c r="P263" t="str">
        <f>VLOOKUP(B263,'CHECK_DT-BT_chi_tiet'!$A:$C,3,FALSE)</f>
        <v>BV Khánh Hòa</v>
      </c>
      <c r="Q263" t="str">
        <f>VLOOKUP(A263,Sheet3!$K$11:$L$21,2,FALSE)</f>
        <v>BH Y tế</v>
      </c>
      <c r="R263" t="str">
        <f>VLOOKUP(Q263,Sheet3!$L$11:$M$21,2,FALSE)</f>
        <v>HQ1</v>
      </c>
      <c r="S263" s="26">
        <f>SUMIFS('HQ2'!$O:$O,'HQ2'!$B:$B, "="&amp;'Tong_hop_HQNV_2026Q1_2026-06-23'!Q263, 'HQ2'!$A:$A,"="&amp;'Tong_hop_HQNV_2026Q1_2026-06-23'!P263)</f>
        <v>0</v>
      </c>
      <c r="T263" s="7">
        <f t="shared" si="4"/>
        <v>0</v>
      </c>
    </row>
    <row r="264" spans="1:20" x14ac:dyDescent="0.25">
      <c r="A264" t="s">
        <v>33</v>
      </c>
      <c r="B264" s="9" t="s">
        <v>325</v>
      </c>
      <c r="C264">
        <v>0</v>
      </c>
      <c r="D264">
        <v>-5755058</v>
      </c>
      <c r="E264">
        <v>-263134947</v>
      </c>
      <c r="F264">
        <v>933840925</v>
      </c>
      <c r="G264">
        <v>243422512</v>
      </c>
      <c r="H264">
        <v>194525720</v>
      </c>
      <c r="I264">
        <v>0</v>
      </c>
      <c r="J264">
        <v>0</v>
      </c>
      <c r="K264">
        <v>928085867</v>
      </c>
      <c r="L264">
        <v>263134947</v>
      </c>
      <c r="M264" t="s">
        <v>34</v>
      </c>
      <c r="N264">
        <v>1</v>
      </c>
      <c r="O264">
        <v>1</v>
      </c>
      <c r="P264" t="str">
        <f>VLOOKUP(B264,'CHECK_DT-BT_chi_tiet'!$A:$C,3,FALSE)</f>
        <v>BV Lâm Đồng</v>
      </c>
      <c r="Q264" t="str">
        <f>VLOOKUP(A264,Sheet3!$K$11:$L$21,2,FALSE)</f>
        <v>BH Y tế</v>
      </c>
      <c r="R264" t="str">
        <f>VLOOKUP(Q264,Sheet3!$L$11:$M$21,2,FALSE)</f>
        <v>HQ1</v>
      </c>
      <c r="S264" s="26">
        <f>SUMIFS('HQ2'!$O:$O,'HQ2'!$B:$B, "="&amp;'Tong_hop_HQNV_2026Q1_2026-06-23'!Q264, 'HQ2'!$A:$A,"="&amp;'Tong_hop_HQNV_2026Q1_2026-06-23'!P264)</f>
        <v>0</v>
      </c>
      <c r="T264" s="7">
        <f t="shared" si="4"/>
        <v>0</v>
      </c>
    </row>
    <row r="265" spans="1:20" x14ac:dyDescent="0.25">
      <c r="A265" t="s">
        <v>33</v>
      </c>
      <c r="B265" s="9" t="s">
        <v>334</v>
      </c>
      <c r="C265">
        <v>0</v>
      </c>
      <c r="D265">
        <v>-13375490</v>
      </c>
      <c r="E265">
        <v>-117764953</v>
      </c>
      <c r="F265">
        <v>464347226</v>
      </c>
      <c r="G265">
        <v>51806562</v>
      </c>
      <c r="H265">
        <v>51806562</v>
      </c>
      <c r="I265">
        <v>0</v>
      </c>
      <c r="J265">
        <v>0</v>
      </c>
      <c r="K265">
        <v>450971736</v>
      </c>
      <c r="L265">
        <v>117764953</v>
      </c>
      <c r="M265" t="s">
        <v>34</v>
      </c>
      <c r="N265">
        <v>1</v>
      </c>
      <c r="O265">
        <v>1</v>
      </c>
      <c r="P265" t="str">
        <f>VLOOKUP(B265,'CHECK_DT-BT_chi_tiet'!$A:$C,3,FALSE)</f>
        <v>BV Ninh Bình</v>
      </c>
      <c r="Q265" t="str">
        <f>VLOOKUP(A265,Sheet3!$K$11:$L$21,2,FALSE)</f>
        <v>BH Y tế</v>
      </c>
      <c r="R265" t="str">
        <f>VLOOKUP(Q265,Sheet3!$L$11:$M$21,2,FALSE)</f>
        <v>HQ1</v>
      </c>
      <c r="S265" s="26">
        <f>SUMIFS('HQ2'!$O:$O,'HQ2'!$B:$B, "="&amp;'Tong_hop_HQNV_2026Q1_2026-06-23'!Q265, 'HQ2'!$A:$A,"="&amp;'Tong_hop_HQNV_2026Q1_2026-06-23'!P265)</f>
        <v>0</v>
      </c>
      <c r="T265" s="7">
        <f t="shared" si="4"/>
        <v>0</v>
      </c>
    </row>
    <row r="266" spans="1:20" x14ac:dyDescent="0.25">
      <c r="A266" t="s">
        <v>33</v>
      </c>
      <c r="B266" s="9" t="s">
        <v>338</v>
      </c>
      <c r="C266">
        <v>0</v>
      </c>
      <c r="D266">
        <v>0</v>
      </c>
      <c r="E266">
        <v>-1895880729</v>
      </c>
      <c r="F266">
        <v>4804090997</v>
      </c>
      <c r="G266">
        <v>705569587</v>
      </c>
      <c r="H266">
        <v>450697578</v>
      </c>
      <c r="I266">
        <v>0</v>
      </c>
      <c r="J266">
        <v>0</v>
      </c>
      <c r="K266">
        <v>4804090997</v>
      </c>
      <c r="L266">
        <v>1895880729</v>
      </c>
      <c r="M266" t="s">
        <v>34</v>
      </c>
      <c r="N266">
        <v>1</v>
      </c>
      <c r="O266">
        <v>1</v>
      </c>
      <c r="P266" t="str">
        <f>VLOOKUP(B266,'CHECK_DT-BT_chi_tiet'!$A:$C,3,FALSE)</f>
        <v>BV Phú Thọ</v>
      </c>
      <c r="Q266" t="str">
        <f>VLOOKUP(A266,Sheet3!$K$11:$L$21,2,FALSE)</f>
        <v>BH Y tế</v>
      </c>
      <c r="R266" t="str">
        <f>VLOOKUP(Q266,Sheet3!$L$11:$M$21,2,FALSE)</f>
        <v>HQ1</v>
      </c>
      <c r="S266" s="26">
        <f>SUMIFS('HQ2'!$O:$O,'HQ2'!$B:$B, "="&amp;'Tong_hop_HQNV_2026Q1_2026-06-23'!Q266, 'HQ2'!$A:$A,"="&amp;'Tong_hop_HQNV_2026Q1_2026-06-23'!P266)</f>
        <v>0</v>
      </c>
      <c r="T266" s="7">
        <f t="shared" si="4"/>
        <v>0</v>
      </c>
    </row>
    <row r="267" spans="1:20" x14ac:dyDescent="0.25">
      <c r="A267" t="s">
        <v>33</v>
      </c>
      <c r="B267" s="9" t="s">
        <v>339</v>
      </c>
      <c r="C267">
        <v>0</v>
      </c>
      <c r="D267">
        <v>0</v>
      </c>
      <c r="E267">
        <v>-85011372</v>
      </c>
      <c r="F267">
        <v>690859950</v>
      </c>
      <c r="G267">
        <v>112316862</v>
      </c>
      <c r="H267">
        <v>112316862</v>
      </c>
      <c r="I267">
        <v>0</v>
      </c>
      <c r="J267">
        <v>0</v>
      </c>
      <c r="K267">
        <v>690859950</v>
      </c>
      <c r="L267">
        <v>85011372</v>
      </c>
      <c r="M267" t="s">
        <v>34</v>
      </c>
      <c r="N267">
        <v>1</v>
      </c>
      <c r="O267">
        <v>1</v>
      </c>
      <c r="P267" t="str">
        <f>VLOOKUP(B267,'CHECK_DT-BT_chi_tiet'!$A:$C,3,FALSE)</f>
        <v>BV Phú Yên</v>
      </c>
      <c r="Q267" t="str">
        <f>VLOOKUP(A267,Sheet3!$K$11:$L$21,2,FALSE)</f>
        <v>BH Y tế</v>
      </c>
      <c r="R267" t="str">
        <f>VLOOKUP(Q267,Sheet3!$L$11:$M$21,2,FALSE)</f>
        <v>HQ1</v>
      </c>
      <c r="S267" s="26">
        <f>SUMIFS('HQ2'!$O:$O,'HQ2'!$B:$B, "="&amp;'Tong_hop_HQNV_2026Q1_2026-06-23'!Q267, 'HQ2'!$A:$A,"="&amp;'Tong_hop_HQNV_2026Q1_2026-06-23'!P267)</f>
        <v>0</v>
      </c>
      <c r="T267" s="7">
        <f t="shared" si="4"/>
        <v>0</v>
      </c>
    </row>
    <row r="268" spans="1:20" x14ac:dyDescent="0.25">
      <c r="A268" t="s">
        <v>33</v>
      </c>
      <c r="B268" s="9" t="s">
        <v>342</v>
      </c>
      <c r="C268">
        <v>0</v>
      </c>
      <c r="D268">
        <v>-5749900</v>
      </c>
      <c r="E268">
        <v>-392820962</v>
      </c>
      <c r="F268">
        <v>556957402</v>
      </c>
      <c r="G268">
        <v>18349860</v>
      </c>
      <c r="H268">
        <v>14058950</v>
      </c>
      <c r="I268">
        <v>0</v>
      </c>
      <c r="J268">
        <v>0</v>
      </c>
      <c r="K268">
        <v>551207502</v>
      </c>
      <c r="L268">
        <v>392820962</v>
      </c>
      <c r="M268" t="s">
        <v>34</v>
      </c>
      <c r="N268">
        <v>1</v>
      </c>
      <c r="O268">
        <v>1</v>
      </c>
      <c r="P268" t="str">
        <f>VLOOKUP(B268,'CHECK_DT-BT_chi_tiet'!$A:$C,3,FALSE)</f>
        <v>BV Quảng Ngãi</v>
      </c>
      <c r="Q268" t="str">
        <f>VLOOKUP(A268,Sheet3!$K$11:$L$21,2,FALSE)</f>
        <v>BH Y tế</v>
      </c>
      <c r="R268" t="str">
        <f>VLOOKUP(Q268,Sheet3!$L$11:$M$21,2,FALSE)</f>
        <v>HQ1</v>
      </c>
      <c r="S268" s="26">
        <f>SUMIFS('HQ2'!$O:$O,'HQ2'!$B:$B, "="&amp;'Tong_hop_HQNV_2026Q1_2026-06-23'!Q268, 'HQ2'!$A:$A,"="&amp;'Tong_hop_HQNV_2026Q1_2026-06-23'!P268)</f>
        <v>0</v>
      </c>
      <c r="T268" s="7">
        <f t="shared" si="4"/>
        <v>0</v>
      </c>
    </row>
    <row r="269" spans="1:20" x14ac:dyDescent="0.25">
      <c r="A269" t="s">
        <v>33</v>
      </c>
      <c r="B269" s="9" t="s">
        <v>349</v>
      </c>
      <c r="C269">
        <v>0</v>
      </c>
      <c r="D269">
        <v>-5175712</v>
      </c>
      <c r="E269">
        <v>-2813222977</v>
      </c>
      <c r="F269">
        <v>778195800</v>
      </c>
      <c r="G269">
        <v>252222858</v>
      </c>
      <c r="H269">
        <v>245543751</v>
      </c>
      <c r="I269">
        <v>0</v>
      </c>
      <c r="J269">
        <v>0</v>
      </c>
      <c r="K269">
        <v>773020088</v>
      </c>
      <c r="L269">
        <v>2813222977</v>
      </c>
      <c r="M269" t="s">
        <v>34</v>
      </c>
      <c r="N269">
        <v>1</v>
      </c>
      <c r="O269">
        <v>1</v>
      </c>
      <c r="P269" t="str">
        <f>VLOOKUP(B269,'CHECK_DT-BT_chi_tiet'!$A:$C,3,FALSE)</f>
        <v>BV Tây Ninh</v>
      </c>
      <c r="Q269" t="str">
        <f>VLOOKUP(A269,Sheet3!$K$11:$L$21,2,FALSE)</f>
        <v>BH Y tế</v>
      </c>
      <c r="R269" t="str">
        <f>VLOOKUP(Q269,Sheet3!$L$11:$M$21,2,FALSE)</f>
        <v>HQ1</v>
      </c>
      <c r="S269" s="26">
        <f>SUMIFS('HQ2'!$O:$O,'HQ2'!$B:$B, "="&amp;'Tong_hop_HQNV_2026Q1_2026-06-23'!Q269, 'HQ2'!$A:$A,"="&amp;'Tong_hop_HQNV_2026Q1_2026-06-23'!P269)</f>
        <v>0</v>
      </c>
      <c r="T269" s="7">
        <f t="shared" si="4"/>
        <v>0</v>
      </c>
    </row>
    <row r="270" spans="1:20" x14ac:dyDescent="0.25">
      <c r="A270" t="s">
        <v>33</v>
      </c>
      <c r="B270" s="9" t="s">
        <v>350</v>
      </c>
      <c r="C270">
        <v>0</v>
      </c>
      <c r="D270">
        <v>0</v>
      </c>
      <c r="E270">
        <v>-115400924</v>
      </c>
      <c r="F270">
        <v>753545880</v>
      </c>
      <c r="G270">
        <v>31975442</v>
      </c>
      <c r="H270">
        <v>31769257</v>
      </c>
      <c r="I270">
        <v>0</v>
      </c>
      <c r="J270">
        <v>0</v>
      </c>
      <c r="K270">
        <v>753545880</v>
      </c>
      <c r="L270">
        <v>115400924</v>
      </c>
      <c r="M270" t="s">
        <v>34</v>
      </c>
      <c r="N270">
        <v>1</v>
      </c>
      <c r="O270">
        <v>1</v>
      </c>
      <c r="P270" t="str">
        <f>VLOOKUP(B270,'CHECK_DT-BT_chi_tiet'!$A:$C,3,FALSE)</f>
        <v>BV Thái Bình</v>
      </c>
      <c r="Q270" t="str">
        <f>VLOOKUP(A270,Sheet3!$K$11:$L$21,2,FALSE)</f>
        <v>BH Y tế</v>
      </c>
      <c r="R270" t="str">
        <f>VLOOKUP(Q270,Sheet3!$L$11:$M$21,2,FALSE)</f>
        <v>HQ1</v>
      </c>
      <c r="S270" s="26">
        <f>SUMIFS('HQ2'!$O:$O,'HQ2'!$B:$B, "="&amp;'Tong_hop_HQNV_2026Q1_2026-06-23'!Q270, 'HQ2'!$A:$A,"="&amp;'Tong_hop_HQNV_2026Q1_2026-06-23'!P270)</f>
        <v>0</v>
      </c>
      <c r="T270" s="7">
        <f t="shared" si="4"/>
        <v>0</v>
      </c>
    </row>
    <row r="271" spans="1:20" x14ac:dyDescent="0.25">
      <c r="A271" t="s">
        <v>33</v>
      </c>
      <c r="B271" s="9" t="s">
        <v>351</v>
      </c>
      <c r="C271">
        <v>0</v>
      </c>
      <c r="D271" s="92">
        <v>-300000</v>
      </c>
      <c r="E271">
        <v>-252176041</v>
      </c>
      <c r="F271">
        <v>978517802</v>
      </c>
      <c r="G271">
        <v>36142101</v>
      </c>
      <c r="H271">
        <v>18548796</v>
      </c>
      <c r="I271">
        <v>0</v>
      </c>
      <c r="J271">
        <v>0</v>
      </c>
      <c r="K271">
        <v>978217802</v>
      </c>
      <c r="L271">
        <v>252176041</v>
      </c>
      <c r="M271" t="s">
        <v>34</v>
      </c>
      <c r="N271">
        <v>1</v>
      </c>
      <c r="O271">
        <v>1</v>
      </c>
      <c r="P271" t="str">
        <f>VLOOKUP(B271,'CHECK_DT-BT_chi_tiet'!$A:$C,3,FALSE)</f>
        <v>BV Thái Nguyên</v>
      </c>
      <c r="Q271" t="str">
        <f>VLOOKUP(A271,Sheet3!$K$11:$L$21,2,FALSE)</f>
        <v>BH Y tế</v>
      </c>
      <c r="R271" t="str">
        <f>VLOOKUP(Q271,Sheet3!$L$11:$M$21,2,FALSE)</f>
        <v>HQ1</v>
      </c>
      <c r="S271" s="26">
        <f>SUMIFS('HQ2'!$O:$O,'HQ2'!$B:$B, "="&amp;'Tong_hop_HQNV_2026Q1_2026-06-23'!Q271, 'HQ2'!$A:$A,"="&amp;'Tong_hop_HQNV_2026Q1_2026-06-23'!P271)</f>
        <v>0</v>
      </c>
      <c r="T271" s="7">
        <f t="shared" si="4"/>
        <v>0</v>
      </c>
    </row>
    <row r="272" spans="1:20" x14ac:dyDescent="0.25">
      <c r="A272" t="s">
        <v>33</v>
      </c>
      <c r="B272" s="9" t="s">
        <v>355</v>
      </c>
      <c r="C272">
        <v>0</v>
      </c>
      <c r="D272">
        <v>-3881500</v>
      </c>
      <c r="E272">
        <v>-938683435</v>
      </c>
      <c r="F272">
        <v>2690108605</v>
      </c>
      <c r="G272">
        <v>582712689</v>
      </c>
      <c r="H272">
        <v>539436125</v>
      </c>
      <c r="I272">
        <v>0</v>
      </c>
      <c r="J272">
        <v>0</v>
      </c>
      <c r="K272">
        <v>2686227105</v>
      </c>
      <c r="L272">
        <v>938683435</v>
      </c>
      <c r="M272" t="s">
        <v>34</v>
      </c>
      <c r="N272">
        <v>1</v>
      </c>
      <c r="O272">
        <v>1</v>
      </c>
      <c r="P272" t="str">
        <f>VLOOKUP(B272,'CHECK_DT-BT_chi_tiet'!$A:$C,3,FALSE)</f>
        <v>BV Thừa Thiên Huế</v>
      </c>
      <c r="Q272" t="str">
        <f>VLOOKUP(A272,Sheet3!$K$11:$L$21,2,FALSE)</f>
        <v>BH Y tế</v>
      </c>
      <c r="R272" t="str">
        <f>VLOOKUP(Q272,Sheet3!$L$11:$M$21,2,FALSE)</f>
        <v>HQ1</v>
      </c>
      <c r="S272" s="26">
        <f>SUMIFS('HQ2'!$O:$O,'HQ2'!$B:$B, "="&amp;'Tong_hop_HQNV_2026Q1_2026-06-23'!Q272, 'HQ2'!$A:$A,"="&amp;'Tong_hop_HQNV_2026Q1_2026-06-23'!P272)</f>
        <v>0</v>
      </c>
      <c r="T272" s="7">
        <f t="shared" si="4"/>
        <v>0</v>
      </c>
    </row>
    <row r="273" spans="1:20" x14ac:dyDescent="0.25">
      <c r="A273" t="s">
        <v>33</v>
      </c>
      <c r="B273" s="9" t="s">
        <v>356</v>
      </c>
      <c r="C273">
        <v>0</v>
      </c>
      <c r="D273">
        <v>0</v>
      </c>
      <c r="E273">
        <v>-123319141</v>
      </c>
      <c r="F273">
        <v>972074710</v>
      </c>
      <c r="G273">
        <v>211733736</v>
      </c>
      <c r="H273">
        <v>11607238</v>
      </c>
      <c r="I273">
        <v>0</v>
      </c>
      <c r="J273">
        <v>0</v>
      </c>
      <c r="K273">
        <v>972074710</v>
      </c>
      <c r="L273">
        <v>123319141</v>
      </c>
      <c r="M273" t="s">
        <v>34</v>
      </c>
      <c r="N273">
        <v>1</v>
      </c>
      <c r="O273">
        <v>1</v>
      </c>
      <c r="P273" t="str">
        <f>VLOOKUP(B273,'CHECK_DT-BT_chi_tiet'!$A:$C,3,FALSE)</f>
        <v>BV Tiền Giang</v>
      </c>
      <c r="Q273" t="str">
        <f>VLOOKUP(A273,Sheet3!$K$11:$L$21,2,FALSE)</f>
        <v>BH Y tế</v>
      </c>
      <c r="R273" t="str">
        <f>VLOOKUP(Q273,Sheet3!$L$11:$M$21,2,FALSE)</f>
        <v>HQ1</v>
      </c>
      <c r="S273" s="26">
        <f>SUMIFS('HQ2'!$O:$O,'HQ2'!$B:$B, "="&amp;'Tong_hop_HQNV_2026Q1_2026-06-23'!Q273, 'HQ2'!$A:$A,"="&amp;'Tong_hop_HQNV_2026Q1_2026-06-23'!P273)</f>
        <v>0</v>
      </c>
      <c r="T273" s="7">
        <f t="shared" si="4"/>
        <v>0</v>
      </c>
    </row>
    <row r="274" spans="1:20" x14ac:dyDescent="0.25">
      <c r="A274" t="s">
        <v>33</v>
      </c>
      <c r="B274" s="9" t="s">
        <v>357</v>
      </c>
      <c r="C274">
        <v>0</v>
      </c>
      <c r="D274">
        <v>-588140</v>
      </c>
      <c r="E274">
        <v>-90459265</v>
      </c>
      <c r="F274">
        <v>1357296190</v>
      </c>
      <c r="G274">
        <v>12450790</v>
      </c>
      <c r="H274">
        <v>11283470</v>
      </c>
      <c r="I274">
        <v>0</v>
      </c>
      <c r="J274">
        <v>0</v>
      </c>
      <c r="K274">
        <v>1356708050</v>
      </c>
      <c r="L274">
        <v>90459265</v>
      </c>
      <c r="M274" t="s">
        <v>34</v>
      </c>
      <c r="N274">
        <v>1</v>
      </c>
      <c r="O274">
        <v>1</v>
      </c>
      <c r="P274" t="str">
        <f>VLOOKUP(B274,'CHECK_DT-BT_chi_tiet'!$A:$C,3,FALSE)</f>
        <v>BV Trà Vinh</v>
      </c>
      <c r="Q274" t="str">
        <f>VLOOKUP(A274,Sheet3!$K$11:$L$21,2,FALSE)</f>
        <v>BH Y tế</v>
      </c>
      <c r="R274" t="str">
        <f>VLOOKUP(Q274,Sheet3!$L$11:$M$21,2,FALSE)</f>
        <v>HQ1</v>
      </c>
      <c r="S274" s="26">
        <f>SUMIFS('HQ2'!$O:$O,'HQ2'!$B:$B, "="&amp;'Tong_hop_HQNV_2026Q1_2026-06-23'!Q274, 'HQ2'!$A:$A,"="&amp;'Tong_hop_HQNV_2026Q1_2026-06-23'!P274)</f>
        <v>0</v>
      </c>
      <c r="T274" s="7">
        <f t="shared" si="4"/>
        <v>0</v>
      </c>
    </row>
    <row r="275" spans="1:20" x14ac:dyDescent="0.25">
      <c r="A275" t="s">
        <v>33</v>
      </c>
      <c r="B275" s="9" t="s">
        <v>360</v>
      </c>
      <c r="C275">
        <v>0</v>
      </c>
      <c r="D275">
        <v>0</v>
      </c>
      <c r="E275">
        <v>-525316533</v>
      </c>
      <c r="F275">
        <v>1402443390</v>
      </c>
      <c r="G275">
        <v>34648228</v>
      </c>
      <c r="H275">
        <v>34648228</v>
      </c>
      <c r="I275">
        <v>0</v>
      </c>
      <c r="J275">
        <v>0</v>
      </c>
      <c r="K275">
        <v>1402443390</v>
      </c>
      <c r="L275">
        <v>525316533</v>
      </c>
      <c r="M275" t="s">
        <v>34</v>
      </c>
      <c r="N275">
        <v>1</v>
      </c>
      <c r="O275">
        <v>1</v>
      </c>
      <c r="P275" t="str">
        <f>VLOOKUP(B275,'CHECK_DT-BT_chi_tiet'!$A:$C,3,FALSE)</f>
        <v>BV Vĩnh Long</v>
      </c>
      <c r="Q275" t="str">
        <f>VLOOKUP(A275,Sheet3!$K$11:$L$21,2,FALSE)</f>
        <v>BH Y tế</v>
      </c>
      <c r="R275" t="str">
        <f>VLOOKUP(Q275,Sheet3!$L$11:$M$21,2,FALSE)</f>
        <v>HQ1</v>
      </c>
      <c r="S275" s="26">
        <f>SUMIFS('HQ2'!$O:$O,'HQ2'!$B:$B, "="&amp;'Tong_hop_HQNV_2026Q1_2026-06-23'!Q275, 'HQ2'!$A:$A,"="&amp;'Tong_hop_HQNV_2026Q1_2026-06-23'!P275)</f>
        <v>0</v>
      </c>
      <c r="T275" s="7">
        <f t="shared" si="4"/>
        <v>0</v>
      </c>
    </row>
    <row r="276" spans="1:20" x14ac:dyDescent="0.25">
      <c r="A276" t="s">
        <v>33</v>
      </c>
      <c r="B276" s="9" t="s">
        <v>361</v>
      </c>
      <c r="C276">
        <v>0</v>
      </c>
      <c r="D276">
        <v>-31737352</v>
      </c>
      <c r="E276">
        <v>-766381418</v>
      </c>
      <c r="F276">
        <v>2748426157</v>
      </c>
      <c r="G276">
        <v>341396997</v>
      </c>
      <c r="H276">
        <v>282043667</v>
      </c>
      <c r="I276">
        <v>0</v>
      </c>
      <c r="J276">
        <v>0</v>
      </c>
      <c r="K276">
        <v>2716688805</v>
      </c>
      <c r="L276">
        <v>766381418</v>
      </c>
      <c r="M276" t="s">
        <v>34</v>
      </c>
      <c r="N276">
        <v>1</v>
      </c>
      <c r="O276">
        <v>1</v>
      </c>
      <c r="P276" t="str">
        <f>VLOOKUP(B276,'CHECK_DT-BT_chi_tiet'!$A:$C,3,FALSE)</f>
        <v>BV Vĩnh Phúc</v>
      </c>
      <c r="Q276" t="str">
        <f>VLOOKUP(A276,Sheet3!$K$11:$L$21,2,FALSE)</f>
        <v>BH Y tế</v>
      </c>
      <c r="R276" t="str">
        <f>VLOOKUP(Q276,Sheet3!$L$11:$M$21,2,FALSE)</f>
        <v>HQ1</v>
      </c>
      <c r="S276" s="26">
        <f>SUMIFS('HQ2'!$O:$O,'HQ2'!$B:$B, "="&amp;'Tong_hop_HQNV_2026Q1_2026-06-23'!Q276, 'HQ2'!$A:$A,"="&amp;'Tong_hop_HQNV_2026Q1_2026-06-23'!P276)</f>
        <v>0</v>
      </c>
      <c r="T276" s="7">
        <f t="shared" si="4"/>
        <v>0</v>
      </c>
    </row>
    <row r="277" spans="1:20" x14ac:dyDescent="0.25">
      <c r="A277" t="s">
        <v>33</v>
      </c>
      <c r="B277" s="9" t="s">
        <v>318</v>
      </c>
      <c r="C277">
        <v>0</v>
      </c>
      <c r="D277">
        <v>-3335803</v>
      </c>
      <c r="E277">
        <v>-252987915</v>
      </c>
      <c r="F277">
        <v>935212395</v>
      </c>
      <c r="G277">
        <v>43161049</v>
      </c>
      <c r="H277">
        <v>31067551</v>
      </c>
      <c r="I277">
        <v>0</v>
      </c>
      <c r="J277">
        <v>0</v>
      </c>
      <c r="K277">
        <v>931876592</v>
      </c>
      <c r="L277">
        <v>252987915</v>
      </c>
      <c r="M277" t="s">
        <v>34</v>
      </c>
      <c r="N277">
        <v>1</v>
      </c>
      <c r="O277">
        <v>1</v>
      </c>
      <c r="P277" t="str">
        <f>VLOOKUP(B277,'CHECK_DT-BT_chi_tiet'!$A:$C,3,FALSE)</f>
        <v>BV Hậu Giang</v>
      </c>
      <c r="Q277" t="str">
        <f>VLOOKUP(A277,Sheet3!$K$11:$L$21,2,FALSE)</f>
        <v>BH Y tế</v>
      </c>
      <c r="R277" t="str">
        <f>VLOOKUP(Q277,Sheet3!$L$11:$M$21,2,FALSE)</f>
        <v>HQ1</v>
      </c>
      <c r="S277" s="26">
        <f>SUMIFS('HQ2'!$O:$O,'HQ2'!$B:$B, "="&amp;'Tong_hop_HQNV_2026Q1_2026-06-23'!Q277, 'HQ2'!$A:$A,"="&amp;'Tong_hop_HQNV_2026Q1_2026-06-23'!P277)</f>
        <v>0</v>
      </c>
      <c r="T277" s="7">
        <f t="shared" si="4"/>
        <v>0</v>
      </c>
    </row>
    <row r="278" spans="1:20" x14ac:dyDescent="0.25">
      <c r="A278" t="s">
        <v>33</v>
      </c>
      <c r="B278" s="9" t="s">
        <v>304</v>
      </c>
      <c r="C278">
        <v>0</v>
      </c>
      <c r="D278">
        <v>0</v>
      </c>
      <c r="E278">
        <v>-222241512</v>
      </c>
      <c r="F278">
        <v>639921102</v>
      </c>
      <c r="G278">
        <v>161265352</v>
      </c>
      <c r="H278">
        <v>120565352</v>
      </c>
      <c r="I278">
        <v>0</v>
      </c>
      <c r="J278">
        <v>0</v>
      </c>
      <c r="K278">
        <v>639921102</v>
      </c>
      <c r="L278">
        <v>222241512</v>
      </c>
      <c r="M278" t="s">
        <v>34</v>
      </c>
      <c r="N278">
        <v>1</v>
      </c>
      <c r="O278">
        <v>1</v>
      </c>
      <c r="P278" t="str">
        <f>VLOOKUP(B278,'CHECK_DT-BT_chi_tiet'!$A:$C,3,FALSE)</f>
        <v>BV Đình Vũ</v>
      </c>
      <c r="Q278" t="str">
        <f>VLOOKUP(A278,Sheet3!$K$11:$L$21,2,FALSE)</f>
        <v>BH Y tế</v>
      </c>
      <c r="R278" t="str">
        <f>VLOOKUP(Q278,Sheet3!$L$11:$M$21,2,FALSE)</f>
        <v>HQ1</v>
      </c>
      <c r="S278" s="26">
        <f>SUMIFS('HQ2'!$O:$O,'HQ2'!$B:$B, "="&amp;'Tong_hop_HQNV_2026Q1_2026-06-23'!Q278, 'HQ2'!$A:$A,"="&amp;'Tong_hop_HQNV_2026Q1_2026-06-23'!P278)</f>
        <v>0</v>
      </c>
      <c r="T278" s="7">
        <f t="shared" si="4"/>
        <v>0</v>
      </c>
    </row>
    <row r="279" spans="1:20" x14ac:dyDescent="0.25">
      <c r="A279" t="s">
        <v>33</v>
      </c>
      <c r="B279" s="9" t="s">
        <v>314</v>
      </c>
      <c r="C279">
        <v>0</v>
      </c>
      <c r="D279">
        <v>0</v>
      </c>
      <c r="E279">
        <v>-27951615684</v>
      </c>
      <c r="F279">
        <v>95012610470</v>
      </c>
      <c r="G279">
        <v>12220086285</v>
      </c>
      <c r="H279">
        <v>9417790738</v>
      </c>
      <c r="I279">
        <v>0</v>
      </c>
      <c r="J279">
        <v>0</v>
      </c>
      <c r="K279">
        <v>95012610470</v>
      </c>
      <c r="L279">
        <v>27951615684</v>
      </c>
      <c r="M279" t="s">
        <v>34</v>
      </c>
      <c r="N279">
        <v>1</v>
      </c>
      <c r="O279">
        <v>1</v>
      </c>
      <c r="P279" t="str">
        <f>VLOOKUP(B279,'CHECK_DT-BT_chi_tiet'!$A:$C,3,FALSE)</f>
        <v>BV Hà Thành</v>
      </c>
      <c r="Q279" t="str">
        <f>VLOOKUP(A279,Sheet3!$K$11:$L$21,2,FALSE)</f>
        <v>BH Y tế</v>
      </c>
      <c r="R279" t="str">
        <f>VLOOKUP(Q279,Sheet3!$L$11:$M$21,2,FALSE)</f>
        <v>HQ1</v>
      </c>
      <c r="S279" s="26">
        <f>SUMIFS('HQ2'!$O:$O,'HQ2'!$B:$B, "="&amp;'Tong_hop_HQNV_2026Q1_2026-06-23'!Q279, 'HQ2'!$A:$A,"="&amp;'Tong_hop_HQNV_2026Q1_2026-06-23'!P279)</f>
        <v>0</v>
      </c>
      <c r="T279" s="7">
        <f t="shared" si="4"/>
        <v>0</v>
      </c>
    </row>
    <row r="280" spans="1:20" x14ac:dyDescent="0.25">
      <c r="A280" t="s">
        <v>33</v>
      </c>
      <c r="B280" s="9" t="s">
        <v>348</v>
      </c>
      <c r="C280">
        <v>0</v>
      </c>
      <c r="D280">
        <v>-6471449</v>
      </c>
      <c r="E280">
        <v>-1267778125</v>
      </c>
      <c r="F280">
        <v>2404980743</v>
      </c>
      <c r="G280">
        <v>683069400</v>
      </c>
      <c r="H280">
        <v>240106279</v>
      </c>
      <c r="I280">
        <v>0</v>
      </c>
      <c r="J280">
        <v>0</v>
      </c>
      <c r="K280">
        <v>2398509294</v>
      </c>
      <c r="L280">
        <v>1267778125</v>
      </c>
      <c r="M280" t="s">
        <v>34</v>
      </c>
      <c r="N280">
        <v>1</v>
      </c>
      <c r="O280">
        <v>1</v>
      </c>
      <c r="P280" t="str">
        <f>VLOOKUP(B280,'CHECK_DT-BT_chi_tiet'!$A:$C,3,FALSE)</f>
        <v>BV Sơn Tây</v>
      </c>
      <c r="Q280" t="str">
        <f>VLOOKUP(A280,Sheet3!$K$11:$L$21,2,FALSE)</f>
        <v>BH Y tế</v>
      </c>
      <c r="R280" t="str">
        <f>VLOOKUP(Q280,Sheet3!$L$11:$M$21,2,FALSE)</f>
        <v>HQ1</v>
      </c>
      <c r="S280" s="26">
        <f>SUMIFS('HQ2'!$O:$O,'HQ2'!$B:$B, "="&amp;'Tong_hop_HQNV_2026Q1_2026-06-23'!Q280, 'HQ2'!$A:$A,"="&amp;'Tong_hop_HQNV_2026Q1_2026-06-23'!P280)</f>
        <v>0</v>
      </c>
      <c r="T280" s="7">
        <f t="shared" si="4"/>
        <v>0</v>
      </c>
    </row>
    <row r="281" spans="1:20" x14ac:dyDescent="0.25">
      <c r="A281" t="s">
        <v>33</v>
      </c>
      <c r="B281" s="9" t="s">
        <v>291</v>
      </c>
      <c r="C281">
        <v>0</v>
      </c>
      <c r="D281">
        <v>0</v>
      </c>
      <c r="E281">
        <v>-3506068076</v>
      </c>
      <c r="F281">
        <v>10195076873</v>
      </c>
      <c r="G281">
        <v>3227704492</v>
      </c>
      <c r="H281">
        <v>1072228616</v>
      </c>
      <c r="I281">
        <v>0</v>
      </c>
      <c r="J281">
        <v>0</v>
      </c>
      <c r="K281">
        <v>10195076873</v>
      </c>
      <c r="L281">
        <v>3506068076</v>
      </c>
      <c r="M281" t="s">
        <v>34</v>
      </c>
      <c r="N281">
        <v>1</v>
      </c>
      <c r="O281">
        <v>1</v>
      </c>
      <c r="P281" t="str">
        <f>VLOOKUP(B281,'CHECK_DT-BT_chi_tiet'!$A:$C,3,FALSE)</f>
        <v>BV Bến Thành</v>
      </c>
      <c r="Q281" t="str">
        <f>VLOOKUP(A281,Sheet3!$K$11:$L$21,2,FALSE)</f>
        <v>BH Y tế</v>
      </c>
      <c r="R281" t="str">
        <f>VLOOKUP(Q281,Sheet3!$L$11:$M$21,2,FALSE)</f>
        <v>HQ1</v>
      </c>
      <c r="S281" s="26">
        <f>SUMIFS('HQ2'!$O:$O,'HQ2'!$B:$B, "="&amp;'Tong_hop_HQNV_2026Q1_2026-06-23'!Q281, 'HQ2'!$A:$A,"="&amp;'Tong_hop_HQNV_2026Q1_2026-06-23'!P281)</f>
        <v>0</v>
      </c>
      <c r="T281" s="7">
        <f t="shared" si="4"/>
        <v>0</v>
      </c>
    </row>
    <row r="282" spans="1:20" x14ac:dyDescent="0.25">
      <c r="A282" t="s">
        <v>14</v>
      </c>
      <c r="B282" s="9" t="s">
        <v>234</v>
      </c>
      <c r="C282">
        <v>0</v>
      </c>
      <c r="D282">
        <v>0</v>
      </c>
      <c r="E282">
        <v>-13885000</v>
      </c>
      <c r="F282">
        <v>0</v>
      </c>
      <c r="G282">
        <v>51629942</v>
      </c>
      <c r="H282">
        <v>7985709</v>
      </c>
      <c r="I282">
        <v>0</v>
      </c>
      <c r="J282">
        <v>0</v>
      </c>
      <c r="K282">
        <v>0</v>
      </c>
      <c r="L282">
        <v>13885000</v>
      </c>
      <c r="M282" t="s">
        <v>15</v>
      </c>
      <c r="N282">
        <v>1</v>
      </c>
      <c r="O282">
        <v>1</v>
      </c>
      <c r="P282" t="str">
        <f>VLOOKUP(B282,'CHECK_DT-BT_chi_tiet'!$A:$C,3,FALSE)</f>
        <v>TSC-Ban KDBH Phi hàng hải TSC</v>
      </c>
      <c r="Q282" t="str">
        <f>VLOOKUP(A282,Sheet3!$K$11:$L$21,2,FALSE)</f>
        <v>BH Con người</v>
      </c>
      <c r="R282" t="str">
        <f>VLOOKUP(Q282,Sheet3!$L$11:$M$21,2,FALSE)</f>
        <v>HQ1</v>
      </c>
      <c r="S282" s="26">
        <f>SUMIFS('HQ2'!$O:$O,'HQ2'!$B:$B, "="&amp;'Tong_hop_HQNV_2026Q1_2026-06-23'!Q282, 'HQ2'!$A:$A,"="&amp;'Tong_hop_HQNV_2026Q1_2026-06-23'!P282)</f>
        <v>0</v>
      </c>
      <c r="T282" s="7">
        <f t="shared" si="4"/>
        <v>0</v>
      </c>
    </row>
    <row r="283" spans="1:20" x14ac:dyDescent="0.25">
      <c r="A283" t="s">
        <v>14</v>
      </c>
      <c r="B283" s="9" t="s">
        <v>234</v>
      </c>
      <c r="C283">
        <v>0</v>
      </c>
      <c r="D283">
        <v>0</v>
      </c>
      <c r="E283">
        <v>-142773400</v>
      </c>
      <c r="F283">
        <v>857289275</v>
      </c>
      <c r="G283">
        <v>0</v>
      </c>
      <c r="H283">
        <v>0</v>
      </c>
      <c r="I283">
        <v>0</v>
      </c>
      <c r="J283">
        <v>0</v>
      </c>
      <c r="K283">
        <v>857289275</v>
      </c>
      <c r="L283">
        <v>142773400</v>
      </c>
      <c r="M283" t="s">
        <v>15</v>
      </c>
      <c r="N283">
        <v>1</v>
      </c>
      <c r="O283">
        <v>1</v>
      </c>
      <c r="P283" t="str">
        <f>VLOOKUP(B283,'CHECK_DT-BT_chi_tiet'!$A:$C,3,FALSE)</f>
        <v>TSC-Ban KDBH Phi hàng hải TSC</v>
      </c>
      <c r="Q283" t="str">
        <f>VLOOKUP(A283,Sheet3!$K$11:$L$21,2,FALSE)</f>
        <v>BH Con người</v>
      </c>
      <c r="R283" t="str">
        <f>VLOOKUP(Q283,Sheet3!$L$11:$M$21,2,FALSE)</f>
        <v>HQ1</v>
      </c>
      <c r="S283" s="26">
        <f>SUMIFS('HQ2'!$O:$O,'HQ2'!$B:$B, "="&amp;'Tong_hop_HQNV_2026Q1_2026-06-23'!Q283, 'HQ2'!$A:$A,"="&amp;'Tong_hop_HQNV_2026Q1_2026-06-23'!P283)</f>
        <v>0</v>
      </c>
      <c r="T283" s="7">
        <f t="shared" si="4"/>
        <v>0</v>
      </c>
    </row>
    <row r="284" spans="1:20" x14ac:dyDescent="0.25">
      <c r="A284" t="s">
        <v>14</v>
      </c>
      <c r="B284" s="9" t="s">
        <v>227</v>
      </c>
      <c r="C284">
        <v>0</v>
      </c>
      <c r="D284">
        <v>0</v>
      </c>
      <c r="E284">
        <v>-57794008</v>
      </c>
      <c r="F284">
        <v>234507080</v>
      </c>
      <c r="G284">
        <v>0</v>
      </c>
      <c r="H284">
        <v>0</v>
      </c>
      <c r="I284">
        <v>0</v>
      </c>
      <c r="J284">
        <v>0</v>
      </c>
      <c r="K284">
        <v>234507080</v>
      </c>
      <c r="L284">
        <v>57794008</v>
      </c>
      <c r="M284" t="s">
        <v>15</v>
      </c>
      <c r="N284">
        <v>1</v>
      </c>
      <c r="O284">
        <v>1</v>
      </c>
      <c r="P284" t="str">
        <f>VLOOKUP(B284,'CHECK_DT-BT_chi_tiet'!$A:$C,3,FALSE)</f>
        <v>TSC-Ban BH Dự án (Fronting)</v>
      </c>
      <c r="Q284" t="str">
        <f>VLOOKUP(A284,Sheet3!$K$11:$L$21,2,FALSE)</f>
        <v>BH Con người</v>
      </c>
      <c r="R284" t="str">
        <f>VLOOKUP(Q284,Sheet3!$L$11:$M$21,2,FALSE)</f>
        <v>HQ1</v>
      </c>
      <c r="S284" s="26">
        <f>SUMIFS('HQ2'!$O:$O,'HQ2'!$B:$B, "="&amp;'Tong_hop_HQNV_2026Q1_2026-06-23'!Q284, 'HQ2'!$A:$A,"="&amp;'Tong_hop_HQNV_2026Q1_2026-06-23'!P284)</f>
        <v>0</v>
      </c>
      <c r="T284" s="7">
        <f t="shared" si="4"/>
        <v>0</v>
      </c>
    </row>
    <row r="285" spans="1:20" x14ac:dyDescent="0.25">
      <c r="A285" t="s">
        <v>14</v>
      </c>
      <c r="B285" s="9" t="s">
        <v>287</v>
      </c>
      <c r="C285">
        <v>0</v>
      </c>
      <c r="D285">
        <v>0</v>
      </c>
      <c r="E285">
        <v>-451485810</v>
      </c>
      <c r="F285">
        <v>453262400</v>
      </c>
      <c r="G285">
        <v>0</v>
      </c>
      <c r="H285">
        <v>0</v>
      </c>
      <c r="I285">
        <v>0</v>
      </c>
      <c r="J285">
        <v>0</v>
      </c>
      <c r="K285">
        <v>453262400</v>
      </c>
      <c r="L285">
        <v>451485810</v>
      </c>
      <c r="M285" t="s">
        <v>15</v>
      </c>
      <c r="N285">
        <v>1</v>
      </c>
      <c r="O285">
        <v>1</v>
      </c>
      <c r="P285" t="str">
        <f>VLOOKUP(B285,'CHECK_DT-BT_chi_tiet'!$A:$C,3,FALSE)</f>
        <v>BV Bắc Cạn</v>
      </c>
      <c r="Q285" t="str">
        <f>VLOOKUP(A285,Sheet3!$K$11:$L$21,2,FALSE)</f>
        <v>BH Con người</v>
      </c>
      <c r="R285" t="str">
        <f>VLOOKUP(Q285,Sheet3!$L$11:$M$21,2,FALSE)</f>
        <v>HQ1</v>
      </c>
      <c r="S285" s="26">
        <f>SUMIFS('HQ2'!$O:$O,'HQ2'!$B:$B, "="&amp;'Tong_hop_HQNV_2026Q1_2026-06-23'!Q285, 'HQ2'!$A:$A,"="&amp;'Tong_hop_HQNV_2026Q1_2026-06-23'!P285)</f>
        <v>0</v>
      </c>
      <c r="T285" s="7">
        <f t="shared" si="4"/>
        <v>0</v>
      </c>
    </row>
    <row r="286" spans="1:20" x14ac:dyDescent="0.25">
      <c r="A286" t="s">
        <v>14</v>
      </c>
      <c r="B286" s="9" t="s">
        <v>292</v>
      </c>
      <c r="C286">
        <v>0</v>
      </c>
      <c r="D286">
        <v>0</v>
      </c>
      <c r="E286">
        <v>-4629007000</v>
      </c>
      <c r="F286">
        <v>1612036300</v>
      </c>
      <c r="G286">
        <v>76546000</v>
      </c>
      <c r="H286">
        <v>72096000</v>
      </c>
      <c r="I286">
        <v>0</v>
      </c>
      <c r="J286">
        <v>0</v>
      </c>
      <c r="K286">
        <v>1612036300</v>
      </c>
      <c r="L286">
        <v>4629007000</v>
      </c>
      <c r="M286" t="s">
        <v>15</v>
      </c>
      <c r="N286">
        <v>1</v>
      </c>
      <c r="O286">
        <v>1</v>
      </c>
      <c r="P286" t="str">
        <f>VLOOKUP(B286,'CHECK_DT-BT_chi_tiet'!$A:$C,3,FALSE)</f>
        <v>BV Bến Tre</v>
      </c>
      <c r="Q286" t="str">
        <f>VLOOKUP(A286,Sheet3!$K$11:$L$21,2,FALSE)</f>
        <v>BH Con người</v>
      </c>
      <c r="R286" t="str">
        <f>VLOOKUP(Q286,Sheet3!$L$11:$M$21,2,FALSE)</f>
        <v>HQ1</v>
      </c>
      <c r="S286" s="26">
        <f>SUMIFS('HQ2'!$O:$O,'HQ2'!$B:$B, "="&amp;'Tong_hop_HQNV_2026Q1_2026-06-23'!Q286, 'HQ2'!$A:$A,"="&amp;'Tong_hop_HQNV_2026Q1_2026-06-23'!P286)</f>
        <v>0</v>
      </c>
      <c r="T286" s="7">
        <f t="shared" si="4"/>
        <v>0</v>
      </c>
    </row>
    <row r="287" spans="1:20" x14ac:dyDescent="0.25">
      <c r="A287" t="s">
        <v>14</v>
      </c>
      <c r="B287" s="9" t="s">
        <v>296</v>
      </c>
      <c r="C287">
        <v>0</v>
      </c>
      <c r="D287">
        <v>0</v>
      </c>
      <c r="E287">
        <v>-6499254500</v>
      </c>
      <c r="F287">
        <v>4857142900</v>
      </c>
      <c r="G287">
        <v>0</v>
      </c>
      <c r="H287">
        <v>0</v>
      </c>
      <c r="I287">
        <v>0</v>
      </c>
      <c r="J287">
        <v>0</v>
      </c>
      <c r="K287">
        <v>4857142900</v>
      </c>
      <c r="L287">
        <v>6499254500</v>
      </c>
      <c r="M287" t="s">
        <v>15</v>
      </c>
      <c r="N287">
        <v>1</v>
      </c>
      <c r="O287">
        <v>1</v>
      </c>
      <c r="P287" t="str">
        <f>VLOOKUP(B287,'CHECK_DT-BT_chi_tiet'!$A:$C,3,FALSE)</f>
        <v>BV Bình Thuận</v>
      </c>
      <c r="Q287" t="str">
        <f>VLOOKUP(A287,Sheet3!$K$11:$L$21,2,FALSE)</f>
        <v>BH Con người</v>
      </c>
      <c r="R287" t="str">
        <f>VLOOKUP(Q287,Sheet3!$L$11:$M$21,2,FALSE)</f>
        <v>HQ1</v>
      </c>
      <c r="S287" s="26">
        <f>SUMIFS('HQ2'!$O:$O,'HQ2'!$B:$B, "="&amp;'Tong_hop_HQNV_2026Q1_2026-06-23'!Q287, 'HQ2'!$A:$A,"="&amp;'Tong_hop_HQNV_2026Q1_2026-06-23'!P287)</f>
        <v>0</v>
      </c>
      <c r="T287" s="7">
        <f t="shared" si="4"/>
        <v>0</v>
      </c>
    </row>
    <row r="288" spans="1:20" x14ac:dyDescent="0.25">
      <c r="A288" t="s">
        <v>14</v>
      </c>
      <c r="B288" s="9" t="s">
        <v>323</v>
      </c>
      <c r="C288">
        <v>0</v>
      </c>
      <c r="D288">
        <v>0</v>
      </c>
      <c r="E288">
        <v>-329089000</v>
      </c>
      <c r="F288">
        <v>383877600</v>
      </c>
      <c r="G288">
        <v>0</v>
      </c>
      <c r="H288">
        <v>0</v>
      </c>
      <c r="I288">
        <v>0</v>
      </c>
      <c r="J288">
        <v>0</v>
      </c>
      <c r="K288">
        <v>383877600</v>
      </c>
      <c r="L288">
        <v>329089000</v>
      </c>
      <c r="M288" t="s">
        <v>15</v>
      </c>
      <c r="N288">
        <v>1</v>
      </c>
      <c r="O288">
        <v>1</v>
      </c>
      <c r="P288" t="str">
        <f>VLOOKUP(B288,'CHECK_DT-BT_chi_tiet'!$A:$C,3,FALSE)</f>
        <v>BV Kon Tum</v>
      </c>
      <c r="Q288" t="str">
        <f>VLOOKUP(A288,Sheet3!$K$11:$L$21,2,FALSE)</f>
        <v>BH Con người</v>
      </c>
      <c r="R288" t="str">
        <f>VLOOKUP(Q288,Sheet3!$L$11:$M$21,2,FALSE)</f>
        <v>HQ1</v>
      </c>
      <c r="S288" s="26">
        <f>SUMIFS('HQ2'!$O:$O,'HQ2'!$B:$B, "="&amp;'Tong_hop_HQNV_2026Q1_2026-06-23'!Q288, 'HQ2'!$A:$A,"="&amp;'Tong_hop_HQNV_2026Q1_2026-06-23'!P288)</f>
        <v>0</v>
      </c>
      <c r="T288" s="7">
        <f t="shared" si="4"/>
        <v>0</v>
      </c>
    </row>
    <row r="289" spans="1:20" x14ac:dyDescent="0.25">
      <c r="A289" t="s">
        <v>14</v>
      </c>
      <c r="B289" s="9" t="s">
        <v>326</v>
      </c>
      <c r="C289">
        <v>0</v>
      </c>
      <c r="D289">
        <v>0</v>
      </c>
      <c r="E289">
        <v>-816379000</v>
      </c>
      <c r="F289">
        <v>1000407900</v>
      </c>
      <c r="G289">
        <v>0</v>
      </c>
      <c r="H289">
        <v>0</v>
      </c>
      <c r="I289">
        <v>0</v>
      </c>
      <c r="J289">
        <v>0</v>
      </c>
      <c r="K289">
        <v>1000407900</v>
      </c>
      <c r="L289">
        <v>816379000</v>
      </c>
      <c r="M289" t="s">
        <v>15</v>
      </c>
      <c r="N289">
        <v>1</v>
      </c>
      <c r="O289">
        <v>1</v>
      </c>
      <c r="P289" t="str">
        <f>VLOOKUP(B289,'CHECK_DT-BT_chi_tiet'!$A:$C,3,FALSE)</f>
        <v>BV Lạng Sơn</v>
      </c>
      <c r="Q289" t="str">
        <f>VLOOKUP(A289,Sheet3!$K$11:$L$21,2,FALSE)</f>
        <v>BH Con người</v>
      </c>
      <c r="R289" t="str">
        <f>VLOOKUP(Q289,Sheet3!$L$11:$M$21,2,FALSE)</f>
        <v>HQ1</v>
      </c>
      <c r="S289" s="26">
        <f>SUMIFS('HQ2'!$O:$O,'HQ2'!$B:$B, "="&amp;'Tong_hop_HQNV_2026Q1_2026-06-23'!Q289, 'HQ2'!$A:$A,"="&amp;'Tong_hop_HQNV_2026Q1_2026-06-23'!P289)</f>
        <v>0</v>
      </c>
      <c r="T289" s="7">
        <f t="shared" si="4"/>
        <v>0</v>
      </c>
    </row>
    <row r="290" spans="1:20" x14ac:dyDescent="0.25">
      <c r="A290" t="s">
        <v>14</v>
      </c>
      <c r="B290" s="9" t="s">
        <v>344</v>
      </c>
      <c r="C290">
        <v>0</v>
      </c>
      <c r="D290">
        <v>0</v>
      </c>
      <c r="E290">
        <v>-1428546670</v>
      </c>
      <c r="F290">
        <v>1916427188</v>
      </c>
      <c r="G290">
        <v>0</v>
      </c>
      <c r="H290">
        <v>0</v>
      </c>
      <c r="I290">
        <v>0</v>
      </c>
      <c r="J290">
        <v>0</v>
      </c>
      <c r="K290">
        <v>1916427188</v>
      </c>
      <c r="L290">
        <v>1428546670</v>
      </c>
      <c r="M290" t="s">
        <v>15</v>
      </c>
      <c r="N290">
        <v>1</v>
      </c>
      <c r="O290">
        <v>1</v>
      </c>
      <c r="P290" t="str">
        <f>VLOOKUP(B290,'CHECK_DT-BT_chi_tiet'!$A:$C,3,FALSE)</f>
        <v>BV Quảng Trị</v>
      </c>
      <c r="Q290" t="str">
        <f>VLOOKUP(A290,Sheet3!$K$11:$L$21,2,FALSE)</f>
        <v>BH Con người</v>
      </c>
      <c r="R290" t="str">
        <f>VLOOKUP(Q290,Sheet3!$L$11:$M$21,2,FALSE)</f>
        <v>HQ1</v>
      </c>
      <c r="S290" s="26">
        <f>SUMIFS('HQ2'!$O:$O,'HQ2'!$B:$B, "="&amp;'Tong_hop_HQNV_2026Q1_2026-06-23'!Q290, 'HQ2'!$A:$A,"="&amp;'Tong_hop_HQNV_2026Q1_2026-06-23'!P290)</f>
        <v>0</v>
      </c>
      <c r="T290" s="7">
        <f t="shared" si="4"/>
        <v>0</v>
      </c>
    </row>
    <row r="291" spans="1:20" x14ac:dyDescent="0.25">
      <c r="A291" t="s">
        <v>14</v>
      </c>
      <c r="B291" s="9" t="s">
        <v>346</v>
      </c>
      <c r="C291">
        <v>0</v>
      </c>
      <c r="D291">
        <v>0</v>
      </c>
      <c r="E291">
        <v>-1926670751</v>
      </c>
      <c r="F291">
        <v>1163675060</v>
      </c>
      <c r="G291">
        <v>0</v>
      </c>
      <c r="H291">
        <v>0</v>
      </c>
      <c r="I291">
        <v>0</v>
      </c>
      <c r="J291">
        <v>0</v>
      </c>
      <c r="K291">
        <v>1163675060</v>
      </c>
      <c r="L291">
        <v>1926670751</v>
      </c>
      <c r="M291" t="s">
        <v>15</v>
      </c>
      <c r="N291">
        <v>1</v>
      </c>
      <c r="O291">
        <v>1</v>
      </c>
      <c r="P291" t="str">
        <f>VLOOKUP(B291,'CHECK_DT-BT_chi_tiet'!$A:$C,3,FALSE)</f>
        <v>BV Sóc Trăng</v>
      </c>
      <c r="Q291" t="str">
        <f>VLOOKUP(A291,Sheet3!$K$11:$L$21,2,FALSE)</f>
        <v>BH Con người</v>
      </c>
      <c r="R291" t="str">
        <f>VLOOKUP(Q291,Sheet3!$L$11:$M$21,2,FALSE)</f>
        <v>HQ1</v>
      </c>
      <c r="S291" s="26">
        <f>SUMIFS('HQ2'!$O:$O,'HQ2'!$B:$B, "="&amp;'Tong_hop_HQNV_2026Q1_2026-06-23'!Q291, 'HQ2'!$A:$A,"="&amp;'Tong_hop_HQNV_2026Q1_2026-06-23'!P291)</f>
        <v>0</v>
      </c>
      <c r="T291" s="7">
        <f t="shared" si="4"/>
        <v>0</v>
      </c>
    </row>
    <row r="292" spans="1:20" x14ac:dyDescent="0.25">
      <c r="A292" t="s">
        <v>14</v>
      </c>
      <c r="B292" s="9" t="s">
        <v>349</v>
      </c>
      <c r="C292">
        <v>0</v>
      </c>
      <c r="D292">
        <v>0</v>
      </c>
      <c r="E292">
        <v>-1832714900</v>
      </c>
      <c r="F292">
        <v>1124466600</v>
      </c>
      <c r="G292" s="92">
        <v>110000000</v>
      </c>
      <c r="H292" s="92">
        <v>50000000</v>
      </c>
      <c r="I292">
        <v>0</v>
      </c>
      <c r="J292">
        <v>0</v>
      </c>
      <c r="K292">
        <v>1124466600</v>
      </c>
      <c r="L292">
        <v>1832714900</v>
      </c>
      <c r="M292" t="s">
        <v>15</v>
      </c>
      <c r="N292">
        <v>1</v>
      </c>
      <c r="O292">
        <v>1</v>
      </c>
      <c r="P292" t="str">
        <f>VLOOKUP(B292,'CHECK_DT-BT_chi_tiet'!$A:$C,3,FALSE)</f>
        <v>BV Tây Ninh</v>
      </c>
      <c r="Q292" t="str">
        <f>VLOOKUP(A292,Sheet3!$K$11:$L$21,2,FALSE)</f>
        <v>BH Con người</v>
      </c>
      <c r="R292" t="str">
        <f>VLOOKUP(Q292,Sheet3!$L$11:$M$21,2,FALSE)</f>
        <v>HQ1</v>
      </c>
      <c r="S292" s="26">
        <f>SUMIFS('HQ2'!$O:$O,'HQ2'!$B:$B, "="&amp;'Tong_hop_HQNV_2026Q1_2026-06-23'!Q292, 'HQ2'!$A:$A,"="&amp;'Tong_hop_HQNV_2026Q1_2026-06-23'!P292)</f>
        <v>0</v>
      </c>
      <c r="T292" s="7">
        <f t="shared" si="4"/>
        <v>0</v>
      </c>
    </row>
    <row r="293" spans="1:20" x14ac:dyDescent="0.25">
      <c r="A293" t="s">
        <v>14</v>
      </c>
      <c r="B293" s="9" t="s">
        <v>360</v>
      </c>
      <c r="C293">
        <v>0</v>
      </c>
      <c r="D293">
        <v>0</v>
      </c>
      <c r="E293">
        <v>-3262052000</v>
      </c>
      <c r="F293">
        <v>1364467106</v>
      </c>
      <c r="G293">
        <v>0</v>
      </c>
      <c r="H293">
        <v>0</v>
      </c>
      <c r="I293">
        <v>0</v>
      </c>
      <c r="J293">
        <v>0</v>
      </c>
      <c r="K293">
        <v>1364467106</v>
      </c>
      <c r="L293">
        <v>3262052000</v>
      </c>
      <c r="M293" t="s">
        <v>15</v>
      </c>
      <c r="N293">
        <v>1</v>
      </c>
      <c r="O293">
        <v>1</v>
      </c>
      <c r="P293" t="str">
        <f>VLOOKUP(B293,'CHECK_DT-BT_chi_tiet'!$A:$C,3,FALSE)</f>
        <v>BV Vĩnh Long</v>
      </c>
      <c r="Q293" t="str">
        <f>VLOOKUP(A293,Sheet3!$K$11:$L$21,2,FALSE)</f>
        <v>BH Con người</v>
      </c>
      <c r="R293" t="str">
        <f>VLOOKUP(Q293,Sheet3!$L$11:$M$21,2,FALSE)</f>
        <v>HQ1</v>
      </c>
      <c r="S293" s="26">
        <f>SUMIFS('HQ2'!$O:$O,'HQ2'!$B:$B, "="&amp;'Tong_hop_HQNV_2026Q1_2026-06-23'!Q293, 'HQ2'!$A:$A,"="&amp;'Tong_hop_HQNV_2026Q1_2026-06-23'!P293)</f>
        <v>0</v>
      </c>
      <c r="T293" s="7">
        <f t="shared" si="4"/>
        <v>0</v>
      </c>
    </row>
    <row r="294" spans="1:20" x14ac:dyDescent="0.25">
      <c r="A294" t="s">
        <v>14</v>
      </c>
      <c r="B294" s="9" t="s">
        <v>309</v>
      </c>
      <c r="C294">
        <v>0</v>
      </c>
      <c r="D294">
        <v>0</v>
      </c>
      <c r="E294">
        <v>-192624734</v>
      </c>
      <c r="F294">
        <v>1655116494</v>
      </c>
      <c r="G294" s="92">
        <v>303000000</v>
      </c>
      <c r="H294">
        <v>40600000</v>
      </c>
      <c r="I294">
        <v>0</v>
      </c>
      <c r="J294">
        <v>0</v>
      </c>
      <c r="K294">
        <v>1655116494</v>
      </c>
      <c r="L294">
        <v>192624734</v>
      </c>
      <c r="M294" t="s">
        <v>15</v>
      </c>
      <c r="N294">
        <v>1</v>
      </c>
      <c r="O294">
        <v>1</v>
      </c>
      <c r="P294" t="str">
        <f>VLOOKUP(B294,'CHECK_DT-BT_chi_tiet'!$A:$C,3,FALSE)</f>
        <v>BV Gia Định</v>
      </c>
      <c r="Q294" t="str">
        <f>VLOOKUP(A294,Sheet3!$K$11:$L$21,2,FALSE)</f>
        <v>BH Con người</v>
      </c>
      <c r="R294" t="str">
        <f>VLOOKUP(Q294,Sheet3!$L$11:$M$21,2,FALSE)</f>
        <v>HQ1</v>
      </c>
      <c r="S294" s="26">
        <f>SUMIFS('HQ2'!$O:$O,'HQ2'!$B:$B, "="&amp;'Tong_hop_HQNV_2026Q1_2026-06-23'!Q294, 'HQ2'!$A:$A,"="&amp;'Tong_hop_HQNV_2026Q1_2026-06-23'!P294)</f>
        <v>0</v>
      </c>
      <c r="T294" s="7">
        <f t="shared" si="4"/>
        <v>0</v>
      </c>
    </row>
    <row r="295" spans="1:20" x14ac:dyDescent="0.25">
      <c r="A295" t="s">
        <v>14</v>
      </c>
      <c r="B295" s="9" t="s">
        <v>337</v>
      </c>
      <c r="C295">
        <v>0</v>
      </c>
      <c r="D295">
        <v>0</v>
      </c>
      <c r="E295">
        <v>-305531000</v>
      </c>
      <c r="F295">
        <v>258319450</v>
      </c>
      <c r="G295">
        <v>0</v>
      </c>
      <c r="H295">
        <v>0</v>
      </c>
      <c r="I295">
        <v>0</v>
      </c>
      <c r="J295">
        <v>0</v>
      </c>
      <c r="K295">
        <v>258319450</v>
      </c>
      <c r="L295">
        <v>305531000</v>
      </c>
      <c r="M295" t="s">
        <v>15</v>
      </c>
      <c r="N295">
        <v>1</v>
      </c>
      <c r="O295">
        <v>1</v>
      </c>
      <c r="P295" t="str">
        <f>VLOOKUP(B295,'CHECK_DT-BT_chi_tiet'!$A:$C,3,FALSE)</f>
        <v>BV Phú Quốc</v>
      </c>
      <c r="Q295" t="str">
        <f>VLOOKUP(A295,Sheet3!$K$11:$L$21,2,FALSE)</f>
        <v>BH Con người</v>
      </c>
      <c r="R295" t="str">
        <f>VLOOKUP(Q295,Sheet3!$L$11:$M$21,2,FALSE)</f>
        <v>HQ1</v>
      </c>
      <c r="S295" s="26">
        <f>SUMIFS('HQ2'!$O:$O,'HQ2'!$B:$B, "="&amp;'Tong_hop_HQNV_2026Q1_2026-06-23'!Q295, 'HQ2'!$A:$A,"="&amp;'Tong_hop_HQNV_2026Q1_2026-06-23'!P295)</f>
        <v>0</v>
      </c>
      <c r="T295" s="7">
        <f t="shared" si="4"/>
        <v>0</v>
      </c>
    </row>
    <row r="296" spans="1:20" x14ac:dyDescent="0.25">
      <c r="A296" t="s">
        <v>14</v>
      </c>
      <c r="B296" s="9" t="s">
        <v>304</v>
      </c>
      <c r="C296">
        <v>0</v>
      </c>
      <c r="D296">
        <v>0</v>
      </c>
      <c r="E296">
        <v>-56959720</v>
      </c>
      <c r="F296">
        <v>170525046</v>
      </c>
      <c r="G296">
        <v>1120000</v>
      </c>
      <c r="H296">
        <v>1120000</v>
      </c>
      <c r="I296">
        <v>0</v>
      </c>
      <c r="J296">
        <v>0</v>
      </c>
      <c r="K296">
        <v>170525046</v>
      </c>
      <c r="L296">
        <v>56959720</v>
      </c>
      <c r="M296" t="s">
        <v>15</v>
      </c>
      <c r="N296">
        <v>1</v>
      </c>
      <c r="O296">
        <v>1</v>
      </c>
      <c r="P296" t="str">
        <f>VLOOKUP(B296,'CHECK_DT-BT_chi_tiet'!$A:$C,3,FALSE)</f>
        <v>BV Đình Vũ</v>
      </c>
      <c r="Q296" t="str">
        <f>VLOOKUP(A296,Sheet3!$K$11:$L$21,2,FALSE)</f>
        <v>BH Con người</v>
      </c>
      <c r="R296" t="str">
        <f>VLOOKUP(Q296,Sheet3!$L$11:$M$21,2,FALSE)</f>
        <v>HQ1</v>
      </c>
      <c r="S296" s="26">
        <f>SUMIFS('HQ2'!$O:$O,'HQ2'!$B:$B, "="&amp;'Tong_hop_HQNV_2026Q1_2026-06-23'!Q296, 'HQ2'!$A:$A,"="&amp;'Tong_hop_HQNV_2026Q1_2026-06-23'!P296)</f>
        <v>0</v>
      </c>
      <c r="T296" s="7">
        <f t="shared" si="4"/>
        <v>0</v>
      </c>
    </row>
    <row r="297" spans="1:20" x14ac:dyDescent="0.25">
      <c r="A297" t="s">
        <v>14</v>
      </c>
      <c r="B297" s="9" t="s">
        <v>314</v>
      </c>
      <c r="C297">
        <v>0</v>
      </c>
      <c r="D297">
        <v>0</v>
      </c>
      <c r="E297">
        <v>-609496000</v>
      </c>
      <c r="F297">
        <v>2295507599</v>
      </c>
      <c r="G297">
        <v>77370000</v>
      </c>
      <c r="H297">
        <v>8960000</v>
      </c>
      <c r="I297">
        <v>0</v>
      </c>
      <c r="J297">
        <v>0</v>
      </c>
      <c r="K297">
        <v>2295507599</v>
      </c>
      <c r="L297">
        <v>609496000</v>
      </c>
      <c r="M297" t="s">
        <v>15</v>
      </c>
      <c r="N297">
        <v>1</v>
      </c>
      <c r="O297">
        <v>1</v>
      </c>
      <c r="P297" t="str">
        <f>VLOOKUP(B297,'CHECK_DT-BT_chi_tiet'!$A:$C,3,FALSE)</f>
        <v>BV Hà Thành</v>
      </c>
      <c r="Q297" t="str">
        <f>VLOOKUP(A297,Sheet3!$K$11:$L$21,2,FALSE)</f>
        <v>BH Con người</v>
      </c>
      <c r="R297" t="str">
        <f>VLOOKUP(Q297,Sheet3!$L$11:$M$21,2,FALSE)</f>
        <v>HQ1</v>
      </c>
      <c r="S297" s="26">
        <f>SUMIFS('HQ2'!$O:$O,'HQ2'!$B:$B, "="&amp;'Tong_hop_HQNV_2026Q1_2026-06-23'!Q297, 'HQ2'!$A:$A,"="&amp;'Tong_hop_HQNV_2026Q1_2026-06-23'!P297)</f>
        <v>0</v>
      </c>
      <c r="T297" s="7">
        <f t="shared" si="4"/>
        <v>0</v>
      </c>
    </row>
    <row r="298" spans="1:20" x14ac:dyDescent="0.25">
      <c r="A298" t="s">
        <v>14</v>
      </c>
      <c r="B298" s="9" t="s">
        <v>330</v>
      </c>
      <c r="C298">
        <v>0</v>
      </c>
      <c r="D298">
        <v>0</v>
      </c>
      <c r="E298">
        <v>-536512000</v>
      </c>
      <c r="F298">
        <v>836572303</v>
      </c>
      <c r="G298">
        <v>108713000</v>
      </c>
      <c r="H298">
        <v>75093000</v>
      </c>
      <c r="I298">
        <v>0</v>
      </c>
      <c r="J298">
        <v>0</v>
      </c>
      <c r="K298">
        <v>836572303</v>
      </c>
      <c r="L298">
        <v>536512000</v>
      </c>
      <c r="M298" t="s">
        <v>15</v>
      </c>
      <c r="N298">
        <v>1</v>
      </c>
      <c r="O298">
        <v>1</v>
      </c>
      <c r="P298" t="str">
        <f>VLOOKUP(B298,'CHECK_DT-BT_chi_tiet'!$A:$C,3,FALSE)</f>
        <v>BV Mỹ Đình</v>
      </c>
      <c r="Q298" t="str">
        <f>VLOOKUP(A298,Sheet3!$K$11:$L$21,2,FALSE)</f>
        <v>BH Con người</v>
      </c>
      <c r="R298" t="str">
        <f>VLOOKUP(Q298,Sheet3!$L$11:$M$21,2,FALSE)</f>
        <v>HQ1</v>
      </c>
      <c r="S298" s="26">
        <f>SUMIFS('HQ2'!$O:$O,'HQ2'!$B:$B, "="&amp;'Tong_hop_HQNV_2026Q1_2026-06-23'!Q298, 'HQ2'!$A:$A,"="&amp;'Tong_hop_HQNV_2026Q1_2026-06-23'!P298)</f>
        <v>0</v>
      </c>
      <c r="T298" s="7">
        <f t="shared" si="4"/>
        <v>0</v>
      </c>
    </row>
    <row r="299" spans="1:20" x14ac:dyDescent="0.25">
      <c r="A299" t="s">
        <v>16</v>
      </c>
      <c r="B299" s="9" t="s">
        <v>234</v>
      </c>
      <c r="C299">
        <v>0</v>
      </c>
      <c r="D299">
        <v>0</v>
      </c>
      <c r="E299">
        <v>-15638844</v>
      </c>
      <c r="F299">
        <v>165630349</v>
      </c>
      <c r="G299">
        <v>0</v>
      </c>
      <c r="H299">
        <v>0</v>
      </c>
      <c r="I299">
        <v>0</v>
      </c>
      <c r="J299">
        <v>0</v>
      </c>
      <c r="K299">
        <v>165630349</v>
      </c>
      <c r="L299">
        <v>15638844</v>
      </c>
      <c r="M299" t="s">
        <v>17</v>
      </c>
      <c r="N299">
        <v>1</v>
      </c>
      <c r="O299">
        <v>1</v>
      </c>
      <c r="P299" t="str">
        <f>VLOOKUP(B299,'CHECK_DT-BT_chi_tiet'!$A:$C,3,FALSE)</f>
        <v>TSC-Ban KDBH Phi hàng hải TSC</v>
      </c>
      <c r="Q299" t="str">
        <f>VLOOKUP(A299,Sheet3!$K$11:$L$21,2,FALSE)</f>
        <v>BH Du lịch</v>
      </c>
      <c r="R299" t="str">
        <f>VLOOKUP(Q299,Sheet3!$L$11:$M$21,2,FALSE)</f>
        <v>HQ1</v>
      </c>
      <c r="S299" s="26">
        <f>SUMIFS('HQ2'!$O:$O,'HQ2'!$B:$B, "="&amp;'Tong_hop_HQNV_2026Q1_2026-06-23'!Q299, 'HQ2'!$A:$A,"="&amp;'Tong_hop_HQNV_2026Q1_2026-06-23'!P299)</f>
        <v>0</v>
      </c>
      <c r="T299" s="7">
        <f t="shared" si="4"/>
        <v>0</v>
      </c>
    </row>
    <row r="300" spans="1:20" x14ac:dyDescent="0.25">
      <c r="A300" t="s">
        <v>16</v>
      </c>
      <c r="B300" s="9" t="s">
        <v>229</v>
      </c>
      <c r="C300">
        <v>0</v>
      </c>
      <c r="D300">
        <v>0</v>
      </c>
      <c r="E300">
        <v>-2878712325</v>
      </c>
      <c r="F300">
        <v>14147840510</v>
      </c>
      <c r="G300">
        <v>767025126.89999998</v>
      </c>
      <c r="H300">
        <v>416514532.14999998</v>
      </c>
      <c r="I300">
        <v>0</v>
      </c>
      <c r="J300">
        <v>0</v>
      </c>
      <c r="K300">
        <v>14147840510</v>
      </c>
      <c r="L300">
        <v>2878712325</v>
      </c>
      <c r="M300" t="s">
        <v>17</v>
      </c>
      <c r="N300">
        <v>1</v>
      </c>
      <c r="O300">
        <v>1</v>
      </c>
      <c r="P300" t="str">
        <f>VLOOKUP(B300,'CHECK_DT-BT_chi_tiet'!$A:$C,3,FALSE)</f>
        <v>TSC-Ban Bảo hiểm trực tuyến</v>
      </c>
      <c r="Q300" t="str">
        <f>VLOOKUP(A300,Sheet3!$K$11:$L$21,2,FALSE)</f>
        <v>BH Du lịch</v>
      </c>
      <c r="R300" t="str">
        <f>VLOOKUP(Q300,Sheet3!$L$11:$M$21,2,FALSE)</f>
        <v>HQ1</v>
      </c>
      <c r="S300" s="26">
        <f>SUMIFS('HQ2'!$O:$O,'HQ2'!$B:$B, "="&amp;'Tong_hop_HQNV_2026Q1_2026-06-23'!Q300, 'HQ2'!$A:$A,"="&amp;'Tong_hop_HQNV_2026Q1_2026-06-23'!P300)</f>
        <v>0</v>
      </c>
      <c r="T300" s="7">
        <f t="shared" si="4"/>
        <v>0</v>
      </c>
    </row>
    <row r="301" spans="1:20" x14ac:dyDescent="0.25">
      <c r="A301" t="s">
        <v>16</v>
      </c>
      <c r="B301" s="9" t="s">
        <v>286</v>
      </c>
      <c r="C301">
        <v>0</v>
      </c>
      <c r="D301">
        <v>0</v>
      </c>
      <c r="E301">
        <v>-13541500</v>
      </c>
      <c r="F301">
        <v>29762150</v>
      </c>
      <c r="G301">
        <v>0</v>
      </c>
      <c r="H301">
        <v>0</v>
      </c>
      <c r="I301">
        <v>0</v>
      </c>
      <c r="J301">
        <v>0</v>
      </c>
      <c r="K301">
        <v>29762150</v>
      </c>
      <c r="L301">
        <v>13541500</v>
      </c>
      <c r="M301" t="s">
        <v>17</v>
      </c>
      <c r="N301">
        <v>1</v>
      </c>
      <c r="O301">
        <v>1</v>
      </c>
      <c r="P301" t="str">
        <f>VLOOKUP(B301,'CHECK_DT-BT_chi_tiet'!$A:$C,3,FALSE)</f>
        <v>BV Bà Rịa - Vũng Tàu</v>
      </c>
      <c r="Q301" t="str">
        <f>VLOOKUP(A301,Sheet3!$K$11:$L$21,2,FALSE)</f>
        <v>BH Du lịch</v>
      </c>
      <c r="R301" t="str">
        <f>VLOOKUP(Q301,Sheet3!$L$11:$M$21,2,FALSE)</f>
        <v>HQ1</v>
      </c>
      <c r="S301" s="26">
        <f>SUMIFS('HQ2'!$O:$O,'HQ2'!$B:$B, "="&amp;'Tong_hop_HQNV_2026Q1_2026-06-23'!Q301, 'HQ2'!$A:$A,"="&amp;'Tong_hop_HQNV_2026Q1_2026-06-23'!P301)</f>
        <v>0</v>
      </c>
      <c r="T301" s="7">
        <f t="shared" si="4"/>
        <v>0</v>
      </c>
    </row>
    <row r="302" spans="1:20" x14ac:dyDescent="0.25">
      <c r="A302" t="s">
        <v>16</v>
      </c>
      <c r="B302" s="9" t="s">
        <v>294</v>
      </c>
      <c r="C302">
        <v>0</v>
      </c>
      <c r="D302">
        <v>0</v>
      </c>
      <c r="E302">
        <v>-4072800</v>
      </c>
      <c r="F302">
        <v>55877800</v>
      </c>
      <c r="G302">
        <v>0</v>
      </c>
      <c r="H302">
        <v>0</v>
      </c>
      <c r="I302">
        <v>0</v>
      </c>
      <c r="J302">
        <v>0</v>
      </c>
      <c r="K302">
        <v>55877800</v>
      </c>
      <c r="L302">
        <v>4072800</v>
      </c>
      <c r="M302" t="s">
        <v>17</v>
      </c>
      <c r="N302">
        <v>1</v>
      </c>
      <c r="O302">
        <v>1</v>
      </c>
      <c r="P302" t="str">
        <f>VLOOKUP(B302,'CHECK_DT-BT_chi_tiet'!$A:$C,3,FALSE)</f>
        <v>BV Bình Dương</v>
      </c>
      <c r="Q302" t="str">
        <f>VLOOKUP(A302,Sheet3!$K$11:$L$21,2,FALSE)</f>
        <v>BH Du lịch</v>
      </c>
      <c r="R302" t="str">
        <f>VLOOKUP(Q302,Sheet3!$L$11:$M$21,2,FALSE)</f>
        <v>HQ1</v>
      </c>
      <c r="S302" s="26">
        <f>SUMIFS('HQ2'!$O:$O,'HQ2'!$B:$B, "="&amp;'Tong_hop_HQNV_2026Q1_2026-06-23'!Q302, 'HQ2'!$A:$A,"="&amp;'Tong_hop_HQNV_2026Q1_2026-06-23'!P302)</f>
        <v>0</v>
      </c>
      <c r="T302" s="7">
        <f t="shared" si="4"/>
        <v>0</v>
      </c>
    </row>
    <row r="303" spans="1:20" x14ac:dyDescent="0.25">
      <c r="A303" t="s">
        <v>16</v>
      </c>
      <c r="B303" s="9" t="s">
        <v>301</v>
      </c>
      <c r="C303">
        <v>0</v>
      </c>
      <c r="D303">
        <v>0</v>
      </c>
      <c r="E303">
        <v>-24893143</v>
      </c>
      <c r="F303">
        <v>173382500</v>
      </c>
      <c r="G303">
        <v>11154087</v>
      </c>
      <c r="H303">
        <v>11154087</v>
      </c>
      <c r="I303">
        <v>0</v>
      </c>
      <c r="J303">
        <v>0</v>
      </c>
      <c r="K303">
        <v>173382500</v>
      </c>
      <c r="L303">
        <v>24893143</v>
      </c>
      <c r="M303" t="s">
        <v>17</v>
      </c>
      <c r="N303">
        <v>1</v>
      </c>
      <c r="O303">
        <v>1</v>
      </c>
      <c r="P303" t="str">
        <f>VLOOKUP(B303,'CHECK_DT-BT_chi_tiet'!$A:$C,3,FALSE)</f>
        <v>BV Dak Lak</v>
      </c>
      <c r="Q303" t="str">
        <f>VLOOKUP(A303,Sheet3!$K$11:$L$21,2,FALSE)</f>
        <v>BH Du lịch</v>
      </c>
      <c r="R303" t="str">
        <f>VLOOKUP(Q303,Sheet3!$L$11:$M$21,2,FALSE)</f>
        <v>HQ1</v>
      </c>
      <c r="S303" s="26">
        <f>SUMIFS('HQ2'!$O:$O,'HQ2'!$B:$B, "="&amp;'Tong_hop_HQNV_2026Q1_2026-06-23'!Q303, 'HQ2'!$A:$A,"="&amp;'Tong_hop_HQNV_2026Q1_2026-06-23'!P303)</f>
        <v>0</v>
      </c>
      <c r="T303" s="7">
        <f t="shared" si="4"/>
        <v>0</v>
      </c>
    </row>
    <row r="304" spans="1:20" x14ac:dyDescent="0.25">
      <c r="A304" t="s">
        <v>16</v>
      </c>
      <c r="B304" s="9" t="s">
        <v>310</v>
      </c>
      <c r="C304">
        <v>0</v>
      </c>
      <c r="D304">
        <v>0</v>
      </c>
      <c r="E304">
        <v>-9892064</v>
      </c>
      <c r="F304">
        <v>7253000</v>
      </c>
      <c r="G304">
        <v>0</v>
      </c>
      <c r="H304">
        <v>0</v>
      </c>
      <c r="I304">
        <v>0</v>
      </c>
      <c r="J304">
        <v>0</v>
      </c>
      <c r="K304">
        <v>7253000</v>
      </c>
      <c r="L304">
        <v>9892064</v>
      </c>
      <c r="M304" t="s">
        <v>17</v>
      </c>
      <c r="N304">
        <v>1</v>
      </c>
      <c r="O304">
        <v>1</v>
      </c>
      <c r="P304" t="str">
        <f>VLOOKUP(B304,'CHECK_DT-BT_chi_tiet'!$A:$C,3,FALSE)</f>
        <v>BV Gia Lai</v>
      </c>
      <c r="Q304" t="str">
        <f>VLOOKUP(A304,Sheet3!$K$11:$L$21,2,FALSE)</f>
        <v>BH Du lịch</v>
      </c>
      <c r="R304" t="str">
        <f>VLOOKUP(Q304,Sheet3!$L$11:$M$21,2,FALSE)</f>
        <v>HQ1</v>
      </c>
      <c r="S304" s="26">
        <f>SUMIFS('HQ2'!$O:$O,'HQ2'!$B:$B, "="&amp;'Tong_hop_HQNV_2026Q1_2026-06-23'!Q304, 'HQ2'!$A:$A,"="&amp;'Tong_hop_HQNV_2026Q1_2026-06-23'!P304)</f>
        <v>0</v>
      </c>
      <c r="T304" s="7">
        <f t="shared" si="4"/>
        <v>0</v>
      </c>
    </row>
    <row r="305" spans="1:20" x14ac:dyDescent="0.25">
      <c r="A305" t="s">
        <v>16</v>
      </c>
      <c r="B305" s="9" t="s">
        <v>306</v>
      </c>
      <c r="C305">
        <v>0</v>
      </c>
      <c r="D305">
        <v>0</v>
      </c>
      <c r="E305">
        <v>-233001890</v>
      </c>
      <c r="F305">
        <v>2287388900</v>
      </c>
      <c r="G305">
        <v>16570303</v>
      </c>
      <c r="H305">
        <v>16570303</v>
      </c>
      <c r="I305">
        <v>0</v>
      </c>
      <c r="J305">
        <v>0</v>
      </c>
      <c r="K305">
        <v>2287388900</v>
      </c>
      <c r="L305">
        <v>233001890</v>
      </c>
      <c r="M305" t="s">
        <v>17</v>
      </c>
      <c r="N305">
        <v>1</v>
      </c>
      <c r="O305">
        <v>1</v>
      </c>
      <c r="P305" t="str">
        <f>VLOOKUP(B305,'CHECK_DT-BT_chi_tiet'!$A:$C,3,FALSE)</f>
        <v>BV Đông Đô</v>
      </c>
      <c r="Q305" t="str">
        <f>VLOOKUP(A305,Sheet3!$K$11:$L$21,2,FALSE)</f>
        <v>BH Du lịch</v>
      </c>
      <c r="R305" t="str">
        <f>VLOOKUP(Q305,Sheet3!$L$11:$M$21,2,FALSE)</f>
        <v>HQ1</v>
      </c>
      <c r="S305" s="26">
        <f>SUMIFS('HQ2'!$O:$O,'HQ2'!$B:$B, "="&amp;'Tong_hop_HQNV_2026Q1_2026-06-23'!Q305, 'HQ2'!$A:$A,"="&amp;'Tong_hop_HQNV_2026Q1_2026-06-23'!P305)</f>
        <v>0</v>
      </c>
      <c r="T305" s="7">
        <f t="shared" si="4"/>
        <v>0</v>
      </c>
    </row>
    <row r="306" spans="1:20" x14ac:dyDescent="0.25">
      <c r="A306" t="s">
        <v>16</v>
      </c>
      <c r="B306" s="9" t="s">
        <v>322</v>
      </c>
      <c r="C306">
        <v>0</v>
      </c>
      <c r="D306">
        <v>0</v>
      </c>
      <c r="E306">
        <v>-730000</v>
      </c>
      <c r="F306">
        <v>461201200</v>
      </c>
      <c r="G306">
        <v>0</v>
      </c>
      <c r="H306">
        <v>0</v>
      </c>
      <c r="I306">
        <v>0</v>
      </c>
      <c r="J306">
        <v>0</v>
      </c>
      <c r="K306">
        <v>461201200</v>
      </c>
      <c r="L306">
        <v>730000</v>
      </c>
      <c r="M306" t="s">
        <v>17</v>
      </c>
      <c r="N306">
        <v>1</v>
      </c>
      <c r="O306">
        <v>1</v>
      </c>
      <c r="P306" t="str">
        <f>VLOOKUP(B306,'CHECK_DT-BT_chi_tiet'!$A:$C,3,FALSE)</f>
        <v>BV Kiên Giang</v>
      </c>
      <c r="Q306" t="str">
        <f>VLOOKUP(A306,Sheet3!$K$11:$L$21,2,FALSE)</f>
        <v>BH Du lịch</v>
      </c>
      <c r="R306" t="str">
        <f>VLOOKUP(Q306,Sheet3!$L$11:$M$21,2,FALSE)</f>
        <v>HQ1</v>
      </c>
      <c r="S306" s="26">
        <f>SUMIFS('HQ2'!$O:$O,'HQ2'!$B:$B, "="&amp;'Tong_hop_HQNV_2026Q1_2026-06-23'!Q306, 'HQ2'!$A:$A,"="&amp;'Tong_hop_HQNV_2026Q1_2026-06-23'!P306)</f>
        <v>0</v>
      </c>
      <c r="T306" s="7">
        <f t="shared" si="4"/>
        <v>0</v>
      </c>
    </row>
    <row r="307" spans="1:20" x14ac:dyDescent="0.25">
      <c r="A307" t="s">
        <v>16</v>
      </c>
      <c r="B307" s="9" t="s">
        <v>350</v>
      </c>
      <c r="C307">
        <v>0</v>
      </c>
      <c r="D307">
        <v>0</v>
      </c>
      <c r="E307" s="92">
        <v>-50000000</v>
      </c>
      <c r="F307">
        <v>9023800</v>
      </c>
      <c r="G307">
        <v>0</v>
      </c>
      <c r="H307">
        <v>0</v>
      </c>
      <c r="I307">
        <v>0</v>
      </c>
      <c r="J307">
        <v>0</v>
      </c>
      <c r="K307">
        <v>9023800</v>
      </c>
      <c r="L307" s="92">
        <v>50000000</v>
      </c>
      <c r="M307" t="s">
        <v>17</v>
      </c>
      <c r="N307">
        <v>1</v>
      </c>
      <c r="O307">
        <v>1</v>
      </c>
      <c r="P307" t="str">
        <f>VLOOKUP(B307,'CHECK_DT-BT_chi_tiet'!$A:$C,3,FALSE)</f>
        <v>BV Thái Bình</v>
      </c>
      <c r="Q307" t="str">
        <f>VLOOKUP(A307,Sheet3!$K$11:$L$21,2,FALSE)</f>
        <v>BH Du lịch</v>
      </c>
      <c r="R307" t="str">
        <f>VLOOKUP(Q307,Sheet3!$L$11:$M$21,2,FALSE)</f>
        <v>HQ1</v>
      </c>
      <c r="S307" s="26">
        <f>SUMIFS('HQ2'!$O:$O,'HQ2'!$B:$B, "="&amp;'Tong_hop_HQNV_2026Q1_2026-06-23'!Q307, 'HQ2'!$A:$A,"="&amp;'Tong_hop_HQNV_2026Q1_2026-06-23'!P307)</f>
        <v>0</v>
      </c>
      <c r="T307" s="7">
        <f t="shared" si="4"/>
        <v>0</v>
      </c>
    </row>
    <row r="308" spans="1:20" x14ac:dyDescent="0.25">
      <c r="A308" t="s">
        <v>16</v>
      </c>
      <c r="B308" s="9" t="s">
        <v>314</v>
      </c>
      <c r="C308">
        <v>0</v>
      </c>
      <c r="D308">
        <v>0</v>
      </c>
      <c r="E308">
        <v>-6333532</v>
      </c>
      <c r="F308">
        <v>577883100</v>
      </c>
      <c r="G308">
        <v>0</v>
      </c>
      <c r="H308">
        <v>0</v>
      </c>
      <c r="I308">
        <v>0</v>
      </c>
      <c r="J308">
        <v>0</v>
      </c>
      <c r="K308">
        <v>577883100</v>
      </c>
      <c r="L308">
        <v>6333532</v>
      </c>
      <c r="M308" t="s">
        <v>17</v>
      </c>
      <c r="N308">
        <v>1</v>
      </c>
      <c r="O308">
        <v>1</v>
      </c>
      <c r="P308" t="str">
        <f>VLOOKUP(B308,'CHECK_DT-BT_chi_tiet'!$A:$C,3,FALSE)</f>
        <v>BV Hà Thành</v>
      </c>
      <c r="Q308" t="str">
        <f>VLOOKUP(A308,Sheet3!$K$11:$L$21,2,FALSE)</f>
        <v>BH Du lịch</v>
      </c>
      <c r="R308" t="str">
        <f>VLOOKUP(Q308,Sheet3!$L$11:$M$21,2,FALSE)</f>
        <v>HQ1</v>
      </c>
      <c r="S308" s="26">
        <f>SUMIFS('HQ2'!$O:$O,'HQ2'!$B:$B, "="&amp;'Tong_hop_HQNV_2026Q1_2026-06-23'!Q308, 'HQ2'!$A:$A,"="&amp;'Tong_hop_HQNV_2026Q1_2026-06-23'!P308)</f>
        <v>0</v>
      </c>
      <c r="T308" s="7">
        <f t="shared" si="4"/>
        <v>0</v>
      </c>
    </row>
    <row r="309" spans="1:20" x14ac:dyDescent="0.25">
      <c r="A309" t="s">
        <v>16</v>
      </c>
      <c r="B309" s="9" t="s">
        <v>348</v>
      </c>
      <c r="C309">
        <v>0</v>
      </c>
      <c r="D309">
        <v>0</v>
      </c>
      <c r="E309">
        <v>-1500000</v>
      </c>
      <c r="F309">
        <v>54952500</v>
      </c>
      <c r="G309">
        <v>0</v>
      </c>
      <c r="H309">
        <v>0</v>
      </c>
      <c r="I309">
        <v>0</v>
      </c>
      <c r="J309">
        <v>0</v>
      </c>
      <c r="K309">
        <v>54952500</v>
      </c>
      <c r="L309">
        <v>1500000</v>
      </c>
      <c r="M309" t="s">
        <v>17</v>
      </c>
      <c r="N309">
        <v>1</v>
      </c>
      <c r="O309">
        <v>1</v>
      </c>
      <c r="P309" t="str">
        <f>VLOOKUP(B309,'CHECK_DT-BT_chi_tiet'!$A:$C,3,FALSE)</f>
        <v>BV Sơn Tây</v>
      </c>
      <c r="Q309" t="str">
        <f>VLOOKUP(A309,Sheet3!$K$11:$L$21,2,FALSE)</f>
        <v>BH Du lịch</v>
      </c>
      <c r="R309" t="str">
        <f>VLOOKUP(Q309,Sheet3!$L$11:$M$21,2,FALSE)</f>
        <v>HQ1</v>
      </c>
      <c r="S309" s="26">
        <f>SUMIFS('HQ2'!$O:$O,'HQ2'!$B:$B, "="&amp;'Tong_hop_HQNV_2026Q1_2026-06-23'!Q309, 'HQ2'!$A:$A,"="&amp;'Tong_hop_HQNV_2026Q1_2026-06-23'!P309)</f>
        <v>0</v>
      </c>
      <c r="T309" s="7">
        <f t="shared" si="4"/>
        <v>0</v>
      </c>
    </row>
    <row r="310" spans="1:20" x14ac:dyDescent="0.25">
      <c r="A310" t="s">
        <v>18</v>
      </c>
      <c r="B310" s="9" t="s">
        <v>227</v>
      </c>
      <c r="C310">
        <v>0</v>
      </c>
      <c r="D310">
        <v>0</v>
      </c>
      <c r="E310">
        <v>-69828979638</v>
      </c>
      <c r="F310">
        <v>23129113607</v>
      </c>
      <c r="G310">
        <v>1857146228.99</v>
      </c>
      <c r="H310" s="92">
        <v>128000000</v>
      </c>
      <c r="I310">
        <v>0</v>
      </c>
      <c r="J310">
        <v>0</v>
      </c>
      <c r="K310">
        <v>23129113607</v>
      </c>
      <c r="L310">
        <v>69828979638</v>
      </c>
      <c r="M310" t="s">
        <v>17</v>
      </c>
      <c r="N310" t="s">
        <v>19</v>
      </c>
      <c r="O310" t="s">
        <v>20</v>
      </c>
      <c r="P310" t="str">
        <f>VLOOKUP(B310,'CHECK_DT-BT_chi_tiet'!$A:$C,3,FALSE)</f>
        <v>TSC-Ban BH Dự án (Fronting)</v>
      </c>
      <c r="Q310" t="str">
        <f>VLOOKUP(A310,Sheet3!$K$11:$L$21,2,FALSE)</f>
        <v>BH Hàng hóa</v>
      </c>
      <c r="R310" t="str">
        <f>VLOOKUP(Q310,Sheet3!$L$11:$M$21,2,FALSE)</f>
        <v>HQ2</v>
      </c>
      <c r="S310" s="26">
        <f>SUMIFS('HQ2'!$O:$O,'HQ2'!$B:$B, "="&amp;'Tong_hop_HQNV_2026Q1_2026-06-23'!Q310, 'HQ2'!$A:$A,"="&amp;'Tong_hop_HQNV_2026Q1_2026-06-23'!P310)</f>
        <v>0</v>
      </c>
      <c r="T310" s="7">
        <f t="shared" si="4"/>
        <v>-1857146228.99</v>
      </c>
    </row>
    <row r="311" spans="1:20" x14ac:dyDescent="0.25">
      <c r="A311" t="s">
        <v>18</v>
      </c>
      <c r="B311" s="9" t="s">
        <v>363</v>
      </c>
      <c r="C311">
        <v>0</v>
      </c>
      <c r="D311">
        <v>0</v>
      </c>
      <c r="E311">
        <v>-156115882</v>
      </c>
      <c r="F311">
        <v>0</v>
      </c>
      <c r="G311">
        <v>0</v>
      </c>
      <c r="H311">
        <v>0</v>
      </c>
      <c r="I311">
        <v>0</v>
      </c>
      <c r="J311">
        <v>0</v>
      </c>
      <c r="K311">
        <v>0</v>
      </c>
      <c r="L311">
        <v>156115882</v>
      </c>
      <c r="M311" t="s">
        <v>17</v>
      </c>
      <c r="N311" t="s">
        <v>19</v>
      </c>
      <c r="O311" t="s">
        <v>20</v>
      </c>
      <c r="P311" t="e">
        <f>VLOOKUP(B311,'CHECK_DT-BT_chi_tiet'!$A:$C,3,FALSE)</f>
        <v>#N/A</v>
      </c>
      <c r="Q311" t="str">
        <f>VLOOKUP(A311,Sheet3!$K$11:$L$21,2,FALSE)</f>
        <v>BH Hàng hóa</v>
      </c>
      <c r="R311" t="str">
        <f>VLOOKUP(Q311,Sheet3!$L$11:$M$21,2,FALSE)</f>
        <v>HQ2</v>
      </c>
      <c r="S311" s="26">
        <f>SUMIFS('HQ2'!$O:$O,'HQ2'!$B:$B, "="&amp;'Tong_hop_HQNV_2026Q1_2026-06-23'!Q311, 'HQ2'!$A:$A,"="&amp;'Tong_hop_HQNV_2026Q1_2026-06-23'!P311)</f>
        <v>0</v>
      </c>
      <c r="T311" s="7">
        <f t="shared" si="4"/>
        <v>0</v>
      </c>
    </row>
    <row r="312" spans="1:20" x14ac:dyDescent="0.25">
      <c r="A312" t="s">
        <v>18</v>
      </c>
      <c r="B312" s="9" t="s">
        <v>352</v>
      </c>
      <c r="C312">
        <v>0</v>
      </c>
      <c r="D312">
        <v>0</v>
      </c>
      <c r="E312">
        <v>-307117773</v>
      </c>
      <c r="F312">
        <v>803180946</v>
      </c>
      <c r="G312">
        <v>1785716920.3099999</v>
      </c>
      <c r="H312">
        <v>2249585</v>
      </c>
      <c r="I312">
        <v>307117773</v>
      </c>
      <c r="J312">
        <v>0</v>
      </c>
      <c r="K312">
        <v>803180946</v>
      </c>
      <c r="L312">
        <v>307117773</v>
      </c>
      <c r="M312" t="s">
        <v>17</v>
      </c>
      <c r="N312" t="s">
        <v>19</v>
      </c>
      <c r="O312" t="s">
        <v>20</v>
      </c>
      <c r="P312" t="str">
        <f>VLOOKUP(B312,'CHECK_DT-BT_chi_tiet'!$A:$C,3,FALSE)</f>
        <v>BV Thăng Long</v>
      </c>
      <c r="Q312" t="str">
        <f>VLOOKUP(A312,Sheet3!$K$11:$L$21,2,FALSE)</f>
        <v>BH Hàng hóa</v>
      </c>
      <c r="R312" t="str">
        <f>VLOOKUP(Q312,Sheet3!$L$11:$M$21,2,FALSE)</f>
        <v>HQ2</v>
      </c>
      <c r="S312" s="26">
        <f>SUMIFS('HQ2'!$O:$O,'HQ2'!$B:$B, "="&amp;'Tong_hop_HQNV_2026Q1_2026-06-23'!Q312, 'HQ2'!$A:$A,"="&amp;'Tong_hop_HQNV_2026Q1_2026-06-23'!P312)</f>
        <v>1785716920.3</v>
      </c>
      <c r="T312" s="7">
        <f t="shared" si="4"/>
        <v>-9.9999904632568359E-3</v>
      </c>
    </row>
    <row r="313" spans="1:20" x14ac:dyDescent="0.25">
      <c r="A313" t="s">
        <v>18</v>
      </c>
      <c r="B313" s="9" t="s">
        <v>358</v>
      </c>
      <c r="C313">
        <v>0</v>
      </c>
      <c r="D313">
        <v>0</v>
      </c>
      <c r="E313">
        <v>-51363155</v>
      </c>
      <c r="F313">
        <v>210167932</v>
      </c>
      <c r="G313">
        <v>245463037.31999999</v>
      </c>
      <c r="H313">
        <v>0</v>
      </c>
      <c r="I313">
        <v>676195</v>
      </c>
      <c r="J313">
        <v>676195</v>
      </c>
      <c r="K313">
        <v>210167932</v>
      </c>
      <c r="L313">
        <v>51363155</v>
      </c>
      <c r="M313" t="s">
        <v>17</v>
      </c>
      <c r="N313" t="s">
        <v>19</v>
      </c>
      <c r="O313" t="s">
        <v>20</v>
      </c>
      <c r="P313" t="str">
        <f>VLOOKUP(B313,'CHECK_DT-BT_chi_tiet'!$A:$C,3,FALSE)</f>
        <v>BV Tràng An</v>
      </c>
      <c r="Q313" t="str">
        <f>VLOOKUP(A313,Sheet3!$K$11:$L$21,2,FALSE)</f>
        <v>BH Hàng hóa</v>
      </c>
      <c r="R313" t="str">
        <f>VLOOKUP(Q313,Sheet3!$L$11:$M$21,2,FALSE)</f>
        <v>HQ2</v>
      </c>
      <c r="S313" s="26">
        <f>SUMIFS('HQ2'!$O:$O,'HQ2'!$B:$B, "="&amp;'Tong_hop_HQNV_2026Q1_2026-06-23'!Q313, 'HQ2'!$A:$A,"="&amp;'Tong_hop_HQNV_2026Q1_2026-06-23'!P313)</f>
        <v>245463037.36000001</v>
      </c>
      <c r="T313" s="7">
        <f t="shared" si="4"/>
        <v>4.0000021457672119E-2</v>
      </c>
    </row>
    <row r="314" spans="1:20" x14ac:dyDescent="0.25">
      <c r="A314" t="s">
        <v>18</v>
      </c>
      <c r="B314" s="9" t="s">
        <v>329</v>
      </c>
      <c r="C314">
        <v>0</v>
      </c>
      <c r="D314">
        <v>0</v>
      </c>
      <c r="E314">
        <v>-2547069323</v>
      </c>
      <c r="F314">
        <v>6043537958</v>
      </c>
      <c r="G314">
        <v>1628317016.1300001</v>
      </c>
      <c r="H314">
        <v>226753652</v>
      </c>
      <c r="I314">
        <v>2259383169.1100001</v>
      </c>
      <c r="J314">
        <v>121945153</v>
      </c>
      <c r="K314">
        <v>6043537958</v>
      </c>
      <c r="L314">
        <v>2547069323</v>
      </c>
      <c r="M314" t="s">
        <v>17</v>
      </c>
      <c r="N314" t="s">
        <v>19</v>
      </c>
      <c r="O314" t="s">
        <v>20</v>
      </c>
      <c r="P314" t="str">
        <f>VLOOKUP(B314,'CHECK_DT-BT_chi_tiet'!$A:$C,3,FALSE)</f>
        <v>BV Long Thành</v>
      </c>
      <c r="Q314" t="str">
        <f>VLOOKUP(A314,Sheet3!$K$11:$L$21,2,FALSE)</f>
        <v>BH Hàng hóa</v>
      </c>
      <c r="R314" t="str">
        <f>VLOOKUP(Q314,Sheet3!$L$11:$M$21,2,FALSE)</f>
        <v>HQ2</v>
      </c>
      <c r="S314" s="26">
        <f>SUMIFS('HQ2'!$O:$O,'HQ2'!$B:$B, "="&amp;'Tong_hop_HQNV_2026Q1_2026-06-23'!Q314, 'HQ2'!$A:$A,"="&amp;'Tong_hop_HQNV_2026Q1_2026-06-23'!P314)</f>
        <v>1628317016.1199999</v>
      </c>
      <c r="T314" s="7">
        <f t="shared" si="4"/>
        <v>-1.0000228881835938E-2</v>
      </c>
    </row>
    <row r="315" spans="1:20" x14ac:dyDescent="0.25">
      <c r="A315" t="s">
        <v>18</v>
      </c>
      <c r="B315" s="9" t="s">
        <v>290</v>
      </c>
      <c r="C315">
        <v>0</v>
      </c>
      <c r="D315">
        <v>0</v>
      </c>
      <c r="E315">
        <v>-124873705</v>
      </c>
      <c r="F315">
        <v>595859015</v>
      </c>
      <c r="G315">
        <v>0</v>
      </c>
      <c r="H315">
        <v>0</v>
      </c>
      <c r="I315">
        <v>124873705</v>
      </c>
      <c r="J315">
        <v>0</v>
      </c>
      <c r="K315">
        <v>595859015</v>
      </c>
      <c r="L315">
        <v>124873705</v>
      </c>
      <c r="M315" t="s">
        <v>17</v>
      </c>
      <c r="N315" t="s">
        <v>19</v>
      </c>
      <c r="O315" t="s">
        <v>20</v>
      </c>
      <c r="P315" t="str">
        <f>VLOOKUP(B315,'CHECK_DT-BT_chi_tiet'!$A:$C,3,FALSE)</f>
        <v>BV Bắc Ninh</v>
      </c>
      <c r="Q315" t="str">
        <f>VLOOKUP(A315,Sheet3!$K$11:$L$21,2,FALSE)</f>
        <v>BH Hàng hóa</v>
      </c>
      <c r="R315" t="str">
        <f>VLOOKUP(Q315,Sheet3!$L$11:$M$21,2,FALSE)</f>
        <v>HQ2</v>
      </c>
      <c r="S315" s="26">
        <f>SUMIFS('HQ2'!$O:$O,'HQ2'!$B:$B, "="&amp;'Tong_hop_HQNV_2026Q1_2026-06-23'!Q315, 'HQ2'!$A:$A,"="&amp;'Tong_hop_HQNV_2026Q1_2026-06-23'!P315)</f>
        <v>0</v>
      </c>
      <c r="T315" s="7">
        <f t="shared" si="4"/>
        <v>0</v>
      </c>
    </row>
    <row r="316" spans="1:20" x14ac:dyDescent="0.25">
      <c r="A316" t="s">
        <v>18</v>
      </c>
      <c r="B316" s="9" t="s">
        <v>300</v>
      </c>
      <c r="C316">
        <v>0</v>
      </c>
      <c r="D316">
        <v>0</v>
      </c>
      <c r="E316">
        <v>-220428077</v>
      </c>
      <c r="F316">
        <v>3519582182</v>
      </c>
      <c r="G316" s="92">
        <v>12000000</v>
      </c>
      <c r="H316" s="92">
        <v>12000000</v>
      </c>
      <c r="I316">
        <v>220365708.50999999</v>
      </c>
      <c r="J316">
        <v>10934563</v>
      </c>
      <c r="K316">
        <v>3519582182</v>
      </c>
      <c r="L316">
        <v>220428077</v>
      </c>
      <c r="M316" t="s">
        <v>17</v>
      </c>
      <c r="N316" t="s">
        <v>19</v>
      </c>
      <c r="O316" t="s">
        <v>20</v>
      </c>
      <c r="P316" t="str">
        <f>VLOOKUP(B316,'CHECK_DT-BT_chi_tiet'!$A:$C,3,FALSE)</f>
        <v>BV Đà Nẵng</v>
      </c>
      <c r="Q316" t="str">
        <f>VLOOKUP(A316,Sheet3!$K$11:$L$21,2,FALSE)</f>
        <v>BH Hàng hóa</v>
      </c>
      <c r="R316" t="str">
        <f>VLOOKUP(Q316,Sheet3!$L$11:$M$21,2,FALSE)</f>
        <v>HQ2</v>
      </c>
      <c r="S316" s="26">
        <f>SUMIFS('HQ2'!$O:$O,'HQ2'!$B:$B, "="&amp;'Tong_hop_HQNV_2026Q1_2026-06-23'!Q316, 'HQ2'!$A:$A,"="&amp;'Tong_hop_HQNV_2026Q1_2026-06-23'!P316)</f>
        <v>12000000</v>
      </c>
      <c r="T316" s="7">
        <f t="shared" si="4"/>
        <v>0</v>
      </c>
    </row>
    <row r="317" spans="1:20" x14ac:dyDescent="0.25">
      <c r="A317" t="s">
        <v>18</v>
      </c>
      <c r="B317" s="9" t="s">
        <v>316</v>
      </c>
      <c r="C317">
        <v>0</v>
      </c>
      <c r="D317">
        <v>0</v>
      </c>
      <c r="E317">
        <v>24534902</v>
      </c>
      <c r="F317">
        <v>479701445</v>
      </c>
      <c r="G317">
        <v>413532189</v>
      </c>
      <c r="H317">
        <v>0</v>
      </c>
      <c r="I317">
        <v>0</v>
      </c>
      <c r="J317">
        <v>0</v>
      </c>
      <c r="K317">
        <v>479701445</v>
      </c>
      <c r="L317">
        <v>-24534902</v>
      </c>
      <c r="M317" t="s">
        <v>17</v>
      </c>
      <c r="N317" t="s">
        <v>19</v>
      </c>
      <c r="O317" t="s">
        <v>20</v>
      </c>
      <c r="P317" t="str">
        <f>VLOOKUP(B317,'CHECK_DT-BT_chi_tiet'!$A:$C,3,FALSE)</f>
        <v>BV Hải Dương</v>
      </c>
      <c r="Q317" t="str">
        <f>VLOOKUP(A317,Sheet3!$K$11:$L$21,2,FALSE)</f>
        <v>BH Hàng hóa</v>
      </c>
      <c r="R317" t="str">
        <f>VLOOKUP(Q317,Sheet3!$L$11:$M$21,2,FALSE)</f>
        <v>HQ2</v>
      </c>
      <c r="S317" s="26">
        <f>SUMIFS('HQ2'!$O:$O,'HQ2'!$B:$B, "="&amp;'Tong_hop_HQNV_2026Q1_2026-06-23'!Q317, 'HQ2'!$A:$A,"="&amp;'Tong_hop_HQNV_2026Q1_2026-06-23'!P317)</f>
        <v>413532189</v>
      </c>
      <c r="T317" s="7">
        <f t="shared" si="4"/>
        <v>0</v>
      </c>
    </row>
    <row r="318" spans="1:20" x14ac:dyDescent="0.25">
      <c r="A318" t="s">
        <v>18</v>
      </c>
      <c r="B318" s="9" t="s">
        <v>317</v>
      </c>
      <c r="C318">
        <v>0</v>
      </c>
      <c r="D318">
        <v>0</v>
      </c>
      <c r="E318">
        <v>-1511198960</v>
      </c>
      <c r="F318">
        <v>6741787112</v>
      </c>
      <c r="G318">
        <v>5151010409.3400002</v>
      </c>
      <c r="H318">
        <v>1638410569</v>
      </c>
      <c r="I318">
        <v>3390323990</v>
      </c>
      <c r="J318">
        <v>184069833</v>
      </c>
      <c r="K318">
        <v>6741787112</v>
      </c>
      <c r="L318">
        <v>1511198960</v>
      </c>
      <c r="M318" t="s">
        <v>17</v>
      </c>
      <c r="N318" t="s">
        <v>19</v>
      </c>
      <c r="O318" t="s">
        <v>20</v>
      </c>
      <c r="P318" t="str">
        <f>VLOOKUP(B318,'CHECK_DT-BT_chi_tiet'!$A:$C,3,FALSE)</f>
        <v>BV Hải Phòng</v>
      </c>
      <c r="Q318" t="str">
        <f>VLOOKUP(A318,Sheet3!$K$11:$L$21,2,FALSE)</f>
        <v>BH Hàng hóa</v>
      </c>
      <c r="R318" t="str">
        <f>VLOOKUP(Q318,Sheet3!$L$11:$M$21,2,FALSE)</f>
        <v>HQ2</v>
      </c>
      <c r="S318" s="26">
        <f>SUMIFS('HQ2'!$O:$O,'HQ2'!$B:$B, "="&amp;'Tong_hop_HQNV_2026Q1_2026-06-23'!Q318, 'HQ2'!$A:$A,"="&amp;'Tong_hop_HQNV_2026Q1_2026-06-23'!P318)</f>
        <v>5151010409.3000002</v>
      </c>
      <c r="T318" s="7">
        <f t="shared" si="4"/>
        <v>-3.9999961853027344E-2</v>
      </c>
    </row>
    <row r="319" spans="1:20" x14ac:dyDescent="0.25">
      <c r="A319" t="s">
        <v>18</v>
      </c>
      <c r="B319" s="9" t="s">
        <v>341</v>
      </c>
      <c r="C319">
        <v>0</v>
      </c>
      <c r="D319">
        <v>0</v>
      </c>
      <c r="E319">
        <v>-131611537</v>
      </c>
      <c r="F319">
        <v>412530389</v>
      </c>
      <c r="G319">
        <v>405700318</v>
      </c>
      <c r="H319">
        <v>71335318</v>
      </c>
      <c r="I319">
        <v>0</v>
      </c>
      <c r="J319">
        <v>0</v>
      </c>
      <c r="K319">
        <v>412530389</v>
      </c>
      <c r="L319">
        <v>131611537</v>
      </c>
      <c r="M319" t="s">
        <v>17</v>
      </c>
      <c r="N319" t="s">
        <v>19</v>
      </c>
      <c r="O319" t="s">
        <v>20</v>
      </c>
      <c r="P319" t="str">
        <f>VLOOKUP(B319,'CHECK_DT-BT_chi_tiet'!$A:$C,3,FALSE)</f>
        <v>BV Quảng Nam</v>
      </c>
      <c r="Q319" t="str">
        <f>VLOOKUP(A319,Sheet3!$K$11:$L$21,2,FALSE)</f>
        <v>BH Hàng hóa</v>
      </c>
      <c r="R319" t="str">
        <f>VLOOKUP(Q319,Sheet3!$L$11:$M$21,2,FALSE)</f>
        <v>HQ2</v>
      </c>
      <c r="S319" s="26">
        <f>SUMIFS('HQ2'!$O:$O,'HQ2'!$B:$B, "="&amp;'Tong_hop_HQNV_2026Q1_2026-06-23'!Q319, 'HQ2'!$A:$A,"="&amp;'Tong_hop_HQNV_2026Q1_2026-06-23'!P319)</f>
        <v>405700318</v>
      </c>
      <c r="T319" s="7">
        <f t="shared" si="4"/>
        <v>0</v>
      </c>
    </row>
    <row r="320" spans="1:20" x14ac:dyDescent="0.25">
      <c r="A320" t="s">
        <v>18</v>
      </c>
      <c r="B320" s="9" t="s">
        <v>342</v>
      </c>
      <c r="C320">
        <v>0</v>
      </c>
      <c r="D320">
        <v>0</v>
      </c>
      <c r="E320">
        <v>-12307460</v>
      </c>
      <c r="F320">
        <v>856590238</v>
      </c>
      <c r="G320">
        <v>0</v>
      </c>
      <c r="H320">
        <v>0</v>
      </c>
      <c r="I320">
        <v>11856218</v>
      </c>
      <c r="J320">
        <v>0</v>
      </c>
      <c r="K320">
        <v>856590238</v>
      </c>
      <c r="L320">
        <v>12307460</v>
      </c>
      <c r="M320" t="s">
        <v>17</v>
      </c>
      <c r="N320" t="s">
        <v>19</v>
      </c>
      <c r="O320" t="s">
        <v>20</v>
      </c>
      <c r="P320" t="str">
        <f>VLOOKUP(B320,'CHECK_DT-BT_chi_tiet'!$A:$C,3,FALSE)</f>
        <v>BV Quảng Ngãi</v>
      </c>
      <c r="Q320" t="str">
        <f>VLOOKUP(A320,Sheet3!$K$11:$L$21,2,FALSE)</f>
        <v>BH Hàng hóa</v>
      </c>
      <c r="R320" t="str">
        <f>VLOOKUP(Q320,Sheet3!$L$11:$M$21,2,FALSE)</f>
        <v>HQ2</v>
      </c>
      <c r="S320" s="26">
        <f>SUMIFS('HQ2'!$O:$O,'HQ2'!$B:$B, "="&amp;'Tong_hop_HQNV_2026Q1_2026-06-23'!Q320, 'HQ2'!$A:$A,"="&amp;'Tong_hop_HQNV_2026Q1_2026-06-23'!P320)</f>
        <v>0</v>
      </c>
      <c r="T320" s="7">
        <f t="shared" si="4"/>
        <v>0</v>
      </c>
    </row>
    <row r="321" spans="1:20" x14ac:dyDescent="0.25">
      <c r="A321" t="s">
        <v>18</v>
      </c>
      <c r="B321" s="9" t="s">
        <v>343</v>
      </c>
      <c r="C321">
        <v>0</v>
      </c>
      <c r="D321">
        <v>0</v>
      </c>
      <c r="E321">
        <v>-210173461</v>
      </c>
      <c r="F321">
        <v>549078361</v>
      </c>
      <c r="G321">
        <v>1124063665</v>
      </c>
      <c r="H321">
        <v>0</v>
      </c>
      <c r="I321">
        <v>61227520</v>
      </c>
      <c r="J321">
        <v>0</v>
      </c>
      <c r="K321">
        <v>549078361</v>
      </c>
      <c r="L321">
        <v>210173461</v>
      </c>
      <c r="M321" t="s">
        <v>17</v>
      </c>
      <c r="N321" t="s">
        <v>19</v>
      </c>
      <c r="O321" t="s">
        <v>20</v>
      </c>
      <c r="P321" t="str">
        <f>VLOOKUP(B321,'CHECK_DT-BT_chi_tiet'!$A:$C,3,FALSE)</f>
        <v>BV Quảng Ninh</v>
      </c>
      <c r="Q321" t="str">
        <f>VLOOKUP(A321,Sheet3!$K$11:$L$21,2,FALSE)</f>
        <v>BH Hàng hóa</v>
      </c>
      <c r="R321" t="str">
        <f>VLOOKUP(Q321,Sheet3!$L$11:$M$21,2,FALSE)</f>
        <v>HQ2</v>
      </c>
      <c r="S321" s="26">
        <f>SUMIFS('HQ2'!$O:$O,'HQ2'!$B:$B, "="&amp;'Tong_hop_HQNV_2026Q1_2026-06-23'!Q321, 'HQ2'!$A:$A,"="&amp;'Tong_hop_HQNV_2026Q1_2026-06-23'!P321)</f>
        <v>1124063665</v>
      </c>
      <c r="T321" s="7">
        <f t="shared" si="4"/>
        <v>0</v>
      </c>
    </row>
    <row r="322" spans="1:20" x14ac:dyDescent="0.25">
      <c r="A322" t="s">
        <v>18</v>
      </c>
      <c r="B322" s="9" t="s">
        <v>350</v>
      </c>
      <c r="C322">
        <v>0</v>
      </c>
      <c r="D322">
        <v>0</v>
      </c>
      <c r="E322">
        <v>-9600000</v>
      </c>
      <c r="F322">
        <v>7218609</v>
      </c>
      <c r="G322">
        <v>0</v>
      </c>
      <c r="H322">
        <v>0</v>
      </c>
      <c r="I322">
        <v>9600000</v>
      </c>
      <c r="J322">
        <v>9600000</v>
      </c>
      <c r="K322">
        <v>7218609</v>
      </c>
      <c r="L322">
        <v>9600000</v>
      </c>
      <c r="M322" t="s">
        <v>17</v>
      </c>
      <c r="N322" t="s">
        <v>19</v>
      </c>
      <c r="O322" t="s">
        <v>20</v>
      </c>
      <c r="P322" t="str">
        <f>VLOOKUP(B322,'CHECK_DT-BT_chi_tiet'!$A:$C,3,FALSE)</f>
        <v>BV Thái Bình</v>
      </c>
      <c r="Q322" t="str">
        <f>VLOOKUP(A322,Sheet3!$K$11:$L$21,2,FALSE)</f>
        <v>BH Hàng hóa</v>
      </c>
      <c r="R322" t="str">
        <f>VLOOKUP(Q322,Sheet3!$L$11:$M$21,2,FALSE)</f>
        <v>HQ2</v>
      </c>
      <c r="S322" s="26">
        <f>SUMIFS('HQ2'!$O:$O,'HQ2'!$B:$B, "="&amp;'Tong_hop_HQNV_2026Q1_2026-06-23'!Q322, 'HQ2'!$A:$A,"="&amp;'Tong_hop_HQNV_2026Q1_2026-06-23'!P322)</f>
        <v>0</v>
      </c>
      <c r="T322" s="7">
        <f t="shared" si="4"/>
        <v>0</v>
      </c>
    </row>
    <row r="323" spans="1:20" x14ac:dyDescent="0.25">
      <c r="A323" t="s">
        <v>18</v>
      </c>
      <c r="B323" s="9" t="s">
        <v>351</v>
      </c>
      <c r="C323">
        <v>0</v>
      </c>
      <c r="D323">
        <v>0</v>
      </c>
      <c r="E323">
        <v>-77467780</v>
      </c>
      <c r="F323">
        <v>769731243</v>
      </c>
      <c r="G323">
        <v>121496907.18000001</v>
      </c>
      <c r="H323">
        <v>34279701</v>
      </c>
      <c r="I323">
        <v>77467780</v>
      </c>
      <c r="J323">
        <v>77467780</v>
      </c>
      <c r="K323">
        <v>769731243</v>
      </c>
      <c r="L323">
        <v>77467780</v>
      </c>
      <c r="M323" t="s">
        <v>17</v>
      </c>
      <c r="N323" t="s">
        <v>19</v>
      </c>
      <c r="O323" t="s">
        <v>20</v>
      </c>
      <c r="P323" t="str">
        <f>VLOOKUP(B323,'CHECK_DT-BT_chi_tiet'!$A:$C,3,FALSE)</f>
        <v>BV Thái Nguyên</v>
      </c>
      <c r="Q323" t="str">
        <f>VLOOKUP(A323,Sheet3!$K$11:$L$21,2,FALSE)</f>
        <v>BH Hàng hóa</v>
      </c>
      <c r="R323" t="str">
        <f>VLOOKUP(Q323,Sheet3!$L$11:$M$21,2,FALSE)</f>
        <v>HQ2</v>
      </c>
      <c r="S323" s="26">
        <f>SUMIFS('HQ2'!$O:$O,'HQ2'!$B:$B, "="&amp;'Tong_hop_HQNV_2026Q1_2026-06-23'!Q323, 'HQ2'!$A:$A,"="&amp;'Tong_hop_HQNV_2026Q1_2026-06-23'!P323)</f>
        <v>121496907.18000001</v>
      </c>
      <c r="T323" s="7">
        <f t="shared" ref="T323:T386" si="5">IFERROR(IF(R323="HQ2",S323-G323,0),0)</f>
        <v>0</v>
      </c>
    </row>
    <row r="324" spans="1:20" x14ac:dyDescent="0.25">
      <c r="A324" t="s">
        <v>18</v>
      </c>
      <c r="B324" s="9" t="s">
        <v>360</v>
      </c>
      <c r="C324">
        <v>0</v>
      </c>
      <c r="D324">
        <v>0</v>
      </c>
      <c r="E324">
        <v>-35090600</v>
      </c>
      <c r="F324">
        <v>307719672</v>
      </c>
      <c r="G324">
        <v>399740000</v>
      </c>
      <c r="H324">
        <v>0</v>
      </c>
      <c r="I324">
        <v>13709500</v>
      </c>
      <c r="J324">
        <v>0</v>
      </c>
      <c r="K324">
        <v>307719672</v>
      </c>
      <c r="L324">
        <v>35090600</v>
      </c>
      <c r="M324" t="s">
        <v>17</v>
      </c>
      <c r="N324" t="s">
        <v>19</v>
      </c>
      <c r="O324" t="s">
        <v>20</v>
      </c>
      <c r="P324" t="str">
        <f>VLOOKUP(B324,'CHECK_DT-BT_chi_tiet'!$A:$C,3,FALSE)</f>
        <v>BV Vĩnh Long</v>
      </c>
      <c r="Q324" t="str">
        <f>VLOOKUP(A324,Sheet3!$K$11:$L$21,2,FALSE)</f>
        <v>BH Hàng hóa</v>
      </c>
      <c r="R324" t="str">
        <f>VLOOKUP(Q324,Sheet3!$L$11:$M$21,2,FALSE)</f>
        <v>HQ2</v>
      </c>
      <c r="S324" s="26">
        <f>SUMIFS('HQ2'!$O:$O,'HQ2'!$B:$B, "="&amp;'Tong_hop_HQNV_2026Q1_2026-06-23'!Q324, 'HQ2'!$A:$A,"="&amp;'Tong_hop_HQNV_2026Q1_2026-06-23'!P324)</f>
        <v>399740000</v>
      </c>
      <c r="T324" s="7">
        <f t="shared" si="5"/>
        <v>0</v>
      </c>
    </row>
    <row r="325" spans="1:20" x14ac:dyDescent="0.25">
      <c r="A325" t="s">
        <v>18</v>
      </c>
      <c r="B325" s="9" t="s">
        <v>314</v>
      </c>
      <c r="C325">
        <v>0</v>
      </c>
      <c r="D325">
        <v>0</v>
      </c>
      <c r="E325">
        <v>-105727</v>
      </c>
      <c r="F325">
        <v>893584116</v>
      </c>
      <c r="G325">
        <v>1155520648.48</v>
      </c>
      <c r="H325">
        <v>0</v>
      </c>
      <c r="I325">
        <v>105727</v>
      </c>
      <c r="J325">
        <v>0</v>
      </c>
      <c r="K325">
        <v>893584116</v>
      </c>
      <c r="L325">
        <v>105727</v>
      </c>
      <c r="M325" t="s">
        <v>17</v>
      </c>
      <c r="N325" t="s">
        <v>19</v>
      </c>
      <c r="O325" t="s">
        <v>20</v>
      </c>
      <c r="P325" t="str">
        <f>VLOOKUP(B325,'CHECK_DT-BT_chi_tiet'!$A:$C,3,FALSE)</f>
        <v>BV Hà Thành</v>
      </c>
      <c r="Q325" t="str">
        <f>VLOOKUP(A325,Sheet3!$K$11:$L$21,2,FALSE)</f>
        <v>BH Hàng hóa</v>
      </c>
      <c r="R325" t="str">
        <f>VLOOKUP(Q325,Sheet3!$L$11:$M$21,2,FALSE)</f>
        <v>HQ2</v>
      </c>
      <c r="S325" s="26">
        <f>SUMIFS('HQ2'!$O:$O,'HQ2'!$B:$B, "="&amp;'Tong_hop_HQNV_2026Q1_2026-06-23'!Q325, 'HQ2'!$A:$A,"="&amp;'Tong_hop_HQNV_2026Q1_2026-06-23'!P325)</f>
        <v>1155520648.5</v>
      </c>
      <c r="T325" s="7">
        <f t="shared" si="5"/>
        <v>1.9999980926513672E-2</v>
      </c>
    </row>
    <row r="326" spans="1:20" x14ac:dyDescent="0.25">
      <c r="A326" t="s">
        <v>18</v>
      </c>
      <c r="B326" s="9" t="s">
        <v>291</v>
      </c>
      <c r="C326">
        <v>0</v>
      </c>
      <c r="D326">
        <v>0</v>
      </c>
      <c r="E326">
        <v>-613474241</v>
      </c>
      <c r="F326">
        <v>1150226034</v>
      </c>
      <c r="G326">
        <v>1779254776.5999999</v>
      </c>
      <c r="H326">
        <v>24539000</v>
      </c>
      <c r="I326">
        <v>602693240</v>
      </c>
      <c r="J326">
        <v>0</v>
      </c>
      <c r="K326">
        <v>1150226034</v>
      </c>
      <c r="L326">
        <v>613474241</v>
      </c>
      <c r="M326" t="s">
        <v>17</v>
      </c>
      <c r="N326" t="s">
        <v>19</v>
      </c>
      <c r="O326" t="s">
        <v>20</v>
      </c>
      <c r="P326" t="str">
        <f>VLOOKUP(B326,'CHECK_DT-BT_chi_tiet'!$A:$C,3,FALSE)</f>
        <v>BV Bến Thành</v>
      </c>
      <c r="Q326" t="str">
        <f>VLOOKUP(A326,Sheet3!$K$11:$L$21,2,FALSE)</f>
        <v>BH Hàng hóa</v>
      </c>
      <c r="R326" t="str">
        <f>VLOOKUP(Q326,Sheet3!$L$11:$M$21,2,FALSE)</f>
        <v>HQ2</v>
      </c>
      <c r="S326" s="26">
        <f>SUMIFS('HQ2'!$O:$O,'HQ2'!$B:$B, "="&amp;'Tong_hop_HQNV_2026Q1_2026-06-23'!Q326, 'HQ2'!$A:$A,"="&amp;'Tong_hop_HQNV_2026Q1_2026-06-23'!P326)</f>
        <v>1779254776.5699999</v>
      </c>
      <c r="T326" s="7">
        <f t="shared" si="5"/>
        <v>-2.9999971389770508E-2</v>
      </c>
    </row>
    <row r="327" spans="1:20" x14ac:dyDescent="0.25">
      <c r="A327" t="s">
        <v>35</v>
      </c>
      <c r="B327" s="9" t="s">
        <v>227</v>
      </c>
      <c r="C327">
        <v>0</v>
      </c>
      <c r="D327">
        <v>0</v>
      </c>
      <c r="E327">
        <v>-5174014718</v>
      </c>
      <c r="F327">
        <v>18765299634</v>
      </c>
      <c r="G327">
        <v>31452214226.895</v>
      </c>
      <c r="H327" s="92">
        <v>1200000000</v>
      </c>
      <c r="I327">
        <v>0</v>
      </c>
      <c r="J327">
        <v>0</v>
      </c>
      <c r="K327">
        <v>18765299634</v>
      </c>
      <c r="L327">
        <v>5174014718</v>
      </c>
      <c r="M327" t="s">
        <v>36</v>
      </c>
      <c r="N327" t="s">
        <v>31</v>
      </c>
      <c r="O327" t="s">
        <v>20</v>
      </c>
      <c r="P327" t="str">
        <f>VLOOKUP(B327,'CHECK_DT-BT_chi_tiet'!$A:$C,3,FALSE)</f>
        <v>TSC-Ban BH Dự án (Fronting)</v>
      </c>
      <c r="Q327" t="str">
        <f>VLOOKUP(A327,Sheet3!$K$11:$L$21,2,FALSE)</f>
        <v>BH Kỹ thuật</v>
      </c>
      <c r="R327" t="str">
        <f>VLOOKUP(Q327,Sheet3!$L$11:$M$21,2,FALSE)</f>
        <v>HQ2</v>
      </c>
      <c r="S327" s="26">
        <f>SUMIFS('HQ2'!$O:$O,'HQ2'!$B:$B, "="&amp;'Tong_hop_HQNV_2026Q1_2026-06-23'!Q327, 'HQ2'!$A:$A,"="&amp;'Tong_hop_HQNV_2026Q1_2026-06-23'!P327)</f>
        <v>19634280175.34</v>
      </c>
      <c r="T327" s="7">
        <f t="shared" si="5"/>
        <v>-11817934051.555</v>
      </c>
    </row>
    <row r="328" spans="1:20" x14ac:dyDescent="0.25">
      <c r="A328" t="s">
        <v>35</v>
      </c>
      <c r="B328" s="9" t="s">
        <v>228</v>
      </c>
      <c r="C328">
        <v>0</v>
      </c>
      <c r="D328">
        <v>0</v>
      </c>
      <c r="E328">
        <v>-404268084</v>
      </c>
      <c r="F328">
        <v>42302455</v>
      </c>
      <c r="G328">
        <v>205596253000</v>
      </c>
      <c r="H328">
        <v>0</v>
      </c>
      <c r="I328">
        <v>0</v>
      </c>
      <c r="J328">
        <v>0</v>
      </c>
      <c r="K328">
        <v>42302455</v>
      </c>
      <c r="L328">
        <v>404268084</v>
      </c>
      <c r="M328" t="s">
        <v>36</v>
      </c>
      <c r="N328" t="s">
        <v>31</v>
      </c>
      <c r="O328" t="s">
        <v>20</v>
      </c>
      <c r="P328" t="str">
        <f>VLOOKUP(B328,'CHECK_DT-BT_chi_tiet'!$A:$C,3,FALSE)</f>
        <v>TSC-Ban KDBH Tàu thủy</v>
      </c>
      <c r="Q328" t="str">
        <f>VLOOKUP(A328,Sheet3!$K$11:$L$21,2,FALSE)</f>
        <v>BH Kỹ thuật</v>
      </c>
      <c r="R328" t="str">
        <f>VLOOKUP(Q328,Sheet3!$L$11:$M$21,2,FALSE)</f>
        <v>HQ2</v>
      </c>
      <c r="S328" s="26">
        <f>SUMIFS('HQ2'!$O:$O,'HQ2'!$B:$B, "="&amp;'Tong_hop_HQNV_2026Q1_2026-06-23'!Q328, 'HQ2'!$A:$A,"="&amp;'Tong_hop_HQNV_2026Q1_2026-06-23'!P328)</f>
        <v>205596500000</v>
      </c>
      <c r="T328" s="7">
        <f t="shared" si="5"/>
        <v>247000</v>
      </c>
    </row>
    <row r="329" spans="1:20" x14ac:dyDescent="0.25">
      <c r="A329" t="s">
        <v>35</v>
      </c>
      <c r="B329" s="9" t="s">
        <v>364</v>
      </c>
      <c r="C329">
        <v>0</v>
      </c>
      <c r="D329">
        <v>0</v>
      </c>
      <c r="E329">
        <v>-1485045695</v>
      </c>
      <c r="F329">
        <v>0</v>
      </c>
      <c r="G329">
        <v>0</v>
      </c>
      <c r="H329">
        <v>0</v>
      </c>
      <c r="I329">
        <v>0</v>
      </c>
      <c r="J329">
        <v>0</v>
      </c>
      <c r="K329">
        <v>0</v>
      </c>
      <c r="L329">
        <v>1485045695</v>
      </c>
      <c r="M329" t="s">
        <v>36</v>
      </c>
      <c r="N329" t="s">
        <v>31</v>
      </c>
      <c r="O329" t="s">
        <v>20</v>
      </c>
      <c r="P329" t="e">
        <f>VLOOKUP(B329,'CHECK_DT-BT_chi_tiet'!$A:$C,3,FALSE)</f>
        <v>#N/A</v>
      </c>
      <c r="Q329" t="str">
        <f>VLOOKUP(A329,Sheet3!$K$11:$L$21,2,FALSE)</f>
        <v>BH Kỹ thuật</v>
      </c>
      <c r="R329" t="str">
        <f>VLOOKUP(Q329,Sheet3!$L$11:$M$21,2,FALSE)</f>
        <v>HQ2</v>
      </c>
      <c r="S329" s="26">
        <f>SUMIFS('HQ2'!$O:$O,'HQ2'!$B:$B, "="&amp;'Tong_hop_HQNV_2026Q1_2026-06-23'!Q329, 'HQ2'!$A:$A,"="&amp;'Tong_hop_HQNV_2026Q1_2026-06-23'!P329)</f>
        <v>0</v>
      </c>
      <c r="T329" s="7">
        <f t="shared" si="5"/>
        <v>0</v>
      </c>
    </row>
    <row r="330" spans="1:20" x14ac:dyDescent="0.25">
      <c r="A330" t="s">
        <v>35</v>
      </c>
      <c r="B330" s="9" t="s">
        <v>352</v>
      </c>
      <c r="C330">
        <v>0</v>
      </c>
      <c r="D330">
        <v>0</v>
      </c>
      <c r="E330">
        <v>-5610000</v>
      </c>
      <c r="F330">
        <v>3262818102</v>
      </c>
      <c r="G330">
        <v>1147559888.3</v>
      </c>
      <c r="H330">
        <v>0</v>
      </c>
      <c r="I330">
        <v>5610000</v>
      </c>
      <c r="J330">
        <v>0</v>
      </c>
      <c r="K330">
        <v>3262818102</v>
      </c>
      <c r="L330">
        <v>5610000</v>
      </c>
      <c r="M330" t="s">
        <v>36</v>
      </c>
      <c r="N330" t="s">
        <v>31</v>
      </c>
      <c r="O330" t="s">
        <v>20</v>
      </c>
      <c r="P330" t="str">
        <f>VLOOKUP(B330,'CHECK_DT-BT_chi_tiet'!$A:$C,3,FALSE)</f>
        <v>BV Thăng Long</v>
      </c>
      <c r="Q330" t="str">
        <f>VLOOKUP(A330,Sheet3!$K$11:$L$21,2,FALSE)</f>
        <v>BH Kỹ thuật</v>
      </c>
      <c r="R330" t="str">
        <f>VLOOKUP(Q330,Sheet3!$L$11:$M$21,2,FALSE)</f>
        <v>HQ2</v>
      </c>
      <c r="S330" s="26">
        <f>SUMIFS('HQ2'!$O:$O,'HQ2'!$B:$B, "="&amp;'Tong_hop_HQNV_2026Q1_2026-06-23'!Q330, 'HQ2'!$A:$A,"="&amp;'Tong_hop_HQNV_2026Q1_2026-06-23'!P330)</f>
        <v>1147559888.3999999</v>
      </c>
      <c r="T330" s="7">
        <f t="shared" si="5"/>
        <v>9.9999904632568359E-2</v>
      </c>
    </row>
    <row r="331" spans="1:20" x14ac:dyDescent="0.25">
      <c r="A331" t="s">
        <v>35</v>
      </c>
      <c r="B331" s="9" t="s">
        <v>288</v>
      </c>
      <c r="C331">
        <v>0</v>
      </c>
      <c r="D331">
        <v>0</v>
      </c>
      <c r="E331">
        <v>-46949524</v>
      </c>
      <c r="F331">
        <v>232978796</v>
      </c>
      <c r="G331" s="92">
        <v>1323000000</v>
      </c>
      <c r="H331">
        <v>0</v>
      </c>
      <c r="I331">
        <v>46949524</v>
      </c>
      <c r="J331">
        <v>0</v>
      </c>
      <c r="K331">
        <v>232978796</v>
      </c>
      <c r="L331">
        <v>46949524</v>
      </c>
      <c r="M331" t="s">
        <v>36</v>
      </c>
      <c r="N331" t="s">
        <v>31</v>
      </c>
      <c r="O331" t="s">
        <v>20</v>
      </c>
      <c r="P331" t="str">
        <f>VLOOKUP(B331,'CHECK_DT-BT_chi_tiet'!$A:$C,3,FALSE)</f>
        <v>BV Bắc Giang</v>
      </c>
      <c r="Q331" t="str">
        <f>VLOOKUP(A331,Sheet3!$K$11:$L$21,2,FALSE)</f>
        <v>BH Kỹ thuật</v>
      </c>
      <c r="R331" t="str">
        <f>VLOOKUP(Q331,Sheet3!$L$11:$M$21,2,FALSE)</f>
        <v>HQ2</v>
      </c>
      <c r="S331" s="26">
        <f>SUMIFS('HQ2'!$O:$O,'HQ2'!$B:$B, "="&amp;'Tong_hop_HQNV_2026Q1_2026-06-23'!Q331, 'HQ2'!$A:$A,"="&amp;'Tong_hop_HQNV_2026Q1_2026-06-23'!P331)</f>
        <v>1323000000</v>
      </c>
      <c r="T331" s="7">
        <f t="shared" si="5"/>
        <v>0</v>
      </c>
    </row>
    <row r="332" spans="1:20" x14ac:dyDescent="0.25">
      <c r="A332" t="s">
        <v>35</v>
      </c>
      <c r="B332" s="9" t="s">
        <v>298</v>
      </c>
      <c r="C332">
        <v>0</v>
      </c>
      <c r="D332">
        <v>0</v>
      </c>
      <c r="E332">
        <v>-17320507</v>
      </c>
      <c r="F332">
        <v>172927811</v>
      </c>
      <c r="G332">
        <v>384733200</v>
      </c>
      <c r="H332">
        <v>0</v>
      </c>
      <c r="I332">
        <v>112787085</v>
      </c>
      <c r="J332">
        <v>0</v>
      </c>
      <c r="K332">
        <v>172927811</v>
      </c>
      <c r="L332">
        <v>17320507</v>
      </c>
      <c r="M332" t="s">
        <v>36</v>
      </c>
      <c r="N332" t="s">
        <v>31</v>
      </c>
      <c r="O332" t="s">
        <v>20</v>
      </c>
      <c r="P332" t="str">
        <f>VLOOKUP(B332,'CHECK_DT-BT_chi_tiet'!$A:$C,3,FALSE)</f>
        <v>BV Cần Thơ</v>
      </c>
      <c r="Q332" t="str">
        <f>VLOOKUP(A332,Sheet3!$K$11:$L$21,2,FALSE)</f>
        <v>BH Kỹ thuật</v>
      </c>
      <c r="R332" t="str">
        <f>VLOOKUP(Q332,Sheet3!$L$11:$M$21,2,FALSE)</f>
        <v>HQ2</v>
      </c>
      <c r="S332" s="26">
        <f>SUMIFS('HQ2'!$O:$O,'HQ2'!$B:$B, "="&amp;'Tong_hop_HQNV_2026Q1_2026-06-23'!Q332, 'HQ2'!$A:$A,"="&amp;'Tong_hop_HQNV_2026Q1_2026-06-23'!P332)</f>
        <v>384733200</v>
      </c>
      <c r="T332" s="7">
        <f t="shared" si="5"/>
        <v>0</v>
      </c>
    </row>
    <row r="333" spans="1:20" x14ac:dyDescent="0.25">
      <c r="A333" t="s">
        <v>35</v>
      </c>
      <c r="B333" s="9" t="s">
        <v>300</v>
      </c>
      <c r="C333">
        <v>0</v>
      </c>
      <c r="D333">
        <v>0</v>
      </c>
      <c r="E333">
        <v>-698411577</v>
      </c>
      <c r="F333">
        <v>550542431</v>
      </c>
      <c r="G333">
        <v>2704700000</v>
      </c>
      <c r="H333">
        <v>0</v>
      </c>
      <c r="I333">
        <v>698411577</v>
      </c>
      <c r="J333">
        <v>0</v>
      </c>
      <c r="K333">
        <v>550542431</v>
      </c>
      <c r="L333">
        <v>698411577</v>
      </c>
      <c r="M333" t="s">
        <v>36</v>
      </c>
      <c r="N333" t="s">
        <v>31</v>
      </c>
      <c r="O333" t="s">
        <v>20</v>
      </c>
      <c r="P333" t="str">
        <f>VLOOKUP(B333,'CHECK_DT-BT_chi_tiet'!$A:$C,3,FALSE)</f>
        <v>BV Đà Nẵng</v>
      </c>
      <c r="Q333" t="str">
        <f>VLOOKUP(A333,Sheet3!$K$11:$L$21,2,FALSE)</f>
        <v>BH Kỹ thuật</v>
      </c>
      <c r="R333" t="str">
        <f>VLOOKUP(Q333,Sheet3!$L$11:$M$21,2,FALSE)</f>
        <v>HQ2</v>
      </c>
      <c r="S333" s="26">
        <f>SUMIFS('HQ2'!$O:$O,'HQ2'!$B:$B, "="&amp;'Tong_hop_HQNV_2026Q1_2026-06-23'!Q333, 'HQ2'!$A:$A,"="&amp;'Tong_hop_HQNV_2026Q1_2026-06-23'!P333)</f>
        <v>2704700000</v>
      </c>
      <c r="T333" s="7">
        <f t="shared" si="5"/>
        <v>0</v>
      </c>
    </row>
    <row r="334" spans="1:20" x14ac:dyDescent="0.25">
      <c r="A334" t="s">
        <v>35</v>
      </c>
      <c r="B334" s="9" t="s">
        <v>313</v>
      </c>
      <c r="C334">
        <v>0</v>
      </c>
      <c r="D334">
        <v>0</v>
      </c>
      <c r="E334">
        <v>-1246311193</v>
      </c>
      <c r="F334">
        <v>4814977238</v>
      </c>
      <c r="G334">
        <v>4031145405.9418201</v>
      </c>
      <c r="H334">
        <v>0</v>
      </c>
      <c r="I334">
        <v>1230855728</v>
      </c>
      <c r="J334">
        <v>0</v>
      </c>
      <c r="K334">
        <v>4814977238</v>
      </c>
      <c r="L334">
        <v>1246311193</v>
      </c>
      <c r="M334" t="s">
        <v>36</v>
      </c>
      <c r="N334" t="s">
        <v>31</v>
      </c>
      <c r="O334" t="s">
        <v>20</v>
      </c>
      <c r="P334" t="str">
        <f>VLOOKUP(B334,'CHECK_DT-BT_chi_tiet'!$A:$C,3,FALSE)</f>
        <v>BV Hà Nội</v>
      </c>
      <c r="Q334" t="str">
        <f>VLOOKUP(A334,Sheet3!$K$11:$L$21,2,FALSE)</f>
        <v>BH Kỹ thuật</v>
      </c>
      <c r="R334" t="str">
        <f>VLOOKUP(Q334,Sheet3!$L$11:$M$21,2,FALSE)</f>
        <v>HQ2</v>
      </c>
      <c r="S334" s="26">
        <f>SUMIFS('HQ2'!$O:$O,'HQ2'!$B:$B, "="&amp;'Tong_hop_HQNV_2026Q1_2026-06-23'!Q334, 'HQ2'!$A:$A,"="&amp;'Tong_hop_HQNV_2026Q1_2026-06-23'!P334)</f>
        <v>4031145406</v>
      </c>
      <c r="T334" s="7">
        <f t="shared" si="5"/>
        <v>5.8179855346679688E-2</v>
      </c>
    </row>
    <row r="335" spans="1:20" x14ac:dyDescent="0.25">
      <c r="A335" t="s">
        <v>35</v>
      </c>
      <c r="B335" s="9" t="s">
        <v>317</v>
      </c>
      <c r="C335">
        <v>0</v>
      </c>
      <c r="D335">
        <v>0</v>
      </c>
      <c r="E335">
        <v>-36416097</v>
      </c>
      <c r="F335">
        <v>2553265019</v>
      </c>
      <c r="G335">
        <v>10870785208.059999</v>
      </c>
      <c r="H335" s="92">
        <v>68000000</v>
      </c>
      <c r="I335">
        <v>36416097</v>
      </c>
      <c r="J335">
        <v>0</v>
      </c>
      <c r="K335">
        <v>2553265019</v>
      </c>
      <c r="L335">
        <v>36416097</v>
      </c>
      <c r="M335" t="s">
        <v>36</v>
      </c>
      <c r="N335" t="s">
        <v>31</v>
      </c>
      <c r="O335" t="s">
        <v>20</v>
      </c>
      <c r="P335" t="str">
        <f>VLOOKUP(B335,'CHECK_DT-BT_chi_tiet'!$A:$C,3,FALSE)</f>
        <v>BV Hải Phòng</v>
      </c>
      <c r="Q335" t="str">
        <f>VLOOKUP(A335,Sheet3!$K$11:$L$21,2,FALSE)</f>
        <v>BH Kỹ thuật</v>
      </c>
      <c r="R335" t="str">
        <f>VLOOKUP(Q335,Sheet3!$L$11:$M$21,2,FALSE)</f>
        <v>HQ2</v>
      </c>
      <c r="S335" s="26">
        <f>SUMIFS('HQ2'!$O:$O,'HQ2'!$B:$B, "="&amp;'Tong_hop_HQNV_2026Q1_2026-06-23'!Q335, 'HQ2'!$A:$A,"="&amp;'Tong_hop_HQNV_2026Q1_2026-06-23'!P335)</f>
        <v>10870785208.059999</v>
      </c>
      <c r="T335" s="7">
        <f t="shared" si="5"/>
        <v>0</v>
      </c>
    </row>
    <row r="336" spans="1:20" x14ac:dyDescent="0.25">
      <c r="A336" t="s">
        <v>35</v>
      </c>
      <c r="B336" s="9" t="s">
        <v>333</v>
      </c>
      <c r="C336">
        <v>0</v>
      </c>
      <c r="D336">
        <v>0</v>
      </c>
      <c r="E336">
        <v>-313569857</v>
      </c>
      <c r="F336">
        <v>1526400117</v>
      </c>
      <c r="G336">
        <v>14570410648.68</v>
      </c>
      <c r="H336">
        <v>0</v>
      </c>
      <c r="I336">
        <v>1465370232</v>
      </c>
      <c r="J336">
        <v>0</v>
      </c>
      <c r="K336">
        <v>1526400117</v>
      </c>
      <c r="L336">
        <v>313569857</v>
      </c>
      <c r="M336" t="s">
        <v>36</v>
      </c>
      <c r="N336" t="s">
        <v>31</v>
      </c>
      <c r="O336" t="s">
        <v>20</v>
      </c>
      <c r="P336" t="str">
        <f>VLOOKUP(B336,'CHECK_DT-BT_chi_tiet'!$A:$C,3,FALSE)</f>
        <v>BV Nghệ An</v>
      </c>
      <c r="Q336" t="str">
        <f>VLOOKUP(A336,Sheet3!$K$11:$L$21,2,FALSE)</f>
        <v>BH Kỹ thuật</v>
      </c>
      <c r="R336" t="str">
        <f>VLOOKUP(Q336,Sheet3!$L$11:$M$21,2,FALSE)</f>
        <v>HQ2</v>
      </c>
      <c r="S336" s="26">
        <f>SUMIFS('HQ2'!$O:$O,'HQ2'!$B:$B, "="&amp;'Tong_hop_HQNV_2026Q1_2026-06-23'!Q336, 'HQ2'!$A:$A,"="&amp;'Tong_hop_HQNV_2026Q1_2026-06-23'!P336)</f>
        <v>14570410648.650002</v>
      </c>
      <c r="T336" s="7">
        <f t="shared" si="5"/>
        <v>-2.9998779296875E-2</v>
      </c>
    </row>
    <row r="337" spans="1:20" x14ac:dyDescent="0.25">
      <c r="A337" t="s">
        <v>35</v>
      </c>
      <c r="B337" s="9" t="s">
        <v>346</v>
      </c>
      <c r="C337">
        <v>0</v>
      </c>
      <c r="D337">
        <v>0</v>
      </c>
      <c r="E337">
        <v>-110685000</v>
      </c>
      <c r="F337">
        <v>61033636</v>
      </c>
      <c r="G337">
        <v>30932883.199999999</v>
      </c>
      <c r="H337">
        <v>0</v>
      </c>
      <c r="I337">
        <v>110685000</v>
      </c>
      <c r="J337">
        <v>0</v>
      </c>
      <c r="K337">
        <v>61033636</v>
      </c>
      <c r="L337">
        <v>110685000</v>
      </c>
      <c r="M337" t="s">
        <v>36</v>
      </c>
      <c r="N337" t="s">
        <v>31</v>
      </c>
      <c r="O337" t="s">
        <v>20</v>
      </c>
      <c r="P337" t="str">
        <f>VLOOKUP(B337,'CHECK_DT-BT_chi_tiet'!$A:$C,3,FALSE)</f>
        <v>BV Sóc Trăng</v>
      </c>
      <c r="Q337" t="str">
        <f>VLOOKUP(A337,Sheet3!$K$11:$L$21,2,FALSE)</f>
        <v>BH Kỹ thuật</v>
      </c>
      <c r="R337" t="str">
        <f>VLOOKUP(Q337,Sheet3!$L$11:$M$21,2,FALSE)</f>
        <v>HQ2</v>
      </c>
      <c r="S337" s="26">
        <f>SUMIFS('HQ2'!$O:$O,'HQ2'!$B:$B, "="&amp;'Tong_hop_HQNV_2026Q1_2026-06-23'!Q337, 'HQ2'!$A:$A,"="&amp;'Tong_hop_HQNV_2026Q1_2026-06-23'!P337)</f>
        <v>30932883.199999999</v>
      </c>
      <c r="T337" s="7">
        <f t="shared" si="5"/>
        <v>0</v>
      </c>
    </row>
    <row r="338" spans="1:20" x14ac:dyDescent="0.25">
      <c r="A338" t="s">
        <v>35</v>
      </c>
      <c r="B338" s="9" t="s">
        <v>355</v>
      </c>
      <c r="C338">
        <v>0</v>
      </c>
      <c r="D338">
        <v>0</v>
      </c>
      <c r="E338">
        <v>-246241655</v>
      </c>
      <c r="F338">
        <v>26048999</v>
      </c>
      <c r="G338">
        <v>0</v>
      </c>
      <c r="H338">
        <v>0</v>
      </c>
      <c r="I338">
        <v>246241655</v>
      </c>
      <c r="J338">
        <v>0</v>
      </c>
      <c r="K338">
        <v>26048999</v>
      </c>
      <c r="L338">
        <v>246241655</v>
      </c>
      <c r="M338" t="s">
        <v>36</v>
      </c>
      <c r="N338" t="s">
        <v>31</v>
      </c>
      <c r="O338" t="s">
        <v>20</v>
      </c>
      <c r="P338" t="str">
        <f>VLOOKUP(B338,'CHECK_DT-BT_chi_tiet'!$A:$C,3,FALSE)</f>
        <v>BV Thừa Thiên Huế</v>
      </c>
      <c r="Q338" t="str">
        <f>VLOOKUP(A338,Sheet3!$K$11:$L$21,2,FALSE)</f>
        <v>BH Kỹ thuật</v>
      </c>
      <c r="R338" t="str">
        <f>VLOOKUP(Q338,Sheet3!$L$11:$M$21,2,FALSE)</f>
        <v>HQ2</v>
      </c>
      <c r="S338" s="26">
        <f>SUMIFS('HQ2'!$O:$O,'HQ2'!$B:$B, "="&amp;'Tong_hop_HQNV_2026Q1_2026-06-23'!Q338, 'HQ2'!$A:$A,"="&amp;'Tong_hop_HQNV_2026Q1_2026-06-23'!P338)</f>
        <v>0</v>
      </c>
      <c r="T338" s="7">
        <f t="shared" si="5"/>
        <v>0</v>
      </c>
    </row>
    <row r="339" spans="1:20" x14ac:dyDescent="0.25">
      <c r="A339" t="s">
        <v>35</v>
      </c>
      <c r="B339" s="9" t="s">
        <v>324</v>
      </c>
      <c r="C339">
        <v>0</v>
      </c>
      <c r="D339">
        <v>0</v>
      </c>
      <c r="E339" s="92">
        <v>-400000000</v>
      </c>
      <c r="F339">
        <v>352880910</v>
      </c>
      <c r="G339" s="92">
        <v>750000000</v>
      </c>
      <c r="H339">
        <v>0</v>
      </c>
      <c r="I339" s="92">
        <v>400000000</v>
      </c>
      <c r="J339">
        <v>0</v>
      </c>
      <c r="K339">
        <v>352880910</v>
      </c>
      <c r="L339" s="92">
        <v>400000000</v>
      </c>
      <c r="M339" t="s">
        <v>36</v>
      </c>
      <c r="N339" t="s">
        <v>31</v>
      </c>
      <c r="O339" t="s">
        <v>20</v>
      </c>
      <c r="P339" t="str">
        <f>VLOOKUP(B339,'CHECK_DT-BT_chi_tiet'!$A:$C,3,FALSE)</f>
        <v>BV Lai Châu</v>
      </c>
      <c r="Q339" t="str">
        <f>VLOOKUP(A339,Sheet3!$K$11:$L$21,2,FALSE)</f>
        <v>BH Kỹ thuật</v>
      </c>
      <c r="R339" t="str">
        <f>VLOOKUP(Q339,Sheet3!$L$11:$M$21,2,FALSE)</f>
        <v>HQ2</v>
      </c>
      <c r="S339" s="26">
        <f>SUMIFS('HQ2'!$O:$O,'HQ2'!$B:$B, "="&amp;'Tong_hop_HQNV_2026Q1_2026-06-23'!Q339, 'HQ2'!$A:$A,"="&amp;'Tong_hop_HQNV_2026Q1_2026-06-23'!P339)</f>
        <v>750000000</v>
      </c>
      <c r="T339" s="7">
        <f t="shared" si="5"/>
        <v>0</v>
      </c>
    </row>
    <row r="340" spans="1:20" x14ac:dyDescent="0.25">
      <c r="A340" t="s">
        <v>35</v>
      </c>
      <c r="B340" s="9" t="s">
        <v>336</v>
      </c>
      <c r="C340">
        <v>0</v>
      </c>
      <c r="D340">
        <v>0</v>
      </c>
      <c r="E340">
        <v>-430362190</v>
      </c>
      <c r="F340">
        <v>103729215</v>
      </c>
      <c r="G340">
        <v>519994421.30000001</v>
      </c>
      <c r="H340">
        <v>0</v>
      </c>
      <c r="I340">
        <v>430362190</v>
      </c>
      <c r="J340">
        <v>0</v>
      </c>
      <c r="K340">
        <v>103729215</v>
      </c>
      <c r="L340">
        <v>430362190</v>
      </c>
      <c r="M340" t="s">
        <v>36</v>
      </c>
      <c r="N340" t="s">
        <v>31</v>
      </c>
      <c r="O340" t="s">
        <v>20</v>
      </c>
      <c r="P340" t="str">
        <f>VLOOKUP(B340,'CHECK_DT-BT_chi_tiet'!$A:$C,3,FALSE)</f>
        <v>BV Phú Mỹ</v>
      </c>
      <c r="Q340" t="str">
        <f>VLOOKUP(A340,Sheet3!$K$11:$L$21,2,FALSE)</f>
        <v>BH Kỹ thuật</v>
      </c>
      <c r="R340" t="str">
        <f>VLOOKUP(Q340,Sheet3!$L$11:$M$21,2,FALSE)</f>
        <v>HQ2</v>
      </c>
      <c r="S340" s="26">
        <f>SUMIFS('HQ2'!$O:$O,'HQ2'!$B:$B, "="&amp;'Tong_hop_HQNV_2026Q1_2026-06-23'!Q340, 'HQ2'!$A:$A,"="&amp;'Tong_hop_HQNV_2026Q1_2026-06-23'!P340)</f>
        <v>519994421.30000001</v>
      </c>
      <c r="T340" s="7">
        <f t="shared" si="5"/>
        <v>0</v>
      </c>
    </row>
    <row r="341" spans="1:20" x14ac:dyDescent="0.25">
      <c r="A341" t="s">
        <v>35</v>
      </c>
      <c r="B341" s="9" t="s">
        <v>354</v>
      </c>
      <c r="C341">
        <v>0</v>
      </c>
      <c r="D341">
        <v>0</v>
      </c>
      <c r="E341">
        <v>-17987068</v>
      </c>
      <c r="F341">
        <v>2420019864</v>
      </c>
      <c r="G341">
        <v>2127407699.3</v>
      </c>
      <c r="H341">
        <v>0</v>
      </c>
      <c r="I341">
        <v>26980602</v>
      </c>
      <c r="J341">
        <v>0</v>
      </c>
      <c r="K341">
        <v>2420019864</v>
      </c>
      <c r="L341">
        <v>17987068</v>
      </c>
      <c r="M341" t="s">
        <v>36</v>
      </c>
      <c r="N341" t="s">
        <v>31</v>
      </c>
      <c r="O341" t="s">
        <v>20</v>
      </c>
      <c r="P341" t="str">
        <f>VLOOKUP(B341,'CHECK_DT-BT_chi_tiet'!$A:$C,3,FALSE)</f>
        <v>BV Thành phố HCM</v>
      </c>
      <c r="Q341" t="str">
        <f>VLOOKUP(A341,Sheet3!$K$11:$L$21,2,FALSE)</f>
        <v>BH Kỹ thuật</v>
      </c>
      <c r="R341" t="str">
        <f>VLOOKUP(Q341,Sheet3!$L$11:$M$21,2,FALSE)</f>
        <v>HQ2</v>
      </c>
      <c r="S341" s="26">
        <f>SUMIFS('HQ2'!$O:$O,'HQ2'!$B:$B, "="&amp;'Tong_hop_HQNV_2026Q1_2026-06-23'!Q341, 'HQ2'!$A:$A,"="&amp;'Tong_hop_HQNV_2026Q1_2026-06-23'!P341)</f>
        <v>2127407699.3</v>
      </c>
      <c r="T341" s="7">
        <f t="shared" si="5"/>
        <v>0</v>
      </c>
    </row>
    <row r="342" spans="1:20" x14ac:dyDescent="0.25">
      <c r="A342" t="s">
        <v>35</v>
      </c>
      <c r="B342" s="9" t="s">
        <v>304</v>
      </c>
      <c r="C342">
        <v>0</v>
      </c>
      <c r="D342">
        <v>0</v>
      </c>
      <c r="E342">
        <v>-271235548</v>
      </c>
      <c r="F342">
        <v>923617828</v>
      </c>
      <c r="G342">
        <v>1696935035</v>
      </c>
      <c r="H342">
        <v>0</v>
      </c>
      <c r="I342">
        <v>0</v>
      </c>
      <c r="J342">
        <v>0</v>
      </c>
      <c r="K342">
        <v>923617828</v>
      </c>
      <c r="L342">
        <v>271235548</v>
      </c>
      <c r="M342" t="s">
        <v>36</v>
      </c>
      <c r="N342" t="s">
        <v>31</v>
      </c>
      <c r="O342" t="s">
        <v>20</v>
      </c>
      <c r="P342" t="str">
        <f>VLOOKUP(B342,'CHECK_DT-BT_chi_tiet'!$A:$C,3,FALSE)</f>
        <v>BV Đình Vũ</v>
      </c>
      <c r="Q342" t="str">
        <f>VLOOKUP(A342,Sheet3!$K$11:$L$21,2,FALSE)</f>
        <v>BH Kỹ thuật</v>
      </c>
      <c r="R342" t="str">
        <f>VLOOKUP(Q342,Sheet3!$L$11:$M$21,2,FALSE)</f>
        <v>HQ2</v>
      </c>
      <c r="S342" s="26">
        <f>SUMIFS('HQ2'!$O:$O,'HQ2'!$B:$B, "="&amp;'Tong_hop_HQNV_2026Q1_2026-06-23'!Q342, 'HQ2'!$A:$A,"="&amp;'Tong_hop_HQNV_2026Q1_2026-06-23'!P342)</f>
        <v>1696935035</v>
      </c>
      <c r="T342" s="7">
        <f t="shared" si="5"/>
        <v>0</v>
      </c>
    </row>
    <row r="343" spans="1:20" x14ac:dyDescent="0.25">
      <c r="A343" t="s">
        <v>35</v>
      </c>
      <c r="B343" s="9" t="s">
        <v>314</v>
      </c>
      <c r="C343">
        <v>0</v>
      </c>
      <c r="D343">
        <v>0</v>
      </c>
      <c r="E343">
        <v>-777220261</v>
      </c>
      <c r="F343">
        <v>464803381</v>
      </c>
      <c r="G343">
        <v>2973353712.4000001</v>
      </c>
      <c r="H343">
        <v>0</v>
      </c>
      <c r="I343">
        <v>0</v>
      </c>
      <c r="J343">
        <v>0</v>
      </c>
      <c r="K343">
        <v>464803381</v>
      </c>
      <c r="L343">
        <v>777220261</v>
      </c>
      <c r="M343" t="s">
        <v>36</v>
      </c>
      <c r="N343" t="s">
        <v>31</v>
      </c>
      <c r="O343" t="s">
        <v>20</v>
      </c>
      <c r="P343" t="str">
        <f>VLOOKUP(B343,'CHECK_DT-BT_chi_tiet'!$A:$C,3,FALSE)</f>
        <v>BV Hà Thành</v>
      </c>
      <c r="Q343" t="str">
        <f>VLOOKUP(A343,Sheet3!$K$11:$L$21,2,FALSE)</f>
        <v>BH Kỹ thuật</v>
      </c>
      <c r="R343" t="str">
        <f>VLOOKUP(Q343,Sheet3!$L$11:$M$21,2,FALSE)</f>
        <v>HQ2</v>
      </c>
      <c r="S343" s="26">
        <f>SUMIFS('HQ2'!$O:$O,'HQ2'!$B:$B, "="&amp;'Tong_hop_HQNV_2026Q1_2026-06-23'!Q343, 'HQ2'!$A:$A,"="&amp;'Tong_hop_HQNV_2026Q1_2026-06-23'!P343)</f>
        <v>2973353712.4000001</v>
      </c>
      <c r="T343" s="7">
        <f t="shared" si="5"/>
        <v>0</v>
      </c>
    </row>
    <row r="344" spans="1:20" x14ac:dyDescent="0.25">
      <c r="A344" t="s">
        <v>35</v>
      </c>
      <c r="B344" s="9" t="s">
        <v>291</v>
      </c>
      <c r="C344">
        <v>0</v>
      </c>
      <c r="D344">
        <v>0</v>
      </c>
      <c r="E344">
        <v>-194295505</v>
      </c>
      <c r="F344">
        <v>49318511</v>
      </c>
      <c r="G344">
        <v>0</v>
      </c>
      <c r="H344">
        <v>0</v>
      </c>
      <c r="I344">
        <v>194295505</v>
      </c>
      <c r="J344">
        <v>0</v>
      </c>
      <c r="K344">
        <v>49318511</v>
      </c>
      <c r="L344">
        <v>194295505</v>
      </c>
      <c r="M344" t="s">
        <v>36</v>
      </c>
      <c r="N344" t="s">
        <v>31</v>
      </c>
      <c r="O344" t="s">
        <v>20</v>
      </c>
      <c r="P344" t="str">
        <f>VLOOKUP(B344,'CHECK_DT-BT_chi_tiet'!$A:$C,3,FALSE)</f>
        <v>BV Bến Thành</v>
      </c>
      <c r="Q344" t="str">
        <f>VLOOKUP(A344,Sheet3!$K$11:$L$21,2,FALSE)</f>
        <v>BH Kỹ thuật</v>
      </c>
      <c r="R344" t="str">
        <f>VLOOKUP(Q344,Sheet3!$L$11:$M$21,2,FALSE)</f>
        <v>HQ2</v>
      </c>
      <c r="S344" s="26">
        <f>SUMIFS('HQ2'!$O:$O,'HQ2'!$B:$B, "="&amp;'Tong_hop_HQNV_2026Q1_2026-06-23'!Q344, 'HQ2'!$A:$A,"="&amp;'Tong_hop_HQNV_2026Q1_2026-06-23'!P344)</f>
        <v>0</v>
      </c>
      <c r="T344" s="7">
        <f t="shared" si="5"/>
        <v>0</v>
      </c>
    </row>
    <row r="345" spans="1:20" x14ac:dyDescent="0.25">
      <c r="A345" t="s">
        <v>23</v>
      </c>
      <c r="B345" s="9" t="s">
        <v>332</v>
      </c>
      <c r="C345">
        <v>0</v>
      </c>
      <c r="D345">
        <v>0</v>
      </c>
      <c r="E345">
        <v>-25486590</v>
      </c>
      <c r="F345">
        <v>1594211997</v>
      </c>
      <c r="G345">
        <v>0</v>
      </c>
      <c r="H345">
        <v>0</v>
      </c>
      <c r="I345">
        <v>0</v>
      </c>
      <c r="J345">
        <v>0</v>
      </c>
      <c r="K345">
        <v>1594211997</v>
      </c>
      <c r="L345">
        <v>25486590</v>
      </c>
      <c r="M345" t="s">
        <v>15</v>
      </c>
      <c r="N345" t="s">
        <v>24</v>
      </c>
      <c r="O345" t="s">
        <v>15</v>
      </c>
      <c r="P345" t="str">
        <f>VLOOKUP(B345,'CHECK_DT-BT_chi_tiet'!$A:$C,3,FALSE)</f>
        <v>BV Nam Định</v>
      </c>
      <c r="Q345" t="str">
        <f>VLOOKUP(A345,Sheet3!$K$11:$L$21,2,FALSE)</f>
        <v>P&amp;I</v>
      </c>
      <c r="R345" t="str">
        <f>VLOOKUP(Q345,Sheet3!$L$11:$M$21,2,FALSE)</f>
        <v>HQ2</v>
      </c>
      <c r="S345" s="26">
        <f>SUMIFS('HQ2'!$O:$O,'HQ2'!$B:$B, "="&amp;'Tong_hop_HQNV_2026Q1_2026-06-23'!Q345, 'HQ2'!$A:$A,"="&amp;'Tong_hop_HQNV_2026Q1_2026-06-23'!P345)</f>
        <v>0</v>
      </c>
      <c r="T345" s="7">
        <f t="shared" si="5"/>
        <v>0</v>
      </c>
    </row>
    <row r="346" spans="1:20" x14ac:dyDescent="0.25">
      <c r="A346" t="s">
        <v>23</v>
      </c>
      <c r="B346" s="9" t="s">
        <v>333</v>
      </c>
      <c r="C346">
        <v>0</v>
      </c>
      <c r="D346">
        <v>0</v>
      </c>
      <c r="E346">
        <v>-364553470</v>
      </c>
      <c r="F346">
        <v>5118972604</v>
      </c>
      <c r="G346">
        <v>17360285490.599998</v>
      </c>
      <c r="H346">
        <v>3974315490.5999999</v>
      </c>
      <c r="I346">
        <v>0</v>
      </c>
      <c r="J346">
        <v>0</v>
      </c>
      <c r="K346">
        <v>5118972604</v>
      </c>
      <c r="L346">
        <v>364553470</v>
      </c>
      <c r="M346" t="s">
        <v>15</v>
      </c>
      <c r="N346" t="s">
        <v>24</v>
      </c>
      <c r="O346" t="s">
        <v>15</v>
      </c>
      <c r="P346" t="str">
        <f>VLOOKUP(B346,'CHECK_DT-BT_chi_tiet'!$A:$C,3,FALSE)</f>
        <v>BV Nghệ An</v>
      </c>
      <c r="Q346" t="str">
        <f>VLOOKUP(A346,Sheet3!$K$11:$L$21,2,FALSE)</f>
        <v>P&amp;I</v>
      </c>
      <c r="R346" t="str">
        <f>VLOOKUP(Q346,Sheet3!$L$11:$M$21,2,FALSE)</f>
        <v>HQ2</v>
      </c>
      <c r="S346" s="26">
        <f>SUMIFS('HQ2'!$O:$O,'HQ2'!$B:$B, "="&amp;'Tong_hop_HQNV_2026Q1_2026-06-23'!Q346, 'HQ2'!$A:$A,"="&amp;'Tong_hop_HQNV_2026Q1_2026-06-23'!P346)</f>
        <v>17360285491</v>
      </c>
      <c r="T346" s="7">
        <f t="shared" si="5"/>
        <v>0.40000152587890625</v>
      </c>
    </row>
    <row r="347" spans="1:20" x14ac:dyDescent="0.25">
      <c r="A347" t="s">
        <v>23</v>
      </c>
      <c r="B347" s="9" t="s">
        <v>345</v>
      </c>
      <c r="C347">
        <v>0</v>
      </c>
      <c r="D347">
        <v>0</v>
      </c>
      <c r="E347">
        <v>-307257690</v>
      </c>
      <c r="F347">
        <v>11091919355</v>
      </c>
      <c r="G347">
        <v>46910961606.061996</v>
      </c>
      <c r="H347">
        <v>0</v>
      </c>
      <c r="I347">
        <v>0</v>
      </c>
      <c r="J347">
        <v>0</v>
      </c>
      <c r="K347">
        <v>11091919355</v>
      </c>
      <c r="L347">
        <v>307257690</v>
      </c>
      <c r="M347" t="s">
        <v>15</v>
      </c>
      <c r="N347" t="s">
        <v>24</v>
      </c>
      <c r="O347" t="s">
        <v>15</v>
      </c>
      <c r="P347" t="str">
        <f>VLOOKUP(B347,'CHECK_DT-BT_chi_tiet'!$A:$C,3,FALSE)</f>
        <v>BV Sài Gòn</v>
      </c>
      <c r="Q347" t="str">
        <f>VLOOKUP(A347,Sheet3!$K$11:$L$21,2,FALSE)</f>
        <v>P&amp;I</v>
      </c>
      <c r="R347" t="str">
        <f>VLOOKUP(Q347,Sheet3!$L$11:$M$21,2,FALSE)</f>
        <v>HQ2</v>
      </c>
      <c r="S347" s="26">
        <f>SUMIFS('HQ2'!$O:$O,'HQ2'!$B:$B, "="&amp;'Tong_hop_HQNV_2026Q1_2026-06-23'!Q347, 'HQ2'!$A:$A,"="&amp;'Tong_hop_HQNV_2026Q1_2026-06-23'!P347)</f>
        <v>46910961606</v>
      </c>
      <c r="T347" s="7">
        <f t="shared" si="5"/>
        <v>-6.19964599609375E-2</v>
      </c>
    </row>
    <row r="348" spans="1:20" x14ac:dyDescent="0.25">
      <c r="A348" t="s">
        <v>23</v>
      </c>
      <c r="B348" s="9" t="s">
        <v>350</v>
      </c>
      <c r="C348">
        <v>0</v>
      </c>
      <c r="D348">
        <v>0</v>
      </c>
      <c r="E348">
        <v>-38769800</v>
      </c>
      <c r="F348">
        <v>0</v>
      </c>
      <c r="G348">
        <v>0</v>
      </c>
      <c r="H348">
        <v>0</v>
      </c>
      <c r="I348">
        <v>0</v>
      </c>
      <c r="J348">
        <v>0</v>
      </c>
      <c r="K348">
        <v>0</v>
      </c>
      <c r="L348">
        <v>38769800</v>
      </c>
      <c r="M348" t="s">
        <v>15</v>
      </c>
      <c r="N348" t="s">
        <v>24</v>
      </c>
      <c r="O348" t="s">
        <v>15</v>
      </c>
      <c r="P348" t="str">
        <f>VLOOKUP(B348,'CHECK_DT-BT_chi_tiet'!$A:$C,3,FALSE)</f>
        <v>BV Thái Bình</v>
      </c>
      <c r="Q348" t="str">
        <f>VLOOKUP(A348,Sheet3!$K$11:$L$21,2,FALSE)</f>
        <v>P&amp;I</v>
      </c>
      <c r="R348" t="str">
        <f>VLOOKUP(Q348,Sheet3!$L$11:$M$21,2,FALSE)</f>
        <v>HQ2</v>
      </c>
      <c r="S348" s="26">
        <f>SUMIFS('HQ2'!$O:$O,'HQ2'!$B:$B, "="&amp;'Tong_hop_HQNV_2026Q1_2026-06-23'!Q348, 'HQ2'!$A:$A,"="&amp;'Tong_hop_HQNV_2026Q1_2026-06-23'!P348)</f>
        <v>0</v>
      </c>
      <c r="T348" s="7">
        <f t="shared" si="5"/>
        <v>0</v>
      </c>
    </row>
    <row r="349" spans="1:20" x14ac:dyDescent="0.25">
      <c r="A349" t="s">
        <v>23</v>
      </c>
      <c r="B349" s="9" t="s">
        <v>353</v>
      </c>
      <c r="C349">
        <v>0</v>
      </c>
      <c r="D349">
        <v>0</v>
      </c>
      <c r="E349">
        <v>-25486590</v>
      </c>
      <c r="F349">
        <v>1329255158</v>
      </c>
      <c r="G349">
        <v>0</v>
      </c>
      <c r="H349">
        <v>0</v>
      </c>
      <c r="I349">
        <v>0</v>
      </c>
      <c r="J349">
        <v>0</v>
      </c>
      <c r="K349">
        <v>1329255158</v>
      </c>
      <c r="L349">
        <v>25486590</v>
      </c>
      <c r="M349" t="s">
        <v>15</v>
      </c>
      <c r="N349" t="s">
        <v>24</v>
      </c>
      <c r="O349" t="s">
        <v>15</v>
      </c>
      <c r="P349" t="str">
        <f>VLOOKUP(B349,'CHECK_DT-BT_chi_tiet'!$A:$C,3,FALSE)</f>
        <v>BV Thanh Hóa</v>
      </c>
      <c r="Q349" t="str">
        <f>VLOOKUP(A349,Sheet3!$K$11:$L$21,2,FALSE)</f>
        <v>P&amp;I</v>
      </c>
      <c r="R349" t="str">
        <f>VLOOKUP(Q349,Sheet3!$L$11:$M$21,2,FALSE)</f>
        <v>HQ2</v>
      </c>
      <c r="S349" s="26">
        <f>SUMIFS('HQ2'!$O:$O,'HQ2'!$B:$B, "="&amp;'Tong_hop_HQNV_2026Q1_2026-06-23'!Q349, 'HQ2'!$A:$A,"="&amp;'Tong_hop_HQNV_2026Q1_2026-06-23'!P349)</f>
        <v>0</v>
      </c>
      <c r="T349" s="7">
        <f t="shared" si="5"/>
        <v>0</v>
      </c>
    </row>
    <row r="350" spans="1:20" x14ac:dyDescent="0.25">
      <c r="A350" t="s">
        <v>23</v>
      </c>
      <c r="B350" s="9" t="s">
        <v>309</v>
      </c>
      <c r="C350">
        <v>0</v>
      </c>
      <c r="D350">
        <v>0</v>
      </c>
      <c r="E350">
        <v>-467075957</v>
      </c>
      <c r="F350">
        <v>4616017047</v>
      </c>
      <c r="G350">
        <v>0</v>
      </c>
      <c r="H350">
        <v>0</v>
      </c>
      <c r="I350">
        <v>183120000</v>
      </c>
      <c r="J350">
        <v>183120000</v>
      </c>
      <c r="K350">
        <v>4616017047</v>
      </c>
      <c r="L350">
        <v>467075957</v>
      </c>
      <c r="M350" t="s">
        <v>15</v>
      </c>
      <c r="N350" t="s">
        <v>24</v>
      </c>
      <c r="O350" t="s">
        <v>15</v>
      </c>
      <c r="P350" t="str">
        <f>VLOOKUP(B350,'CHECK_DT-BT_chi_tiet'!$A:$C,3,FALSE)</f>
        <v>BV Gia Định</v>
      </c>
      <c r="Q350" t="str">
        <f>VLOOKUP(A350,Sheet3!$K$11:$L$21,2,FALSE)</f>
        <v>P&amp;I</v>
      </c>
      <c r="R350" t="str">
        <f>VLOOKUP(Q350,Sheet3!$L$11:$M$21,2,FALSE)</f>
        <v>HQ2</v>
      </c>
      <c r="S350" s="26">
        <f>SUMIFS('HQ2'!$O:$O,'HQ2'!$B:$B, "="&amp;'Tong_hop_HQNV_2026Q1_2026-06-23'!Q350, 'HQ2'!$A:$A,"="&amp;'Tong_hop_HQNV_2026Q1_2026-06-23'!P350)</f>
        <v>0</v>
      </c>
      <c r="T350" s="7">
        <f t="shared" si="5"/>
        <v>0</v>
      </c>
    </row>
    <row r="351" spans="1:20" x14ac:dyDescent="0.25">
      <c r="A351" t="s">
        <v>23</v>
      </c>
      <c r="B351" s="9" t="s">
        <v>354</v>
      </c>
      <c r="C351">
        <v>0</v>
      </c>
      <c r="D351">
        <v>0</v>
      </c>
      <c r="E351">
        <v>-645806840</v>
      </c>
      <c r="F351">
        <v>8712036705</v>
      </c>
      <c r="G351" s="92">
        <v>528000000</v>
      </c>
      <c r="H351">
        <v>0</v>
      </c>
      <c r="I351">
        <v>0</v>
      </c>
      <c r="J351">
        <v>0</v>
      </c>
      <c r="K351">
        <v>8712036705</v>
      </c>
      <c r="L351">
        <v>645806840</v>
      </c>
      <c r="M351" t="s">
        <v>15</v>
      </c>
      <c r="N351" t="s">
        <v>24</v>
      </c>
      <c r="O351" t="s">
        <v>15</v>
      </c>
      <c r="P351" t="str">
        <f>VLOOKUP(B351,'CHECK_DT-BT_chi_tiet'!$A:$C,3,FALSE)</f>
        <v>BV Thành phố HCM</v>
      </c>
      <c r="Q351" t="str">
        <f>VLOOKUP(A351,Sheet3!$K$11:$L$21,2,FALSE)</f>
        <v>P&amp;I</v>
      </c>
      <c r="R351" t="str">
        <f>VLOOKUP(Q351,Sheet3!$L$11:$M$21,2,FALSE)</f>
        <v>HQ2</v>
      </c>
      <c r="S351" s="26">
        <f>SUMIFS('HQ2'!$O:$O,'HQ2'!$B:$B, "="&amp;'Tong_hop_HQNV_2026Q1_2026-06-23'!Q351, 'HQ2'!$A:$A,"="&amp;'Tong_hop_HQNV_2026Q1_2026-06-23'!P351)</f>
        <v>528000000</v>
      </c>
      <c r="T351" s="7">
        <f t="shared" si="5"/>
        <v>0</v>
      </c>
    </row>
    <row r="352" spans="1:20" x14ac:dyDescent="0.25">
      <c r="A352" t="s">
        <v>25</v>
      </c>
      <c r="B352" s="9" t="s">
        <v>315</v>
      </c>
      <c r="C352">
        <v>0</v>
      </c>
      <c r="D352">
        <v>0</v>
      </c>
      <c r="E352">
        <v>-697307500</v>
      </c>
      <c r="F352">
        <v>0</v>
      </c>
      <c r="G352" s="92">
        <v>93000000</v>
      </c>
      <c r="H352">
        <v>0</v>
      </c>
      <c r="I352">
        <v>0</v>
      </c>
      <c r="J352">
        <v>0</v>
      </c>
      <c r="K352">
        <v>0</v>
      </c>
      <c r="L352">
        <v>697307500</v>
      </c>
      <c r="M352" t="s">
        <v>15</v>
      </c>
      <c r="N352" t="s">
        <v>26</v>
      </c>
      <c r="O352" t="s">
        <v>27</v>
      </c>
      <c r="P352" t="str">
        <f>VLOOKUP(B352,'CHECK_DT-BT_chi_tiet'!$A:$C,3,FALSE)</f>
        <v>BV Hà Tĩnh</v>
      </c>
      <c r="Q352" t="str">
        <f>VLOOKUP(A352,Sheet3!$K$11:$L$21,2,FALSE)</f>
        <v>Hull (Thân tàu biển)</v>
      </c>
      <c r="R352" t="str">
        <f>VLOOKUP(Q352,Sheet3!$L$11:$M$21,2,FALSE)</f>
        <v>HQ2</v>
      </c>
      <c r="S352" s="26">
        <f>SUMIFS('HQ2'!$O:$O,'HQ2'!$B:$B, "="&amp;'Tong_hop_HQNV_2026Q1_2026-06-23'!Q352, 'HQ2'!$A:$A,"="&amp;'Tong_hop_HQNV_2026Q1_2026-06-23'!P352)</f>
        <v>93000000</v>
      </c>
      <c r="T352" s="7">
        <f t="shared" si="5"/>
        <v>0</v>
      </c>
    </row>
    <row r="353" spans="1:20" x14ac:dyDescent="0.25">
      <c r="A353" t="s">
        <v>25</v>
      </c>
      <c r="B353" s="9" t="s">
        <v>345</v>
      </c>
      <c r="C353">
        <v>0</v>
      </c>
      <c r="D353">
        <v>0</v>
      </c>
      <c r="E353">
        <v>-242910781</v>
      </c>
      <c r="F353">
        <v>2562545641</v>
      </c>
      <c r="G353">
        <v>8799487400</v>
      </c>
      <c r="H353">
        <v>0</v>
      </c>
      <c r="I353">
        <v>0</v>
      </c>
      <c r="J353">
        <v>0</v>
      </c>
      <c r="K353">
        <v>2562545641</v>
      </c>
      <c r="L353">
        <v>242910781</v>
      </c>
      <c r="M353" t="s">
        <v>15</v>
      </c>
      <c r="N353" t="s">
        <v>26</v>
      </c>
      <c r="O353" t="s">
        <v>27</v>
      </c>
      <c r="P353" t="str">
        <f>VLOOKUP(B353,'CHECK_DT-BT_chi_tiet'!$A:$C,3,FALSE)</f>
        <v>BV Sài Gòn</v>
      </c>
      <c r="Q353" t="str">
        <f>VLOOKUP(A353,Sheet3!$K$11:$L$21,2,FALSE)</f>
        <v>Hull (Thân tàu biển)</v>
      </c>
      <c r="R353" t="str">
        <f>VLOOKUP(Q353,Sheet3!$L$11:$M$21,2,FALSE)</f>
        <v>HQ2</v>
      </c>
      <c r="S353" s="26">
        <f>SUMIFS('HQ2'!$O:$O,'HQ2'!$B:$B, "="&amp;'Tong_hop_HQNV_2026Q1_2026-06-23'!Q353, 'HQ2'!$A:$A,"="&amp;'Tong_hop_HQNV_2026Q1_2026-06-23'!P353)</f>
        <v>8799487400</v>
      </c>
      <c r="T353" s="7">
        <f t="shared" si="5"/>
        <v>0</v>
      </c>
    </row>
    <row r="354" spans="1:20" x14ac:dyDescent="0.25">
      <c r="A354" t="s">
        <v>25</v>
      </c>
      <c r="B354" s="9" t="s">
        <v>309</v>
      </c>
      <c r="C354">
        <v>0</v>
      </c>
      <c r="D354">
        <v>0</v>
      </c>
      <c r="E354">
        <v>-472319000</v>
      </c>
      <c r="F354">
        <v>1799078374</v>
      </c>
      <c r="G354">
        <v>2000002830</v>
      </c>
      <c r="H354">
        <v>2000002830</v>
      </c>
      <c r="I354">
        <v>0</v>
      </c>
      <c r="J354">
        <v>0</v>
      </c>
      <c r="K354">
        <v>1799078374</v>
      </c>
      <c r="L354">
        <v>472319000</v>
      </c>
      <c r="M354" t="s">
        <v>15</v>
      </c>
      <c r="N354" t="s">
        <v>26</v>
      </c>
      <c r="O354" t="s">
        <v>27</v>
      </c>
      <c r="P354" t="str">
        <f>VLOOKUP(B354,'CHECK_DT-BT_chi_tiet'!$A:$C,3,FALSE)</f>
        <v>BV Gia Định</v>
      </c>
      <c r="Q354" t="str">
        <f>VLOOKUP(A354,Sheet3!$K$11:$L$21,2,FALSE)</f>
        <v>Hull (Thân tàu biển)</v>
      </c>
      <c r="R354" t="str">
        <f>VLOOKUP(Q354,Sheet3!$L$11:$M$21,2,FALSE)</f>
        <v>HQ2</v>
      </c>
      <c r="S354" s="26">
        <f>SUMIFS('HQ2'!$O:$O,'HQ2'!$B:$B, "="&amp;'Tong_hop_HQNV_2026Q1_2026-06-23'!Q354, 'HQ2'!$A:$A,"="&amp;'Tong_hop_HQNV_2026Q1_2026-06-23'!P354)</f>
        <v>2000002830</v>
      </c>
      <c r="T354" s="7">
        <f t="shared" si="5"/>
        <v>0</v>
      </c>
    </row>
    <row r="355" spans="1:20" x14ac:dyDescent="0.25">
      <c r="A355" t="s">
        <v>25</v>
      </c>
      <c r="B355" s="9" t="s">
        <v>336</v>
      </c>
      <c r="C355">
        <v>0</v>
      </c>
      <c r="D355">
        <v>0</v>
      </c>
      <c r="E355">
        <v>-1294625422</v>
      </c>
      <c r="F355">
        <v>449914270</v>
      </c>
      <c r="G355">
        <v>0</v>
      </c>
      <c r="H355">
        <v>0</v>
      </c>
      <c r="I355">
        <v>0</v>
      </c>
      <c r="J355">
        <v>0</v>
      </c>
      <c r="K355">
        <v>449914270</v>
      </c>
      <c r="L355">
        <v>1294625422</v>
      </c>
      <c r="M355" t="s">
        <v>15</v>
      </c>
      <c r="N355" t="s">
        <v>26</v>
      </c>
      <c r="O355" t="s">
        <v>27</v>
      </c>
      <c r="P355" t="str">
        <f>VLOOKUP(B355,'CHECK_DT-BT_chi_tiet'!$A:$C,3,FALSE)</f>
        <v>BV Phú Mỹ</v>
      </c>
      <c r="Q355" t="str">
        <f>VLOOKUP(A355,Sheet3!$K$11:$L$21,2,FALSE)</f>
        <v>Hull (Thân tàu biển)</v>
      </c>
      <c r="R355" t="str">
        <f>VLOOKUP(Q355,Sheet3!$L$11:$M$21,2,FALSE)</f>
        <v>HQ2</v>
      </c>
      <c r="S355" s="26">
        <f>SUMIFS('HQ2'!$O:$O,'HQ2'!$B:$B, "="&amp;'Tong_hop_HQNV_2026Q1_2026-06-23'!Q355, 'HQ2'!$A:$A,"="&amp;'Tong_hop_HQNV_2026Q1_2026-06-23'!P355)</f>
        <v>0</v>
      </c>
      <c r="T355" s="7">
        <f t="shared" si="5"/>
        <v>0</v>
      </c>
    </row>
    <row r="356" spans="1:20" x14ac:dyDescent="0.25">
      <c r="A356" t="s">
        <v>25</v>
      </c>
      <c r="B356" s="9" t="s">
        <v>330</v>
      </c>
      <c r="C356">
        <v>0</v>
      </c>
      <c r="D356">
        <v>0</v>
      </c>
      <c r="E356">
        <v>-5818429663</v>
      </c>
      <c r="F356">
        <v>414660476</v>
      </c>
      <c r="G356" s="92">
        <v>150000000</v>
      </c>
      <c r="H356">
        <v>0</v>
      </c>
      <c r="I356">
        <v>0</v>
      </c>
      <c r="J356">
        <v>0</v>
      </c>
      <c r="K356">
        <v>414660476</v>
      </c>
      <c r="L356">
        <v>5818429663</v>
      </c>
      <c r="M356" t="s">
        <v>15</v>
      </c>
      <c r="N356" t="s">
        <v>26</v>
      </c>
      <c r="O356" t="s">
        <v>27</v>
      </c>
      <c r="P356" t="str">
        <f>VLOOKUP(B356,'CHECK_DT-BT_chi_tiet'!$A:$C,3,FALSE)</f>
        <v>BV Mỹ Đình</v>
      </c>
      <c r="Q356" t="str">
        <f>VLOOKUP(A356,Sheet3!$K$11:$L$21,2,FALSE)</f>
        <v>Hull (Thân tàu biển)</v>
      </c>
      <c r="R356" t="str">
        <f>VLOOKUP(Q356,Sheet3!$L$11:$M$21,2,FALSE)</f>
        <v>HQ2</v>
      </c>
      <c r="S356" s="26">
        <f>SUMIFS('HQ2'!$O:$O,'HQ2'!$B:$B, "="&amp;'Tong_hop_HQNV_2026Q1_2026-06-23'!Q356, 'HQ2'!$A:$A,"="&amp;'Tong_hop_HQNV_2026Q1_2026-06-23'!P356)</f>
        <v>150000000</v>
      </c>
      <c r="T356" s="7">
        <f t="shared" si="5"/>
        <v>0</v>
      </c>
    </row>
    <row r="357" spans="1:20" x14ac:dyDescent="0.25">
      <c r="A357" t="s">
        <v>28</v>
      </c>
      <c r="B357" s="9" t="s">
        <v>305</v>
      </c>
      <c r="C357">
        <v>0</v>
      </c>
      <c r="D357">
        <v>0</v>
      </c>
      <c r="E357">
        <v>-7949000</v>
      </c>
      <c r="F357">
        <v>0</v>
      </c>
      <c r="G357">
        <v>0</v>
      </c>
      <c r="H357">
        <v>0</v>
      </c>
      <c r="I357">
        <v>0</v>
      </c>
      <c r="J357">
        <v>0</v>
      </c>
      <c r="K357">
        <v>0</v>
      </c>
      <c r="L357">
        <v>7949000</v>
      </c>
      <c r="M357" t="s">
        <v>17</v>
      </c>
      <c r="N357" t="s">
        <v>20</v>
      </c>
      <c r="O357" t="s">
        <v>20</v>
      </c>
      <c r="P357" t="str">
        <f>VLOOKUP(B357,'CHECK_DT-BT_chi_tiet'!$A:$C,3,FALSE)</f>
        <v>BV Đông Bắc</v>
      </c>
      <c r="Q357" t="str">
        <f>VLOOKUP(A357,Sheet3!$K$11:$L$21,2,FALSE)</f>
        <v>BH Trách nhiệm</v>
      </c>
      <c r="R357" t="str">
        <f>VLOOKUP(Q357,Sheet3!$L$11:$M$21,2,FALSE)</f>
        <v>HQ2</v>
      </c>
      <c r="S357" s="26">
        <f>SUMIFS('HQ2'!$O:$O,'HQ2'!$B:$B, "="&amp;'Tong_hop_HQNV_2026Q1_2026-06-23'!Q357, 'HQ2'!$A:$A,"="&amp;'Tong_hop_HQNV_2026Q1_2026-06-23'!P357)</f>
        <v>0</v>
      </c>
      <c r="T357" s="7">
        <f t="shared" si="5"/>
        <v>0</v>
      </c>
    </row>
    <row r="358" spans="1:20" x14ac:dyDescent="0.25">
      <c r="A358" t="s">
        <v>28</v>
      </c>
      <c r="B358" s="9" t="s">
        <v>287</v>
      </c>
      <c r="C358">
        <v>0</v>
      </c>
      <c r="D358">
        <v>0</v>
      </c>
      <c r="E358">
        <v>-1200000</v>
      </c>
      <c r="F358">
        <v>0</v>
      </c>
      <c r="G358">
        <v>0</v>
      </c>
      <c r="H358">
        <v>0</v>
      </c>
      <c r="I358">
        <v>0</v>
      </c>
      <c r="J358">
        <v>0</v>
      </c>
      <c r="K358">
        <v>0</v>
      </c>
      <c r="L358">
        <v>1200000</v>
      </c>
      <c r="M358" t="s">
        <v>17</v>
      </c>
      <c r="N358" t="s">
        <v>20</v>
      </c>
      <c r="O358" t="s">
        <v>20</v>
      </c>
      <c r="P358" t="str">
        <f>VLOOKUP(B358,'CHECK_DT-BT_chi_tiet'!$A:$C,3,FALSE)</f>
        <v>BV Bắc Cạn</v>
      </c>
      <c r="Q358" t="str">
        <f>VLOOKUP(A358,Sheet3!$K$11:$L$21,2,FALSE)</f>
        <v>BH Trách nhiệm</v>
      </c>
      <c r="R358" t="str">
        <f>VLOOKUP(Q358,Sheet3!$L$11:$M$21,2,FALSE)</f>
        <v>HQ2</v>
      </c>
      <c r="S358" s="26">
        <f>SUMIFS('HQ2'!$O:$O,'HQ2'!$B:$B, "="&amp;'Tong_hop_HQNV_2026Q1_2026-06-23'!Q358, 'HQ2'!$A:$A,"="&amp;'Tong_hop_HQNV_2026Q1_2026-06-23'!P358)</f>
        <v>0</v>
      </c>
      <c r="T358" s="7">
        <f t="shared" si="5"/>
        <v>0</v>
      </c>
    </row>
    <row r="359" spans="1:20" x14ac:dyDescent="0.25">
      <c r="A359" t="s">
        <v>28</v>
      </c>
      <c r="B359" s="9" t="s">
        <v>300</v>
      </c>
      <c r="C359">
        <v>0</v>
      </c>
      <c r="D359">
        <v>0</v>
      </c>
      <c r="E359">
        <v>-15781038</v>
      </c>
      <c r="F359">
        <v>461275085</v>
      </c>
      <c r="G359">
        <v>1336972623</v>
      </c>
      <c r="H359">
        <v>0</v>
      </c>
      <c r="I359">
        <v>0</v>
      </c>
      <c r="J359">
        <v>0</v>
      </c>
      <c r="K359">
        <v>461275085</v>
      </c>
      <c r="L359">
        <v>15781038</v>
      </c>
      <c r="M359" t="s">
        <v>17</v>
      </c>
      <c r="N359" t="s">
        <v>20</v>
      </c>
      <c r="O359" t="s">
        <v>20</v>
      </c>
      <c r="P359" t="str">
        <f>VLOOKUP(B359,'CHECK_DT-BT_chi_tiet'!$A:$C,3,FALSE)</f>
        <v>BV Đà Nẵng</v>
      </c>
      <c r="Q359" t="str">
        <f>VLOOKUP(A359,Sheet3!$K$11:$L$21,2,FALSE)</f>
        <v>BH Trách nhiệm</v>
      </c>
      <c r="R359" t="str">
        <f>VLOOKUP(Q359,Sheet3!$L$11:$M$21,2,FALSE)</f>
        <v>HQ2</v>
      </c>
      <c r="S359" s="26">
        <f>SUMIFS('HQ2'!$O:$O,'HQ2'!$B:$B, "="&amp;'Tong_hop_HQNV_2026Q1_2026-06-23'!Q359, 'HQ2'!$A:$A,"="&amp;'Tong_hop_HQNV_2026Q1_2026-06-23'!P359)</f>
        <v>1336972623</v>
      </c>
      <c r="T359" s="7">
        <f t="shared" si="5"/>
        <v>0</v>
      </c>
    </row>
    <row r="360" spans="1:20" x14ac:dyDescent="0.25">
      <c r="A360" t="s">
        <v>28</v>
      </c>
      <c r="B360" s="9" t="s">
        <v>317</v>
      </c>
      <c r="C360">
        <v>0</v>
      </c>
      <c r="D360">
        <v>0</v>
      </c>
      <c r="E360">
        <v>-711155841</v>
      </c>
      <c r="F360">
        <v>544914312</v>
      </c>
      <c r="G360">
        <v>6487340107</v>
      </c>
      <c r="H360" s="92">
        <v>2000000000</v>
      </c>
      <c r="I360">
        <v>711155841</v>
      </c>
      <c r="J360">
        <v>0</v>
      </c>
      <c r="K360">
        <v>544914312</v>
      </c>
      <c r="L360">
        <v>711155841</v>
      </c>
      <c r="M360" t="s">
        <v>17</v>
      </c>
      <c r="N360" t="s">
        <v>20</v>
      </c>
      <c r="O360" t="s">
        <v>20</v>
      </c>
      <c r="P360" t="str">
        <f>VLOOKUP(B360,'CHECK_DT-BT_chi_tiet'!$A:$C,3,FALSE)</f>
        <v>BV Hải Phòng</v>
      </c>
      <c r="Q360" t="str">
        <f>VLOOKUP(A360,Sheet3!$K$11:$L$21,2,FALSE)</f>
        <v>BH Trách nhiệm</v>
      </c>
      <c r="R360" t="str">
        <f>VLOOKUP(Q360,Sheet3!$L$11:$M$21,2,FALSE)</f>
        <v>HQ2</v>
      </c>
      <c r="S360" s="26">
        <f>SUMIFS('HQ2'!$O:$O,'HQ2'!$B:$B, "="&amp;'Tong_hop_HQNV_2026Q1_2026-06-23'!Q360, 'HQ2'!$A:$A,"="&amp;'Tong_hop_HQNV_2026Q1_2026-06-23'!P360)</f>
        <v>6487340107</v>
      </c>
      <c r="T360" s="7">
        <f t="shared" si="5"/>
        <v>0</v>
      </c>
    </row>
    <row r="361" spans="1:20" x14ac:dyDescent="0.25">
      <c r="A361" t="s">
        <v>28</v>
      </c>
      <c r="B361" s="9" t="s">
        <v>319</v>
      </c>
      <c r="C361">
        <v>0</v>
      </c>
      <c r="D361">
        <v>0</v>
      </c>
      <c r="E361">
        <v>-80500000</v>
      </c>
      <c r="F361">
        <v>0</v>
      </c>
      <c r="G361">
        <v>0</v>
      </c>
      <c r="H361">
        <v>0</v>
      </c>
      <c r="I361">
        <v>0</v>
      </c>
      <c r="J361">
        <v>0</v>
      </c>
      <c r="K361">
        <v>0</v>
      </c>
      <c r="L361">
        <v>80500000</v>
      </c>
      <c r="M361" t="s">
        <v>17</v>
      </c>
      <c r="N361" t="s">
        <v>20</v>
      </c>
      <c r="O361" t="s">
        <v>20</v>
      </c>
      <c r="P361" t="str">
        <f>VLOOKUP(B361,'CHECK_DT-BT_chi_tiet'!$A:$C,3,FALSE)</f>
        <v>BV Hòa Bình</v>
      </c>
      <c r="Q361" t="str">
        <f>VLOOKUP(A361,Sheet3!$K$11:$L$21,2,FALSE)</f>
        <v>BH Trách nhiệm</v>
      </c>
      <c r="R361" t="str">
        <f>VLOOKUP(Q361,Sheet3!$L$11:$M$21,2,FALSE)</f>
        <v>HQ2</v>
      </c>
      <c r="S361" s="26">
        <f>SUMIFS('HQ2'!$O:$O,'HQ2'!$B:$B, "="&amp;'Tong_hop_HQNV_2026Q1_2026-06-23'!Q361, 'HQ2'!$A:$A,"="&amp;'Tong_hop_HQNV_2026Q1_2026-06-23'!P361)</f>
        <v>0</v>
      </c>
      <c r="T361" s="7">
        <f t="shared" si="5"/>
        <v>0</v>
      </c>
    </row>
    <row r="362" spans="1:20" x14ac:dyDescent="0.25">
      <c r="A362" t="s">
        <v>28</v>
      </c>
      <c r="B362" s="9" t="s">
        <v>328</v>
      </c>
      <c r="C362">
        <v>0</v>
      </c>
      <c r="D362">
        <v>0</v>
      </c>
      <c r="E362">
        <v>-12027918</v>
      </c>
      <c r="F362">
        <v>61972728</v>
      </c>
      <c r="G362">
        <v>0</v>
      </c>
      <c r="H362">
        <v>0</v>
      </c>
      <c r="I362">
        <v>12027918</v>
      </c>
      <c r="J362">
        <v>12027918</v>
      </c>
      <c r="K362">
        <v>61972728</v>
      </c>
      <c r="L362">
        <v>12027918</v>
      </c>
      <c r="M362" t="s">
        <v>17</v>
      </c>
      <c r="N362" t="s">
        <v>20</v>
      </c>
      <c r="O362" t="s">
        <v>20</v>
      </c>
      <c r="P362" t="str">
        <f>VLOOKUP(B362,'CHECK_DT-BT_chi_tiet'!$A:$C,3,FALSE)</f>
        <v>BV Long An</v>
      </c>
      <c r="Q362" t="str">
        <f>VLOOKUP(A362,Sheet3!$K$11:$L$21,2,FALSE)</f>
        <v>BH Trách nhiệm</v>
      </c>
      <c r="R362" t="str">
        <f>VLOOKUP(Q362,Sheet3!$L$11:$M$21,2,FALSE)</f>
        <v>HQ2</v>
      </c>
      <c r="S362" s="26">
        <f>SUMIFS('HQ2'!$O:$O,'HQ2'!$B:$B, "="&amp;'Tong_hop_HQNV_2026Q1_2026-06-23'!Q362, 'HQ2'!$A:$A,"="&amp;'Tong_hop_HQNV_2026Q1_2026-06-23'!P362)</f>
        <v>0</v>
      </c>
      <c r="T362" s="7">
        <f t="shared" si="5"/>
        <v>0</v>
      </c>
    </row>
    <row r="363" spans="1:20" x14ac:dyDescent="0.25">
      <c r="A363" t="s">
        <v>28</v>
      </c>
      <c r="B363" s="9" t="s">
        <v>343</v>
      </c>
      <c r="C363">
        <v>0</v>
      </c>
      <c r="D363">
        <v>0</v>
      </c>
      <c r="E363">
        <v>-44038323</v>
      </c>
      <c r="F363">
        <v>65100000</v>
      </c>
      <c r="G363">
        <v>0</v>
      </c>
      <c r="H363">
        <v>0</v>
      </c>
      <c r="I363">
        <v>0</v>
      </c>
      <c r="J363">
        <v>0</v>
      </c>
      <c r="K363">
        <v>65100000</v>
      </c>
      <c r="L363">
        <v>44038323</v>
      </c>
      <c r="M363" t="s">
        <v>17</v>
      </c>
      <c r="N363" t="s">
        <v>20</v>
      </c>
      <c r="O363" t="s">
        <v>20</v>
      </c>
      <c r="P363" t="str">
        <f>VLOOKUP(B363,'CHECK_DT-BT_chi_tiet'!$A:$C,3,FALSE)</f>
        <v>BV Quảng Ninh</v>
      </c>
      <c r="Q363" t="str">
        <f>VLOOKUP(A363,Sheet3!$K$11:$L$21,2,FALSE)</f>
        <v>BH Trách nhiệm</v>
      </c>
      <c r="R363" t="str">
        <f>VLOOKUP(Q363,Sheet3!$L$11:$M$21,2,FALSE)</f>
        <v>HQ2</v>
      </c>
      <c r="S363" s="26">
        <f>SUMIFS('HQ2'!$O:$O,'HQ2'!$B:$B, "="&amp;'Tong_hop_HQNV_2026Q1_2026-06-23'!Q363, 'HQ2'!$A:$A,"="&amp;'Tong_hop_HQNV_2026Q1_2026-06-23'!P363)</f>
        <v>0</v>
      </c>
      <c r="T363" s="7">
        <f t="shared" si="5"/>
        <v>0</v>
      </c>
    </row>
    <row r="364" spans="1:20" x14ac:dyDescent="0.25">
      <c r="A364" t="s">
        <v>28</v>
      </c>
      <c r="B364" s="9" t="s">
        <v>347</v>
      </c>
      <c r="C364">
        <v>0</v>
      </c>
      <c r="D364">
        <v>0</v>
      </c>
      <c r="E364">
        <v>-3200000</v>
      </c>
      <c r="F364">
        <v>0</v>
      </c>
      <c r="G364">
        <v>0</v>
      </c>
      <c r="H364">
        <v>0</v>
      </c>
      <c r="I364">
        <v>0</v>
      </c>
      <c r="J364">
        <v>0</v>
      </c>
      <c r="K364">
        <v>0</v>
      </c>
      <c r="L364">
        <v>3200000</v>
      </c>
      <c r="M364" t="s">
        <v>17</v>
      </c>
      <c r="N364" t="s">
        <v>20</v>
      </c>
      <c r="O364" t="s">
        <v>20</v>
      </c>
      <c r="P364" t="str">
        <f>VLOOKUP(B364,'CHECK_DT-BT_chi_tiet'!$A:$C,3,FALSE)</f>
        <v>BV Sơn La</v>
      </c>
      <c r="Q364" t="str">
        <f>VLOOKUP(A364,Sheet3!$K$11:$L$21,2,FALSE)</f>
        <v>BH Trách nhiệm</v>
      </c>
      <c r="R364" t="str">
        <f>VLOOKUP(Q364,Sheet3!$L$11:$M$21,2,FALSE)</f>
        <v>HQ2</v>
      </c>
      <c r="S364" s="26">
        <f>SUMIFS('HQ2'!$O:$O,'HQ2'!$B:$B, "="&amp;'Tong_hop_HQNV_2026Q1_2026-06-23'!Q364, 'HQ2'!$A:$A,"="&amp;'Tong_hop_HQNV_2026Q1_2026-06-23'!P364)</f>
        <v>0</v>
      </c>
      <c r="T364" s="7">
        <f t="shared" si="5"/>
        <v>0</v>
      </c>
    </row>
    <row r="365" spans="1:20" x14ac:dyDescent="0.25">
      <c r="A365" t="s">
        <v>28</v>
      </c>
      <c r="B365" s="9" t="s">
        <v>351</v>
      </c>
      <c r="C365">
        <v>0</v>
      </c>
      <c r="D365">
        <v>0</v>
      </c>
      <c r="E365">
        <v>-33070000</v>
      </c>
      <c r="F365">
        <v>86363639</v>
      </c>
      <c r="G365">
        <v>0</v>
      </c>
      <c r="H365">
        <v>0</v>
      </c>
      <c r="I365">
        <v>0</v>
      </c>
      <c r="J365">
        <v>0</v>
      </c>
      <c r="K365">
        <v>86363639</v>
      </c>
      <c r="L365">
        <v>33070000</v>
      </c>
      <c r="M365" t="s">
        <v>17</v>
      </c>
      <c r="N365" t="s">
        <v>20</v>
      </c>
      <c r="O365" t="s">
        <v>20</v>
      </c>
      <c r="P365" t="str">
        <f>VLOOKUP(B365,'CHECK_DT-BT_chi_tiet'!$A:$C,3,FALSE)</f>
        <v>BV Thái Nguyên</v>
      </c>
      <c r="Q365" t="str">
        <f>VLOOKUP(A365,Sheet3!$K$11:$L$21,2,FALSE)</f>
        <v>BH Trách nhiệm</v>
      </c>
      <c r="R365" t="str">
        <f>VLOOKUP(Q365,Sheet3!$L$11:$M$21,2,FALSE)</f>
        <v>HQ2</v>
      </c>
      <c r="S365" s="26">
        <f>SUMIFS('HQ2'!$O:$O,'HQ2'!$B:$B, "="&amp;'Tong_hop_HQNV_2026Q1_2026-06-23'!Q365, 'HQ2'!$A:$A,"="&amp;'Tong_hop_HQNV_2026Q1_2026-06-23'!P365)</f>
        <v>0</v>
      </c>
      <c r="T365" s="7">
        <f t="shared" si="5"/>
        <v>0</v>
      </c>
    </row>
    <row r="366" spans="1:20" x14ac:dyDescent="0.25">
      <c r="A366" t="s">
        <v>28</v>
      </c>
      <c r="B366" s="9" t="s">
        <v>362</v>
      </c>
      <c r="C366">
        <v>0</v>
      </c>
      <c r="D366">
        <v>0</v>
      </c>
      <c r="E366">
        <v>-2400000</v>
      </c>
      <c r="F366">
        <v>0</v>
      </c>
      <c r="G366">
        <v>0</v>
      </c>
      <c r="H366">
        <v>0</v>
      </c>
      <c r="I366">
        <v>0</v>
      </c>
      <c r="J366">
        <v>0</v>
      </c>
      <c r="K366">
        <v>0</v>
      </c>
      <c r="L366">
        <v>2400000</v>
      </c>
      <c r="M366" t="s">
        <v>17</v>
      </c>
      <c r="N366" t="s">
        <v>20</v>
      </c>
      <c r="O366" t="s">
        <v>20</v>
      </c>
      <c r="P366" t="str">
        <f>VLOOKUP(B366,'CHECK_DT-BT_chi_tiet'!$A:$C,3,FALSE)</f>
        <v>BV Yên Bái</v>
      </c>
      <c r="Q366" t="str">
        <f>VLOOKUP(A366,Sheet3!$K$11:$L$21,2,FALSE)</f>
        <v>BH Trách nhiệm</v>
      </c>
      <c r="R366" t="str">
        <f>VLOOKUP(Q366,Sheet3!$L$11:$M$21,2,FALSE)</f>
        <v>HQ2</v>
      </c>
      <c r="S366" s="26">
        <f>SUMIFS('HQ2'!$O:$O,'HQ2'!$B:$B, "="&amp;'Tong_hop_HQNV_2026Q1_2026-06-23'!Q366, 'HQ2'!$A:$A,"="&amp;'Tong_hop_HQNV_2026Q1_2026-06-23'!P366)</f>
        <v>0</v>
      </c>
      <c r="T366" s="7">
        <f t="shared" si="5"/>
        <v>0</v>
      </c>
    </row>
    <row r="367" spans="1:20" x14ac:dyDescent="0.25">
      <c r="A367" t="s">
        <v>28</v>
      </c>
      <c r="B367" s="9" t="s">
        <v>314</v>
      </c>
      <c r="C367">
        <v>0</v>
      </c>
      <c r="D367">
        <v>0</v>
      </c>
      <c r="E367">
        <v>-6316935</v>
      </c>
      <c r="F367">
        <v>1537942969</v>
      </c>
      <c r="G367">
        <v>15798361949.6</v>
      </c>
      <c r="H367">
        <v>0</v>
      </c>
      <c r="I367">
        <v>2091415</v>
      </c>
      <c r="J367">
        <v>0</v>
      </c>
      <c r="K367">
        <v>1537942969</v>
      </c>
      <c r="L367">
        <v>6316935</v>
      </c>
      <c r="M367" t="s">
        <v>17</v>
      </c>
      <c r="N367" t="s">
        <v>20</v>
      </c>
      <c r="O367" t="s">
        <v>20</v>
      </c>
      <c r="P367" t="str">
        <f>VLOOKUP(B367,'CHECK_DT-BT_chi_tiet'!$A:$C,3,FALSE)</f>
        <v>BV Hà Thành</v>
      </c>
      <c r="Q367" t="str">
        <f>VLOOKUP(A367,Sheet3!$K$11:$L$21,2,FALSE)</f>
        <v>BH Trách nhiệm</v>
      </c>
      <c r="R367" t="str">
        <f>VLOOKUP(Q367,Sheet3!$L$11:$M$21,2,FALSE)</f>
        <v>HQ2</v>
      </c>
      <c r="S367" s="26">
        <f>SUMIFS('HQ2'!$O:$O,'HQ2'!$B:$B, "="&amp;'Tong_hop_HQNV_2026Q1_2026-06-23'!Q367, 'HQ2'!$A:$A,"="&amp;'Tong_hop_HQNV_2026Q1_2026-06-23'!P367)</f>
        <v>15798361949.650003</v>
      </c>
      <c r="T367" s="7">
        <f t="shared" si="5"/>
        <v>5.00030517578125E-2</v>
      </c>
    </row>
    <row r="368" spans="1:20" x14ac:dyDescent="0.25">
      <c r="A368" t="s">
        <v>28</v>
      </c>
      <c r="B368" s="9" t="s">
        <v>348</v>
      </c>
      <c r="C368">
        <v>0</v>
      </c>
      <c r="D368">
        <v>0</v>
      </c>
      <c r="E368" s="92">
        <v>-5000000</v>
      </c>
      <c r="F368">
        <v>5900000</v>
      </c>
      <c r="G368">
        <v>0</v>
      </c>
      <c r="H368">
        <v>0</v>
      </c>
      <c r="I368">
        <v>0</v>
      </c>
      <c r="J368">
        <v>0</v>
      </c>
      <c r="K368">
        <v>5900000</v>
      </c>
      <c r="L368" s="92">
        <v>5000000</v>
      </c>
      <c r="M368" t="s">
        <v>17</v>
      </c>
      <c r="N368" t="s">
        <v>20</v>
      </c>
      <c r="O368" t="s">
        <v>20</v>
      </c>
      <c r="P368" t="str">
        <f>VLOOKUP(B368,'CHECK_DT-BT_chi_tiet'!$A:$C,3,FALSE)</f>
        <v>BV Sơn Tây</v>
      </c>
      <c r="Q368" t="str">
        <f>VLOOKUP(A368,Sheet3!$K$11:$L$21,2,FALSE)</f>
        <v>BH Trách nhiệm</v>
      </c>
      <c r="R368" t="str">
        <f>VLOOKUP(Q368,Sheet3!$L$11:$M$21,2,FALSE)</f>
        <v>HQ2</v>
      </c>
      <c r="S368" s="26">
        <f>SUMIFS('HQ2'!$O:$O,'HQ2'!$B:$B, "="&amp;'Tong_hop_HQNV_2026Q1_2026-06-23'!Q368, 'HQ2'!$A:$A,"="&amp;'Tong_hop_HQNV_2026Q1_2026-06-23'!P368)</f>
        <v>0</v>
      </c>
      <c r="T368" s="7">
        <f t="shared" si="5"/>
        <v>0</v>
      </c>
    </row>
    <row r="369" spans="1:20" x14ac:dyDescent="0.25">
      <c r="A369" t="s">
        <v>29</v>
      </c>
      <c r="B369" s="9" t="s">
        <v>223</v>
      </c>
      <c r="C369">
        <v>0</v>
      </c>
      <c r="D369">
        <v>0</v>
      </c>
      <c r="E369">
        <v>-91736306</v>
      </c>
      <c r="F369">
        <v>1189221152</v>
      </c>
      <c r="G369">
        <v>331631244.38999999</v>
      </c>
      <c r="H369">
        <v>0</v>
      </c>
      <c r="I369">
        <v>0</v>
      </c>
      <c r="J369">
        <v>0</v>
      </c>
      <c r="K369">
        <v>1189221152</v>
      </c>
      <c r="L369">
        <v>91736306</v>
      </c>
      <c r="M369" t="s">
        <v>30</v>
      </c>
      <c r="N369" t="s">
        <v>31</v>
      </c>
      <c r="O369" t="s">
        <v>26</v>
      </c>
      <c r="P369" t="str">
        <f>VLOOKUP(B369,'CHECK_DT-BT_chi_tiet'!$A:$C,3,FALSE)</f>
        <v>TSC-Ban KDBH Hàng hóa</v>
      </c>
      <c r="Q369" t="str">
        <f>VLOOKUP(A369,Sheet3!$K$11:$L$21,2,FALSE)</f>
        <v>BH Tài sản</v>
      </c>
      <c r="R369" t="str">
        <f>VLOOKUP(Q369,Sheet3!$L$11:$M$21,2,FALSE)</f>
        <v>HQ2</v>
      </c>
      <c r="S369" s="26">
        <f>SUMIFS('HQ2'!$O:$O,'HQ2'!$B:$B, "="&amp;'Tong_hop_HQNV_2026Q1_2026-06-23'!Q369, 'HQ2'!$A:$A,"="&amp;'Tong_hop_HQNV_2026Q1_2026-06-23'!P369)</f>
        <v>331631244.42999995</v>
      </c>
      <c r="T369" s="7">
        <f t="shared" si="5"/>
        <v>3.9999961853027344E-2</v>
      </c>
    </row>
    <row r="370" spans="1:20" x14ac:dyDescent="0.25">
      <c r="A370" t="s">
        <v>29</v>
      </c>
      <c r="B370" s="9" t="s">
        <v>229</v>
      </c>
      <c r="C370">
        <v>0</v>
      </c>
      <c r="D370">
        <v>0</v>
      </c>
      <c r="E370">
        <v>-34432903</v>
      </c>
      <c r="F370">
        <v>1093211591</v>
      </c>
      <c r="G370">
        <v>0</v>
      </c>
      <c r="H370">
        <v>0</v>
      </c>
      <c r="I370">
        <v>0</v>
      </c>
      <c r="J370">
        <v>0</v>
      </c>
      <c r="K370">
        <v>1093211591</v>
      </c>
      <c r="L370">
        <v>34432903</v>
      </c>
      <c r="M370" t="s">
        <v>30</v>
      </c>
      <c r="N370" t="s">
        <v>31</v>
      </c>
      <c r="O370" t="s">
        <v>26</v>
      </c>
      <c r="P370" t="str">
        <f>VLOOKUP(B370,'CHECK_DT-BT_chi_tiet'!$A:$C,3,FALSE)</f>
        <v>TSC-Ban Bảo hiểm trực tuyến</v>
      </c>
      <c r="Q370" t="str">
        <f>VLOOKUP(A370,Sheet3!$K$11:$L$21,2,FALSE)</f>
        <v>BH Tài sản</v>
      </c>
      <c r="R370" t="str">
        <f>VLOOKUP(Q370,Sheet3!$L$11:$M$21,2,FALSE)</f>
        <v>HQ2</v>
      </c>
      <c r="S370" s="26">
        <f>SUMIFS('HQ2'!$O:$O,'HQ2'!$B:$B, "="&amp;'Tong_hop_HQNV_2026Q1_2026-06-23'!Q370, 'HQ2'!$A:$A,"="&amp;'Tong_hop_HQNV_2026Q1_2026-06-23'!P370)</f>
        <v>0</v>
      </c>
      <c r="T370" s="7">
        <f t="shared" si="5"/>
        <v>0</v>
      </c>
    </row>
    <row r="371" spans="1:20" x14ac:dyDescent="0.25">
      <c r="A371" t="s">
        <v>29</v>
      </c>
      <c r="B371" s="9" t="s">
        <v>364</v>
      </c>
      <c r="C371">
        <v>0</v>
      </c>
      <c r="D371">
        <v>0</v>
      </c>
      <c r="E371">
        <v>-885264564</v>
      </c>
      <c r="F371">
        <v>0</v>
      </c>
      <c r="G371">
        <v>0</v>
      </c>
      <c r="H371">
        <v>0</v>
      </c>
      <c r="I371">
        <v>0</v>
      </c>
      <c r="J371">
        <v>0</v>
      </c>
      <c r="K371">
        <v>0</v>
      </c>
      <c r="L371">
        <v>885264564</v>
      </c>
      <c r="M371" t="s">
        <v>30</v>
      </c>
      <c r="N371" t="s">
        <v>31</v>
      </c>
      <c r="O371" t="s">
        <v>26</v>
      </c>
      <c r="P371" t="e">
        <f>VLOOKUP(B371,'CHECK_DT-BT_chi_tiet'!$A:$C,3,FALSE)</f>
        <v>#N/A</v>
      </c>
      <c r="Q371" t="str">
        <f>VLOOKUP(A371,Sheet3!$K$11:$L$21,2,FALSE)</f>
        <v>BH Tài sản</v>
      </c>
      <c r="R371" t="str">
        <f>VLOOKUP(Q371,Sheet3!$L$11:$M$21,2,FALSE)</f>
        <v>HQ2</v>
      </c>
      <c r="S371" s="26">
        <f>SUMIFS('HQ2'!$O:$O,'HQ2'!$B:$B, "="&amp;'Tong_hop_HQNV_2026Q1_2026-06-23'!Q371, 'HQ2'!$A:$A,"="&amp;'Tong_hop_HQNV_2026Q1_2026-06-23'!P371)</f>
        <v>0</v>
      </c>
      <c r="T371" s="7">
        <f t="shared" si="5"/>
        <v>0</v>
      </c>
    </row>
    <row r="372" spans="1:20" x14ac:dyDescent="0.25">
      <c r="A372" t="s">
        <v>29</v>
      </c>
      <c r="B372" s="9" t="s">
        <v>305</v>
      </c>
      <c r="C372">
        <v>0</v>
      </c>
      <c r="D372">
        <v>0</v>
      </c>
      <c r="E372">
        <v>-5449151424</v>
      </c>
      <c r="F372">
        <v>335214104</v>
      </c>
      <c r="G372">
        <v>836215706</v>
      </c>
      <c r="H372">
        <v>0</v>
      </c>
      <c r="I372">
        <v>5429291651</v>
      </c>
      <c r="J372">
        <v>0</v>
      </c>
      <c r="K372">
        <v>335214104</v>
      </c>
      <c r="L372">
        <v>5449151424</v>
      </c>
      <c r="M372" t="s">
        <v>30</v>
      </c>
      <c r="N372" t="s">
        <v>31</v>
      </c>
      <c r="O372" t="s">
        <v>26</v>
      </c>
      <c r="P372" t="str">
        <f>VLOOKUP(B372,'CHECK_DT-BT_chi_tiet'!$A:$C,3,FALSE)</f>
        <v>BV Đông Bắc</v>
      </c>
      <c r="Q372" t="str">
        <f>VLOOKUP(A372,Sheet3!$K$11:$L$21,2,FALSE)</f>
        <v>BH Tài sản</v>
      </c>
      <c r="R372" t="str">
        <f>VLOOKUP(Q372,Sheet3!$L$11:$M$21,2,FALSE)</f>
        <v>HQ2</v>
      </c>
      <c r="S372" s="26">
        <f>SUMIFS('HQ2'!$O:$O,'HQ2'!$B:$B, "="&amp;'Tong_hop_HQNV_2026Q1_2026-06-23'!Q372, 'HQ2'!$A:$A,"="&amp;'Tong_hop_HQNV_2026Q1_2026-06-23'!P372)</f>
        <v>836215706</v>
      </c>
      <c r="T372" s="7">
        <f t="shared" si="5"/>
        <v>0</v>
      </c>
    </row>
    <row r="373" spans="1:20" x14ac:dyDescent="0.25">
      <c r="A373" t="s">
        <v>29</v>
      </c>
      <c r="B373" s="9" t="s">
        <v>284</v>
      </c>
      <c r="C373">
        <v>0</v>
      </c>
      <c r="D373">
        <v>0</v>
      </c>
      <c r="E373">
        <v>-48588000</v>
      </c>
      <c r="F373">
        <v>1084249857</v>
      </c>
      <c r="G373">
        <v>755768900</v>
      </c>
      <c r="H373">
        <v>0</v>
      </c>
      <c r="I373">
        <v>0</v>
      </c>
      <c r="J373">
        <v>0</v>
      </c>
      <c r="K373">
        <v>1084249857</v>
      </c>
      <c r="L373">
        <v>48588000</v>
      </c>
      <c r="M373" t="s">
        <v>30</v>
      </c>
      <c r="N373" t="s">
        <v>31</v>
      </c>
      <c r="O373" t="s">
        <v>26</v>
      </c>
      <c r="P373" t="str">
        <f>VLOOKUP(B373,'CHECK_DT-BT_chi_tiet'!$A:$C,3,FALSE)</f>
        <v>BV An Giang</v>
      </c>
      <c r="Q373" t="str">
        <f>VLOOKUP(A373,Sheet3!$K$11:$L$21,2,FALSE)</f>
        <v>BH Tài sản</v>
      </c>
      <c r="R373" t="str">
        <f>VLOOKUP(Q373,Sheet3!$L$11:$M$21,2,FALSE)</f>
        <v>HQ2</v>
      </c>
      <c r="S373" s="26">
        <f>SUMIFS('HQ2'!$O:$O,'HQ2'!$B:$B, "="&amp;'Tong_hop_HQNV_2026Q1_2026-06-23'!Q373, 'HQ2'!$A:$A,"="&amp;'Tong_hop_HQNV_2026Q1_2026-06-23'!P373)</f>
        <v>755768900</v>
      </c>
      <c r="T373" s="7">
        <f t="shared" si="5"/>
        <v>0</v>
      </c>
    </row>
    <row r="374" spans="1:20" x14ac:dyDescent="0.25">
      <c r="A374" t="s">
        <v>29</v>
      </c>
      <c r="B374" s="9" t="s">
        <v>294</v>
      </c>
      <c r="C374">
        <v>0</v>
      </c>
      <c r="D374">
        <v>0</v>
      </c>
      <c r="E374">
        <v>-87550000</v>
      </c>
      <c r="F374">
        <v>10170000233</v>
      </c>
      <c r="G374">
        <v>252974950</v>
      </c>
      <c r="H374">
        <v>0</v>
      </c>
      <c r="I374">
        <v>87550000</v>
      </c>
      <c r="J374">
        <v>72350000</v>
      </c>
      <c r="K374">
        <v>10170000233</v>
      </c>
      <c r="L374">
        <v>87550000</v>
      </c>
      <c r="M374" t="s">
        <v>30</v>
      </c>
      <c r="N374" t="s">
        <v>31</v>
      </c>
      <c r="O374" t="s">
        <v>26</v>
      </c>
      <c r="P374" t="str">
        <f>VLOOKUP(B374,'CHECK_DT-BT_chi_tiet'!$A:$C,3,FALSE)</f>
        <v>BV Bình Dương</v>
      </c>
      <c r="Q374" t="str">
        <f>VLOOKUP(A374,Sheet3!$K$11:$L$21,2,FALSE)</f>
        <v>BH Tài sản</v>
      </c>
      <c r="R374" t="str">
        <f>VLOOKUP(Q374,Sheet3!$L$11:$M$21,2,FALSE)</f>
        <v>HQ2</v>
      </c>
      <c r="S374" s="26">
        <f>SUMIFS('HQ2'!$O:$O,'HQ2'!$B:$B, "="&amp;'Tong_hop_HQNV_2026Q1_2026-06-23'!Q374, 'HQ2'!$A:$A,"="&amp;'Tong_hop_HQNV_2026Q1_2026-06-23'!P374)</f>
        <v>252974950</v>
      </c>
      <c r="T374" s="7">
        <f t="shared" si="5"/>
        <v>0</v>
      </c>
    </row>
    <row r="375" spans="1:20" x14ac:dyDescent="0.25">
      <c r="A375" t="s">
        <v>29</v>
      </c>
      <c r="B375" s="9" t="s">
        <v>295</v>
      </c>
      <c r="C375">
        <v>0</v>
      </c>
      <c r="D375">
        <v>0</v>
      </c>
      <c r="E375">
        <v>-8170781111</v>
      </c>
      <c r="F375">
        <v>2678230589</v>
      </c>
      <c r="G375" s="92">
        <v>451000000</v>
      </c>
      <c r="H375">
        <v>0</v>
      </c>
      <c r="I375">
        <v>8170781111</v>
      </c>
      <c r="J375">
        <v>0</v>
      </c>
      <c r="K375">
        <v>2678230589</v>
      </c>
      <c r="L375">
        <v>8170781111</v>
      </c>
      <c r="M375" t="s">
        <v>30</v>
      </c>
      <c r="N375" t="s">
        <v>31</v>
      </c>
      <c r="O375" t="s">
        <v>26</v>
      </c>
      <c r="P375" t="str">
        <f>VLOOKUP(B375,'CHECK_DT-BT_chi_tiet'!$A:$C,3,FALSE)</f>
        <v>BV Bình Phước</v>
      </c>
      <c r="Q375" t="str">
        <f>VLOOKUP(A375,Sheet3!$K$11:$L$21,2,FALSE)</f>
        <v>BH Tài sản</v>
      </c>
      <c r="R375" t="str">
        <f>VLOOKUP(Q375,Sheet3!$L$11:$M$21,2,FALSE)</f>
        <v>HQ2</v>
      </c>
      <c r="S375" s="26">
        <f>SUMIFS('HQ2'!$O:$O,'HQ2'!$B:$B, "="&amp;'Tong_hop_HQNV_2026Q1_2026-06-23'!Q375, 'HQ2'!$A:$A,"="&amp;'Tong_hop_HQNV_2026Q1_2026-06-23'!P375)</f>
        <v>451000000</v>
      </c>
      <c r="T375" s="7">
        <f t="shared" si="5"/>
        <v>0</v>
      </c>
    </row>
    <row r="376" spans="1:20" x14ac:dyDescent="0.25">
      <c r="A376" t="s">
        <v>29</v>
      </c>
      <c r="B376" s="9" t="s">
        <v>300</v>
      </c>
      <c r="C376">
        <v>0</v>
      </c>
      <c r="D376">
        <v>0</v>
      </c>
      <c r="E376">
        <v>-1073988825</v>
      </c>
      <c r="F376">
        <v>6425724644</v>
      </c>
      <c r="G376">
        <v>16818830834.25</v>
      </c>
      <c r="H376">
        <v>84600000</v>
      </c>
      <c r="I376">
        <v>1055015825</v>
      </c>
      <c r="J376">
        <v>0</v>
      </c>
      <c r="K376">
        <v>6425724644</v>
      </c>
      <c r="L376">
        <v>1073988825</v>
      </c>
      <c r="M376" t="s">
        <v>30</v>
      </c>
      <c r="N376" t="s">
        <v>31</v>
      </c>
      <c r="O376" t="s">
        <v>26</v>
      </c>
      <c r="P376" t="str">
        <f>VLOOKUP(B376,'CHECK_DT-BT_chi_tiet'!$A:$C,3,FALSE)</f>
        <v>BV Đà Nẵng</v>
      </c>
      <c r="Q376" t="str">
        <f>VLOOKUP(A376,Sheet3!$K$11:$L$21,2,FALSE)</f>
        <v>BH Tài sản</v>
      </c>
      <c r="R376" t="str">
        <f>VLOOKUP(Q376,Sheet3!$L$11:$M$21,2,FALSE)</f>
        <v>HQ2</v>
      </c>
      <c r="S376" s="26">
        <f>SUMIFS('HQ2'!$O:$O,'HQ2'!$B:$B, "="&amp;'Tong_hop_HQNV_2026Q1_2026-06-23'!Q376, 'HQ2'!$A:$A,"="&amp;'Tong_hop_HQNV_2026Q1_2026-06-23'!P376)</f>
        <v>16818830834.299999</v>
      </c>
      <c r="T376" s="7">
        <f t="shared" si="5"/>
        <v>4.9999237060546875E-2</v>
      </c>
    </row>
    <row r="377" spans="1:20" x14ac:dyDescent="0.25">
      <c r="A377" t="s">
        <v>29</v>
      </c>
      <c r="B377" s="9" t="s">
        <v>301</v>
      </c>
      <c r="C377">
        <v>0</v>
      </c>
      <c r="D377">
        <v>0</v>
      </c>
      <c r="E377" s="92">
        <v>-7000000000</v>
      </c>
      <c r="F377">
        <v>2804323614</v>
      </c>
      <c r="G377">
        <v>7231549030</v>
      </c>
      <c r="H377">
        <v>0</v>
      </c>
      <c r="I377" s="92">
        <v>7000000000</v>
      </c>
      <c r="J377">
        <v>0</v>
      </c>
      <c r="K377">
        <v>2804323614</v>
      </c>
      <c r="L377" s="92">
        <v>7000000000</v>
      </c>
      <c r="M377" t="s">
        <v>30</v>
      </c>
      <c r="N377" t="s">
        <v>31</v>
      </c>
      <c r="O377" t="s">
        <v>26</v>
      </c>
      <c r="P377" t="str">
        <f>VLOOKUP(B377,'CHECK_DT-BT_chi_tiet'!$A:$C,3,FALSE)</f>
        <v>BV Dak Lak</v>
      </c>
      <c r="Q377" t="str">
        <f>VLOOKUP(A377,Sheet3!$K$11:$L$21,2,FALSE)</f>
        <v>BH Tài sản</v>
      </c>
      <c r="R377" t="str">
        <f>VLOOKUP(Q377,Sheet3!$L$11:$M$21,2,FALSE)</f>
        <v>HQ2</v>
      </c>
      <c r="S377" s="26">
        <f>SUMIFS('HQ2'!$O:$O,'HQ2'!$B:$B, "="&amp;'Tong_hop_HQNV_2026Q1_2026-06-23'!Q377, 'HQ2'!$A:$A,"="&amp;'Tong_hop_HQNV_2026Q1_2026-06-23'!P377)</f>
        <v>7231549030</v>
      </c>
      <c r="T377" s="7">
        <f t="shared" si="5"/>
        <v>0</v>
      </c>
    </row>
    <row r="378" spans="1:20" x14ac:dyDescent="0.25">
      <c r="A378" t="s">
        <v>29</v>
      </c>
      <c r="B378" s="9" t="s">
        <v>310</v>
      </c>
      <c r="C378">
        <v>0</v>
      </c>
      <c r="D378">
        <v>0</v>
      </c>
      <c r="E378">
        <v>-1357921778</v>
      </c>
      <c r="F378">
        <v>775522334</v>
      </c>
      <c r="G378">
        <v>3552400000</v>
      </c>
      <c r="H378">
        <v>0</v>
      </c>
      <c r="I378">
        <v>1357921778</v>
      </c>
      <c r="J378">
        <v>0</v>
      </c>
      <c r="K378">
        <v>775522334</v>
      </c>
      <c r="L378">
        <v>1357921778</v>
      </c>
      <c r="M378" t="s">
        <v>30</v>
      </c>
      <c r="N378" t="s">
        <v>31</v>
      </c>
      <c r="O378" t="s">
        <v>26</v>
      </c>
      <c r="P378" t="str">
        <f>VLOOKUP(B378,'CHECK_DT-BT_chi_tiet'!$A:$C,3,FALSE)</f>
        <v>BV Gia Lai</v>
      </c>
      <c r="Q378" t="str">
        <f>VLOOKUP(A378,Sheet3!$K$11:$L$21,2,FALSE)</f>
        <v>BH Tài sản</v>
      </c>
      <c r="R378" t="str">
        <f>VLOOKUP(Q378,Sheet3!$L$11:$M$21,2,FALSE)</f>
        <v>HQ2</v>
      </c>
      <c r="S378" s="26">
        <f>SUMIFS('HQ2'!$O:$O,'HQ2'!$B:$B, "="&amp;'Tong_hop_HQNV_2026Q1_2026-06-23'!Q378, 'HQ2'!$A:$A,"="&amp;'Tong_hop_HQNV_2026Q1_2026-06-23'!P378)</f>
        <v>3552400000</v>
      </c>
      <c r="T378" s="7">
        <f t="shared" si="5"/>
        <v>0</v>
      </c>
    </row>
    <row r="379" spans="1:20" x14ac:dyDescent="0.25">
      <c r="A379" t="s">
        <v>29</v>
      </c>
      <c r="B379" s="9" t="s">
        <v>312</v>
      </c>
      <c r="C379">
        <v>0</v>
      </c>
      <c r="D379">
        <v>0</v>
      </c>
      <c r="E379">
        <v>-345349248</v>
      </c>
      <c r="F379">
        <v>1403146037</v>
      </c>
      <c r="G379" s="92">
        <v>50000000</v>
      </c>
      <c r="H379">
        <v>0</v>
      </c>
      <c r="I379">
        <v>345349248</v>
      </c>
      <c r="J379">
        <v>0</v>
      </c>
      <c r="K379">
        <v>1403146037</v>
      </c>
      <c r="L379">
        <v>345349248</v>
      </c>
      <c r="M379" t="s">
        <v>30</v>
      </c>
      <c r="N379" t="s">
        <v>31</v>
      </c>
      <c r="O379" t="s">
        <v>26</v>
      </c>
      <c r="P379" t="str">
        <f>VLOOKUP(B379,'CHECK_DT-BT_chi_tiet'!$A:$C,3,FALSE)</f>
        <v>BV Hà Nam</v>
      </c>
      <c r="Q379" t="str">
        <f>VLOOKUP(A379,Sheet3!$K$11:$L$21,2,FALSE)</f>
        <v>BH Tài sản</v>
      </c>
      <c r="R379" t="str">
        <f>VLOOKUP(Q379,Sheet3!$L$11:$M$21,2,FALSE)</f>
        <v>HQ2</v>
      </c>
      <c r="S379" s="26">
        <f>SUMIFS('HQ2'!$O:$O,'HQ2'!$B:$B, "="&amp;'Tong_hop_HQNV_2026Q1_2026-06-23'!Q379, 'HQ2'!$A:$A,"="&amp;'Tong_hop_HQNV_2026Q1_2026-06-23'!P379)</f>
        <v>50000000</v>
      </c>
      <c r="T379" s="7">
        <f t="shared" si="5"/>
        <v>0</v>
      </c>
    </row>
    <row r="380" spans="1:20" x14ac:dyDescent="0.25">
      <c r="A380" t="s">
        <v>29</v>
      </c>
      <c r="B380" s="9" t="s">
        <v>315</v>
      </c>
      <c r="C380">
        <v>0</v>
      </c>
      <c r="D380">
        <v>0</v>
      </c>
      <c r="E380">
        <v>-155956296</v>
      </c>
      <c r="F380">
        <v>341773362</v>
      </c>
      <c r="G380" s="92">
        <v>750000000</v>
      </c>
      <c r="H380" s="92">
        <v>300000000</v>
      </c>
      <c r="I380">
        <v>153735000</v>
      </c>
      <c r="J380">
        <v>0</v>
      </c>
      <c r="K380">
        <v>341773362</v>
      </c>
      <c r="L380">
        <v>155956296</v>
      </c>
      <c r="M380" t="s">
        <v>30</v>
      </c>
      <c r="N380" t="s">
        <v>31</v>
      </c>
      <c r="O380" t="s">
        <v>26</v>
      </c>
      <c r="P380" t="str">
        <f>VLOOKUP(B380,'CHECK_DT-BT_chi_tiet'!$A:$C,3,FALSE)</f>
        <v>BV Hà Tĩnh</v>
      </c>
      <c r="Q380" t="str">
        <f>VLOOKUP(A380,Sheet3!$K$11:$L$21,2,FALSE)</f>
        <v>BH Tài sản</v>
      </c>
      <c r="R380" t="str">
        <f>VLOOKUP(Q380,Sheet3!$L$11:$M$21,2,FALSE)</f>
        <v>HQ2</v>
      </c>
      <c r="S380" s="26">
        <f>SUMIFS('HQ2'!$O:$O,'HQ2'!$B:$B, "="&amp;'Tong_hop_HQNV_2026Q1_2026-06-23'!Q380, 'HQ2'!$A:$A,"="&amp;'Tong_hop_HQNV_2026Q1_2026-06-23'!P380)</f>
        <v>750000000</v>
      </c>
      <c r="T380" s="7">
        <f t="shared" si="5"/>
        <v>0</v>
      </c>
    </row>
    <row r="381" spans="1:20" x14ac:dyDescent="0.25">
      <c r="A381" t="s">
        <v>29</v>
      </c>
      <c r="B381" s="9" t="s">
        <v>316</v>
      </c>
      <c r="C381">
        <v>0</v>
      </c>
      <c r="D381">
        <v>0</v>
      </c>
      <c r="E381">
        <v>-44427102</v>
      </c>
      <c r="F381">
        <v>1918255435</v>
      </c>
      <c r="G381" s="92">
        <v>10000000</v>
      </c>
      <c r="H381">
        <v>0</v>
      </c>
      <c r="I381">
        <v>31903217</v>
      </c>
      <c r="J381">
        <v>0</v>
      </c>
      <c r="K381">
        <v>1918255435</v>
      </c>
      <c r="L381">
        <v>44427102</v>
      </c>
      <c r="M381" t="s">
        <v>30</v>
      </c>
      <c r="N381" t="s">
        <v>31</v>
      </c>
      <c r="O381" t="s">
        <v>26</v>
      </c>
      <c r="P381" t="str">
        <f>VLOOKUP(B381,'CHECK_DT-BT_chi_tiet'!$A:$C,3,FALSE)</f>
        <v>BV Hải Dương</v>
      </c>
      <c r="Q381" t="str">
        <f>VLOOKUP(A381,Sheet3!$K$11:$L$21,2,FALSE)</f>
        <v>BH Tài sản</v>
      </c>
      <c r="R381" t="str">
        <f>VLOOKUP(Q381,Sheet3!$L$11:$M$21,2,FALSE)</f>
        <v>HQ2</v>
      </c>
      <c r="S381" s="26">
        <f>SUMIFS('HQ2'!$O:$O,'HQ2'!$B:$B, "="&amp;'Tong_hop_HQNV_2026Q1_2026-06-23'!Q381, 'HQ2'!$A:$A,"="&amp;'Tong_hop_HQNV_2026Q1_2026-06-23'!P381)</f>
        <v>10000000</v>
      </c>
      <c r="T381" s="7">
        <f t="shared" si="5"/>
        <v>0</v>
      </c>
    </row>
    <row r="382" spans="1:20" x14ac:dyDescent="0.25">
      <c r="A382" t="s">
        <v>29</v>
      </c>
      <c r="B382" s="9" t="s">
        <v>317</v>
      </c>
      <c r="C382">
        <v>0</v>
      </c>
      <c r="D382">
        <v>0</v>
      </c>
      <c r="E382">
        <v>-360596642</v>
      </c>
      <c r="F382">
        <v>3792615206</v>
      </c>
      <c r="G382">
        <v>348853558</v>
      </c>
      <c r="H382">
        <v>0</v>
      </c>
      <c r="I382">
        <v>360596642</v>
      </c>
      <c r="J382">
        <v>0</v>
      </c>
      <c r="K382">
        <v>3792615206</v>
      </c>
      <c r="L382">
        <v>360596642</v>
      </c>
      <c r="M382" t="s">
        <v>30</v>
      </c>
      <c r="N382" t="s">
        <v>31</v>
      </c>
      <c r="O382" t="s">
        <v>26</v>
      </c>
      <c r="P382" t="str">
        <f>VLOOKUP(B382,'CHECK_DT-BT_chi_tiet'!$A:$C,3,FALSE)</f>
        <v>BV Hải Phòng</v>
      </c>
      <c r="Q382" t="str">
        <f>VLOOKUP(A382,Sheet3!$K$11:$L$21,2,FALSE)</f>
        <v>BH Tài sản</v>
      </c>
      <c r="R382" t="str">
        <f>VLOOKUP(Q382,Sheet3!$L$11:$M$21,2,FALSE)</f>
        <v>HQ2</v>
      </c>
      <c r="S382" s="26">
        <f>SUMIFS('HQ2'!$O:$O,'HQ2'!$B:$B, "="&amp;'Tong_hop_HQNV_2026Q1_2026-06-23'!Q382, 'HQ2'!$A:$A,"="&amp;'Tong_hop_HQNV_2026Q1_2026-06-23'!P382)</f>
        <v>348853558</v>
      </c>
      <c r="T382" s="7">
        <f t="shared" si="5"/>
        <v>0</v>
      </c>
    </row>
    <row r="383" spans="1:20" x14ac:dyDescent="0.25">
      <c r="A383" t="s">
        <v>29</v>
      </c>
      <c r="B383" s="9" t="s">
        <v>321</v>
      </c>
      <c r="C383">
        <v>0</v>
      </c>
      <c r="D383">
        <v>0</v>
      </c>
      <c r="E383">
        <v>-8825091836</v>
      </c>
      <c r="F383">
        <v>6496653845</v>
      </c>
      <c r="G383">
        <v>65262152170.650002</v>
      </c>
      <c r="H383">
        <v>140959112</v>
      </c>
      <c r="I383">
        <v>8205091836</v>
      </c>
      <c r="J383">
        <v>0</v>
      </c>
      <c r="K383">
        <v>6496653845</v>
      </c>
      <c r="L383">
        <v>8825091836</v>
      </c>
      <c r="M383" t="s">
        <v>30</v>
      </c>
      <c r="N383" t="s">
        <v>31</v>
      </c>
      <c r="O383" t="s">
        <v>26</v>
      </c>
      <c r="P383" t="str">
        <f>VLOOKUP(B383,'CHECK_DT-BT_chi_tiet'!$A:$C,3,FALSE)</f>
        <v>BV Khánh Hòa</v>
      </c>
      <c r="Q383" t="str">
        <f>VLOOKUP(A383,Sheet3!$K$11:$L$21,2,FALSE)</f>
        <v>BH Tài sản</v>
      </c>
      <c r="R383" t="str">
        <f>VLOOKUP(Q383,Sheet3!$L$11:$M$21,2,FALSE)</f>
        <v>HQ2</v>
      </c>
      <c r="S383" s="26">
        <f>SUMIFS('HQ2'!$O:$O,'HQ2'!$B:$B, "="&amp;'Tong_hop_HQNV_2026Q1_2026-06-23'!Q383, 'HQ2'!$A:$A,"="&amp;'Tong_hop_HQNV_2026Q1_2026-06-23'!P383)</f>
        <v>65262152170.699997</v>
      </c>
      <c r="T383" s="7">
        <f t="shared" si="5"/>
        <v>4.999542236328125E-2</v>
      </c>
    </row>
    <row r="384" spans="1:20" x14ac:dyDescent="0.25">
      <c r="A384" t="s">
        <v>29</v>
      </c>
      <c r="B384" s="9" t="s">
        <v>327</v>
      </c>
      <c r="C384">
        <v>0</v>
      </c>
      <c r="D384">
        <v>0</v>
      </c>
      <c r="E384">
        <v>-501041019</v>
      </c>
      <c r="F384">
        <v>822622393</v>
      </c>
      <c r="G384" s="92">
        <v>70000000</v>
      </c>
      <c r="H384">
        <v>0</v>
      </c>
      <c r="I384">
        <v>501041019</v>
      </c>
      <c r="J384">
        <v>0</v>
      </c>
      <c r="K384">
        <v>822622393</v>
      </c>
      <c r="L384">
        <v>501041019</v>
      </c>
      <c r="M384" t="s">
        <v>30</v>
      </c>
      <c r="N384" t="s">
        <v>31</v>
      </c>
      <c r="O384" t="s">
        <v>26</v>
      </c>
      <c r="P384" t="str">
        <f>VLOOKUP(B384,'CHECK_DT-BT_chi_tiet'!$A:$C,3,FALSE)</f>
        <v>BV Lào Cai</v>
      </c>
      <c r="Q384" t="str">
        <f>VLOOKUP(A384,Sheet3!$K$11:$L$21,2,FALSE)</f>
        <v>BH Tài sản</v>
      </c>
      <c r="R384" t="str">
        <f>VLOOKUP(Q384,Sheet3!$L$11:$M$21,2,FALSE)</f>
        <v>HQ2</v>
      </c>
      <c r="S384" s="26">
        <f>SUMIFS('HQ2'!$O:$O,'HQ2'!$B:$B, "="&amp;'Tong_hop_HQNV_2026Q1_2026-06-23'!Q384, 'HQ2'!$A:$A,"="&amp;'Tong_hop_HQNV_2026Q1_2026-06-23'!P384)</f>
        <v>70000000</v>
      </c>
      <c r="T384" s="7">
        <f t="shared" si="5"/>
        <v>0</v>
      </c>
    </row>
    <row r="385" spans="1:20" x14ac:dyDescent="0.25">
      <c r="A385" t="s">
        <v>29</v>
      </c>
      <c r="B385" s="9" t="s">
        <v>303</v>
      </c>
      <c r="C385">
        <v>0</v>
      </c>
      <c r="D385">
        <v>0</v>
      </c>
      <c r="E385">
        <v>-1184871543</v>
      </c>
      <c r="F385">
        <v>579318207</v>
      </c>
      <c r="G385" s="92">
        <v>100000000</v>
      </c>
      <c r="H385">
        <v>0</v>
      </c>
      <c r="I385">
        <v>1184871543</v>
      </c>
      <c r="J385">
        <v>0</v>
      </c>
      <c r="K385">
        <v>579318207</v>
      </c>
      <c r="L385">
        <v>1184871543</v>
      </c>
      <c r="M385" t="s">
        <v>30</v>
      </c>
      <c r="N385" t="s">
        <v>31</v>
      </c>
      <c r="O385" t="s">
        <v>26</v>
      </c>
      <c r="P385" t="str">
        <f>VLOOKUP(B385,'CHECK_DT-BT_chi_tiet'!$A:$C,3,FALSE)</f>
        <v>BV Điện Biên</v>
      </c>
      <c r="Q385" t="str">
        <f>VLOOKUP(A385,Sheet3!$K$11:$L$21,2,FALSE)</f>
        <v>BH Tài sản</v>
      </c>
      <c r="R385" t="str">
        <f>VLOOKUP(Q385,Sheet3!$L$11:$M$21,2,FALSE)</f>
        <v>HQ2</v>
      </c>
      <c r="S385" s="26">
        <f>SUMIFS('HQ2'!$O:$O,'HQ2'!$B:$B, "="&amp;'Tong_hop_HQNV_2026Q1_2026-06-23'!Q385, 'HQ2'!$A:$A,"="&amp;'Tong_hop_HQNV_2026Q1_2026-06-23'!P385)</f>
        <v>100000000</v>
      </c>
      <c r="T385" s="7">
        <f t="shared" si="5"/>
        <v>0</v>
      </c>
    </row>
    <row r="386" spans="1:20" x14ac:dyDescent="0.25">
      <c r="A386" t="s">
        <v>29</v>
      </c>
      <c r="B386" s="9" t="s">
        <v>333</v>
      </c>
      <c r="C386">
        <v>0</v>
      </c>
      <c r="D386">
        <v>0</v>
      </c>
      <c r="E386">
        <v>-494857891</v>
      </c>
      <c r="F386">
        <v>999669282</v>
      </c>
      <c r="G386">
        <v>3285389000</v>
      </c>
      <c r="H386">
        <v>0</v>
      </c>
      <c r="I386">
        <v>494857891</v>
      </c>
      <c r="J386">
        <v>0</v>
      </c>
      <c r="K386">
        <v>999669282</v>
      </c>
      <c r="L386">
        <v>494857891</v>
      </c>
      <c r="M386" t="s">
        <v>30</v>
      </c>
      <c r="N386" t="s">
        <v>31</v>
      </c>
      <c r="O386" t="s">
        <v>26</v>
      </c>
      <c r="P386" t="str">
        <f>VLOOKUP(B386,'CHECK_DT-BT_chi_tiet'!$A:$C,3,FALSE)</f>
        <v>BV Nghệ An</v>
      </c>
      <c r="Q386" t="str">
        <f>VLOOKUP(A386,Sheet3!$K$11:$L$21,2,FALSE)</f>
        <v>BH Tài sản</v>
      </c>
      <c r="R386" t="str">
        <f>VLOOKUP(Q386,Sheet3!$L$11:$M$21,2,FALSE)</f>
        <v>HQ2</v>
      </c>
      <c r="S386" s="26">
        <f>SUMIFS('HQ2'!$O:$O,'HQ2'!$B:$B, "="&amp;'Tong_hop_HQNV_2026Q1_2026-06-23'!Q386, 'HQ2'!$A:$A,"="&amp;'Tong_hop_HQNV_2026Q1_2026-06-23'!P386)</f>
        <v>3285389000</v>
      </c>
      <c r="T386" s="7">
        <f t="shared" si="5"/>
        <v>0</v>
      </c>
    </row>
    <row r="387" spans="1:20" x14ac:dyDescent="0.25">
      <c r="A387" t="s">
        <v>29</v>
      </c>
      <c r="B387" s="9" t="s">
        <v>335</v>
      </c>
      <c r="C387">
        <v>0</v>
      </c>
      <c r="D387">
        <v>0</v>
      </c>
      <c r="E387">
        <v>-49620000</v>
      </c>
      <c r="F387">
        <v>244464091</v>
      </c>
      <c r="G387" s="92">
        <v>360000000</v>
      </c>
      <c r="H387">
        <v>0</v>
      </c>
      <c r="I387">
        <v>49620000</v>
      </c>
      <c r="J387">
        <v>0</v>
      </c>
      <c r="K387">
        <v>244464091</v>
      </c>
      <c r="L387">
        <v>49620000</v>
      </c>
      <c r="M387" t="s">
        <v>30</v>
      </c>
      <c r="N387" t="s">
        <v>31</v>
      </c>
      <c r="O387" t="s">
        <v>26</v>
      </c>
      <c r="P387" t="str">
        <f>VLOOKUP(B387,'CHECK_DT-BT_chi_tiet'!$A:$C,3,FALSE)</f>
        <v>BV Ninh Thuận</v>
      </c>
      <c r="Q387" t="str">
        <f>VLOOKUP(A387,Sheet3!$K$11:$L$21,2,FALSE)</f>
        <v>BH Tài sản</v>
      </c>
      <c r="R387" t="str">
        <f>VLOOKUP(Q387,Sheet3!$L$11:$M$21,2,FALSE)</f>
        <v>HQ2</v>
      </c>
      <c r="S387" s="26">
        <f>SUMIFS('HQ2'!$O:$O,'HQ2'!$B:$B, "="&amp;'Tong_hop_HQNV_2026Q1_2026-06-23'!Q387, 'HQ2'!$A:$A,"="&amp;'Tong_hop_HQNV_2026Q1_2026-06-23'!P387)</f>
        <v>360000000</v>
      </c>
      <c r="T387" s="7">
        <f t="shared" ref="T387:T450" si="6">IFERROR(IF(R387="HQ2",S387-G387,0),0)</f>
        <v>0</v>
      </c>
    </row>
    <row r="388" spans="1:20" x14ac:dyDescent="0.25">
      <c r="A388" t="s">
        <v>29</v>
      </c>
      <c r="B388" s="9" t="s">
        <v>341</v>
      </c>
      <c r="C388">
        <v>0</v>
      </c>
      <c r="D388">
        <v>0</v>
      </c>
      <c r="E388" s="92">
        <v>-900000000</v>
      </c>
      <c r="F388">
        <v>903650240</v>
      </c>
      <c r="G388">
        <v>5167349286</v>
      </c>
      <c r="H388">
        <v>0</v>
      </c>
      <c r="I388" s="92">
        <v>900000000</v>
      </c>
      <c r="J388">
        <v>0</v>
      </c>
      <c r="K388">
        <v>903650240</v>
      </c>
      <c r="L388" s="92">
        <v>900000000</v>
      </c>
      <c r="M388" t="s">
        <v>30</v>
      </c>
      <c r="N388" t="s">
        <v>31</v>
      </c>
      <c r="O388" t="s">
        <v>26</v>
      </c>
      <c r="P388" t="str">
        <f>VLOOKUP(B388,'CHECK_DT-BT_chi_tiet'!$A:$C,3,FALSE)</f>
        <v>BV Quảng Nam</v>
      </c>
      <c r="Q388" t="str">
        <f>VLOOKUP(A388,Sheet3!$K$11:$L$21,2,FALSE)</f>
        <v>BH Tài sản</v>
      </c>
      <c r="R388" t="str">
        <f>VLOOKUP(Q388,Sheet3!$L$11:$M$21,2,FALSE)</f>
        <v>HQ2</v>
      </c>
      <c r="S388" s="26">
        <f>SUMIFS('HQ2'!$O:$O,'HQ2'!$B:$B, "="&amp;'Tong_hop_HQNV_2026Q1_2026-06-23'!Q388, 'HQ2'!$A:$A,"="&amp;'Tong_hop_HQNV_2026Q1_2026-06-23'!P388)</f>
        <v>5167349286</v>
      </c>
      <c r="T388" s="7">
        <f t="shared" si="6"/>
        <v>0</v>
      </c>
    </row>
    <row r="389" spans="1:20" x14ac:dyDescent="0.25">
      <c r="A389" t="s">
        <v>29</v>
      </c>
      <c r="B389" s="9" t="s">
        <v>342</v>
      </c>
      <c r="C389">
        <v>0</v>
      </c>
      <c r="D389">
        <v>0</v>
      </c>
      <c r="E389">
        <v>-76847958</v>
      </c>
      <c r="F389">
        <v>774078222</v>
      </c>
      <c r="G389">
        <v>1985342323</v>
      </c>
      <c r="H389">
        <v>0</v>
      </c>
      <c r="I389">
        <v>29192031</v>
      </c>
      <c r="J389">
        <v>0</v>
      </c>
      <c r="K389">
        <v>774078222</v>
      </c>
      <c r="L389">
        <v>76847958</v>
      </c>
      <c r="M389" t="s">
        <v>30</v>
      </c>
      <c r="N389" t="s">
        <v>31</v>
      </c>
      <c r="O389" t="s">
        <v>26</v>
      </c>
      <c r="P389" t="str">
        <f>VLOOKUP(B389,'CHECK_DT-BT_chi_tiet'!$A:$C,3,FALSE)</f>
        <v>BV Quảng Ngãi</v>
      </c>
      <c r="Q389" t="str">
        <f>VLOOKUP(A389,Sheet3!$K$11:$L$21,2,FALSE)</f>
        <v>BH Tài sản</v>
      </c>
      <c r="R389" t="str">
        <f>VLOOKUP(Q389,Sheet3!$L$11:$M$21,2,FALSE)</f>
        <v>HQ2</v>
      </c>
      <c r="S389" s="26">
        <f>SUMIFS('HQ2'!$O:$O,'HQ2'!$B:$B, "="&amp;'Tong_hop_HQNV_2026Q1_2026-06-23'!Q389, 'HQ2'!$A:$A,"="&amp;'Tong_hop_HQNV_2026Q1_2026-06-23'!P389)</f>
        <v>1985342323</v>
      </c>
      <c r="T389" s="7">
        <f t="shared" si="6"/>
        <v>0</v>
      </c>
    </row>
    <row r="390" spans="1:20" x14ac:dyDescent="0.25">
      <c r="A390" t="s">
        <v>29</v>
      </c>
      <c r="B390" s="9" t="s">
        <v>350</v>
      </c>
      <c r="C390">
        <v>0</v>
      </c>
      <c r="D390">
        <v>0</v>
      </c>
      <c r="E390" s="92">
        <v>-1240000000</v>
      </c>
      <c r="F390">
        <v>871087074</v>
      </c>
      <c r="G390">
        <v>0</v>
      </c>
      <c r="H390">
        <v>0</v>
      </c>
      <c r="I390">
        <v>0</v>
      </c>
      <c r="J390">
        <v>0</v>
      </c>
      <c r="K390">
        <v>871087074</v>
      </c>
      <c r="L390" s="92">
        <v>1240000000</v>
      </c>
      <c r="M390" t="s">
        <v>30</v>
      </c>
      <c r="N390" t="s">
        <v>31</v>
      </c>
      <c r="O390" t="s">
        <v>26</v>
      </c>
      <c r="P390" t="str">
        <f>VLOOKUP(B390,'CHECK_DT-BT_chi_tiet'!$A:$C,3,FALSE)</f>
        <v>BV Thái Bình</v>
      </c>
      <c r="Q390" t="str">
        <f>VLOOKUP(A390,Sheet3!$K$11:$L$21,2,FALSE)</f>
        <v>BH Tài sản</v>
      </c>
      <c r="R390" t="str">
        <f>VLOOKUP(Q390,Sheet3!$L$11:$M$21,2,FALSE)</f>
        <v>HQ2</v>
      </c>
      <c r="S390" s="26">
        <f>SUMIFS('HQ2'!$O:$O,'HQ2'!$B:$B, "="&amp;'Tong_hop_HQNV_2026Q1_2026-06-23'!Q390, 'HQ2'!$A:$A,"="&amp;'Tong_hop_HQNV_2026Q1_2026-06-23'!P390)</f>
        <v>0</v>
      </c>
      <c r="T390" s="7">
        <f t="shared" si="6"/>
        <v>0</v>
      </c>
    </row>
    <row r="391" spans="1:20" x14ac:dyDescent="0.25">
      <c r="A391" t="s">
        <v>29</v>
      </c>
      <c r="B391" s="9" t="s">
        <v>351</v>
      </c>
      <c r="C391">
        <v>0</v>
      </c>
      <c r="D391">
        <v>0</v>
      </c>
      <c r="E391" s="92">
        <v>-4370000000</v>
      </c>
      <c r="F391">
        <v>342971449</v>
      </c>
      <c r="G391">
        <v>86736734863.660004</v>
      </c>
      <c r="H391">
        <v>0</v>
      </c>
      <c r="I391" s="92">
        <v>4370000000</v>
      </c>
      <c r="J391">
        <v>0</v>
      </c>
      <c r="K391">
        <v>342971449</v>
      </c>
      <c r="L391" s="92">
        <v>4370000000</v>
      </c>
      <c r="M391" t="s">
        <v>30</v>
      </c>
      <c r="N391" t="s">
        <v>31</v>
      </c>
      <c r="O391" t="s">
        <v>26</v>
      </c>
      <c r="P391" t="str">
        <f>VLOOKUP(B391,'CHECK_DT-BT_chi_tiet'!$A:$C,3,FALSE)</f>
        <v>BV Thái Nguyên</v>
      </c>
      <c r="Q391" t="str">
        <f>VLOOKUP(A391,Sheet3!$K$11:$L$21,2,FALSE)</f>
        <v>BH Tài sản</v>
      </c>
      <c r="R391" t="str">
        <f>VLOOKUP(Q391,Sheet3!$L$11:$M$21,2,FALSE)</f>
        <v>HQ2</v>
      </c>
      <c r="S391" s="26">
        <f>SUMIFS('HQ2'!$O:$O,'HQ2'!$B:$B, "="&amp;'Tong_hop_HQNV_2026Q1_2026-06-23'!Q391, 'HQ2'!$A:$A,"="&amp;'Tong_hop_HQNV_2026Q1_2026-06-23'!P391)</f>
        <v>86736734864</v>
      </c>
      <c r="T391" s="7">
        <f t="shared" si="6"/>
        <v>0.339996337890625</v>
      </c>
    </row>
    <row r="392" spans="1:20" x14ac:dyDescent="0.25">
      <c r="A392" t="s">
        <v>29</v>
      </c>
      <c r="B392" s="9" t="s">
        <v>355</v>
      </c>
      <c r="C392">
        <v>0</v>
      </c>
      <c r="D392">
        <v>0</v>
      </c>
      <c r="E392">
        <v>-13550000</v>
      </c>
      <c r="F392">
        <v>677968982</v>
      </c>
      <c r="G392" s="92">
        <v>1500000000</v>
      </c>
      <c r="H392">
        <v>0</v>
      </c>
      <c r="I392">
        <v>13550000</v>
      </c>
      <c r="J392">
        <v>0</v>
      </c>
      <c r="K392">
        <v>677968982</v>
      </c>
      <c r="L392">
        <v>13550000</v>
      </c>
      <c r="M392" t="s">
        <v>30</v>
      </c>
      <c r="N392" t="s">
        <v>31</v>
      </c>
      <c r="O392" t="s">
        <v>26</v>
      </c>
      <c r="P392" t="str">
        <f>VLOOKUP(B392,'CHECK_DT-BT_chi_tiet'!$A:$C,3,FALSE)</f>
        <v>BV Thừa Thiên Huế</v>
      </c>
      <c r="Q392" t="str">
        <f>VLOOKUP(A392,Sheet3!$K$11:$L$21,2,FALSE)</f>
        <v>BH Tài sản</v>
      </c>
      <c r="R392" t="str">
        <f>VLOOKUP(Q392,Sheet3!$L$11:$M$21,2,FALSE)</f>
        <v>HQ2</v>
      </c>
      <c r="S392" s="26">
        <f>SUMIFS('HQ2'!$O:$O,'HQ2'!$B:$B, "="&amp;'Tong_hop_HQNV_2026Q1_2026-06-23'!Q392, 'HQ2'!$A:$A,"="&amp;'Tong_hop_HQNV_2026Q1_2026-06-23'!P392)</f>
        <v>1500000000</v>
      </c>
      <c r="T392" s="7">
        <f t="shared" si="6"/>
        <v>0</v>
      </c>
    </row>
    <row r="393" spans="1:20" x14ac:dyDescent="0.25">
      <c r="A393" t="s">
        <v>29</v>
      </c>
      <c r="B393" s="9" t="s">
        <v>309</v>
      </c>
      <c r="C393">
        <v>0</v>
      </c>
      <c r="D393">
        <v>0</v>
      </c>
      <c r="E393">
        <v>-223928230</v>
      </c>
      <c r="F393">
        <v>2031817121</v>
      </c>
      <c r="G393">
        <v>0</v>
      </c>
      <c r="H393">
        <v>0</v>
      </c>
      <c r="I393">
        <v>223928230</v>
      </c>
      <c r="J393">
        <v>0</v>
      </c>
      <c r="K393">
        <v>2031817121</v>
      </c>
      <c r="L393">
        <v>223928230</v>
      </c>
      <c r="M393" t="s">
        <v>30</v>
      </c>
      <c r="N393" t="s">
        <v>31</v>
      </c>
      <c r="O393" t="s">
        <v>26</v>
      </c>
      <c r="P393" t="str">
        <f>VLOOKUP(B393,'CHECK_DT-BT_chi_tiet'!$A:$C,3,FALSE)</f>
        <v>BV Gia Định</v>
      </c>
      <c r="Q393" t="str">
        <f>VLOOKUP(A393,Sheet3!$K$11:$L$21,2,FALSE)</f>
        <v>BH Tài sản</v>
      </c>
      <c r="R393" t="str">
        <f>VLOOKUP(Q393,Sheet3!$L$11:$M$21,2,FALSE)</f>
        <v>HQ2</v>
      </c>
      <c r="S393" s="26">
        <f>SUMIFS('HQ2'!$O:$O,'HQ2'!$B:$B, "="&amp;'Tong_hop_HQNV_2026Q1_2026-06-23'!Q393, 'HQ2'!$A:$A,"="&amp;'Tong_hop_HQNV_2026Q1_2026-06-23'!P393)</f>
        <v>0</v>
      </c>
      <c r="T393" s="7">
        <f t="shared" si="6"/>
        <v>0</v>
      </c>
    </row>
    <row r="394" spans="1:20" x14ac:dyDescent="0.25">
      <c r="A394" t="s">
        <v>29</v>
      </c>
      <c r="B394" s="9" t="s">
        <v>336</v>
      </c>
      <c r="C394">
        <v>0</v>
      </c>
      <c r="D394">
        <v>0</v>
      </c>
      <c r="E394">
        <v>-1345352176</v>
      </c>
      <c r="F394">
        <v>4623876279</v>
      </c>
      <c r="G394">
        <v>6990707132.3999996</v>
      </c>
      <c r="H394">
        <v>0</v>
      </c>
      <c r="I394">
        <v>1345352176</v>
      </c>
      <c r="J394">
        <v>21340000</v>
      </c>
      <c r="K394">
        <v>4623876279</v>
      </c>
      <c r="L394">
        <v>1345352176</v>
      </c>
      <c r="M394" t="s">
        <v>30</v>
      </c>
      <c r="N394" t="s">
        <v>31</v>
      </c>
      <c r="O394" t="s">
        <v>26</v>
      </c>
      <c r="P394" t="str">
        <f>VLOOKUP(B394,'CHECK_DT-BT_chi_tiet'!$A:$C,3,FALSE)</f>
        <v>BV Phú Mỹ</v>
      </c>
      <c r="Q394" t="str">
        <f>VLOOKUP(A394,Sheet3!$K$11:$L$21,2,FALSE)</f>
        <v>BH Tài sản</v>
      </c>
      <c r="R394" t="str">
        <f>VLOOKUP(Q394,Sheet3!$L$11:$M$21,2,FALSE)</f>
        <v>HQ2</v>
      </c>
      <c r="S394" s="26">
        <f>SUMIFS('HQ2'!$O:$O,'HQ2'!$B:$B, "="&amp;'Tong_hop_HQNV_2026Q1_2026-06-23'!Q394, 'HQ2'!$A:$A,"="&amp;'Tong_hop_HQNV_2026Q1_2026-06-23'!P394)</f>
        <v>6990707132.3999996</v>
      </c>
      <c r="T394" s="7">
        <f t="shared" si="6"/>
        <v>0</v>
      </c>
    </row>
    <row r="395" spans="1:20" x14ac:dyDescent="0.25">
      <c r="A395" t="s">
        <v>29</v>
      </c>
      <c r="B395" s="9" t="s">
        <v>314</v>
      </c>
      <c r="C395">
        <v>0</v>
      </c>
      <c r="D395">
        <v>0</v>
      </c>
      <c r="E395">
        <v>-6994364905</v>
      </c>
      <c r="F395">
        <v>5990669380</v>
      </c>
      <c r="G395">
        <v>38763663387.82</v>
      </c>
      <c r="H395">
        <v>224014000</v>
      </c>
      <c r="I395">
        <v>5838823103</v>
      </c>
      <c r="J395">
        <v>0</v>
      </c>
      <c r="K395">
        <v>5990669380</v>
      </c>
      <c r="L395">
        <v>6994364905</v>
      </c>
      <c r="M395" t="s">
        <v>30</v>
      </c>
      <c r="N395" t="s">
        <v>31</v>
      </c>
      <c r="O395" t="s">
        <v>26</v>
      </c>
      <c r="P395" t="str">
        <f>VLOOKUP(B395,'CHECK_DT-BT_chi_tiet'!$A:$C,3,FALSE)</f>
        <v>BV Hà Thành</v>
      </c>
      <c r="Q395" t="str">
        <f>VLOOKUP(A395,Sheet3!$K$11:$L$21,2,FALSE)</f>
        <v>BH Tài sản</v>
      </c>
      <c r="R395" t="str">
        <f>VLOOKUP(Q395,Sheet3!$L$11:$M$21,2,FALSE)</f>
        <v>HQ2</v>
      </c>
      <c r="S395" s="26">
        <f>SUMIFS('HQ2'!$O:$O,'HQ2'!$B:$B, "="&amp;'Tong_hop_HQNV_2026Q1_2026-06-23'!Q395, 'HQ2'!$A:$A,"="&amp;'Tong_hop_HQNV_2026Q1_2026-06-23'!P395)</f>
        <v>38763663388</v>
      </c>
      <c r="T395" s="7">
        <f t="shared" si="6"/>
        <v>0.18000030517578125</v>
      </c>
    </row>
    <row r="396" spans="1:20" x14ac:dyDescent="0.25">
      <c r="A396" t="s">
        <v>29</v>
      </c>
      <c r="B396" s="9" t="s">
        <v>330</v>
      </c>
      <c r="C396">
        <v>0</v>
      </c>
      <c r="D396">
        <v>0</v>
      </c>
      <c r="E396">
        <v>-38150073</v>
      </c>
      <c r="F396">
        <v>974121078</v>
      </c>
      <c r="G396">
        <v>11450474901</v>
      </c>
      <c r="H396" s="92">
        <v>25000000</v>
      </c>
      <c r="I396">
        <v>0</v>
      </c>
      <c r="J396">
        <v>0</v>
      </c>
      <c r="K396">
        <v>974121078</v>
      </c>
      <c r="L396">
        <v>38150073</v>
      </c>
      <c r="M396" t="s">
        <v>30</v>
      </c>
      <c r="N396" t="s">
        <v>31</v>
      </c>
      <c r="O396" t="s">
        <v>26</v>
      </c>
      <c r="P396" t="str">
        <f>VLOOKUP(B396,'CHECK_DT-BT_chi_tiet'!$A:$C,3,FALSE)</f>
        <v>BV Mỹ Đình</v>
      </c>
      <c r="Q396" t="str">
        <f>VLOOKUP(A396,Sheet3!$K$11:$L$21,2,FALSE)</f>
        <v>BH Tài sản</v>
      </c>
      <c r="R396" t="str">
        <f>VLOOKUP(Q396,Sheet3!$L$11:$M$21,2,FALSE)</f>
        <v>HQ2</v>
      </c>
      <c r="S396" s="26">
        <f>SUMIFS('HQ2'!$O:$O,'HQ2'!$B:$B, "="&amp;'Tong_hop_HQNV_2026Q1_2026-06-23'!Q396, 'HQ2'!$A:$A,"="&amp;'Tong_hop_HQNV_2026Q1_2026-06-23'!P396)</f>
        <v>11450474901</v>
      </c>
      <c r="T396" s="7">
        <f t="shared" si="6"/>
        <v>0</v>
      </c>
    </row>
    <row r="397" spans="1:20" x14ac:dyDescent="0.25">
      <c r="A397" t="s">
        <v>37</v>
      </c>
      <c r="B397" s="9" t="s">
        <v>284</v>
      </c>
      <c r="C397">
        <v>0</v>
      </c>
      <c r="D397">
        <v>0</v>
      </c>
      <c r="E397">
        <v>-108855000</v>
      </c>
      <c r="F397">
        <v>1241514895</v>
      </c>
      <c r="G397">
        <v>230447300</v>
      </c>
      <c r="H397">
        <v>0</v>
      </c>
      <c r="I397">
        <v>111855000</v>
      </c>
      <c r="J397">
        <v>0</v>
      </c>
      <c r="K397">
        <v>1241514895</v>
      </c>
      <c r="L397">
        <v>108855000</v>
      </c>
      <c r="M397" t="s">
        <v>36</v>
      </c>
      <c r="N397" t="s">
        <v>19</v>
      </c>
      <c r="O397" t="s">
        <v>19</v>
      </c>
      <c r="P397" t="str">
        <f>VLOOKUP(B397,'CHECK_DT-BT_chi_tiet'!$A:$C,3,FALSE)</f>
        <v>BV An Giang</v>
      </c>
      <c r="Q397" t="str">
        <f>VLOOKUP(A397,Sheet3!$K$11:$L$21,2,FALSE)</f>
        <v>Tàu khác</v>
      </c>
      <c r="R397" t="str">
        <f>VLOOKUP(Q397,Sheet3!$L$11:$M$21,2,FALSE)</f>
        <v>HQ2</v>
      </c>
      <c r="S397" s="26">
        <f>SUMIFS('HQ2'!$O:$O,'HQ2'!$B:$B, "="&amp;'Tong_hop_HQNV_2026Q1_2026-06-23'!Q397, 'HQ2'!$A:$A,"="&amp;'Tong_hop_HQNV_2026Q1_2026-06-23'!P397)</f>
        <v>230447300</v>
      </c>
      <c r="T397" s="7">
        <f t="shared" si="6"/>
        <v>0</v>
      </c>
    </row>
    <row r="398" spans="1:20" x14ac:dyDescent="0.25">
      <c r="A398" t="s">
        <v>37</v>
      </c>
      <c r="B398" s="9" t="s">
        <v>293</v>
      </c>
      <c r="C398">
        <v>0</v>
      </c>
      <c r="D398">
        <v>0</v>
      </c>
      <c r="E398">
        <v>-3820509620</v>
      </c>
      <c r="F398">
        <v>6437218600</v>
      </c>
      <c r="G398">
        <v>5876860600</v>
      </c>
      <c r="H398" s="92">
        <v>2276000000</v>
      </c>
      <c r="I398">
        <v>3849588620</v>
      </c>
      <c r="J398">
        <v>0</v>
      </c>
      <c r="K398">
        <v>6437218600</v>
      </c>
      <c r="L398">
        <v>3820509620</v>
      </c>
      <c r="M398" t="s">
        <v>36</v>
      </c>
      <c r="N398" t="s">
        <v>19</v>
      </c>
      <c r="O398" t="s">
        <v>19</v>
      </c>
      <c r="P398" t="str">
        <f>VLOOKUP(B398,'CHECK_DT-BT_chi_tiet'!$A:$C,3,FALSE)</f>
        <v>BV Bình Định</v>
      </c>
      <c r="Q398" t="str">
        <f>VLOOKUP(A398,Sheet3!$K$11:$L$21,2,FALSE)</f>
        <v>Tàu khác</v>
      </c>
      <c r="R398" t="str">
        <f>VLOOKUP(Q398,Sheet3!$L$11:$M$21,2,FALSE)</f>
        <v>HQ2</v>
      </c>
      <c r="S398" s="26">
        <f>SUMIFS('HQ2'!$O:$O,'HQ2'!$B:$B, "="&amp;'Tong_hop_HQNV_2026Q1_2026-06-23'!Q398, 'HQ2'!$A:$A,"="&amp;'Tong_hop_HQNV_2026Q1_2026-06-23'!P398)</f>
        <v>5876860600</v>
      </c>
      <c r="T398" s="7">
        <f t="shared" si="6"/>
        <v>0</v>
      </c>
    </row>
    <row r="399" spans="1:20" x14ac:dyDescent="0.25">
      <c r="A399" t="s">
        <v>37</v>
      </c>
      <c r="B399" s="9" t="s">
        <v>296</v>
      </c>
      <c r="C399">
        <v>0</v>
      </c>
      <c r="D399">
        <v>0</v>
      </c>
      <c r="E399">
        <v>-24375000</v>
      </c>
      <c r="F399">
        <v>1049150000</v>
      </c>
      <c r="G399" s="92">
        <v>120000000</v>
      </c>
      <c r="H399" s="92">
        <v>80000000</v>
      </c>
      <c r="I399">
        <v>39175000</v>
      </c>
      <c r="J399">
        <v>0</v>
      </c>
      <c r="K399">
        <v>1049150000</v>
      </c>
      <c r="L399">
        <v>24375000</v>
      </c>
      <c r="M399" t="s">
        <v>36</v>
      </c>
      <c r="N399" t="s">
        <v>19</v>
      </c>
      <c r="O399" t="s">
        <v>19</v>
      </c>
      <c r="P399" t="str">
        <f>VLOOKUP(B399,'CHECK_DT-BT_chi_tiet'!$A:$C,3,FALSE)</f>
        <v>BV Bình Thuận</v>
      </c>
      <c r="Q399" t="str">
        <f>VLOOKUP(A399,Sheet3!$K$11:$L$21,2,FALSE)</f>
        <v>Tàu khác</v>
      </c>
      <c r="R399" t="str">
        <f>VLOOKUP(Q399,Sheet3!$L$11:$M$21,2,FALSE)</f>
        <v>HQ2</v>
      </c>
      <c r="S399" s="26">
        <f>SUMIFS('HQ2'!$O:$O,'HQ2'!$B:$B, "="&amp;'Tong_hop_HQNV_2026Q1_2026-06-23'!Q399, 'HQ2'!$A:$A,"="&amp;'Tong_hop_HQNV_2026Q1_2026-06-23'!P399)</f>
        <v>120000000</v>
      </c>
      <c r="T399" s="7">
        <f t="shared" si="6"/>
        <v>0</v>
      </c>
    </row>
    <row r="400" spans="1:20" x14ac:dyDescent="0.25">
      <c r="A400" t="s">
        <v>37</v>
      </c>
      <c r="B400" s="9" t="s">
        <v>297</v>
      </c>
      <c r="C400">
        <v>0</v>
      </c>
      <c r="D400">
        <v>0</v>
      </c>
      <c r="E400" s="92">
        <v>-3000000</v>
      </c>
      <c r="F400">
        <v>404028934</v>
      </c>
      <c r="G400" s="92">
        <v>273000000</v>
      </c>
      <c r="H400" s="92">
        <v>20000000</v>
      </c>
      <c r="I400">
        <v>24335000</v>
      </c>
      <c r="J400">
        <v>0</v>
      </c>
      <c r="K400">
        <v>404028934</v>
      </c>
      <c r="L400" s="92">
        <v>3000000</v>
      </c>
      <c r="M400" t="s">
        <v>36</v>
      </c>
      <c r="N400" t="s">
        <v>19</v>
      </c>
      <c r="O400" t="s">
        <v>19</v>
      </c>
      <c r="P400" t="str">
        <f>VLOOKUP(B400,'CHECK_DT-BT_chi_tiet'!$A:$C,3,FALSE)</f>
        <v>BV Cà Mau</v>
      </c>
      <c r="Q400" t="str">
        <f>VLOOKUP(A400,Sheet3!$K$11:$L$21,2,FALSE)</f>
        <v>Tàu khác</v>
      </c>
      <c r="R400" t="str">
        <f>VLOOKUP(Q400,Sheet3!$L$11:$M$21,2,FALSE)</f>
        <v>HQ2</v>
      </c>
      <c r="S400" s="26">
        <f>SUMIFS('HQ2'!$O:$O,'HQ2'!$B:$B, "="&amp;'Tong_hop_HQNV_2026Q1_2026-06-23'!Q400, 'HQ2'!$A:$A,"="&amp;'Tong_hop_HQNV_2026Q1_2026-06-23'!P400)</f>
        <v>273000000</v>
      </c>
      <c r="T400" s="7">
        <f t="shared" si="6"/>
        <v>0</v>
      </c>
    </row>
    <row r="401" spans="1:20" x14ac:dyDescent="0.25">
      <c r="A401" t="s">
        <v>37</v>
      </c>
      <c r="B401" s="9" t="s">
        <v>298</v>
      </c>
      <c r="C401">
        <v>0</v>
      </c>
      <c r="D401">
        <v>0</v>
      </c>
      <c r="E401">
        <v>-148309307</v>
      </c>
      <c r="F401">
        <v>669903148</v>
      </c>
      <c r="G401" s="92">
        <v>99000000</v>
      </c>
      <c r="H401" s="92">
        <v>29000000</v>
      </c>
      <c r="I401">
        <v>159134052</v>
      </c>
      <c r="J401" s="92">
        <v>13000000</v>
      </c>
      <c r="K401">
        <v>669903148</v>
      </c>
      <c r="L401">
        <v>148309307</v>
      </c>
      <c r="M401" t="s">
        <v>36</v>
      </c>
      <c r="N401" t="s">
        <v>19</v>
      </c>
      <c r="O401" t="s">
        <v>19</v>
      </c>
      <c r="P401" t="str">
        <f>VLOOKUP(B401,'CHECK_DT-BT_chi_tiet'!$A:$C,3,FALSE)</f>
        <v>BV Cần Thơ</v>
      </c>
      <c r="Q401" t="str">
        <f>VLOOKUP(A401,Sheet3!$K$11:$L$21,2,FALSE)</f>
        <v>Tàu khác</v>
      </c>
      <c r="R401" t="str">
        <f>VLOOKUP(Q401,Sheet3!$L$11:$M$21,2,FALSE)</f>
        <v>HQ2</v>
      </c>
      <c r="S401" s="26">
        <f>SUMIFS('HQ2'!$O:$O,'HQ2'!$B:$B, "="&amp;'Tong_hop_HQNV_2026Q1_2026-06-23'!Q401, 'HQ2'!$A:$A,"="&amp;'Tong_hop_HQNV_2026Q1_2026-06-23'!P401)</f>
        <v>99000000</v>
      </c>
      <c r="T401" s="7">
        <f t="shared" si="6"/>
        <v>0</v>
      </c>
    </row>
    <row r="402" spans="1:20" x14ac:dyDescent="0.25">
      <c r="A402" t="s">
        <v>37</v>
      </c>
      <c r="B402" s="9" t="s">
        <v>300</v>
      </c>
      <c r="C402">
        <v>0</v>
      </c>
      <c r="D402">
        <v>0</v>
      </c>
      <c r="E402">
        <v>-33897747</v>
      </c>
      <c r="F402">
        <v>473065060</v>
      </c>
      <c r="G402" s="92">
        <v>70000000</v>
      </c>
      <c r="H402" s="92">
        <v>70000000</v>
      </c>
      <c r="I402">
        <v>33897747</v>
      </c>
      <c r="J402">
        <v>0</v>
      </c>
      <c r="K402">
        <v>473065060</v>
      </c>
      <c r="L402">
        <v>33897747</v>
      </c>
      <c r="M402" t="s">
        <v>36</v>
      </c>
      <c r="N402" t="s">
        <v>19</v>
      </c>
      <c r="O402" t="s">
        <v>19</v>
      </c>
      <c r="P402" t="str">
        <f>VLOOKUP(B402,'CHECK_DT-BT_chi_tiet'!$A:$C,3,FALSE)</f>
        <v>BV Đà Nẵng</v>
      </c>
      <c r="Q402" t="str">
        <f>VLOOKUP(A402,Sheet3!$K$11:$L$21,2,FALSE)</f>
        <v>Tàu khác</v>
      </c>
      <c r="R402" t="str">
        <f>VLOOKUP(Q402,Sheet3!$L$11:$M$21,2,FALSE)</f>
        <v>HQ2</v>
      </c>
      <c r="S402" s="26">
        <f>SUMIFS('HQ2'!$O:$O,'HQ2'!$B:$B, "="&amp;'Tong_hop_HQNV_2026Q1_2026-06-23'!Q402, 'HQ2'!$A:$A,"="&amp;'Tong_hop_HQNV_2026Q1_2026-06-23'!P402)</f>
        <v>70000000</v>
      </c>
      <c r="T402" s="7">
        <f t="shared" si="6"/>
        <v>0</v>
      </c>
    </row>
    <row r="403" spans="1:20" x14ac:dyDescent="0.25">
      <c r="A403" t="s">
        <v>37</v>
      </c>
      <c r="B403" s="9" t="s">
        <v>317</v>
      </c>
      <c r="C403">
        <v>0</v>
      </c>
      <c r="D403">
        <v>0</v>
      </c>
      <c r="E403">
        <v>-178633174</v>
      </c>
      <c r="F403">
        <v>2291236287</v>
      </c>
      <c r="G403">
        <v>979934792</v>
      </c>
      <c r="H403" s="92">
        <v>500000000</v>
      </c>
      <c r="I403">
        <v>138738177</v>
      </c>
      <c r="J403">
        <v>0</v>
      </c>
      <c r="K403">
        <v>2291236287</v>
      </c>
      <c r="L403">
        <v>178633174</v>
      </c>
      <c r="M403" t="s">
        <v>36</v>
      </c>
      <c r="N403" t="s">
        <v>19</v>
      </c>
      <c r="O403" t="s">
        <v>19</v>
      </c>
      <c r="P403" t="str">
        <f>VLOOKUP(B403,'CHECK_DT-BT_chi_tiet'!$A:$C,3,FALSE)</f>
        <v>BV Hải Phòng</v>
      </c>
      <c r="Q403" t="str">
        <f>VLOOKUP(A403,Sheet3!$K$11:$L$21,2,FALSE)</f>
        <v>Tàu khác</v>
      </c>
      <c r="R403" t="str">
        <f>VLOOKUP(Q403,Sheet3!$L$11:$M$21,2,FALSE)</f>
        <v>HQ2</v>
      </c>
      <c r="S403" s="26">
        <f>SUMIFS('HQ2'!$O:$O,'HQ2'!$B:$B, "="&amp;'Tong_hop_HQNV_2026Q1_2026-06-23'!Q403, 'HQ2'!$A:$A,"="&amp;'Tong_hop_HQNV_2026Q1_2026-06-23'!P403)</f>
        <v>979934792</v>
      </c>
      <c r="T403" s="7">
        <f t="shared" si="6"/>
        <v>0</v>
      </c>
    </row>
    <row r="404" spans="1:20" x14ac:dyDescent="0.25">
      <c r="A404" t="s">
        <v>37</v>
      </c>
      <c r="B404" s="9" t="s">
        <v>321</v>
      </c>
      <c r="C404">
        <v>0</v>
      </c>
      <c r="D404">
        <v>0</v>
      </c>
      <c r="E404">
        <v>-22642000</v>
      </c>
      <c r="F404">
        <v>2261505191</v>
      </c>
      <c r="G404">
        <v>517500000</v>
      </c>
      <c r="H404">
        <v>437500000</v>
      </c>
      <c r="I404">
        <v>22642000</v>
      </c>
      <c r="J404">
        <v>0</v>
      </c>
      <c r="K404">
        <v>2261505191</v>
      </c>
      <c r="L404">
        <v>22642000</v>
      </c>
      <c r="M404" t="s">
        <v>36</v>
      </c>
      <c r="N404" t="s">
        <v>19</v>
      </c>
      <c r="O404" t="s">
        <v>19</v>
      </c>
      <c r="P404" t="str">
        <f>VLOOKUP(B404,'CHECK_DT-BT_chi_tiet'!$A:$C,3,FALSE)</f>
        <v>BV Khánh Hòa</v>
      </c>
      <c r="Q404" t="str">
        <f>VLOOKUP(A404,Sheet3!$K$11:$L$21,2,FALSE)</f>
        <v>Tàu khác</v>
      </c>
      <c r="R404" t="str">
        <f>VLOOKUP(Q404,Sheet3!$L$11:$M$21,2,FALSE)</f>
        <v>HQ2</v>
      </c>
      <c r="S404" s="26">
        <f>SUMIFS('HQ2'!$O:$O,'HQ2'!$B:$B, "="&amp;'Tong_hop_HQNV_2026Q1_2026-06-23'!Q404, 'HQ2'!$A:$A,"="&amp;'Tong_hop_HQNV_2026Q1_2026-06-23'!P404)</f>
        <v>517500000</v>
      </c>
      <c r="T404" s="7">
        <f t="shared" si="6"/>
        <v>0</v>
      </c>
    </row>
    <row r="405" spans="1:20" x14ac:dyDescent="0.25">
      <c r="A405" t="s">
        <v>37</v>
      </c>
      <c r="B405" s="9" t="s">
        <v>332</v>
      </c>
      <c r="C405">
        <v>0</v>
      </c>
      <c r="D405">
        <v>0</v>
      </c>
      <c r="E405">
        <v>-37440000</v>
      </c>
      <c r="F405">
        <v>172478240</v>
      </c>
      <c r="G405" s="92">
        <v>315000000</v>
      </c>
      <c r="H405">
        <v>0</v>
      </c>
      <c r="I405">
        <v>37440000</v>
      </c>
      <c r="J405">
        <v>0</v>
      </c>
      <c r="K405">
        <v>172478240</v>
      </c>
      <c r="L405">
        <v>37440000</v>
      </c>
      <c r="M405" t="s">
        <v>36</v>
      </c>
      <c r="N405" t="s">
        <v>19</v>
      </c>
      <c r="O405" t="s">
        <v>19</v>
      </c>
      <c r="P405" t="str">
        <f>VLOOKUP(B405,'CHECK_DT-BT_chi_tiet'!$A:$C,3,FALSE)</f>
        <v>BV Nam Định</v>
      </c>
      <c r="Q405" t="str">
        <f>VLOOKUP(A405,Sheet3!$K$11:$L$21,2,FALSE)</f>
        <v>Tàu khác</v>
      </c>
      <c r="R405" t="str">
        <f>VLOOKUP(Q405,Sheet3!$L$11:$M$21,2,FALSE)</f>
        <v>HQ2</v>
      </c>
      <c r="S405" s="26">
        <f>SUMIFS('HQ2'!$O:$O,'HQ2'!$B:$B, "="&amp;'Tong_hop_HQNV_2026Q1_2026-06-23'!Q405, 'HQ2'!$A:$A,"="&amp;'Tong_hop_HQNV_2026Q1_2026-06-23'!P405)</f>
        <v>315000000</v>
      </c>
      <c r="T405" s="7">
        <f t="shared" si="6"/>
        <v>0</v>
      </c>
    </row>
    <row r="406" spans="1:20" x14ac:dyDescent="0.25">
      <c r="A406" t="s">
        <v>37</v>
      </c>
      <c r="B406" s="9" t="s">
        <v>335</v>
      </c>
      <c r="C406">
        <v>0</v>
      </c>
      <c r="D406">
        <v>0</v>
      </c>
      <c r="E406">
        <v>-934421786</v>
      </c>
      <c r="F406">
        <v>2143568745</v>
      </c>
      <c r="G406" s="92">
        <v>862000000</v>
      </c>
      <c r="H406" s="92">
        <v>832000000</v>
      </c>
      <c r="I406">
        <v>943343786</v>
      </c>
      <c r="J406">
        <v>683282200</v>
      </c>
      <c r="K406">
        <v>2143568745</v>
      </c>
      <c r="L406">
        <v>934421786</v>
      </c>
      <c r="M406" t="s">
        <v>36</v>
      </c>
      <c r="N406" t="s">
        <v>19</v>
      </c>
      <c r="O406" t="s">
        <v>19</v>
      </c>
      <c r="P406" t="str">
        <f>VLOOKUP(B406,'CHECK_DT-BT_chi_tiet'!$A:$C,3,FALSE)</f>
        <v>BV Ninh Thuận</v>
      </c>
      <c r="Q406" t="str">
        <f>VLOOKUP(A406,Sheet3!$K$11:$L$21,2,FALSE)</f>
        <v>Tàu khác</v>
      </c>
      <c r="R406" t="str">
        <f>VLOOKUP(Q406,Sheet3!$L$11:$M$21,2,FALSE)</f>
        <v>HQ2</v>
      </c>
      <c r="S406" s="26">
        <f>SUMIFS('HQ2'!$O:$O,'HQ2'!$B:$B, "="&amp;'Tong_hop_HQNV_2026Q1_2026-06-23'!Q406, 'HQ2'!$A:$A,"="&amp;'Tong_hop_HQNV_2026Q1_2026-06-23'!P406)</f>
        <v>862000000</v>
      </c>
      <c r="T406" s="7">
        <f t="shared" si="6"/>
        <v>0</v>
      </c>
    </row>
    <row r="407" spans="1:20" x14ac:dyDescent="0.25">
      <c r="A407" t="s">
        <v>37</v>
      </c>
      <c r="B407" s="9" t="s">
        <v>339</v>
      </c>
      <c r="C407">
        <v>0</v>
      </c>
      <c r="D407">
        <v>0</v>
      </c>
      <c r="E407">
        <v>-134675000</v>
      </c>
      <c r="F407">
        <v>696299200</v>
      </c>
      <c r="G407" s="92">
        <v>39000000</v>
      </c>
      <c r="H407" s="92">
        <v>39000000</v>
      </c>
      <c r="I407">
        <v>128185000</v>
      </c>
      <c r="J407">
        <v>23279000</v>
      </c>
      <c r="K407">
        <v>696299200</v>
      </c>
      <c r="L407">
        <v>134675000</v>
      </c>
      <c r="M407" t="s">
        <v>36</v>
      </c>
      <c r="N407" t="s">
        <v>19</v>
      </c>
      <c r="O407" t="s">
        <v>19</v>
      </c>
      <c r="P407" t="str">
        <f>VLOOKUP(B407,'CHECK_DT-BT_chi_tiet'!$A:$C,3,FALSE)</f>
        <v>BV Phú Yên</v>
      </c>
      <c r="Q407" t="str">
        <f>VLOOKUP(A407,Sheet3!$K$11:$L$21,2,FALSE)</f>
        <v>Tàu khác</v>
      </c>
      <c r="R407" t="str">
        <f>VLOOKUP(Q407,Sheet3!$L$11:$M$21,2,FALSE)</f>
        <v>HQ2</v>
      </c>
      <c r="S407" s="26">
        <f>SUMIFS('HQ2'!$O:$O,'HQ2'!$B:$B, "="&amp;'Tong_hop_HQNV_2026Q1_2026-06-23'!Q407, 'HQ2'!$A:$A,"="&amp;'Tong_hop_HQNV_2026Q1_2026-06-23'!P407)</f>
        <v>39000000</v>
      </c>
      <c r="T407" s="7">
        <f t="shared" si="6"/>
        <v>0</v>
      </c>
    </row>
    <row r="408" spans="1:20" x14ac:dyDescent="0.25">
      <c r="A408" t="s">
        <v>37</v>
      </c>
      <c r="B408" s="9" t="s">
        <v>340</v>
      </c>
      <c r="C408">
        <v>0</v>
      </c>
      <c r="D408">
        <v>0</v>
      </c>
      <c r="E408">
        <v>-512386500</v>
      </c>
      <c r="F408">
        <v>1922049136</v>
      </c>
      <c r="G408" s="92">
        <v>257000000</v>
      </c>
      <c r="H408" s="92">
        <v>227000000</v>
      </c>
      <c r="I408">
        <v>512386500</v>
      </c>
      <c r="J408">
        <v>115300000</v>
      </c>
      <c r="K408">
        <v>1922049136</v>
      </c>
      <c r="L408">
        <v>512386500</v>
      </c>
      <c r="M408" t="s">
        <v>36</v>
      </c>
      <c r="N408" t="s">
        <v>19</v>
      </c>
      <c r="O408" t="s">
        <v>19</v>
      </c>
      <c r="P408" t="str">
        <f>VLOOKUP(B408,'CHECK_DT-BT_chi_tiet'!$A:$C,3,FALSE)</f>
        <v>BV Quảng Bình</v>
      </c>
      <c r="Q408" t="str">
        <f>VLOOKUP(A408,Sheet3!$K$11:$L$21,2,FALSE)</f>
        <v>Tàu khác</v>
      </c>
      <c r="R408" t="str">
        <f>VLOOKUP(Q408,Sheet3!$L$11:$M$21,2,FALSE)</f>
        <v>HQ2</v>
      </c>
      <c r="S408" s="26">
        <f>SUMIFS('HQ2'!$O:$O,'HQ2'!$B:$B, "="&amp;'Tong_hop_HQNV_2026Q1_2026-06-23'!Q408, 'HQ2'!$A:$A,"="&amp;'Tong_hop_HQNV_2026Q1_2026-06-23'!P408)</f>
        <v>257000000</v>
      </c>
      <c r="T408" s="7">
        <f t="shared" si="6"/>
        <v>0</v>
      </c>
    </row>
    <row r="409" spans="1:20" x14ac:dyDescent="0.25">
      <c r="A409" t="s">
        <v>37</v>
      </c>
      <c r="B409" s="9" t="s">
        <v>341</v>
      </c>
      <c r="C409">
        <v>0</v>
      </c>
      <c r="D409">
        <v>0</v>
      </c>
      <c r="E409">
        <v>-912772800</v>
      </c>
      <c r="F409">
        <v>343936251</v>
      </c>
      <c r="G409" s="92">
        <v>182000000</v>
      </c>
      <c r="H409" s="92">
        <v>60000000</v>
      </c>
      <c r="I409">
        <v>874536000</v>
      </c>
      <c r="J409">
        <v>0</v>
      </c>
      <c r="K409">
        <v>343936251</v>
      </c>
      <c r="L409">
        <v>912772800</v>
      </c>
      <c r="M409" t="s">
        <v>36</v>
      </c>
      <c r="N409" t="s">
        <v>19</v>
      </c>
      <c r="O409" t="s">
        <v>19</v>
      </c>
      <c r="P409" t="str">
        <f>VLOOKUP(B409,'CHECK_DT-BT_chi_tiet'!$A:$C,3,FALSE)</f>
        <v>BV Quảng Nam</v>
      </c>
      <c r="Q409" t="str">
        <f>VLOOKUP(A409,Sheet3!$K$11:$L$21,2,FALSE)</f>
        <v>Tàu khác</v>
      </c>
      <c r="R409" t="str">
        <f>VLOOKUP(Q409,Sheet3!$L$11:$M$21,2,FALSE)</f>
        <v>HQ2</v>
      </c>
      <c r="S409" s="26">
        <f>SUMIFS('HQ2'!$O:$O,'HQ2'!$B:$B, "="&amp;'Tong_hop_HQNV_2026Q1_2026-06-23'!Q409, 'HQ2'!$A:$A,"="&amp;'Tong_hop_HQNV_2026Q1_2026-06-23'!P409)</f>
        <v>182000000</v>
      </c>
      <c r="T409" s="7">
        <f t="shared" si="6"/>
        <v>0</v>
      </c>
    </row>
    <row r="410" spans="1:20" x14ac:dyDescent="0.25">
      <c r="A410" t="s">
        <v>37</v>
      </c>
      <c r="B410" s="9" t="s">
        <v>343</v>
      </c>
      <c r="C410">
        <v>0</v>
      </c>
      <c r="D410">
        <v>0</v>
      </c>
      <c r="E410">
        <v>-58200000</v>
      </c>
      <c r="F410">
        <v>2685888355</v>
      </c>
      <c r="G410" s="92">
        <v>40000000</v>
      </c>
      <c r="H410">
        <v>0</v>
      </c>
      <c r="I410">
        <v>108103620</v>
      </c>
      <c r="J410">
        <v>0</v>
      </c>
      <c r="K410">
        <v>2685888355</v>
      </c>
      <c r="L410">
        <v>58200000</v>
      </c>
      <c r="M410" t="s">
        <v>36</v>
      </c>
      <c r="N410" t="s">
        <v>19</v>
      </c>
      <c r="O410" t="s">
        <v>19</v>
      </c>
      <c r="P410" t="str">
        <f>VLOOKUP(B410,'CHECK_DT-BT_chi_tiet'!$A:$C,3,FALSE)</f>
        <v>BV Quảng Ninh</v>
      </c>
      <c r="Q410" t="str">
        <f>VLOOKUP(A410,Sheet3!$K$11:$L$21,2,FALSE)</f>
        <v>Tàu khác</v>
      </c>
      <c r="R410" t="str">
        <f>VLOOKUP(Q410,Sheet3!$L$11:$M$21,2,FALSE)</f>
        <v>HQ2</v>
      </c>
      <c r="S410" s="26">
        <f>SUMIFS('HQ2'!$O:$O,'HQ2'!$B:$B, "="&amp;'Tong_hop_HQNV_2026Q1_2026-06-23'!Q410, 'HQ2'!$A:$A,"="&amp;'Tong_hop_HQNV_2026Q1_2026-06-23'!P410)</f>
        <v>40000000</v>
      </c>
      <c r="T410" s="7">
        <f t="shared" si="6"/>
        <v>0</v>
      </c>
    </row>
    <row r="411" spans="1:20" x14ac:dyDescent="0.25">
      <c r="A411" t="s">
        <v>37</v>
      </c>
      <c r="B411" s="9" t="s">
        <v>344</v>
      </c>
      <c r="C411">
        <v>0</v>
      </c>
      <c r="D411">
        <v>0</v>
      </c>
      <c r="E411">
        <v>-512683000</v>
      </c>
      <c r="F411">
        <v>59200000</v>
      </c>
      <c r="G411" s="92">
        <v>35000000</v>
      </c>
      <c r="H411">
        <v>0</v>
      </c>
      <c r="I411">
        <v>512683000</v>
      </c>
      <c r="J411">
        <v>0</v>
      </c>
      <c r="K411">
        <v>59200000</v>
      </c>
      <c r="L411">
        <v>512683000</v>
      </c>
      <c r="M411" t="s">
        <v>36</v>
      </c>
      <c r="N411" t="s">
        <v>19</v>
      </c>
      <c r="O411" t="s">
        <v>19</v>
      </c>
      <c r="P411" t="str">
        <f>VLOOKUP(B411,'CHECK_DT-BT_chi_tiet'!$A:$C,3,FALSE)</f>
        <v>BV Quảng Trị</v>
      </c>
      <c r="Q411" t="str">
        <f>VLOOKUP(A411,Sheet3!$K$11:$L$21,2,FALSE)</f>
        <v>Tàu khác</v>
      </c>
      <c r="R411" t="str">
        <f>VLOOKUP(Q411,Sheet3!$L$11:$M$21,2,FALSE)</f>
        <v>HQ2</v>
      </c>
      <c r="S411" s="26">
        <f>SUMIFS('HQ2'!$O:$O,'HQ2'!$B:$B, "="&amp;'Tong_hop_HQNV_2026Q1_2026-06-23'!Q411, 'HQ2'!$A:$A,"="&amp;'Tong_hop_HQNV_2026Q1_2026-06-23'!P411)</f>
        <v>35000000</v>
      </c>
      <c r="T411" s="7">
        <f t="shared" si="6"/>
        <v>0</v>
      </c>
    </row>
    <row r="412" spans="1:20" x14ac:dyDescent="0.25">
      <c r="A412" t="s">
        <v>37</v>
      </c>
      <c r="B412" s="9" t="s">
        <v>345</v>
      </c>
      <c r="C412">
        <v>0</v>
      </c>
      <c r="D412">
        <v>0</v>
      </c>
      <c r="E412">
        <v>-288649666</v>
      </c>
      <c r="F412">
        <v>1961954335</v>
      </c>
      <c r="G412" s="92">
        <v>1852000000</v>
      </c>
      <c r="H412">
        <v>0</v>
      </c>
      <c r="I412">
        <v>274114666</v>
      </c>
      <c r="J412">
        <v>62307130</v>
      </c>
      <c r="K412">
        <v>1961954335</v>
      </c>
      <c r="L412">
        <v>288649666</v>
      </c>
      <c r="M412" t="s">
        <v>36</v>
      </c>
      <c r="N412" t="s">
        <v>19</v>
      </c>
      <c r="O412" t="s">
        <v>19</v>
      </c>
      <c r="P412" t="str">
        <f>VLOOKUP(B412,'CHECK_DT-BT_chi_tiet'!$A:$C,3,FALSE)</f>
        <v>BV Sài Gòn</v>
      </c>
      <c r="Q412" t="str">
        <f>VLOOKUP(A412,Sheet3!$K$11:$L$21,2,FALSE)</f>
        <v>Tàu khác</v>
      </c>
      <c r="R412" t="str">
        <f>VLOOKUP(Q412,Sheet3!$L$11:$M$21,2,FALSE)</f>
        <v>HQ2</v>
      </c>
      <c r="S412" s="26">
        <f>SUMIFS('HQ2'!$O:$O,'HQ2'!$B:$B, "="&amp;'Tong_hop_HQNV_2026Q1_2026-06-23'!Q412, 'HQ2'!$A:$A,"="&amp;'Tong_hop_HQNV_2026Q1_2026-06-23'!P412)</f>
        <v>1852000000</v>
      </c>
      <c r="T412" s="7">
        <f t="shared" si="6"/>
        <v>0</v>
      </c>
    </row>
    <row r="413" spans="1:20" x14ac:dyDescent="0.25">
      <c r="A413" t="s">
        <v>37</v>
      </c>
      <c r="B413" s="9" t="s">
        <v>355</v>
      </c>
      <c r="C413">
        <v>0</v>
      </c>
      <c r="D413">
        <v>0</v>
      </c>
      <c r="E413">
        <v>91046000</v>
      </c>
      <c r="F413">
        <v>320325503</v>
      </c>
      <c r="G413" s="92">
        <v>470000000</v>
      </c>
      <c r="H413">
        <v>0</v>
      </c>
      <c r="I413">
        <v>8954000</v>
      </c>
      <c r="J413">
        <v>0</v>
      </c>
      <c r="K413">
        <v>320325503</v>
      </c>
      <c r="L413">
        <v>-91046000</v>
      </c>
      <c r="M413" t="s">
        <v>36</v>
      </c>
      <c r="N413" t="s">
        <v>19</v>
      </c>
      <c r="O413" t="s">
        <v>19</v>
      </c>
      <c r="P413" t="str">
        <f>VLOOKUP(B413,'CHECK_DT-BT_chi_tiet'!$A:$C,3,FALSE)</f>
        <v>BV Thừa Thiên Huế</v>
      </c>
      <c r="Q413" t="str">
        <f>VLOOKUP(A413,Sheet3!$K$11:$L$21,2,FALSE)</f>
        <v>Tàu khác</v>
      </c>
      <c r="R413" t="str">
        <f>VLOOKUP(Q413,Sheet3!$L$11:$M$21,2,FALSE)</f>
        <v>HQ2</v>
      </c>
      <c r="S413" s="26">
        <f>SUMIFS('HQ2'!$O:$O,'HQ2'!$B:$B, "="&amp;'Tong_hop_HQNV_2026Q1_2026-06-23'!Q413, 'HQ2'!$A:$A,"="&amp;'Tong_hop_HQNV_2026Q1_2026-06-23'!P413)</f>
        <v>470000000</v>
      </c>
      <c r="T413" s="7">
        <f t="shared" si="6"/>
        <v>0</v>
      </c>
    </row>
    <row r="414" spans="1:20" x14ac:dyDescent="0.25">
      <c r="A414" t="s">
        <v>37</v>
      </c>
      <c r="B414" s="9" t="s">
        <v>356</v>
      </c>
      <c r="C414">
        <v>0</v>
      </c>
      <c r="D414">
        <v>0</v>
      </c>
      <c r="E414">
        <v>-720859379</v>
      </c>
      <c r="F414">
        <v>1414176833</v>
      </c>
      <c r="G414">
        <v>0</v>
      </c>
      <c r="H414">
        <v>0</v>
      </c>
      <c r="I414">
        <v>756463763</v>
      </c>
      <c r="J414">
        <v>337351761</v>
      </c>
      <c r="K414">
        <v>1414176833</v>
      </c>
      <c r="L414">
        <v>720859379</v>
      </c>
      <c r="M414" t="s">
        <v>36</v>
      </c>
      <c r="N414" t="s">
        <v>19</v>
      </c>
      <c r="O414" t="s">
        <v>19</v>
      </c>
      <c r="P414" t="str">
        <f>VLOOKUP(B414,'CHECK_DT-BT_chi_tiet'!$A:$C,3,FALSE)</f>
        <v>BV Tiền Giang</v>
      </c>
      <c r="Q414" t="str">
        <f>VLOOKUP(A414,Sheet3!$K$11:$L$21,2,FALSE)</f>
        <v>Tàu khác</v>
      </c>
      <c r="R414" t="str">
        <f>VLOOKUP(Q414,Sheet3!$L$11:$M$21,2,FALSE)</f>
        <v>HQ2</v>
      </c>
      <c r="S414" s="26">
        <f>SUMIFS('HQ2'!$O:$O,'HQ2'!$B:$B, "="&amp;'Tong_hop_HQNV_2026Q1_2026-06-23'!Q414, 'HQ2'!$A:$A,"="&amp;'Tong_hop_HQNV_2026Q1_2026-06-23'!P414)</f>
        <v>0</v>
      </c>
      <c r="T414" s="7">
        <f t="shared" si="6"/>
        <v>0</v>
      </c>
    </row>
    <row r="415" spans="1:20" x14ac:dyDescent="0.25">
      <c r="A415" t="s">
        <v>37</v>
      </c>
      <c r="B415" s="9" t="s">
        <v>357</v>
      </c>
      <c r="C415">
        <v>0</v>
      </c>
      <c r="D415">
        <v>0</v>
      </c>
      <c r="E415" s="92">
        <v>-9000000</v>
      </c>
      <c r="F415">
        <v>711507734</v>
      </c>
      <c r="G415" s="92">
        <v>45000000</v>
      </c>
      <c r="H415" s="92">
        <v>45000000</v>
      </c>
      <c r="I415" s="92">
        <v>9000000</v>
      </c>
      <c r="J415" s="92">
        <v>9000000</v>
      </c>
      <c r="K415">
        <v>711507734</v>
      </c>
      <c r="L415" s="92">
        <v>9000000</v>
      </c>
      <c r="M415" t="s">
        <v>36</v>
      </c>
      <c r="N415" t="s">
        <v>19</v>
      </c>
      <c r="O415" t="s">
        <v>19</v>
      </c>
      <c r="P415" t="str">
        <f>VLOOKUP(B415,'CHECK_DT-BT_chi_tiet'!$A:$C,3,FALSE)</f>
        <v>BV Trà Vinh</v>
      </c>
      <c r="Q415" t="str">
        <f>VLOOKUP(A415,Sheet3!$K$11:$L$21,2,FALSE)</f>
        <v>Tàu khác</v>
      </c>
      <c r="R415" t="str">
        <f>VLOOKUP(Q415,Sheet3!$L$11:$M$21,2,FALSE)</f>
        <v>HQ2</v>
      </c>
      <c r="S415" s="26">
        <f>SUMIFS('HQ2'!$O:$O,'HQ2'!$B:$B, "="&amp;'Tong_hop_HQNV_2026Q1_2026-06-23'!Q415, 'HQ2'!$A:$A,"="&amp;'Tong_hop_HQNV_2026Q1_2026-06-23'!P415)</f>
        <v>45000000</v>
      </c>
      <c r="T415" s="7">
        <f t="shared" si="6"/>
        <v>0</v>
      </c>
    </row>
    <row r="416" spans="1:20" x14ac:dyDescent="0.25">
      <c r="A416" t="s">
        <v>37</v>
      </c>
      <c r="B416" s="9" t="s">
        <v>360</v>
      </c>
      <c r="C416">
        <v>0</v>
      </c>
      <c r="D416">
        <v>0</v>
      </c>
      <c r="E416">
        <v>-50645519</v>
      </c>
      <c r="F416">
        <v>280493364</v>
      </c>
      <c r="G416">
        <v>0</v>
      </c>
      <c r="H416">
        <v>0</v>
      </c>
      <c r="I416">
        <v>42125064</v>
      </c>
      <c r="J416">
        <v>0</v>
      </c>
      <c r="K416">
        <v>280493364</v>
      </c>
      <c r="L416">
        <v>50645519</v>
      </c>
      <c r="M416" t="s">
        <v>36</v>
      </c>
      <c r="N416" t="s">
        <v>19</v>
      </c>
      <c r="O416" t="s">
        <v>19</v>
      </c>
      <c r="P416" t="str">
        <f>VLOOKUP(B416,'CHECK_DT-BT_chi_tiet'!$A:$C,3,FALSE)</f>
        <v>BV Vĩnh Long</v>
      </c>
      <c r="Q416" t="str">
        <f>VLOOKUP(A416,Sheet3!$K$11:$L$21,2,FALSE)</f>
        <v>Tàu khác</v>
      </c>
      <c r="R416" t="str">
        <f>VLOOKUP(Q416,Sheet3!$L$11:$M$21,2,FALSE)</f>
        <v>HQ2</v>
      </c>
      <c r="S416" s="26">
        <f>SUMIFS('HQ2'!$O:$O,'HQ2'!$B:$B, "="&amp;'Tong_hop_HQNV_2026Q1_2026-06-23'!Q416, 'HQ2'!$A:$A,"="&amp;'Tong_hop_HQNV_2026Q1_2026-06-23'!P416)</f>
        <v>0</v>
      </c>
      <c r="T416" s="7">
        <f t="shared" si="6"/>
        <v>0</v>
      </c>
    </row>
    <row r="417" spans="1:20" x14ac:dyDescent="0.25">
      <c r="A417" t="s">
        <v>37</v>
      </c>
      <c r="B417" s="9" t="s">
        <v>336</v>
      </c>
      <c r="C417">
        <v>0</v>
      </c>
      <c r="D417">
        <v>0</v>
      </c>
      <c r="E417" s="92">
        <v>-400000000</v>
      </c>
      <c r="F417">
        <v>24317500</v>
      </c>
      <c r="G417">
        <v>0</v>
      </c>
      <c r="H417">
        <v>0</v>
      </c>
      <c r="I417">
        <v>0</v>
      </c>
      <c r="J417">
        <v>0</v>
      </c>
      <c r="K417">
        <v>24317500</v>
      </c>
      <c r="L417" s="92">
        <v>400000000</v>
      </c>
      <c r="M417" t="s">
        <v>36</v>
      </c>
      <c r="N417" t="s">
        <v>19</v>
      </c>
      <c r="O417" t="s">
        <v>19</v>
      </c>
      <c r="P417" t="str">
        <f>VLOOKUP(B417,'CHECK_DT-BT_chi_tiet'!$A:$C,3,FALSE)</f>
        <v>BV Phú Mỹ</v>
      </c>
      <c r="Q417" t="str">
        <f>VLOOKUP(A417,Sheet3!$K$11:$L$21,2,FALSE)</f>
        <v>Tàu khác</v>
      </c>
      <c r="R417" t="str">
        <f>VLOOKUP(Q417,Sheet3!$L$11:$M$21,2,FALSE)</f>
        <v>HQ2</v>
      </c>
      <c r="S417" s="26">
        <f>SUMIFS('HQ2'!$O:$O,'HQ2'!$B:$B, "="&amp;'Tong_hop_HQNV_2026Q1_2026-06-23'!Q417, 'HQ2'!$A:$A,"="&amp;'Tong_hop_HQNV_2026Q1_2026-06-23'!P417)</f>
        <v>0</v>
      </c>
      <c r="T417" s="7">
        <f t="shared" si="6"/>
        <v>0</v>
      </c>
    </row>
    <row r="418" spans="1:20" x14ac:dyDescent="0.25">
      <c r="A418" t="s">
        <v>37</v>
      </c>
      <c r="B418" s="9" t="s">
        <v>337</v>
      </c>
      <c r="C418">
        <v>0</v>
      </c>
      <c r="D418">
        <v>0</v>
      </c>
      <c r="E418">
        <v>-86412466</v>
      </c>
      <c r="F418">
        <v>318395954</v>
      </c>
      <c r="G418">
        <v>0</v>
      </c>
      <c r="H418">
        <v>0</v>
      </c>
      <c r="I418">
        <v>86412466</v>
      </c>
      <c r="J418">
        <v>0</v>
      </c>
      <c r="K418">
        <v>318395954</v>
      </c>
      <c r="L418">
        <v>86412466</v>
      </c>
      <c r="M418" t="s">
        <v>36</v>
      </c>
      <c r="N418" t="s">
        <v>19</v>
      </c>
      <c r="O418" t="s">
        <v>19</v>
      </c>
      <c r="P418" t="str">
        <f>VLOOKUP(B418,'CHECK_DT-BT_chi_tiet'!$A:$C,3,FALSE)</f>
        <v>BV Phú Quốc</v>
      </c>
      <c r="Q418" t="str">
        <f>VLOOKUP(A418,Sheet3!$K$11:$L$21,2,FALSE)</f>
        <v>Tàu khác</v>
      </c>
      <c r="R418" t="str">
        <f>VLOOKUP(Q418,Sheet3!$L$11:$M$21,2,FALSE)</f>
        <v>HQ2</v>
      </c>
      <c r="S418" s="26">
        <f>SUMIFS('HQ2'!$O:$O,'HQ2'!$B:$B, "="&amp;'Tong_hop_HQNV_2026Q1_2026-06-23'!Q418, 'HQ2'!$A:$A,"="&amp;'Tong_hop_HQNV_2026Q1_2026-06-23'!P418)</f>
        <v>0</v>
      </c>
      <c r="T418" s="7">
        <f t="shared" si="6"/>
        <v>0</v>
      </c>
    </row>
    <row r="419" spans="1:20" x14ac:dyDescent="0.25">
      <c r="A419" t="s">
        <v>32</v>
      </c>
      <c r="B419" s="9" t="s">
        <v>223</v>
      </c>
      <c r="C419">
        <v>0</v>
      </c>
      <c r="D419">
        <v>0</v>
      </c>
      <c r="E419">
        <v>-35933452</v>
      </c>
      <c r="F419">
        <v>253297609</v>
      </c>
      <c r="G419">
        <v>305928399</v>
      </c>
      <c r="H419">
        <v>34244310</v>
      </c>
      <c r="I419">
        <v>0</v>
      </c>
      <c r="J419">
        <v>0</v>
      </c>
      <c r="K419">
        <v>253297609</v>
      </c>
      <c r="L419">
        <v>35933452</v>
      </c>
      <c r="M419" t="s">
        <v>15</v>
      </c>
      <c r="N419">
        <v>1</v>
      </c>
      <c r="O419">
        <v>1</v>
      </c>
      <c r="P419" t="str">
        <f>VLOOKUP(B419,'CHECK_DT-BT_chi_tiet'!$A:$C,3,FALSE)</f>
        <v>TSC-Ban KDBH Hàng hóa</v>
      </c>
      <c r="Q419" t="str">
        <f>VLOOKUP(A419,Sheet3!$K$11:$L$21,2,FALSE)</f>
        <v>BH Xe cơ giới</v>
      </c>
      <c r="R419" t="str">
        <f>VLOOKUP(Q419,Sheet3!$L$11:$M$21,2,FALSE)</f>
        <v>HQ1</v>
      </c>
      <c r="S419" s="26">
        <f>SUMIFS('HQ2'!$O:$O,'HQ2'!$B:$B, "="&amp;'Tong_hop_HQNV_2026Q1_2026-06-23'!Q419, 'HQ2'!$A:$A,"="&amp;'Tong_hop_HQNV_2026Q1_2026-06-23'!P419)</f>
        <v>0</v>
      </c>
      <c r="T419" s="7">
        <f t="shared" si="6"/>
        <v>0</v>
      </c>
    </row>
    <row r="420" spans="1:20" x14ac:dyDescent="0.25">
      <c r="A420" t="s">
        <v>32</v>
      </c>
      <c r="B420" s="9" t="s">
        <v>234</v>
      </c>
      <c r="C420">
        <v>0</v>
      </c>
      <c r="D420">
        <v>0</v>
      </c>
      <c r="E420">
        <v>-13795185</v>
      </c>
      <c r="F420">
        <v>0</v>
      </c>
      <c r="G420">
        <v>21172155</v>
      </c>
      <c r="H420">
        <v>17785818</v>
      </c>
      <c r="I420">
        <v>0</v>
      </c>
      <c r="J420">
        <v>0</v>
      </c>
      <c r="K420">
        <v>0</v>
      </c>
      <c r="L420">
        <v>13795185</v>
      </c>
      <c r="M420" t="s">
        <v>15</v>
      </c>
      <c r="N420">
        <v>1</v>
      </c>
      <c r="O420">
        <v>1</v>
      </c>
      <c r="P420" t="str">
        <f>VLOOKUP(B420,'CHECK_DT-BT_chi_tiet'!$A:$C,3,FALSE)</f>
        <v>TSC-Ban KDBH Phi hàng hải TSC</v>
      </c>
      <c r="Q420" t="str">
        <f>VLOOKUP(A420,Sheet3!$K$11:$L$21,2,FALSE)</f>
        <v>BH Xe cơ giới</v>
      </c>
      <c r="R420" t="str">
        <f>VLOOKUP(Q420,Sheet3!$L$11:$M$21,2,FALSE)</f>
        <v>HQ1</v>
      </c>
      <c r="S420" s="26">
        <f>SUMIFS('HQ2'!$O:$O,'HQ2'!$B:$B, "="&amp;'Tong_hop_HQNV_2026Q1_2026-06-23'!Q420, 'HQ2'!$A:$A,"="&amp;'Tong_hop_HQNV_2026Q1_2026-06-23'!P420)</f>
        <v>0</v>
      </c>
      <c r="T420" s="7">
        <f t="shared" si="6"/>
        <v>0</v>
      </c>
    </row>
    <row r="421" spans="1:20" x14ac:dyDescent="0.25">
      <c r="A421" t="s">
        <v>32</v>
      </c>
      <c r="B421" s="9" t="s">
        <v>229</v>
      </c>
      <c r="C421">
        <v>0</v>
      </c>
      <c r="D421">
        <v>0</v>
      </c>
      <c r="E421">
        <v>-572163315</v>
      </c>
      <c r="F421">
        <v>642418696</v>
      </c>
      <c r="G421">
        <v>439269400</v>
      </c>
      <c r="H421">
        <v>223256414</v>
      </c>
      <c r="I421">
        <v>0</v>
      </c>
      <c r="J421">
        <v>0</v>
      </c>
      <c r="K421">
        <v>642418696</v>
      </c>
      <c r="L421">
        <v>572163315</v>
      </c>
      <c r="M421" t="s">
        <v>15</v>
      </c>
      <c r="N421">
        <v>1</v>
      </c>
      <c r="O421">
        <v>1</v>
      </c>
      <c r="P421" t="str">
        <f>VLOOKUP(B421,'CHECK_DT-BT_chi_tiet'!$A:$C,3,FALSE)</f>
        <v>TSC-Ban Bảo hiểm trực tuyến</v>
      </c>
      <c r="Q421" t="str">
        <f>VLOOKUP(A421,Sheet3!$K$11:$L$21,2,FALSE)</f>
        <v>BH Xe cơ giới</v>
      </c>
      <c r="R421" t="str">
        <f>VLOOKUP(Q421,Sheet3!$L$11:$M$21,2,FALSE)</f>
        <v>HQ1</v>
      </c>
      <c r="S421" s="26">
        <f>SUMIFS('HQ2'!$O:$O,'HQ2'!$B:$B, "="&amp;'Tong_hop_HQNV_2026Q1_2026-06-23'!Q421, 'HQ2'!$A:$A,"="&amp;'Tong_hop_HQNV_2026Q1_2026-06-23'!P421)</f>
        <v>0</v>
      </c>
      <c r="T421" s="7">
        <f t="shared" si="6"/>
        <v>0</v>
      </c>
    </row>
    <row r="422" spans="1:20" x14ac:dyDescent="0.25">
      <c r="A422" t="s">
        <v>32</v>
      </c>
      <c r="B422" s="9" t="s">
        <v>365</v>
      </c>
      <c r="C422">
        <v>0</v>
      </c>
      <c r="D422">
        <v>0</v>
      </c>
      <c r="E422">
        <v>13634000</v>
      </c>
      <c r="F422">
        <v>0</v>
      </c>
      <c r="G422">
        <v>0</v>
      </c>
      <c r="H422">
        <v>0</v>
      </c>
      <c r="I422">
        <v>0</v>
      </c>
      <c r="J422">
        <v>0</v>
      </c>
      <c r="K422">
        <v>0</v>
      </c>
      <c r="L422">
        <v>-13634000</v>
      </c>
      <c r="M422" t="s">
        <v>15</v>
      </c>
      <c r="N422">
        <v>1</v>
      </c>
      <c r="O422">
        <v>1</v>
      </c>
      <c r="P422" t="e">
        <f>VLOOKUP(B422,'CHECK_DT-BT_chi_tiet'!$A:$C,3,FALSE)</f>
        <v>#N/A</v>
      </c>
      <c r="Q422" t="str">
        <f>VLOOKUP(A422,Sheet3!$K$11:$L$21,2,FALSE)</f>
        <v>BH Xe cơ giới</v>
      </c>
      <c r="R422" t="str">
        <f>VLOOKUP(Q422,Sheet3!$L$11:$M$21,2,FALSE)</f>
        <v>HQ1</v>
      </c>
      <c r="S422" s="26">
        <f>SUMIFS('HQ2'!$O:$O,'HQ2'!$B:$B, "="&amp;'Tong_hop_HQNV_2026Q1_2026-06-23'!Q422, 'HQ2'!$A:$A,"="&amp;'Tong_hop_HQNV_2026Q1_2026-06-23'!P422)</f>
        <v>0</v>
      </c>
      <c r="T422" s="7">
        <f t="shared" si="6"/>
        <v>0</v>
      </c>
    </row>
    <row r="423" spans="1:20" x14ac:dyDescent="0.25">
      <c r="A423" t="s">
        <v>32</v>
      </c>
      <c r="B423" s="9" t="s">
        <v>286</v>
      </c>
      <c r="C423">
        <v>0</v>
      </c>
      <c r="D423">
        <v>0</v>
      </c>
      <c r="E423">
        <v>-453298004</v>
      </c>
      <c r="F423">
        <v>1233356071</v>
      </c>
      <c r="G423">
        <v>904162366</v>
      </c>
      <c r="H423">
        <v>211491457</v>
      </c>
      <c r="I423">
        <v>0</v>
      </c>
      <c r="J423">
        <v>0</v>
      </c>
      <c r="K423">
        <v>1233356071</v>
      </c>
      <c r="L423">
        <v>453298004</v>
      </c>
      <c r="M423" t="s">
        <v>15</v>
      </c>
      <c r="N423">
        <v>1</v>
      </c>
      <c r="O423">
        <v>1</v>
      </c>
      <c r="P423" t="str">
        <f>VLOOKUP(B423,'CHECK_DT-BT_chi_tiet'!$A:$C,3,FALSE)</f>
        <v>BV Bà Rịa - Vũng Tàu</v>
      </c>
      <c r="Q423" t="str">
        <f>VLOOKUP(A423,Sheet3!$K$11:$L$21,2,FALSE)</f>
        <v>BH Xe cơ giới</v>
      </c>
      <c r="R423" t="str">
        <f>VLOOKUP(Q423,Sheet3!$L$11:$M$21,2,FALSE)</f>
        <v>HQ1</v>
      </c>
      <c r="S423" s="26">
        <f>SUMIFS('HQ2'!$O:$O,'HQ2'!$B:$B, "="&amp;'Tong_hop_HQNV_2026Q1_2026-06-23'!Q423, 'HQ2'!$A:$A,"="&amp;'Tong_hop_HQNV_2026Q1_2026-06-23'!P423)</f>
        <v>0</v>
      </c>
      <c r="T423" s="7">
        <f t="shared" si="6"/>
        <v>0</v>
      </c>
    </row>
    <row r="424" spans="1:20" x14ac:dyDescent="0.25">
      <c r="A424" t="s">
        <v>32</v>
      </c>
      <c r="B424" s="9" t="s">
        <v>311</v>
      </c>
      <c r="C424">
        <v>0</v>
      </c>
      <c r="D424">
        <v>0</v>
      </c>
      <c r="E424">
        <v>-1658751770</v>
      </c>
      <c r="F424">
        <v>4253829555</v>
      </c>
      <c r="G424">
        <v>5246010797</v>
      </c>
      <c r="H424">
        <v>1384353512</v>
      </c>
      <c r="I424">
        <v>0</v>
      </c>
      <c r="J424">
        <v>0</v>
      </c>
      <c r="K424">
        <v>4253829555</v>
      </c>
      <c r="L424">
        <v>1658751770</v>
      </c>
      <c r="M424" t="s">
        <v>15</v>
      </c>
      <c r="N424">
        <v>1</v>
      </c>
      <c r="O424">
        <v>1</v>
      </c>
      <c r="P424" t="str">
        <f>VLOOKUP(B424,'CHECK_DT-BT_chi_tiet'!$A:$C,3,FALSE)</f>
        <v>BV Hà Giang</v>
      </c>
      <c r="Q424" t="str">
        <f>VLOOKUP(A424,Sheet3!$K$11:$L$21,2,FALSE)</f>
        <v>BH Xe cơ giới</v>
      </c>
      <c r="R424" t="str">
        <f>VLOOKUP(Q424,Sheet3!$L$11:$M$21,2,FALSE)</f>
        <v>HQ1</v>
      </c>
      <c r="S424" s="26">
        <f>SUMIFS('HQ2'!$O:$O,'HQ2'!$B:$B, "="&amp;'Tong_hop_HQNV_2026Q1_2026-06-23'!Q424, 'HQ2'!$A:$A,"="&amp;'Tong_hop_HQNV_2026Q1_2026-06-23'!P424)</f>
        <v>0</v>
      </c>
      <c r="T424" s="7">
        <f t="shared" si="6"/>
        <v>0</v>
      </c>
    </row>
    <row r="425" spans="1:20" x14ac:dyDescent="0.25">
      <c r="A425" t="s">
        <v>32</v>
      </c>
      <c r="B425" s="9" t="s">
        <v>312</v>
      </c>
      <c r="C425">
        <v>0</v>
      </c>
      <c r="D425">
        <v>0</v>
      </c>
      <c r="E425">
        <v>-911631199</v>
      </c>
      <c r="F425">
        <v>2867675839</v>
      </c>
      <c r="G425">
        <v>3859483998.57091</v>
      </c>
      <c r="H425">
        <v>553585515.11954498</v>
      </c>
      <c r="I425">
        <v>0</v>
      </c>
      <c r="J425">
        <v>0</v>
      </c>
      <c r="K425">
        <v>2867675839</v>
      </c>
      <c r="L425">
        <v>911631199</v>
      </c>
      <c r="M425" t="s">
        <v>15</v>
      </c>
      <c r="N425">
        <v>1</v>
      </c>
      <c r="O425">
        <v>1</v>
      </c>
      <c r="P425" t="str">
        <f>VLOOKUP(B425,'CHECK_DT-BT_chi_tiet'!$A:$C,3,FALSE)</f>
        <v>BV Hà Nam</v>
      </c>
      <c r="Q425" t="str">
        <f>VLOOKUP(A425,Sheet3!$K$11:$L$21,2,FALSE)</f>
        <v>BH Xe cơ giới</v>
      </c>
      <c r="R425" t="str">
        <f>VLOOKUP(Q425,Sheet3!$L$11:$M$21,2,FALSE)</f>
        <v>HQ1</v>
      </c>
      <c r="S425" s="26">
        <f>SUMIFS('HQ2'!$O:$O,'HQ2'!$B:$B, "="&amp;'Tong_hop_HQNV_2026Q1_2026-06-23'!Q425, 'HQ2'!$A:$A,"="&amp;'Tong_hop_HQNV_2026Q1_2026-06-23'!P425)</f>
        <v>0</v>
      </c>
      <c r="T425" s="7">
        <f t="shared" si="6"/>
        <v>0</v>
      </c>
    </row>
    <row r="426" spans="1:20" x14ac:dyDescent="0.25">
      <c r="A426" t="s">
        <v>32</v>
      </c>
      <c r="B426" s="9" t="s">
        <v>340</v>
      </c>
      <c r="C426">
        <v>0</v>
      </c>
      <c r="D426">
        <v>0</v>
      </c>
      <c r="E426">
        <v>-1351414338</v>
      </c>
      <c r="F426">
        <v>2340572194</v>
      </c>
      <c r="G426">
        <v>1719108363</v>
      </c>
      <c r="H426">
        <v>123717519</v>
      </c>
      <c r="I426">
        <v>0</v>
      </c>
      <c r="J426">
        <v>0</v>
      </c>
      <c r="K426">
        <v>2340572194</v>
      </c>
      <c r="L426">
        <v>1351414338</v>
      </c>
      <c r="M426" t="s">
        <v>15</v>
      </c>
      <c r="N426">
        <v>1</v>
      </c>
      <c r="O426">
        <v>1</v>
      </c>
      <c r="P426" t="str">
        <f>VLOOKUP(B426,'CHECK_DT-BT_chi_tiet'!$A:$C,3,FALSE)</f>
        <v>BV Quảng Bình</v>
      </c>
      <c r="Q426" t="str">
        <f>VLOOKUP(A426,Sheet3!$K$11:$L$21,2,FALSE)</f>
        <v>BH Xe cơ giới</v>
      </c>
      <c r="R426" t="str">
        <f>VLOOKUP(Q426,Sheet3!$L$11:$M$21,2,FALSE)</f>
        <v>HQ1</v>
      </c>
      <c r="S426" s="26">
        <f>SUMIFS('HQ2'!$O:$O,'HQ2'!$B:$B, "="&amp;'Tong_hop_HQNV_2026Q1_2026-06-23'!Q426, 'HQ2'!$A:$A,"="&amp;'Tong_hop_HQNV_2026Q1_2026-06-23'!P426)</f>
        <v>0</v>
      </c>
      <c r="T426" s="7">
        <f t="shared" si="6"/>
        <v>0</v>
      </c>
    </row>
    <row r="427" spans="1:20" x14ac:dyDescent="0.25">
      <c r="A427" t="s">
        <v>32</v>
      </c>
      <c r="B427" s="9" t="s">
        <v>350</v>
      </c>
      <c r="C427">
        <v>0</v>
      </c>
      <c r="D427">
        <v>0</v>
      </c>
      <c r="E427">
        <v>-517856924</v>
      </c>
      <c r="F427">
        <v>1910827559</v>
      </c>
      <c r="G427">
        <v>867587117.05999994</v>
      </c>
      <c r="H427">
        <v>506643060.67000002</v>
      </c>
      <c r="I427">
        <v>0</v>
      </c>
      <c r="J427">
        <v>0</v>
      </c>
      <c r="K427">
        <v>1910827559</v>
      </c>
      <c r="L427">
        <v>517856924</v>
      </c>
      <c r="M427" t="s">
        <v>15</v>
      </c>
      <c r="N427">
        <v>1</v>
      </c>
      <c r="O427">
        <v>1</v>
      </c>
      <c r="P427" t="str">
        <f>VLOOKUP(B427,'CHECK_DT-BT_chi_tiet'!$A:$C,3,FALSE)</f>
        <v>BV Thái Bình</v>
      </c>
      <c r="Q427" t="str">
        <f>VLOOKUP(A427,Sheet3!$K$11:$L$21,2,FALSE)</f>
        <v>BH Xe cơ giới</v>
      </c>
      <c r="R427" t="str">
        <f>VLOOKUP(Q427,Sheet3!$L$11:$M$21,2,FALSE)</f>
        <v>HQ1</v>
      </c>
      <c r="S427" s="26">
        <f>SUMIFS('HQ2'!$O:$O,'HQ2'!$B:$B, "="&amp;'Tong_hop_HQNV_2026Q1_2026-06-23'!Q427, 'HQ2'!$A:$A,"="&amp;'Tong_hop_HQNV_2026Q1_2026-06-23'!P427)</f>
        <v>0</v>
      </c>
      <c r="T427" s="7">
        <f t="shared" si="6"/>
        <v>0</v>
      </c>
    </row>
    <row r="428" spans="1:20" x14ac:dyDescent="0.25">
      <c r="A428" t="s">
        <v>32</v>
      </c>
      <c r="B428" s="9" t="s">
        <v>361</v>
      </c>
      <c r="C428">
        <v>0</v>
      </c>
      <c r="D428">
        <v>0</v>
      </c>
      <c r="E428">
        <v>-569970628</v>
      </c>
      <c r="F428">
        <v>2337341258</v>
      </c>
      <c r="G428">
        <v>1286254204</v>
      </c>
      <c r="H428">
        <v>597104157</v>
      </c>
      <c r="I428">
        <v>0</v>
      </c>
      <c r="J428">
        <v>0</v>
      </c>
      <c r="K428">
        <v>2337341258</v>
      </c>
      <c r="L428">
        <v>569970628</v>
      </c>
      <c r="M428" t="s">
        <v>15</v>
      </c>
      <c r="N428">
        <v>1</v>
      </c>
      <c r="O428">
        <v>1</v>
      </c>
      <c r="P428" t="str">
        <f>VLOOKUP(B428,'CHECK_DT-BT_chi_tiet'!$A:$C,3,FALSE)</f>
        <v>BV Vĩnh Phúc</v>
      </c>
      <c r="Q428" t="str">
        <f>VLOOKUP(A428,Sheet3!$K$11:$L$21,2,FALSE)</f>
        <v>BH Xe cơ giới</v>
      </c>
      <c r="R428" t="str">
        <f>VLOOKUP(Q428,Sheet3!$L$11:$M$21,2,FALSE)</f>
        <v>HQ1</v>
      </c>
      <c r="S428" s="26">
        <f>SUMIFS('HQ2'!$O:$O,'HQ2'!$B:$B, "="&amp;'Tong_hop_HQNV_2026Q1_2026-06-23'!Q428, 'HQ2'!$A:$A,"="&amp;'Tong_hop_HQNV_2026Q1_2026-06-23'!P428)</f>
        <v>0</v>
      </c>
      <c r="T428" s="7">
        <f t="shared" si="6"/>
        <v>0</v>
      </c>
    </row>
    <row r="429" spans="1:20" x14ac:dyDescent="0.25">
      <c r="A429" t="s">
        <v>32</v>
      </c>
      <c r="B429" s="9" t="s">
        <v>362</v>
      </c>
      <c r="C429">
        <v>0</v>
      </c>
      <c r="D429">
        <v>0</v>
      </c>
      <c r="E429">
        <v>-204850883</v>
      </c>
      <c r="F429">
        <v>1819003363</v>
      </c>
      <c r="G429">
        <v>1380009939</v>
      </c>
      <c r="H429">
        <v>212094521</v>
      </c>
      <c r="I429">
        <v>0</v>
      </c>
      <c r="J429">
        <v>0</v>
      </c>
      <c r="K429">
        <v>1819003363</v>
      </c>
      <c r="L429">
        <v>204850883</v>
      </c>
      <c r="M429" t="s">
        <v>15</v>
      </c>
      <c r="N429">
        <v>1</v>
      </c>
      <c r="O429">
        <v>1</v>
      </c>
      <c r="P429" t="str">
        <f>VLOOKUP(B429,'CHECK_DT-BT_chi_tiet'!$A:$C,3,FALSE)</f>
        <v>BV Yên Bái</v>
      </c>
      <c r="Q429" t="str">
        <f>VLOOKUP(A429,Sheet3!$K$11:$L$21,2,FALSE)</f>
        <v>BH Xe cơ giới</v>
      </c>
      <c r="R429" t="str">
        <f>VLOOKUP(Q429,Sheet3!$L$11:$M$21,2,FALSE)</f>
        <v>HQ1</v>
      </c>
      <c r="S429" s="26">
        <f>SUMIFS('HQ2'!$O:$O,'HQ2'!$B:$B, "="&amp;'Tong_hop_HQNV_2026Q1_2026-06-23'!Q429, 'HQ2'!$A:$A,"="&amp;'Tong_hop_HQNV_2026Q1_2026-06-23'!P429)</f>
        <v>0</v>
      </c>
      <c r="T429" s="7">
        <f t="shared" si="6"/>
        <v>0</v>
      </c>
    </row>
    <row r="430" spans="1:20" x14ac:dyDescent="0.25">
      <c r="A430" t="s">
        <v>32</v>
      </c>
      <c r="B430" s="9" t="s">
        <v>324</v>
      </c>
      <c r="C430">
        <v>0</v>
      </c>
      <c r="D430">
        <v>0</v>
      </c>
      <c r="E430">
        <v>-338637206</v>
      </c>
      <c r="F430">
        <v>1238456571</v>
      </c>
      <c r="G430">
        <v>622102373</v>
      </c>
      <c r="H430">
        <v>155563101</v>
      </c>
      <c r="I430">
        <v>0</v>
      </c>
      <c r="J430">
        <v>0</v>
      </c>
      <c r="K430">
        <v>1238456571</v>
      </c>
      <c r="L430">
        <v>338637206</v>
      </c>
      <c r="M430" t="s">
        <v>15</v>
      </c>
      <c r="N430">
        <v>1</v>
      </c>
      <c r="O430">
        <v>1</v>
      </c>
      <c r="P430" t="str">
        <f>VLOOKUP(B430,'CHECK_DT-BT_chi_tiet'!$A:$C,3,FALSE)</f>
        <v>BV Lai Châu</v>
      </c>
      <c r="Q430" t="str">
        <f>VLOOKUP(A430,Sheet3!$K$11:$L$21,2,FALSE)</f>
        <v>BH Xe cơ giới</v>
      </c>
      <c r="R430" t="str">
        <f>VLOOKUP(Q430,Sheet3!$L$11:$M$21,2,FALSE)</f>
        <v>HQ1</v>
      </c>
      <c r="S430" s="26">
        <f>SUMIFS('HQ2'!$O:$O,'HQ2'!$B:$B, "="&amp;'Tong_hop_HQNV_2026Q1_2026-06-23'!Q430, 'HQ2'!$A:$A,"="&amp;'Tong_hop_HQNV_2026Q1_2026-06-23'!P430)</f>
        <v>0</v>
      </c>
      <c r="T430" s="7">
        <f t="shared" si="6"/>
        <v>0</v>
      </c>
    </row>
    <row r="431" spans="1:20" x14ac:dyDescent="0.25">
      <c r="A431" t="s">
        <v>32</v>
      </c>
      <c r="B431" s="9" t="s">
        <v>314</v>
      </c>
      <c r="C431">
        <v>0</v>
      </c>
      <c r="D431">
        <v>0</v>
      </c>
      <c r="E431">
        <v>-7562221263</v>
      </c>
      <c r="F431">
        <v>23082371675</v>
      </c>
      <c r="G431">
        <v>14071763941</v>
      </c>
      <c r="H431">
        <v>5289338983</v>
      </c>
      <c r="I431">
        <v>0</v>
      </c>
      <c r="J431">
        <v>0</v>
      </c>
      <c r="K431">
        <v>23082371675</v>
      </c>
      <c r="L431">
        <v>7562221263</v>
      </c>
      <c r="M431" t="s">
        <v>15</v>
      </c>
      <c r="N431">
        <v>1</v>
      </c>
      <c r="O431">
        <v>1</v>
      </c>
      <c r="P431" t="str">
        <f>VLOOKUP(B431,'CHECK_DT-BT_chi_tiet'!$A:$C,3,FALSE)</f>
        <v>BV Hà Thành</v>
      </c>
      <c r="Q431" t="str">
        <f>VLOOKUP(A431,Sheet3!$K$11:$L$21,2,FALSE)</f>
        <v>BH Xe cơ giới</v>
      </c>
      <c r="R431" t="str">
        <f>VLOOKUP(Q431,Sheet3!$L$11:$M$21,2,FALSE)</f>
        <v>HQ1</v>
      </c>
      <c r="S431" s="26">
        <f>SUMIFS('HQ2'!$O:$O,'HQ2'!$B:$B, "="&amp;'Tong_hop_HQNV_2026Q1_2026-06-23'!Q431, 'HQ2'!$A:$A,"="&amp;'Tong_hop_HQNV_2026Q1_2026-06-23'!P431)</f>
        <v>0</v>
      </c>
      <c r="T431" s="7">
        <f t="shared" si="6"/>
        <v>0</v>
      </c>
    </row>
    <row r="432" spans="1:20" x14ac:dyDescent="0.25">
      <c r="A432" t="s">
        <v>32</v>
      </c>
      <c r="B432" s="9" t="s">
        <v>348</v>
      </c>
      <c r="C432">
        <v>0</v>
      </c>
      <c r="D432">
        <v>0</v>
      </c>
      <c r="E432">
        <v>-1010940449</v>
      </c>
      <c r="F432">
        <v>2427433905</v>
      </c>
      <c r="G432">
        <v>1069885919</v>
      </c>
      <c r="H432">
        <v>523001356</v>
      </c>
      <c r="I432">
        <v>0</v>
      </c>
      <c r="J432">
        <v>0</v>
      </c>
      <c r="K432">
        <v>2427433905</v>
      </c>
      <c r="L432">
        <v>1010940449</v>
      </c>
      <c r="M432" t="s">
        <v>15</v>
      </c>
      <c r="N432">
        <v>1</v>
      </c>
      <c r="O432">
        <v>1</v>
      </c>
      <c r="P432" t="str">
        <f>VLOOKUP(B432,'CHECK_DT-BT_chi_tiet'!$A:$C,3,FALSE)</f>
        <v>BV Sơn Tây</v>
      </c>
      <c r="Q432" t="str">
        <f>VLOOKUP(A432,Sheet3!$K$11:$L$21,2,FALSE)</f>
        <v>BH Xe cơ giới</v>
      </c>
      <c r="R432" t="str">
        <f>VLOOKUP(Q432,Sheet3!$L$11:$M$21,2,FALSE)</f>
        <v>HQ1</v>
      </c>
      <c r="S432" s="26">
        <f>SUMIFS('HQ2'!$O:$O,'HQ2'!$B:$B, "="&amp;'Tong_hop_HQNV_2026Q1_2026-06-23'!Q432, 'HQ2'!$A:$A,"="&amp;'Tong_hop_HQNV_2026Q1_2026-06-23'!P432)</f>
        <v>0</v>
      </c>
      <c r="T432" s="7">
        <f t="shared" si="6"/>
        <v>0</v>
      </c>
    </row>
    <row r="433" spans="1:20" x14ac:dyDescent="0.25">
      <c r="A433" t="s">
        <v>33</v>
      </c>
      <c r="B433" s="9" t="s">
        <v>234</v>
      </c>
      <c r="C433">
        <v>0</v>
      </c>
      <c r="D433">
        <v>0</v>
      </c>
      <c r="E433">
        <v>-10567686754</v>
      </c>
      <c r="F433">
        <v>0</v>
      </c>
      <c r="G433">
        <v>25956594512</v>
      </c>
      <c r="H433">
        <v>20089768258</v>
      </c>
      <c r="I433">
        <v>0</v>
      </c>
      <c r="J433">
        <v>0</v>
      </c>
      <c r="K433">
        <v>0</v>
      </c>
      <c r="L433">
        <v>10567686754</v>
      </c>
      <c r="M433" t="s">
        <v>34</v>
      </c>
      <c r="N433">
        <v>1</v>
      </c>
      <c r="O433">
        <v>1</v>
      </c>
      <c r="P433" t="str">
        <f>VLOOKUP(B433,'CHECK_DT-BT_chi_tiet'!$A:$C,3,FALSE)</f>
        <v>TSC-Ban KDBH Phi hàng hải TSC</v>
      </c>
      <c r="Q433" t="str">
        <f>VLOOKUP(A433,Sheet3!$K$11:$L$21,2,FALSE)</f>
        <v>BH Y tế</v>
      </c>
      <c r="R433" t="str">
        <f>VLOOKUP(Q433,Sheet3!$L$11:$M$21,2,FALSE)</f>
        <v>HQ1</v>
      </c>
      <c r="S433" s="26">
        <f>SUMIFS('HQ2'!$O:$O,'HQ2'!$B:$B, "="&amp;'Tong_hop_HQNV_2026Q1_2026-06-23'!Q433, 'HQ2'!$A:$A,"="&amp;'Tong_hop_HQNV_2026Q1_2026-06-23'!P433)</f>
        <v>0</v>
      </c>
      <c r="T433" s="7">
        <f t="shared" si="6"/>
        <v>0</v>
      </c>
    </row>
    <row r="434" spans="1:20" x14ac:dyDescent="0.25">
      <c r="A434" t="s">
        <v>33</v>
      </c>
      <c r="B434" s="9" t="s">
        <v>228</v>
      </c>
      <c r="C434">
        <v>0</v>
      </c>
      <c r="D434">
        <v>0</v>
      </c>
      <c r="E434">
        <v>-95915134</v>
      </c>
      <c r="F434">
        <v>43291300</v>
      </c>
      <c r="G434">
        <v>0</v>
      </c>
      <c r="H434">
        <v>0</v>
      </c>
      <c r="I434">
        <v>0</v>
      </c>
      <c r="J434">
        <v>0</v>
      </c>
      <c r="K434">
        <v>43291300</v>
      </c>
      <c r="L434">
        <v>95915134</v>
      </c>
      <c r="M434" t="s">
        <v>34</v>
      </c>
      <c r="N434">
        <v>1</v>
      </c>
      <c r="O434">
        <v>1</v>
      </c>
      <c r="P434" t="str">
        <f>VLOOKUP(B434,'CHECK_DT-BT_chi_tiet'!$A:$C,3,FALSE)</f>
        <v>TSC-Ban KDBH Tàu thủy</v>
      </c>
      <c r="Q434" t="str">
        <f>VLOOKUP(A434,Sheet3!$K$11:$L$21,2,FALSE)</f>
        <v>BH Y tế</v>
      </c>
      <c r="R434" t="str">
        <f>VLOOKUP(Q434,Sheet3!$L$11:$M$21,2,FALSE)</f>
        <v>HQ1</v>
      </c>
      <c r="S434" s="26">
        <f>SUMIFS('HQ2'!$O:$O,'HQ2'!$B:$B, "="&amp;'Tong_hop_HQNV_2026Q1_2026-06-23'!Q434, 'HQ2'!$A:$A,"="&amp;'Tong_hop_HQNV_2026Q1_2026-06-23'!P434)</f>
        <v>0</v>
      </c>
      <c r="T434" s="7">
        <f t="shared" si="6"/>
        <v>0</v>
      </c>
    </row>
    <row r="435" spans="1:20" x14ac:dyDescent="0.25">
      <c r="A435" t="s">
        <v>33</v>
      </c>
      <c r="B435" s="9" t="s">
        <v>229</v>
      </c>
      <c r="C435">
        <v>0</v>
      </c>
      <c r="D435">
        <v>0</v>
      </c>
      <c r="E435">
        <v>-714710876</v>
      </c>
      <c r="F435">
        <v>1720303035</v>
      </c>
      <c r="G435">
        <v>347294615</v>
      </c>
      <c r="H435">
        <v>219500166</v>
      </c>
      <c r="I435">
        <v>0</v>
      </c>
      <c r="J435">
        <v>0</v>
      </c>
      <c r="K435">
        <v>1720303035</v>
      </c>
      <c r="L435">
        <v>714710876</v>
      </c>
      <c r="M435" t="s">
        <v>34</v>
      </c>
      <c r="N435">
        <v>1</v>
      </c>
      <c r="O435">
        <v>1</v>
      </c>
      <c r="P435" t="str">
        <f>VLOOKUP(B435,'CHECK_DT-BT_chi_tiet'!$A:$C,3,FALSE)</f>
        <v>TSC-Ban Bảo hiểm trực tuyến</v>
      </c>
      <c r="Q435" t="str">
        <f>VLOOKUP(A435,Sheet3!$K$11:$L$21,2,FALSE)</f>
        <v>BH Y tế</v>
      </c>
      <c r="R435" t="str">
        <f>VLOOKUP(Q435,Sheet3!$L$11:$M$21,2,FALSE)</f>
        <v>HQ1</v>
      </c>
      <c r="S435" s="26">
        <f>SUMIFS('HQ2'!$O:$O,'HQ2'!$B:$B, "="&amp;'Tong_hop_HQNV_2026Q1_2026-06-23'!Q435, 'HQ2'!$A:$A,"="&amp;'Tong_hop_HQNV_2026Q1_2026-06-23'!P435)</f>
        <v>0</v>
      </c>
      <c r="T435" s="7">
        <f t="shared" si="6"/>
        <v>0</v>
      </c>
    </row>
    <row r="436" spans="1:20" x14ac:dyDescent="0.25">
      <c r="A436" t="s">
        <v>33</v>
      </c>
      <c r="B436" s="9" t="s">
        <v>235</v>
      </c>
      <c r="C436">
        <v>0</v>
      </c>
      <c r="D436">
        <v>0</v>
      </c>
      <c r="E436">
        <v>-91857589</v>
      </c>
      <c r="F436">
        <v>0</v>
      </c>
      <c r="G436">
        <v>0</v>
      </c>
      <c r="H436">
        <v>0</v>
      </c>
      <c r="I436">
        <v>0</v>
      </c>
      <c r="J436">
        <v>0</v>
      </c>
      <c r="K436">
        <v>0</v>
      </c>
      <c r="L436">
        <v>91857589</v>
      </c>
      <c r="M436" t="s">
        <v>34</v>
      </c>
      <c r="N436">
        <v>1</v>
      </c>
      <c r="O436">
        <v>1</v>
      </c>
      <c r="P436" t="e">
        <f>VLOOKUP(B436,'CHECK_DT-BT_chi_tiet'!$A:$C,3,FALSE)</f>
        <v>#N/A</v>
      </c>
      <c r="Q436" t="str">
        <f>VLOOKUP(A436,Sheet3!$K$11:$L$21,2,FALSE)</f>
        <v>BH Y tế</v>
      </c>
      <c r="R436" t="str">
        <f>VLOOKUP(Q436,Sheet3!$L$11:$M$21,2,FALSE)</f>
        <v>HQ1</v>
      </c>
      <c r="S436" s="26">
        <f>SUMIFS('HQ2'!$O:$O,'HQ2'!$B:$B, "="&amp;'Tong_hop_HQNV_2026Q1_2026-06-23'!Q436, 'HQ2'!$A:$A,"="&amp;'Tong_hop_HQNV_2026Q1_2026-06-23'!P436)</f>
        <v>0</v>
      </c>
      <c r="T436" s="7">
        <f t="shared" si="6"/>
        <v>0</v>
      </c>
    </row>
    <row r="437" spans="1:20" x14ac:dyDescent="0.25">
      <c r="A437" t="s">
        <v>33</v>
      </c>
      <c r="B437" s="9" t="s">
        <v>237</v>
      </c>
      <c r="C437">
        <v>0</v>
      </c>
      <c r="D437">
        <v>0</v>
      </c>
      <c r="E437">
        <v>-77993272</v>
      </c>
      <c r="F437">
        <v>0</v>
      </c>
      <c r="G437">
        <v>0</v>
      </c>
      <c r="H437">
        <v>0</v>
      </c>
      <c r="I437">
        <v>0</v>
      </c>
      <c r="J437">
        <v>0</v>
      </c>
      <c r="K437">
        <v>0</v>
      </c>
      <c r="L437">
        <v>77993272</v>
      </c>
      <c r="M437" t="s">
        <v>34</v>
      </c>
      <c r="N437">
        <v>1</v>
      </c>
      <c r="O437">
        <v>1</v>
      </c>
      <c r="P437" t="e">
        <f>VLOOKUP(B437,'CHECK_DT-BT_chi_tiet'!$A:$C,3,FALSE)</f>
        <v>#N/A</v>
      </c>
      <c r="Q437" t="str">
        <f>VLOOKUP(A437,Sheet3!$K$11:$L$21,2,FALSE)</f>
        <v>BH Y tế</v>
      </c>
      <c r="R437" t="str">
        <f>VLOOKUP(Q437,Sheet3!$L$11:$M$21,2,FALSE)</f>
        <v>HQ1</v>
      </c>
      <c r="S437" s="26">
        <f>SUMIFS('HQ2'!$O:$O,'HQ2'!$B:$B, "="&amp;'Tong_hop_HQNV_2026Q1_2026-06-23'!Q437, 'HQ2'!$A:$A,"="&amp;'Tong_hop_HQNV_2026Q1_2026-06-23'!P437)</f>
        <v>0</v>
      </c>
      <c r="T437" s="7">
        <f t="shared" si="6"/>
        <v>0</v>
      </c>
    </row>
    <row r="438" spans="1:20" x14ac:dyDescent="0.25">
      <c r="A438" t="s">
        <v>33</v>
      </c>
      <c r="B438" s="9" t="s">
        <v>238</v>
      </c>
      <c r="C438">
        <v>0</v>
      </c>
      <c r="D438">
        <v>0</v>
      </c>
      <c r="E438">
        <v>-5225250</v>
      </c>
      <c r="F438">
        <v>0</v>
      </c>
      <c r="G438">
        <v>0</v>
      </c>
      <c r="H438">
        <v>0</v>
      </c>
      <c r="I438">
        <v>0</v>
      </c>
      <c r="J438">
        <v>0</v>
      </c>
      <c r="K438">
        <v>0</v>
      </c>
      <c r="L438">
        <v>5225250</v>
      </c>
      <c r="M438" t="s">
        <v>34</v>
      </c>
      <c r="N438">
        <v>1</v>
      </c>
      <c r="O438">
        <v>1</v>
      </c>
      <c r="P438" t="e">
        <f>VLOOKUP(B438,'CHECK_DT-BT_chi_tiet'!$A:$C,3,FALSE)</f>
        <v>#N/A</v>
      </c>
      <c r="Q438" t="str">
        <f>VLOOKUP(A438,Sheet3!$K$11:$L$21,2,FALSE)</f>
        <v>BH Y tế</v>
      </c>
      <c r="R438" t="str">
        <f>VLOOKUP(Q438,Sheet3!$L$11:$M$21,2,FALSE)</f>
        <v>HQ1</v>
      </c>
      <c r="S438" s="26">
        <f>SUMIFS('HQ2'!$O:$O,'HQ2'!$B:$B, "="&amp;'Tong_hop_HQNV_2026Q1_2026-06-23'!Q438, 'HQ2'!$A:$A,"="&amp;'Tong_hop_HQNV_2026Q1_2026-06-23'!P438)</f>
        <v>0</v>
      </c>
      <c r="T438" s="7">
        <f t="shared" si="6"/>
        <v>0</v>
      </c>
    </row>
    <row r="439" spans="1:20" x14ac:dyDescent="0.25">
      <c r="A439" t="s">
        <v>33</v>
      </c>
      <c r="B439" s="9" t="s">
        <v>305</v>
      </c>
      <c r="C439">
        <v>0</v>
      </c>
      <c r="D439">
        <v>0</v>
      </c>
      <c r="E439">
        <v>-267590142</v>
      </c>
      <c r="F439">
        <v>889225970</v>
      </c>
      <c r="G439">
        <v>148063854</v>
      </c>
      <c r="H439">
        <v>118425844</v>
      </c>
      <c r="I439">
        <v>0</v>
      </c>
      <c r="J439">
        <v>0</v>
      </c>
      <c r="K439">
        <v>889225970</v>
      </c>
      <c r="L439">
        <v>267590142</v>
      </c>
      <c r="M439" t="s">
        <v>34</v>
      </c>
      <c r="N439">
        <v>1</v>
      </c>
      <c r="O439">
        <v>1</v>
      </c>
      <c r="P439" t="str">
        <f>VLOOKUP(B439,'CHECK_DT-BT_chi_tiet'!$A:$C,3,FALSE)</f>
        <v>BV Đông Bắc</v>
      </c>
      <c r="Q439" t="str">
        <f>VLOOKUP(A439,Sheet3!$K$11:$L$21,2,FALSE)</f>
        <v>BH Y tế</v>
      </c>
      <c r="R439" t="str">
        <f>VLOOKUP(Q439,Sheet3!$L$11:$M$21,2,FALSE)</f>
        <v>HQ1</v>
      </c>
      <c r="S439" s="26">
        <f>SUMIFS('HQ2'!$O:$O,'HQ2'!$B:$B, "="&amp;'Tong_hop_HQNV_2026Q1_2026-06-23'!Q439, 'HQ2'!$A:$A,"="&amp;'Tong_hop_HQNV_2026Q1_2026-06-23'!P439)</f>
        <v>0</v>
      </c>
      <c r="T439" s="7">
        <f t="shared" si="6"/>
        <v>0</v>
      </c>
    </row>
    <row r="440" spans="1:20" x14ac:dyDescent="0.25">
      <c r="A440" t="s">
        <v>33</v>
      </c>
      <c r="B440" s="9" t="s">
        <v>284</v>
      </c>
      <c r="C440">
        <v>0</v>
      </c>
      <c r="D440">
        <v>0</v>
      </c>
      <c r="E440">
        <v>-103422211</v>
      </c>
      <c r="F440">
        <v>2045474650</v>
      </c>
      <c r="G440">
        <v>31768642</v>
      </c>
      <c r="H440">
        <v>31768642</v>
      </c>
      <c r="I440">
        <v>0</v>
      </c>
      <c r="J440">
        <v>0</v>
      </c>
      <c r="K440">
        <v>2045474650</v>
      </c>
      <c r="L440">
        <v>103422211</v>
      </c>
      <c r="M440" t="s">
        <v>34</v>
      </c>
      <c r="N440">
        <v>1</v>
      </c>
      <c r="O440">
        <v>1</v>
      </c>
      <c r="P440" t="str">
        <f>VLOOKUP(B440,'CHECK_DT-BT_chi_tiet'!$A:$C,3,FALSE)</f>
        <v>BV An Giang</v>
      </c>
      <c r="Q440" t="str">
        <f>VLOOKUP(A440,Sheet3!$K$11:$L$21,2,FALSE)</f>
        <v>BH Y tế</v>
      </c>
      <c r="R440" t="str">
        <f>VLOOKUP(Q440,Sheet3!$L$11:$M$21,2,FALSE)</f>
        <v>HQ1</v>
      </c>
      <c r="S440" s="26">
        <f>SUMIFS('HQ2'!$O:$O,'HQ2'!$B:$B, "="&amp;'Tong_hop_HQNV_2026Q1_2026-06-23'!Q440, 'HQ2'!$A:$A,"="&amp;'Tong_hop_HQNV_2026Q1_2026-06-23'!P440)</f>
        <v>0</v>
      </c>
      <c r="T440" s="7">
        <f t="shared" si="6"/>
        <v>0</v>
      </c>
    </row>
    <row r="441" spans="1:20" x14ac:dyDescent="0.25">
      <c r="A441" t="s">
        <v>33</v>
      </c>
      <c r="B441" s="9" t="s">
        <v>292</v>
      </c>
      <c r="C441">
        <v>0</v>
      </c>
      <c r="D441">
        <v>0</v>
      </c>
      <c r="E441">
        <v>-61720149</v>
      </c>
      <c r="F441">
        <v>647120725</v>
      </c>
      <c r="G441">
        <v>46846183</v>
      </c>
      <c r="H441">
        <v>44618983</v>
      </c>
      <c r="I441">
        <v>0</v>
      </c>
      <c r="J441">
        <v>0</v>
      </c>
      <c r="K441">
        <v>647120725</v>
      </c>
      <c r="L441">
        <v>61720149</v>
      </c>
      <c r="M441" t="s">
        <v>34</v>
      </c>
      <c r="N441">
        <v>1</v>
      </c>
      <c r="O441">
        <v>1</v>
      </c>
      <c r="P441" t="str">
        <f>VLOOKUP(B441,'CHECK_DT-BT_chi_tiet'!$A:$C,3,FALSE)</f>
        <v>BV Bến Tre</v>
      </c>
      <c r="Q441" t="str">
        <f>VLOOKUP(A441,Sheet3!$K$11:$L$21,2,FALSE)</f>
        <v>BH Y tế</v>
      </c>
      <c r="R441" t="str">
        <f>VLOOKUP(Q441,Sheet3!$L$11:$M$21,2,FALSE)</f>
        <v>HQ1</v>
      </c>
      <c r="S441" s="26">
        <f>SUMIFS('HQ2'!$O:$O,'HQ2'!$B:$B, "="&amp;'Tong_hop_HQNV_2026Q1_2026-06-23'!Q441, 'HQ2'!$A:$A,"="&amp;'Tong_hop_HQNV_2026Q1_2026-06-23'!P441)</f>
        <v>0</v>
      </c>
      <c r="T441" s="7">
        <f t="shared" si="6"/>
        <v>0</v>
      </c>
    </row>
    <row r="442" spans="1:20" x14ac:dyDescent="0.25">
      <c r="A442" t="s">
        <v>33</v>
      </c>
      <c r="B442" s="9" t="s">
        <v>296</v>
      </c>
      <c r="C442">
        <v>0</v>
      </c>
      <c r="D442">
        <v>0</v>
      </c>
      <c r="E442">
        <v>-551915489</v>
      </c>
      <c r="F442">
        <v>1754650990</v>
      </c>
      <c r="G442">
        <v>18964132</v>
      </c>
      <c r="H442">
        <v>18964132</v>
      </c>
      <c r="I442">
        <v>0</v>
      </c>
      <c r="J442">
        <v>0</v>
      </c>
      <c r="K442">
        <v>1754650990</v>
      </c>
      <c r="L442">
        <v>551915489</v>
      </c>
      <c r="M442" t="s">
        <v>34</v>
      </c>
      <c r="N442">
        <v>1</v>
      </c>
      <c r="O442">
        <v>1</v>
      </c>
      <c r="P442" t="str">
        <f>VLOOKUP(B442,'CHECK_DT-BT_chi_tiet'!$A:$C,3,FALSE)</f>
        <v>BV Bình Thuận</v>
      </c>
      <c r="Q442" t="str">
        <f>VLOOKUP(A442,Sheet3!$K$11:$L$21,2,FALSE)</f>
        <v>BH Y tế</v>
      </c>
      <c r="R442" t="str">
        <f>VLOOKUP(Q442,Sheet3!$L$11:$M$21,2,FALSE)</f>
        <v>HQ1</v>
      </c>
      <c r="S442" s="26">
        <f>SUMIFS('HQ2'!$O:$O,'HQ2'!$B:$B, "="&amp;'Tong_hop_HQNV_2026Q1_2026-06-23'!Q442, 'HQ2'!$A:$A,"="&amp;'Tong_hop_HQNV_2026Q1_2026-06-23'!P442)</f>
        <v>0</v>
      </c>
      <c r="T442" s="7">
        <f t="shared" si="6"/>
        <v>0</v>
      </c>
    </row>
    <row r="443" spans="1:20" x14ac:dyDescent="0.25">
      <c r="A443" t="s">
        <v>33</v>
      </c>
      <c r="B443" s="9" t="s">
        <v>299</v>
      </c>
      <c r="C443">
        <v>0</v>
      </c>
      <c r="D443">
        <v>0</v>
      </c>
      <c r="E443">
        <v>-12839123</v>
      </c>
      <c r="F443">
        <v>84603400</v>
      </c>
      <c r="G443">
        <v>805000</v>
      </c>
      <c r="H443">
        <v>805000</v>
      </c>
      <c r="I443">
        <v>0</v>
      </c>
      <c r="J443">
        <v>0</v>
      </c>
      <c r="K443">
        <v>84603400</v>
      </c>
      <c r="L443">
        <v>12839123</v>
      </c>
      <c r="M443" t="s">
        <v>34</v>
      </c>
      <c r="N443">
        <v>1</v>
      </c>
      <c r="O443">
        <v>1</v>
      </c>
      <c r="P443" t="str">
        <f>VLOOKUP(B443,'CHECK_DT-BT_chi_tiet'!$A:$C,3,FALSE)</f>
        <v>BV Cao Bằng</v>
      </c>
      <c r="Q443" t="str">
        <f>VLOOKUP(A443,Sheet3!$K$11:$L$21,2,FALSE)</f>
        <v>BH Y tế</v>
      </c>
      <c r="R443" t="str">
        <f>VLOOKUP(Q443,Sheet3!$L$11:$M$21,2,FALSE)</f>
        <v>HQ1</v>
      </c>
      <c r="S443" s="26">
        <f>SUMIFS('HQ2'!$O:$O,'HQ2'!$B:$B, "="&amp;'Tong_hop_HQNV_2026Q1_2026-06-23'!Q443, 'HQ2'!$A:$A,"="&amp;'Tong_hop_HQNV_2026Q1_2026-06-23'!P443)</f>
        <v>0</v>
      </c>
      <c r="T443" s="7">
        <f t="shared" si="6"/>
        <v>0</v>
      </c>
    </row>
    <row r="444" spans="1:20" x14ac:dyDescent="0.25">
      <c r="A444" t="s">
        <v>33</v>
      </c>
      <c r="B444" s="9" t="s">
        <v>301</v>
      </c>
      <c r="C444">
        <v>0</v>
      </c>
      <c r="D444">
        <v>0</v>
      </c>
      <c r="E444">
        <v>-206840735</v>
      </c>
      <c r="F444">
        <v>705674525</v>
      </c>
      <c r="G444">
        <v>17439197</v>
      </c>
      <c r="H444">
        <v>17439197</v>
      </c>
      <c r="I444">
        <v>0</v>
      </c>
      <c r="J444">
        <v>0</v>
      </c>
      <c r="K444">
        <v>705674525</v>
      </c>
      <c r="L444">
        <v>206840735</v>
      </c>
      <c r="M444" t="s">
        <v>34</v>
      </c>
      <c r="N444">
        <v>1</v>
      </c>
      <c r="O444">
        <v>1</v>
      </c>
      <c r="P444" t="str">
        <f>VLOOKUP(B444,'CHECK_DT-BT_chi_tiet'!$A:$C,3,FALSE)</f>
        <v>BV Dak Lak</v>
      </c>
      <c r="Q444" t="str">
        <f>VLOOKUP(A444,Sheet3!$K$11:$L$21,2,FALSE)</f>
        <v>BH Y tế</v>
      </c>
      <c r="R444" t="str">
        <f>VLOOKUP(Q444,Sheet3!$L$11:$M$21,2,FALSE)</f>
        <v>HQ1</v>
      </c>
      <c r="S444" s="26">
        <f>SUMIFS('HQ2'!$O:$O,'HQ2'!$B:$B, "="&amp;'Tong_hop_HQNV_2026Q1_2026-06-23'!Q444, 'HQ2'!$A:$A,"="&amp;'Tong_hop_HQNV_2026Q1_2026-06-23'!P444)</f>
        <v>0</v>
      </c>
      <c r="T444" s="7">
        <f t="shared" si="6"/>
        <v>0</v>
      </c>
    </row>
    <row r="445" spans="1:20" x14ac:dyDescent="0.25">
      <c r="A445" t="s">
        <v>33</v>
      </c>
      <c r="B445" s="9" t="s">
        <v>320</v>
      </c>
      <c r="C445">
        <v>0</v>
      </c>
      <c r="D445">
        <v>0</v>
      </c>
      <c r="E445">
        <v>-208470305</v>
      </c>
      <c r="F445">
        <v>859919590</v>
      </c>
      <c r="G445">
        <v>89175296</v>
      </c>
      <c r="H445">
        <v>86436536</v>
      </c>
      <c r="I445">
        <v>0</v>
      </c>
      <c r="J445">
        <v>0</v>
      </c>
      <c r="K445">
        <v>859919590</v>
      </c>
      <c r="L445">
        <v>208470305</v>
      </c>
      <c r="M445" t="s">
        <v>34</v>
      </c>
      <c r="N445">
        <v>1</v>
      </c>
      <c r="O445">
        <v>1</v>
      </c>
      <c r="P445" t="str">
        <f>VLOOKUP(B445,'CHECK_DT-BT_chi_tiet'!$A:$C,3,FALSE)</f>
        <v>BV Hưng Yên</v>
      </c>
      <c r="Q445" t="str">
        <f>VLOOKUP(A445,Sheet3!$K$11:$L$21,2,FALSE)</f>
        <v>BH Y tế</v>
      </c>
      <c r="R445" t="str">
        <f>VLOOKUP(Q445,Sheet3!$L$11:$M$21,2,FALSE)</f>
        <v>HQ1</v>
      </c>
      <c r="S445" s="26">
        <f>SUMIFS('HQ2'!$O:$O,'HQ2'!$B:$B, "="&amp;'Tong_hop_HQNV_2026Q1_2026-06-23'!Q445, 'HQ2'!$A:$A,"="&amp;'Tong_hop_HQNV_2026Q1_2026-06-23'!P445)</f>
        <v>0</v>
      </c>
      <c r="T445" s="7">
        <f t="shared" si="6"/>
        <v>0</v>
      </c>
    </row>
    <row r="446" spans="1:20" x14ac:dyDescent="0.25">
      <c r="A446" t="s">
        <v>33</v>
      </c>
      <c r="B446" s="9" t="s">
        <v>319</v>
      </c>
      <c r="C446">
        <v>0</v>
      </c>
      <c r="D446">
        <v>0</v>
      </c>
      <c r="E446">
        <v>-64070392</v>
      </c>
      <c r="F446">
        <v>397167182</v>
      </c>
      <c r="G446">
        <v>128790412</v>
      </c>
      <c r="H446">
        <v>55644529</v>
      </c>
      <c r="I446">
        <v>0</v>
      </c>
      <c r="J446">
        <v>0</v>
      </c>
      <c r="K446">
        <v>397167182</v>
      </c>
      <c r="L446">
        <v>64070392</v>
      </c>
      <c r="M446" t="s">
        <v>34</v>
      </c>
      <c r="N446">
        <v>1</v>
      </c>
      <c r="O446">
        <v>1</v>
      </c>
      <c r="P446" t="str">
        <f>VLOOKUP(B446,'CHECK_DT-BT_chi_tiet'!$A:$C,3,FALSE)</f>
        <v>BV Hòa Bình</v>
      </c>
      <c r="Q446" t="str">
        <f>VLOOKUP(A446,Sheet3!$K$11:$L$21,2,FALSE)</f>
        <v>BH Y tế</v>
      </c>
      <c r="R446" t="str">
        <f>VLOOKUP(Q446,Sheet3!$L$11:$M$21,2,FALSE)</f>
        <v>HQ1</v>
      </c>
      <c r="S446" s="26">
        <f>SUMIFS('HQ2'!$O:$O,'HQ2'!$B:$B, "="&amp;'Tong_hop_HQNV_2026Q1_2026-06-23'!Q446, 'HQ2'!$A:$A,"="&amp;'Tong_hop_HQNV_2026Q1_2026-06-23'!P446)</f>
        <v>0</v>
      </c>
      <c r="T446" s="7">
        <f t="shared" si="6"/>
        <v>0</v>
      </c>
    </row>
    <row r="447" spans="1:20" x14ac:dyDescent="0.25">
      <c r="A447" t="s">
        <v>33</v>
      </c>
      <c r="B447" s="9" t="s">
        <v>322</v>
      </c>
      <c r="C447">
        <v>0</v>
      </c>
      <c r="D447">
        <v>0</v>
      </c>
      <c r="E447">
        <v>-134497178</v>
      </c>
      <c r="F447">
        <v>1310474615</v>
      </c>
      <c r="G447">
        <v>45755355</v>
      </c>
      <c r="H447">
        <v>5755355</v>
      </c>
      <c r="I447">
        <v>0</v>
      </c>
      <c r="J447">
        <v>0</v>
      </c>
      <c r="K447">
        <v>1310474615</v>
      </c>
      <c r="L447">
        <v>134497178</v>
      </c>
      <c r="M447" t="s">
        <v>34</v>
      </c>
      <c r="N447">
        <v>1</v>
      </c>
      <c r="O447">
        <v>1</v>
      </c>
      <c r="P447" t="str">
        <f>VLOOKUP(B447,'CHECK_DT-BT_chi_tiet'!$A:$C,3,FALSE)</f>
        <v>BV Kiên Giang</v>
      </c>
      <c r="Q447" t="str">
        <f>VLOOKUP(A447,Sheet3!$K$11:$L$21,2,FALSE)</f>
        <v>BH Y tế</v>
      </c>
      <c r="R447" t="str">
        <f>VLOOKUP(Q447,Sheet3!$L$11:$M$21,2,FALSE)</f>
        <v>HQ1</v>
      </c>
      <c r="S447" s="26">
        <f>SUMIFS('HQ2'!$O:$O,'HQ2'!$B:$B, "="&amp;'Tong_hop_HQNV_2026Q1_2026-06-23'!Q447, 'HQ2'!$A:$A,"="&amp;'Tong_hop_HQNV_2026Q1_2026-06-23'!P447)</f>
        <v>0</v>
      </c>
      <c r="T447" s="7">
        <f t="shared" si="6"/>
        <v>0</v>
      </c>
    </row>
    <row r="448" spans="1:20" x14ac:dyDescent="0.25">
      <c r="A448" t="s">
        <v>33</v>
      </c>
      <c r="B448" s="9" t="s">
        <v>323</v>
      </c>
      <c r="C448">
        <v>0</v>
      </c>
      <c r="D448">
        <v>0</v>
      </c>
      <c r="E448">
        <v>-165378534</v>
      </c>
      <c r="F448">
        <v>306098600</v>
      </c>
      <c r="G448">
        <v>24391490</v>
      </c>
      <c r="H448">
        <v>24391490</v>
      </c>
      <c r="I448">
        <v>0</v>
      </c>
      <c r="J448">
        <v>0</v>
      </c>
      <c r="K448">
        <v>306098600</v>
      </c>
      <c r="L448">
        <v>165378534</v>
      </c>
      <c r="M448" t="s">
        <v>34</v>
      </c>
      <c r="N448">
        <v>1</v>
      </c>
      <c r="O448">
        <v>1</v>
      </c>
      <c r="P448" t="str">
        <f>VLOOKUP(B448,'CHECK_DT-BT_chi_tiet'!$A:$C,3,FALSE)</f>
        <v>BV Kon Tum</v>
      </c>
      <c r="Q448" t="str">
        <f>VLOOKUP(A448,Sheet3!$K$11:$L$21,2,FALSE)</f>
        <v>BH Y tế</v>
      </c>
      <c r="R448" t="str">
        <f>VLOOKUP(Q448,Sheet3!$L$11:$M$21,2,FALSE)</f>
        <v>HQ1</v>
      </c>
      <c r="S448" s="26">
        <f>SUMIFS('HQ2'!$O:$O,'HQ2'!$B:$B, "="&amp;'Tong_hop_HQNV_2026Q1_2026-06-23'!Q448, 'HQ2'!$A:$A,"="&amp;'Tong_hop_HQNV_2026Q1_2026-06-23'!P448)</f>
        <v>0</v>
      </c>
      <c r="T448" s="7">
        <f t="shared" si="6"/>
        <v>0</v>
      </c>
    </row>
    <row r="449" spans="1:20" x14ac:dyDescent="0.25">
      <c r="A449" t="s">
        <v>33</v>
      </c>
      <c r="B449" s="9" t="s">
        <v>327</v>
      </c>
      <c r="C449">
        <v>0</v>
      </c>
      <c r="D449">
        <v>0</v>
      </c>
      <c r="E449">
        <v>-100388002</v>
      </c>
      <c r="F449">
        <v>211592600</v>
      </c>
      <c r="G449">
        <v>253790836</v>
      </c>
      <c r="H449">
        <v>250990836</v>
      </c>
      <c r="I449">
        <v>0</v>
      </c>
      <c r="J449">
        <v>0</v>
      </c>
      <c r="K449">
        <v>211592600</v>
      </c>
      <c r="L449">
        <v>100388002</v>
      </c>
      <c r="M449" t="s">
        <v>34</v>
      </c>
      <c r="N449">
        <v>1</v>
      </c>
      <c r="O449">
        <v>1</v>
      </c>
      <c r="P449" t="str">
        <f>VLOOKUP(B449,'CHECK_DT-BT_chi_tiet'!$A:$C,3,FALSE)</f>
        <v>BV Lào Cai</v>
      </c>
      <c r="Q449" t="str">
        <f>VLOOKUP(A449,Sheet3!$K$11:$L$21,2,FALSE)</f>
        <v>BH Y tế</v>
      </c>
      <c r="R449" t="str">
        <f>VLOOKUP(Q449,Sheet3!$L$11:$M$21,2,FALSE)</f>
        <v>HQ1</v>
      </c>
      <c r="S449" s="26">
        <f>SUMIFS('HQ2'!$O:$O,'HQ2'!$B:$B, "="&amp;'Tong_hop_HQNV_2026Q1_2026-06-23'!Q449, 'HQ2'!$A:$A,"="&amp;'Tong_hop_HQNV_2026Q1_2026-06-23'!P449)</f>
        <v>0</v>
      </c>
      <c r="T449" s="7">
        <f t="shared" si="6"/>
        <v>0</v>
      </c>
    </row>
    <row r="450" spans="1:20" x14ac:dyDescent="0.25">
      <c r="A450" t="s">
        <v>33</v>
      </c>
      <c r="B450" s="9" t="s">
        <v>326</v>
      </c>
      <c r="C450">
        <v>0</v>
      </c>
      <c r="D450">
        <v>0</v>
      </c>
      <c r="E450">
        <v>-124942222</v>
      </c>
      <c r="F450">
        <v>541982080</v>
      </c>
      <c r="G450">
        <v>144457796</v>
      </c>
      <c r="H450">
        <v>134908632</v>
      </c>
      <c r="I450">
        <v>0</v>
      </c>
      <c r="J450">
        <v>0</v>
      </c>
      <c r="K450">
        <v>541982080</v>
      </c>
      <c r="L450">
        <v>124942222</v>
      </c>
      <c r="M450" t="s">
        <v>34</v>
      </c>
      <c r="N450">
        <v>1</v>
      </c>
      <c r="O450">
        <v>1</v>
      </c>
      <c r="P450" t="str">
        <f>VLOOKUP(B450,'CHECK_DT-BT_chi_tiet'!$A:$C,3,FALSE)</f>
        <v>BV Lạng Sơn</v>
      </c>
      <c r="Q450" t="str">
        <f>VLOOKUP(A450,Sheet3!$K$11:$L$21,2,FALSE)</f>
        <v>BH Y tế</v>
      </c>
      <c r="R450" t="str">
        <f>VLOOKUP(Q450,Sheet3!$L$11:$M$21,2,FALSE)</f>
        <v>HQ1</v>
      </c>
      <c r="S450" s="26">
        <f>SUMIFS('HQ2'!$O:$O,'HQ2'!$B:$B, "="&amp;'Tong_hop_HQNV_2026Q1_2026-06-23'!Q450, 'HQ2'!$A:$A,"="&amp;'Tong_hop_HQNV_2026Q1_2026-06-23'!P450)</f>
        <v>0</v>
      </c>
      <c r="T450" s="7">
        <f t="shared" si="6"/>
        <v>0</v>
      </c>
    </row>
    <row r="451" spans="1:20" x14ac:dyDescent="0.25">
      <c r="A451" t="s">
        <v>33</v>
      </c>
      <c r="B451" s="9" t="s">
        <v>328</v>
      </c>
      <c r="C451">
        <v>0</v>
      </c>
      <c r="D451">
        <v>0</v>
      </c>
      <c r="E451">
        <v>-70243413</v>
      </c>
      <c r="F451">
        <v>1041862160</v>
      </c>
      <c r="G451">
        <v>23701140</v>
      </c>
      <c r="H451">
        <v>23701140</v>
      </c>
      <c r="I451">
        <v>0</v>
      </c>
      <c r="J451">
        <v>0</v>
      </c>
      <c r="K451">
        <v>1041862160</v>
      </c>
      <c r="L451">
        <v>70243413</v>
      </c>
      <c r="M451" t="s">
        <v>34</v>
      </c>
      <c r="N451">
        <v>1</v>
      </c>
      <c r="O451">
        <v>1</v>
      </c>
      <c r="P451" t="str">
        <f>VLOOKUP(B451,'CHECK_DT-BT_chi_tiet'!$A:$C,3,FALSE)</f>
        <v>BV Long An</v>
      </c>
      <c r="Q451" t="str">
        <f>VLOOKUP(A451,Sheet3!$K$11:$L$21,2,FALSE)</f>
        <v>BH Y tế</v>
      </c>
      <c r="R451" t="str">
        <f>VLOOKUP(Q451,Sheet3!$L$11:$M$21,2,FALSE)</f>
        <v>HQ1</v>
      </c>
      <c r="S451" s="26">
        <f>SUMIFS('HQ2'!$O:$O,'HQ2'!$B:$B, "="&amp;'Tong_hop_HQNV_2026Q1_2026-06-23'!Q451, 'HQ2'!$A:$A,"="&amp;'Tong_hop_HQNV_2026Q1_2026-06-23'!P451)</f>
        <v>0</v>
      </c>
      <c r="T451" s="7">
        <f t="shared" ref="T451:T514" si="7">IFERROR(IF(R451="HQ2",S451-G451,0),0)</f>
        <v>0</v>
      </c>
    </row>
    <row r="452" spans="1:20" x14ac:dyDescent="0.25">
      <c r="A452" t="s">
        <v>33</v>
      </c>
      <c r="B452" s="9" t="s">
        <v>332</v>
      </c>
      <c r="C452">
        <v>0</v>
      </c>
      <c r="D452">
        <v>0</v>
      </c>
      <c r="E452">
        <v>-164622619</v>
      </c>
      <c r="F452">
        <v>737063750</v>
      </c>
      <c r="G452">
        <v>58425912</v>
      </c>
      <c r="H452">
        <v>43413153</v>
      </c>
      <c r="I452">
        <v>0</v>
      </c>
      <c r="J452">
        <v>0</v>
      </c>
      <c r="K452">
        <v>737063750</v>
      </c>
      <c r="L452">
        <v>164622619</v>
      </c>
      <c r="M452" t="s">
        <v>34</v>
      </c>
      <c r="N452">
        <v>1</v>
      </c>
      <c r="O452">
        <v>1</v>
      </c>
      <c r="P452" t="str">
        <f>VLOOKUP(B452,'CHECK_DT-BT_chi_tiet'!$A:$C,3,FALSE)</f>
        <v>BV Nam Định</v>
      </c>
      <c r="Q452" t="str">
        <f>VLOOKUP(A452,Sheet3!$K$11:$L$21,2,FALSE)</f>
        <v>BH Y tế</v>
      </c>
      <c r="R452" t="str">
        <f>VLOOKUP(Q452,Sheet3!$L$11:$M$21,2,FALSE)</f>
        <v>HQ1</v>
      </c>
      <c r="S452" s="26">
        <f>SUMIFS('HQ2'!$O:$O,'HQ2'!$B:$B, "="&amp;'Tong_hop_HQNV_2026Q1_2026-06-23'!Q452, 'HQ2'!$A:$A,"="&amp;'Tong_hop_HQNV_2026Q1_2026-06-23'!P452)</f>
        <v>0</v>
      </c>
      <c r="T452" s="7">
        <f t="shared" si="7"/>
        <v>0</v>
      </c>
    </row>
    <row r="453" spans="1:20" x14ac:dyDescent="0.25">
      <c r="A453" t="s">
        <v>33</v>
      </c>
      <c r="B453" s="9" t="s">
        <v>333</v>
      </c>
      <c r="C453">
        <v>0</v>
      </c>
      <c r="D453">
        <v>0</v>
      </c>
      <c r="E453">
        <v>-95060422</v>
      </c>
      <c r="F453">
        <v>547852740</v>
      </c>
      <c r="G453">
        <v>58093414</v>
      </c>
      <c r="H453">
        <v>37555716</v>
      </c>
      <c r="I453">
        <v>0</v>
      </c>
      <c r="J453">
        <v>0</v>
      </c>
      <c r="K453">
        <v>547852740</v>
      </c>
      <c r="L453">
        <v>95060422</v>
      </c>
      <c r="M453" t="s">
        <v>34</v>
      </c>
      <c r="N453">
        <v>1</v>
      </c>
      <c r="O453">
        <v>1</v>
      </c>
      <c r="P453" t="str">
        <f>VLOOKUP(B453,'CHECK_DT-BT_chi_tiet'!$A:$C,3,FALSE)</f>
        <v>BV Nghệ An</v>
      </c>
      <c r="Q453" t="str">
        <f>VLOOKUP(A453,Sheet3!$K$11:$L$21,2,FALSE)</f>
        <v>BH Y tế</v>
      </c>
      <c r="R453" t="str">
        <f>VLOOKUP(Q453,Sheet3!$L$11:$M$21,2,FALSE)</f>
        <v>HQ1</v>
      </c>
      <c r="S453" s="26">
        <f>SUMIFS('HQ2'!$O:$O,'HQ2'!$B:$B, "="&amp;'Tong_hop_HQNV_2026Q1_2026-06-23'!Q453, 'HQ2'!$A:$A,"="&amp;'Tong_hop_HQNV_2026Q1_2026-06-23'!P453)</f>
        <v>0</v>
      </c>
      <c r="T453" s="7">
        <f t="shared" si="7"/>
        <v>0</v>
      </c>
    </row>
    <row r="454" spans="1:20" x14ac:dyDescent="0.25">
      <c r="A454" t="s">
        <v>33</v>
      </c>
      <c r="B454" s="9" t="s">
        <v>335</v>
      </c>
      <c r="C454">
        <v>0</v>
      </c>
      <c r="D454">
        <v>0</v>
      </c>
      <c r="E454">
        <v>-226196349</v>
      </c>
      <c r="F454">
        <v>294285675</v>
      </c>
      <c r="G454">
        <v>37483669</v>
      </c>
      <c r="H454">
        <v>29954242</v>
      </c>
      <c r="I454">
        <v>0</v>
      </c>
      <c r="J454">
        <v>0</v>
      </c>
      <c r="K454">
        <v>294285675</v>
      </c>
      <c r="L454">
        <v>226196349</v>
      </c>
      <c r="M454" t="s">
        <v>34</v>
      </c>
      <c r="N454">
        <v>1</v>
      </c>
      <c r="O454">
        <v>1</v>
      </c>
      <c r="P454" t="str">
        <f>VLOOKUP(B454,'CHECK_DT-BT_chi_tiet'!$A:$C,3,FALSE)</f>
        <v>BV Ninh Thuận</v>
      </c>
      <c r="Q454" t="str">
        <f>VLOOKUP(A454,Sheet3!$K$11:$L$21,2,FALSE)</f>
        <v>BH Y tế</v>
      </c>
      <c r="R454" t="str">
        <f>VLOOKUP(Q454,Sheet3!$L$11:$M$21,2,FALSE)</f>
        <v>HQ1</v>
      </c>
      <c r="S454" s="26">
        <f>SUMIFS('HQ2'!$O:$O,'HQ2'!$B:$B, "="&amp;'Tong_hop_HQNV_2026Q1_2026-06-23'!Q454, 'HQ2'!$A:$A,"="&amp;'Tong_hop_HQNV_2026Q1_2026-06-23'!P454)</f>
        <v>0</v>
      </c>
      <c r="T454" s="7">
        <f t="shared" si="7"/>
        <v>0</v>
      </c>
    </row>
    <row r="455" spans="1:20" x14ac:dyDescent="0.25">
      <c r="A455" t="s">
        <v>33</v>
      </c>
      <c r="B455" s="9" t="s">
        <v>340</v>
      </c>
      <c r="C455">
        <v>0</v>
      </c>
      <c r="D455">
        <v>0</v>
      </c>
      <c r="E455">
        <v>-88216008</v>
      </c>
      <c r="F455">
        <v>123121950</v>
      </c>
      <c r="G455">
        <v>10204768</v>
      </c>
      <c r="H455">
        <v>10204768</v>
      </c>
      <c r="I455">
        <v>0</v>
      </c>
      <c r="J455">
        <v>0</v>
      </c>
      <c r="K455">
        <v>123121950</v>
      </c>
      <c r="L455">
        <v>88216008</v>
      </c>
      <c r="M455" t="s">
        <v>34</v>
      </c>
      <c r="N455">
        <v>1</v>
      </c>
      <c r="O455">
        <v>1</v>
      </c>
      <c r="P455" t="str">
        <f>VLOOKUP(B455,'CHECK_DT-BT_chi_tiet'!$A:$C,3,FALSE)</f>
        <v>BV Quảng Bình</v>
      </c>
      <c r="Q455" t="str">
        <f>VLOOKUP(A455,Sheet3!$K$11:$L$21,2,FALSE)</f>
        <v>BH Y tế</v>
      </c>
      <c r="R455" t="str">
        <f>VLOOKUP(Q455,Sheet3!$L$11:$M$21,2,FALSE)</f>
        <v>HQ1</v>
      </c>
      <c r="S455" s="26">
        <f>SUMIFS('HQ2'!$O:$O,'HQ2'!$B:$B, "="&amp;'Tong_hop_HQNV_2026Q1_2026-06-23'!Q455, 'HQ2'!$A:$A,"="&amp;'Tong_hop_HQNV_2026Q1_2026-06-23'!P455)</f>
        <v>0</v>
      </c>
      <c r="T455" s="7">
        <f t="shared" si="7"/>
        <v>0</v>
      </c>
    </row>
    <row r="456" spans="1:20" x14ac:dyDescent="0.25">
      <c r="A456" t="s">
        <v>33</v>
      </c>
      <c r="B456" s="9" t="s">
        <v>341</v>
      </c>
      <c r="C456">
        <v>0</v>
      </c>
      <c r="D456">
        <v>0</v>
      </c>
      <c r="E456">
        <v>-167509477</v>
      </c>
      <c r="F456">
        <v>1174291475</v>
      </c>
      <c r="G456">
        <v>63718809</v>
      </c>
      <c r="H456">
        <v>63718809</v>
      </c>
      <c r="I456">
        <v>0</v>
      </c>
      <c r="J456">
        <v>0</v>
      </c>
      <c r="K456">
        <v>1174291475</v>
      </c>
      <c r="L456">
        <v>167509477</v>
      </c>
      <c r="M456" t="s">
        <v>34</v>
      </c>
      <c r="N456">
        <v>1</v>
      </c>
      <c r="O456">
        <v>1</v>
      </c>
      <c r="P456" t="str">
        <f>VLOOKUP(B456,'CHECK_DT-BT_chi_tiet'!$A:$C,3,FALSE)</f>
        <v>BV Quảng Nam</v>
      </c>
      <c r="Q456" t="str">
        <f>VLOOKUP(A456,Sheet3!$K$11:$L$21,2,FALSE)</f>
        <v>BH Y tế</v>
      </c>
      <c r="R456" t="str">
        <f>VLOOKUP(Q456,Sheet3!$L$11:$M$21,2,FALSE)</f>
        <v>HQ1</v>
      </c>
      <c r="S456" s="26">
        <f>SUMIFS('HQ2'!$O:$O,'HQ2'!$B:$B, "="&amp;'Tong_hop_HQNV_2026Q1_2026-06-23'!Q456, 'HQ2'!$A:$A,"="&amp;'Tong_hop_HQNV_2026Q1_2026-06-23'!P456)</f>
        <v>0</v>
      </c>
      <c r="T456" s="7">
        <f t="shared" si="7"/>
        <v>0</v>
      </c>
    </row>
    <row r="457" spans="1:20" x14ac:dyDescent="0.25">
      <c r="A457" t="s">
        <v>33</v>
      </c>
      <c r="B457" s="9" t="s">
        <v>343</v>
      </c>
      <c r="C457">
        <v>0</v>
      </c>
      <c r="D457">
        <v>0</v>
      </c>
      <c r="E457">
        <v>-1849145070</v>
      </c>
      <c r="F457">
        <v>5494585065</v>
      </c>
      <c r="G457">
        <v>633003342</v>
      </c>
      <c r="H457">
        <v>530368436</v>
      </c>
      <c r="I457">
        <v>0</v>
      </c>
      <c r="J457">
        <v>0</v>
      </c>
      <c r="K457">
        <v>5494585065</v>
      </c>
      <c r="L457">
        <v>1849145070</v>
      </c>
      <c r="M457" t="s">
        <v>34</v>
      </c>
      <c r="N457">
        <v>1</v>
      </c>
      <c r="O457">
        <v>1</v>
      </c>
      <c r="P457" t="str">
        <f>VLOOKUP(B457,'CHECK_DT-BT_chi_tiet'!$A:$C,3,FALSE)</f>
        <v>BV Quảng Ninh</v>
      </c>
      <c r="Q457" t="str">
        <f>VLOOKUP(A457,Sheet3!$K$11:$L$21,2,FALSE)</f>
        <v>BH Y tế</v>
      </c>
      <c r="R457" t="str">
        <f>VLOOKUP(Q457,Sheet3!$L$11:$M$21,2,FALSE)</f>
        <v>HQ1</v>
      </c>
      <c r="S457" s="26">
        <f>SUMIFS('HQ2'!$O:$O,'HQ2'!$B:$B, "="&amp;'Tong_hop_HQNV_2026Q1_2026-06-23'!Q457, 'HQ2'!$A:$A,"="&amp;'Tong_hop_HQNV_2026Q1_2026-06-23'!P457)</f>
        <v>0</v>
      </c>
      <c r="T457" s="7">
        <f t="shared" si="7"/>
        <v>0</v>
      </c>
    </row>
    <row r="458" spans="1:20" x14ac:dyDescent="0.25">
      <c r="A458" t="s">
        <v>33</v>
      </c>
      <c r="B458" s="9" t="s">
        <v>344</v>
      </c>
      <c r="C458">
        <v>0</v>
      </c>
      <c r="D458">
        <v>0</v>
      </c>
      <c r="E458">
        <v>-376313274</v>
      </c>
      <c r="F458">
        <v>1459732384</v>
      </c>
      <c r="G458">
        <v>913451395</v>
      </c>
      <c r="H458">
        <v>92346876</v>
      </c>
      <c r="I458">
        <v>0</v>
      </c>
      <c r="J458">
        <v>0</v>
      </c>
      <c r="K458">
        <v>1459732384</v>
      </c>
      <c r="L458">
        <v>376313274</v>
      </c>
      <c r="M458" t="s">
        <v>34</v>
      </c>
      <c r="N458">
        <v>1</v>
      </c>
      <c r="O458">
        <v>1</v>
      </c>
      <c r="P458" t="str">
        <f>VLOOKUP(B458,'CHECK_DT-BT_chi_tiet'!$A:$C,3,FALSE)</f>
        <v>BV Quảng Trị</v>
      </c>
      <c r="Q458" t="str">
        <f>VLOOKUP(A458,Sheet3!$K$11:$L$21,2,FALSE)</f>
        <v>BH Y tế</v>
      </c>
      <c r="R458" t="str">
        <f>VLOOKUP(Q458,Sheet3!$L$11:$M$21,2,FALSE)</f>
        <v>HQ1</v>
      </c>
      <c r="S458" s="26">
        <f>SUMIFS('HQ2'!$O:$O,'HQ2'!$B:$B, "="&amp;'Tong_hop_HQNV_2026Q1_2026-06-23'!Q458, 'HQ2'!$A:$A,"="&amp;'Tong_hop_HQNV_2026Q1_2026-06-23'!P458)</f>
        <v>0</v>
      </c>
      <c r="T458" s="7">
        <f t="shared" si="7"/>
        <v>0</v>
      </c>
    </row>
    <row r="459" spans="1:20" x14ac:dyDescent="0.25">
      <c r="A459" t="s">
        <v>33</v>
      </c>
      <c r="B459" s="9" t="s">
        <v>347</v>
      </c>
      <c r="C459">
        <v>0</v>
      </c>
      <c r="D459">
        <v>0</v>
      </c>
      <c r="E459">
        <v>-85298433</v>
      </c>
      <c r="F459">
        <v>302386595</v>
      </c>
      <c r="G459">
        <v>6327641</v>
      </c>
      <c r="H459">
        <v>6327641</v>
      </c>
      <c r="I459">
        <v>0</v>
      </c>
      <c r="J459">
        <v>0</v>
      </c>
      <c r="K459">
        <v>302386595</v>
      </c>
      <c r="L459">
        <v>85298433</v>
      </c>
      <c r="M459" t="s">
        <v>34</v>
      </c>
      <c r="N459">
        <v>1</v>
      </c>
      <c r="O459">
        <v>1</v>
      </c>
      <c r="P459" t="str">
        <f>VLOOKUP(B459,'CHECK_DT-BT_chi_tiet'!$A:$C,3,FALSE)</f>
        <v>BV Sơn La</v>
      </c>
      <c r="Q459" t="str">
        <f>VLOOKUP(A459,Sheet3!$K$11:$L$21,2,FALSE)</f>
        <v>BH Y tế</v>
      </c>
      <c r="R459" t="str">
        <f>VLOOKUP(Q459,Sheet3!$L$11:$M$21,2,FALSE)</f>
        <v>HQ1</v>
      </c>
      <c r="S459" s="26">
        <f>SUMIFS('HQ2'!$O:$O,'HQ2'!$B:$B, "="&amp;'Tong_hop_HQNV_2026Q1_2026-06-23'!Q459, 'HQ2'!$A:$A,"="&amp;'Tong_hop_HQNV_2026Q1_2026-06-23'!P459)</f>
        <v>0</v>
      </c>
      <c r="T459" s="7">
        <f t="shared" si="7"/>
        <v>0</v>
      </c>
    </row>
    <row r="460" spans="1:20" x14ac:dyDescent="0.25">
      <c r="A460" t="s">
        <v>33</v>
      </c>
      <c r="B460" s="9" t="s">
        <v>346</v>
      </c>
      <c r="C460">
        <v>0</v>
      </c>
      <c r="D460">
        <v>0</v>
      </c>
      <c r="E460">
        <v>-213904143</v>
      </c>
      <c r="F460">
        <v>682475310</v>
      </c>
      <c r="G460">
        <v>30677180</v>
      </c>
      <c r="H460">
        <v>30427180</v>
      </c>
      <c r="I460">
        <v>0</v>
      </c>
      <c r="J460">
        <v>0</v>
      </c>
      <c r="K460">
        <v>682475310</v>
      </c>
      <c r="L460">
        <v>213904143</v>
      </c>
      <c r="M460" t="s">
        <v>34</v>
      </c>
      <c r="N460">
        <v>1</v>
      </c>
      <c r="O460">
        <v>1</v>
      </c>
      <c r="P460" t="str">
        <f>VLOOKUP(B460,'CHECK_DT-BT_chi_tiet'!$A:$C,3,FALSE)</f>
        <v>BV Sóc Trăng</v>
      </c>
      <c r="Q460" t="str">
        <f>VLOOKUP(A460,Sheet3!$K$11:$L$21,2,FALSE)</f>
        <v>BH Y tế</v>
      </c>
      <c r="R460" t="str">
        <f>VLOOKUP(Q460,Sheet3!$L$11:$M$21,2,FALSE)</f>
        <v>HQ1</v>
      </c>
      <c r="S460" s="26">
        <f>SUMIFS('HQ2'!$O:$O,'HQ2'!$B:$B, "="&amp;'Tong_hop_HQNV_2026Q1_2026-06-23'!Q460, 'HQ2'!$A:$A,"="&amp;'Tong_hop_HQNV_2026Q1_2026-06-23'!P460)</f>
        <v>0</v>
      </c>
      <c r="T460" s="7">
        <f t="shared" si="7"/>
        <v>0</v>
      </c>
    </row>
    <row r="461" spans="1:20" x14ac:dyDescent="0.25">
      <c r="A461" t="s">
        <v>33</v>
      </c>
      <c r="B461" s="9" t="s">
        <v>353</v>
      </c>
      <c r="C461">
        <v>0</v>
      </c>
      <c r="D461">
        <v>0</v>
      </c>
      <c r="E461">
        <v>-119394839</v>
      </c>
      <c r="F461">
        <v>409181300</v>
      </c>
      <c r="G461">
        <v>74397670</v>
      </c>
      <c r="H461">
        <v>67601475</v>
      </c>
      <c r="I461">
        <v>0</v>
      </c>
      <c r="J461">
        <v>0</v>
      </c>
      <c r="K461">
        <v>409181300</v>
      </c>
      <c r="L461">
        <v>119394839</v>
      </c>
      <c r="M461" t="s">
        <v>34</v>
      </c>
      <c r="N461">
        <v>1</v>
      </c>
      <c r="O461">
        <v>1</v>
      </c>
      <c r="P461" t="str">
        <f>VLOOKUP(B461,'CHECK_DT-BT_chi_tiet'!$A:$C,3,FALSE)</f>
        <v>BV Thanh Hóa</v>
      </c>
      <c r="Q461" t="str">
        <f>VLOOKUP(A461,Sheet3!$K$11:$L$21,2,FALSE)</f>
        <v>BH Y tế</v>
      </c>
      <c r="R461" t="str">
        <f>VLOOKUP(Q461,Sheet3!$L$11:$M$21,2,FALSE)</f>
        <v>HQ1</v>
      </c>
      <c r="S461" s="26">
        <f>SUMIFS('HQ2'!$O:$O,'HQ2'!$B:$B, "="&amp;'Tong_hop_HQNV_2026Q1_2026-06-23'!Q461, 'HQ2'!$A:$A,"="&amp;'Tong_hop_HQNV_2026Q1_2026-06-23'!P461)</f>
        <v>0</v>
      </c>
      <c r="T461" s="7">
        <f t="shared" si="7"/>
        <v>0</v>
      </c>
    </row>
    <row r="462" spans="1:20" x14ac:dyDescent="0.25">
      <c r="A462" t="s">
        <v>33</v>
      </c>
      <c r="B462" s="9" t="s">
        <v>359</v>
      </c>
      <c r="C462">
        <v>0</v>
      </c>
      <c r="D462">
        <v>0</v>
      </c>
      <c r="E462">
        <v>-75386242</v>
      </c>
      <c r="F462">
        <v>344029705</v>
      </c>
      <c r="G462">
        <v>20947225</v>
      </c>
      <c r="H462">
        <v>20947225</v>
      </c>
      <c r="I462">
        <v>0</v>
      </c>
      <c r="J462">
        <v>0</v>
      </c>
      <c r="K462">
        <v>344029705</v>
      </c>
      <c r="L462">
        <v>75386242</v>
      </c>
      <c r="M462" t="s">
        <v>34</v>
      </c>
      <c r="N462">
        <v>1</v>
      </c>
      <c r="O462">
        <v>1</v>
      </c>
      <c r="P462" t="str">
        <f>VLOOKUP(B462,'CHECK_DT-BT_chi_tiet'!$A:$C,3,FALSE)</f>
        <v>BV Tuyên Quang</v>
      </c>
      <c r="Q462" t="str">
        <f>VLOOKUP(A462,Sheet3!$K$11:$L$21,2,FALSE)</f>
        <v>BH Y tế</v>
      </c>
      <c r="R462" t="str">
        <f>VLOOKUP(Q462,Sheet3!$L$11:$M$21,2,FALSE)</f>
        <v>HQ1</v>
      </c>
      <c r="S462" s="26">
        <f>SUMIFS('HQ2'!$O:$O,'HQ2'!$B:$B, "="&amp;'Tong_hop_HQNV_2026Q1_2026-06-23'!Q462, 'HQ2'!$A:$A,"="&amp;'Tong_hop_HQNV_2026Q1_2026-06-23'!P462)</f>
        <v>0</v>
      </c>
      <c r="T462" s="7">
        <f t="shared" si="7"/>
        <v>0</v>
      </c>
    </row>
    <row r="463" spans="1:20" x14ac:dyDescent="0.25">
      <c r="A463" t="s">
        <v>33</v>
      </c>
      <c r="B463" s="9" t="s">
        <v>362</v>
      </c>
      <c r="C463">
        <v>0</v>
      </c>
      <c r="D463">
        <v>0</v>
      </c>
      <c r="E463">
        <v>-57569944</v>
      </c>
      <c r="F463">
        <v>106144300</v>
      </c>
      <c r="G463">
        <v>4477054</v>
      </c>
      <c r="H463">
        <v>4477054</v>
      </c>
      <c r="I463">
        <v>0</v>
      </c>
      <c r="J463">
        <v>0</v>
      </c>
      <c r="K463">
        <v>106144300</v>
      </c>
      <c r="L463">
        <v>57569944</v>
      </c>
      <c r="M463" t="s">
        <v>34</v>
      </c>
      <c r="N463">
        <v>1</v>
      </c>
      <c r="O463">
        <v>1</v>
      </c>
      <c r="P463" t="str">
        <f>VLOOKUP(B463,'CHECK_DT-BT_chi_tiet'!$A:$C,3,FALSE)</f>
        <v>BV Yên Bái</v>
      </c>
      <c r="Q463" t="str">
        <f>VLOOKUP(A463,Sheet3!$K$11:$L$21,2,FALSE)</f>
        <v>BH Y tế</v>
      </c>
      <c r="R463" t="str">
        <f>VLOOKUP(Q463,Sheet3!$L$11:$M$21,2,FALSE)</f>
        <v>HQ1</v>
      </c>
      <c r="S463" s="26">
        <f>SUMIFS('HQ2'!$O:$O,'HQ2'!$B:$B, "="&amp;'Tong_hop_HQNV_2026Q1_2026-06-23'!Q463, 'HQ2'!$A:$A,"="&amp;'Tong_hop_HQNV_2026Q1_2026-06-23'!P463)</f>
        <v>0</v>
      </c>
      <c r="T463" s="7">
        <f t="shared" si="7"/>
        <v>0</v>
      </c>
    </row>
    <row r="464" spans="1:20" x14ac:dyDescent="0.25">
      <c r="A464" t="s">
        <v>33</v>
      </c>
      <c r="B464" s="9" t="s">
        <v>309</v>
      </c>
      <c r="C464">
        <v>0</v>
      </c>
      <c r="D464">
        <v>0</v>
      </c>
      <c r="E464">
        <v>-2899062189</v>
      </c>
      <c r="F464">
        <v>8257228259</v>
      </c>
      <c r="G464">
        <v>1209847014.95</v>
      </c>
      <c r="H464">
        <v>701628002</v>
      </c>
      <c r="I464">
        <v>0</v>
      </c>
      <c r="J464">
        <v>0</v>
      </c>
      <c r="K464">
        <v>8257228259</v>
      </c>
      <c r="L464">
        <v>2899062189</v>
      </c>
      <c r="M464" t="s">
        <v>34</v>
      </c>
      <c r="N464">
        <v>1</v>
      </c>
      <c r="O464">
        <v>1</v>
      </c>
      <c r="P464" t="str">
        <f>VLOOKUP(B464,'CHECK_DT-BT_chi_tiet'!$A:$C,3,FALSE)</f>
        <v>BV Gia Định</v>
      </c>
      <c r="Q464" t="str">
        <f>VLOOKUP(A464,Sheet3!$K$11:$L$21,2,FALSE)</f>
        <v>BH Y tế</v>
      </c>
      <c r="R464" t="str">
        <f>VLOOKUP(Q464,Sheet3!$L$11:$M$21,2,FALSE)</f>
        <v>HQ1</v>
      </c>
      <c r="S464" s="26">
        <f>SUMIFS('HQ2'!$O:$O,'HQ2'!$B:$B, "="&amp;'Tong_hop_HQNV_2026Q1_2026-06-23'!Q464, 'HQ2'!$A:$A,"="&amp;'Tong_hop_HQNV_2026Q1_2026-06-23'!P464)</f>
        <v>0</v>
      </c>
      <c r="T464" s="7">
        <f t="shared" si="7"/>
        <v>0</v>
      </c>
    </row>
    <row r="465" spans="1:20" x14ac:dyDescent="0.25">
      <c r="A465" t="s">
        <v>33</v>
      </c>
      <c r="B465" s="9" t="s">
        <v>302</v>
      </c>
      <c r="C465">
        <v>0</v>
      </c>
      <c r="D465">
        <v>0</v>
      </c>
      <c r="E465">
        <v>-45125942</v>
      </c>
      <c r="F465">
        <v>177029000</v>
      </c>
      <c r="G465">
        <v>65132191</v>
      </c>
      <c r="H465">
        <v>65132191</v>
      </c>
      <c r="I465">
        <v>0</v>
      </c>
      <c r="J465">
        <v>0</v>
      </c>
      <c r="K465">
        <v>177029000</v>
      </c>
      <c r="L465">
        <v>45125942</v>
      </c>
      <c r="M465" t="s">
        <v>34</v>
      </c>
      <c r="N465">
        <v>1</v>
      </c>
      <c r="O465">
        <v>1</v>
      </c>
      <c r="P465" t="str">
        <f>VLOOKUP(B465,'CHECK_DT-BT_chi_tiet'!$A:$C,3,FALSE)</f>
        <v>BV Dak Nong</v>
      </c>
      <c r="Q465" t="str">
        <f>VLOOKUP(A465,Sheet3!$K$11:$L$21,2,FALSE)</f>
        <v>BH Y tế</v>
      </c>
      <c r="R465" t="str">
        <f>VLOOKUP(Q465,Sheet3!$L$11:$M$21,2,FALSE)</f>
        <v>HQ1</v>
      </c>
      <c r="S465" s="26">
        <f>SUMIFS('HQ2'!$O:$O,'HQ2'!$B:$B, "="&amp;'Tong_hop_HQNV_2026Q1_2026-06-23'!Q465, 'HQ2'!$A:$A,"="&amp;'Tong_hop_HQNV_2026Q1_2026-06-23'!P465)</f>
        <v>0</v>
      </c>
      <c r="T465" s="7">
        <f t="shared" si="7"/>
        <v>0</v>
      </c>
    </row>
    <row r="466" spans="1:20" x14ac:dyDescent="0.25">
      <c r="A466" t="s">
        <v>33</v>
      </c>
      <c r="B466" s="9" t="s">
        <v>337</v>
      </c>
      <c r="C466">
        <v>0</v>
      </c>
      <c r="D466">
        <v>0</v>
      </c>
      <c r="E466">
        <v>-65473580</v>
      </c>
      <c r="F466">
        <v>155699500</v>
      </c>
      <c r="G466">
        <v>4339100</v>
      </c>
      <c r="H466">
        <v>4339100</v>
      </c>
      <c r="I466">
        <v>0</v>
      </c>
      <c r="J466">
        <v>0</v>
      </c>
      <c r="K466">
        <v>155699500</v>
      </c>
      <c r="L466">
        <v>65473580</v>
      </c>
      <c r="M466" t="s">
        <v>34</v>
      </c>
      <c r="N466">
        <v>1</v>
      </c>
      <c r="O466">
        <v>1</v>
      </c>
      <c r="P466" t="str">
        <f>VLOOKUP(B466,'CHECK_DT-BT_chi_tiet'!$A:$C,3,FALSE)</f>
        <v>BV Phú Quốc</v>
      </c>
      <c r="Q466" t="str">
        <f>VLOOKUP(A466,Sheet3!$K$11:$L$21,2,FALSE)</f>
        <v>BH Y tế</v>
      </c>
      <c r="R466" t="str">
        <f>VLOOKUP(Q466,Sheet3!$L$11:$M$21,2,FALSE)</f>
        <v>HQ1</v>
      </c>
      <c r="S466" s="26">
        <f>SUMIFS('HQ2'!$O:$O,'HQ2'!$B:$B, "="&amp;'Tong_hop_HQNV_2026Q1_2026-06-23'!Q466, 'HQ2'!$A:$A,"="&amp;'Tong_hop_HQNV_2026Q1_2026-06-23'!P466)</f>
        <v>0</v>
      </c>
      <c r="T466" s="7">
        <f t="shared" si="7"/>
        <v>0</v>
      </c>
    </row>
    <row r="467" spans="1:20" x14ac:dyDescent="0.25">
      <c r="A467" t="s">
        <v>33</v>
      </c>
      <c r="B467" s="9" t="s">
        <v>330</v>
      </c>
      <c r="C467">
        <v>0</v>
      </c>
      <c r="D467">
        <v>0</v>
      </c>
      <c r="E467">
        <v>-3931627981</v>
      </c>
      <c r="F467">
        <v>8749867612</v>
      </c>
      <c r="G467">
        <v>1264597758</v>
      </c>
      <c r="H467">
        <v>1143844046</v>
      </c>
      <c r="I467">
        <v>0</v>
      </c>
      <c r="J467">
        <v>0</v>
      </c>
      <c r="K467">
        <v>8749867612</v>
      </c>
      <c r="L467">
        <v>3931627981</v>
      </c>
      <c r="M467" t="s">
        <v>34</v>
      </c>
      <c r="N467">
        <v>1</v>
      </c>
      <c r="O467">
        <v>1</v>
      </c>
      <c r="P467" t="str">
        <f>VLOOKUP(B467,'CHECK_DT-BT_chi_tiet'!$A:$C,3,FALSE)</f>
        <v>BV Mỹ Đình</v>
      </c>
      <c r="Q467" t="str">
        <f>VLOOKUP(A467,Sheet3!$K$11:$L$21,2,FALSE)</f>
        <v>BH Y tế</v>
      </c>
      <c r="R467" t="str">
        <f>VLOOKUP(Q467,Sheet3!$L$11:$M$21,2,FALSE)</f>
        <v>HQ1</v>
      </c>
      <c r="S467" s="26">
        <f>SUMIFS('HQ2'!$O:$O,'HQ2'!$B:$B, "="&amp;'Tong_hop_HQNV_2026Q1_2026-06-23'!Q467, 'HQ2'!$A:$A,"="&amp;'Tong_hop_HQNV_2026Q1_2026-06-23'!P467)</f>
        <v>0</v>
      </c>
      <c r="T467" s="7">
        <f t="shared" si="7"/>
        <v>0</v>
      </c>
    </row>
    <row r="468" spans="1:20" x14ac:dyDescent="0.25">
      <c r="A468" t="s">
        <v>14</v>
      </c>
      <c r="B468" s="9" t="s">
        <v>223</v>
      </c>
      <c r="C468">
        <v>0</v>
      </c>
      <c r="D468">
        <v>0</v>
      </c>
      <c r="E468">
        <v>0</v>
      </c>
      <c r="F468">
        <v>7075450</v>
      </c>
      <c r="G468">
        <v>0</v>
      </c>
      <c r="H468">
        <v>0</v>
      </c>
      <c r="I468">
        <v>0</v>
      </c>
      <c r="J468">
        <v>0</v>
      </c>
      <c r="K468">
        <v>7075450</v>
      </c>
      <c r="L468">
        <v>0</v>
      </c>
      <c r="M468" t="s">
        <v>15</v>
      </c>
      <c r="N468">
        <v>1</v>
      </c>
      <c r="O468">
        <v>1</v>
      </c>
      <c r="P468" t="str">
        <f>VLOOKUP(B468,'CHECK_DT-BT_chi_tiet'!$A:$C,3,FALSE)</f>
        <v>TSC-Ban KDBH Hàng hóa</v>
      </c>
      <c r="Q468" t="str">
        <f>VLOOKUP(A468,Sheet3!$K$11:$L$21,2,FALSE)</f>
        <v>BH Con người</v>
      </c>
      <c r="R468" t="str">
        <f>VLOOKUP(Q468,Sheet3!$L$11:$M$21,2,FALSE)</f>
        <v>HQ1</v>
      </c>
      <c r="S468" s="26">
        <f>SUMIFS('HQ2'!$O:$O,'HQ2'!$B:$B, "="&amp;'Tong_hop_HQNV_2026Q1_2026-06-23'!Q468, 'HQ2'!$A:$A,"="&amp;'Tong_hop_HQNV_2026Q1_2026-06-23'!P468)</f>
        <v>0</v>
      </c>
      <c r="T468" s="7">
        <f t="shared" si="7"/>
        <v>0</v>
      </c>
    </row>
    <row r="469" spans="1:20" x14ac:dyDescent="0.25">
      <c r="A469" t="s">
        <v>14</v>
      </c>
      <c r="B469" s="9" t="s">
        <v>228</v>
      </c>
      <c r="C469">
        <v>0</v>
      </c>
      <c r="D469">
        <v>0</v>
      </c>
      <c r="E469">
        <v>0</v>
      </c>
      <c r="F469">
        <v>420366344</v>
      </c>
      <c r="G469">
        <v>0</v>
      </c>
      <c r="H469">
        <v>0</v>
      </c>
      <c r="I469">
        <v>0</v>
      </c>
      <c r="J469">
        <v>0</v>
      </c>
      <c r="K469">
        <v>420366344</v>
      </c>
      <c r="L469">
        <v>0</v>
      </c>
      <c r="M469" t="s">
        <v>15</v>
      </c>
      <c r="N469">
        <v>1</v>
      </c>
      <c r="O469">
        <v>1</v>
      </c>
      <c r="P469" t="str">
        <f>VLOOKUP(B469,'CHECK_DT-BT_chi_tiet'!$A:$C,3,FALSE)</f>
        <v>TSC-Ban KDBH Tàu thủy</v>
      </c>
      <c r="Q469" t="str">
        <f>VLOOKUP(A469,Sheet3!$K$11:$L$21,2,FALSE)</f>
        <v>BH Con người</v>
      </c>
      <c r="R469" t="str">
        <f>VLOOKUP(Q469,Sheet3!$L$11:$M$21,2,FALSE)</f>
        <v>HQ1</v>
      </c>
      <c r="S469" s="26">
        <f>SUMIFS('HQ2'!$O:$O,'HQ2'!$B:$B, "="&amp;'Tong_hop_HQNV_2026Q1_2026-06-23'!Q469, 'HQ2'!$A:$A,"="&amp;'Tong_hop_HQNV_2026Q1_2026-06-23'!P469)</f>
        <v>0</v>
      </c>
      <c r="T469" s="7">
        <f t="shared" si="7"/>
        <v>0</v>
      </c>
    </row>
    <row r="470" spans="1:20" x14ac:dyDescent="0.25">
      <c r="A470" t="s">
        <v>16</v>
      </c>
      <c r="B470" s="9" t="s">
        <v>223</v>
      </c>
      <c r="C470">
        <v>0</v>
      </c>
      <c r="D470">
        <v>0</v>
      </c>
      <c r="E470">
        <v>0</v>
      </c>
      <c r="F470">
        <v>4603200</v>
      </c>
      <c r="G470">
        <v>0</v>
      </c>
      <c r="H470">
        <v>0</v>
      </c>
      <c r="I470">
        <v>0</v>
      </c>
      <c r="J470">
        <v>0</v>
      </c>
      <c r="K470">
        <v>4603200</v>
      </c>
      <c r="L470">
        <v>0</v>
      </c>
      <c r="M470" t="s">
        <v>17</v>
      </c>
      <c r="N470">
        <v>1</v>
      </c>
      <c r="O470">
        <v>1</v>
      </c>
      <c r="P470" t="str">
        <f>VLOOKUP(B470,'CHECK_DT-BT_chi_tiet'!$A:$C,3,FALSE)</f>
        <v>TSC-Ban KDBH Hàng hóa</v>
      </c>
      <c r="Q470" t="str">
        <f>VLOOKUP(A470,Sheet3!$K$11:$L$21,2,FALSE)</f>
        <v>BH Du lịch</v>
      </c>
      <c r="R470" t="str">
        <f>VLOOKUP(Q470,Sheet3!$L$11:$M$21,2,FALSE)</f>
        <v>HQ1</v>
      </c>
      <c r="S470" s="26">
        <f>SUMIFS('HQ2'!$O:$O,'HQ2'!$B:$B, "="&amp;'Tong_hop_HQNV_2026Q1_2026-06-23'!Q470, 'HQ2'!$A:$A,"="&amp;'Tong_hop_HQNV_2026Q1_2026-06-23'!P470)</f>
        <v>0</v>
      </c>
      <c r="T470" s="7">
        <f t="shared" si="7"/>
        <v>0</v>
      </c>
    </row>
    <row r="471" spans="1:20" x14ac:dyDescent="0.25">
      <c r="A471" t="s">
        <v>16</v>
      </c>
      <c r="B471" s="9" t="s">
        <v>227</v>
      </c>
      <c r="C471">
        <v>0</v>
      </c>
      <c r="D471">
        <v>0</v>
      </c>
      <c r="E471">
        <v>0</v>
      </c>
      <c r="F471">
        <v>223236000</v>
      </c>
      <c r="G471">
        <v>0</v>
      </c>
      <c r="H471">
        <v>0</v>
      </c>
      <c r="I471">
        <v>0</v>
      </c>
      <c r="J471">
        <v>0</v>
      </c>
      <c r="K471">
        <v>223236000</v>
      </c>
      <c r="L471">
        <v>0</v>
      </c>
      <c r="M471" t="s">
        <v>17</v>
      </c>
      <c r="N471">
        <v>1</v>
      </c>
      <c r="O471">
        <v>1</v>
      </c>
      <c r="P471" t="str">
        <f>VLOOKUP(B471,'CHECK_DT-BT_chi_tiet'!$A:$C,3,FALSE)</f>
        <v>TSC-Ban BH Dự án (Fronting)</v>
      </c>
      <c r="Q471" t="str">
        <f>VLOOKUP(A471,Sheet3!$K$11:$L$21,2,FALSE)</f>
        <v>BH Du lịch</v>
      </c>
      <c r="R471" t="str">
        <f>VLOOKUP(Q471,Sheet3!$L$11:$M$21,2,FALSE)</f>
        <v>HQ1</v>
      </c>
      <c r="S471" s="26">
        <f>SUMIFS('HQ2'!$O:$O,'HQ2'!$B:$B, "="&amp;'Tong_hop_HQNV_2026Q1_2026-06-23'!Q471, 'HQ2'!$A:$A,"="&amp;'Tong_hop_HQNV_2026Q1_2026-06-23'!P471)</f>
        <v>0</v>
      </c>
      <c r="T471" s="7">
        <f t="shared" si="7"/>
        <v>0</v>
      </c>
    </row>
    <row r="472" spans="1:20" x14ac:dyDescent="0.25">
      <c r="A472" t="s">
        <v>16</v>
      </c>
      <c r="B472" s="9" t="s">
        <v>228</v>
      </c>
      <c r="C472">
        <v>0</v>
      </c>
      <c r="D472">
        <v>0</v>
      </c>
      <c r="E472">
        <v>0</v>
      </c>
      <c r="F472">
        <v>11981200</v>
      </c>
      <c r="G472">
        <v>0</v>
      </c>
      <c r="H472">
        <v>0</v>
      </c>
      <c r="I472">
        <v>0</v>
      </c>
      <c r="J472">
        <v>0</v>
      </c>
      <c r="K472">
        <v>11981200</v>
      </c>
      <c r="L472">
        <v>0</v>
      </c>
      <c r="M472" t="s">
        <v>17</v>
      </c>
      <c r="N472">
        <v>1</v>
      </c>
      <c r="O472">
        <v>1</v>
      </c>
      <c r="P472" t="str">
        <f>VLOOKUP(B472,'CHECK_DT-BT_chi_tiet'!$A:$C,3,FALSE)</f>
        <v>TSC-Ban KDBH Tàu thủy</v>
      </c>
      <c r="Q472" t="str">
        <f>VLOOKUP(A472,Sheet3!$K$11:$L$21,2,FALSE)</f>
        <v>BH Du lịch</v>
      </c>
      <c r="R472" t="str">
        <f>VLOOKUP(Q472,Sheet3!$L$11:$M$21,2,FALSE)</f>
        <v>HQ1</v>
      </c>
      <c r="S472" s="26">
        <f>SUMIFS('HQ2'!$O:$O,'HQ2'!$B:$B, "="&amp;'Tong_hop_HQNV_2026Q1_2026-06-23'!Q472, 'HQ2'!$A:$A,"="&amp;'Tong_hop_HQNV_2026Q1_2026-06-23'!P472)</f>
        <v>0</v>
      </c>
      <c r="T472" s="7">
        <f t="shared" si="7"/>
        <v>0</v>
      </c>
    </row>
    <row r="473" spans="1:20" x14ac:dyDescent="0.25">
      <c r="A473" t="s">
        <v>16</v>
      </c>
      <c r="B473" s="9" t="s">
        <v>230</v>
      </c>
      <c r="C473">
        <v>0</v>
      </c>
      <c r="D473">
        <v>0</v>
      </c>
      <c r="E473">
        <v>0</v>
      </c>
      <c r="F473">
        <v>108231145</v>
      </c>
      <c r="G473">
        <v>0</v>
      </c>
      <c r="H473">
        <v>0</v>
      </c>
      <c r="I473">
        <v>0</v>
      </c>
      <c r="J473">
        <v>0</v>
      </c>
      <c r="K473">
        <v>108231145</v>
      </c>
      <c r="L473">
        <v>0</v>
      </c>
      <c r="M473" t="s">
        <v>17</v>
      </c>
      <c r="N473">
        <v>1</v>
      </c>
      <c r="O473">
        <v>1</v>
      </c>
      <c r="P473" t="str">
        <f>VLOOKUP(B473,'CHECK_DT-BT_chi_tiet'!$A:$C,3,FALSE)</f>
        <v>TSC-Ban KD Bảo hiểm sức khỏe</v>
      </c>
      <c r="Q473" t="str">
        <f>VLOOKUP(A473,Sheet3!$K$11:$L$21,2,FALSE)</f>
        <v>BH Du lịch</v>
      </c>
      <c r="R473" t="str">
        <f>VLOOKUP(Q473,Sheet3!$L$11:$M$21,2,FALSE)</f>
        <v>HQ1</v>
      </c>
      <c r="S473" s="26">
        <f>SUMIFS('HQ2'!$O:$O,'HQ2'!$B:$B, "="&amp;'Tong_hop_HQNV_2026Q1_2026-06-23'!Q473, 'HQ2'!$A:$A,"="&amp;'Tong_hop_HQNV_2026Q1_2026-06-23'!P473)</f>
        <v>0</v>
      </c>
      <c r="T473" s="7">
        <f t="shared" si="7"/>
        <v>0</v>
      </c>
    </row>
    <row r="474" spans="1:20" x14ac:dyDescent="0.25">
      <c r="A474" t="s">
        <v>16</v>
      </c>
      <c r="B474" s="9" t="s">
        <v>358</v>
      </c>
      <c r="C474">
        <v>0</v>
      </c>
      <c r="D474">
        <v>0</v>
      </c>
      <c r="E474">
        <v>0</v>
      </c>
      <c r="F474">
        <v>753234396</v>
      </c>
      <c r="G474">
        <v>1704293</v>
      </c>
      <c r="H474">
        <v>0</v>
      </c>
      <c r="I474">
        <v>0</v>
      </c>
      <c r="J474">
        <v>0</v>
      </c>
      <c r="K474">
        <v>753234396</v>
      </c>
      <c r="L474">
        <v>0</v>
      </c>
      <c r="M474" t="s">
        <v>17</v>
      </c>
      <c r="N474">
        <v>1</v>
      </c>
      <c r="O474">
        <v>1</v>
      </c>
      <c r="P474" t="str">
        <f>VLOOKUP(B474,'CHECK_DT-BT_chi_tiet'!$A:$C,3,FALSE)</f>
        <v>BV Tràng An</v>
      </c>
      <c r="Q474" t="str">
        <f>VLOOKUP(A474,Sheet3!$K$11:$L$21,2,FALSE)</f>
        <v>BH Du lịch</v>
      </c>
      <c r="R474" t="str">
        <f>VLOOKUP(Q474,Sheet3!$L$11:$M$21,2,FALSE)</f>
        <v>HQ1</v>
      </c>
      <c r="S474" s="26">
        <f>SUMIFS('HQ2'!$O:$O,'HQ2'!$B:$B, "="&amp;'Tong_hop_HQNV_2026Q1_2026-06-23'!Q474, 'HQ2'!$A:$A,"="&amp;'Tong_hop_HQNV_2026Q1_2026-06-23'!P474)</f>
        <v>0</v>
      </c>
      <c r="T474" s="7">
        <f t="shared" si="7"/>
        <v>0</v>
      </c>
    </row>
    <row r="475" spans="1:20" x14ac:dyDescent="0.25">
      <c r="A475" t="s">
        <v>16</v>
      </c>
      <c r="B475" s="9" t="s">
        <v>329</v>
      </c>
      <c r="C475">
        <v>0</v>
      </c>
      <c r="D475">
        <v>0</v>
      </c>
      <c r="E475">
        <v>0</v>
      </c>
      <c r="F475">
        <v>31058400</v>
      </c>
      <c r="G475">
        <v>45543874</v>
      </c>
      <c r="H475">
        <v>0</v>
      </c>
      <c r="I475">
        <v>0</v>
      </c>
      <c r="J475">
        <v>0</v>
      </c>
      <c r="K475">
        <v>31058400</v>
      </c>
      <c r="L475">
        <v>0</v>
      </c>
      <c r="M475" t="s">
        <v>17</v>
      </c>
      <c r="N475">
        <v>1</v>
      </c>
      <c r="O475">
        <v>1</v>
      </c>
      <c r="P475" t="str">
        <f>VLOOKUP(B475,'CHECK_DT-BT_chi_tiet'!$A:$C,3,FALSE)</f>
        <v>BV Long Thành</v>
      </c>
      <c r="Q475" t="str">
        <f>VLOOKUP(A475,Sheet3!$K$11:$L$21,2,FALSE)</f>
        <v>BH Du lịch</v>
      </c>
      <c r="R475" t="str">
        <f>VLOOKUP(Q475,Sheet3!$L$11:$M$21,2,FALSE)</f>
        <v>HQ1</v>
      </c>
      <c r="S475" s="26">
        <f>SUMIFS('HQ2'!$O:$O,'HQ2'!$B:$B, "="&amp;'Tong_hop_HQNV_2026Q1_2026-06-23'!Q475, 'HQ2'!$A:$A,"="&amp;'Tong_hop_HQNV_2026Q1_2026-06-23'!P475)</f>
        <v>0</v>
      </c>
      <c r="T475" s="7">
        <f t="shared" si="7"/>
        <v>0</v>
      </c>
    </row>
    <row r="476" spans="1:20" x14ac:dyDescent="0.25">
      <c r="A476" t="s">
        <v>16</v>
      </c>
      <c r="B476" s="9" t="s">
        <v>305</v>
      </c>
      <c r="C476">
        <v>0</v>
      </c>
      <c r="D476">
        <v>0</v>
      </c>
      <c r="E476">
        <v>0</v>
      </c>
      <c r="F476">
        <v>13950000</v>
      </c>
      <c r="G476">
        <v>0</v>
      </c>
      <c r="H476">
        <v>0</v>
      </c>
      <c r="I476">
        <v>0</v>
      </c>
      <c r="J476">
        <v>0</v>
      </c>
      <c r="K476">
        <v>13950000</v>
      </c>
      <c r="L476">
        <v>0</v>
      </c>
      <c r="M476" t="s">
        <v>17</v>
      </c>
      <c r="N476">
        <v>1</v>
      </c>
      <c r="O476">
        <v>1</v>
      </c>
      <c r="P476" t="str">
        <f>VLOOKUP(B476,'CHECK_DT-BT_chi_tiet'!$A:$C,3,FALSE)</f>
        <v>BV Đông Bắc</v>
      </c>
      <c r="Q476" t="str">
        <f>VLOOKUP(A476,Sheet3!$K$11:$L$21,2,FALSE)</f>
        <v>BH Du lịch</v>
      </c>
      <c r="R476" t="str">
        <f>VLOOKUP(Q476,Sheet3!$L$11:$M$21,2,FALSE)</f>
        <v>HQ1</v>
      </c>
      <c r="S476" s="26">
        <f>SUMIFS('HQ2'!$O:$O,'HQ2'!$B:$B, "="&amp;'Tong_hop_HQNV_2026Q1_2026-06-23'!Q476, 'HQ2'!$A:$A,"="&amp;'Tong_hop_HQNV_2026Q1_2026-06-23'!P476)</f>
        <v>0</v>
      </c>
      <c r="T476" s="7">
        <f t="shared" si="7"/>
        <v>0</v>
      </c>
    </row>
    <row r="477" spans="1:20" x14ac:dyDescent="0.25">
      <c r="A477" t="s">
        <v>16</v>
      </c>
      <c r="B477" s="9" t="s">
        <v>285</v>
      </c>
      <c r="C477">
        <v>0</v>
      </c>
      <c r="D477">
        <v>0</v>
      </c>
      <c r="E477">
        <v>0</v>
      </c>
      <c r="F477">
        <v>156914000</v>
      </c>
      <c r="G477">
        <v>0</v>
      </c>
      <c r="H477">
        <v>0</v>
      </c>
      <c r="I477">
        <v>0</v>
      </c>
      <c r="J477">
        <v>0</v>
      </c>
      <c r="K477">
        <v>156914000</v>
      </c>
      <c r="L477">
        <v>0</v>
      </c>
      <c r="M477" t="s">
        <v>17</v>
      </c>
      <c r="N477">
        <v>1</v>
      </c>
      <c r="O477">
        <v>1</v>
      </c>
      <c r="P477" t="str">
        <f>VLOOKUP(B477,'CHECK_DT-BT_chi_tiet'!$A:$C,3,FALSE)</f>
        <v>BV An Phú</v>
      </c>
      <c r="Q477" t="str">
        <f>VLOOKUP(A477,Sheet3!$K$11:$L$21,2,FALSE)</f>
        <v>BH Du lịch</v>
      </c>
      <c r="R477" t="str">
        <f>VLOOKUP(Q477,Sheet3!$L$11:$M$21,2,FALSE)</f>
        <v>HQ1</v>
      </c>
      <c r="S477" s="26">
        <f>SUMIFS('HQ2'!$O:$O,'HQ2'!$B:$B, "="&amp;'Tong_hop_HQNV_2026Q1_2026-06-23'!Q477, 'HQ2'!$A:$A,"="&amp;'Tong_hop_HQNV_2026Q1_2026-06-23'!P477)</f>
        <v>0</v>
      </c>
      <c r="T477" s="7">
        <f t="shared" si="7"/>
        <v>0</v>
      </c>
    </row>
    <row r="478" spans="1:20" x14ac:dyDescent="0.25">
      <c r="A478" t="s">
        <v>16</v>
      </c>
      <c r="B478" s="9" t="s">
        <v>284</v>
      </c>
      <c r="C478">
        <v>0</v>
      </c>
      <c r="D478">
        <v>0</v>
      </c>
      <c r="E478">
        <v>0</v>
      </c>
      <c r="F478">
        <v>126606400</v>
      </c>
      <c r="G478">
        <v>0</v>
      </c>
      <c r="H478">
        <v>0</v>
      </c>
      <c r="I478">
        <v>0</v>
      </c>
      <c r="J478">
        <v>0</v>
      </c>
      <c r="K478">
        <v>126606400</v>
      </c>
      <c r="L478">
        <v>0</v>
      </c>
      <c r="M478" t="s">
        <v>17</v>
      </c>
      <c r="N478">
        <v>1</v>
      </c>
      <c r="O478">
        <v>1</v>
      </c>
      <c r="P478" t="str">
        <f>VLOOKUP(B478,'CHECK_DT-BT_chi_tiet'!$A:$C,3,FALSE)</f>
        <v>BV An Giang</v>
      </c>
      <c r="Q478" t="str">
        <f>VLOOKUP(A478,Sheet3!$K$11:$L$21,2,FALSE)</f>
        <v>BH Du lịch</v>
      </c>
      <c r="R478" t="str">
        <f>VLOOKUP(Q478,Sheet3!$L$11:$M$21,2,FALSE)</f>
        <v>HQ1</v>
      </c>
      <c r="S478" s="26">
        <f>SUMIFS('HQ2'!$O:$O,'HQ2'!$B:$B, "="&amp;'Tong_hop_HQNV_2026Q1_2026-06-23'!Q478, 'HQ2'!$A:$A,"="&amp;'Tong_hop_HQNV_2026Q1_2026-06-23'!P478)</f>
        <v>0</v>
      </c>
      <c r="T478" s="7">
        <f t="shared" si="7"/>
        <v>0</v>
      </c>
    </row>
    <row r="479" spans="1:20" x14ac:dyDescent="0.25">
      <c r="A479" t="s">
        <v>16</v>
      </c>
      <c r="B479" s="9" t="s">
        <v>287</v>
      </c>
      <c r="C479">
        <v>0</v>
      </c>
      <c r="D479">
        <v>0</v>
      </c>
      <c r="E479">
        <v>0</v>
      </c>
      <c r="F479">
        <v>18601000</v>
      </c>
      <c r="G479">
        <v>0</v>
      </c>
      <c r="H479">
        <v>0</v>
      </c>
      <c r="I479">
        <v>0</v>
      </c>
      <c r="J479">
        <v>0</v>
      </c>
      <c r="K479">
        <v>18601000</v>
      </c>
      <c r="L479">
        <v>0</v>
      </c>
      <c r="M479" t="s">
        <v>17</v>
      </c>
      <c r="N479">
        <v>1</v>
      </c>
      <c r="O479">
        <v>1</v>
      </c>
      <c r="P479" t="str">
        <f>VLOOKUP(B479,'CHECK_DT-BT_chi_tiet'!$A:$C,3,FALSE)</f>
        <v>BV Bắc Cạn</v>
      </c>
      <c r="Q479" t="str">
        <f>VLOOKUP(A479,Sheet3!$K$11:$L$21,2,FALSE)</f>
        <v>BH Du lịch</v>
      </c>
      <c r="R479" t="str">
        <f>VLOOKUP(Q479,Sheet3!$L$11:$M$21,2,FALSE)</f>
        <v>HQ1</v>
      </c>
      <c r="S479" s="26">
        <f>SUMIFS('HQ2'!$O:$O,'HQ2'!$B:$B, "="&amp;'Tong_hop_HQNV_2026Q1_2026-06-23'!Q479, 'HQ2'!$A:$A,"="&amp;'Tong_hop_HQNV_2026Q1_2026-06-23'!P479)</f>
        <v>0</v>
      </c>
      <c r="T479" s="7">
        <f t="shared" si="7"/>
        <v>0</v>
      </c>
    </row>
    <row r="480" spans="1:20" x14ac:dyDescent="0.25">
      <c r="A480" t="s">
        <v>16</v>
      </c>
      <c r="B480" s="9" t="s">
        <v>288</v>
      </c>
      <c r="C480">
        <v>0</v>
      </c>
      <c r="D480">
        <v>0</v>
      </c>
      <c r="E480">
        <v>0</v>
      </c>
      <c r="F480">
        <v>89377700</v>
      </c>
      <c r="G480">
        <v>0</v>
      </c>
      <c r="H480">
        <v>0</v>
      </c>
      <c r="I480">
        <v>0</v>
      </c>
      <c r="J480">
        <v>0</v>
      </c>
      <c r="K480">
        <v>89377700</v>
      </c>
      <c r="L480">
        <v>0</v>
      </c>
      <c r="M480" t="s">
        <v>17</v>
      </c>
      <c r="N480">
        <v>1</v>
      </c>
      <c r="O480">
        <v>1</v>
      </c>
      <c r="P480" t="str">
        <f>VLOOKUP(B480,'CHECK_DT-BT_chi_tiet'!$A:$C,3,FALSE)</f>
        <v>BV Bắc Giang</v>
      </c>
      <c r="Q480" t="str">
        <f>VLOOKUP(A480,Sheet3!$K$11:$L$21,2,FALSE)</f>
        <v>BH Du lịch</v>
      </c>
      <c r="R480" t="str">
        <f>VLOOKUP(Q480,Sheet3!$L$11:$M$21,2,FALSE)</f>
        <v>HQ1</v>
      </c>
      <c r="S480" s="26">
        <f>SUMIFS('HQ2'!$O:$O,'HQ2'!$B:$B, "="&amp;'Tong_hop_HQNV_2026Q1_2026-06-23'!Q480, 'HQ2'!$A:$A,"="&amp;'Tong_hop_HQNV_2026Q1_2026-06-23'!P480)</f>
        <v>0</v>
      </c>
      <c r="T480" s="7">
        <f t="shared" si="7"/>
        <v>0</v>
      </c>
    </row>
    <row r="481" spans="1:20" x14ac:dyDescent="0.25">
      <c r="A481" t="s">
        <v>16</v>
      </c>
      <c r="B481" s="9" t="s">
        <v>289</v>
      </c>
      <c r="C481">
        <v>0</v>
      </c>
      <c r="D481">
        <v>0</v>
      </c>
      <c r="E481">
        <v>0</v>
      </c>
      <c r="F481">
        <v>329586840</v>
      </c>
      <c r="G481">
        <v>0</v>
      </c>
      <c r="H481">
        <v>0</v>
      </c>
      <c r="I481">
        <v>0</v>
      </c>
      <c r="J481">
        <v>0</v>
      </c>
      <c r="K481">
        <v>329586840</v>
      </c>
      <c r="L481">
        <v>0</v>
      </c>
      <c r="M481" t="s">
        <v>17</v>
      </c>
      <c r="N481">
        <v>1</v>
      </c>
      <c r="O481">
        <v>1</v>
      </c>
      <c r="P481" t="str">
        <f>VLOOKUP(B481,'CHECK_DT-BT_chi_tiet'!$A:$C,3,FALSE)</f>
        <v>BV Bạc Liêu</v>
      </c>
      <c r="Q481" t="str">
        <f>VLOOKUP(A481,Sheet3!$K$11:$L$21,2,FALSE)</f>
        <v>BH Du lịch</v>
      </c>
      <c r="R481" t="str">
        <f>VLOOKUP(Q481,Sheet3!$L$11:$M$21,2,FALSE)</f>
        <v>HQ1</v>
      </c>
      <c r="S481" s="26">
        <f>SUMIFS('HQ2'!$O:$O,'HQ2'!$B:$B, "="&amp;'Tong_hop_HQNV_2026Q1_2026-06-23'!Q481, 'HQ2'!$A:$A,"="&amp;'Tong_hop_HQNV_2026Q1_2026-06-23'!P481)</f>
        <v>0</v>
      </c>
      <c r="T481" s="7">
        <f t="shared" si="7"/>
        <v>0</v>
      </c>
    </row>
    <row r="482" spans="1:20" x14ac:dyDescent="0.25">
      <c r="A482" t="s">
        <v>16</v>
      </c>
      <c r="B482" s="9" t="s">
        <v>292</v>
      </c>
      <c r="C482">
        <v>0</v>
      </c>
      <c r="D482">
        <v>0</v>
      </c>
      <c r="E482">
        <v>0</v>
      </c>
      <c r="F482">
        <v>13748400</v>
      </c>
      <c r="G482">
        <v>0</v>
      </c>
      <c r="H482">
        <v>0</v>
      </c>
      <c r="I482">
        <v>0</v>
      </c>
      <c r="J482">
        <v>0</v>
      </c>
      <c r="K482">
        <v>13748400</v>
      </c>
      <c r="L482">
        <v>0</v>
      </c>
      <c r="M482" t="s">
        <v>17</v>
      </c>
      <c r="N482">
        <v>1</v>
      </c>
      <c r="O482">
        <v>1</v>
      </c>
      <c r="P482" t="str">
        <f>VLOOKUP(B482,'CHECK_DT-BT_chi_tiet'!$A:$C,3,FALSE)</f>
        <v>BV Bến Tre</v>
      </c>
      <c r="Q482" t="str">
        <f>VLOOKUP(A482,Sheet3!$K$11:$L$21,2,FALSE)</f>
        <v>BH Du lịch</v>
      </c>
      <c r="R482" t="str">
        <f>VLOOKUP(Q482,Sheet3!$L$11:$M$21,2,FALSE)</f>
        <v>HQ1</v>
      </c>
      <c r="S482" s="26">
        <f>SUMIFS('HQ2'!$O:$O,'HQ2'!$B:$B, "="&amp;'Tong_hop_HQNV_2026Q1_2026-06-23'!Q482, 'HQ2'!$A:$A,"="&amp;'Tong_hop_HQNV_2026Q1_2026-06-23'!P482)</f>
        <v>0</v>
      </c>
      <c r="T482" s="7">
        <f t="shared" si="7"/>
        <v>0</v>
      </c>
    </row>
    <row r="483" spans="1:20" x14ac:dyDescent="0.25">
      <c r="A483" t="s">
        <v>16</v>
      </c>
      <c r="B483" s="9" t="s">
        <v>293</v>
      </c>
      <c r="C483">
        <v>0</v>
      </c>
      <c r="D483">
        <v>0</v>
      </c>
      <c r="E483">
        <v>0</v>
      </c>
      <c r="F483">
        <v>48831400</v>
      </c>
      <c r="G483">
        <v>0</v>
      </c>
      <c r="H483">
        <v>0</v>
      </c>
      <c r="I483">
        <v>0</v>
      </c>
      <c r="J483">
        <v>0</v>
      </c>
      <c r="K483">
        <v>48831400</v>
      </c>
      <c r="L483">
        <v>0</v>
      </c>
      <c r="M483" t="s">
        <v>17</v>
      </c>
      <c r="N483">
        <v>1</v>
      </c>
      <c r="O483">
        <v>1</v>
      </c>
      <c r="P483" t="str">
        <f>VLOOKUP(B483,'CHECK_DT-BT_chi_tiet'!$A:$C,3,FALSE)</f>
        <v>BV Bình Định</v>
      </c>
      <c r="Q483" t="str">
        <f>VLOOKUP(A483,Sheet3!$K$11:$L$21,2,FALSE)</f>
        <v>BH Du lịch</v>
      </c>
      <c r="R483" t="str">
        <f>VLOOKUP(Q483,Sheet3!$L$11:$M$21,2,FALSE)</f>
        <v>HQ1</v>
      </c>
      <c r="S483" s="26">
        <f>SUMIFS('HQ2'!$O:$O,'HQ2'!$B:$B, "="&amp;'Tong_hop_HQNV_2026Q1_2026-06-23'!Q483, 'HQ2'!$A:$A,"="&amp;'Tong_hop_HQNV_2026Q1_2026-06-23'!P483)</f>
        <v>0</v>
      </c>
      <c r="T483" s="7">
        <f t="shared" si="7"/>
        <v>0</v>
      </c>
    </row>
    <row r="484" spans="1:20" x14ac:dyDescent="0.25">
      <c r="A484" t="s">
        <v>16</v>
      </c>
      <c r="B484" s="9" t="s">
        <v>295</v>
      </c>
      <c r="C484">
        <v>0</v>
      </c>
      <c r="D484">
        <v>0</v>
      </c>
      <c r="E484">
        <v>0</v>
      </c>
      <c r="F484">
        <v>43330000</v>
      </c>
      <c r="G484">
        <v>0</v>
      </c>
      <c r="H484">
        <v>0</v>
      </c>
      <c r="I484">
        <v>0</v>
      </c>
      <c r="J484">
        <v>0</v>
      </c>
      <c r="K484">
        <v>43330000</v>
      </c>
      <c r="L484">
        <v>0</v>
      </c>
      <c r="M484" t="s">
        <v>17</v>
      </c>
      <c r="N484">
        <v>1</v>
      </c>
      <c r="O484">
        <v>1</v>
      </c>
      <c r="P484" t="str">
        <f>VLOOKUP(B484,'CHECK_DT-BT_chi_tiet'!$A:$C,3,FALSE)</f>
        <v>BV Bình Phước</v>
      </c>
      <c r="Q484" t="str">
        <f>VLOOKUP(A484,Sheet3!$K$11:$L$21,2,FALSE)</f>
        <v>BH Du lịch</v>
      </c>
      <c r="R484" t="str">
        <f>VLOOKUP(Q484,Sheet3!$L$11:$M$21,2,FALSE)</f>
        <v>HQ1</v>
      </c>
      <c r="S484" s="26">
        <f>SUMIFS('HQ2'!$O:$O,'HQ2'!$B:$B, "="&amp;'Tong_hop_HQNV_2026Q1_2026-06-23'!Q484, 'HQ2'!$A:$A,"="&amp;'Tong_hop_HQNV_2026Q1_2026-06-23'!P484)</f>
        <v>0</v>
      </c>
      <c r="T484" s="7">
        <f t="shared" si="7"/>
        <v>0</v>
      </c>
    </row>
    <row r="485" spans="1:20" x14ac:dyDescent="0.25">
      <c r="A485" t="s">
        <v>16</v>
      </c>
      <c r="B485" s="9" t="s">
        <v>296</v>
      </c>
      <c r="C485">
        <v>0</v>
      </c>
      <c r="D485">
        <v>0</v>
      </c>
      <c r="E485">
        <v>0</v>
      </c>
      <c r="F485">
        <v>110977500</v>
      </c>
      <c r="G485">
        <v>0</v>
      </c>
      <c r="H485">
        <v>0</v>
      </c>
      <c r="I485">
        <v>0</v>
      </c>
      <c r="J485">
        <v>0</v>
      </c>
      <c r="K485">
        <v>110977500</v>
      </c>
      <c r="L485">
        <v>0</v>
      </c>
      <c r="M485" t="s">
        <v>17</v>
      </c>
      <c r="N485">
        <v>1</v>
      </c>
      <c r="O485">
        <v>1</v>
      </c>
      <c r="P485" t="str">
        <f>VLOOKUP(B485,'CHECK_DT-BT_chi_tiet'!$A:$C,3,FALSE)</f>
        <v>BV Bình Thuận</v>
      </c>
      <c r="Q485" t="str">
        <f>VLOOKUP(A485,Sheet3!$K$11:$L$21,2,FALSE)</f>
        <v>BH Du lịch</v>
      </c>
      <c r="R485" t="str">
        <f>VLOOKUP(Q485,Sheet3!$L$11:$M$21,2,FALSE)</f>
        <v>HQ1</v>
      </c>
      <c r="S485" s="26">
        <f>SUMIFS('HQ2'!$O:$O,'HQ2'!$B:$B, "="&amp;'Tong_hop_HQNV_2026Q1_2026-06-23'!Q485, 'HQ2'!$A:$A,"="&amp;'Tong_hop_HQNV_2026Q1_2026-06-23'!P485)</f>
        <v>0</v>
      </c>
      <c r="T485" s="7">
        <f t="shared" si="7"/>
        <v>0</v>
      </c>
    </row>
    <row r="486" spans="1:20" x14ac:dyDescent="0.25">
      <c r="A486" t="s">
        <v>16</v>
      </c>
      <c r="B486" s="9" t="s">
        <v>297</v>
      </c>
      <c r="C486">
        <v>0</v>
      </c>
      <c r="D486">
        <v>0</v>
      </c>
      <c r="E486">
        <v>0</v>
      </c>
      <c r="F486">
        <v>1352000</v>
      </c>
      <c r="G486">
        <v>0</v>
      </c>
      <c r="H486">
        <v>0</v>
      </c>
      <c r="I486">
        <v>0</v>
      </c>
      <c r="J486">
        <v>0</v>
      </c>
      <c r="K486">
        <v>1352000</v>
      </c>
      <c r="L486">
        <v>0</v>
      </c>
      <c r="M486" t="s">
        <v>17</v>
      </c>
      <c r="N486">
        <v>1</v>
      </c>
      <c r="O486">
        <v>1</v>
      </c>
      <c r="P486" t="str">
        <f>VLOOKUP(B486,'CHECK_DT-BT_chi_tiet'!$A:$C,3,FALSE)</f>
        <v>BV Cà Mau</v>
      </c>
      <c r="Q486" t="str">
        <f>VLOOKUP(A486,Sheet3!$K$11:$L$21,2,FALSE)</f>
        <v>BH Du lịch</v>
      </c>
      <c r="R486" t="str">
        <f>VLOOKUP(Q486,Sheet3!$L$11:$M$21,2,FALSE)</f>
        <v>HQ1</v>
      </c>
      <c r="S486" s="26">
        <f>SUMIFS('HQ2'!$O:$O,'HQ2'!$B:$B, "="&amp;'Tong_hop_HQNV_2026Q1_2026-06-23'!Q486, 'HQ2'!$A:$A,"="&amp;'Tong_hop_HQNV_2026Q1_2026-06-23'!P486)</f>
        <v>0</v>
      </c>
      <c r="T486" s="7">
        <f t="shared" si="7"/>
        <v>0</v>
      </c>
    </row>
    <row r="487" spans="1:20" x14ac:dyDescent="0.25">
      <c r="A487" t="s">
        <v>16</v>
      </c>
      <c r="B487" s="9" t="s">
        <v>299</v>
      </c>
      <c r="C487">
        <v>0</v>
      </c>
      <c r="D487">
        <v>0</v>
      </c>
      <c r="E487">
        <v>0</v>
      </c>
      <c r="F487">
        <v>257838000</v>
      </c>
      <c r="G487">
        <v>0</v>
      </c>
      <c r="H487">
        <v>0</v>
      </c>
      <c r="I487">
        <v>0</v>
      </c>
      <c r="J487">
        <v>0</v>
      </c>
      <c r="K487">
        <v>257838000</v>
      </c>
      <c r="L487">
        <v>0</v>
      </c>
      <c r="M487" t="s">
        <v>17</v>
      </c>
      <c r="N487">
        <v>1</v>
      </c>
      <c r="O487">
        <v>1</v>
      </c>
      <c r="P487" t="str">
        <f>VLOOKUP(B487,'CHECK_DT-BT_chi_tiet'!$A:$C,3,FALSE)</f>
        <v>BV Cao Bằng</v>
      </c>
      <c r="Q487" t="str">
        <f>VLOOKUP(A487,Sheet3!$K$11:$L$21,2,FALSE)</f>
        <v>BH Du lịch</v>
      </c>
      <c r="R487" t="str">
        <f>VLOOKUP(Q487,Sheet3!$L$11:$M$21,2,FALSE)</f>
        <v>HQ1</v>
      </c>
      <c r="S487" s="26">
        <f>SUMIFS('HQ2'!$O:$O,'HQ2'!$B:$B, "="&amp;'Tong_hop_HQNV_2026Q1_2026-06-23'!Q487, 'HQ2'!$A:$A,"="&amp;'Tong_hop_HQNV_2026Q1_2026-06-23'!P487)</f>
        <v>0</v>
      </c>
      <c r="T487" s="7">
        <f t="shared" si="7"/>
        <v>0</v>
      </c>
    </row>
    <row r="488" spans="1:20" x14ac:dyDescent="0.25">
      <c r="A488" t="s">
        <v>16</v>
      </c>
      <c r="B488" s="9" t="s">
        <v>298</v>
      </c>
      <c r="C488">
        <v>0</v>
      </c>
      <c r="D488">
        <v>0</v>
      </c>
      <c r="E488">
        <v>0</v>
      </c>
      <c r="F488">
        <v>94598600</v>
      </c>
      <c r="G488">
        <v>0</v>
      </c>
      <c r="H488">
        <v>0</v>
      </c>
      <c r="I488">
        <v>0</v>
      </c>
      <c r="J488">
        <v>0</v>
      </c>
      <c r="K488">
        <v>94598600</v>
      </c>
      <c r="L488">
        <v>0</v>
      </c>
      <c r="M488" t="s">
        <v>17</v>
      </c>
      <c r="N488">
        <v>1</v>
      </c>
      <c r="O488">
        <v>1</v>
      </c>
      <c r="P488" t="str">
        <f>VLOOKUP(B488,'CHECK_DT-BT_chi_tiet'!$A:$C,3,FALSE)</f>
        <v>BV Cần Thơ</v>
      </c>
      <c r="Q488" t="str">
        <f>VLOOKUP(A488,Sheet3!$K$11:$L$21,2,FALSE)</f>
        <v>BH Du lịch</v>
      </c>
      <c r="R488" t="str">
        <f>VLOOKUP(Q488,Sheet3!$L$11:$M$21,2,FALSE)</f>
        <v>HQ1</v>
      </c>
      <c r="S488" s="26">
        <f>SUMIFS('HQ2'!$O:$O,'HQ2'!$B:$B, "="&amp;'Tong_hop_HQNV_2026Q1_2026-06-23'!Q488, 'HQ2'!$A:$A,"="&amp;'Tong_hop_HQNV_2026Q1_2026-06-23'!P488)</f>
        <v>0</v>
      </c>
      <c r="T488" s="7">
        <f t="shared" si="7"/>
        <v>0</v>
      </c>
    </row>
    <row r="489" spans="1:20" x14ac:dyDescent="0.25">
      <c r="A489" t="s">
        <v>16</v>
      </c>
      <c r="B489" s="9" t="s">
        <v>307</v>
      </c>
      <c r="C489">
        <v>0</v>
      </c>
      <c r="D489">
        <v>0</v>
      </c>
      <c r="E489">
        <v>0</v>
      </c>
      <c r="F489">
        <v>158083300</v>
      </c>
      <c r="G489">
        <v>0</v>
      </c>
      <c r="H489">
        <v>0</v>
      </c>
      <c r="I489">
        <v>0</v>
      </c>
      <c r="J489">
        <v>0</v>
      </c>
      <c r="K489">
        <v>158083300</v>
      </c>
      <c r="L489">
        <v>0</v>
      </c>
      <c r="M489" t="s">
        <v>17</v>
      </c>
      <c r="N489">
        <v>1</v>
      </c>
      <c r="O489">
        <v>1</v>
      </c>
      <c r="P489" t="str">
        <f>VLOOKUP(B489,'CHECK_DT-BT_chi_tiet'!$A:$C,3,FALSE)</f>
        <v>BV Đồng Nai</v>
      </c>
      <c r="Q489" t="str">
        <f>VLOOKUP(A489,Sheet3!$K$11:$L$21,2,FALSE)</f>
        <v>BH Du lịch</v>
      </c>
      <c r="R489" t="str">
        <f>VLOOKUP(Q489,Sheet3!$L$11:$M$21,2,FALSE)</f>
        <v>HQ1</v>
      </c>
      <c r="S489" s="26">
        <f>SUMIFS('HQ2'!$O:$O,'HQ2'!$B:$B, "="&amp;'Tong_hop_HQNV_2026Q1_2026-06-23'!Q489, 'HQ2'!$A:$A,"="&amp;'Tong_hop_HQNV_2026Q1_2026-06-23'!P489)</f>
        <v>0</v>
      </c>
      <c r="T489" s="7">
        <f t="shared" si="7"/>
        <v>0</v>
      </c>
    </row>
    <row r="490" spans="1:20" x14ac:dyDescent="0.25">
      <c r="A490" t="s">
        <v>16</v>
      </c>
      <c r="B490" s="9" t="s">
        <v>308</v>
      </c>
      <c r="C490">
        <v>0</v>
      </c>
      <c r="D490">
        <v>0</v>
      </c>
      <c r="E490">
        <v>0</v>
      </c>
      <c r="F490">
        <v>23195500</v>
      </c>
      <c r="G490">
        <v>0</v>
      </c>
      <c r="H490">
        <v>0</v>
      </c>
      <c r="I490">
        <v>0</v>
      </c>
      <c r="J490">
        <v>0</v>
      </c>
      <c r="K490">
        <v>23195500</v>
      </c>
      <c r="L490">
        <v>0</v>
      </c>
      <c r="M490" t="s">
        <v>17</v>
      </c>
      <c r="N490">
        <v>1</v>
      </c>
      <c r="O490">
        <v>1</v>
      </c>
      <c r="P490" t="str">
        <f>VLOOKUP(B490,'CHECK_DT-BT_chi_tiet'!$A:$C,3,FALSE)</f>
        <v>BV Đồng Tháp</v>
      </c>
      <c r="Q490" t="str">
        <f>VLOOKUP(A490,Sheet3!$K$11:$L$21,2,FALSE)</f>
        <v>BH Du lịch</v>
      </c>
      <c r="R490" t="str">
        <f>VLOOKUP(Q490,Sheet3!$L$11:$M$21,2,FALSE)</f>
        <v>HQ1</v>
      </c>
      <c r="S490" s="26">
        <f>SUMIFS('HQ2'!$O:$O,'HQ2'!$B:$B, "="&amp;'Tong_hop_HQNV_2026Q1_2026-06-23'!Q490, 'HQ2'!$A:$A,"="&amp;'Tong_hop_HQNV_2026Q1_2026-06-23'!P490)</f>
        <v>0</v>
      </c>
      <c r="T490" s="7">
        <f t="shared" si="7"/>
        <v>0</v>
      </c>
    </row>
    <row r="491" spans="1:20" x14ac:dyDescent="0.25">
      <c r="A491" t="s">
        <v>16</v>
      </c>
      <c r="B491" s="9" t="s">
        <v>311</v>
      </c>
      <c r="C491">
        <v>0</v>
      </c>
      <c r="D491">
        <v>0</v>
      </c>
      <c r="E491">
        <v>0</v>
      </c>
      <c r="F491">
        <v>106560000</v>
      </c>
      <c r="G491">
        <v>0</v>
      </c>
      <c r="H491">
        <v>0</v>
      </c>
      <c r="I491">
        <v>0</v>
      </c>
      <c r="J491">
        <v>0</v>
      </c>
      <c r="K491">
        <v>106560000</v>
      </c>
      <c r="L491">
        <v>0</v>
      </c>
      <c r="M491" t="s">
        <v>17</v>
      </c>
      <c r="N491">
        <v>1</v>
      </c>
      <c r="O491">
        <v>1</v>
      </c>
      <c r="P491" t="str">
        <f>VLOOKUP(B491,'CHECK_DT-BT_chi_tiet'!$A:$C,3,FALSE)</f>
        <v>BV Hà Giang</v>
      </c>
      <c r="Q491" t="str">
        <f>VLOOKUP(A491,Sheet3!$K$11:$L$21,2,FALSE)</f>
        <v>BH Du lịch</v>
      </c>
      <c r="R491" t="str">
        <f>VLOOKUP(Q491,Sheet3!$L$11:$M$21,2,FALSE)</f>
        <v>HQ1</v>
      </c>
      <c r="S491" s="26">
        <f>SUMIFS('HQ2'!$O:$O,'HQ2'!$B:$B, "="&amp;'Tong_hop_HQNV_2026Q1_2026-06-23'!Q491, 'HQ2'!$A:$A,"="&amp;'Tong_hop_HQNV_2026Q1_2026-06-23'!P491)</f>
        <v>0</v>
      </c>
      <c r="T491" s="7">
        <f t="shared" si="7"/>
        <v>0</v>
      </c>
    </row>
    <row r="492" spans="1:20" x14ac:dyDescent="0.25">
      <c r="A492" t="s">
        <v>16</v>
      </c>
      <c r="B492" s="9" t="s">
        <v>312</v>
      </c>
      <c r="C492">
        <v>0</v>
      </c>
      <c r="D492">
        <v>0</v>
      </c>
      <c r="E492">
        <v>0</v>
      </c>
      <c r="F492">
        <v>7369200</v>
      </c>
      <c r="G492">
        <v>0</v>
      </c>
      <c r="H492">
        <v>0</v>
      </c>
      <c r="I492">
        <v>0</v>
      </c>
      <c r="J492">
        <v>0</v>
      </c>
      <c r="K492">
        <v>7369200</v>
      </c>
      <c r="L492">
        <v>0</v>
      </c>
      <c r="M492" t="s">
        <v>17</v>
      </c>
      <c r="N492">
        <v>1</v>
      </c>
      <c r="O492">
        <v>1</v>
      </c>
      <c r="P492" t="str">
        <f>VLOOKUP(B492,'CHECK_DT-BT_chi_tiet'!$A:$C,3,FALSE)</f>
        <v>BV Hà Nam</v>
      </c>
      <c r="Q492" t="str">
        <f>VLOOKUP(A492,Sheet3!$K$11:$L$21,2,FALSE)</f>
        <v>BH Du lịch</v>
      </c>
      <c r="R492" t="str">
        <f>VLOOKUP(Q492,Sheet3!$L$11:$M$21,2,FALSE)</f>
        <v>HQ1</v>
      </c>
      <c r="S492" s="26">
        <f>SUMIFS('HQ2'!$O:$O,'HQ2'!$B:$B, "="&amp;'Tong_hop_HQNV_2026Q1_2026-06-23'!Q492, 'HQ2'!$A:$A,"="&amp;'Tong_hop_HQNV_2026Q1_2026-06-23'!P492)</f>
        <v>0</v>
      </c>
      <c r="T492" s="7">
        <f t="shared" si="7"/>
        <v>0</v>
      </c>
    </row>
    <row r="493" spans="1:20" x14ac:dyDescent="0.25">
      <c r="A493" t="s">
        <v>16</v>
      </c>
      <c r="B493" s="9" t="s">
        <v>316</v>
      </c>
      <c r="C493">
        <v>0</v>
      </c>
      <c r="D493">
        <v>0</v>
      </c>
      <c r="E493">
        <v>0</v>
      </c>
      <c r="F493">
        <v>168983400</v>
      </c>
      <c r="G493">
        <v>0</v>
      </c>
      <c r="H493">
        <v>0</v>
      </c>
      <c r="I493">
        <v>0</v>
      </c>
      <c r="J493">
        <v>0</v>
      </c>
      <c r="K493">
        <v>168983400</v>
      </c>
      <c r="L493">
        <v>0</v>
      </c>
      <c r="M493" t="s">
        <v>17</v>
      </c>
      <c r="N493">
        <v>1</v>
      </c>
      <c r="O493">
        <v>1</v>
      </c>
      <c r="P493" t="str">
        <f>VLOOKUP(B493,'CHECK_DT-BT_chi_tiet'!$A:$C,3,FALSE)</f>
        <v>BV Hải Dương</v>
      </c>
      <c r="Q493" t="str">
        <f>VLOOKUP(A493,Sheet3!$K$11:$L$21,2,FALSE)</f>
        <v>BH Du lịch</v>
      </c>
      <c r="R493" t="str">
        <f>VLOOKUP(Q493,Sheet3!$L$11:$M$21,2,FALSE)</f>
        <v>HQ1</v>
      </c>
      <c r="S493" s="26">
        <f>SUMIFS('HQ2'!$O:$O,'HQ2'!$B:$B, "="&amp;'Tong_hop_HQNV_2026Q1_2026-06-23'!Q493, 'HQ2'!$A:$A,"="&amp;'Tong_hop_HQNV_2026Q1_2026-06-23'!P493)</f>
        <v>0</v>
      </c>
      <c r="T493" s="7">
        <f t="shared" si="7"/>
        <v>0</v>
      </c>
    </row>
    <row r="494" spans="1:20" x14ac:dyDescent="0.25">
      <c r="A494" t="s">
        <v>16</v>
      </c>
      <c r="B494" s="9" t="s">
        <v>317</v>
      </c>
      <c r="C494">
        <v>0</v>
      </c>
      <c r="D494">
        <v>0</v>
      </c>
      <c r="E494">
        <v>0</v>
      </c>
      <c r="F494">
        <v>137165140</v>
      </c>
      <c r="G494">
        <v>0</v>
      </c>
      <c r="H494">
        <v>0</v>
      </c>
      <c r="I494">
        <v>0</v>
      </c>
      <c r="J494">
        <v>0</v>
      </c>
      <c r="K494">
        <v>137165140</v>
      </c>
      <c r="L494">
        <v>0</v>
      </c>
      <c r="M494" t="s">
        <v>17</v>
      </c>
      <c r="N494">
        <v>1</v>
      </c>
      <c r="O494">
        <v>1</v>
      </c>
      <c r="P494" t="str">
        <f>VLOOKUP(B494,'CHECK_DT-BT_chi_tiet'!$A:$C,3,FALSE)</f>
        <v>BV Hải Phòng</v>
      </c>
      <c r="Q494" t="str">
        <f>VLOOKUP(A494,Sheet3!$K$11:$L$21,2,FALSE)</f>
        <v>BH Du lịch</v>
      </c>
      <c r="R494" t="str">
        <f>VLOOKUP(Q494,Sheet3!$L$11:$M$21,2,FALSE)</f>
        <v>HQ1</v>
      </c>
      <c r="S494" s="26">
        <f>SUMIFS('HQ2'!$O:$O,'HQ2'!$B:$B, "="&amp;'Tong_hop_HQNV_2026Q1_2026-06-23'!Q494, 'HQ2'!$A:$A,"="&amp;'Tong_hop_HQNV_2026Q1_2026-06-23'!P494)</f>
        <v>0</v>
      </c>
      <c r="T494" s="7">
        <f t="shared" si="7"/>
        <v>0</v>
      </c>
    </row>
    <row r="495" spans="1:20" x14ac:dyDescent="0.25">
      <c r="A495" t="s">
        <v>16</v>
      </c>
      <c r="B495" s="9" t="s">
        <v>320</v>
      </c>
      <c r="C495">
        <v>0</v>
      </c>
      <c r="D495">
        <v>0</v>
      </c>
      <c r="E495">
        <v>0</v>
      </c>
      <c r="F495">
        <v>15704600</v>
      </c>
      <c r="G495">
        <v>0</v>
      </c>
      <c r="H495">
        <v>0</v>
      </c>
      <c r="I495">
        <v>0</v>
      </c>
      <c r="J495">
        <v>0</v>
      </c>
      <c r="K495">
        <v>15704600</v>
      </c>
      <c r="L495">
        <v>0</v>
      </c>
      <c r="M495" t="s">
        <v>17</v>
      </c>
      <c r="N495">
        <v>1</v>
      </c>
      <c r="O495">
        <v>1</v>
      </c>
      <c r="P495" t="str">
        <f>VLOOKUP(B495,'CHECK_DT-BT_chi_tiet'!$A:$C,3,FALSE)</f>
        <v>BV Hưng Yên</v>
      </c>
      <c r="Q495" t="str">
        <f>VLOOKUP(A495,Sheet3!$K$11:$L$21,2,FALSE)</f>
        <v>BH Du lịch</v>
      </c>
      <c r="R495" t="str">
        <f>VLOOKUP(Q495,Sheet3!$L$11:$M$21,2,FALSE)</f>
        <v>HQ1</v>
      </c>
      <c r="S495" s="26">
        <f>SUMIFS('HQ2'!$O:$O,'HQ2'!$B:$B, "="&amp;'Tong_hop_HQNV_2026Q1_2026-06-23'!Q495, 'HQ2'!$A:$A,"="&amp;'Tong_hop_HQNV_2026Q1_2026-06-23'!P495)</f>
        <v>0</v>
      </c>
      <c r="T495" s="7">
        <f t="shared" si="7"/>
        <v>0</v>
      </c>
    </row>
    <row r="496" spans="1:20" x14ac:dyDescent="0.25">
      <c r="A496" t="s">
        <v>16</v>
      </c>
      <c r="B496" s="9" t="s">
        <v>319</v>
      </c>
      <c r="C496">
        <v>0</v>
      </c>
      <c r="D496">
        <v>0</v>
      </c>
      <c r="E496">
        <v>0</v>
      </c>
      <c r="F496">
        <v>336264500</v>
      </c>
      <c r="G496">
        <v>0</v>
      </c>
      <c r="H496">
        <v>0</v>
      </c>
      <c r="I496">
        <v>0</v>
      </c>
      <c r="J496">
        <v>0</v>
      </c>
      <c r="K496">
        <v>336264500</v>
      </c>
      <c r="L496">
        <v>0</v>
      </c>
      <c r="M496" t="s">
        <v>17</v>
      </c>
      <c r="N496">
        <v>1</v>
      </c>
      <c r="O496">
        <v>1</v>
      </c>
      <c r="P496" t="str">
        <f>VLOOKUP(B496,'CHECK_DT-BT_chi_tiet'!$A:$C,3,FALSE)</f>
        <v>BV Hòa Bình</v>
      </c>
      <c r="Q496" t="str">
        <f>VLOOKUP(A496,Sheet3!$K$11:$L$21,2,FALSE)</f>
        <v>BH Du lịch</v>
      </c>
      <c r="R496" t="str">
        <f>VLOOKUP(Q496,Sheet3!$L$11:$M$21,2,FALSE)</f>
        <v>HQ1</v>
      </c>
      <c r="S496" s="26">
        <f>SUMIFS('HQ2'!$O:$O,'HQ2'!$B:$B, "="&amp;'Tong_hop_HQNV_2026Q1_2026-06-23'!Q496, 'HQ2'!$A:$A,"="&amp;'Tong_hop_HQNV_2026Q1_2026-06-23'!P496)</f>
        <v>0</v>
      </c>
      <c r="T496" s="7">
        <f t="shared" si="7"/>
        <v>0</v>
      </c>
    </row>
    <row r="497" spans="1:20" x14ac:dyDescent="0.25">
      <c r="A497" t="s">
        <v>16</v>
      </c>
      <c r="B497" s="9" t="s">
        <v>323</v>
      </c>
      <c r="C497">
        <v>0</v>
      </c>
      <c r="D497">
        <v>0</v>
      </c>
      <c r="E497">
        <v>0</v>
      </c>
      <c r="F497">
        <v>576000</v>
      </c>
      <c r="G497">
        <v>0</v>
      </c>
      <c r="H497">
        <v>0</v>
      </c>
      <c r="I497">
        <v>0</v>
      </c>
      <c r="J497">
        <v>0</v>
      </c>
      <c r="K497">
        <v>576000</v>
      </c>
      <c r="L497">
        <v>0</v>
      </c>
      <c r="M497" t="s">
        <v>17</v>
      </c>
      <c r="N497">
        <v>1</v>
      </c>
      <c r="O497">
        <v>1</v>
      </c>
      <c r="P497" t="str">
        <f>VLOOKUP(B497,'CHECK_DT-BT_chi_tiet'!$A:$C,3,FALSE)</f>
        <v>BV Kon Tum</v>
      </c>
      <c r="Q497" t="str">
        <f>VLOOKUP(A497,Sheet3!$K$11:$L$21,2,FALSE)</f>
        <v>BH Du lịch</v>
      </c>
      <c r="R497" t="str">
        <f>VLOOKUP(Q497,Sheet3!$L$11:$M$21,2,FALSE)</f>
        <v>HQ1</v>
      </c>
      <c r="S497" s="26">
        <f>SUMIFS('HQ2'!$O:$O,'HQ2'!$B:$B, "="&amp;'Tong_hop_HQNV_2026Q1_2026-06-23'!Q497, 'HQ2'!$A:$A,"="&amp;'Tong_hop_HQNV_2026Q1_2026-06-23'!P497)</f>
        <v>0</v>
      </c>
      <c r="T497" s="7">
        <f t="shared" si="7"/>
        <v>0</v>
      </c>
    </row>
    <row r="498" spans="1:20" x14ac:dyDescent="0.25">
      <c r="A498" t="s">
        <v>16</v>
      </c>
      <c r="B498" s="9" t="s">
        <v>325</v>
      </c>
      <c r="C498">
        <v>0</v>
      </c>
      <c r="D498">
        <v>0</v>
      </c>
      <c r="E498">
        <v>0</v>
      </c>
      <c r="F498">
        <v>71713500</v>
      </c>
      <c r="G498">
        <v>0</v>
      </c>
      <c r="H498">
        <v>0</v>
      </c>
      <c r="I498">
        <v>0</v>
      </c>
      <c r="J498">
        <v>0</v>
      </c>
      <c r="K498">
        <v>71713500</v>
      </c>
      <c r="L498">
        <v>0</v>
      </c>
      <c r="M498" t="s">
        <v>17</v>
      </c>
      <c r="N498">
        <v>1</v>
      </c>
      <c r="O498">
        <v>1</v>
      </c>
      <c r="P498" t="str">
        <f>VLOOKUP(B498,'CHECK_DT-BT_chi_tiet'!$A:$C,3,FALSE)</f>
        <v>BV Lâm Đồng</v>
      </c>
      <c r="Q498" t="str">
        <f>VLOOKUP(A498,Sheet3!$K$11:$L$21,2,FALSE)</f>
        <v>BH Du lịch</v>
      </c>
      <c r="R498" t="str">
        <f>VLOOKUP(Q498,Sheet3!$L$11:$M$21,2,FALSE)</f>
        <v>HQ1</v>
      </c>
      <c r="S498" s="26">
        <f>SUMIFS('HQ2'!$O:$O,'HQ2'!$B:$B, "="&amp;'Tong_hop_HQNV_2026Q1_2026-06-23'!Q498, 'HQ2'!$A:$A,"="&amp;'Tong_hop_HQNV_2026Q1_2026-06-23'!P498)</f>
        <v>0</v>
      </c>
      <c r="T498" s="7">
        <f t="shared" si="7"/>
        <v>0</v>
      </c>
    </row>
    <row r="499" spans="1:20" x14ac:dyDescent="0.25">
      <c r="A499" t="s">
        <v>16</v>
      </c>
      <c r="B499" s="9" t="s">
        <v>326</v>
      </c>
      <c r="C499">
        <v>0</v>
      </c>
      <c r="D499">
        <v>0</v>
      </c>
      <c r="E499">
        <v>0</v>
      </c>
      <c r="F499">
        <v>1605000</v>
      </c>
      <c r="G499">
        <v>0</v>
      </c>
      <c r="H499">
        <v>0</v>
      </c>
      <c r="I499">
        <v>0</v>
      </c>
      <c r="J499">
        <v>0</v>
      </c>
      <c r="K499">
        <v>1605000</v>
      </c>
      <c r="L499">
        <v>0</v>
      </c>
      <c r="M499" t="s">
        <v>17</v>
      </c>
      <c r="N499">
        <v>1</v>
      </c>
      <c r="O499">
        <v>1</v>
      </c>
      <c r="P499" t="str">
        <f>VLOOKUP(B499,'CHECK_DT-BT_chi_tiet'!$A:$C,3,FALSE)</f>
        <v>BV Lạng Sơn</v>
      </c>
      <c r="Q499" t="str">
        <f>VLOOKUP(A499,Sheet3!$K$11:$L$21,2,FALSE)</f>
        <v>BH Du lịch</v>
      </c>
      <c r="R499" t="str">
        <f>VLOOKUP(Q499,Sheet3!$L$11:$M$21,2,FALSE)</f>
        <v>HQ1</v>
      </c>
      <c r="S499" s="26">
        <f>SUMIFS('HQ2'!$O:$O,'HQ2'!$B:$B, "="&amp;'Tong_hop_HQNV_2026Q1_2026-06-23'!Q499, 'HQ2'!$A:$A,"="&amp;'Tong_hop_HQNV_2026Q1_2026-06-23'!P499)</f>
        <v>0</v>
      </c>
      <c r="T499" s="7">
        <f t="shared" si="7"/>
        <v>0</v>
      </c>
    </row>
    <row r="500" spans="1:20" x14ac:dyDescent="0.25">
      <c r="A500" t="s">
        <v>16</v>
      </c>
      <c r="B500" s="9" t="s">
        <v>303</v>
      </c>
      <c r="C500">
        <v>0</v>
      </c>
      <c r="D500">
        <v>0</v>
      </c>
      <c r="E500">
        <v>0</v>
      </c>
      <c r="F500">
        <v>396000</v>
      </c>
      <c r="G500">
        <v>0</v>
      </c>
      <c r="H500">
        <v>0</v>
      </c>
      <c r="I500">
        <v>0</v>
      </c>
      <c r="J500">
        <v>0</v>
      </c>
      <c r="K500">
        <v>396000</v>
      </c>
      <c r="L500">
        <v>0</v>
      </c>
      <c r="M500" t="s">
        <v>17</v>
      </c>
      <c r="N500">
        <v>1</v>
      </c>
      <c r="O500">
        <v>1</v>
      </c>
      <c r="P500" t="str">
        <f>VLOOKUP(B500,'CHECK_DT-BT_chi_tiet'!$A:$C,3,FALSE)</f>
        <v>BV Điện Biên</v>
      </c>
      <c r="Q500" t="str">
        <f>VLOOKUP(A500,Sheet3!$K$11:$L$21,2,FALSE)</f>
        <v>BH Du lịch</v>
      </c>
      <c r="R500" t="str">
        <f>VLOOKUP(Q500,Sheet3!$L$11:$M$21,2,FALSE)</f>
        <v>HQ1</v>
      </c>
      <c r="S500" s="26">
        <f>SUMIFS('HQ2'!$O:$O,'HQ2'!$B:$B, "="&amp;'Tong_hop_HQNV_2026Q1_2026-06-23'!Q500, 'HQ2'!$A:$A,"="&amp;'Tong_hop_HQNV_2026Q1_2026-06-23'!P500)</f>
        <v>0</v>
      </c>
      <c r="T500" s="7">
        <f t="shared" si="7"/>
        <v>0</v>
      </c>
    </row>
    <row r="501" spans="1:20" x14ac:dyDescent="0.25">
      <c r="A501" t="s">
        <v>16</v>
      </c>
      <c r="B501" s="9" t="s">
        <v>328</v>
      </c>
      <c r="C501">
        <v>0</v>
      </c>
      <c r="D501">
        <v>0</v>
      </c>
      <c r="E501">
        <v>0</v>
      </c>
      <c r="F501">
        <v>14308600</v>
      </c>
      <c r="G501">
        <v>0</v>
      </c>
      <c r="H501">
        <v>0</v>
      </c>
      <c r="I501">
        <v>0</v>
      </c>
      <c r="J501">
        <v>0</v>
      </c>
      <c r="K501">
        <v>14308600</v>
      </c>
      <c r="L501">
        <v>0</v>
      </c>
      <c r="M501" t="s">
        <v>17</v>
      </c>
      <c r="N501">
        <v>1</v>
      </c>
      <c r="O501">
        <v>1</v>
      </c>
      <c r="P501" t="str">
        <f>VLOOKUP(B501,'CHECK_DT-BT_chi_tiet'!$A:$C,3,FALSE)</f>
        <v>BV Long An</v>
      </c>
      <c r="Q501" t="str">
        <f>VLOOKUP(A501,Sheet3!$K$11:$L$21,2,FALSE)</f>
        <v>BH Du lịch</v>
      </c>
      <c r="R501" t="str">
        <f>VLOOKUP(Q501,Sheet3!$L$11:$M$21,2,FALSE)</f>
        <v>HQ1</v>
      </c>
      <c r="S501" s="26">
        <f>SUMIFS('HQ2'!$O:$O,'HQ2'!$B:$B, "="&amp;'Tong_hop_HQNV_2026Q1_2026-06-23'!Q501, 'HQ2'!$A:$A,"="&amp;'Tong_hop_HQNV_2026Q1_2026-06-23'!P501)</f>
        <v>0</v>
      </c>
      <c r="T501" s="7">
        <f t="shared" si="7"/>
        <v>0</v>
      </c>
    </row>
    <row r="502" spans="1:20" x14ac:dyDescent="0.25">
      <c r="A502" t="s">
        <v>16</v>
      </c>
      <c r="B502" s="9" t="s">
        <v>332</v>
      </c>
      <c r="C502">
        <v>0</v>
      </c>
      <c r="D502">
        <v>0</v>
      </c>
      <c r="E502">
        <v>0</v>
      </c>
      <c r="F502">
        <v>19291300</v>
      </c>
      <c r="G502">
        <v>0</v>
      </c>
      <c r="H502">
        <v>0</v>
      </c>
      <c r="I502">
        <v>0</v>
      </c>
      <c r="J502">
        <v>0</v>
      </c>
      <c r="K502">
        <v>19291300</v>
      </c>
      <c r="L502">
        <v>0</v>
      </c>
      <c r="M502" t="s">
        <v>17</v>
      </c>
      <c r="N502">
        <v>1</v>
      </c>
      <c r="O502">
        <v>1</v>
      </c>
      <c r="P502" t="str">
        <f>VLOOKUP(B502,'CHECK_DT-BT_chi_tiet'!$A:$C,3,FALSE)</f>
        <v>BV Nam Định</v>
      </c>
      <c r="Q502" t="str">
        <f>VLOOKUP(A502,Sheet3!$K$11:$L$21,2,FALSE)</f>
        <v>BH Du lịch</v>
      </c>
      <c r="R502" t="str">
        <f>VLOOKUP(Q502,Sheet3!$L$11:$M$21,2,FALSE)</f>
        <v>HQ1</v>
      </c>
      <c r="S502" s="26">
        <f>SUMIFS('HQ2'!$O:$O,'HQ2'!$B:$B, "="&amp;'Tong_hop_HQNV_2026Q1_2026-06-23'!Q502, 'HQ2'!$A:$A,"="&amp;'Tong_hop_HQNV_2026Q1_2026-06-23'!P502)</f>
        <v>0</v>
      </c>
      <c r="T502" s="7">
        <f t="shared" si="7"/>
        <v>0</v>
      </c>
    </row>
    <row r="503" spans="1:20" x14ac:dyDescent="0.25">
      <c r="A503" t="s">
        <v>16</v>
      </c>
      <c r="B503" s="9" t="s">
        <v>333</v>
      </c>
      <c r="C503">
        <v>0</v>
      </c>
      <c r="D503">
        <v>0</v>
      </c>
      <c r="E503">
        <v>0</v>
      </c>
      <c r="F503">
        <v>185461000</v>
      </c>
      <c r="G503">
        <v>0</v>
      </c>
      <c r="H503">
        <v>0</v>
      </c>
      <c r="I503">
        <v>0</v>
      </c>
      <c r="J503">
        <v>0</v>
      </c>
      <c r="K503">
        <v>185461000</v>
      </c>
      <c r="L503">
        <v>0</v>
      </c>
      <c r="M503" t="s">
        <v>17</v>
      </c>
      <c r="N503">
        <v>1</v>
      </c>
      <c r="O503">
        <v>1</v>
      </c>
      <c r="P503" t="str">
        <f>VLOOKUP(B503,'CHECK_DT-BT_chi_tiet'!$A:$C,3,FALSE)</f>
        <v>BV Nghệ An</v>
      </c>
      <c r="Q503" t="str">
        <f>VLOOKUP(A503,Sheet3!$K$11:$L$21,2,FALSE)</f>
        <v>BH Du lịch</v>
      </c>
      <c r="R503" t="str">
        <f>VLOOKUP(Q503,Sheet3!$L$11:$M$21,2,FALSE)</f>
        <v>HQ1</v>
      </c>
      <c r="S503" s="26">
        <f>SUMIFS('HQ2'!$O:$O,'HQ2'!$B:$B, "="&amp;'Tong_hop_HQNV_2026Q1_2026-06-23'!Q503, 'HQ2'!$A:$A,"="&amp;'Tong_hop_HQNV_2026Q1_2026-06-23'!P503)</f>
        <v>0</v>
      </c>
      <c r="T503" s="7">
        <f t="shared" si="7"/>
        <v>0</v>
      </c>
    </row>
    <row r="504" spans="1:20" x14ac:dyDescent="0.25">
      <c r="A504" t="s">
        <v>16</v>
      </c>
      <c r="B504" s="9" t="s">
        <v>335</v>
      </c>
      <c r="C504">
        <v>0</v>
      </c>
      <c r="D504">
        <v>0</v>
      </c>
      <c r="E504">
        <v>0</v>
      </c>
      <c r="F504">
        <v>24546750</v>
      </c>
      <c r="G504">
        <v>0</v>
      </c>
      <c r="H504">
        <v>0</v>
      </c>
      <c r="I504">
        <v>0</v>
      </c>
      <c r="J504">
        <v>0</v>
      </c>
      <c r="K504">
        <v>24546750</v>
      </c>
      <c r="L504">
        <v>0</v>
      </c>
      <c r="M504" t="s">
        <v>17</v>
      </c>
      <c r="N504">
        <v>1</v>
      </c>
      <c r="O504">
        <v>1</v>
      </c>
      <c r="P504" t="str">
        <f>VLOOKUP(B504,'CHECK_DT-BT_chi_tiet'!$A:$C,3,FALSE)</f>
        <v>BV Ninh Thuận</v>
      </c>
      <c r="Q504" t="str">
        <f>VLOOKUP(A504,Sheet3!$K$11:$L$21,2,FALSE)</f>
        <v>BH Du lịch</v>
      </c>
      <c r="R504" t="str">
        <f>VLOOKUP(Q504,Sheet3!$L$11:$M$21,2,FALSE)</f>
        <v>HQ1</v>
      </c>
      <c r="S504" s="26">
        <f>SUMIFS('HQ2'!$O:$O,'HQ2'!$B:$B, "="&amp;'Tong_hop_HQNV_2026Q1_2026-06-23'!Q504, 'HQ2'!$A:$A,"="&amp;'Tong_hop_HQNV_2026Q1_2026-06-23'!P504)</f>
        <v>0</v>
      </c>
      <c r="T504" s="7">
        <f t="shared" si="7"/>
        <v>0</v>
      </c>
    </row>
    <row r="505" spans="1:20" x14ac:dyDescent="0.25">
      <c r="A505" t="s">
        <v>16</v>
      </c>
      <c r="B505" s="9" t="s">
        <v>338</v>
      </c>
      <c r="C505">
        <v>0</v>
      </c>
      <c r="D505">
        <v>0</v>
      </c>
      <c r="E505">
        <v>0</v>
      </c>
      <c r="F505">
        <v>23500400</v>
      </c>
      <c r="G505">
        <v>0</v>
      </c>
      <c r="H505">
        <v>0</v>
      </c>
      <c r="I505">
        <v>0</v>
      </c>
      <c r="J505">
        <v>0</v>
      </c>
      <c r="K505">
        <v>23500400</v>
      </c>
      <c r="L505">
        <v>0</v>
      </c>
      <c r="M505" t="s">
        <v>17</v>
      </c>
      <c r="N505">
        <v>1</v>
      </c>
      <c r="O505">
        <v>1</v>
      </c>
      <c r="P505" t="str">
        <f>VLOOKUP(B505,'CHECK_DT-BT_chi_tiet'!$A:$C,3,FALSE)</f>
        <v>BV Phú Thọ</v>
      </c>
      <c r="Q505" t="str">
        <f>VLOOKUP(A505,Sheet3!$K$11:$L$21,2,FALSE)</f>
        <v>BH Du lịch</v>
      </c>
      <c r="R505" t="str">
        <f>VLOOKUP(Q505,Sheet3!$L$11:$M$21,2,FALSE)</f>
        <v>HQ1</v>
      </c>
      <c r="S505" s="26">
        <f>SUMIFS('HQ2'!$O:$O,'HQ2'!$B:$B, "="&amp;'Tong_hop_HQNV_2026Q1_2026-06-23'!Q505, 'HQ2'!$A:$A,"="&amp;'Tong_hop_HQNV_2026Q1_2026-06-23'!P505)</f>
        <v>0</v>
      </c>
      <c r="T505" s="7">
        <f t="shared" si="7"/>
        <v>0</v>
      </c>
    </row>
    <row r="506" spans="1:20" x14ac:dyDescent="0.25">
      <c r="A506" t="s">
        <v>16</v>
      </c>
      <c r="B506" s="9" t="s">
        <v>339</v>
      </c>
      <c r="C506">
        <v>0</v>
      </c>
      <c r="D506">
        <v>0</v>
      </c>
      <c r="E506">
        <v>0</v>
      </c>
      <c r="F506">
        <v>7322800</v>
      </c>
      <c r="G506">
        <v>0</v>
      </c>
      <c r="H506">
        <v>0</v>
      </c>
      <c r="I506">
        <v>0</v>
      </c>
      <c r="J506">
        <v>0</v>
      </c>
      <c r="K506">
        <v>7322800</v>
      </c>
      <c r="L506">
        <v>0</v>
      </c>
      <c r="M506" t="s">
        <v>17</v>
      </c>
      <c r="N506">
        <v>1</v>
      </c>
      <c r="O506">
        <v>1</v>
      </c>
      <c r="P506" t="str">
        <f>VLOOKUP(B506,'CHECK_DT-BT_chi_tiet'!$A:$C,3,FALSE)</f>
        <v>BV Phú Yên</v>
      </c>
      <c r="Q506" t="str">
        <f>VLOOKUP(A506,Sheet3!$K$11:$L$21,2,FALSE)</f>
        <v>BH Du lịch</v>
      </c>
      <c r="R506" t="str">
        <f>VLOOKUP(Q506,Sheet3!$L$11:$M$21,2,FALSE)</f>
        <v>HQ1</v>
      </c>
      <c r="S506" s="26">
        <f>SUMIFS('HQ2'!$O:$O,'HQ2'!$B:$B, "="&amp;'Tong_hop_HQNV_2026Q1_2026-06-23'!Q506, 'HQ2'!$A:$A,"="&amp;'Tong_hop_HQNV_2026Q1_2026-06-23'!P506)</f>
        <v>0</v>
      </c>
      <c r="T506" s="7">
        <f t="shared" si="7"/>
        <v>0</v>
      </c>
    </row>
    <row r="507" spans="1:20" x14ac:dyDescent="0.25">
      <c r="A507" t="s">
        <v>16</v>
      </c>
      <c r="B507" s="9" t="s">
        <v>340</v>
      </c>
      <c r="C507">
        <v>0</v>
      </c>
      <c r="D507">
        <v>0</v>
      </c>
      <c r="E507">
        <v>0</v>
      </c>
      <c r="F507">
        <v>429854160</v>
      </c>
      <c r="G507">
        <v>0</v>
      </c>
      <c r="H507">
        <v>0</v>
      </c>
      <c r="I507">
        <v>0</v>
      </c>
      <c r="J507">
        <v>0</v>
      </c>
      <c r="K507">
        <v>429854160</v>
      </c>
      <c r="L507">
        <v>0</v>
      </c>
      <c r="M507" t="s">
        <v>17</v>
      </c>
      <c r="N507">
        <v>1</v>
      </c>
      <c r="O507">
        <v>1</v>
      </c>
      <c r="P507" t="str">
        <f>VLOOKUP(B507,'CHECK_DT-BT_chi_tiet'!$A:$C,3,FALSE)</f>
        <v>BV Quảng Bình</v>
      </c>
      <c r="Q507" t="str">
        <f>VLOOKUP(A507,Sheet3!$K$11:$L$21,2,FALSE)</f>
        <v>BH Du lịch</v>
      </c>
      <c r="R507" t="str">
        <f>VLOOKUP(Q507,Sheet3!$L$11:$M$21,2,FALSE)</f>
        <v>HQ1</v>
      </c>
      <c r="S507" s="26">
        <f>SUMIFS('HQ2'!$O:$O,'HQ2'!$B:$B, "="&amp;'Tong_hop_HQNV_2026Q1_2026-06-23'!Q507, 'HQ2'!$A:$A,"="&amp;'Tong_hop_HQNV_2026Q1_2026-06-23'!P507)</f>
        <v>0</v>
      </c>
      <c r="T507" s="7">
        <f t="shared" si="7"/>
        <v>0</v>
      </c>
    </row>
    <row r="508" spans="1:20" x14ac:dyDescent="0.25">
      <c r="A508" t="s">
        <v>16</v>
      </c>
      <c r="B508" s="9" t="s">
        <v>341</v>
      </c>
      <c r="C508">
        <v>0</v>
      </c>
      <c r="D508">
        <v>0</v>
      </c>
      <c r="E508">
        <v>0</v>
      </c>
      <c r="F508">
        <v>7833400</v>
      </c>
      <c r="G508">
        <v>0</v>
      </c>
      <c r="H508">
        <v>0</v>
      </c>
      <c r="I508">
        <v>0</v>
      </c>
      <c r="J508">
        <v>0</v>
      </c>
      <c r="K508">
        <v>7833400</v>
      </c>
      <c r="L508">
        <v>0</v>
      </c>
      <c r="M508" t="s">
        <v>17</v>
      </c>
      <c r="N508">
        <v>1</v>
      </c>
      <c r="O508">
        <v>1</v>
      </c>
      <c r="P508" t="str">
        <f>VLOOKUP(B508,'CHECK_DT-BT_chi_tiet'!$A:$C,3,FALSE)</f>
        <v>BV Quảng Nam</v>
      </c>
      <c r="Q508" t="str">
        <f>VLOOKUP(A508,Sheet3!$K$11:$L$21,2,FALSE)</f>
        <v>BH Du lịch</v>
      </c>
      <c r="R508" t="str">
        <f>VLOOKUP(Q508,Sheet3!$L$11:$M$21,2,FALSE)</f>
        <v>HQ1</v>
      </c>
      <c r="S508" s="26">
        <f>SUMIFS('HQ2'!$O:$O,'HQ2'!$B:$B, "="&amp;'Tong_hop_HQNV_2026Q1_2026-06-23'!Q508, 'HQ2'!$A:$A,"="&amp;'Tong_hop_HQNV_2026Q1_2026-06-23'!P508)</f>
        <v>0</v>
      </c>
      <c r="T508" s="7">
        <f t="shared" si="7"/>
        <v>0</v>
      </c>
    </row>
    <row r="509" spans="1:20" x14ac:dyDescent="0.25">
      <c r="A509" t="s">
        <v>16</v>
      </c>
      <c r="B509" s="9" t="s">
        <v>342</v>
      </c>
      <c r="C509">
        <v>0</v>
      </c>
      <c r="D509">
        <v>0</v>
      </c>
      <c r="E509">
        <v>0</v>
      </c>
      <c r="F509">
        <v>5910000</v>
      </c>
      <c r="G509">
        <v>0</v>
      </c>
      <c r="H509">
        <v>0</v>
      </c>
      <c r="I509">
        <v>0</v>
      </c>
      <c r="J509">
        <v>0</v>
      </c>
      <c r="K509">
        <v>5910000</v>
      </c>
      <c r="L509">
        <v>0</v>
      </c>
      <c r="M509" t="s">
        <v>17</v>
      </c>
      <c r="N509">
        <v>1</v>
      </c>
      <c r="O509">
        <v>1</v>
      </c>
      <c r="P509" t="str">
        <f>VLOOKUP(B509,'CHECK_DT-BT_chi_tiet'!$A:$C,3,FALSE)</f>
        <v>BV Quảng Ngãi</v>
      </c>
      <c r="Q509" t="str">
        <f>VLOOKUP(A509,Sheet3!$K$11:$L$21,2,FALSE)</f>
        <v>BH Du lịch</v>
      </c>
      <c r="R509" t="str">
        <f>VLOOKUP(Q509,Sheet3!$L$11:$M$21,2,FALSE)</f>
        <v>HQ1</v>
      </c>
      <c r="S509" s="26">
        <f>SUMIFS('HQ2'!$O:$O,'HQ2'!$B:$B, "="&amp;'Tong_hop_HQNV_2026Q1_2026-06-23'!Q509, 'HQ2'!$A:$A,"="&amp;'Tong_hop_HQNV_2026Q1_2026-06-23'!P509)</f>
        <v>0</v>
      </c>
      <c r="T509" s="7">
        <f t="shared" si="7"/>
        <v>0</v>
      </c>
    </row>
    <row r="510" spans="1:20" x14ac:dyDescent="0.25">
      <c r="A510" t="s">
        <v>16</v>
      </c>
      <c r="B510" s="9" t="s">
        <v>343</v>
      </c>
      <c r="C510">
        <v>0</v>
      </c>
      <c r="D510">
        <v>0</v>
      </c>
      <c r="E510">
        <v>0</v>
      </c>
      <c r="F510">
        <v>254849040</v>
      </c>
      <c r="G510" s="92">
        <v>50000000</v>
      </c>
      <c r="H510">
        <v>0</v>
      </c>
      <c r="I510">
        <v>0</v>
      </c>
      <c r="J510">
        <v>0</v>
      </c>
      <c r="K510">
        <v>254849040</v>
      </c>
      <c r="L510">
        <v>0</v>
      </c>
      <c r="M510" t="s">
        <v>17</v>
      </c>
      <c r="N510">
        <v>1</v>
      </c>
      <c r="O510">
        <v>1</v>
      </c>
      <c r="P510" t="str">
        <f>VLOOKUP(B510,'CHECK_DT-BT_chi_tiet'!$A:$C,3,FALSE)</f>
        <v>BV Quảng Ninh</v>
      </c>
      <c r="Q510" t="str">
        <f>VLOOKUP(A510,Sheet3!$K$11:$L$21,2,FALSE)</f>
        <v>BH Du lịch</v>
      </c>
      <c r="R510" t="str">
        <f>VLOOKUP(Q510,Sheet3!$L$11:$M$21,2,FALSE)</f>
        <v>HQ1</v>
      </c>
      <c r="S510" s="26">
        <f>SUMIFS('HQ2'!$O:$O,'HQ2'!$B:$B, "="&amp;'Tong_hop_HQNV_2026Q1_2026-06-23'!Q510, 'HQ2'!$A:$A,"="&amp;'Tong_hop_HQNV_2026Q1_2026-06-23'!P510)</f>
        <v>0</v>
      </c>
      <c r="T510" s="7">
        <f t="shared" si="7"/>
        <v>0</v>
      </c>
    </row>
    <row r="511" spans="1:20" x14ac:dyDescent="0.25">
      <c r="A511" t="s">
        <v>16</v>
      </c>
      <c r="B511" s="9" t="s">
        <v>344</v>
      </c>
      <c r="C511">
        <v>0</v>
      </c>
      <c r="D511">
        <v>0</v>
      </c>
      <c r="E511">
        <v>0</v>
      </c>
      <c r="F511">
        <v>23620500</v>
      </c>
      <c r="G511">
        <v>0</v>
      </c>
      <c r="H511">
        <v>0</v>
      </c>
      <c r="I511">
        <v>0</v>
      </c>
      <c r="J511">
        <v>0</v>
      </c>
      <c r="K511">
        <v>23620500</v>
      </c>
      <c r="L511">
        <v>0</v>
      </c>
      <c r="M511" t="s">
        <v>17</v>
      </c>
      <c r="N511">
        <v>1</v>
      </c>
      <c r="O511">
        <v>1</v>
      </c>
      <c r="P511" t="str">
        <f>VLOOKUP(B511,'CHECK_DT-BT_chi_tiet'!$A:$C,3,FALSE)</f>
        <v>BV Quảng Trị</v>
      </c>
      <c r="Q511" t="str">
        <f>VLOOKUP(A511,Sheet3!$K$11:$L$21,2,FALSE)</f>
        <v>BH Du lịch</v>
      </c>
      <c r="R511" t="str">
        <f>VLOOKUP(Q511,Sheet3!$L$11:$M$21,2,FALSE)</f>
        <v>HQ1</v>
      </c>
      <c r="S511" s="26">
        <f>SUMIFS('HQ2'!$O:$O,'HQ2'!$B:$B, "="&amp;'Tong_hop_HQNV_2026Q1_2026-06-23'!Q511, 'HQ2'!$A:$A,"="&amp;'Tong_hop_HQNV_2026Q1_2026-06-23'!P511)</f>
        <v>0</v>
      </c>
      <c r="T511" s="7">
        <f t="shared" si="7"/>
        <v>0</v>
      </c>
    </row>
    <row r="512" spans="1:20" x14ac:dyDescent="0.25">
      <c r="A512" t="s">
        <v>16</v>
      </c>
      <c r="B512" s="9" t="s">
        <v>347</v>
      </c>
      <c r="C512">
        <v>0</v>
      </c>
      <c r="D512">
        <v>0</v>
      </c>
      <c r="E512">
        <v>0</v>
      </c>
      <c r="F512">
        <v>11559000</v>
      </c>
      <c r="G512">
        <v>0</v>
      </c>
      <c r="H512">
        <v>0</v>
      </c>
      <c r="I512">
        <v>0</v>
      </c>
      <c r="J512">
        <v>0</v>
      </c>
      <c r="K512">
        <v>11559000</v>
      </c>
      <c r="L512">
        <v>0</v>
      </c>
      <c r="M512" t="s">
        <v>17</v>
      </c>
      <c r="N512">
        <v>1</v>
      </c>
      <c r="O512">
        <v>1</v>
      </c>
      <c r="P512" t="str">
        <f>VLOOKUP(B512,'CHECK_DT-BT_chi_tiet'!$A:$C,3,FALSE)</f>
        <v>BV Sơn La</v>
      </c>
      <c r="Q512" t="str">
        <f>VLOOKUP(A512,Sheet3!$K$11:$L$21,2,FALSE)</f>
        <v>BH Du lịch</v>
      </c>
      <c r="R512" t="str">
        <f>VLOOKUP(Q512,Sheet3!$L$11:$M$21,2,FALSE)</f>
        <v>HQ1</v>
      </c>
      <c r="S512" s="26">
        <f>SUMIFS('HQ2'!$O:$O,'HQ2'!$B:$B, "="&amp;'Tong_hop_HQNV_2026Q1_2026-06-23'!Q512, 'HQ2'!$A:$A,"="&amp;'Tong_hop_HQNV_2026Q1_2026-06-23'!P512)</f>
        <v>0</v>
      </c>
      <c r="T512" s="7">
        <f t="shared" si="7"/>
        <v>0</v>
      </c>
    </row>
    <row r="513" spans="1:20" x14ac:dyDescent="0.25">
      <c r="A513" t="s">
        <v>16</v>
      </c>
      <c r="B513" s="9" t="s">
        <v>346</v>
      </c>
      <c r="C513">
        <v>0</v>
      </c>
      <c r="D513">
        <v>0</v>
      </c>
      <c r="E513">
        <v>0</v>
      </c>
      <c r="F513">
        <v>15698700</v>
      </c>
      <c r="G513">
        <v>0</v>
      </c>
      <c r="H513">
        <v>0</v>
      </c>
      <c r="I513">
        <v>0</v>
      </c>
      <c r="J513">
        <v>0</v>
      </c>
      <c r="K513">
        <v>15698700</v>
      </c>
      <c r="L513">
        <v>0</v>
      </c>
      <c r="M513" t="s">
        <v>17</v>
      </c>
      <c r="N513">
        <v>1</v>
      </c>
      <c r="O513">
        <v>1</v>
      </c>
      <c r="P513" t="str">
        <f>VLOOKUP(B513,'CHECK_DT-BT_chi_tiet'!$A:$C,3,FALSE)</f>
        <v>BV Sóc Trăng</v>
      </c>
      <c r="Q513" t="str">
        <f>VLOOKUP(A513,Sheet3!$K$11:$L$21,2,FALSE)</f>
        <v>BH Du lịch</v>
      </c>
      <c r="R513" t="str">
        <f>VLOOKUP(Q513,Sheet3!$L$11:$M$21,2,FALSE)</f>
        <v>HQ1</v>
      </c>
      <c r="S513" s="26">
        <f>SUMIFS('HQ2'!$O:$O,'HQ2'!$B:$B, "="&amp;'Tong_hop_HQNV_2026Q1_2026-06-23'!Q513, 'HQ2'!$A:$A,"="&amp;'Tong_hop_HQNV_2026Q1_2026-06-23'!P513)</f>
        <v>0</v>
      </c>
      <c r="T513" s="7">
        <f t="shared" si="7"/>
        <v>0</v>
      </c>
    </row>
    <row r="514" spans="1:20" x14ac:dyDescent="0.25">
      <c r="A514" t="s">
        <v>16</v>
      </c>
      <c r="B514" s="9" t="s">
        <v>349</v>
      </c>
      <c r="C514">
        <v>0</v>
      </c>
      <c r="D514">
        <v>0</v>
      </c>
      <c r="E514">
        <v>0</v>
      </c>
      <c r="F514">
        <v>6231000</v>
      </c>
      <c r="G514">
        <v>0</v>
      </c>
      <c r="H514">
        <v>0</v>
      </c>
      <c r="I514">
        <v>0</v>
      </c>
      <c r="J514">
        <v>0</v>
      </c>
      <c r="K514">
        <v>6231000</v>
      </c>
      <c r="L514">
        <v>0</v>
      </c>
      <c r="M514" t="s">
        <v>17</v>
      </c>
      <c r="N514">
        <v>1</v>
      </c>
      <c r="O514">
        <v>1</v>
      </c>
      <c r="P514" t="str">
        <f>VLOOKUP(B514,'CHECK_DT-BT_chi_tiet'!$A:$C,3,FALSE)</f>
        <v>BV Tây Ninh</v>
      </c>
      <c r="Q514" t="str">
        <f>VLOOKUP(A514,Sheet3!$K$11:$L$21,2,FALSE)</f>
        <v>BH Du lịch</v>
      </c>
      <c r="R514" t="str">
        <f>VLOOKUP(Q514,Sheet3!$L$11:$M$21,2,FALSE)</f>
        <v>HQ1</v>
      </c>
      <c r="S514" s="26">
        <f>SUMIFS('HQ2'!$O:$O,'HQ2'!$B:$B, "="&amp;'Tong_hop_HQNV_2026Q1_2026-06-23'!Q514, 'HQ2'!$A:$A,"="&amp;'Tong_hop_HQNV_2026Q1_2026-06-23'!P514)</f>
        <v>0</v>
      </c>
      <c r="T514" s="7">
        <f t="shared" si="7"/>
        <v>0</v>
      </c>
    </row>
    <row r="515" spans="1:20" x14ac:dyDescent="0.25">
      <c r="A515" t="s">
        <v>16</v>
      </c>
      <c r="B515" s="9" t="s">
        <v>351</v>
      </c>
      <c r="C515">
        <v>0</v>
      </c>
      <c r="D515">
        <v>0</v>
      </c>
      <c r="E515">
        <v>0</v>
      </c>
      <c r="F515">
        <v>35172600</v>
      </c>
      <c r="G515">
        <v>0</v>
      </c>
      <c r="H515">
        <v>0</v>
      </c>
      <c r="I515">
        <v>0</v>
      </c>
      <c r="J515">
        <v>0</v>
      </c>
      <c r="K515">
        <v>35172600</v>
      </c>
      <c r="L515">
        <v>0</v>
      </c>
      <c r="M515" t="s">
        <v>17</v>
      </c>
      <c r="N515">
        <v>1</v>
      </c>
      <c r="O515">
        <v>1</v>
      </c>
      <c r="P515" t="str">
        <f>VLOOKUP(B515,'CHECK_DT-BT_chi_tiet'!$A:$C,3,FALSE)</f>
        <v>BV Thái Nguyên</v>
      </c>
      <c r="Q515" t="str">
        <f>VLOOKUP(A515,Sheet3!$K$11:$L$21,2,FALSE)</f>
        <v>BH Du lịch</v>
      </c>
      <c r="R515" t="str">
        <f>VLOOKUP(Q515,Sheet3!$L$11:$M$21,2,FALSE)</f>
        <v>HQ1</v>
      </c>
      <c r="S515" s="26">
        <f>SUMIFS('HQ2'!$O:$O,'HQ2'!$B:$B, "="&amp;'Tong_hop_HQNV_2026Q1_2026-06-23'!Q515, 'HQ2'!$A:$A,"="&amp;'Tong_hop_HQNV_2026Q1_2026-06-23'!P515)</f>
        <v>0</v>
      </c>
      <c r="T515" s="7">
        <f t="shared" ref="T515:T578" si="8">IFERROR(IF(R515="HQ2",S515-G515,0),0)</f>
        <v>0</v>
      </c>
    </row>
    <row r="516" spans="1:20" x14ac:dyDescent="0.25">
      <c r="A516" t="s">
        <v>16</v>
      </c>
      <c r="B516" s="9" t="s">
        <v>353</v>
      </c>
      <c r="C516">
        <v>0</v>
      </c>
      <c r="D516">
        <v>0</v>
      </c>
      <c r="E516">
        <v>0</v>
      </c>
      <c r="F516">
        <v>19682900</v>
      </c>
      <c r="G516">
        <v>0</v>
      </c>
      <c r="H516">
        <v>0</v>
      </c>
      <c r="I516">
        <v>0</v>
      </c>
      <c r="J516">
        <v>0</v>
      </c>
      <c r="K516">
        <v>19682900</v>
      </c>
      <c r="L516">
        <v>0</v>
      </c>
      <c r="M516" t="s">
        <v>17</v>
      </c>
      <c r="N516">
        <v>1</v>
      </c>
      <c r="O516">
        <v>1</v>
      </c>
      <c r="P516" t="str">
        <f>VLOOKUP(B516,'CHECK_DT-BT_chi_tiet'!$A:$C,3,FALSE)</f>
        <v>BV Thanh Hóa</v>
      </c>
      <c r="Q516" t="str">
        <f>VLOOKUP(A516,Sheet3!$K$11:$L$21,2,FALSE)</f>
        <v>BH Du lịch</v>
      </c>
      <c r="R516" t="str">
        <f>VLOOKUP(Q516,Sheet3!$L$11:$M$21,2,FALSE)</f>
        <v>HQ1</v>
      </c>
      <c r="S516" s="26">
        <f>SUMIFS('HQ2'!$O:$O,'HQ2'!$B:$B, "="&amp;'Tong_hop_HQNV_2026Q1_2026-06-23'!Q516, 'HQ2'!$A:$A,"="&amp;'Tong_hop_HQNV_2026Q1_2026-06-23'!P516)</f>
        <v>0</v>
      </c>
      <c r="T516" s="7">
        <f t="shared" si="8"/>
        <v>0</v>
      </c>
    </row>
    <row r="517" spans="1:20" x14ac:dyDescent="0.25">
      <c r="A517" t="s">
        <v>16</v>
      </c>
      <c r="B517" s="9" t="s">
        <v>357</v>
      </c>
      <c r="C517">
        <v>0</v>
      </c>
      <c r="D517">
        <v>0</v>
      </c>
      <c r="E517">
        <v>0</v>
      </c>
      <c r="F517">
        <v>42701500</v>
      </c>
      <c r="G517">
        <v>0</v>
      </c>
      <c r="H517">
        <v>0</v>
      </c>
      <c r="I517">
        <v>0</v>
      </c>
      <c r="J517">
        <v>0</v>
      </c>
      <c r="K517">
        <v>42701500</v>
      </c>
      <c r="L517">
        <v>0</v>
      </c>
      <c r="M517" t="s">
        <v>17</v>
      </c>
      <c r="N517">
        <v>1</v>
      </c>
      <c r="O517">
        <v>1</v>
      </c>
      <c r="P517" t="str">
        <f>VLOOKUP(B517,'CHECK_DT-BT_chi_tiet'!$A:$C,3,FALSE)</f>
        <v>BV Trà Vinh</v>
      </c>
      <c r="Q517" t="str">
        <f>VLOOKUP(A517,Sheet3!$K$11:$L$21,2,FALSE)</f>
        <v>BH Du lịch</v>
      </c>
      <c r="R517" t="str">
        <f>VLOOKUP(Q517,Sheet3!$L$11:$M$21,2,FALSE)</f>
        <v>HQ1</v>
      </c>
      <c r="S517" s="26">
        <f>SUMIFS('HQ2'!$O:$O,'HQ2'!$B:$B, "="&amp;'Tong_hop_HQNV_2026Q1_2026-06-23'!Q517, 'HQ2'!$A:$A,"="&amp;'Tong_hop_HQNV_2026Q1_2026-06-23'!P517)</f>
        <v>0</v>
      </c>
      <c r="T517" s="7">
        <f t="shared" si="8"/>
        <v>0</v>
      </c>
    </row>
    <row r="518" spans="1:20" x14ac:dyDescent="0.25">
      <c r="A518" t="s">
        <v>16</v>
      </c>
      <c r="B518" s="9" t="s">
        <v>359</v>
      </c>
      <c r="C518">
        <v>0</v>
      </c>
      <c r="D518">
        <v>0</v>
      </c>
      <c r="E518">
        <v>0</v>
      </c>
      <c r="F518">
        <v>5550000</v>
      </c>
      <c r="G518">
        <v>0</v>
      </c>
      <c r="H518">
        <v>0</v>
      </c>
      <c r="I518">
        <v>0</v>
      </c>
      <c r="J518">
        <v>0</v>
      </c>
      <c r="K518">
        <v>5550000</v>
      </c>
      <c r="L518">
        <v>0</v>
      </c>
      <c r="M518" t="s">
        <v>17</v>
      </c>
      <c r="N518">
        <v>1</v>
      </c>
      <c r="O518">
        <v>1</v>
      </c>
      <c r="P518" t="str">
        <f>VLOOKUP(B518,'CHECK_DT-BT_chi_tiet'!$A:$C,3,FALSE)</f>
        <v>BV Tuyên Quang</v>
      </c>
      <c r="Q518" t="str">
        <f>VLOOKUP(A518,Sheet3!$K$11:$L$21,2,FALSE)</f>
        <v>BH Du lịch</v>
      </c>
      <c r="R518" t="str">
        <f>VLOOKUP(Q518,Sheet3!$L$11:$M$21,2,FALSE)</f>
        <v>HQ1</v>
      </c>
      <c r="S518" s="26">
        <f>SUMIFS('HQ2'!$O:$O,'HQ2'!$B:$B, "="&amp;'Tong_hop_HQNV_2026Q1_2026-06-23'!Q518, 'HQ2'!$A:$A,"="&amp;'Tong_hop_HQNV_2026Q1_2026-06-23'!P518)</f>
        <v>0</v>
      </c>
      <c r="T518" s="7">
        <f t="shared" si="8"/>
        <v>0</v>
      </c>
    </row>
    <row r="519" spans="1:20" x14ac:dyDescent="0.25">
      <c r="A519" t="s">
        <v>16</v>
      </c>
      <c r="B519" s="9" t="s">
        <v>360</v>
      </c>
      <c r="C519">
        <v>0</v>
      </c>
      <c r="D519">
        <v>0</v>
      </c>
      <c r="E519">
        <v>0</v>
      </c>
      <c r="F519">
        <v>19242300</v>
      </c>
      <c r="G519">
        <v>0</v>
      </c>
      <c r="H519">
        <v>0</v>
      </c>
      <c r="I519">
        <v>0</v>
      </c>
      <c r="J519">
        <v>0</v>
      </c>
      <c r="K519">
        <v>19242300</v>
      </c>
      <c r="L519">
        <v>0</v>
      </c>
      <c r="M519" t="s">
        <v>17</v>
      </c>
      <c r="N519">
        <v>1</v>
      </c>
      <c r="O519">
        <v>1</v>
      </c>
      <c r="P519" t="str">
        <f>VLOOKUP(B519,'CHECK_DT-BT_chi_tiet'!$A:$C,3,FALSE)</f>
        <v>BV Vĩnh Long</v>
      </c>
      <c r="Q519" t="str">
        <f>VLOOKUP(A519,Sheet3!$K$11:$L$21,2,FALSE)</f>
        <v>BH Du lịch</v>
      </c>
      <c r="R519" t="str">
        <f>VLOOKUP(Q519,Sheet3!$L$11:$M$21,2,FALSE)</f>
        <v>HQ1</v>
      </c>
      <c r="S519" s="26">
        <f>SUMIFS('HQ2'!$O:$O,'HQ2'!$B:$B, "="&amp;'Tong_hop_HQNV_2026Q1_2026-06-23'!Q519, 'HQ2'!$A:$A,"="&amp;'Tong_hop_HQNV_2026Q1_2026-06-23'!P519)</f>
        <v>0</v>
      </c>
      <c r="T519" s="7">
        <f t="shared" si="8"/>
        <v>0</v>
      </c>
    </row>
    <row r="520" spans="1:20" x14ac:dyDescent="0.25">
      <c r="A520" t="s">
        <v>16</v>
      </c>
      <c r="B520" s="9" t="s">
        <v>361</v>
      </c>
      <c r="C520">
        <v>0</v>
      </c>
      <c r="D520">
        <v>0</v>
      </c>
      <c r="E520">
        <v>0</v>
      </c>
      <c r="F520">
        <v>55692400</v>
      </c>
      <c r="G520">
        <v>0</v>
      </c>
      <c r="H520">
        <v>0</v>
      </c>
      <c r="I520">
        <v>0</v>
      </c>
      <c r="J520">
        <v>0</v>
      </c>
      <c r="K520">
        <v>55692400</v>
      </c>
      <c r="L520">
        <v>0</v>
      </c>
      <c r="M520" t="s">
        <v>17</v>
      </c>
      <c r="N520">
        <v>1</v>
      </c>
      <c r="O520">
        <v>1</v>
      </c>
      <c r="P520" t="str">
        <f>VLOOKUP(B520,'CHECK_DT-BT_chi_tiet'!$A:$C,3,FALSE)</f>
        <v>BV Vĩnh Phúc</v>
      </c>
      <c r="Q520" t="str">
        <f>VLOOKUP(A520,Sheet3!$K$11:$L$21,2,FALSE)</f>
        <v>BH Du lịch</v>
      </c>
      <c r="R520" t="str">
        <f>VLOOKUP(Q520,Sheet3!$L$11:$M$21,2,FALSE)</f>
        <v>HQ1</v>
      </c>
      <c r="S520" s="26">
        <f>SUMIFS('HQ2'!$O:$O,'HQ2'!$B:$B, "="&amp;'Tong_hop_HQNV_2026Q1_2026-06-23'!Q520, 'HQ2'!$A:$A,"="&amp;'Tong_hop_HQNV_2026Q1_2026-06-23'!P520)</f>
        <v>0</v>
      </c>
      <c r="T520" s="7">
        <f t="shared" si="8"/>
        <v>0</v>
      </c>
    </row>
    <row r="521" spans="1:20" x14ac:dyDescent="0.25">
      <c r="A521" t="s">
        <v>16</v>
      </c>
      <c r="B521" s="9" t="s">
        <v>362</v>
      </c>
      <c r="C521">
        <v>0</v>
      </c>
      <c r="D521">
        <v>0</v>
      </c>
      <c r="E521">
        <v>0</v>
      </c>
      <c r="F521">
        <v>49529025</v>
      </c>
      <c r="G521">
        <v>0</v>
      </c>
      <c r="H521">
        <v>0</v>
      </c>
      <c r="I521">
        <v>0</v>
      </c>
      <c r="J521">
        <v>0</v>
      </c>
      <c r="K521">
        <v>49529025</v>
      </c>
      <c r="L521">
        <v>0</v>
      </c>
      <c r="M521" t="s">
        <v>17</v>
      </c>
      <c r="N521">
        <v>1</v>
      </c>
      <c r="O521">
        <v>1</v>
      </c>
      <c r="P521" t="str">
        <f>VLOOKUP(B521,'CHECK_DT-BT_chi_tiet'!$A:$C,3,FALSE)</f>
        <v>BV Yên Bái</v>
      </c>
      <c r="Q521" t="str">
        <f>VLOOKUP(A521,Sheet3!$K$11:$L$21,2,FALSE)</f>
        <v>BH Du lịch</v>
      </c>
      <c r="R521" t="str">
        <f>VLOOKUP(Q521,Sheet3!$L$11:$M$21,2,FALSE)</f>
        <v>HQ1</v>
      </c>
      <c r="S521" s="26">
        <f>SUMIFS('HQ2'!$O:$O,'HQ2'!$B:$B, "="&amp;'Tong_hop_HQNV_2026Q1_2026-06-23'!Q521, 'HQ2'!$A:$A,"="&amp;'Tong_hop_HQNV_2026Q1_2026-06-23'!P521)</f>
        <v>0</v>
      </c>
      <c r="T521" s="7">
        <f t="shared" si="8"/>
        <v>0</v>
      </c>
    </row>
    <row r="522" spans="1:20" x14ac:dyDescent="0.25">
      <c r="A522" t="s">
        <v>16</v>
      </c>
      <c r="B522" s="9" t="s">
        <v>331</v>
      </c>
      <c r="C522">
        <v>0</v>
      </c>
      <c r="D522">
        <v>0</v>
      </c>
      <c r="E522">
        <v>0</v>
      </c>
      <c r="F522">
        <v>46713700</v>
      </c>
      <c r="G522">
        <v>0</v>
      </c>
      <c r="H522">
        <v>0</v>
      </c>
      <c r="I522">
        <v>0</v>
      </c>
      <c r="J522">
        <v>0</v>
      </c>
      <c r="K522">
        <v>46713700</v>
      </c>
      <c r="L522">
        <v>0</v>
      </c>
      <c r="M522" t="s">
        <v>17</v>
      </c>
      <c r="N522">
        <v>1</v>
      </c>
      <c r="O522">
        <v>1</v>
      </c>
      <c r="P522" t="str">
        <f>VLOOKUP(B522,'CHECK_DT-BT_chi_tiet'!$A:$C,3,FALSE)</f>
        <v>BV Nam Bình Dương</v>
      </c>
      <c r="Q522" t="str">
        <f>VLOOKUP(A522,Sheet3!$K$11:$L$21,2,FALSE)</f>
        <v>BH Du lịch</v>
      </c>
      <c r="R522" t="str">
        <f>VLOOKUP(Q522,Sheet3!$L$11:$M$21,2,FALSE)</f>
        <v>HQ1</v>
      </c>
      <c r="S522" s="26">
        <f>SUMIFS('HQ2'!$O:$O,'HQ2'!$B:$B, "="&amp;'Tong_hop_HQNV_2026Q1_2026-06-23'!Q522, 'HQ2'!$A:$A,"="&amp;'Tong_hop_HQNV_2026Q1_2026-06-23'!P522)</f>
        <v>0</v>
      </c>
      <c r="T522" s="7">
        <f t="shared" si="8"/>
        <v>0</v>
      </c>
    </row>
    <row r="523" spans="1:20" x14ac:dyDescent="0.25">
      <c r="A523" t="s">
        <v>16</v>
      </c>
      <c r="B523" s="9" t="s">
        <v>324</v>
      </c>
      <c r="C523">
        <v>0</v>
      </c>
      <c r="D523">
        <v>0</v>
      </c>
      <c r="E523">
        <v>0</v>
      </c>
      <c r="F523">
        <v>338100000</v>
      </c>
      <c r="G523">
        <v>0</v>
      </c>
      <c r="H523">
        <v>0</v>
      </c>
      <c r="I523">
        <v>0</v>
      </c>
      <c r="J523">
        <v>0</v>
      </c>
      <c r="K523">
        <v>338100000</v>
      </c>
      <c r="L523">
        <v>0</v>
      </c>
      <c r="M523" t="s">
        <v>17</v>
      </c>
      <c r="N523">
        <v>1</v>
      </c>
      <c r="O523">
        <v>1</v>
      </c>
      <c r="P523" t="str">
        <f>VLOOKUP(B523,'CHECK_DT-BT_chi_tiet'!$A:$C,3,FALSE)</f>
        <v>BV Lai Châu</v>
      </c>
      <c r="Q523" t="str">
        <f>VLOOKUP(A523,Sheet3!$K$11:$L$21,2,FALSE)</f>
        <v>BH Du lịch</v>
      </c>
      <c r="R523" t="str">
        <f>VLOOKUP(Q523,Sheet3!$L$11:$M$21,2,FALSE)</f>
        <v>HQ1</v>
      </c>
      <c r="S523" s="26">
        <f>SUMIFS('HQ2'!$O:$O,'HQ2'!$B:$B, "="&amp;'Tong_hop_HQNV_2026Q1_2026-06-23'!Q523, 'HQ2'!$A:$A,"="&amp;'Tong_hop_HQNV_2026Q1_2026-06-23'!P523)</f>
        <v>0</v>
      </c>
      <c r="T523" s="7">
        <f t="shared" si="8"/>
        <v>0</v>
      </c>
    </row>
    <row r="524" spans="1:20" x14ac:dyDescent="0.25">
      <c r="A524" t="s">
        <v>16</v>
      </c>
      <c r="B524" s="9" t="s">
        <v>318</v>
      </c>
      <c r="C524">
        <v>0</v>
      </c>
      <c r="D524">
        <v>0</v>
      </c>
      <c r="E524">
        <v>0</v>
      </c>
      <c r="F524">
        <v>2406600</v>
      </c>
      <c r="G524">
        <v>0</v>
      </c>
      <c r="H524">
        <v>0</v>
      </c>
      <c r="I524">
        <v>0</v>
      </c>
      <c r="J524">
        <v>0</v>
      </c>
      <c r="K524">
        <v>2406600</v>
      </c>
      <c r="L524">
        <v>0</v>
      </c>
      <c r="M524" t="s">
        <v>17</v>
      </c>
      <c r="N524">
        <v>1</v>
      </c>
      <c r="O524">
        <v>1</v>
      </c>
      <c r="P524" t="str">
        <f>VLOOKUP(B524,'CHECK_DT-BT_chi_tiet'!$A:$C,3,FALSE)</f>
        <v>BV Hậu Giang</v>
      </c>
      <c r="Q524" t="str">
        <f>VLOOKUP(A524,Sheet3!$K$11:$L$21,2,FALSE)</f>
        <v>BH Du lịch</v>
      </c>
      <c r="R524" t="str">
        <f>VLOOKUP(Q524,Sheet3!$L$11:$M$21,2,FALSE)</f>
        <v>HQ1</v>
      </c>
      <c r="S524" s="26">
        <f>SUMIFS('HQ2'!$O:$O,'HQ2'!$B:$B, "="&amp;'Tong_hop_HQNV_2026Q1_2026-06-23'!Q524, 'HQ2'!$A:$A,"="&amp;'Tong_hop_HQNV_2026Q1_2026-06-23'!P524)</f>
        <v>0</v>
      </c>
      <c r="T524" s="7">
        <f t="shared" si="8"/>
        <v>0</v>
      </c>
    </row>
    <row r="525" spans="1:20" x14ac:dyDescent="0.25">
      <c r="A525" t="s">
        <v>16</v>
      </c>
      <c r="B525" s="9" t="s">
        <v>302</v>
      </c>
      <c r="C525">
        <v>0</v>
      </c>
      <c r="D525">
        <v>0</v>
      </c>
      <c r="E525">
        <v>0</v>
      </c>
      <c r="F525">
        <v>1679000</v>
      </c>
      <c r="G525">
        <v>0</v>
      </c>
      <c r="H525">
        <v>0</v>
      </c>
      <c r="I525">
        <v>0</v>
      </c>
      <c r="J525">
        <v>0</v>
      </c>
      <c r="K525">
        <v>1679000</v>
      </c>
      <c r="L525">
        <v>0</v>
      </c>
      <c r="M525" t="s">
        <v>17</v>
      </c>
      <c r="N525">
        <v>1</v>
      </c>
      <c r="O525">
        <v>1</v>
      </c>
      <c r="P525" t="str">
        <f>VLOOKUP(B525,'CHECK_DT-BT_chi_tiet'!$A:$C,3,FALSE)</f>
        <v>BV Dak Nong</v>
      </c>
      <c r="Q525" t="str">
        <f>VLOOKUP(A525,Sheet3!$K$11:$L$21,2,FALSE)</f>
        <v>BH Du lịch</v>
      </c>
      <c r="R525" t="str">
        <f>VLOOKUP(Q525,Sheet3!$L$11:$M$21,2,FALSE)</f>
        <v>HQ1</v>
      </c>
      <c r="S525" s="26">
        <f>SUMIFS('HQ2'!$O:$O,'HQ2'!$B:$B, "="&amp;'Tong_hop_HQNV_2026Q1_2026-06-23'!Q525, 'HQ2'!$A:$A,"="&amp;'Tong_hop_HQNV_2026Q1_2026-06-23'!P525)</f>
        <v>0</v>
      </c>
      <c r="T525" s="7">
        <f t="shared" si="8"/>
        <v>0</v>
      </c>
    </row>
    <row r="526" spans="1:20" x14ac:dyDescent="0.25">
      <c r="A526" t="s">
        <v>16</v>
      </c>
      <c r="B526" s="9" t="s">
        <v>304</v>
      </c>
      <c r="C526">
        <v>0</v>
      </c>
      <c r="D526">
        <v>0</v>
      </c>
      <c r="E526">
        <v>0</v>
      </c>
      <c r="F526">
        <v>11450200</v>
      </c>
      <c r="G526">
        <v>0</v>
      </c>
      <c r="H526">
        <v>0</v>
      </c>
      <c r="I526">
        <v>0</v>
      </c>
      <c r="J526">
        <v>0</v>
      </c>
      <c r="K526">
        <v>11450200</v>
      </c>
      <c r="L526">
        <v>0</v>
      </c>
      <c r="M526" t="s">
        <v>17</v>
      </c>
      <c r="N526">
        <v>1</v>
      </c>
      <c r="O526">
        <v>1</v>
      </c>
      <c r="P526" t="str">
        <f>VLOOKUP(B526,'CHECK_DT-BT_chi_tiet'!$A:$C,3,FALSE)</f>
        <v>BV Đình Vũ</v>
      </c>
      <c r="Q526" t="str">
        <f>VLOOKUP(A526,Sheet3!$K$11:$L$21,2,FALSE)</f>
        <v>BH Du lịch</v>
      </c>
      <c r="R526" t="str">
        <f>VLOOKUP(Q526,Sheet3!$L$11:$M$21,2,FALSE)</f>
        <v>HQ1</v>
      </c>
      <c r="S526" s="26">
        <f>SUMIFS('HQ2'!$O:$O,'HQ2'!$B:$B, "="&amp;'Tong_hop_HQNV_2026Q1_2026-06-23'!Q526, 'HQ2'!$A:$A,"="&amp;'Tong_hop_HQNV_2026Q1_2026-06-23'!P526)</f>
        <v>0</v>
      </c>
      <c r="T526" s="7">
        <f t="shared" si="8"/>
        <v>0</v>
      </c>
    </row>
    <row r="527" spans="1:20" x14ac:dyDescent="0.25">
      <c r="A527" t="s">
        <v>18</v>
      </c>
      <c r="B527" s="9" t="s">
        <v>228</v>
      </c>
      <c r="C527">
        <v>0</v>
      </c>
      <c r="D527">
        <v>0</v>
      </c>
      <c r="E527">
        <v>0</v>
      </c>
      <c r="F527">
        <v>2427394331</v>
      </c>
      <c r="G527">
        <v>16500000</v>
      </c>
      <c r="H527">
        <v>16500000</v>
      </c>
      <c r="I527">
        <v>0</v>
      </c>
      <c r="J527">
        <v>0</v>
      </c>
      <c r="K527">
        <v>2427394331</v>
      </c>
      <c r="L527">
        <v>0</v>
      </c>
      <c r="M527" t="s">
        <v>17</v>
      </c>
      <c r="N527" t="s">
        <v>19</v>
      </c>
      <c r="O527" t="s">
        <v>20</v>
      </c>
      <c r="P527" t="str">
        <f>VLOOKUP(B527,'CHECK_DT-BT_chi_tiet'!$A:$C,3,FALSE)</f>
        <v>TSC-Ban KDBH Tàu thủy</v>
      </c>
      <c r="Q527" t="str">
        <f>VLOOKUP(A527,Sheet3!$K$11:$L$21,2,FALSE)</f>
        <v>BH Hàng hóa</v>
      </c>
      <c r="R527" t="str">
        <f>VLOOKUP(Q527,Sheet3!$L$11:$M$21,2,FALSE)</f>
        <v>HQ2</v>
      </c>
      <c r="S527" s="26">
        <f>SUMIFS('HQ2'!$O:$O,'HQ2'!$B:$B, "="&amp;'Tong_hop_HQNV_2026Q1_2026-06-23'!Q527, 'HQ2'!$A:$A,"="&amp;'Tong_hop_HQNV_2026Q1_2026-06-23'!P527)</f>
        <v>16500000</v>
      </c>
      <c r="T527" s="7">
        <f t="shared" si="8"/>
        <v>0</v>
      </c>
    </row>
    <row r="528" spans="1:20" x14ac:dyDescent="0.25">
      <c r="A528" t="s">
        <v>18</v>
      </c>
      <c r="B528" s="9" t="s">
        <v>305</v>
      </c>
      <c r="C528">
        <v>0</v>
      </c>
      <c r="D528">
        <v>0</v>
      </c>
      <c r="E528">
        <v>0</v>
      </c>
      <c r="F528">
        <v>111793795</v>
      </c>
      <c r="G528">
        <v>0</v>
      </c>
      <c r="H528">
        <v>0</v>
      </c>
      <c r="I528">
        <v>0</v>
      </c>
      <c r="J528">
        <v>0</v>
      </c>
      <c r="K528">
        <v>111793795</v>
      </c>
      <c r="L528">
        <v>0</v>
      </c>
      <c r="M528" t="s">
        <v>17</v>
      </c>
      <c r="N528" t="s">
        <v>19</v>
      </c>
      <c r="O528" t="s">
        <v>20</v>
      </c>
      <c r="P528" t="str">
        <f>VLOOKUP(B528,'CHECK_DT-BT_chi_tiet'!$A:$C,3,FALSE)</f>
        <v>BV Đông Bắc</v>
      </c>
      <c r="Q528" t="str">
        <f>VLOOKUP(A528,Sheet3!$K$11:$L$21,2,FALSE)</f>
        <v>BH Hàng hóa</v>
      </c>
      <c r="R528" t="str">
        <f>VLOOKUP(Q528,Sheet3!$L$11:$M$21,2,FALSE)</f>
        <v>HQ2</v>
      </c>
      <c r="S528" s="26">
        <f>SUMIFS('HQ2'!$O:$O,'HQ2'!$B:$B, "="&amp;'Tong_hop_HQNV_2026Q1_2026-06-23'!Q528, 'HQ2'!$A:$A,"="&amp;'Tong_hop_HQNV_2026Q1_2026-06-23'!P528)</f>
        <v>0</v>
      </c>
      <c r="T528" s="7">
        <f t="shared" si="8"/>
        <v>0</v>
      </c>
    </row>
    <row r="529" spans="1:20" x14ac:dyDescent="0.25">
      <c r="A529" t="s">
        <v>18</v>
      </c>
      <c r="B529" s="9" t="s">
        <v>284</v>
      </c>
      <c r="C529">
        <v>0</v>
      </c>
      <c r="D529">
        <v>0</v>
      </c>
      <c r="E529">
        <v>0</v>
      </c>
      <c r="F529">
        <v>336853305</v>
      </c>
      <c r="G529">
        <v>69990110</v>
      </c>
      <c r="H529">
        <v>0</v>
      </c>
      <c r="I529">
        <v>0</v>
      </c>
      <c r="J529">
        <v>0</v>
      </c>
      <c r="K529">
        <v>336853305</v>
      </c>
      <c r="L529">
        <v>0</v>
      </c>
      <c r="M529" t="s">
        <v>17</v>
      </c>
      <c r="N529" t="s">
        <v>19</v>
      </c>
      <c r="O529" t="s">
        <v>20</v>
      </c>
      <c r="P529" t="str">
        <f>VLOOKUP(B529,'CHECK_DT-BT_chi_tiet'!$A:$C,3,FALSE)</f>
        <v>BV An Giang</v>
      </c>
      <c r="Q529" t="str">
        <f>VLOOKUP(A529,Sheet3!$K$11:$L$21,2,FALSE)</f>
        <v>BH Hàng hóa</v>
      </c>
      <c r="R529" t="str">
        <f>VLOOKUP(Q529,Sheet3!$L$11:$M$21,2,FALSE)</f>
        <v>HQ2</v>
      </c>
      <c r="S529" s="26">
        <f>SUMIFS('HQ2'!$O:$O,'HQ2'!$B:$B, "="&amp;'Tong_hop_HQNV_2026Q1_2026-06-23'!Q529, 'HQ2'!$A:$A,"="&amp;'Tong_hop_HQNV_2026Q1_2026-06-23'!P529)</f>
        <v>69990110</v>
      </c>
      <c r="T529" s="7">
        <f t="shared" si="8"/>
        <v>0</v>
      </c>
    </row>
    <row r="530" spans="1:20" x14ac:dyDescent="0.25">
      <c r="A530" t="s">
        <v>18</v>
      </c>
      <c r="B530" s="9" t="s">
        <v>286</v>
      </c>
      <c r="C530">
        <v>0</v>
      </c>
      <c r="D530">
        <v>0</v>
      </c>
      <c r="E530">
        <v>0</v>
      </c>
      <c r="F530">
        <v>2252292953</v>
      </c>
      <c r="G530">
        <v>0</v>
      </c>
      <c r="H530">
        <v>0</v>
      </c>
      <c r="I530">
        <v>0</v>
      </c>
      <c r="J530">
        <v>0</v>
      </c>
      <c r="K530">
        <v>2252292953</v>
      </c>
      <c r="L530">
        <v>0</v>
      </c>
      <c r="M530" t="s">
        <v>17</v>
      </c>
      <c r="N530" t="s">
        <v>19</v>
      </c>
      <c r="O530" t="s">
        <v>20</v>
      </c>
      <c r="P530" t="str">
        <f>VLOOKUP(B530,'CHECK_DT-BT_chi_tiet'!$A:$C,3,FALSE)</f>
        <v>BV Bà Rịa - Vũng Tàu</v>
      </c>
      <c r="Q530" t="str">
        <f>VLOOKUP(A530,Sheet3!$K$11:$L$21,2,FALSE)</f>
        <v>BH Hàng hóa</v>
      </c>
      <c r="R530" t="str">
        <f>VLOOKUP(Q530,Sheet3!$L$11:$M$21,2,FALSE)</f>
        <v>HQ2</v>
      </c>
      <c r="S530" s="26">
        <f>SUMIFS('HQ2'!$O:$O,'HQ2'!$B:$B, "="&amp;'Tong_hop_HQNV_2026Q1_2026-06-23'!Q530, 'HQ2'!$A:$A,"="&amp;'Tong_hop_HQNV_2026Q1_2026-06-23'!P530)</f>
        <v>0</v>
      </c>
      <c r="T530" s="7">
        <f t="shared" si="8"/>
        <v>0</v>
      </c>
    </row>
    <row r="531" spans="1:20" x14ac:dyDescent="0.25">
      <c r="A531" t="s">
        <v>18</v>
      </c>
      <c r="B531" s="9" t="s">
        <v>288</v>
      </c>
      <c r="C531">
        <v>0</v>
      </c>
      <c r="D531">
        <v>0</v>
      </c>
      <c r="E531">
        <v>0</v>
      </c>
      <c r="F531">
        <v>127182287</v>
      </c>
      <c r="G531">
        <v>0</v>
      </c>
      <c r="H531">
        <v>0</v>
      </c>
      <c r="I531">
        <v>0</v>
      </c>
      <c r="J531">
        <v>0</v>
      </c>
      <c r="K531">
        <v>127182287</v>
      </c>
      <c r="L531">
        <v>0</v>
      </c>
      <c r="M531" t="s">
        <v>17</v>
      </c>
      <c r="N531" t="s">
        <v>19</v>
      </c>
      <c r="O531" t="s">
        <v>20</v>
      </c>
      <c r="P531" t="str">
        <f>VLOOKUP(B531,'CHECK_DT-BT_chi_tiet'!$A:$C,3,FALSE)</f>
        <v>BV Bắc Giang</v>
      </c>
      <c r="Q531" t="str">
        <f>VLOOKUP(A531,Sheet3!$K$11:$L$21,2,FALSE)</f>
        <v>BH Hàng hóa</v>
      </c>
      <c r="R531" t="str">
        <f>VLOOKUP(Q531,Sheet3!$L$11:$M$21,2,FALSE)</f>
        <v>HQ2</v>
      </c>
      <c r="S531" s="26">
        <f>SUMIFS('HQ2'!$O:$O,'HQ2'!$B:$B, "="&amp;'Tong_hop_HQNV_2026Q1_2026-06-23'!Q531, 'HQ2'!$A:$A,"="&amp;'Tong_hop_HQNV_2026Q1_2026-06-23'!P531)</f>
        <v>0</v>
      </c>
      <c r="T531" s="7">
        <f t="shared" si="8"/>
        <v>0</v>
      </c>
    </row>
    <row r="532" spans="1:20" x14ac:dyDescent="0.25">
      <c r="A532" t="s">
        <v>18</v>
      </c>
      <c r="B532" s="9" t="s">
        <v>289</v>
      </c>
      <c r="C532">
        <v>0</v>
      </c>
      <c r="D532">
        <v>0</v>
      </c>
      <c r="E532">
        <v>0</v>
      </c>
      <c r="F532">
        <v>19599995</v>
      </c>
      <c r="G532">
        <v>0</v>
      </c>
      <c r="H532">
        <v>0</v>
      </c>
      <c r="I532">
        <v>0</v>
      </c>
      <c r="J532">
        <v>0</v>
      </c>
      <c r="K532">
        <v>19599995</v>
      </c>
      <c r="L532">
        <v>0</v>
      </c>
      <c r="M532" t="s">
        <v>17</v>
      </c>
      <c r="N532" t="s">
        <v>19</v>
      </c>
      <c r="O532" t="s">
        <v>20</v>
      </c>
      <c r="P532" t="str">
        <f>VLOOKUP(B532,'CHECK_DT-BT_chi_tiet'!$A:$C,3,FALSE)</f>
        <v>BV Bạc Liêu</v>
      </c>
      <c r="Q532" t="str">
        <f>VLOOKUP(A532,Sheet3!$K$11:$L$21,2,FALSE)</f>
        <v>BH Hàng hóa</v>
      </c>
      <c r="R532" t="str">
        <f>VLOOKUP(Q532,Sheet3!$L$11:$M$21,2,FALSE)</f>
        <v>HQ2</v>
      </c>
      <c r="S532" s="26">
        <f>SUMIFS('HQ2'!$O:$O,'HQ2'!$B:$B, "="&amp;'Tong_hop_HQNV_2026Q1_2026-06-23'!Q532, 'HQ2'!$A:$A,"="&amp;'Tong_hop_HQNV_2026Q1_2026-06-23'!P532)</f>
        <v>0</v>
      </c>
      <c r="T532" s="7">
        <f t="shared" si="8"/>
        <v>0</v>
      </c>
    </row>
    <row r="533" spans="1:20" x14ac:dyDescent="0.25">
      <c r="A533" t="s">
        <v>18</v>
      </c>
      <c r="B533" s="9" t="s">
        <v>292</v>
      </c>
      <c r="C533">
        <v>0</v>
      </c>
      <c r="D533">
        <v>0</v>
      </c>
      <c r="E533">
        <v>0</v>
      </c>
      <c r="F533">
        <v>46796499</v>
      </c>
      <c r="G533">
        <v>0</v>
      </c>
      <c r="H533">
        <v>0</v>
      </c>
      <c r="I533">
        <v>0</v>
      </c>
      <c r="J533">
        <v>0</v>
      </c>
      <c r="K533">
        <v>46796499</v>
      </c>
      <c r="L533">
        <v>0</v>
      </c>
      <c r="M533" t="s">
        <v>17</v>
      </c>
      <c r="N533" t="s">
        <v>19</v>
      </c>
      <c r="O533" t="s">
        <v>20</v>
      </c>
      <c r="P533" t="str">
        <f>VLOOKUP(B533,'CHECK_DT-BT_chi_tiet'!$A:$C,3,FALSE)</f>
        <v>BV Bến Tre</v>
      </c>
      <c r="Q533" t="str">
        <f>VLOOKUP(A533,Sheet3!$K$11:$L$21,2,FALSE)</f>
        <v>BH Hàng hóa</v>
      </c>
      <c r="R533" t="str">
        <f>VLOOKUP(Q533,Sheet3!$L$11:$M$21,2,FALSE)</f>
        <v>HQ2</v>
      </c>
      <c r="S533" s="26">
        <f>SUMIFS('HQ2'!$O:$O,'HQ2'!$B:$B, "="&amp;'Tong_hop_HQNV_2026Q1_2026-06-23'!Q533, 'HQ2'!$A:$A,"="&amp;'Tong_hop_HQNV_2026Q1_2026-06-23'!P533)</f>
        <v>0</v>
      </c>
      <c r="T533" s="7">
        <f t="shared" si="8"/>
        <v>0</v>
      </c>
    </row>
    <row r="534" spans="1:20" x14ac:dyDescent="0.25">
      <c r="A534" t="s">
        <v>18</v>
      </c>
      <c r="B534" s="9" t="s">
        <v>293</v>
      </c>
      <c r="C534">
        <v>0</v>
      </c>
      <c r="D534">
        <v>0</v>
      </c>
      <c r="E534">
        <v>0</v>
      </c>
      <c r="F534">
        <v>157734664</v>
      </c>
      <c r="G534">
        <v>0</v>
      </c>
      <c r="H534">
        <v>0</v>
      </c>
      <c r="I534">
        <v>0</v>
      </c>
      <c r="J534">
        <v>0</v>
      </c>
      <c r="K534">
        <v>157734664</v>
      </c>
      <c r="L534">
        <v>0</v>
      </c>
      <c r="M534" t="s">
        <v>17</v>
      </c>
      <c r="N534" t="s">
        <v>19</v>
      </c>
      <c r="O534" t="s">
        <v>20</v>
      </c>
      <c r="P534" t="str">
        <f>VLOOKUP(B534,'CHECK_DT-BT_chi_tiet'!$A:$C,3,FALSE)</f>
        <v>BV Bình Định</v>
      </c>
      <c r="Q534" t="str">
        <f>VLOOKUP(A534,Sheet3!$K$11:$L$21,2,FALSE)</f>
        <v>BH Hàng hóa</v>
      </c>
      <c r="R534" t="str">
        <f>VLOOKUP(Q534,Sheet3!$L$11:$M$21,2,FALSE)</f>
        <v>HQ2</v>
      </c>
      <c r="S534" s="26">
        <f>SUMIFS('HQ2'!$O:$O,'HQ2'!$B:$B, "="&amp;'Tong_hop_HQNV_2026Q1_2026-06-23'!Q534, 'HQ2'!$A:$A,"="&amp;'Tong_hop_HQNV_2026Q1_2026-06-23'!P534)</f>
        <v>0</v>
      </c>
      <c r="T534" s="7">
        <f t="shared" si="8"/>
        <v>0</v>
      </c>
    </row>
    <row r="535" spans="1:20" x14ac:dyDescent="0.25">
      <c r="A535" t="s">
        <v>18</v>
      </c>
      <c r="B535" s="9" t="s">
        <v>295</v>
      </c>
      <c r="C535">
        <v>0</v>
      </c>
      <c r="D535">
        <v>0</v>
      </c>
      <c r="E535">
        <v>0</v>
      </c>
      <c r="F535">
        <v>899506868</v>
      </c>
      <c r="G535" s="92">
        <v>7000000</v>
      </c>
      <c r="H535">
        <v>0</v>
      </c>
      <c r="I535">
        <v>0</v>
      </c>
      <c r="J535">
        <v>0</v>
      </c>
      <c r="K535">
        <v>899506868</v>
      </c>
      <c r="L535">
        <v>0</v>
      </c>
      <c r="M535" t="s">
        <v>17</v>
      </c>
      <c r="N535" t="s">
        <v>19</v>
      </c>
      <c r="O535" t="s">
        <v>20</v>
      </c>
      <c r="P535" t="str">
        <f>VLOOKUP(B535,'CHECK_DT-BT_chi_tiet'!$A:$C,3,FALSE)</f>
        <v>BV Bình Phước</v>
      </c>
      <c r="Q535" t="str">
        <f>VLOOKUP(A535,Sheet3!$K$11:$L$21,2,FALSE)</f>
        <v>BH Hàng hóa</v>
      </c>
      <c r="R535" t="str">
        <f>VLOOKUP(Q535,Sheet3!$L$11:$M$21,2,FALSE)</f>
        <v>HQ2</v>
      </c>
      <c r="S535" s="26">
        <f>SUMIFS('HQ2'!$O:$O,'HQ2'!$B:$B, "="&amp;'Tong_hop_HQNV_2026Q1_2026-06-23'!Q535, 'HQ2'!$A:$A,"="&amp;'Tong_hop_HQNV_2026Q1_2026-06-23'!P535)</f>
        <v>7000000</v>
      </c>
      <c r="T535" s="7">
        <f t="shared" si="8"/>
        <v>0</v>
      </c>
    </row>
    <row r="536" spans="1:20" x14ac:dyDescent="0.25">
      <c r="A536" t="s">
        <v>18</v>
      </c>
      <c r="B536" s="9" t="s">
        <v>297</v>
      </c>
      <c r="C536">
        <v>0</v>
      </c>
      <c r="D536">
        <v>0</v>
      </c>
      <c r="E536">
        <v>0</v>
      </c>
      <c r="F536">
        <v>413154312</v>
      </c>
      <c r="G536">
        <v>276877939.47000003</v>
      </c>
      <c r="H536" s="92">
        <v>180000000</v>
      </c>
      <c r="I536">
        <v>0</v>
      </c>
      <c r="J536">
        <v>0</v>
      </c>
      <c r="K536">
        <v>413154312</v>
      </c>
      <c r="L536">
        <v>0</v>
      </c>
      <c r="M536" t="s">
        <v>17</v>
      </c>
      <c r="N536" t="s">
        <v>19</v>
      </c>
      <c r="O536" t="s">
        <v>20</v>
      </c>
      <c r="P536" t="str">
        <f>VLOOKUP(B536,'CHECK_DT-BT_chi_tiet'!$A:$C,3,FALSE)</f>
        <v>BV Cà Mau</v>
      </c>
      <c r="Q536" t="str">
        <f>VLOOKUP(A536,Sheet3!$K$11:$L$21,2,FALSE)</f>
        <v>BH Hàng hóa</v>
      </c>
      <c r="R536" t="str">
        <f>VLOOKUP(Q536,Sheet3!$L$11:$M$21,2,FALSE)</f>
        <v>HQ2</v>
      </c>
      <c r="S536" s="26">
        <f>SUMIFS('HQ2'!$O:$O,'HQ2'!$B:$B, "="&amp;'Tong_hop_HQNV_2026Q1_2026-06-23'!Q536, 'HQ2'!$A:$A,"="&amp;'Tong_hop_HQNV_2026Q1_2026-06-23'!P536)</f>
        <v>276877939.47000003</v>
      </c>
      <c r="T536" s="7">
        <f t="shared" si="8"/>
        <v>0</v>
      </c>
    </row>
    <row r="537" spans="1:20" x14ac:dyDescent="0.25">
      <c r="A537" t="s">
        <v>18</v>
      </c>
      <c r="B537" s="9" t="s">
        <v>298</v>
      </c>
      <c r="C537">
        <v>0</v>
      </c>
      <c r="D537">
        <v>0</v>
      </c>
      <c r="E537">
        <v>0</v>
      </c>
      <c r="F537">
        <v>196514590</v>
      </c>
      <c r="G537">
        <v>0</v>
      </c>
      <c r="H537">
        <v>0</v>
      </c>
      <c r="I537">
        <v>0</v>
      </c>
      <c r="J537">
        <v>0</v>
      </c>
      <c r="K537">
        <v>196514590</v>
      </c>
      <c r="L537">
        <v>0</v>
      </c>
      <c r="M537" t="s">
        <v>17</v>
      </c>
      <c r="N537" t="s">
        <v>19</v>
      </c>
      <c r="O537" t="s">
        <v>20</v>
      </c>
      <c r="P537" t="str">
        <f>VLOOKUP(B537,'CHECK_DT-BT_chi_tiet'!$A:$C,3,FALSE)</f>
        <v>BV Cần Thơ</v>
      </c>
      <c r="Q537" t="str">
        <f>VLOOKUP(A537,Sheet3!$K$11:$L$21,2,FALSE)</f>
        <v>BH Hàng hóa</v>
      </c>
      <c r="R537" t="str">
        <f>VLOOKUP(Q537,Sheet3!$L$11:$M$21,2,FALSE)</f>
        <v>HQ2</v>
      </c>
      <c r="S537" s="26">
        <f>SUMIFS('HQ2'!$O:$O,'HQ2'!$B:$B, "="&amp;'Tong_hop_HQNV_2026Q1_2026-06-23'!Q537, 'HQ2'!$A:$A,"="&amp;'Tong_hop_HQNV_2026Q1_2026-06-23'!P537)</f>
        <v>0</v>
      </c>
      <c r="T537" s="7">
        <f t="shared" si="8"/>
        <v>0</v>
      </c>
    </row>
    <row r="538" spans="1:20" x14ac:dyDescent="0.25">
      <c r="A538" t="s">
        <v>18</v>
      </c>
      <c r="B538" s="9" t="s">
        <v>301</v>
      </c>
      <c r="C538">
        <v>0</v>
      </c>
      <c r="D538">
        <v>0</v>
      </c>
      <c r="E538">
        <v>0</v>
      </c>
      <c r="F538">
        <v>520501237</v>
      </c>
      <c r="G538">
        <v>0</v>
      </c>
      <c r="H538">
        <v>0</v>
      </c>
      <c r="I538">
        <v>0</v>
      </c>
      <c r="J538">
        <v>0</v>
      </c>
      <c r="K538">
        <v>520501237</v>
      </c>
      <c r="L538">
        <v>0</v>
      </c>
      <c r="M538" t="s">
        <v>17</v>
      </c>
      <c r="N538" t="s">
        <v>19</v>
      </c>
      <c r="O538" t="s">
        <v>20</v>
      </c>
      <c r="P538" t="str">
        <f>VLOOKUP(B538,'CHECK_DT-BT_chi_tiet'!$A:$C,3,FALSE)</f>
        <v>BV Dak Lak</v>
      </c>
      <c r="Q538" t="str">
        <f>VLOOKUP(A538,Sheet3!$K$11:$L$21,2,FALSE)</f>
        <v>BH Hàng hóa</v>
      </c>
      <c r="R538" t="str">
        <f>VLOOKUP(Q538,Sheet3!$L$11:$M$21,2,FALSE)</f>
        <v>HQ2</v>
      </c>
      <c r="S538" s="26">
        <f>SUMIFS('HQ2'!$O:$O,'HQ2'!$B:$B, "="&amp;'Tong_hop_HQNV_2026Q1_2026-06-23'!Q538, 'HQ2'!$A:$A,"="&amp;'Tong_hop_HQNV_2026Q1_2026-06-23'!P538)</f>
        <v>0</v>
      </c>
      <c r="T538" s="7">
        <f t="shared" si="8"/>
        <v>0</v>
      </c>
    </row>
    <row r="539" spans="1:20" x14ac:dyDescent="0.25">
      <c r="A539" t="s">
        <v>18</v>
      </c>
      <c r="B539" s="9" t="s">
        <v>310</v>
      </c>
      <c r="C539">
        <v>0</v>
      </c>
      <c r="D539">
        <v>0</v>
      </c>
      <c r="E539">
        <v>0</v>
      </c>
      <c r="F539">
        <v>29982656</v>
      </c>
      <c r="G539">
        <v>0</v>
      </c>
      <c r="H539">
        <v>0</v>
      </c>
      <c r="I539">
        <v>0</v>
      </c>
      <c r="J539">
        <v>0</v>
      </c>
      <c r="K539">
        <v>29982656</v>
      </c>
      <c r="L539">
        <v>0</v>
      </c>
      <c r="M539" t="s">
        <v>17</v>
      </c>
      <c r="N539" t="s">
        <v>19</v>
      </c>
      <c r="O539" t="s">
        <v>20</v>
      </c>
      <c r="P539" t="str">
        <f>VLOOKUP(B539,'CHECK_DT-BT_chi_tiet'!$A:$C,3,FALSE)</f>
        <v>BV Gia Lai</v>
      </c>
      <c r="Q539" t="str">
        <f>VLOOKUP(A539,Sheet3!$K$11:$L$21,2,FALSE)</f>
        <v>BH Hàng hóa</v>
      </c>
      <c r="R539" t="str">
        <f>VLOOKUP(Q539,Sheet3!$L$11:$M$21,2,FALSE)</f>
        <v>HQ2</v>
      </c>
      <c r="S539" s="26">
        <f>SUMIFS('HQ2'!$O:$O,'HQ2'!$B:$B, "="&amp;'Tong_hop_HQNV_2026Q1_2026-06-23'!Q539, 'HQ2'!$A:$A,"="&amp;'Tong_hop_HQNV_2026Q1_2026-06-23'!P539)</f>
        <v>0</v>
      </c>
      <c r="T539" s="7">
        <f t="shared" si="8"/>
        <v>0</v>
      </c>
    </row>
    <row r="540" spans="1:20" x14ac:dyDescent="0.25">
      <c r="A540" t="s">
        <v>18</v>
      </c>
      <c r="B540" s="9" t="s">
        <v>312</v>
      </c>
      <c r="C540">
        <v>0</v>
      </c>
      <c r="D540">
        <v>0</v>
      </c>
      <c r="E540">
        <v>0</v>
      </c>
      <c r="F540">
        <v>89839613</v>
      </c>
      <c r="G540">
        <v>0</v>
      </c>
      <c r="H540">
        <v>0</v>
      </c>
      <c r="I540">
        <v>0</v>
      </c>
      <c r="J540">
        <v>0</v>
      </c>
      <c r="K540">
        <v>89839613</v>
      </c>
      <c r="L540">
        <v>0</v>
      </c>
      <c r="M540" t="s">
        <v>17</v>
      </c>
      <c r="N540" t="s">
        <v>19</v>
      </c>
      <c r="O540" t="s">
        <v>20</v>
      </c>
      <c r="P540" t="str">
        <f>VLOOKUP(B540,'CHECK_DT-BT_chi_tiet'!$A:$C,3,FALSE)</f>
        <v>BV Hà Nam</v>
      </c>
      <c r="Q540" t="str">
        <f>VLOOKUP(A540,Sheet3!$K$11:$L$21,2,FALSE)</f>
        <v>BH Hàng hóa</v>
      </c>
      <c r="R540" t="str">
        <f>VLOOKUP(Q540,Sheet3!$L$11:$M$21,2,FALSE)</f>
        <v>HQ2</v>
      </c>
      <c r="S540" s="26">
        <f>SUMIFS('HQ2'!$O:$O,'HQ2'!$B:$B, "="&amp;'Tong_hop_HQNV_2026Q1_2026-06-23'!Q540, 'HQ2'!$A:$A,"="&amp;'Tong_hop_HQNV_2026Q1_2026-06-23'!P540)</f>
        <v>0</v>
      </c>
      <c r="T540" s="7">
        <f t="shared" si="8"/>
        <v>0</v>
      </c>
    </row>
    <row r="541" spans="1:20" x14ac:dyDescent="0.25">
      <c r="A541" t="s">
        <v>18</v>
      </c>
      <c r="B541" s="9" t="s">
        <v>306</v>
      </c>
      <c r="C541">
        <v>0</v>
      </c>
      <c r="D541">
        <v>0</v>
      </c>
      <c r="E541">
        <v>0</v>
      </c>
      <c r="F541">
        <v>195968449</v>
      </c>
      <c r="G541">
        <v>0</v>
      </c>
      <c r="H541">
        <v>0</v>
      </c>
      <c r="I541">
        <v>0</v>
      </c>
      <c r="J541">
        <v>0</v>
      </c>
      <c r="K541">
        <v>195968449</v>
      </c>
      <c r="L541">
        <v>0</v>
      </c>
      <c r="M541" t="s">
        <v>17</v>
      </c>
      <c r="N541" t="s">
        <v>19</v>
      </c>
      <c r="O541" t="s">
        <v>20</v>
      </c>
      <c r="P541" t="str">
        <f>VLOOKUP(B541,'CHECK_DT-BT_chi_tiet'!$A:$C,3,FALSE)</f>
        <v>BV Đông Đô</v>
      </c>
      <c r="Q541" t="str">
        <f>VLOOKUP(A541,Sheet3!$K$11:$L$21,2,FALSE)</f>
        <v>BH Hàng hóa</v>
      </c>
      <c r="R541" t="str">
        <f>VLOOKUP(Q541,Sheet3!$L$11:$M$21,2,FALSE)</f>
        <v>HQ2</v>
      </c>
      <c r="S541" s="26">
        <f>SUMIFS('HQ2'!$O:$O,'HQ2'!$B:$B, "="&amp;'Tong_hop_HQNV_2026Q1_2026-06-23'!Q541, 'HQ2'!$A:$A,"="&amp;'Tong_hop_HQNV_2026Q1_2026-06-23'!P541)</f>
        <v>0</v>
      </c>
      <c r="T541" s="7">
        <f t="shared" si="8"/>
        <v>0</v>
      </c>
    </row>
    <row r="542" spans="1:20" x14ac:dyDescent="0.25">
      <c r="A542" t="s">
        <v>18</v>
      </c>
      <c r="B542" s="9" t="s">
        <v>315</v>
      </c>
      <c r="C542">
        <v>0</v>
      </c>
      <c r="D542">
        <v>0</v>
      </c>
      <c r="E542">
        <v>0</v>
      </c>
      <c r="F542">
        <v>43206409</v>
      </c>
      <c r="G542">
        <v>0</v>
      </c>
      <c r="H542">
        <v>0</v>
      </c>
      <c r="I542">
        <v>0</v>
      </c>
      <c r="J542">
        <v>0</v>
      </c>
      <c r="K542">
        <v>43206409</v>
      </c>
      <c r="L542">
        <v>0</v>
      </c>
      <c r="M542" t="s">
        <v>17</v>
      </c>
      <c r="N542" t="s">
        <v>19</v>
      </c>
      <c r="O542" t="s">
        <v>20</v>
      </c>
      <c r="P542" t="str">
        <f>VLOOKUP(B542,'CHECK_DT-BT_chi_tiet'!$A:$C,3,FALSE)</f>
        <v>BV Hà Tĩnh</v>
      </c>
      <c r="Q542" t="str">
        <f>VLOOKUP(A542,Sheet3!$K$11:$L$21,2,FALSE)</f>
        <v>BH Hàng hóa</v>
      </c>
      <c r="R542" t="str">
        <f>VLOOKUP(Q542,Sheet3!$L$11:$M$21,2,FALSE)</f>
        <v>HQ2</v>
      </c>
      <c r="S542" s="26">
        <f>SUMIFS('HQ2'!$O:$O,'HQ2'!$B:$B, "="&amp;'Tong_hop_HQNV_2026Q1_2026-06-23'!Q542, 'HQ2'!$A:$A,"="&amp;'Tong_hop_HQNV_2026Q1_2026-06-23'!P542)</f>
        <v>0</v>
      </c>
      <c r="T542" s="7">
        <f t="shared" si="8"/>
        <v>0</v>
      </c>
    </row>
    <row r="543" spans="1:20" x14ac:dyDescent="0.25">
      <c r="A543" t="s">
        <v>18</v>
      </c>
      <c r="B543" s="9" t="s">
        <v>320</v>
      </c>
      <c r="C543">
        <v>0</v>
      </c>
      <c r="D543">
        <v>0</v>
      </c>
      <c r="E543">
        <v>0</v>
      </c>
      <c r="F543">
        <v>92217217</v>
      </c>
      <c r="G543">
        <v>0</v>
      </c>
      <c r="H543">
        <v>0</v>
      </c>
      <c r="I543">
        <v>0</v>
      </c>
      <c r="J543">
        <v>0</v>
      </c>
      <c r="K543">
        <v>92217217</v>
      </c>
      <c r="L543">
        <v>0</v>
      </c>
      <c r="M543" t="s">
        <v>17</v>
      </c>
      <c r="N543" t="s">
        <v>19</v>
      </c>
      <c r="O543" t="s">
        <v>20</v>
      </c>
      <c r="P543" t="str">
        <f>VLOOKUP(B543,'CHECK_DT-BT_chi_tiet'!$A:$C,3,FALSE)</f>
        <v>BV Hưng Yên</v>
      </c>
      <c r="Q543" t="str">
        <f>VLOOKUP(A543,Sheet3!$K$11:$L$21,2,FALSE)</f>
        <v>BH Hàng hóa</v>
      </c>
      <c r="R543" t="str">
        <f>VLOOKUP(Q543,Sheet3!$L$11:$M$21,2,FALSE)</f>
        <v>HQ2</v>
      </c>
      <c r="S543" s="26">
        <f>SUMIFS('HQ2'!$O:$O,'HQ2'!$B:$B, "="&amp;'Tong_hop_HQNV_2026Q1_2026-06-23'!Q543, 'HQ2'!$A:$A,"="&amp;'Tong_hop_HQNV_2026Q1_2026-06-23'!P543)</f>
        <v>0</v>
      </c>
      <c r="T543" s="7">
        <f t="shared" si="8"/>
        <v>0</v>
      </c>
    </row>
    <row r="544" spans="1:20" x14ac:dyDescent="0.25">
      <c r="A544" t="s">
        <v>18</v>
      </c>
      <c r="B544" s="9" t="s">
        <v>319</v>
      </c>
      <c r="C544">
        <v>0</v>
      </c>
      <c r="D544">
        <v>0</v>
      </c>
      <c r="E544">
        <v>0</v>
      </c>
      <c r="F544">
        <v>14804100</v>
      </c>
      <c r="G544">
        <v>0</v>
      </c>
      <c r="H544">
        <v>0</v>
      </c>
      <c r="I544">
        <v>0</v>
      </c>
      <c r="J544">
        <v>0</v>
      </c>
      <c r="K544">
        <v>14804100</v>
      </c>
      <c r="L544">
        <v>0</v>
      </c>
      <c r="M544" t="s">
        <v>17</v>
      </c>
      <c r="N544" t="s">
        <v>19</v>
      </c>
      <c r="O544" t="s">
        <v>20</v>
      </c>
      <c r="P544" t="str">
        <f>VLOOKUP(B544,'CHECK_DT-BT_chi_tiet'!$A:$C,3,FALSE)</f>
        <v>BV Hòa Bình</v>
      </c>
      <c r="Q544" t="str">
        <f>VLOOKUP(A544,Sheet3!$K$11:$L$21,2,FALSE)</f>
        <v>BH Hàng hóa</v>
      </c>
      <c r="R544" t="str">
        <f>VLOOKUP(Q544,Sheet3!$L$11:$M$21,2,FALSE)</f>
        <v>HQ2</v>
      </c>
      <c r="S544" s="26">
        <f>SUMIFS('HQ2'!$O:$O,'HQ2'!$B:$B, "="&amp;'Tong_hop_HQNV_2026Q1_2026-06-23'!Q544, 'HQ2'!$A:$A,"="&amp;'Tong_hop_HQNV_2026Q1_2026-06-23'!P544)</f>
        <v>0</v>
      </c>
      <c r="T544" s="7">
        <f t="shared" si="8"/>
        <v>0</v>
      </c>
    </row>
    <row r="545" spans="1:20" x14ac:dyDescent="0.25">
      <c r="A545" t="s">
        <v>18</v>
      </c>
      <c r="B545" s="9" t="s">
        <v>321</v>
      </c>
      <c r="C545">
        <v>0</v>
      </c>
      <c r="D545">
        <v>0</v>
      </c>
      <c r="E545">
        <v>0</v>
      </c>
      <c r="F545">
        <v>2751534172</v>
      </c>
      <c r="G545">
        <v>0</v>
      </c>
      <c r="H545">
        <v>0</v>
      </c>
      <c r="I545">
        <v>0</v>
      </c>
      <c r="J545">
        <v>0</v>
      </c>
      <c r="K545">
        <v>2751534172</v>
      </c>
      <c r="L545">
        <v>0</v>
      </c>
      <c r="M545" t="s">
        <v>17</v>
      </c>
      <c r="N545" t="s">
        <v>19</v>
      </c>
      <c r="O545" t="s">
        <v>20</v>
      </c>
      <c r="P545" t="str">
        <f>VLOOKUP(B545,'CHECK_DT-BT_chi_tiet'!$A:$C,3,FALSE)</f>
        <v>BV Khánh Hòa</v>
      </c>
      <c r="Q545" t="str">
        <f>VLOOKUP(A545,Sheet3!$K$11:$L$21,2,FALSE)</f>
        <v>BH Hàng hóa</v>
      </c>
      <c r="R545" t="str">
        <f>VLOOKUP(Q545,Sheet3!$L$11:$M$21,2,FALSE)</f>
        <v>HQ2</v>
      </c>
      <c r="S545" s="26">
        <f>SUMIFS('HQ2'!$O:$O,'HQ2'!$B:$B, "="&amp;'Tong_hop_HQNV_2026Q1_2026-06-23'!Q545, 'HQ2'!$A:$A,"="&amp;'Tong_hop_HQNV_2026Q1_2026-06-23'!P545)</f>
        <v>0</v>
      </c>
      <c r="T545" s="7">
        <f t="shared" si="8"/>
        <v>0</v>
      </c>
    </row>
    <row r="546" spans="1:20" x14ac:dyDescent="0.25">
      <c r="A546" t="s">
        <v>18</v>
      </c>
      <c r="B546" s="9" t="s">
        <v>322</v>
      </c>
      <c r="C546">
        <v>0</v>
      </c>
      <c r="D546">
        <v>0</v>
      </c>
      <c r="E546">
        <v>0</v>
      </c>
      <c r="F546">
        <v>474564509</v>
      </c>
      <c r="G546">
        <v>0</v>
      </c>
      <c r="H546">
        <v>0</v>
      </c>
      <c r="I546">
        <v>0</v>
      </c>
      <c r="J546">
        <v>0</v>
      </c>
      <c r="K546">
        <v>474564509</v>
      </c>
      <c r="L546">
        <v>0</v>
      </c>
      <c r="M546" t="s">
        <v>17</v>
      </c>
      <c r="N546" t="s">
        <v>19</v>
      </c>
      <c r="O546" t="s">
        <v>20</v>
      </c>
      <c r="P546" t="str">
        <f>VLOOKUP(B546,'CHECK_DT-BT_chi_tiet'!$A:$C,3,FALSE)</f>
        <v>BV Kiên Giang</v>
      </c>
      <c r="Q546" t="str">
        <f>VLOOKUP(A546,Sheet3!$K$11:$L$21,2,FALSE)</f>
        <v>BH Hàng hóa</v>
      </c>
      <c r="R546" t="str">
        <f>VLOOKUP(Q546,Sheet3!$L$11:$M$21,2,FALSE)</f>
        <v>HQ2</v>
      </c>
      <c r="S546" s="26">
        <f>SUMIFS('HQ2'!$O:$O,'HQ2'!$B:$B, "="&amp;'Tong_hop_HQNV_2026Q1_2026-06-23'!Q546, 'HQ2'!$A:$A,"="&amp;'Tong_hop_HQNV_2026Q1_2026-06-23'!P546)</f>
        <v>0</v>
      </c>
      <c r="T546" s="7">
        <f t="shared" si="8"/>
        <v>0</v>
      </c>
    </row>
    <row r="547" spans="1:20" x14ac:dyDescent="0.25">
      <c r="A547" t="s">
        <v>18</v>
      </c>
      <c r="B547" s="9" t="s">
        <v>325</v>
      </c>
      <c r="C547">
        <v>0</v>
      </c>
      <c r="D547">
        <v>0</v>
      </c>
      <c r="E547">
        <v>0</v>
      </c>
      <c r="F547">
        <v>930033</v>
      </c>
      <c r="G547">
        <v>0</v>
      </c>
      <c r="H547">
        <v>0</v>
      </c>
      <c r="I547">
        <v>0</v>
      </c>
      <c r="J547">
        <v>0</v>
      </c>
      <c r="K547">
        <v>930033</v>
      </c>
      <c r="L547">
        <v>0</v>
      </c>
      <c r="M547" t="s">
        <v>17</v>
      </c>
      <c r="N547" t="s">
        <v>19</v>
      </c>
      <c r="O547" t="s">
        <v>20</v>
      </c>
      <c r="P547" t="str">
        <f>VLOOKUP(B547,'CHECK_DT-BT_chi_tiet'!$A:$C,3,FALSE)</f>
        <v>BV Lâm Đồng</v>
      </c>
      <c r="Q547" t="str">
        <f>VLOOKUP(A547,Sheet3!$K$11:$L$21,2,FALSE)</f>
        <v>BH Hàng hóa</v>
      </c>
      <c r="R547" t="str">
        <f>VLOOKUP(Q547,Sheet3!$L$11:$M$21,2,FALSE)</f>
        <v>HQ2</v>
      </c>
      <c r="S547" s="26">
        <f>SUMIFS('HQ2'!$O:$O,'HQ2'!$B:$B, "="&amp;'Tong_hop_HQNV_2026Q1_2026-06-23'!Q547, 'HQ2'!$A:$A,"="&amp;'Tong_hop_HQNV_2026Q1_2026-06-23'!P547)</f>
        <v>0</v>
      </c>
      <c r="T547" s="7">
        <f t="shared" si="8"/>
        <v>0</v>
      </c>
    </row>
    <row r="548" spans="1:20" x14ac:dyDescent="0.25">
      <c r="A548" t="s">
        <v>18</v>
      </c>
      <c r="B548" s="9" t="s">
        <v>327</v>
      </c>
      <c r="C548">
        <v>0</v>
      </c>
      <c r="D548">
        <v>0</v>
      </c>
      <c r="E548">
        <v>0</v>
      </c>
      <c r="F548">
        <v>65338081</v>
      </c>
      <c r="G548">
        <v>1224580032</v>
      </c>
      <c r="H548">
        <v>0</v>
      </c>
      <c r="I548">
        <v>0</v>
      </c>
      <c r="J548">
        <v>0</v>
      </c>
      <c r="K548">
        <v>65338081</v>
      </c>
      <c r="L548">
        <v>0</v>
      </c>
      <c r="M548" t="s">
        <v>17</v>
      </c>
      <c r="N548" t="s">
        <v>19</v>
      </c>
      <c r="O548" t="s">
        <v>20</v>
      </c>
      <c r="P548" t="str">
        <f>VLOOKUP(B548,'CHECK_DT-BT_chi_tiet'!$A:$C,3,FALSE)</f>
        <v>BV Lào Cai</v>
      </c>
      <c r="Q548" t="str">
        <f>VLOOKUP(A548,Sheet3!$K$11:$L$21,2,FALSE)</f>
        <v>BH Hàng hóa</v>
      </c>
      <c r="R548" t="str">
        <f>VLOOKUP(Q548,Sheet3!$L$11:$M$21,2,FALSE)</f>
        <v>HQ2</v>
      </c>
      <c r="S548" s="26">
        <f>SUMIFS('HQ2'!$O:$O,'HQ2'!$B:$B, "="&amp;'Tong_hop_HQNV_2026Q1_2026-06-23'!Q548, 'HQ2'!$A:$A,"="&amp;'Tong_hop_HQNV_2026Q1_2026-06-23'!P548)</f>
        <v>1224580032</v>
      </c>
      <c r="T548" s="7">
        <f t="shared" si="8"/>
        <v>0</v>
      </c>
    </row>
    <row r="549" spans="1:20" x14ac:dyDescent="0.25">
      <c r="A549" t="s">
        <v>18</v>
      </c>
      <c r="B549" s="9" t="s">
        <v>328</v>
      </c>
      <c r="C549">
        <v>0</v>
      </c>
      <c r="D549">
        <v>0</v>
      </c>
      <c r="E549">
        <v>0</v>
      </c>
      <c r="F549">
        <v>728548276</v>
      </c>
      <c r="G549">
        <v>193466901</v>
      </c>
      <c r="H549">
        <v>422015</v>
      </c>
      <c r="I549">
        <v>0</v>
      </c>
      <c r="J549">
        <v>0</v>
      </c>
      <c r="K549">
        <v>728548276</v>
      </c>
      <c r="L549">
        <v>0</v>
      </c>
      <c r="M549" t="s">
        <v>17</v>
      </c>
      <c r="N549" t="s">
        <v>19</v>
      </c>
      <c r="O549" t="s">
        <v>20</v>
      </c>
      <c r="P549" t="str">
        <f>VLOOKUP(B549,'CHECK_DT-BT_chi_tiet'!$A:$C,3,FALSE)</f>
        <v>BV Long An</v>
      </c>
      <c r="Q549" t="str">
        <f>VLOOKUP(A549,Sheet3!$K$11:$L$21,2,FALSE)</f>
        <v>BH Hàng hóa</v>
      </c>
      <c r="R549" t="str">
        <f>VLOOKUP(Q549,Sheet3!$L$11:$M$21,2,FALSE)</f>
        <v>HQ2</v>
      </c>
      <c r="S549" s="26">
        <f>SUMIFS('HQ2'!$O:$O,'HQ2'!$B:$B, "="&amp;'Tong_hop_HQNV_2026Q1_2026-06-23'!Q549, 'HQ2'!$A:$A,"="&amp;'Tong_hop_HQNV_2026Q1_2026-06-23'!P549)</f>
        <v>193466901</v>
      </c>
      <c r="T549" s="7">
        <f t="shared" si="8"/>
        <v>0</v>
      </c>
    </row>
    <row r="550" spans="1:20" x14ac:dyDescent="0.25">
      <c r="A550" t="s">
        <v>18</v>
      </c>
      <c r="B550" s="9" t="s">
        <v>333</v>
      </c>
      <c r="C550">
        <v>0</v>
      </c>
      <c r="D550">
        <v>0</v>
      </c>
      <c r="E550">
        <v>0</v>
      </c>
      <c r="F550">
        <v>22805242</v>
      </c>
      <c r="G550">
        <v>0</v>
      </c>
      <c r="H550">
        <v>0</v>
      </c>
      <c r="I550">
        <v>0</v>
      </c>
      <c r="J550">
        <v>0</v>
      </c>
      <c r="K550">
        <v>22805242</v>
      </c>
      <c r="L550">
        <v>0</v>
      </c>
      <c r="M550" t="s">
        <v>17</v>
      </c>
      <c r="N550" t="s">
        <v>19</v>
      </c>
      <c r="O550" t="s">
        <v>20</v>
      </c>
      <c r="P550" t="str">
        <f>VLOOKUP(B550,'CHECK_DT-BT_chi_tiet'!$A:$C,3,FALSE)</f>
        <v>BV Nghệ An</v>
      </c>
      <c r="Q550" t="str">
        <f>VLOOKUP(A550,Sheet3!$K$11:$L$21,2,FALSE)</f>
        <v>BH Hàng hóa</v>
      </c>
      <c r="R550" t="str">
        <f>VLOOKUP(Q550,Sheet3!$L$11:$M$21,2,FALSE)</f>
        <v>HQ2</v>
      </c>
      <c r="S550" s="26">
        <f>SUMIFS('HQ2'!$O:$O,'HQ2'!$B:$B, "="&amp;'Tong_hop_HQNV_2026Q1_2026-06-23'!Q550, 'HQ2'!$A:$A,"="&amp;'Tong_hop_HQNV_2026Q1_2026-06-23'!P550)</f>
        <v>0</v>
      </c>
      <c r="T550" s="7">
        <f t="shared" si="8"/>
        <v>0</v>
      </c>
    </row>
    <row r="551" spans="1:20" x14ac:dyDescent="0.25">
      <c r="A551" t="s">
        <v>18</v>
      </c>
      <c r="B551" s="9" t="s">
        <v>334</v>
      </c>
      <c r="C551">
        <v>0</v>
      </c>
      <c r="D551">
        <v>0</v>
      </c>
      <c r="E551">
        <v>0</v>
      </c>
      <c r="F551">
        <v>939084999</v>
      </c>
      <c r="G551" s="92">
        <v>28000000</v>
      </c>
      <c r="H551">
        <v>0</v>
      </c>
      <c r="I551">
        <v>0</v>
      </c>
      <c r="J551">
        <v>0</v>
      </c>
      <c r="K551">
        <v>939084999</v>
      </c>
      <c r="L551">
        <v>0</v>
      </c>
      <c r="M551" t="s">
        <v>17</v>
      </c>
      <c r="N551" t="s">
        <v>19</v>
      </c>
      <c r="O551" t="s">
        <v>20</v>
      </c>
      <c r="P551" t="str">
        <f>VLOOKUP(B551,'CHECK_DT-BT_chi_tiet'!$A:$C,3,FALSE)</f>
        <v>BV Ninh Bình</v>
      </c>
      <c r="Q551" t="str">
        <f>VLOOKUP(A551,Sheet3!$K$11:$L$21,2,FALSE)</f>
        <v>BH Hàng hóa</v>
      </c>
      <c r="R551" t="str">
        <f>VLOOKUP(Q551,Sheet3!$L$11:$M$21,2,FALSE)</f>
        <v>HQ2</v>
      </c>
      <c r="S551" s="26">
        <f>SUMIFS('HQ2'!$O:$O,'HQ2'!$B:$B, "="&amp;'Tong_hop_HQNV_2026Q1_2026-06-23'!Q551, 'HQ2'!$A:$A,"="&amp;'Tong_hop_HQNV_2026Q1_2026-06-23'!P551)</f>
        <v>28000000</v>
      </c>
      <c r="T551" s="7">
        <f t="shared" si="8"/>
        <v>0</v>
      </c>
    </row>
    <row r="552" spans="1:20" x14ac:dyDescent="0.25">
      <c r="A552" t="s">
        <v>18</v>
      </c>
      <c r="B552" s="9" t="s">
        <v>338</v>
      </c>
      <c r="C552">
        <v>0</v>
      </c>
      <c r="D552">
        <v>0</v>
      </c>
      <c r="E552">
        <v>0</v>
      </c>
      <c r="F552">
        <v>404706087</v>
      </c>
      <c r="G552">
        <v>461784829</v>
      </c>
      <c r="H552">
        <v>0</v>
      </c>
      <c r="I552">
        <v>0</v>
      </c>
      <c r="J552">
        <v>0</v>
      </c>
      <c r="K552">
        <v>404706087</v>
      </c>
      <c r="L552">
        <v>0</v>
      </c>
      <c r="M552" t="s">
        <v>17</v>
      </c>
      <c r="N552" t="s">
        <v>19</v>
      </c>
      <c r="O552" t="s">
        <v>20</v>
      </c>
      <c r="P552" t="str">
        <f>VLOOKUP(B552,'CHECK_DT-BT_chi_tiet'!$A:$C,3,FALSE)</f>
        <v>BV Phú Thọ</v>
      </c>
      <c r="Q552" t="str">
        <f>VLOOKUP(A552,Sheet3!$K$11:$L$21,2,FALSE)</f>
        <v>BH Hàng hóa</v>
      </c>
      <c r="R552" t="str">
        <f>VLOOKUP(Q552,Sheet3!$L$11:$M$21,2,FALSE)</f>
        <v>HQ2</v>
      </c>
      <c r="S552" s="26">
        <f>SUMIFS('HQ2'!$O:$O,'HQ2'!$B:$B, "="&amp;'Tong_hop_HQNV_2026Q1_2026-06-23'!Q552, 'HQ2'!$A:$A,"="&amp;'Tong_hop_HQNV_2026Q1_2026-06-23'!P552)</f>
        <v>461784829</v>
      </c>
      <c r="T552" s="7">
        <f t="shared" si="8"/>
        <v>0</v>
      </c>
    </row>
    <row r="553" spans="1:20" x14ac:dyDescent="0.25">
      <c r="A553" t="s">
        <v>18</v>
      </c>
      <c r="B553" s="9" t="s">
        <v>339</v>
      </c>
      <c r="C553">
        <v>0</v>
      </c>
      <c r="D553">
        <v>0</v>
      </c>
      <c r="E553">
        <v>0</v>
      </c>
      <c r="F553">
        <v>108616543</v>
      </c>
      <c r="G553">
        <v>20200000</v>
      </c>
      <c r="H553">
        <v>0</v>
      </c>
      <c r="I553">
        <v>0</v>
      </c>
      <c r="J553">
        <v>0</v>
      </c>
      <c r="K553">
        <v>108616543</v>
      </c>
      <c r="L553">
        <v>0</v>
      </c>
      <c r="M553" t="s">
        <v>17</v>
      </c>
      <c r="N553" t="s">
        <v>19</v>
      </c>
      <c r="O553" t="s">
        <v>20</v>
      </c>
      <c r="P553" t="str">
        <f>VLOOKUP(B553,'CHECK_DT-BT_chi_tiet'!$A:$C,3,FALSE)</f>
        <v>BV Phú Yên</v>
      </c>
      <c r="Q553" t="str">
        <f>VLOOKUP(A553,Sheet3!$K$11:$L$21,2,FALSE)</f>
        <v>BH Hàng hóa</v>
      </c>
      <c r="R553" t="str">
        <f>VLOOKUP(Q553,Sheet3!$L$11:$M$21,2,FALSE)</f>
        <v>HQ2</v>
      </c>
      <c r="S553" s="26">
        <f>SUMIFS('HQ2'!$O:$O,'HQ2'!$B:$B, "="&amp;'Tong_hop_HQNV_2026Q1_2026-06-23'!Q553, 'HQ2'!$A:$A,"="&amp;'Tong_hop_HQNV_2026Q1_2026-06-23'!P553)</f>
        <v>20200000</v>
      </c>
      <c r="T553" s="7">
        <f t="shared" si="8"/>
        <v>0</v>
      </c>
    </row>
    <row r="554" spans="1:20" x14ac:dyDescent="0.25">
      <c r="A554" t="s">
        <v>18</v>
      </c>
      <c r="B554" s="9" t="s">
        <v>349</v>
      </c>
      <c r="C554">
        <v>0</v>
      </c>
      <c r="D554">
        <v>0</v>
      </c>
      <c r="E554">
        <v>0</v>
      </c>
      <c r="F554">
        <v>63707577</v>
      </c>
      <c r="G554">
        <v>0</v>
      </c>
      <c r="H554">
        <v>0</v>
      </c>
      <c r="I554">
        <v>0</v>
      </c>
      <c r="J554">
        <v>0</v>
      </c>
      <c r="K554">
        <v>63707577</v>
      </c>
      <c r="L554">
        <v>0</v>
      </c>
      <c r="M554" t="s">
        <v>17</v>
      </c>
      <c r="N554" t="s">
        <v>19</v>
      </c>
      <c r="O554" t="s">
        <v>20</v>
      </c>
      <c r="P554" t="str">
        <f>VLOOKUP(B554,'CHECK_DT-BT_chi_tiet'!$A:$C,3,FALSE)</f>
        <v>BV Tây Ninh</v>
      </c>
      <c r="Q554" t="str">
        <f>VLOOKUP(A554,Sheet3!$K$11:$L$21,2,FALSE)</f>
        <v>BH Hàng hóa</v>
      </c>
      <c r="R554" t="str">
        <f>VLOOKUP(Q554,Sheet3!$L$11:$M$21,2,FALSE)</f>
        <v>HQ2</v>
      </c>
      <c r="S554" s="26">
        <f>SUMIFS('HQ2'!$O:$O,'HQ2'!$B:$B, "="&amp;'Tong_hop_HQNV_2026Q1_2026-06-23'!Q554, 'HQ2'!$A:$A,"="&amp;'Tong_hop_HQNV_2026Q1_2026-06-23'!P554)</f>
        <v>0</v>
      </c>
      <c r="T554" s="7">
        <f t="shared" si="8"/>
        <v>0</v>
      </c>
    </row>
    <row r="555" spans="1:20" x14ac:dyDescent="0.25">
      <c r="A555" t="s">
        <v>18</v>
      </c>
      <c r="B555" s="9" t="s">
        <v>355</v>
      </c>
      <c r="C555">
        <v>0</v>
      </c>
      <c r="D555">
        <v>0</v>
      </c>
      <c r="E555">
        <v>0</v>
      </c>
      <c r="F555">
        <v>176161679</v>
      </c>
      <c r="G555">
        <v>0</v>
      </c>
      <c r="H555">
        <v>0</v>
      </c>
      <c r="I555">
        <v>0</v>
      </c>
      <c r="J555">
        <v>0</v>
      </c>
      <c r="K555">
        <v>176161679</v>
      </c>
      <c r="L555">
        <v>0</v>
      </c>
      <c r="M555" t="s">
        <v>17</v>
      </c>
      <c r="N555" t="s">
        <v>19</v>
      </c>
      <c r="O555" t="s">
        <v>20</v>
      </c>
      <c r="P555" t="str">
        <f>VLOOKUP(B555,'CHECK_DT-BT_chi_tiet'!$A:$C,3,FALSE)</f>
        <v>BV Thừa Thiên Huế</v>
      </c>
      <c r="Q555" t="str">
        <f>VLOOKUP(A555,Sheet3!$K$11:$L$21,2,FALSE)</f>
        <v>BH Hàng hóa</v>
      </c>
      <c r="R555" t="str">
        <f>VLOOKUP(Q555,Sheet3!$L$11:$M$21,2,FALSE)</f>
        <v>HQ2</v>
      </c>
      <c r="S555" s="26">
        <f>SUMIFS('HQ2'!$O:$O,'HQ2'!$B:$B, "="&amp;'Tong_hop_HQNV_2026Q1_2026-06-23'!Q555, 'HQ2'!$A:$A,"="&amp;'Tong_hop_HQNV_2026Q1_2026-06-23'!P555)</f>
        <v>0</v>
      </c>
      <c r="T555" s="7">
        <f t="shared" si="8"/>
        <v>0</v>
      </c>
    </row>
    <row r="556" spans="1:20" x14ac:dyDescent="0.25">
      <c r="A556" t="s">
        <v>18</v>
      </c>
      <c r="B556" s="9" t="s">
        <v>356</v>
      </c>
      <c r="C556">
        <v>0</v>
      </c>
      <c r="D556">
        <v>0</v>
      </c>
      <c r="E556">
        <v>0</v>
      </c>
      <c r="F556">
        <v>691466051</v>
      </c>
      <c r="G556">
        <v>0</v>
      </c>
      <c r="H556">
        <v>0</v>
      </c>
      <c r="I556">
        <v>0</v>
      </c>
      <c r="J556">
        <v>0</v>
      </c>
      <c r="K556">
        <v>691466051</v>
      </c>
      <c r="L556">
        <v>0</v>
      </c>
      <c r="M556" t="s">
        <v>17</v>
      </c>
      <c r="N556" t="s">
        <v>19</v>
      </c>
      <c r="O556" t="s">
        <v>20</v>
      </c>
      <c r="P556" t="str">
        <f>VLOOKUP(B556,'CHECK_DT-BT_chi_tiet'!$A:$C,3,FALSE)</f>
        <v>BV Tiền Giang</v>
      </c>
      <c r="Q556" t="str">
        <f>VLOOKUP(A556,Sheet3!$K$11:$L$21,2,FALSE)</f>
        <v>BH Hàng hóa</v>
      </c>
      <c r="R556" t="str">
        <f>VLOOKUP(Q556,Sheet3!$L$11:$M$21,2,FALSE)</f>
        <v>HQ2</v>
      </c>
      <c r="S556" s="26">
        <f>SUMIFS('HQ2'!$O:$O,'HQ2'!$B:$B, "="&amp;'Tong_hop_HQNV_2026Q1_2026-06-23'!Q556, 'HQ2'!$A:$A,"="&amp;'Tong_hop_HQNV_2026Q1_2026-06-23'!P556)</f>
        <v>0</v>
      </c>
      <c r="T556" s="7">
        <f t="shared" si="8"/>
        <v>0</v>
      </c>
    </row>
    <row r="557" spans="1:20" x14ac:dyDescent="0.25">
      <c r="A557" t="s">
        <v>18</v>
      </c>
      <c r="B557" s="9" t="s">
        <v>361</v>
      </c>
      <c r="C557">
        <v>0</v>
      </c>
      <c r="D557">
        <v>0</v>
      </c>
      <c r="E557">
        <v>0</v>
      </c>
      <c r="F557">
        <v>186522983</v>
      </c>
      <c r="G557">
        <v>0</v>
      </c>
      <c r="H557">
        <v>0</v>
      </c>
      <c r="I557">
        <v>0</v>
      </c>
      <c r="J557">
        <v>0</v>
      </c>
      <c r="K557">
        <v>186522983</v>
      </c>
      <c r="L557">
        <v>0</v>
      </c>
      <c r="M557" t="s">
        <v>17</v>
      </c>
      <c r="N557" t="s">
        <v>19</v>
      </c>
      <c r="O557" t="s">
        <v>20</v>
      </c>
      <c r="P557" t="str">
        <f>VLOOKUP(B557,'CHECK_DT-BT_chi_tiet'!$A:$C,3,FALSE)</f>
        <v>BV Vĩnh Phúc</v>
      </c>
      <c r="Q557" t="str">
        <f>VLOOKUP(A557,Sheet3!$K$11:$L$21,2,FALSE)</f>
        <v>BH Hàng hóa</v>
      </c>
      <c r="R557" t="str">
        <f>VLOOKUP(Q557,Sheet3!$L$11:$M$21,2,FALSE)</f>
        <v>HQ2</v>
      </c>
      <c r="S557" s="26">
        <f>SUMIFS('HQ2'!$O:$O,'HQ2'!$B:$B, "="&amp;'Tong_hop_HQNV_2026Q1_2026-06-23'!Q557, 'HQ2'!$A:$A,"="&amp;'Tong_hop_HQNV_2026Q1_2026-06-23'!P557)</f>
        <v>0</v>
      </c>
      <c r="T557" s="7">
        <f t="shared" si="8"/>
        <v>0</v>
      </c>
    </row>
    <row r="558" spans="1:20" x14ac:dyDescent="0.25">
      <c r="A558" t="s">
        <v>18</v>
      </c>
      <c r="B558" s="9" t="s">
        <v>318</v>
      </c>
      <c r="C558">
        <v>0</v>
      </c>
      <c r="D558">
        <v>0</v>
      </c>
      <c r="E558">
        <v>0</v>
      </c>
      <c r="F558">
        <v>22420229</v>
      </c>
      <c r="G558">
        <v>0</v>
      </c>
      <c r="H558">
        <v>0</v>
      </c>
      <c r="I558">
        <v>0</v>
      </c>
      <c r="J558">
        <v>0</v>
      </c>
      <c r="K558">
        <v>22420229</v>
      </c>
      <c r="L558">
        <v>0</v>
      </c>
      <c r="M558" t="s">
        <v>17</v>
      </c>
      <c r="N558" t="s">
        <v>19</v>
      </c>
      <c r="O558" t="s">
        <v>20</v>
      </c>
      <c r="P558" t="str">
        <f>VLOOKUP(B558,'CHECK_DT-BT_chi_tiet'!$A:$C,3,FALSE)</f>
        <v>BV Hậu Giang</v>
      </c>
      <c r="Q558" t="str">
        <f>VLOOKUP(A558,Sheet3!$K$11:$L$21,2,FALSE)</f>
        <v>BH Hàng hóa</v>
      </c>
      <c r="R558" t="str">
        <f>VLOOKUP(Q558,Sheet3!$L$11:$M$21,2,FALSE)</f>
        <v>HQ2</v>
      </c>
      <c r="S558" s="26">
        <f>SUMIFS('HQ2'!$O:$O,'HQ2'!$B:$B, "="&amp;'Tong_hop_HQNV_2026Q1_2026-06-23'!Q558, 'HQ2'!$A:$A,"="&amp;'Tong_hop_HQNV_2026Q1_2026-06-23'!P558)</f>
        <v>0</v>
      </c>
      <c r="T558" s="7">
        <f t="shared" si="8"/>
        <v>0</v>
      </c>
    </row>
    <row r="559" spans="1:20" x14ac:dyDescent="0.25">
      <c r="A559" t="s">
        <v>18</v>
      </c>
      <c r="B559" s="9" t="s">
        <v>337</v>
      </c>
      <c r="C559">
        <v>0</v>
      </c>
      <c r="D559">
        <v>0</v>
      </c>
      <c r="E559">
        <v>0</v>
      </c>
      <c r="F559">
        <v>114807523</v>
      </c>
      <c r="G559">
        <v>0</v>
      </c>
      <c r="H559">
        <v>0</v>
      </c>
      <c r="I559">
        <v>0</v>
      </c>
      <c r="J559">
        <v>0</v>
      </c>
      <c r="K559">
        <v>114807523</v>
      </c>
      <c r="L559">
        <v>0</v>
      </c>
      <c r="M559" t="s">
        <v>17</v>
      </c>
      <c r="N559" t="s">
        <v>19</v>
      </c>
      <c r="O559" t="s">
        <v>20</v>
      </c>
      <c r="P559" t="str">
        <f>VLOOKUP(B559,'CHECK_DT-BT_chi_tiet'!$A:$C,3,FALSE)</f>
        <v>BV Phú Quốc</v>
      </c>
      <c r="Q559" t="str">
        <f>VLOOKUP(A559,Sheet3!$K$11:$L$21,2,FALSE)</f>
        <v>BH Hàng hóa</v>
      </c>
      <c r="R559" t="str">
        <f>VLOOKUP(Q559,Sheet3!$L$11:$M$21,2,FALSE)</f>
        <v>HQ2</v>
      </c>
      <c r="S559" s="26">
        <f>SUMIFS('HQ2'!$O:$O,'HQ2'!$B:$B, "="&amp;'Tong_hop_HQNV_2026Q1_2026-06-23'!Q559, 'HQ2'!$A:$A,"="&amp;'Tong_hop_HQNV_2026Q1_2026-06-23'!P559)</f>
        <v>0</v>
      </c>
      <c r="T559" s="7">
        <f t="shared" si="8"/>
        <v>0</v>
      </c>
    </row>
    <row r="560" spans="1:20" x14ac:dyDescent="0.25">
      <c r="A560" t="s">
        <v>18</v>
      </c>
      <c r="B560" s="9" t="s">
        <v>304</v>
      </c>
      <c r="C560">
        <v>0</v>
      </c>
      <c r="D560">
        <v>0</v>
      </c>
      <c r="E560">
        <v>0</v>
      </c>
      <c r="F560">
        <v>2335925467</v>
      </c>
      <c r="G560">
        <v>159500000</v>
      </c>
      <c r="H560">
        <v>0</v>
      </c>
      <c r="I560">
        <v>0</v>
      </c>
      <c r="J560">
        <v>0</v>
      </c>
      <c r="K560">
        <v>2335925467</v>
      </c>
      <c r="L560">
        <v>0</v>
      </c>
      <c r="M560" t="s">
        <v>17</v>
      </c>
      <c r="N560" t="s">
        <v>19</v>
      </c>
      <c r="O560" t="s">
        <v>20</v>
      </c>
      <c r="P560" t="str">
        <f>VLOOKUP(B560,'CHECK_DT-BT_chi_tiet'!$A:$C,3,FALSE)</f>
        <v>BV Đình Vũ</v>
      </c>
      <c r="Q560" t="str">
        <f>VLOOKUP(A560,Sheet3!$K$11:$L$21,2,FALSE)</f>
        <v>BH Hàng hóa</v>
      </c>
      <c r="R560" t="str">
        <f>VLOOKUP(Q560,Sheet3!$L$11:$M$21,2,FALSE)</f>
        <v>HQ2</v>
      </c>
      <c r="S560" s="26">
        <f>SUMIFS('HQ2'!$O:$O,'HQ2'!$B:$B, "="&amp;'Tong_hop_HQNV_2026Q1_2026-06-23'!Q560, 'HQ2'!$A:$A,"="&amp;'Tong_hop_HQNV_2026Q1_2026-06-23'!P560)</f>
        <v>159500000</v>
      </c>
      <c r="T560" s="7">
        <f t="shared" si="8"/>
        <v>0</v>
      </c>
    </row>
    <row r="561" spans="1:20" x14ac:dyDescent="0.25">
      <c r="A561" t="s">
        <v>18</v>
      </c>
      <c r="B561" s="9" t="s">
        <v>348</v>
      </c>
      <c r="C561">
        <v>0</v>
      </c>
      <c r="D561">
        <v>0</v>
      </c>
      <c r="E561">
        <v>0</v>
      </c>
      <c r="F561">
        <v>8149773</v>
      </c>
      <c r="G561">
        <v>0</v>
      </c>
      <c r="H561">
        <v>0</v>
      </c>
      <c r="I561">
        <v>0</v>
      </c>
      <c r="J561">
        <v>0</v>
      </c>
      <c r="K561">
        <v>8149773</v>
      </c>
      <c r="L561">
        <v>0</v>
      </c>
      <c r="M561" t="s">
        <v>17</v>
      </c>
      <c r="N561" t="s">
        <v>19</v>
      </c>
      <c r="O561" t="s">
        <v>20</v>
      </c>
      <c r="P561" t="str">
        <f>VLOOKUP(B561,'CHECK_DT-BT_chi_tiet'!$A:$C,3,FALSE)</f>
        <v>BV Sơn Tây</v>
      </c>
      <c r="Q561" t="str">
        <f>VLOOKUP(A561,Sheet3!$K$11:$L$21,2,FALSE)</f>
        <v>BH Hàng hóa</v>
      </c>
      <c r="R561" t="str">
        <f>VLOOKUP(Q561,Sheet3!$L$11:$M$21,2,FALSE)</f>
        <v>HQ2</v>
      </c>
      <c r="S561" s="26">
        <f>SUMIFS('HQ2'!$O:$O,'HQ2'!$B:$B, "="&amp;'Tong_hop_HQNV_2026Q1_2026-06-23'!Q561, 'HQ2'!$A:$A,"="&amp;'Tong_hop_HQNV_2026Q1_2026-06-23'!P561)</f>
        <v>0</v>
      </c>
      <c r="T561" s="7">
        <f t="shared" si="8"/>
        <v>0</v>
      </c>
    </row>
    <row r="562" spans="1:20" x14ac:dyDescent="0.25">
      <c r="A562" t="s">
        <v>18</v>
      </c>
      <c r="B562" s="9" t="s">
        <v>330</v>
      </c>
      <c r="C562">
        <v>0</v>
      </c>
      <c r="D562">
        <v>0</v>
      </c>
      <c r="E562">
        <v>0</v>
      </c>
      <c r="F562">
        <v>782428536</v>
      </c>
      <c r="G562">
        <v>372307484.04000002</v>
      </c>
      <c r="H562" s="92">
        <v>2000000</v>
      </c>
      <c r="I562">
        <v>0</v>
      </c>
      <c r="J562">
        <v>0</v>
      </c>
      <c r="K562">
        <v>782428536</v>
      </c>
      <c r="L562">
        <v>0</v>
      </c>
      <c r="M562" t="s">
        <v>17</v>
      </c>
      <c r="N562" t="s">
        <v>19</v>
      </c>
      <c r="O562" t="s">
        <v>20</v>
      </c>
      <c r="P562" t="str">
        <f>VLOOKUP(B562,'CHECK_DT-BT_chi_tiet'!$A:$C,3,FALSE)</f>
        <v>BV Mỹ Đình</v>
      </c>
      <c r="Q562" t="str">
        <f>VLOOKUP(A562,Sheet3!$K$11:$L$21,2,FALSE)</f>
        <v>BH Hàng hóa</v>
      </c>
      <c r="R562" t="str">
        <f>VLOOKUP(Q562,Sheet3!$L$11:$M$21,2,FALSE)</f>
        <v>HQ2</v>
      </c>
      <c r="S562" s="26">
        <f>SUMIFS('HQ2'!$O:$O,'HQ2'!$B:$B, "="&amp;'Tong_hop_HQNV_2026Q1_2026-06-23'!Q562, 'HQ2'!$A:$A,"="&amp;'Tong_hop_HQNV_2026Q1_2026-06-23'!P562)</f>
        <v>372307484.04000002</v>
      </c>
      <c r="T562" s="7">
        <f t="shared" si="8"/>
        <v>0</v>
      </c>
    </row>
    <row r="563" spans="1:20" x14ac:dyDescent="0.25">
      <c r="A563" t="s">
        <v>21</v>
      </c>
      <c r="B563" s="9" t="s">
        <v>233</v>
      </c>
      <c r="C563">
        <v>0</v>
      </c>
      <c r="D563">
        <v>0</v>
      </c>
      <c r="E563">
        <v>0</v>
      </c>
      <c r="F563">
        <v>736808700</v>
      </c>
      <c r="G563">
        <v>0</v>
      </c>
      <c r="H563">
        <v>0</v>
      </c>
      <c r="I563">
        <v>0</v>
      </c>
      <c r="J563">
        <v>0</v>
      </c>
      <c r="K563">
        <v>736808700</v>
      </c>
      <c r="L563">
        <v>0</v>
      </c>
      <c r="M563" t="s">
        <v>22</v>
      </c>
      <c r="N563" t="s">
        <v>22</v>
      </c>
      <c r="O563" t="s">
        <v>22</v>
      </c>
      <c r="P563" t="str">
        <f>VLOOKUP(B563,'CHECK_DT-BT_chi_tiet'!$A:$C,3,FALSE)</f>
        <v>Trụ sở chính</v>
      </c>
      <c r="Q563" t="e">
        <f>VLOOKUP(A563,Sheet3!$K$11:$L$21,2,FALSE)</f>
        <v>#N/A</v>
      </c>
      <c r="R563" t="e">
        <f>VLOOKUP(Q563,Sheet3!$L$11:$M$21,2,FALSE)</f>
        <v>#N/A</v>
      </c>
      <c r="S563" s="26">
        <f>SUMIFS('HQ2'!$O:$O,'HQ2'!$B:$B, "="&amp;'Tong_hop_HQNV_2026Q1_2026-06-23'!Q563, 'HQ2'!$A:$A,"="&amp;'Tong_hop_HQNV_2026Q1_2026-06-23'!P563)</f>
        <v>0</v>
      </c>
      <c r="T563" s="7">
        <f t="shared" si="8"/>
        <v>0</v>
      </c>
    </row>
    <row r="564" spans="1:20" x14ac:dyDescent="0.25">
      <c r="A564" t="s">
        <v>21</v>
      </c>
      <c r="B564" s="9" t="s">
        <v>300</v>
      </c>
      <c r="C564">
        <v>0</v>
      </c>
      <c r="D564">
        <v>0</v>
      </c>
      <c r="E564">
        <v>0</v>
      </c>
      <c r="F564">
        <v>0</v>
      </c>
      <c r="G564">
        <v>0</v>
      </c>
      <c r="H564">
        <v>0</v>
      </c>
      <c r="I564">
        <v>0</v>
      </c>
      <c r="J564">
        <v>0</v>
      </c>
      <c r="K564">
        <v>0</v>
      </c>
      <c r="L564">
        <v>0</v>
      </c>
      <c r="M564" t="s">
        <v>22</v>
      </c>
      <c r="N564" t="s">
        <v>22</v>
      </c>
      <c r="O564" t="s">
        <v>22</v>
      </c>
      <c r="P564" t="str">
        <f>VLOOKUP(B564,'CHECK_DT-BT_chi_tiet'!$A:$C,3,FALSE)</f>
        <v>BV Đà Nẵng</v>
      </c>
      <c r="Q564" t="e">
        <f>VLOOKUP(A564,Sheet3!$K$11:$L$21,2,FALSE)</f>
        <v>#N/A</v>
      </c>
      <c r="R564" t="e">
        <f>VLOOKUP(Q564,Sheet3!$L$11:$M$21,2,FALSE)</f>
        <v>#N/A</v>
      </c>
      <c r="S564" s="26">
        <f>SUMIFS('HQ2'!$O:$O,'HQ2'!$B:$B, "="&amp;'Tong_hop_HQNV_2026Q1_2026-06-23'!Q564, 'HQ2'!$A:$A,"="&amp;'Tong_hop_HQNV_2026Q1_2026-06-23'!P564)</f>
        <v>0</v>
      </c>
      <c r="T564" s="7">
        <f t="shared" si="8"/>
        <v>0</v>
      </c>
    </row>
    <row r="565" spans="1:20" x14ac:dyDescent="0.25">
      <c r="A565" t="s">
        <v>21</v>
      </c>
      <c r="B565" s="9" t="s">
        <v>313</v>
      </c>
      <c r="C565">
        <v>0</v>
      </c>
      <c r="D565">
        <v>0</v>
      </c>
      <c r="E565">
        <v>0</v>
      </c>
      <c r="F565">
        <v>99305040</v>
      </c>
      <c r="G565">
        <v>0</v>
      </c>
      <c r="H565">
        <v>0</v>
      </c>
      <c r="I565">
        <v>0</v>
      </c>
      <c r="J565">
        <v>0</v>
      </c>
      <c r="K565">
        <v>99305040</v>
      </c>
      <c r="L565">
        <v>0</v>
      </c>
      <c r="M565" t="s">
        <v>22</v>
      </c>
      <c r="N565" t="s">
        <v>22</v>
      </c>
      <c r="O565" t="s">
        <v>22</v>
      </c>
      <c r="P565" t="str">
        <f>VLOOKUP(B565,'CHECK_DT-BT_chi_tiet'!$A:$C,3,FALSE)</f>
        <v>BV Hà Nội</v>
      </c>
      <c r="Q565" t="e">
        <f>VLOOKUP(A565,Sheet3!$K$11:$L$21,2,FALSE)</f>
        <v>#N/A</v>
      </c>
      <c r="R565" t="e">
        <f>VLOOKUP(Q565,Sheet3!$L$11:$M$21,2,FALSE)</f>
        <v>#N/A</v>
      </c>
      <c r="S565" s="26">
        <f>SUMIFS('HQ2'!$O:$O,'HQ2'!$B:$B, "="&amp;'Tong_hop_HQNV_2026Q1_2026-06-23'!Q565, 'HQ2'!$A:$A,"="&amp;'Tong_hop_HQNV_2026Q1_2026-06-23'!P565)</f>
        <v>0</v>
      </c>
      <c r="T565" s="7">
        <f t="shared" si="8"/>
        <v>0</v>
      </c>
    </row>
    <row r="566" spans="1:20" x14ac:dyDescent="0.25">
      <c r="A566" t="s">
        <v>21</v>
      </c>
      <c r="B566" s="9" t="s">
        <v>340</v>
      </c>
      <c r="C566">
        <v>0</v>
      </c>
      <c r="D566">
        <v>0</v>
      </c>
      <c r="E566">
        <v>0</v>
      </c>
      <c r="F566">
        <v>0</v>
      </c>
      <c r="G566">
        <v>0</v>
      </c>
      <c r="H566">
        <v>0</v>
      </c>
      <c r="I566">
        <v>0</v>
      </c>
      <c r="J566">
        <v>0</v>
      </c>
      <c r="K566">
        <v>0</v>
      </c>
      <c r="L566">
        <v>0</v>
      </c>
      <c r="M566" t="s">
        <v>22</v>
      </c>
      <c r="N566" t="s">
        <v>22</v>
      </c>
      <c r="O566" t="s">
        <v>22</v>
      </c>
      <c r="P566" t="str">
        <f>VLOOKUP(B566,'CHECK_DT-BT_chi_tiet'!$A:$C,3,FALSE)</f>
        <v>BV Quảng Bình</v>
      </c>
      <c r="Q566" t="e">
        <f>VLOOKUP(A566,Sheet3!$K$11:$L$21,2,FALSE)</f>
        <v>#N/A</v>
      </c>
      <c r="R566" t="e">
        <f>VLOOKUP(Q566,Sheet3!$L$11:$M$21,2,FALSE)</f>
        <v>#N/A</v>
      </c>
      <c r="S566" s="26">
        <f>SUMIFS('HQ2'!$O:$O,'HQ2'!$B:$B, "="&amp;'Tong_hop_HQNV_2026Q1_2026-06-23'!Q566, 'HQ2'!$A:$A,"="&amp;'Tong_hop_HQNV_2026Q1_2026-06-23'!P566)</f>
        <v>0</v>
      </c>
      <c r="T566" s="7">
        <f t="shared" si="8"/>
        <v>0</v>
      </c>
    </row>
    <row r="567" spans="1:20" x14ac:dyDescent="0.25">
      <c r="A567" t="s">
        <v>21</v>
      </c>
      <c r="B567" s="9" t="s">
        <v>354</v>
      </c>
      <c r="C567">
        <v>0</v>
      </c>
      <c r="D567">
        <v>0</v>
      </c>
      <c r="E567">
        <v>0</v>
      </c>
      <c r="F567">
        <v>0</v>
      </c>
      <c r="G567">
        <v>0</v>
      </c>
      <c r="H567">
        <v>0</v>
      </c>
      <c r="I567">
        <v>0</v>
      </c>
      <c r="J567">
        <v>0</v>
      </c>
      <c r="K567">
        <v>0</v>
      </c>
      <c r="L567">
        <v>0</v>
      </c>
      <c r="M567" t="s">
        <v>22</v>
      </c>
      <c r="N567" t="s">
        <v>22</v>
      </c>
      <c r="O567" t="s">
        <v>22</v>
      </c>
      <c r="P567" t="str">
        <f>VLOOKUP(B567,'CHECK_DT-BT_chi_tiet'!$A:$C,3,FALSE)</f>
        <v>BV Thành phố HCM</v>
      </c>
      <c r="Q567" t="e">
        <f>VLOOKUP(A567,Sheet3!$K$11:$L$21,2,FALSE)</f>
        <v>#N/A</v>
      </c>
      <c r="R567" t="e">
        <f>VLOOKUP(Q567,Sheet3!$L$11:$M$21,2,FALSE)</f>
        <v>#N/A</v>
      </c>
      <c r="S567" s="26">
        <f>SUMIFS('HQ2'!$O:$O,'HQ2'!$B:$B, "="&amp;'Tong_hop_HQNV_2026Q1_2026-06-23'!Q567, 'HQ2'!$A:$A,"="&amp;'Tong_hop_HQNV_2026Q1_2026-06-23'!P567)</f>
        <v>0</v>
      </c>
      <c r="T567" s="7">
        <f t="shared" si="8"/>
        <v>0</v>
      </c>
    </row>
    <row r="568" spans="1:20" x14ac:dyDescent="0.25">
      <c r="A568" t="s">
        <v>21</v>
      </c>
      <c r="B568" s="9" t="s">
        <v>291</v>
      </c>
      <c r="C568">
        <v>0</v>
      </c>
      <c r="D568">
        <v>0</v>
      </c>
      <c r="E568">
        <v>0</v>
      </c>
      <c r="F568">
        <v>0</v>
      </c>
      <c r="G568">
        <v>0</v>
      </c>
      <c r="H568">
        <v>0</v>
      </c>
      <c r="I568">
        <v>0</v>
      </c>
      <c r="J568">
        <v>0</v>
      </c>
      <c r="K568">
        <v>0</v>
      </c>
      <c r="L568">
        <v>0</v>
      </c>
      <c r="M568" t="s">
        <v>22</v>
      </c>
      <c r="N568" t="s">
        <v>22</v>
      </c>
      <c r="O568" t="s">
        <v>22</v>
      </c>
      <c r="P568" t="str">
        <f>VLOOKUP(B568,'CHECK_DT-BT_chi_tiet'!$A:$C,3,FALSE)</f>
        <v>BV Bến Thành</v>
      </c>
      <c r="Q568" t="e">
        <f>VLOOKUP(A568,Sheet3!$K$11:$L$21,2,FALSE)</f>
        <v>#N/A</v>
      </c>
      <c r="R568" t="e">
        <f>VLOOKUP(Q568,Sheet3!$L$11:$M$21,2,FALSE)</f>
        <v>#N/A</v>
      </c>
      <c r="S568" s="26">
        <f>SUMIFS('HQ2'!$O:$O,'HQ2'!$B:$B, "="&amp;'Tong_hop_HQNV_2026Q1_2026-06-23'!Q568, 'HQ2'!$A:$A,"="&amp;'Tong_hop_HQNV_2026Q1_2026-06-23'!P568)</f>
        <v>0</v>
      </c>
      <c r="T568" s="7">
        <f t="shared" si="8"/>
        <v>0</v>
      </c>
    </row>
    <row r="569" spans="1:20" x14ac:dyDescent="0.25">
      <c r="A569" t="s">
        <v>35</v>
      </c>
      <c r="B569" s="9" t="s">
        <v>223</v>
      </c>
      <c r="C569">
        <v>0</v>
      </c>
      <c r="D569">
        <v>0</v>
      </c>
      <c r="E569">
        <v>0</v>
      </c>
      <c r="F569">
        <v>7705517</v>
      </c>
      <c r="G569">
        <v>0</v>
      </c>
      <c r="H569">
        <v>0</v>
      </c>
      <c r="I569">
        <v>0</v>
      </c>
      <c r="J569">
        <v>0</v>
      </c>
      <c r="K569">
        <v>7705517</v>
      </c>
      <c r="L569">
        <v>0</v>
      </c>
      <c r="M569" t="s">
        <v>36</v>
      </c>
      <c r="N569" t="s">
        <v>31</v>
      </c>
      <c r="O569" t="s">
        <v>20</v>
      </c>
      <c r="P569" t="str">
        <f>VLOOKUP(B569,'CHECK_DT-BT_chi_tiet'!$A:$C,3,FALSE)</f>
        <v>TSC-Ban KDBH Hàng hóa</v>
      </c>
      <c r="Q569" t="str">
        <f>VLOOKUP(A569,Sheet3!$K$11:$L$21,2,FALSE)</f>
        <v>BH Kỹ thuật</v>
      </c>
      <c r="R569" t="str">
        <f>VLOOKUP(Q569,Sheet3!$L$11:$M$21,2,FALSE)</f>
        <v>HQ2</v>
      </c>
      <c r="S569" s="26">
        <f>SUMIFS('HQ2'!$O:$O,'HQ2'!$B:$B, "="&amp;'Tong_hop_HQNV_2026Q1_2026-06-23'!Q569, 'HQ2'!$A:$A,"="&amp;'Tong_hop_HQNV_2026Q1_2026-06-23'!P569)</f>
        <v>0</v>
      </c>
      <c r="T569" s="7">
        <f t="shared" si="8"/>
        <v>0</v>
      </c>
    </row>
    <row r="570" spans="1:20" x14ac:dyDescent="0.25">
      <c r="A570" t="s">
        <v>35</v>
      </c>
      <c r="B570" s="9" t="s">
        <v>231</v>
      </c>
      <c r="C570">
        <v>0</v>
      </c>
      <c r="D570">
        <v>0</v>
      </c>
      <c r="E570">
        <v>0</v>
      </c>
      <c r="F570">
        <v>1136094335</v>
      </c>
      <c r="G570">
        <v>17800540687.990002</v>
      </c>
      <c r="H570" s="92">
        <v>20000000</v>
      </c>
      <c r="I570">
        <v>0</v>
      </c>
      <c r="J570">
        <v>0</v>
      </c>
      <c r="K570">
        <v>1136094335</v>
      </c>
      <c r="L570">
        <v>0</v>
      </c>
      <c r="M570" t="s">
        <v>36</v>
      </c>
      <c r="N570" t="s">
        <v>31</v>
      </c>
      <c r="O570" t="s">
        <v>20</v>
      </c>
      <c r="P570" t="str">
        <f>VLOOKUP(B570,'CHECK_DT-BT_chi_tiet'!$A:$C,3,FALSE)</f>
        <v>TSC-Ban Khách hàng doanh nghiệp</v>
      </c>
      <c r="Q570" t="str">
        <f>VLOOKUP(A570,Sheet3!$K$11:$L$21,2,FALSE)</f>
        <v>BH Kỹ thuật</v>
      </c>
      <c r="R570" t="str">
        <f>VLOOKUP(Q570,Sheet3!$L$11:$M$21,2,FALSE)</f>
        <v>HQ2</v>
      </c>
      <c r="S570" s="26">
        <f>SUMIFS('HQ2'!$O:$O,'HQ2'!$B:$B, "="&amp;'Tong_hop_HQNV_2026Q1_2026-06-23'!Q570, 'HQ2'!$A:$A,"="&amp;'Tong_hop_HQNV_2026Q1_2026-06-23'!P570)</f>
        <v>17800540688.350002</v>
      </c>
      <c r="T570" s="7">
        <f t="shared" si="8"/>
        <v>0.3600006103515625</v>
      </c>
    </row>
    <row r="571" spans="1:20" x14ac:dyDescent="0.25">
      <c r="A571" t="s">
        <v>35</v>
      </c>
      <c r="B571" s="9" t="s">
        <v>232</v>
      </c>
      <c r="C571">
        <v>0</v>
      </c>
      <c r="D571">
        <v>0</v>
      </c>
      <c r="E571">
        <v>0</v>
      </c>
      <c r="F571">
        <v>48336742126</v>
      </c>
      <c r="G571">
        <v>0</v>
      </c>
      <c r="H571">
        <v>0</v>
      </c>
      <c r="I571">
        <v>0</v>
      </c>
      <c r="J571">
        <v>0</v>
      </c>
      <c r="K571">
        <v>48336742126</v>
      </c>
      <c r="L571">
        <v>0</v>
      </c>
      <c r="M571" t="s">
        <v>36</v>
      </c>
      <c r="N571" t="s">
        <v>31</v>
      </c>
      <c r="O571" t="s">
        <v>20</v>
      </c>
      <c r="P571" t="e">
        <f>VLOOKUP(B571,'CHECK_DT-BT_chi_tiet'!$A:$C,3,FALSE)</f>
        <v>#N/A</v>
      </c>
      <c r="Q571" t="str">
        <f>VLOOKUP(A571,Sheet3!$K$11:$L$21,2,FALSE)</f>
        <v>BH Kỹ thuật</v>
      </c>
      <c r="R571" t="str">
        <f>VLOOKUP(Q571,Sheet3!$L$11:$M$21,2,FALSE)</f>
        <v>HQ2</v>
      </c>
      <c r="S571" s="26">
        <f>SUMIFS('HQ2'!$O:$O,'HQ2'!$B:$B, "="&amp;'Tong_hop_HQNV_2026Q1_2026-06-23'!Q571, 'HQ2'!$A:$A,"="&amp;'Tong_hop_HQNV_2026Q1_2026-06-23'!P571)</f>
        <v>0</v>
      </c>
      <c r="T571" s="7">
        <f t="shared" si="8"/>
        <v>0</v>
      </c>
    </row>
    <row r="572" spans="1:20" x14ac:dyDescent="0.25">
      <c r="A572" t="s">
        <v>35</v>
      </c>
      <c r="B572" s="9" t="s">
        <v>358</v>
      </c>
      <c r="C572">
        <v>0</v>
      </c>
      <c r="D572">
        <v>0</v>
      </c>
      <c r="E572">
        <v>0</v>
      </c>
      <c r="F572">
        <v>3327655073</v>
      </c>
      <c r="G572" s="92">
        <v>6280000000</v>
      </c>
      <c r="H572">
        <v>0</v>
      </c>
      <c r="I572">
        <v>0</v>
      </c>
      <c r="J572">
        <v>0</v>
      </c>
      <c r="K572">
        <v>3327655073</v>
      </c>
      <c r="L572">
        <v>0</v>
      </c>
      <c r="M572" t="s">
        <v>36</v>
      </c>
      <c r="N572" t="s">
        <v>31</v>
      </c>
      <c r="O572" t="s">
        <v>20</v>
      </c>
      <c r="P572" t="str">
        <f>VLOOKUP(B572,'CHECK_DT-BT_chi_tiet'!$A:$C,3,FALSE)</f>
        <v>BV Tràng An</v>
      </c>
      <c r="Q572" t="str">
        <f>VLOOKUP(A572,Sheet3!$K$11:$L$21,2,FALSE)</f>
        <v>BH Kỹ thuật</v>
      </c>
      <c r="R572" t="str">
        <f>VLOOKUP(Q572,Sheet3!$L$11:$M$21,2,FALSE)</f>
        <v>HQ2</v>
      </c>
      <c r="S572" s="26">
        <f>SUMIFS('HQ2'!$O:$O,'HQ2'!$B:$B, "="&amp;'Tong_hop_HQNV_2026Q1_2026-06-23'!Q572, 'HQ2'!$A:$A,"="&amp;'Tong_hop_HQNV_2026Q1_2026-06-23'!P572)</f>
        <v>6280000000</v>
      </c>
      <c r="T572" s="7">
        <f t="shared" si="8"/>
        <v>0</v>
      </c>
    </row>
    <row r="573" spans="1:20" x14ac:dyDescent="0.25">
      <c r="A573" t="s">
        <v>35</v>
      </c>
      <c r="B573" s="9" t="s">
        <v>305</v>
      </c>
      <c r="C573">
        <v>0</v>
      </c>
      <c r="D573">
        <v>0</v>
      </c>
      <c r="E573">
        <v>0</v>
      </c>
      <c r="F573">
        <v>182463636</v>
      </c>
      <c r="G573">
        <v>0</v>
      </c>
      <c r="H573">
        <v>0</v>
      </c>
      <c r="I573">
        <v>5144203</v>
      </c>
      <c r="J573">
        <v>0</v>
      </c>
      <c r="K573">
        <v>182463636</v>
      </c>
      <c r="L573">
        <v>0</v>
      </c>
      <c r="M573" t="s">
        <v>36</v>
      </c>
      <c r="N573" t="s">
        <v>31</v>
      </c>
      <c r="O573" t="s">
        <v>20</v>
      </c>
      <c r="P573" t="str">
        <f>VLOOKUP(B573,'CHECK_DT-BT_chi_tiet'!$A:$C,3,FALSE)</f>
        <v>BV Đông Bắc</v>
      </c>
      <c r="Q573" t="str">
        <f>VLOOKUP(A573,Sheet3!$K$11:$L$21,2,FALSE)</f>
        <v>BH Kỹ thuật</v>
      </c>
      <c r="R573" t="str">
        <f>VLOOKUP(Q573,Sheet3!$L$11:$M$21,2,FALSE)</f>
        <v>HQ2</v>
      </c>
      <c r="S573" s="26">
        <f>SUMIFS('HQ2'!$O:$O,'HQ2'!$B:$B, "="&amp;'Tong_hop_HQNV_2026Q1_2026-06-23'!Q573, 'HQ2'!$A:$A,"="&amp;'Tong_hop_HQNV_2026Q1_2026-06-23'!P573)</f>
        <v>0</v>
      </c>
      <c r="T573" s="7">
        <f t="shared" si="8"/>
        <v>0</v>
      </c>
    </row>
    <row r="574" spans="1:20" x14ac:dyDescent="0.25">
      <c r="A574" t="s">
        <v>35</v>
      </c>
      <c r="B574" s="9" t="s">
        <v>285</v>
      </c>
      <c r="C574">
        <v>0</v>
      </c>
      <c r="D574">
        <v>0</v>
      </c>
      <c r="E574">
        <v>0</v>
      </c>
      <c r="F574">
        <v>143527066</v>
      </c>
      <c r="G574">
        <v>1574848085.3</v>
      </c>
      <c r="H574">
        <v>0</v>
      </c>
      <c r="I574">
        <v>0</v>
      </c>
      <c r="J574">
        <v>0</v>
      </c>
      <c r="K574">
        <v>143527066</v>
      </c>
      <c r="L574">
        <v>0</v>
      </c>
      <c r="M574" t="s">
        <v>36</v>
      </c>
      <c r="N574" t="s">
        <v>31</v>
      </c>
      <c r="O574" t="s">
        <v>20</v>
      </c>
      <c r="P574" t="str">
        <f>VLOOKUP(B574,'CHECK_DT-BT_chi_tiet'!$A:$C,3,FALSE)</f>
        <v>BV An Phú</v>
      </c>
      <c r="Q574" t="str">
        <f>VLOOKUP(A574,Sheet3!$K$11:$L$21,2,FALSE)</f>
        <v>BH Kỹ thuật</v>
      </c>
      <c r="R574" t="str">
        <f>VLOOKUP(Q574,Sheet3!$L$11:$M$21,2,FALSE)</f>
        <v>HQ2</v>
      </c>
      <c r="S574" s="26">
        <f>SUMIFS('HQ2'!$O:$O,'HQ2'!$B:$B, "="&amp;'Tong_hop_HQNV_2026Q1_2026-06-23'!Q574, 'HQ2'!$A:$A,"="&amp;'Tong_hop_HQNV_2026Q1_2026-06-23'!P574)</f>
        <v>1574848085.2</v>
      </c>
      <c r="T574" s="7">
        <f t="shared" si="8"/>
        <v>-9.9999904632568359E-2</v>
      </c>
    </row>
    <row r="575" spans="1:20" x14ac:dyDescent="0.25">
      <c r="A575" t="s">
        <v>35</v>
      </c>
      <c r="B575" s="9" t="s">
        <v>284</v>
      </c>
      <c r="C575">
        <v>0</v>
      </c>
      <c r="D575">
        <v>0</v>
      </c>
      <c r="E575">
        <v>0</v>
      </c>
      <c r="F575">
        <v>910760929</v>
      </c>
      <c r="G575">
        <v>0</v>
      </c>
      <c r="H575">
        <v>0</v>
      </c>
      <c r="I575">
        <v>0</v>
      </c>
      <c r="J575">
        <v>0</v>
      </c>
      <c r="K575">
        <v>910760929</v>
      </c>
      <c r="L575">
        <v>0</v>
      </c>
      <c r="M575" t="s">
        <v>36</v>
      </c>
      <c r="N575" t="s">
        <v>31</v>
      </c>
      <c r="O575" t="s">
        <v>20</v>
      </c>
      <c r="P575" t="str">
        <f>VLOOKUP(B575,'CHECK_DT-BT_chi_tiet'!$A:$C,3,FALSE)</f>
        <v>BV An Giang</v>
      </c>
      <c r="Q575" t="str">
        <f>VLOOKUP(A575,Sheet3!$K$11:$L$21,2,FALSE)</f>
        <v>BH Kỹ thuật</v>
      </c>
      <c r="R575" t="str">
        <f>VLOOKUP(Q575,Sheet3!$L$11:$M$21,2,FALSE)</f>
        <v>HQ2</v>
      </c>
      <c r="S575" s="26">
        <f>SUMIFS('HQ2'!$O:$O,'HQ2'!$B:$B, "="&amp;'Tong_hop_HQNV_2026Q1_2026-06-23'!Q575, 'HQ2'!$A:$A,"="&amp;'Tong_hop_HQNV_2026Q1_2026-06-23'!P575)</f>
        <v>0</v>
      </c>
      <c r="T575" s="7">
        <f t="shared" si="8"/>
        <v>0</v>
      </c>
    </row>
    <row r="576" spans="1:20" x14ac:dyDescent="0.25">
      <c r="A576" t="s">
        <v>35</v>
      </c>
      <c r="B576" s="9" t="s">
        <v>286</v>
      </c>
      <c r="C576">
        <v>0</v>
      </c>
      <c r="D576">
        <v>0</v>
      </c>
      <c r="E576">
        <v>0</v>
      </c>
      <c r="F576">
        <v>371478516</v>
      </c>
      <c r="G576" s="92">
        <v>10000000</v>
      </c>
      <c r="H576">
        <v>0</v>
      </c>
      <c r="I576">
        <v>0</v>
      </c>
      <c r="J576">
        <v>0</v>
      </c>
      <c r="K576">
        <v>371478516</v>
      </c>
      <c r="L576">
        <v>0</v>
      </c>
      <c r="M576" t="s">
        <v>36</v>
      </c>
      <c r="N576" t="s">
        <v>31</v>
      </c>
      <c r="O576" t="s">
        <v>20</v>
      </c>
      <c r="P576" t="str">
        <f>VLOOKUP(B576,'CHECK_DT-BT_chi_tiet'!$A:$C,3,FALSE)</f>
        <v>BV Bà Rịa - Vũng Tàu</v>
      </c>
      <c r="Q576" t="str">
        <f>VLOOKUP(A576,Sheet3!$K$11:$L$21,2,FALSE)</f>
        <v>BH Kỹ thuật</v>
      </c>
      <c r="R576" t="str">
        <f>VLOOKUP(Q576,Sheet3!$L$11:$M$21,2,FALSE)</f>
        <v>HQ2</v>
      </c>
      <c r="S576" s="26">
        <f>SUMIFS('HQ2'!$O:$O,'HQ2'!$B:$B, "="&amp;'Tong_hop_HQNV_2026Q1_2026-06-23'!Q576, 'HQ2'!$A:$A,"="&amp;'Tong_hop_HQNV_2026Q1_2026-06-23'!P576)</f>
        <v>10000000</v>
      </c>
      <c r="T576" s="7">
        <f t="shared" si="8"/>
        <v>0</v>
      </c>
    </row>
    <row r="577" spans="1:20" x14ac:dyDescent="0.25">
      <c r="A577" t="s">
        <v>35</v>
      </c>
      <c r="B577" s="9" t="s">
        <v>287</v>
      </c>
      <c r="C577">
        <v>0</v>
      </c>
      <c r="D577">
        <v>0</v>
      </c>
      <c r="E577">
        <v>0</v>
      </c>
      <c r="F577">
        <v>18900000</v>
      </c>
      <c r="G577">
        <v>4096200000</v>
      </c>
      <c r="H577">
        <v>0</v>
      </c>
      <c r="I577">
        <v>0</v>
      </c>
      <c r="J577">
        <v>0</v>
      </c>
      <c r="K577">
        <v>18900000</v>
      </c>
      <c r="L577">
        <v>0</v>
      </c>
      <c r="M577" t="s">
        <v>36</v>
      </c>
      <c r="N577" t="s">
        <v>31</v>
      </c>
      <c r="O577" t="s">
        <v>20</v>
      </c>
      <c r="P577" t="str">
        <f>VLOOKUP(B577,'CHECK_DT-BT_chi_tiet'!$A:$C,3,FALSE)</f>
        <v>BV Bắc Cạn</v>
      </c>
      <c r="Q577" t="str">
        <f>VLOOKUP(A577,Sheet3!$K$11:$L$21,2,FALSE)</f>
        <v>BH Kỹ thuật</v>
      </c>
      <c r="R577" t="str">
        <f>VLOOKUP(Q577,Sheet3!$L$11:$M$21,2,FALSE)</f>
        <v>HQ2</v>
      </c>
      <c r="S577" s="26">
        <f>SUMIFS('HQ2'!$O:$O,'HQ2'!$B:$B, "="&amp;'Tong_hop_HQNV_2026Q1_2026-06-23'!Q577, 'HQ2'!$A:$A,"="&amp;'Tong_hop_HQNV_2026Q1_2026-06-23'!P577)</f>
        <v>4096200000</v>
      </c>
      <c r="T577" s="7">
        <f t="shared" si="8"/>
        <v>0</v>
      </c>
    </row>
    <row r="578" spans="1:20" x14ac:dyDescent="0.25">
      <c r="A578" t="s">
        <v>35</v>
      </c>
      <c r="B578" s="9" t="s">
        <v>290</v>
      </c>
      <c r="C578">
        <v>0</v>
      </c>
      <c r="D578">
        <v>0</v>
      </c>
      <c r="E578">
        <v>0</v>
      </c>
      <c r="F578">
        <v>671674448</v>
      </c>
      <c r="G578" s="92">
        <v>1700000000</v>
      </c>
      <c r="H578">
        <v>0</v>
      </c>
      <c r="I578">
        <v>0</v>
      </c>
      <c r="J578">
        <v>0</v>
      </c>
      <c r="K578">
        <v>671674448</v>
      </c>
      <c r="L578">
        <v>0</v>
      </c>
      <c r="M578" t="s">
        <v>36</v>
      </c>
      <c r="N578" t="s">
        <v>31</v>
      </c>
      <c r="O578" t="s">
        <v>20</v>
      </c>
      <c r="P578" t="str">
        <f>VLOOKUP(B578,'CHECK_DT-BT_chi_tiet'!$A:$C,3,FALSE)</f>
        <v>BV Bắc Ninh</v>
      </c>
      <c r="Q578" t="str">
        <f>VLOOKUP(A578,Sheet3!$K$11:$L$21,2,FALSE)</f>
        <v>BH Kỹ thuật</v>
      </c>
      <c r="R578" t="str">
        <f>VLOOKUP(Q578,Sheet3!$L$11:$M$21,2,FALSE)</f>
        <v>HQ2</v>
      </c>
      <c r="S578" s="26">
        <f>SUMIFS('HQ2'!$O:$O,'HQ2'!$B:$B, "="&amp;'Tong_hop_HQNV_2026Q1_2026-06-23'!Q578, 'HQ2'!$A:$A,"="&amp;'Tong_hop_HQNV_2026Q1_2026-06-23'!P578)</f>
        <v>1700000000</v>
      </c>
      <c r="T578" s="7">
        <f t="shared" si="8"/>
        <v>0</v>
      </c>
    </row>
    <row r="579" spans="1:20" x14ac:dyDescent="0.25">
      <c r="A579" t="s">
        <v>35</v>
      </c>
      <c r="B579" s="9" t="s">
        <v>292</v>
      </c>
      <c r="C579">
        <v>0</v>
      </c>
      <c r="D579">
        <v>0</v>
      </c>
      <c r="E579">
        <v>0</v>
      </c>
      <c r="F579">
        <v>505974961</v>
      </c>
      <c r="G579">
        <v>0</v>
      </c>
      <c r="H579">
        <v>0</v>
      </c>
      <c r="I579">
        <v>0</v>
      </c>
      <c r="J579">
        <v>0</v>
      </c>
      <c r="K579">
        <v>505974961</v>
      </c>
      <c r="L579">
        <v>0</v>
      </c>
      <c r="M579" t="s">
        <v>36</v>
      </c>
      <c r="N579" t="s">
        <v>31</v>
      </c>
      <c r="O579" t="s">
        <v>20</v>
      </c>
      <c r="P579" t="str">
        <f>VLOOKUP(B579,'CHECK_DT-BT_chi_tiet'!$A:$C,3,FALSE)</f>
        <v>BV Bến Tre</v>
      </c>
      <c r="Q579" t="str">
        <f>VLOOKUP(A579,Sheet3!$K$11:$L$21,2,FALSE)</f>
        <v>BH Kỹ thuật</v>
      </c>
      <c r="R579" t="str">
        <f>VLOOKUP(Q579,Sheet3!$L$11:$M$21,2,FALSE)</f>
        <v>HQ2</v>
      </c>
      <c r="S579" s="26">
        <f>SUMIFS('HQ2'!$O:$O,'HQ2'!$B:$B, "="&amp;'Tong_hop_HQNV_2026Q1_2026-06-23'!Q579, 'HQ2'!$A:$A,"="&amp;'Tong_hop_HQNV_2026Q1_2026-06-23'!P579)</f>
        <v>0</v>
      </c>
      <c r="T579" s="7">
        <f t="shared" ref="T579:T642" si="9">IFERROR(IF(R579="HQ2",S579-G579,0),0)</f>
        <v>0</v>
      </c>
    </row>
    <row r="580" spans="1:20" x14ac:dyDescent="0.25">
      <c r="A580" t="s">
        <v>35</v>
      </c>
      <c r="B580" s="9" t="s">
        <v>294</v>
      </c>
      <c r="C580">
        <v>0</v>
      </c>
      <c r="D580">
        <v>0</v>
      </c>
      <c r="E580">
        <v>0</v>
      </c>
      <c r="F580">
        <v>648975860</v>
      </c>
      <c r="G580">
        <v>96955480</v>
      </c>
      <c r="H580">
        <v>0</v>
      </c>
      <c r="I580">
        <v>0</v>
      </c>
      <c r="J580">
        <v>0</v>
      </c>
      <c r="K580">
        <v>648975860</v>
      </c>
      <c r="L580">
        <v>0</v>
      </c>
      <c r="M580" t="s">
        <v>36</v>
      </c>
      <c r="N580" t="s">
        <v>31</v>
      </c>
      <c r="O580" t="s">
        <v>20</v>
      </c>
      <c r="P580" t="str">
        <f>VLOOKUP(B580,'CHECK_DT-BT_chi_tiet'!$A:$C,3,FALSE)</f>
        <v>BV Bình Dương</v>
      </c>
      <c r="Q580" t="str">
        <f>VLOOKUP(A580,Sheet3!$K$11:$L$21,2,FALSE)</f>
        <v>BH Kỹ thuật</v>
      </c>
      <c r="R580" t="str">
        <f>VLOOKUP(Q580,Sheet3!$L$11:$M$21,2,FALSE)</f>
        <v>HQ2</v>
      </c>
      <c r="S580" s="26">
        <f>SUMIFS('HQ2'!$O:$O,'HQ2'!$B:$B, "="&amp;'Tong_hop_HQNV_2026Q1_2026-06-23'!Q580, 'HQ2'!$A:$A,"="&amp;'Tong_hop_HQNV_2026Q1_2026-06-23'!P580)</f>
        <v>96955480</v>
      </c>
      <c r="T580" s="7">
        <f t="shared" si="9"/>
        <v>0</v>
      </c>
    </row>
    <row r="581" spans="1:20" x14ac:dyDescent="0.25">
      <c r="A581" t="s">
        <v>35</v>
      </c>
      <c r="B581" s="9" t="s">
        <v>295</v>
      </c>
      <c r="C581">
        <v>0</v>
      </c>
      <c r="D581">
        <v>0</v>
      </c>
      <c r="E581">
        <v>0</v>
      </c>
      <c r="F581">
        <v>421748637</v>
      </c>
      <c r="G581">
        <v>0</v>
      </c>
      <c r="H581">
        <v>0</v>
      </c>
      <c r="I581">
        <v>0</v>
      </c>
      <c r="J581">
        <v>0</v>
      </c>
      <c r="K581">
        <v>421748637</v>
      </c>
      <c r="L581">
        <v>0</v>
      </c>
      <c r="M581" t="s">
        <v>36</v>
      </c>
      <c r="N581" t="s">
        <v>31</v>
      </c>
      <c r="O581" t="s">
        <v>20</v>
      </c>
      <c r="P581" t="str">
        <f>VLOOKUP(B581,'CHECK_DT-BT_chi_tiet'!$A:$C,3,FALSE)</f>
        <v>BV Bình Phước</v>
      </c>
      <c r="Q581" t="str">
        <f>VLOOKUP(A581,Sheet3!$K$11:$L$21,2,FALSE)</f>
        <v>BH Kỹ thuật</v>
      </c>
      <c r="R581" t="str">
        <f>VLOOKUP(Q581,Sheet3!$L$11:$M$21,2,FALSE)</f>
        <v>HQ2</v>
      </c>
      <c r="S581" s="26">
        <f>SUMIFS('HQ2'!$O:$O,'HQ2'!$B:$B, "="&amp;'Tong_hop_HQNV_2026Q1_2026-06-23'!Q581, 'HQ2'!$A:$A,"="&amp;'Tong_hop_HQNV_2026Q1_2026-06-23'!P581)</f>
        <v>0</v>
      </c>
      <c r="T581" s="7">
        <f t="shared" si="9"/>
        <v>0</v>
      </c>
    </row>
    <row r="582" spans="1:20" x14ac:dyDescent="0.25">
      <c r="A582" t="s">
        <v>35</v>
      </c>
      <c r="B582" s="9" t="s">
        <v>296</v>
      </c>
      <c r="C582">
        <v>0</v>
      </c>
      <c r="D582">
        <v>0</v>
      </c>
      <c r="E582">
        <v>0</v>
      </c>
      <c r="F582">
        <v>96153641</v>
      </c>
      <c r="G582">
        <v>0</v>
      </c>
      <c r="H582">
        <v>0</v>
      </c>
      <c r="I582">
        <v>0</v>
      </c>
      <c r="J582">
        <v>0</v>
      </c>
      <c r="K582">
        <v>96153641</v>
      </c>
      <c r="L582">
        <v>0</v>
      </c>
      <c r="M582" t="s">
        <v>36</v>
      </c>
      <c r="N582" t="s">
        <v>31</v>
      </c>
      <c r="O582" t="s">
        <v>20</v>
      </c>
      <c r="P582" t="str">
        <f>VLOOKUP(B582,'CHECK_DT-BT_chi_tiet'!$A:$C,3,FALSE)</f>
        <v>BV Bình Thuận</v>
      </c>
      <c r="Q582" t="str">
        <f>VLOOKUP(A582,Sheet3!$K$11:$L$21,2,FALSE)</f>
        <v>BH Kỹ thuật</v>
      </c>
      <c r="R582" t="str">
        <f>VLOOKUP(Q582,Sheet3!$L$11:$M$21,2,FALSE)</f>
        <v>HQ2</v>
      </c>
      <c r="S582" s="26">
        <f>SUMIFS('HQ2'!$O:$O,'HQ2'!$B:$B, "="&amp;'Tong_hop_HQNV_2026Q1_2026-06-23'!Q582, 'HQ2'!$A:$A,"="&amp;'Tong_hop_HQNV_2026Q1_2026-06-23'!P582)</f>
        <v>0</v>
      </c>
      <c r="T582" s="7">
        <f t="shared" si="9"/>
        <v>0</v>
      </c>
    </row>
    <row r="583" spans="1:20" x14ac:dyDescent="0.25">
      <c r="A583" t="s">
        <v>35</v>
      </c>
      <c r="B583" s="9" t="s">
        <v>297</v>
      </c>
      <c r="C583">
        <v>0</v>
      </c>
      <c r="D583">
        <v>0</v>
      </c>
      <c r="E583">
        <v>0</v>
      </c>
      <c r="F583">
        <v>21768521</v>
      </c>
      <c r="G583">
        <v>0</v>
      </c>
      <c r="H583">
        <v>0</v>
      </c>
      <c r="I583">
        <v>0</v>
      </c>
      <c r="J583">
        <v>0</v>
      </c>
      <c r="K583">
        <v>21768521</v>
      </c>
      <c r="L583">
        <v>0</v>
      </c>
      <c r="M583" t="s">
        <v>36</v>
      </c>
      <c r="N583" t="s">
        <v>31</v>
      </c>
      <c r="O583" t="s">
        <v>20</v>
      </c>
      <c r="P583" t="str">
        <f>VLOOKUP(B583,'CHECK_DT-BT_chi_tiet'!$A:$C,3,FALSE)</f>
        <v>BV Cà Mau</v>
      </c>
      <c r="Q583" t="str">
        <f>VLOOKUP(A583,Sheet3!$K$11:$L$21,2,FALSE)</f>
        <v>BH Kỹ thuật</v>
      </c>
      <c r="R583" t="str">
        <f>VLOOKUP(Q583,Sheet3!$L$11:$M$21,2,FALSE)</f>
        <v>HQ2</v>
      </c>
      <c r="S583" s="26">
        <f>SUMIFS('HQ2'!$O:$O,'HQ2'!$B:$B, "="&amp;'Tong_hop_HQNV_2026Q1_2026-06-23'!Q583, 'HQ2'!$A:$A,"="&amp;'Tong_hop_HQNV_2026Q1_2026-06-23'!P583)</f>
        <v>0</v>
      </c>
      <c r="T583" s="7">
        <f t="shared" si="9"/>
        <v>0</v>
      </c>
    </row>
    <row r="584" spans="1:20" x14ac:dyDescent="0.25">
      <c r="A584" t="s">
        <v>35</v>
      </c>
      <c r="B584" s="9" t="s">
        <v>299</v>
      </c>
      <c r="C584">
        <v>0</v>
      </c>
      <c r="D584">
        <v>0</v>
      </c>
      <c r="E584">
        <v>0</v>
      </c>
      <c r="F584">
        <v>236820910</v>
      </c>
      <c r="G584" s="92">
        <v>30000000</v>
      </c>
      <c r="H584">
        <v>0</v>
      </c>
      <c r="I584">
        <v>0</v>
      </c>
      <c r="J584">
        <v>0</v>
      </c>
      <c r="K584">
        <v>236820910</v>
      </c>
      <c r="L584">
        <v>0</v>
      </c>
      <c r="M584" t="s">
        <v>36</v>
      </c>
      <c r="N584" t="s">
        <v>31</v>
      </c>
      <c r="O584" t="s">
        <v>20</v>
      </c>
      <c r="P584" t="str">
        <f>VLOOKUP(B584,'CHECK_DT-BT_chi_tiet'!$A:$C,3,FALSE)</f>
        <v>BV Cao Bằng</v>
      </c>
      <c r="Q584" t="str">
        <f>VLOOKUP(A584,Sheet3!$K$11:$L$21,2,FALSE)</f>
        <v>BH Kỹ thuật</v>
      </c>
      <c r="R584" t="str">
        <f>VLOOKUP(Q584,Sheet3!$L$11:$M$21,2,FALSE)</f>
        <v>HQ2</v>
      </c>
      <c r="S584" s="26">
        <f>SUMIFS('HQ2'!$O:$O,'HQ2'!$B:$B, "="&amp;'Tong_hop_HQNV_2026Q1_2026-06-23'!Q584, 'HQ2'!$A:$A,"="&amp;'Tong_hop_HQNV_2026Q1_2026-06-23'!P584)</f>
        <v>30000000</v>
      </c>
      <c r="T584" s="7">
        <f t="shared" si="9"/>
        <v>0</v>
      </c>
    </row>
    <row r="585" spans="1:20" x14ac:dyDescent="0.25">
      <c r="A585" t="s">
        <v>35</v>
      </c>
      <c r="B585" s="9" t="s">
        <v>301</v>
      </c>
      <c r="C585">
        <v>0</v>
      </c>
      <c r="D585">
        <v>0</v>
      </c>
      <c r="E585">
        <v>0</v>
      </c>
      <c r="F585">
        <v>637467482</v>
      </c>
      <c r="G585">
        <v>237292937</v>
      </c>
      <c r="H585">
        <v>0</v>
      </c>
      <c r="I585">
        <v>0</v>
      </c>
      <c r="J585">
        <v>0</v>
      </c>
      <c r="K585">
        <v>637467482</v>
      </c>
      <c r="L585">
        <v>0</v>
      </c>
      <c r="M585" t="s">
        <v>36</v>
      </c>
      <c r="N585" t="s">
        <v>31</v>
      </c>
      <c r="O585" t="s">
        <v>20</v>
      </c>
      <c r="P585" t="str">
        <f>VLOOKUP(B585,'CHECK_DT-BT_chi_tiet'!$A:$C,3,FALSE)</f>
        <v>BV Dak Lak</v>
      </c>
      <c r="Q585" t="str">
        <f>VLOOKUP(A585,Sheet3!$K$11:$L$21,2,FALSE)</f>
        <v>BH Kỹ thuật</v>
      </c>
      <c r="R585" t="str">
        <f>VLOOKUP(Q585,Sheet3!$L$11:$M$21,2,FALSE)</f>
        <v>HQ2</v>
      </c>
      <c r="S585" s="26">
        <f>SUMIFS('HQ2'!$O:$O,'HQ2'!$B:$B, "="&amp;'Tong_hop_HQNV_2026Q1_2026-06-23'!Q585, 'HQ2'!$A:$A,"="&amp;'Tong_hop_HQNV_2026Q1_2026-06-23'!P585)</f>
        <v>237292937</v>
      </c>
      <c r="T585" s="7">
        <f t="shared" si="9"/>
        <v>0</v>
      </c>
    </row>
    <row r="586" spans="1:20" x14ac:dyDescent="0.25">
      <c r="A586" t="s">
        <v>35</v>
      </c>
      <c r="B586" s="9" t="s">
        <v>307</v>
      </c>
      <c r="C586">
        <v>0</v>
      </c>
      <c r="D586">
        <v>0</v>
      </c>
      <c r="E586">
        <v>0</v>
      </c>
      <c r="F586">
        <v>107563993</v>
      </c>
      <c r="G586">
        <v>0</v>
      </c>
      <c r="H586">
        <v>0</v>
      </c>
      <c r="I586">
        <v>0</v>
      </c>
      <c r="J586">
        <v>0</v>
      </c>
      <c r="K586">
        <v>107563993</v>
      </c>
      <c r="L586">
        <v>0</v>
      </c>
      <c r="M586" t="s">
        <v>36</v>
      </c>
      <c r="N586" t="s">
        <v>31</v>
      </c>
      <c r="O586" t="s">
        <v>20</v>
      </c>
      <c r="P586" t="str">
        <f>VLOOKUP(B586,'CHECK_DT-BT_chi_tiet'!$A:$C,3,FALSE)</f>
        <v>BV Đồng Nai</v>
      </c>
      <c r="Q586" t="str">
        <f>VLOOKUP(A586,Sheet3!$K$11:$L$21,2,FALSE)</f>
        <v>BH Kỹ thuật</v>
      </c>
      <c r="R586" t="str">
        <f>VLOOKUP(Q586,Sheet3!$L$11:$M$21,2,FALSE)</f>
        <v>HQ2</v>
      </c>
      <c r="S586" s="26">
        <f>SUMIFS('HQ2'!$O:$O,'HQ2'!$B:$B, "="&amp;'Tong_hop_HQNV_2026Q1_2026-06-23'!Q586, 'HQ2'!$A:$A,"="&amp;'Tong_hop_HQNV_2026Q1_2026-06-23'!P586)</f>
        <v>0</v>
      </c>
      <c r="T586" s="7">
        <f t="shared" si="9"/>
        <v>0</v>
      </c>
    </row>
    <row r="587" spans="1:20" x14ac:dyDescent="0.25">
      <c r="A587" t="s">
        <v>35</v>
      </c>
      <c r="B587" s="9" t="s">
        <v>308</v>
      </c>
      <c r="C587">
        <v>0</v>
      </c>
      <c r="D587">
        <v>0</v>
      </c>
      <c r="E587">
        <v>0</v>
      </c>
      <c r="F587">
        <v>63645730</v>
      </c>
      <c r="G587">
        <v>129911472.68000001</v>
      </c>
      <c r="H587">
        <v>0</v>
      </c>
      <c r="I587">
        <v>0</v>
      </c>
      <c r="J587">
        <v>0</v>
      </c>
      <c r="K587">
        <v>63645730</v>
      </c>
      <c r="L587">
        <v>0</v>
      </c>
      <c r="M587" t="s">
        <v>36</v>
      </c>
      <c r="N587" t="s">
        <v>31</v>
      </c>
      <c r="O587" t="s">
        <v>20</v>
      </c>
      <c r="P587" t="str">
        <f>VLOOKUP(B587,'CHECK_DT-BT_chi_tiet'!$A:$C,3,FALSE)</f>
        <v>BV Đồng Tháp</v>
      </c>
      <c r="Q587" t="str">
        <f>VLOOKUP(A587,Sheet3!$K$11:$L$21,2,FALSE)</f>
        <v>BH Kỹ thuật</v>
      </c>
      <c r="R587" t="str">
        <f>VLOOKUP(Q587,Sheet3!$L$11:$M$21,2,FALSE)</f>
        <v>HQ2</v>
      </c>
      <c r="S587" s="26">
        <f>SUMIFS('HQ2'!$O:$O,'HQ2'!$B:$B, "="&amp;'Tong_hop_HQNV_2026Q1_2026-06-23'!Q587, 'HQ2'!$A:$A,"="&amp;'Tong_hop_HQNV_2026Q1_2026-06-23'!P587)</f>
        <v>129911472.7</v>
      </c>
      <c r="T587" s="7">
        <f t="shared" si="9"/>
        <v>1.9999995827674866E-2</v>
      </c>
    </row>
    <row r="588" spans="1:20" x14ac:dyDescent="0.25">
      <c r="A588" t="s">
        <v>35</v>
      </c>
      <c r="B588" s="9" t="s">
        <v>310</v>
      </c>
      <c r="C588">
        <v>0</v>
      </c>
      <c r="D588">
        <v>0</v>
      </c>
      <c r="E588">
        <v>0</v>
      </c>
      <c r="F588">
        <v>5532198704</v>
      </c>
      <c r="G588">
        <v>0</v>
      </c>
      <c r="H588">
        <v>0</v>
      </c>
      <c r="I588">
        <v>0</v>
      </c>
      <c r="J588">
        <v>0</v>
      </c>
      <c r="K588">
        <v>5532198704</v>
      </c>
      <c r="L588">
        <v>0</v>
      </c>
      <c r="M588" t="s">
        <v>36</v>
      </c>
      <c r="N588" t="s">
        <v>31</v>
      </c>
      <c r="O588" t="s">
        <v>20</v>
      </c>
      <c r="P588" t="str">
        <f>VLOOKUP(B588,'CHECK_DT-BT_chi_tiet'!$A:$C,3,FALSE)</f>
        <v>BV Gia Lai</v>
      </c>
      <c r="Q588" t="str">
        <f>VLOOKUP(A588,Sheet3!$K$11:$L$21,2,FALSE)</f>
        <v>BH Kỹ thuật</v>
      </c>
      <c r="R588" t="str">
        <f>VLOOKUP(Q588,Sheet3!$L$11:$M$21,2,FALSE)</f>
        <v>HQ2</v>
      </c>
      <c r="S588" s="26">
        <f>SUMIFS('HQ2'!$O:$O,'HQ2'!$B:$B, "="&amp;'Tong_hop_HQNV_2026Q1_2026-06-23'!Q588, 'HQ2'!$A:$A,"="&amp;'Tong_hop_HQNV_2026Q1_2026-06-23'!P588)</f>
        <v>0</v>
      </c>
      <c r="T588" s="7">
        <f t="shared" si="9"/>
        <v>0</v>
      </c>
    </row>
    <row r="589" spans="1:20" x14ac:dyDescent="0.25">
      <c r="A589" t="s">
        <v>35</v>
      </c>
      <c r="B589" s="9" t="s">
        <v>311</v>
      </c>
      <c r="C589">
        <v>0</v>
      </c>
      <c r="D589">
        <v>0</v>
      </c>
      <c r="E589">
        <v>0</v>
      </c>
      <c r="F589">
        <v>409128464</v>
      </c>
      <c r="G589" s="92">
        <v>1140000000</v>
      </c>
      <c r="H589">
        <v>0</v>
      </c>
      <c r="I589">
        <v>0</v>
      </c>
      <c r="J589">
        <v>0</v>
      </c>
      <c r="K589">
        <v>409128464</v>
      </c>
      <c r="L589">
        <v>0</v>
      </c>
      <c r="M589" t="s">
        <v>36</v>
      </c>
      <c r="N589" t="s">
        <v>31</v>
      </c>
      <c r="O589" t="s">
        <v>20</v>
      </c>
      <c r="P589" t="str">
        <f>VLOOKUP(B589,'CHECK_DT-BT_chi_tiet'!$A:$C,3,FALSE)</f>
        <v>BV Hà Giang</v>
      </c>
      <c r="Q589" t="str">
        <f>VLOOKUP(A589,Sheet3!$K$11:$L$21,2,FALSE)</f>
        <v>BH Kỹ thuật</v>
      </c>
      <c r="R589" t="str">
        <f>VLOOKUP(Q589,Sheet3!$L$11:$M$21,2,FALSE)</f>
        <v>HQ2</v>
      </c>
      <c r="S589" s="26">
        <f>SUMIFS('HQ2'!$O:$O,'HQ2'!$B:$B, "="&amp;'Tong_hop_HQNV_2026Q1_2026-06-23'!Q589, 'HQ2'!$A:$A,"="&amp;'Tong_hop_HQNV_2026Q1_2026-06-23'!P589)</f>
        <v>1140000000</v>
      </c>
      <c r="T589" s="7">
        <f t="shared" si="9"/>
        <v>0</v>
      </c>
    </row>
    <row r="590" spans="1:20" x14ac:dyDescent="0.25">
      <c r="A590" t="s">
        <v>35</v>
      </c>
      <c r="B590" s="9" t="s">
        <v>312</v>
      </c>
      <c r="C590">
        <v>0</v>
      </c>
      <c r="D590">
        <v>0</v>
      </c>
      <c r="E590">
        <v>0</v>
      </c>
      <c r="F590">
        <v>264919257</v>
      </c>
      <c r="G590" s="92">
        <v>400000000</v>
      </c>
      <c r="H590">
        <v>0</v>
      </c>
      <c r="I590">
        <v>0</v>
      </c>
      <c r="J590">
        <v>0</v>
      </c>
      <c r="K590">
        <v>264919257</v>
      </c>
      <c r="L590">
        <v>0</v>
      </c>
      <c r="M590" t="s">
        <v>36</v>
      </c>
      <c r="N590" t="s">
        <v>31</v>
      </c>
      <c r="O590" t="s">
        <v>20</v>
      </c>
      <c r="P590" t="str">
        <f>VLOOKUP(B590,'CHECK_DT-BT_chi_tiet'!$A:$C,3,FALSE)</f>
        <v>BV Hà Nam</v>
      </c>
      <c r="Q590" t="str">
        <f>VLOOKUP(A590,Sheet3!$K$11:$L$21,2,FALSE)</f>
        <v>BH Kỹ thuật</v>
      </c>
      <c r="R590" t="str">
        <f>VLOOKUP(Q590,Sheet3!$L$11:$M$21,2,FALSE)</f>
        <v>HQ2</v>
      </c>
      <c r="S590" s="26">
        <f>SUMIFS('HQ2'!$O:$O,'HQ2'!$B:$B, "="&amp;'Tong_hop_HQNV_2026Q1_2026-06-23'!Q590, 'HQ2'!$A:$A,"="&amp;'Tong_hop_HQNV_2026Q1_2026-06-23'!P590)</f>
        <v>400000000</v>
      </c>
      <c r="T590" s="7">
        <f t="shared" si="9"/>
        <v>0</v>
      </c>
    </row>
    <row r="591" spans="1:20" x14ac:dyDescent="0.25">
      <c r="A591" t="s">
        <v>35</v>
      </c>
      <c r="B591" s="9" t="s">
        <v>306</v>
      </c>
      <c r="C591">
        <v>0</v>
      </c>
      <c r="D591">
        <v>0</v>
      </c>
      <c r="E591">
        <v>0</v>
      </c>
      <c r="F591">
        <v>2622739408</v>
      </c>
      <c r="G591">
        <v>1414180471.0999999</v>
      </c>
      <c r="H591">
        <v>0</v>
      </c>
      <c r="I591">
        <v>5144203</v>
      </c>
      <c r="J591">
        <v>0</v>
      </c>
      <c r="K591">
        <v>2622739408</v>
      </c>
      <c r="L591">
        <v>0</v>
      </c>
      <c r="M591" t="s">
        <v>36</v>
      </c>
      <c r="N591" t="s">
        <v>31</v>
      </c>
      <c r="O591" t="s">
        <v>20</v>
      </c>
      <c r="P591" t="str">
        <f>VLOOKUP(B591,'CHECK_DT-BT_chi_tiet'!$A:$C,3,FALSE)</f>
        <v>BV Đông Đô</v>
      </c>
      <c r="Q591" t="str">
        <f>VLOOKUP(A591,Sheet3!$K$11:$L$21,2,FALSE)</f>
        <v>BH Kỹ thuật</v>
      </c>
      <c r="R591" t="str">
        <f>VLOOKUP(Q591,Sheet3!$L$11:$M$21,2,FALSE)</f>
        <v>HQ2</v>
      </c>
      <c r="S591" s="26">
        <f>SUMIFS('HQ2'!$O:$O,'HQ2'!$B:$B, "="&amp;'Tong_hop_HQNV_2026Q1_2026-06-23'!Q591, 'HQ2'!$A:$A,"="&amp;'Tong_hop_HQNV_2026Q1_2026-06-23'!P591)</f>
        <v>1414180471.0999999</v>
      </c>
      <c r="T591" s="7">
        <f t="shared" si="9"/>
        <v>0</v>
      </c>
    </row>
    <row r="592" spans="1:20" x14ac:dyDescent="0.25">
      <c r="A592" t="s">
        <v>35</v>
      </c>
      <c r="B592" s="9" t="s">
        <v>315</v>
      </c>
      <c r="C592">
        <v>0</v>
      </c>
      <c r="D592">
        <v>0</v>
      </c>
      <c r="E592">
        <v>0</v>
      </c>
      <c r="F592">
        <v>590862009</v>
      </c>
      <c r="G592" s="92">
        <v>600000000</v>
      </c>
      <c r="H592" s="92">
        <v>200000000</v>
      </c>
      <c r="I592">
        <v>0</v>
      </c>
      <c r="J592">
        <v>0</v>
      </c>
      <c r="K592">
        <v>590862009</v>
      </c>
      <c r="L592">
        <v>0</v>
      </c>
      <c r="M592" t="s">
        <v>36</v>
      </c>
      <c r="N592" t="s">
        <v>31</v>
      </c>
      <c r="O592" t="s">
        <v>20</v>
      </c>
      <c r="P592" t="str">
        <f>VLOOKUP(B592,'CHECK_DT-BT_chi_tiet'!$A:$C,3,FALSE)</f>
        <v>BV Hà Tĩnh</v>
      </c>
      <c r="Q592" t="str">
        <f>VLOOKUP(A592,Sheet3!$K$11:$L$21,2,FALSE)</f>
        <v>BH Kỹ thuật</v>
      </c>
      <c r="R592" t="str">
        <f>VLOOKUP(Q592,Sheet3!$L$11:$M$21,2,FALSE)</f>
        <v>HQ2</v>
      </c>
      <c r="S592" s="26">
        <f>SUMIFS('HQ2'!$O:$O,'HQ2'!$B:$B, "="&amp;'Tong_hop_HQNV_2026Q1_2026-06-23'!Q592, 'HQ2'!$A:$A,"="&amp;'Tong_hop_HQNV_2026Q1_2026-06-23'!P592)</f>
        <v>600000000</v>
      </c>
      <c r="T592" s="7">
        <f t="shared" si="9"/>
        <v>0</v>
      </c>
    </row>
    <row r="593" spans="1:20" x14ac:dyDescent="0.25">
      <c r="A593" t="s">
        <v>35</v>
      </c>
      <c r="B593" s="9" t="s">
        <v>320</v>
      </c>
      <c r="C593">
        <v>0</v>
      </c>
      <c r="D593">
        <v>0</v>
      </c>
      <c r="E593">
        <v>0</v>
      </c>
      <c r="F593">
        <v>676405265</v>
      </c>
      <c r="G593">
        <v>0</v>
      </c>
      <c r="H593">
        <v>0</v>
      </c>
      <c r="I593">
        <v>0</v>
      </c>
      <c r="J593">
        <v>0</v>
      </c>
      <c r="K593">
        <v>676405265</v>
      </c>
      <c r="L593">
        <v>0</v>
      </c>
      <c r="M593" t="s">
        <v>36</v>
      </c>
      <c r="N593" t="s">
        <v>31</v>
      </c>
      <c r="O593" t="s">
        <v>20</v>
      </c>
      <c r="P593" t="str">
        <f>VLOOKUP(B593,'CHECK_DT-BT_chi_tiet'!$A:$C,3,FALSE)</f>
        <v>BV Hưng Yên</v>
      </c>
      <c r="Q593" t="str">
        <f>VLOOKUP(A593,Sheet3!$K$11:$L$21,2,FALSE)</f>
        <v>BH Kỹ thuật</v>
      </c>
      <c r="R593" t="str">
        <f>VLOOKUP(Q593,Sheet3!$L$11:$M$21,2,FALSE)</f>
        <v>HQ2</v>
      </c>
      <c r="S593" s="26">
        <f>SUMIFS('HQ2'!$O:$O,'HQ2'!$B:$B, "="&amp;'Tong_hop_HQNV_2026Q1_2026-06-23'!Q593, 'HQ2'!$A:$A,"="&amp;'Tong_hop_HQNV_2026Q1_2026-06-23'!P593)</f>
        <v>0</v>
      </c>
      <c r="T593" s="7">
        <f t="shared" si="9"/>
        <v>0</v>
      </c>
    </row>
    <row r="594" spans="1:20" x14ac:dyDescent="0.25">
      <c r="A594" t="s">
        <v>35</v>
      </c>
      <c r="B594" s="9" t="s">
        <v>323</v>
      </c>
      <c r="C594">
        <v>0</v>
      </c>
      <c r="D594">
        <v>0</v>
      </c>
      <c r="E594">
        <v>0</v>
      </c>
      <c r="F594">
        <v>141476672</v>
      </c>
      <c r="G594">
        <v>0</v>
      </c>
      <c r="H594">
        <v>0</v>
      </c>
      <c r="I594">
        <v>0</v>
      </c>
      <c r="J594">
        <v>0</v>
      </c>
      <c r="K594">
        <v>141476672</v>
      </c>
      <c r="L594">
        <v>0</v>
      </c>
      <c r="M594" t="s">
        <v>36</v>
      </c>
      <c r="N594" t="s">
        <v>31</v>
      </c>
      <c r="O594" t="s">
        <v>20</v>
      </c>
      <c r="P594" t="str">
        <f>VLOOKUP(B594,'CHECK_DT-BT_chi_tiet'!$A:$C,3,FALSE)</f>
        <v>BV Kon Tum</v>
      </c>
      <c r="Q594" t="str">
        <f>VLOOKUP(A594,Sheet3!$K$11:$L$21,2,FALSE)</f>
        <v>BH Kỹ thuật</v>
      </c>
      <c r="R594" t="str">
        <f>VLOOKUP(Q594,Sheet3!$L$11:$M$21,2,FALSE)</f>
        <v>HQ2</v>
      </c>
      <c r="S594" s="26">
        <f>SUMIFS('HQ2'!$O:$O,'HQ2'!$B:$B, "="&amp;'Tong_hop_HQNV_2026Q1_2026-06-23'!Q594, 'HQ2'!$A:$A,"="&amp;'Tong_hop_HQNV_2026Q1_2026-06-23'!P594)</f>
        <v>0</v>
      </c>
      <c r="T594" s="7">
        <f t="shared" si="9"/>
        <v>0</v>
      </c>
    </row>
    <row r="595" spans="1:20" x14ac:dyDescent="0.25">
      <c r="A595" t="s">
        <v>35</v>
      </c>
      <c r="B595" s="9" t="s">
        <v>325</v>
      </c>
      <c r="C595">
        <v>0</v>
      </c>
      <c r="D595">
        <v>0</v>
      </c>
      <c r="E595">
        <v>0</v>
      </c>
      <c r="F595">
        <v>54507596</v>
      </c>
      <c r="G595">
        <v>7567965875</v>
      </c>
      <c r="H595">
        <v>0</v>
      </c>
      <c r="I595">
        <v>0</v>
      </c>
      <c r="J595">
        <v>0</v>
      </c>
      <c r="K595">
        <v>54507596</v>
      </c>
      <c r="L595">
        <v>0</v>
      </c>
      <c r="M595" t="s">
        <v>36</v>
      </c>
      <c r="N595" t="s">
        <v>31</v>
      </c>
      <c r="O595" t="s">
        <v>20</v>
      </c>
      <c r="P595" t="str">
        <f>VLOOKUP(B595,'CHECK_DT-BT_chi_tiet'!$A:$C,3,FALSE)</f>
        <v>BV Lâm Đồng</v>
      </c>
      <c r="Q595" t="str">
        <f>VLOOKUP(A595,Sheet3!$K$11:$L$21,2,FALSE)</f>
        <v>BH Kỹ thuật</v>
      </c>
      <c r="R595" t="str">
        <f>VLOOKUP(Q595,Sheet3!$L$11:$M$21,2,FALSE)</f>
        <v>HQ2</v>
      </c>
      <c r="S595" s="26">
        <f>SUMIFS('HQ2'!$O:$O,'HQ2'!$B:$B, "="&amp;'Tong_hop_HQNV_2026Q1_2026-06-23'!Q595, 'HQ2'!$A:$A,"="&amp;'Tong_hop_HQNV_2026Q1_2026-06-23'!P595)</f>
        <v>7567965875</v>
      </c>
      <c r="T595" s="7">
        <f t="shared" si="9"/>
        <v>0</v>
      </c>
    </row>
    <row r="596" spans="1:20" x14ac:dyDescent="0.25">
      <c r="A596" t="s">
        <v>35</v>
      </c>
      <c r="B596" s="9" t="s">
        <v>327</v>
      </c>
      <c r="C596">
        <v>0</v>
      </c>
      <c r="D596">
        <v>0</v>
      </c>
      <c r="E596">
        <v>0</v>
      </c>
      <c r="F596">
        <v>500978776</v>
      </c>
      <c r="G596" s="92">
        <v>12000000</v>
      </c>
      <c r="H596">
        <v>0</v>
      </c>
      <c r="I596">
        <v>0</v>
      </c>
      <c r="J596">
        <v>0</v>
      </c>
      <c r="K596">
        <v>500978776</v>
      </c>
      <c r="L596">
        <v>0</v>
      </c>
      <c r="M596" t="s">
        <v>36</v>
      </c>
      <c r="N596" t="s">
        <v>31</v>
      </c>
      <c r="O596" t="s">
        <v>20</v>
      </c>
      <c r="P596" t="str">
        <f>VLOOKUP(B596,'CHECK_DT-BT_chi_tiet'!$A:$C,3,FALSE)</f>
        <v>BV Lào Cai</v>
      </c>
      <c r="Q596" t="str">
        <f>VLOOKUP(A596,Sheet3!$K$11:$L$21,2,FALSE)</f>
        <v>BH Kỹ thuật</v>
      </c>
      <c r="R596" t="str">
        <f>VLOOKUP(Q596,Sheet3!$L$11:$M$21,2,FALSE)</f>
        <v>HQ2</v>
      </c>
      <c r="S596" s="26">
        <f>SUMIFS('HQ2'!$O:$O,'HQ2'!$B:$B, "="&amp;'Tong_hop_HQNV_2026Q1_2026-06-23'!Q596, 'HQ2'!$A:$A,"="&amp;'Tong_hop_HQNV_2026Q1_2026-06-23'!P596)</f>
        <v>12000000</v>
      </c>
      <c r="T596" s="7">
        <f t="shared" si="9"/>
        <v>0</v>
      </c>
    </row>
    <row r="597" spans="1:20" x14ac:dyDescent="0.25">
      <c r="A597" t="s">
        <v>35</v>
      </c>
      <c r="B597" s="9" t="s">
        <v>326</v>
      </c>
      <c r="C597">
        <v>0</v>
      </c>
      <c r="D597">
        <v>0</v>
      </c>
      <c r="E597">
        <v>0</v>
      </c>
      <c r="F597">
        <v>31195527</v>
      </c>
      <c r="G597" s="92">
        <v>2690000000</v>
      </c>
      <c r="H597">
        <v>0</v>
      </c>
      <c r="I597">
        <v>0</v>
      </c>
      <c r="J597">
        <v>0</v>
      </c>
      <c r="K597">
        <v>31195527</v>
      </c>
      <c r="L597">
        <v>0</v>
      </c>
      <c r="M597" t="s">
        <v>36</v>
      </c>
      <c r="N597" t="s">
        <v>31</v>
      </c>
      <c r="O597" t="s">
        <v>20</v>
      </c>
      <c r="P597" t="str">
        <f>VLOOKUP(B597,'CHECK_DT-BT_chi_tiet'!$A:$C,3,FALSE)</f>
        <v>BV Lạng Sơn</v>
      </c>
      <c r="Q597" t="str">
        <f>VLOOKUP(A597,Sheet3!$K$11:$L$21,2,FALSE)</f>
        <v>BH Kỹ thuật</v>
      </c>
      <c r="R597" t="str">
        <f>VLOOKUP(Q597,Sheet3!$L$11:$M$21,2,FALSE)</f>
        <v>HQ2</v>
      </c>
      <c r="S597" s="26">
        <f>SUMIFS('HQ2'!$O:$O,'HQ2'!$B:$B, "="&amp;'Tong_hop_HQNV_2026Q1_2026-06-23'!Q597, 'HQ2'!$A:$A,"="&amp;'Tong_hop_HQNV_2026Q1_2026-06-23'!P597)</f>
        <v>2690000000</v>
      </c>
      <c r="T597" s="7">
        <f t="shared" si="9"/>
        <v>0</v>
      </c>
    </row>
    <row r="598" spans="1:20" x14ac:dyDescent="0.25">
      <c r="A598" t="s">
        <v>35</v>
      </c>
      <c r="B598" s="9" t="s">
        <v>303</v>
      </c>
      <c r="C598">
        <v>0</v>
      </c>
      <c r="D598">
        <v>0</v>
      </c>
      <c r="E598">
        <v>0</v>
      </c>
      <c r="F598">
        <v>527612152</v>
      </c>
      <c r="G598">
        <v>0</v>
      </c>
      <c r="H598">
        <v>0</v>
      </c>
      <c r="I598">
        <v>0</v>
      </c>
      <c r="J598">
        <v>0</v>
      </c>
      <c r="K598">
        <v>527612152</v>
      </c>
      <c r="L598">
        <v>0</v>
      </c>
      <c r="M598" t="s">
        <v>36</v>
      </c>
      <c r="N598" t="s">
        <v>31</v>
      </c>
      <c r="O598" t="s">
        <v>20</v>
      </c>
      <c r="P598" t="str">
        <f>VLOOKUP(B598,'CHECK_DT-BT_chi_tiet'!$A:$C,3,FALSE)</f>
        <v>BV Điện Biên</v>
      </c>
      <c r="Q598" t="str">
        <f>VLOOKUP(A598,Sheet3!$K$11:$L$21,2,FALSE)</f>
        <v>BH Kỹ thuật</v>
      </c>
      <c r="R598" t="str">
        <f>VLOOKUP(Q598,Sheet3!$L$11:$M$21,2,FALSE)</f>
        <v>HQ2</v>
      </c>
      <c r="S598" s="26">
        <f>SUMIFS('HQ2'!$O:$O,'HQ2'!$B:$B, "="&amp;'Tong_hop_HQNV_2026Q1_2026-06-23'!Q598, 'HQ2'!$A:$A,"="&amp;'Tong_hop_HQNV_2026Q1_2026-06-23'!P598)</f>
        <v>0</v>
      </c>
      <c r="T598" s="7">
        <f t="shared" si="9"/>
        <v>0</v>
      </c>
    </row>
    <row r="599" spans="1:20" x14ac:dyDescent="0.25">
      <c r="A599" t="s">
        <v>35</v>
      </c>
      <c r="B599" s="9" t="s">
        <v>332</v>
      </c>
      <c r="C599">
        <v>0</v>
      </c>
      <c r="D599">
        <v>0</v>
      </c>
      <c r="E599">
        <v>0</v>
      </c>
      <c r="F599">
        <v>441549755</v>
      </c>
      <c r="G599">
        <v>0</v>
      </c>
      <c r="H599">
        <v>0</v>
      </c>
      <c r="I599">
        <v>0</v>
      </c>
      <c r="J599">
        <v>0</v>
      </c>
      <c r="K599">
        <v>441549755</v>
      </c>
      <c r="L599">
        <v>0</v>
      </c>
      <c r="M599" t="s">
        <v>36</v>
      </c>
      <c r="N599" t="s">
        <v>31</v>
      </c>
      <c r="O599" t="s">
        <v>20</v>
      </c>
      <c r="P599" t="str">
        <f>VLOOKUP(B599,'CHECK_DT-BT_chi_tiet'!$A:$C,3,FALSE)</f>
        <v>BV Nam Định</v>
      </c>
      <c r="Q599" t="str">
        <f>VLOOKUP(A599,Sheet3!$K$11:$L$21,2,FALSE)</f>
        <v>BH Kỹ thuật</v>
      </c>
      <c r="R599" t="str">
        <f>VLOOKUP(Q599,Sheet3!$L$11:$M$21,2,FALSE)</f>
        <v>HQ2</v>
      </c>
      <c r="S599" s="26">
        <f>SUMIFS('HQ2'!$O:$O,'HQ2'!$B:$B, "="&amp;'Tong_hop_HQNV_2026Q1_2026-06-23'!Q599, 'HQ2'!$A:$A,"="&amp;'Tong_hop_HQNV_2026Q1_2026-06-23'!P599)</f>
        <v>0</v>
      </c>
      <c r="T599" s="7">
        <f t="shared" si="9"/>
        <v>0</v>
      </c>
    </row>
    <row r="600" spans="1:20" x14ac:dyDescent="0.25">
      <c r="A600" t="s">
        <v>35</v>
      </c>
      <c r="B600" s="9" t="s">
        <v>334</v>
      </c>
      <c r="C600">
        <v>0</v>
      </c>
      <c r="D600">
        <v>0</v>
      </c>
      <c r="E600">
        <v>0</v>
      </c>
      <c r="F600">
        <v>188610563</v>
      </c>
      <c r="G600">
        <v>0</v>
      </c>
      <c r="H600">
        <v>0</v>
      </c>
      <c r="I600">
        <v>0</v>
      </c>
      <c r="J600">
        <v>0</v>
      </c>
      <c r="K600">
        <v>188610563</v>
      </c>
      <c r="L600">
        <v>0</v>
      </c>
      <c r="M600" t="s">
        <v>36</v>
      </c>
      <c r="N600" t="s">
        <v>31</v>
      </c>
      <c r="O600" t="s">
        <v>20</v>
      </c>
      <c r="P600" t="str">
        <f>VLOOKUP(B600,'CHECK_DT-BT_chi_tiet'!$A:$C,3,FALSE)</f>
        <v>BV Ninh Bình</v>
      </c>
      <c r="Q600" t="str">
        <f>VLOOKUP(A600,Sheet3!$K$11:$L$21,2,FALSE)</f>
        <v>BH Kỹ thuật</v>
      </c>
      <c r="R600" t="str">
        <f>VLOOKUP(Q600,Sheet3!$L$11:$M$21,2,FALSE)</f>
        <v>HQ2</v>
      </c>
      <c r="S600" s="26">
        <f>SUMIFS('HQ2'!$O:$O,'HQ2'!$B:$B, "="&amp;'Tong_hop_HQNV_2026Q1_2026-06-23'!Q600, 'HQ2'!$A:$A,"="&amp;'Tong_hop_HQNV_2026Q1_2026-06-23'!P600)</f>
        <v>0</v>
      </c>
      <c r="T600" s="7">
        <f t="shared" si="9"/>
        <v>0</v>
      </c>
    </row>
    <row r="601" spans="1:20" x14ac:dyDescent="0.25">
      <c r="A601" t="s">
        <v>35</v>
      </c>
      <c r="B601" s="9" t="s">
        <v>335</v>
      </c>
      <c r="C601">
        <v>0</v>
      </c>
      <c r="D601">
        <v>0</v>
      </c>
      <c r="E601">
        <v>0</v>
      </c>
      <c r="F601">
        <v>94724750</v>
      </c>
      <c r="G601">
        <v>0</v>
      </c>
      <c r="H601">
        <v>0</v>
      </c>
      <c r="I601">
        <v>0</v>
      </c>
      <c r="J601">
        <v>0</v>
      </c>
      <c r="K601">
        <v>94724750</v>
      </c>
      <c r="L601">
        <v>0</v>
      </c>
      <c r="M601" t="s">
        <v>36</v>
      </c>
      <c r="N601" t="s">
        <v>31</v>
      </c>
      <c r="O601" t="s">
        <v>20</v>
      </c>
      <c r="P601" t="str">
        <f>VLOOKUP(B601,'CHECK_DT-BT_chi_tiet'!$A:$C,3,FALSE)</f>
        <v>BV Ninh Thuận</v>
      </c>
      <c r="Q601" t="str">
        <f>VLOOKUP(A601,Sheet3!$K$11:$L$21,2,FALSE)</f>
        <v>BH Kỹ thuật</v>
      </c>
      <c r="R601" t="str">
        <f>VLOOKUP(Q601,Sheet3!$L$11:$M$21,2,FALSE)</f>
        <v>HQ2</v>
      </c>
      <c r="S601" s="26">
        <f>SUMIFS('HQ2'!$O:$O,'HQ2'!$B:$B, "="&amp;'Tong_hop_HQNV_2026Q1_2026-06-23'!Q601, 'HQ2'!$A:$A,"="&amp;'Tong_hop_HQNV_2026Q1_2026-06-23'!P601)</f>
        <v>0</v>
      </c>
      <c r="T601" s="7">
        <f t="shared" si="9"/>
        <v>0</v>
      </c>
    </row>
    <row r="602" spans="1:20" x14ac:dyDescent="0.25">
      <c r="A602" t="s">
        <v>35</v>
      </c>
      <c r="B602" s="9" t="s">
        <v>338</v>
      </c>
      <c r="C602">
        <v>0</v>
      </c>
      <c r="D602">
        <v>0</v>
      </c>
      <c r="E602">
        <v>0</v>
      </c>
      <c r="F602">
        <v>776108773</v>
      </c>
      <c r="G602">
        <v>1455554546</v>
      </c>
      <c r="H602">
        <v>0</v>
      </c>
      <c r="I602">
        <v>0</v>
      </c>
      <c r="J602">
        <v>0</v>
      </c>
      <c r="K602">
        <v>776108773</v>
      </c>
      <c r="L602">
        <v>0</v>
      </c>
      <c r="M602" t="s">
        <v>36</v>
      </c>
      <c r="N602" t="s">
        <v>31</v>
      </c>
      <c r="O602" t="s">
        <v>20</v>
      </c>
      <c r="P602" t="str">
        <f>VLOOKUP(B602,'CHECK_DT-BT_chi_tiet'!$A:$C,3,FALSE)</f>
        <v>BV Phú Thọ</v>
      </c>
      <c r="Q602" t="str">
        <f>VLOOKUP(A602,Sheet3!$K$11:$L$21,2,FALSE)</f>
        <v>BH Kỹ thuật</v>
      </c>
      <c r="R602" t="str">
        <f>VLOOKUP(Q602,Sheet3!$L$11:$M$21,2,FALSE)</f>
        <v>HQ2</v>
      </c>
      <c r="S602" s="26">
        <f>SUMIFS('HQ2'!$O:$O,'HQ2'!$B:$B, "="&amp;'Tong_hop_HQNV_2026Q1_2026-06-23'!Q602, 'HQ2'!$A:$A,"="&amp;'Tong_hop_HQNV_2026Q1_2026-06-23'!P602)</f>
        <v>1455554546</v>
      </c>
      <c r="T602" s="7">
        <f t="shared" si="9"/>
        <v>0</v>
      </c>
    </row>
    <row r="603" spans="1:20" x14ac:dyDescent="0.25">
      <c r="A603" t="s">
        <v>35</v>
      </c>
      <c r="B603" s="9" t="s">
        <v>339</v>
      </c>
      <c r="C603">
        <v>0</v>
      </c>
      <c r="D603">
        <v>0</v>
      </c>
      <c r="E603">
        <v>0</v>
      </c>
      <c r="F603">
        <v>81955454</v>
      </c>
      <c r="G603">
        <v>0</v>
      </c>
      <c r="H603">
        <v>0</v>
      </c>
      <c r="I603">
        <v>0</v>
      </c>
      <c r="J603">
        <v>0</v>
      </c>
      <c r="K603">
        <v>81955454</v>
      </c>
      <c r="L603">
        <v>0</v>
      </c>
      <c r="M603" t="s">
        <v>36</v>
      </c>
      <c r="N603" t="s">
        <v>31</v>
      </c>
      <c r="O603" t="s">
        <v>20</v>
      </c>
      <c r="P603" t="str">
        <f>VLOOKUP(B603,'CHECK_DT-BT_chi_tiet'!$A:$C,3,FALSE)</f>
        <v>BV Phú Yên</v>
      </c>
      <c r="Q603" t="str">
        <f>VLOOKUP(A603,Sheet3!$K$11:$L$21,2,FALSE)</f>
        <v>BH Kỹ thuật</v>
      </c>
      <c r="R603" t="str">
        <f>VLOOKUP(Q603,Sheet3!$L$11:$M$21,2,FALSE)</f>
        <v>HQ2</v>
      </c>
      <c r="S603" s="26">
        <f>SUMIFS('HQ2'!$O:$O,'HQ2'!$B:$B, "="&amp;'Tong_hop_HQNV_2026Q1_2026-06-23'!Q603, 'HQ2'!$A:$A,"="&amp;'Tong_hop_HQNV_2026Q1_2026-06-23'!P603)</f>
        <v>0</v>
      </c>
      <c r="T603" s="7">
        <f t="shared" si="9"/>
        <v>0</v>
      </c>
    </row>
    <row r="604" spans="1:20" x14ac:dyDescent="0.25">
      <c r="A604" t="s">
        <v>35</v>
      </c>
      <c r="B604" s="9" t="s">
        <v>340</v>
      </c>
      <c r="C604">
        <v>0</v>
      </c>
      <c r="D604">
        <v>0</v>
      </c>
      <c r="E604">
        <v>0</v>
      </c>
      <c r="F604">
        <v>3967584297</v>
      </c>
      <c r="G604">
        <v>4258697200</v>
      </c>
      <c r="H604" s="92">
        <v>990000000</v>
      </c>
      <c r="I604">
        <v>0</v>
      </c>
      <c r="J604">
        <v>0</v>
      </c>
      <c r="K604">
        <v>3967584297</v>
      </c>
      <c r="L604">
        <v>0</v>
      </c>
      <c r="M604" t="s">
        <v>36</v>
      </c>
      <c r="N604" t="s">
        <v>31</v>
      </c>
      <c r="O604" t="s">
        <v>20</v>
      </c>
      <c r="P604" t="str">
        <f>VLOOKUP(B604,'CHECK_DT-BT_chi_tiet'!$A:$C,3,FALSE)</f>
        <v>BV Quảng Bình</v>
      </c>
      <c r="Q604" t="str">
        <f>VLOOKUP(A604,Sheet3!$K$11:$L$21,2,FALSE)</f>
        <v>BH Kỹ thuật</v>
      </c>
      <c r="R604" t="str">
        <f>VLOOKUP(Q604,Sheet3!$L$11:$M$21,2,FALSE)</f>
        <v>HQ2</v>
      </c>
      <c r="S604" s="26">
        <f>SUMIFS('HQ2'!$O:$O,'HQ2'!$B:$B, "="&amp;'Tong_hop_HQNV_2026Q1_2026-06-23'!Q604, 'HQ2'!$A:$A,"="&amp;'Tong_hop_HQNV_2026Q1_2026-06-23'!P604)</f>
        <v>4258697200</v>
      </c>
      <c r="T604" s="7">
        <f t="shared" si="9"/>
        <v>0</v>
      </c>
    </row>
    <row r="605" spans="1:20" x14ac:dyDescent="0.25">
      <c r="A605" t="s">
        <v>35</v>
      </c>
      <c r="B605" s="9" t="s">
        <v>341</v>
      </c>
      <c r="C605">
        <v>0</v>
      </c>
      <c r="D605">
        <v>0</v>
      </c>
      <c r="E605">
        <v>0</v>
      </c>
      <c r="F605">
        <v>166484636</v>
      </c>
      <c r="G605">
        <v>0</v>
      </c>
      <c r="H605">
        <v>0</v>
      </c>
      <c r="I605">
        <v>0</v>
      </c>
      <c r="J605">
        <v>0</v>
      </c>
      <c r="K605">
        <v>166484636</v>
      </c>
      <c r="L605">
        <v>0</v>
      </c>
      <c r="M605" t="s">
        <v>36</v>
      </c>
      <c r="N605" t="s">
        <v>31</v>
      </c>
      <c r="O605" t="s">
        <v>20</v>
      </c>
      <c r="P605" t="str">
        <f>VLOOKUP(B605,'CHECK_DT-BT_chi_tiet'!$A:$C,3,FALSE)</f>
        <v>BV Quảng Nam</v>
      </c>
      <c r="Q605" t="str">
        <f>VLOOKUP(A605,Sheet3!$K$11:$L$21,2,FALSE)</f>
        <v>BH Kỹ thuật</v>
      </c>
      <c r="R605" t="str">
        <f>VLOOKUP(Q605,Sheet3!$L$11:$M$21,2,FALSE)</f>
        <v>HQ2</v>
      </c>
      <c r="S605" s="26">
        <f>SUMIFS('HQ2'!$O:$O,'HQ2'!$B:$B, "="&amp;'Tong_hop_HQNV_2026Q1_2026-06-23'!Q605, 'HQ2'!$A:$A,"="&amp;'Tong_hop_HQNV_2026Q1_2026-06-23'!P605)</f>
        <v>0</v>
      </c>
      <c r="T605" s="7">
        <f t="shared" si="9"/>
        <v>0</v>
      </c>
    </row>
    <row r="606" spans="1:20" x14ac:dyDescent="0.25">
      <c r="A606" t="s">
        <v>35</v>
      </c>
      <c r="B606" s="9" t="s">
        <v>342</v>
      </c>
      <c r="C606">
        <v>0</v>
      </c>
      <c r="D606">
        <v>0</v>
      </c>
      <c r="E606">
        <v>0</v>
      </c>
      <c r="F606">
        <v>32050000</v>
      </c>
      <c r="G606">
        <v>970147355</v>
      </c>
      <c r="H606">
        <v>0</v>
      </c>
      <c r="I606">
        <v>0</v>
      </c>
      <c r="J606">
        <v>0</v>
      </c>
      <c r="K606">
        <v>32050000</v>
      </c>
      <c r="L606">
        <v>0</v>
      </c>
      <c r="M606" t="s">
        <v>36</v>
      </c>
      <c r="N606" t="s">
        <v>31</v>
      </c>
      <c r="O606" t="s">
        <v>20</v>
      </c>
      <c r="P606" t="str">
        <f>VLOOKUP(B606,'CHECK_DT-BT_chi_tiet'!$A:$C,3,FALSE)</f>
        <v>BV Quảng Ngãi</v>
      </c>
      <c r="Q606" t="str">
        <f>VLOOKUP(A606,Sheet3!$K$11:$L$21,2,FALSE)</f>
        <v>BH Kỹ thuật</v>
      </c>
      <c r="R606" t="str">
        <f>VLOOKUP(Q606,Sheet3!$L$11:$M$21,2,FALSE)</f>
        <v>HQ2</v>
      </c>
      <c r="S606" s="26">
        <f>SUMIFS('HQ2'!$O:$O,'HQ2'!$B:$B, "="&amp;'Tong_hop_HQNV_2026Q1_2026-06-23'!Q606, 'HQ2'!$A:$A,"="&amp;'Tong_hop_HQNV_2026Q1_2026-06-23'!P606)</f>
        <v>970147355</v>
      </c>
      <c r="T606" s="7">
        <f t="shared" si="9"/>
        <v>0</v>
      </c>
    </row>
    <row r="607" spans="1:20" x14ac:dyDescent="0.25">
      <c r="A607" t="s">
        <v>35</v>
      </c>
      <c r="B607" s="9" t="s">
        <v>343</v>
      </c>
      <c r="C607">
        <v>0</v>
      </c>
      <c r="D607">
        <v>0</v>
      </c>
      <c r="E607">
        <v>0</v>
      </c>
      <c r="F607">
        <v>937970272</v>
      </c>
      <c r="G607" s="92">
        <v>795000000</v>
      </c>
      <c r="H607">
        <v>0</v>
      </c>
      <c r="I607">
        <v>0</v>
      </c>
      <c r="J607">
        <v>0</v>
      </c>
      <c r="K607">
        <v>937970272</v>
      </c>
      <c r="L607">
        <v>0</v>
      </c>
      <c r="M607" t="s">
        <v>36</v>
      </c>
      <c r="N607" t="s">
        <v>31</v>
      </c>
      <c r="O607" t="s">
        <v>20</v>
      </c>
      <c r="P607" t="str">
        <f>VLOOKUP(B607,'CHECK_DT-BT_chi_tiet'!$A:$C,3,FALSE)</f>
        <v>BV Quảng Ninh</v>
      </c>
      <c r="Q607" t="str">
        <f>VLOOKUP(A607,Sheet3!$K$11:$L$21,2,FALSE)</f>
        <v>BH Kỹ thuật</v>
      </c>
      <c r="R607" t="str">
        <f>VLOOKUP(Q607,Sheet3!$L$11:$M$21,2,FALSE)</f>
        <v>HQ2</v>
      </c>
      <c r="S607" s="26">
        <f>SUMIFS('HQ2'!$O:$O,'HQ2'!$B:$B, "="&amp;'Tong_hop_HQNV_2026Q1_2026-06-23'!Q607, 'HQ2'!$A:$A,"="&amp;'Tong_hop_HQNV_2026Q1_2026-06-23'!P607)</f>
        <v>795000000</v>
      </c>
      <c r="T607" s="7">
        <f t="shared" si="9"/>
        <v>0</v>
      </c>
    </row>
    <row r="608" spans="1:20" x14ac:dyDescent="0.25">
      <c r="A608" t="s">
        <v>35</v>
      </c>
      <c r="B608" s="9" t="s">
        <v>344</v>
      </c>
      <c r="C608">
        <v>0</v>
      </c>
      <c r="D608">
        <v>0</v>
      </c>
      <c r="E608">
        <v>0</v>
      </c>
      <c r="F608">
        <v>332331458</v>
      </c>
      <c r="G608" s="92">
        <v>40000000</v>
      </c>
      <c r="H608">
        <v>0</v>
      </c>
      <c r="I608">
        <v>0</v>
      </c>
      <c r="J608">
        <v>0</v>
      </c>
      <c r="K608">
        <v>332331458</v>
      </c>
      <c r="L608">
        <v>0</v>
      </c>
      <c r="M608" t="s">
        <v>36</v>
      </c>
      <c r="N608" t="s">
        <v>31</v>
      </c>
      <c r="O608" t="s">
        <v>20</v>
      </c>
      <c r="P608" t="str">
        <f>VLOOKUP(B608,'CHECK_DT-BT_chi_tiet'!$A:$C,3,FALSE)</f>
        <v>BV Quảng Trị</v>
      </c>
      <c r="Q608" t="str">
        <f>VLOOKUP(A608,Sheet3!$K$11:$L$21,2,FALSE)</f>
        <v>BH Kỹ thuật</v>
      </c>
      <c r="R608" t="str">
        <f>VLOOKUP(Q608,Sheet3!$L$11:$M$21,2,FALSE)</f>
        <v>HQ2</v>
      </c>
      <c r="S608" s="26">
        <f>SUMIFS('HQ2'!$O:$O,'HQ2'!$B:$B, "="&amp;'Tong_hop_HQNV_2026Q1_2026-06-23'!Q608, 'HQ2'!$A:$A,"="&amp;'Tong_hop_HQNV_2026Q1_2026-06-23'!P608)</f>
        <v>40000000</v>
      </c>
      <c r="T608" s="7">
        <f t="shared" si="9"/>
        <v>0</v>
      </c>
    </row>
    <row r="609" spans="1:20" x14ac:dyDescent="0.25">
      <c r="A609" t="s">
        <v>35</v>
      </c>
      <c r="B609" s="9" t="s">
        <v>347</v>
      </c>
      <c r="C609">
        <v>0</v>
      </c>
      <c r="D609">
        <v>0</v>
      </c>
      <c r="E609">
        <v>0</v>
      </c>
      <c r="F609">
        <v>1189570000</v>
      </c>
      <c r="G609">
        <v>0</v>
      </c>
      <c r="H609">
        <v>0</v>
      </c>
      <c r="I609">
        <v>0</v>
      </c>
      <c r="J609">
        <v>0</v>
      </c>
      <c r="K609">
        <v>1189570000</v>
      </c>
      <c r="L609">
        <v>0</v>
      </c>
      <c r="M609" t="s">
        <v>36</v>
      </c>
      <c r="N609" t="s">
        <v>31</v>
      </c>
      <c r="O609" t="s">
        <v>20</v>
      </c>
      <c r="P609" t="str">
        <f>VLOOKUP(B609,'CHECK_DT-BT_chi_tiet'!$A:$C,3,FALSE)</f>
        <v>BV Sơn La</v>
      </c>
      <c r="Q609" t="str">
        <f>VLOOKUP(A609,Sheet3!$K$11:$L$21,2,FALSE)</f>
        <v>BH Kỹ thuật</v>
      </c>
      <c r="R609" t="str">
        <f>VLOOKUP(Q609,Sheet3!$L$11:$M$21,2,FALSE)</f>
        <v>HQ2</v>
      </c>
      <c r="S609" s="26">
        <f>SUMIFS('HQ2'!$O:$O,'HQ2'!$B:$B, "="&amp;'Tong_hop_HQNV_2026Q1_2026-06-23'!Q609, 'HQ2'!$A:$A,"="&amp;'Tong_hop_HQNV_2026Q1_2026-06-23'!P609)</f>
        <v>0</v>
      </c>
      <c r="T609" s="7">
        <f t="shared" si="9"/>
        <v>0</v>
      </c>
    </row>
    <row r="610" spans="1:20" x14ac:dyDescent="0.25">
      <c r="A610" t="s">
        <v>35</v>
      </c>
      <c r="B610" s="9" t="s">
        <v>350</v>
      </c>
      <c r="C610">
        <v>0</v>
      </c>
      <c r="D610">
        <v>0</v>
      </c>
      <c r="E610">
        <v>0</v>
      </c>
      <c r="F610">
        <v>294481560</v>
      </c>
      <c r="G610">
        <v>0</v>
      </c>
      <c r="H610">
        <v>0</v>
      </c>
      <c r="I610">
        <v>0</v>
      </c>
      <c r="J610">
        <v>0</v>
      </c>
      <c r="K610">
        <v>294481560</v>
      </c>
      <c r="L610">
        <v>0</v>
      </c>
      <c r="M610" t="s">
        <v>36</v>
      </c>
      <c r="N610" t="s">
        <v>31</v>
      </c>
      <c r="O610" t="s">
        <v>20</v>
      </c>
      <c r="P610" t="str">
        <f>VLOOKUP(B610,'CHECK_DT-BT_chi_tiet'!$A:$C,3,FALSE)</f>
        <v>BV Thái Bình</v>
      </c>
      <c r="Q610" t="str">
        <f>VLOOKUP(A610,Sheet3!$K$11:$L$21,2,FALSE)</f>
        <v>BH Kỹ thuật</v>
      </c>
      <c r="R610" t="str">
        <f>VLOOKUP(Q610,Sheet3!$L$11:$M$21,2,FALSE)</f>
        <v>HQ2</v>
      </c>
      <c r="S610" s="26">
        <f>SUMIFS('HQ2'!$O:$O,'HQ2'!$B:$B, "="&amp;'Tong_hop_HQNV_2026Q1_2026-06-23'!Q610, 'HQ2'!$A:$A,"="&amp;'Tong_hop_HQNV_2026Q1_2026-06-23'!P610)</f>
        <v>0</v>
      </c>
      <c r="T610" s="7">
        <f t="shared" si="9"/>
        <v>0</v>
      </c>
    </row>
    <row r="611" spans="1:20" x14ac:dyDescent="0.25">
      <c r="A611" t="s">
        <v>35</v>
      </c>
      <c r="B611" s="9" t="s">
        <v>351</v>
      </c>
      <c r="C611">
        <v>0</v>
      </c>
      <c r="D611">
        <v>0</v>
      </c>
      <c r="E611">
        <v>0</v>
      </c>
      <c r="F611">
        <v>856169787</v>
      </c>
      <c r="G611">
        <v>701249745</v>
      </c>
      <c r="H611">
        <v>0</v>
      </c>
      <c r="I611">
        <v>0</v>
      </c>
      <c r="J611">
        <v>0</v>
      </c>
      <c r="K611">
        <v>856169787</v>
      </c>
      <c r="L611">
        <v>0</v>
      </c>
      <c r="M611" t="s">
        <v>36</v>
      </c>
      <c r="N611" t="s">
        <v>31</v>
      </c>
      <c r="O611" t="s">
        <v>20</v>
      </c>
      <c r="P611" t="str">
        <f>VLOOKUP(B611,'CHECK_DT-BT_chi_tiet'!$A:$C,3,FALSE)</f>
        <v>BV Thái Nguyên</v>
      </c>
      <c r="Q611" t="str">
        <f>VLOOKUP(A611,Sheet3!$K$11:$L$21,2,FALSE)</f>
        <v>BH Kỹ thuật</v>
      </c>
      <c r="R611" t="str">
        <f>VLOOKUP(Q611,Sheet3!$L$11:$M$21,2,FALSE)</f>
        <v>HQ2</v>
      </c>
      <c r="S611" s="26">
        <f>SUMIFS('HQ2'!$O:$O,'HQ2'!$B:$B, "="&amp;'Tong_hop_HQNV_2026Q1_2026-06-23'!Q611, 'HQ2'!$A:$A,"="&amp;'Tong_hop_HQNV_2026Q1_2026-06-23'!P611)</f>
        <v>701249745</v>
      </c>
      <c r="T611" s="7">
        <f t="shared" si="9"/>
        <v>0</v>
      </c>
    </row>
    <row r="612" spans="1:20" x14ac:dyDescent="0.25">
      <c r="A612" t="s">
        <v>35</v>
      </c>
      <c r="B612" s="9" t="s">
        <v>353</v>
      </c>
      <c r="C612">
        <v>0</v>
      </c>
      <c r="D612">
        <v>0</v>
      </c>
      <c r="E612">
        <v>0</v>
      </c>
      <c r="F612">
        <v>307104175</v>
      </c>
      <c r="G612">
        <v>127642046.90000001</v>
      </c>
      <c r="H612">
        <v>0</v>
      </c>
      <c r="I612">
        <v>0</v>
      </c>
      <c r="J612">
        <v>0</v>
      </c>
      <c r="K612">
        <v>307104175</v>
      </c>
      <c r="L612">
        <v>0</v>
      </c>
      <c r="M612" t="s">
        <v>36</v>
      </c>
      <c r="N612" t="s">
        <v>31</v>
      </c>
      <c r="O612" t="s">
        <v>20</v>
      </c>
      <c r="P612" t="str">
        <f>VLOOKUP(B612,'CHECK_DT-BT_chi_tiet'!$A:$C,3,FALSE)</f>
        <v>BV Thanh Hóa</v>
      </c>
      <c r="Q612" t="str">
        <f>VLOOKUP(A612,Sheet3!$K$11:$L$21,2,FALSE)</f>
        <v>BH Kỹ thuật</v>
      </c>
      <c r="R612" t="str">
        <f>VLOOKUP(Q612,Sheet3!$L$11:$M$21,2,FALSE)</f>
        <v>HQ2</v>
      </c>
      <c r="S612" s="26">
        <f>SUMIFS('HQ2'!$O:$O,'HQ2'!$B:$B, "="&amp;'Tong_hop_HQNV_2026Q1_2026-06-23'!Q612, 'HQ2'!$A:$A,"="&amp;'Tong_hop_HQNV_2026Q1_2026-06-23'!P612)</f>
        <v>127642046.90000001</v>
      </c>
      <c r="T612" s="7">
        <f t="shared" si="9"/>
        <v>0</v>
      </c>
    </row>
    <row r="613" spans="1:20" x14ac:dyDescent="0.25">
      <c r="A613" t="s">
        <v>35</v>
      </c>
      <c r="B613" s="9" t="s">
        <v>356</v>
      </c>
      <c r="C613">
        <v>0</v>
      </c>
      <c r="D613">
        <v>0</v>
      </c>
      <c r="E613">
        <v>0</v>
      </c>
      <c r="F613">
        <v>355177019</v>
      </c>
      <c r="G613">
        <v>0</v>
      </c>
      <c r="H613">
        <v>0</v>
      </c>
      <c r="I613">
        <v>0</v>
      </c>
      <c r="J613">
        <v>0</v>
      </c>
      <c r="K613">
        <v>355177019</v>
      </c>
      <c r="L613">
        <v>0</v>
      </c>
      <c r="M613" t="s">
        <v>36</v>
      </c>
      <c r="N613" t="s">
        <v>31</v>
      </c>
      <c r="O613" t="s">
        <v>20</v>
      </c>
      <c r="P613" t="str">
        <f>VLOOKUP(B613,'CHECK_DT-BT_chi_tiet'!$A:$C,3,FALSE)</f>
        <v>BV Tiền Giang</v>
      </c>
      <c r="Q613" t="str">
        <f>VLOOKUP(A613,Sheet3!$K$11:$L$21,2,FALSE)</f>
        <v>BH Kỹ thuật</v>
      </c>
      <c r="R613" t="str">
        <f>VLOOKUP(Q613,Sheet3!$L$11:$M$21,2,FALSE)</f>
        <v>HQ2</v>
      </c>
      <c r="S613" s="26">
        <f>SUMIFS('HQ2'!$O:$O,'HQ2'!$B:$B, "="&amp;'Tong_hop_HQNV_2026Q1_2026-06-23'!Q613, 'HQ2'!$A:$A,"="&amp;'Tong_hop_HQNV_2026Q1_2026-06-23'!P613)</f>
        <v>0</v>
      </c>
      <c r="T613" s="7">
        <f t="shared" si="9"/>
        <v>0</v>
      </c>
    </row>
    <row r="614" spans="1:20" x14ac:dyDescent="0.25">
      <c r="A614" t="s">
        <v>35</v>
      </c>
      <c r="B614" s="9" t="s">
        <v>357</v>
      </c>
      <c r="C614">
        <v>0</v>
      </c>
      <c r="D614">
        <v>0</v>
      </c>
      <c r="E614">
        <v>0</v>
      </c>
      <c r="F614">
        <v>454305982</v>
      </c>
      <c r="G614">
        <v>0</v>
      </c>
      <c r="H614">
        <v>0</v>
      </c>
      <c r="I614">
        <v>0</v>
      </c>
      <c r="J614">
        <v>0</v>
      </c>
      <c r="K614">
        <v>454305982</v>
      </c>
      <c r="L614">
        <v>0</v>
      </c>
      <c r="M614" t="s">
        <v>36</v>
      </c>
      <c r="N614" t="s">
        <v>31</v>
      </c>
      <c r="O614" t="s">
        <v>20</v>
      </c>
      <c r="P614" t="str">
        <f>VLOOKUP(B614,'CHECK_DT-BT_chi_tiet'!$A:$C,3,FALSE)</f>
        <v>BV Trà Vinh</v>
      </c>
      <c r="Q614" t="str">
        <f>VLOOKUP(A614,Sheet3!$K$11:$L$21,2,FALSE)</f>
        <v>BH Kỹ thuật</v>
      </c>
      <c r="R614" t="str">
        <f>VLOOKUP(Q614,Sheet3!$L$11:$M$21,2,FALSE)</f>
        <v>HQ2</v>
      </c>
      <c r="S614" s="26">
        <f>SUMIFS('HQ2'!$O:$O,'HQ2'!$B:$B, "="&amp;'Tong_hop_HQNV_2026Q1_2026-06-23'!Q614, 'HQ2'!$A:$A,"="&amp;'Tong_hop_HQNV_2026Q1_2026-06-23'!P614)</f>
        <v>0</v>
      </c>
      <c r="T614" s="7">
        <f t="shared" si="9"/>
        <v>0</v>
      </c>
    </row>
    <row r="615" spans="1:20" x14ac:dyDescent="0.25">
      <c r="A615" t="s">
        <v>35</v>
      </c>
      <c r="B615" s="9" t="s">
        <v>359</v>
      </c>
      <c r="C615">
        <v>0</v>
      </c>
      <c r="D615">
        <v>0</v>
      </c>
      <c r="E615">
        <v>0</v>
      </c>
      <c r="F615">
        <v>271523120</v>
      </c>
      <c r="G615">
        <v>0</v>
      </c>
      <c r="H615">
        <v>0</v>
      </c>
      <c r="I615">
        <v>0</v>
      </c>
      <c r="J615">
        <v>0</v>
      </c>
      <c r="K615">
        <v>271523120</v>
      </c>
      <c r="L615">
        <v>0</v>
      </c>
      <c r="M615" t="s">
        <v>36</v>
      </c>
      <c r="N615" t="s">
        <v>31</v>
      </c>
      <c r="O615" t="s">
        <v>20</v>
      </c>
      <c r="P615" t="str">
        <f>VLOOKUP(B615,'CHECK_DT-BT_chi_tiet'!$A:$C,3,FALSE)</f>
        <v>BV Tuyên Quang</v>
      </c>
      <c r="Q615" t="str">
        <f>VLOOKUP(A615,Sheet3!$K$11:$L$21,2,FALSE)</f>
        <v>BH Kỹ thuật</v>
      </c>
      <c r="R615" t="str">
        <f>VLOOKUP(Q615,Sheet3!$L$11:$M$21,2,FALSE)</f>
        <v>HQ2</v>
      </c>
      <c r="S615" s="26">
        <f>SUMIFS('HQ2'!$O:$O,'HQ2'!$B:$B, "="&amp;'Tong_hop_HQNV_2026Q1_2026-06-23'!Q615, 'HQ2'!$A:$A,"="&amp;'Tong_hop_HQNV_2026Q1_2026-06-23'!P615)</f>
        <v>0</v>
      </c>
      <c r="T615" s="7">
        <f t="shared" si="9"/>
        <v>0</v>
      </c>
    </row>
    <row r="616" spans="1:20" x14ac:dyDescent="0.25">
      <c r="A616" t="s">
        <v>35</v>
      </c>
      <c r="B616" s="9" t="s">
        <v>360</v>
      </c>
      <c r="C616">
        <v>0</v>
      </c>
      <c r="D616">
        <v>0</v>
      </c>
      <c r="E616">
        <v>0</v>
      </c>
      <c r="F616">
        <v>288854053</v>
      </c>
      <c r="G616">
        <v>0</v>
      </c>
      <c r="H616">
        <v>0</v>
      </c>
      <c r="I616">
        <v>0</v>
      </c>
      <c r="J616">
        <v>0</v>
      </c>
      <c r="K616">
        <v>288854053</v>
      </c>
      <c r="L616">
        <v>0</v>
      </c>
      <c r="M616" t="s">
        <v>36</v>
      </c>
      <c r="N616" t="s">
        <v>31</v>
      </c>
      <c r="O616" t="s">
        <v>20</v>
      </c>
      <c r="P616" t="str">
        <f>VLOOKUP(B616,'CHECK_DT-BT_chi_tiet'!$A:$C,3,FALSE)</f>
        <v>BV Vĩnh Long</v>
      </c>
      <c r="Q616" t="str">
        <f>VLOOKUP(A616,Sheet3!$K$11:$L$21,2,FALSE)</f>
        <v>BH Kỹ thuật</v>
      </c>
      <c r="R616" t="str">
        <f>VLOOKUP(Q616,Sheet3!$L$11:$M$21,2,FALSE)</f>
        <v>HQ2</v>
      </c>
      <c r="S616" s="26">
        <f>SUMIFS('HQ2'!$O:$O,'HQ2'!$B:$B, "="&amp;'Tong_hop_HQNV_2026Q1_2026-06-23'!Q616, 'HQ2'!$A:$A,"="&amp;'Tong_hop_HQNV_2026Q1_2026-06-23'!P616)</f>
        <v>0</v>
      </c>
      <c r="T616" s="7">
        <f t="shared" si="9"/>
        <v>0</v>
      </c>
    </row>
    <row r="617" spans="1:20" x14ac:dyDescent="0.25">
      <c r="A617" t="s">
        <v>35</v>
      </c>
      <c r="B617" s="9" t="s">
        <v>361</v>
      </c>
      <c r="C617">
        <v>0</v>
      </c>
      <c r="D617">
        <v>0</v>
      </c>
      <c r="E617">
        <v>0</v>
      </c>
      <c r="F617">
        <v>205208267</v>
      </c>
      <c r="G617">
        <v>0</v>
      </c>
      <c r="H617">
        <v>0</v>
      </c>
      <c r="I617">
        <v>0</v>
      </c>
      <c r="J617">
        <v>0</v>
      </c>
      <c r="K617">
        <v>205208267</v>
      </c>
      <c r="L617">
        <v>0</v>
      </c>
      <c r="M617" t="s">
        <v>36</v>
      </c>
      <c r="N617" t="s">
        <v>31</v>
      </c>
      <c r="O617" t="s">
        <v>20</v>
      </c>
      <c r="P617" t="str">
        <f>VLOOKUP(B617,'CHECK_DT-BT_chi_tiet'!$A:$C,3,FALSE)</f>
        <v>BV Vĩnh Phúc</v>
      </c>
      <c r="Q617" t="str">
        <f>VLOOKUP(A617,Sheet3!$K$11:$L$21,2,FALSE)</f>
        <v>BH Kỹ thuật</v>
      </c>
      <c r="R617" t="str">
        <f>VLOOKUP(Q617,Sheet3!$L$11:$M$21,2,FALSE)</f>
        <v>HQ2</v>
      </c>
      <c r="S617" s="26">
        <f>SUMIFS('HQ2'!$O:$O,'HQ2'!$B:$B, "="&amp;'Tong_hop_HQNV_2026Q1_2026-06-23'!Q617, 'HQ2'!$A:$A,"="&amp;'Tong_hop_HQNV_2026Q1_2026-06-23'!P617)</f>
        <v>0</v>
      </c>
      <c r="T617" s="7">
        <f t="shared" si="9"/>
        <v>0</v>
      </c>
    </row>
    <row r="618" spans="1:20" x14ac:dyDescent="0.25">
      <c r="A618" t="s">
        <v>35</v>
      </c>
      <c r="B618" s="9" t="s">
        <v>362</v>
      </c>
      <c r="C618">
        <v>0</v>
      </c>
      <c r="D618">
        <v>0</v>
      </c>
      <c r="E618">
        <v>0</v>
      </c>
      <c r="F618">
        <v>20838182</v>
      </c>
      <c r="G618" s="92">
        <v>90000000</v>
      </c>
      <c r="H618">
        <v>0</v>
      </c>
      <c r="I618">
        <v>0</v>
      </c>
      <c r="J618">
        <v>0</v>
      </c>
      <c r="K618">
        <v>20838182</v>
      </c>
      <c r="L618">
        <v>0</v>
      </c>
      <c r="M618" t="s">
        <v>36</v>
      </c>
      <c r="N618" t="s">
        <v>31</v>
      </c>
      <c r="O618" t="s">
        <v>20</v>
      </c>
      <c r="P618" t="str">
        <f>VLOOKUP(B618,'CHECK_DT-BT_chi_tiet'!$A:$C,3,FALSE)</f>
        <v>BV Yên Bái</v>
      </c>
      <c r="Q618" t="str">
        <f>VLOOKUP(A618,Sheet3!$K$11:$L$21,2,FALSE)</f>
        <v>BH Kỹ thuật</v>
      </c>
      <c r="R618" t="str">
        <f>VLOOKUP(Q618,Sheet3!$L$11:$M$21,2,FALSE)</f>
        <v>HQ2</v>
      </c>
      <c r="S618" s="26">
        <f>SUMIFS('HQ2'!$O:$O,'HQ2'!$B:$B, "="&amp;'Tong_hop_HQNV_2026Q1_2026-06-23'!Q618, 'HQ2'!$A:$A,"="&amp;'Tong_hop_HQNV_2026Q1_2026-06-23'!P618)</f>
        <v>90000000</v>
      </c>
      <c r="T618" s="7">
        <f t="shared" si="9"/>
        <v>0</v>
      </c>
    </row>
    <row r="619" spans="1:20" x14ac:dyDescent="0.25">
      <c r="A619" t="s">
        <v>35</v>
      </c>
      <c r="B619" s="9" t="s">
        <v>331</v>
      </c>
      <c r="C619">
        <v>0</v>
      </c>
      <c r="D619">
        <v>0</v>
      </c>
      <c r="E619">
        <v>0</v>
      </c>
      <c r="F619">
        <v>899409691</v>
      </c>
      <c r="G619" s="92">
        <v>80000000</v>
      </c>
      <c r="H619" s="92">
        <v>80000000</v>
      </c>
      <c r="I619">
        <v>0</v>
      </c>
      <c r="J619">
        <v>0</v>
      </c>
      <c r="K619">
        <v>899409691</v>
      </c>
      <c r="L619">
        <v>0</v>
      </c>
      <c r="M619" t="s">
        <v>36</v>
      </c>
      <c r="N619" t="s">
        <v>31</v>
      </c>
      <c r="O619" t="s">
        <v>20</v>
      </c>
      <c r="P619" t="str">
        <f>VLOOKUP(B619,'CHECK_DT-BT_chi_tiet'!$A:$C,3,FALSE)</f>
        <v>BV Nam Bình Dương</v>
      </c>
      <c r="Q619" t="str">
        <f>VLOOKUP(A619,Sheet3!$K$11:$L$21,2,FALSE)</f>
        <v>BH Kỹ thuật</v>
      </c>
      <c r="R619" t="str">
        <f>VLOOKUP(Q619,Sheet3!$L$11:$M$21,2,FALSE)</f>
        <v>HQ2</v>
      </c>
      <c r="S619" s="26">
        <f>SUMIFS('HQ2'!$O:$O,'HQ2'!$B:$B, "="&amp;'Tong_hop_HQNV_2026Q1_2026-06-23'!Q619, 'HQ2'!$A:$A,"="&amp;'Tong_hop_HQNV_2026Q1_2026-06-23'!P619)</f>
        <v>80000000</v>
      </c>
      <c r="T619" s="7">
        <f t="shared" si="9"/>
        <v>0</v>
      </c>
    </row>
    <row r="620" spans="1:20" x14ac:dyDescent="0.25">
      <c r="A620" t="s">
        <v>35</v>
      </c>
      <c r="B620" s="9" t="s">
        <v>309</v>
      </c>
      <c r="C620">
        <v>0</v>
      </c>
      <c r="D620">
        <v>0</v>
      </c>
      <c r="E620">
        <v>0</v>
      </c>
      <c r="F620">
        <v>2151474398</v>
      </c>
      <c r="G620" s="92">
        <v>4500000000</v>
      </c>
      <c r="H620">
        <v>0</v>
      </c>
      <c r="I620">
        <v>0</v>
      </c>
      <c r="J620">
        <v>0</v>
      </c>
      <c r="K620">
        <v>2151474398</v>
      </c>
      <c r="L620">
        <v>0</v>
      </c>
      <c r="M620" t="s">
        <v>36</v>
      </c>
      <c r="N620" t="s">
        <v>31</v>
      </c>
      <c r="O620" t="s">
        <v>20</v>
      </c>
      <c r="P620" t="str">
        <f>VLOOKUP(B620,'CHECK_DT-BT_chi_tiet'!$A:$C,3,FALSE)</f>
        <v>BV Gia Định</v>
      </c>
      <c r="Q620" t="str">
        <f>VLOOKUP(A620,Sheet3!$K$11:$L$21,2,FALSE)</f>
        <v>BH Kỹ thuật</v>
      </c>
      <c r="R620" t="str">
        <f>VLOOKUP(Q620,Sheet3!$L$11:$M$21,2,FALSE)</f>
        <v>HQ2</v>
      </c>
      <c r="S620" s="26">
        <f>SUMIFS('HQ2'!$O:$O,'HQ2'!$B:$B, "="&amp;'Tong_hop_HQNV_2026Q1_2026-06-23'!Q620, 'HQ2'!$A:$A,"="&amp;'Tong_hop_HQNV_2026Q1_2026-06-23'!P620)</f>
        <v>4500000000</v>
      </c>
      <c r="T620" s="7">
        <f t="shared" si="9"/>
        <v>0</v>
      </c>
    </row>
    <row r="621" spans="1:20" x14ac:dyDescent="0.25">
      <c r="A621" t="s">
        <v>35</v>
      </c>
      <c r="B621" s="9" t="s">
        <v>318</v>
      </c>
      <c r="C621">
        <v>0</v>
      </c>
      <c r="D621">
        <v>0</v>
      </c>
      <c r="E621">
        <v>0</v>
      </c>
      <c r="F621">
        <v>82398181</v>
      </c>
      <c r="G621">
        <v>38203188.899999999</v>
      </c>
      <c r="H621">
        <v>0</v>
      </c>
      <c r="I621">
        <v>0</v>
      </c>
      <c r="J621">
        <v>0</v>
      </c>
      <c r="K621">
        <v>82398181</v>
      </c>
      <c r="L621">
        <v>0</v>
      </c>
      <c r="M621" t="s">
        <v>36</v>
      </c>
      <c r="N621" t="s">
        <v>31</v>
      </c>
      <c r="O621" t="s">
        <v>20</v>
      </c>
      <c r="P621" t="str">
        <f>VLOOKUP(B621,'CHECK_DT-BT_chi_tiet'!$A:$C,3,FALSE)</f>
        <v>BV Hậu Giang</v>
      </c>
      <c r="Q621" t="str">
        <f>VLOOKUP(A621,Sheet3!$K$11:$L$21,2,FALSE)</f>
        <v>BH Kỹ thuật</v>
      </c>
      <c r="R621" t="str">
        <f>VLOOKUP(Q621,Sheet3!$L$11:$M$21,2,FALSE)</f>
        <v>HQ2</v>
      </c>
      <c r="S621" s="26">
        <f>SUMIFS('HQ2'!$O:$O,'HQ2'!$B:$B, "="&amp;'Tong_hop_HQNV_2026Q1_2026-06-23'!Q621, 'HQ2'!$A:$A,"="&amp;'Tong_hop_HQNV_2026Q1_2026-06-23'!P621)</f>
        <v>38203188.899999999</v>
      </c>
      <c r="T621" s="7">
        <f t="shared" si="9"/>
        <v>0</v>
      </c>
    </row>
    <row r="622" spans="1:20" x14ac:dyDescent="0.25">
      <c r="A622" t="s">
        <v>35</v>
      </c>
      <c r="B622" s="9" t="s">
        <v>302</v>
      </c>
      <c r="C622">
        <v>0</v>
      </c>
      <c r="D622">
        <v>0</v>
      </c>
      <c r="E622">
        <v>0</v>
      </c>
      <c r="F622">
        <v>516759637</v>
      </c>
      <c r="G622" s="92">
        <v>7785000000</v>
      </c>
      <c r="H622">
        <v>0</v>
      </c>
      <c r="I622">
        <v>0</v>
      </c>
      <c r="J622">
        <v>0</v>
      </c>
      <c r="K622">
        <v>516759637</v>
      </c>
      <c r="L622">
        <v>0</v>
      </c>
      <c r="M622" t="s">
        <v>36</v>
      </c>
      <c r="N622" t="s">
        <v>31</v>
      </c>
      <c r="O622" t="s">
        <v>20</v>
      </c>
      <c r="P622" t="str">
        <f>VLOOKUP(B622,'CHECK_DT-BT_chi_tiet'!$A:$C,3,FALSE)</f>
        <v>BV Dak Nong</v>
      </c>
      <c r="Q622" t="str">
        <f>VLOOKUP(A622,Sheet3!$K$11:$L$21,2,FALSE)</f>
        <v>BH Kỹ thuật</v>
      </c>
      <c r="R622" t="str">
        <f>VLOOKUP(Q622,Sheet3!$L$11:$M$21,2,FALSE)</f>
        <v>HQ2</v>
      </c>
      <c r="S622" s="26">
        <f>SUMIFS('HQ2'!$O:$O,'HQ2'!$B:$B, "="&amp;'Tong_hop_HQNV_2026Q1_2026-06-23'!Q622, 'HQ2'!$A:$A,"="&amp;'Tong_hop_HQNV_2026Q1_2026-06-23'!P622)</f>
        <v>7785000000</v>
      </c>
      <c r="T622" s="7">
        <f t="shared" si="9"/>
        <v>0</v>
      </c>
    </row>
    <row r="623" spans="1:20" x14ac:dyDescent="0.25">
      <c r="A623" t="s">
        <v>35</v>
      </c>
      <c r="B623" s="9" t="s">
        <v>337</v>
      </c>
      <c r="C623">
        <v>0</v>
      </c>
      <c r="D623">
        <v>0</v>
      </c>
      <c r="E623">
        <v>0</v>
      </c>
      <c r="F623">
        <v>1543725740</v>
      </c>
      <c r="G623">
        <v>0</v>
      </c>
      <c r="H623">
        <v>0</v>
      </c>
      <c r="I623">
        <v>0</v>
      </c>
      <c r="J623">
        <v>0</v>
      </c>
      <c r="K623">
        <v>1543725740</v>
      </c>
      <c r="L623">
        <v>0</v>
      </c>
      <c r="M623" t="s">
        <v>36</v>
      </c>
      <c r="N623" t="s">
        <v>31</v>
      </c>
      <c r="O623" t="s">
        <v>20</v>
      </c>
      <c r="P623" t="str">
        <f>VLOOKUP(B623,'CHECK_DT-BT_chi_tiet'!$A:$C,3,FALSE)</f>
        <v>BV Phú Quốc</v>
      </c>
      <c r="Q623" t="str">
        <f>VLOOKUP(A623,Sheet3!$K$11:$L$21,2,FALSE)</f>
        <v>BH Kỹ thuật</v>
      </c>
      <c r="R623" t="str">
        <f>VLOOKUP(Q623,Sheet3!$L$11:$M$21,2,FALSE)</f>
        <v>HQ2</v>
      </c>
      <c r="S623" s="26">
        <f>SUMIFS('HQ2'!$O:$O,'HQ2'!$B:$B, "="&amp;'Tong_hop_HQNV_2026Q1_2026-06-23'!Q623, 'HQ2'!$A:$A,"="&amp;'Tong_hop_HQNV_2026Q1_2026-06-23'!P623)</f>
        <v>0</v>
      </c>
      <c r="T623" s="7">
        <f t="shared" si="9"/>
        <v>0</v>
      </c>
    </row>
    <row r="624" spans="1:20" x14ac:dyDescent="0.25">
      <c r="A624" t="s">
        <v>35</v>
      </c>
      <c r="B624" s="9" t="s">
        <v>348</v>
      </c>
      <c r="C624">
        <v>0</v>
      </c>
      <c r="D624">
        <v>0</v>
      </c>
      <c r="E624">
        <v>0</v>
      </c>
      <c r="F624">
        <v>2849648861</v>
      </c>
      <c r="G624">
        <v>1466112618</v>
      </c>
      <c r="H624">
        <v>0</v>
      </c>
      <c r="I624">
        <v>0</v>
      </c>
      <c r="J624">
        <v>0</v>
      </c>
      <c r="K624">
        <v>2849648861</v>
      </c>
      <c r="L624">
        <v>0</v>
      </c>
      <c r="M624" t="s">
        <v>36</v>
      </c>
      <c r="N624" t="s">
        <v>31</v>
      </c>
      <c r="O624" t="s">
        <v>20</v>
      </c>
      <c r="P624" t="str">
        <f>VLOOKUP(B624,'CHECK_DT-BT_chi_tiet'!$A:$C,3,FALSE)</f>
        <v>BV Sơn Tây</v>
      </c>
      <c r="Q624" t="str">
        <f>VLOOKUP(A624,Sheet3!$K$11:$L$21,2,FALSE)</f>
        <v>BH Kỹ thuật</v>
      </c>
      <c r="R624" t="str">
        <f>VLOOKUP(Q624,Sheet3!$L$11:$M$21,2,FALSE)</f>
        <v>HQ2</v>
      </c>
      <c r="S624" s="26">
        <f>SUMIFS('HQ2'!$O:$O,'HQ2'!$B:$B, "="&amp;'Tong_hop_HQNV_2026Q1_2026-06-23'!Q624, 'HQ2'!$A:$A,"="&amp;'Tong_hop_HQNV_2026Q1_2026-06-23'!P624)</f>
        <v>1466112618</v>
      </c>
      <c r="T624" s="7">
        <f t="shared" si="9"/>
        <v>0</v>
      </c>
    </row>
    <row r="625" spans="1:20" x14ac:dyDescent="0.25">
      <c r="A625" t="s">
        <v>35</v>
      </c>
      <c r="B625" s="9" t="s">
        <v>330</v>
      </c>
      <c r="C625">
        <v>0</v>
      </c>
      <c r="D625">
        <v>0</v>
      </c>
      <c r="E625">
        <v>0</v>
      </c>
      <c r="F625">
        <v>520533836</v>
      </c>
      <c r="G625">
        <v>12272500000</v>
      </c>
      <c r="H625">
        <v>0</v>
      </c>
      <c r="I625">
        <v>38150073</v>
      </c>
      <c r="J625">
        <v>0</v>
      </c>
      <c r="K625">
        <v>520533836</v>
      </c>
      <c r="L625">
        <v>0</v>
      </c>
      <c r="M625" t="s">
        <v>36</v>
      </c>
      <c r="N625" t="s">
        <v>31</v>
      </c>
      <c r="O625" t="s">
        <v>20</v>
      </c>
      <c r="P625" t="str">
        <f>VLOOKUP(B625,'CHECK_DT-BT_chi_tiet'!$A:$C,3,FALSE)</f>
        <v>BV Mỹ Đình</v>
      </c>
      <c r="Q625" t="str">
        <f>VLOOKUP(A625,Sheet3!$K$11:$L$21,2,FALSE)</f>
        <v>BH Kỹ thuật</v>
      </c>
      <c r="R625" t="str">
        <f>VLOOKUP(Q625,Sheet3!$L$11:$M$21,2,FALSE)</f>
        <v>HQ2</v>
      </c>
      <c r="S625" s="26">
        <f>SUMIFS('HQ2'!$O:$O,'HQ2'!$B:$B, "="&amp;'Tong_hop_HQNV_2026Q1_2026-06-23'!Q625, 'HQ2'!$A:$A,"="&amp;'Tong_hop_HQNV_2026Q1_2026-06-23'!P625)</f>
        <v>12272500000</v>
      </c>
      <c r="T625" s="7">
        <f t="shared" si="9"/>
        <v>0</v>
      </c>
    </row>
    <row r="626" spans="1:20" x14ac:dyDescent="0.25">
      <c r="A626" t="s">
        <v>38</v>
      </c>
      <c r="B626" s="9" t="s">
        <v>295</v>
      </c>
      <c r="C626">
        <v>0</v>
      </c>
      <c r="D626">
        <v>0</v>
      </c>
      <c r="E626">
        <v>0</v>
      </c>
      <c r="F626">
        <v>93692960</v>
      </c>
      <c r="G626">
        <v>0</v>
      </c>
      <c r="H626">
        <v>0</v>
      </c>
      <c r="I626">
        <v>0</v>
      </c>
      <c r="J626">
        <v>0</v>
      </c>
      <c r="K626">
        <v>93692960</v>
      </c>
      <c r="L626">
        <v>0</v>
      </c>
      <c r="M626" t="s">
        <v>36</v>
      </c>
      <c r="N626" t="s">
        <v>39</v>
      </c>
      <c r="O626" t="s">
        <v>20</v>
      </c>
      <c r="P626" t="str">
        <f>VLOOKUP(B626,'CHECK_DT-BT_chi_tiet'!$A:$C,3,FALSE)</f>
        <v>BV Bình Phước</v>
      </c>
      <c r="Q626" t="e">
        <f>VLOOKUP(A626,Sheet3!$K$11:$L$21,2,FALSE)</f>
        <v>#N/A</v>
      </c>
      <c r="R626" t="e">
        <f>VLOOKUP(Q626,Sheet3!$L$11:$M$21,2,FALSE)</f>
        <v>#N/A</v>
      </c>
      <c r="S626" s="26">
        <f>SUMIFS('HQ2'!$O:$O,'HQ2'!$B:$B, "="&amp;'Tong_hop_HQNV_2026Q1_2026-06-23'!Q626, 'HQ2'!$A:$A,"="&amp;'Tong_hop_HQNV_2026Q1_2026-06-23'!P626)</f>
        <v>0</v>
      </c>
      <c r="T626" s="7">
        <f t="shared" si="9"/>
        <v>0</v>
      </c>
    </row>
    <row r="627" spans="1:20" x14ac:dyDescent="0.25">
      <c r="A627" t="s">
        <v>38</v>
      </c>
      <c r="B627" s="9" t="s">
        <v>331</v>
      </c>
      <c r="C627">
        <v>0</v>
      </c>
      <c r="D627">
        <v>0</v>
      </c>
      <c r="E627">
        <v>0</v>
      </c>
      <c r="F627">
        <v>1075300380</v>
      </c>
      <c r="G627">
        <v>0</v>
      </c>
      <c r="H627">
        <v>0</v>
      </c>
      <c r="I627">
        <v>0</v>
      </c>
      <c r="J627">
        <v>0</v>
      </c>
      <c r="K627">
        <v>1075300380</v>
      </c>
      <c r="L627">
        <v>0</v>
      </c>
      <c r="M627" t="s">
        <v>36</v>
      </c>
      <c r="N627" t="s">
        <v>39</v>
      </c>
      <c r="O627" t="s">
        <v>20</v>
      </c>
      <c r="P627" t="str">
        <f>VLOOKUP(B627,'CHECK_DT-BT_chi_tiet'!$A:$C,3,FALSE)</f>
        <v>BV Nam Bình Dương</v>
      </c>
      <c r="Q627" t="e">
        <f>VLOOKUP(A627,Sheet3!$K$11:$L$21,2,FALSE)</f>
        <v>#N/A</v>
      </c>
      <c r="R627" t="e">
        <f>VLOOKUP(Q627,Sheet3!$L$11:$M$21,2,FALSE)</f>
        <v>#N/A</v>
      </c>
      <c r="S627" s="26">
        <f>SUMIFS('HQ2'!$O:$O,'HQ2'!$B:$B, "="&amp;'Tong_hop_HQNV_2026Q1_2026-06-23'!Q627, 'HQ2'!$A:$A,"="&amp;'Tong_hop_HQNV_2026Q1_2026-06-23'!P627)</f>
        <v>0</v>
      </c>
      <c r="T627" s="7">
        <f t="shared" si="9"/>
        <v>0</v>
      </c>
    </row>
    <row r="628" spans="1:20" x14ac:dyDescent="0.25">
      <c r="A628" t="s">
        <v>23</v>
      </c>
      <c r="B628" s="9" t="s">
        <v>366</v>
      </c>
      <c r="C628">
        <v>0</v>
      </c>
      <c r="D628">
        <v>0</v>
      </c>
      <c r="E628">
        <v>0</v>
      </c>
      <c r="F628">
        <v>4088828297</v>
      </c>
      <c r="G628">
        <v>0</v>
      </c>
      <c r="H628">
        <v>0</v>
      </c>
      <c r="I628">
        <v>0</v>
      </c>
      <c r="J628">
        <v>0</v>
      </c>
      <c r="K628">
        <v>4088828297</v>
      </c>
      <c r="L628">
        <v>0</v>
      </c>
      <c r="M628" t="s">
        <v>15</v>
      </c>
      <c r="N628" t="s">
        <v>24</v>
      </c>
      <c r="O628" t="s">
        <v>15</v>
      </c>
      <c r="P628" t="e">
        <f>VLOOKUP(B628,'CHECK_DT-BT_chi_tiet'!$A:$C,3,FALSE)</f>
        <v>#N/A</v>
      </c>
      <c r="Q628" t="str">
        <f>VLOOKUP(A628,Sheet3!$K$11:$L$21,2,FALSE)</f>
        <v>P&amp;I</v>
      </c>
      <c r="R628" t="str">
        <f>VLOOKUP(Q628,Sheet3!$L$11:$M$21,2,FALSE)</f>
        <v>HQ2</v>
      </c>
      <c r="S628" s="26">
        <f>SUMIFS('HQ2'!$O:$O,'HQ2'!$B:$B, "="&amp;'Tong_hop_HQNV_2026Q1_2026-06-23'!Q628, 'HQ2'!$A:$A,"="&amp;'Tong_hop_HQNV_2026Q1_2026-06-23'!P628)</f>
        <v>0</v>
      </c>
      <c r="T628" s="7">
        <f t="shared" si="9"/>
        <v>0</v>
      </c>
    </row>
    <row r="629" spans="1:20" x14ac:dyDescent="0.25">
      <c r="A629" t="s">
        <v>23</v>
      </c>
      <c r="B629" s="9" t="s">
        <v>352</v>
      </c>
      <c r="C629">
        <v>0</v>
      </c>
      <c r="D629">
        <v>0</v>
      </c>
      <c r="E629">
        <v>0</v>
      </c>
      <c r="F629">
        <v>1233192344</v>
      </c>
      <c r="G629">
        <v>0</v>
      </c>
      <c r="H629">
        <v>0</v>
      </c>
      <c r="I629">
        <v>0</v>
      </c>
      <c r="J629">
        <v>0</v>
      </c>
      <c r="K629">
        <v>1233192344</v>
      </c>
      <c r="L629">
        <v>0</v>
      </c>
      <c r="M629" t="s">
        <v>15</v>
      </c>
      <c r="N629" t="s">
        <v>24</v>
      </c>
      <c r="O629" t="s">
        <v>15</v>
      </c>
      <c r="P629" t="str">
        <f>VLOOKUP(B629,'CHECK_DT-BT_chi_tiet'!$A:$C,3,FALSE)</f>
        <v>BV Thăng Long</v>
      </c>
      <c r="Q629" t="str">
        <f>VLOOKUP(A629,Sheet3!$K$11:$L$21,2,FALSE)</f>
        <v>P&amp;I</v>
      </c>
      <c r="R629" t="str">
        <f>VLOOKUP(Q629,Sheet3!$L$11:$M$21,2,FALSE)</f>
        <v>HQ2</v>
      </c>
      <c r="S629" s="26">
        <f>SUMIFS('HQ2'!$O:$O,'HQ2'!$B:$B, "="&amp;'Tong_hop_HQNV_2026Q1_2026-06-23'!Q629, 'HQ2'!$A:$A,"="&amp;'Tong_hop_HQNV_2026Q1_2026-06-23'!P629)</f>
        <v>0</v>
      </c>
      <c r="T629" s="7">
        <f t="shared" si="9"/>
        <v>0</v>
      </c>
    </row>
    <row r="630" spans="1:20" x14ac:dyDescent="0.25">
      <c r="A630" t="s">
        <v>23</v>
      </c>
      <c r="B630" s="9" t="s">
        <v>358</v>
      </c>
      <c r="C630">
        <v>0</v>
      </c>
      <c r="D630">
        <v>0</v>
      </c>
      <c r="E630">
        <v>0</v>
      </c>
      <c r="F630">
        <v>441818184</v>
      </c>
      <c r="G630">
        <v>0</v>
      </c>
      <c r="H630">
        <v>0</v>
      </c>
      <c r="I630">
        <v>0</v>
      </c>
      <c r="J630">
        <v>0</v>
      </c>
      <c r="K630">
        <v>441818184</v>
      </c>
      <c r="L630">
        <v>0</v>
      </c>
      <c r="M630" t="s">
        <v>15</v>
      </c>
      <c r="N630" t="s">
        <v>24</v>
      </c>
      <c r="O630" t="s">
        <v>15</v>
      </c>
      <c r="P630" t="str">
        <f>VLOOKUP(B630,'CHECK_DT-BT_chi_tiet'!$A:$C,3,FALSE)</f>
        <v>BV Tràng An</v>
      </c>
      <c r="Q630" t="str">
        <f>VLOOKUP(A630,Sheet3!$K$11:$L$21,2,FALSE)</f>
        <v>P&amp;I</v>
      </c>
      <c r="R630" t="str">
        <f>VLOOKUP(Q630,Sheet3!$L$11:$M$21,2,FALSE)</f>
        <v>HQ2</v>
      </c>
      <c r="S630" s="26">
        <f>SUMIFS('HQ2'!$O:$O,'HQ2'!$B:$B, "="&amp;'Tong_hop_HQNV_2026Q1_2026-06-23'!Q630, 'HQ2'!$A:$A,"="&amp;'Tong_hop_HQNV_2026Q1_2026-06-23'!P630)</f>
        <v>0</v>
      </c>
      <c r="T630" s="7">
        <f t="shared" si="9"/>
        <v>0</v>
      </c>
    </row>
    <row r="631" spans="1:20" x14ac:dyDescent="0.25">
      <c r="A631" t="s">
        <v>23</v>
      </c>
      <c r="B631" s="9" t="s">
        <v>286</v>
      </c>
      <c r="C631">
        <v>0</v>
      </c>
      <c r="D631">
        <v>0</v>
      </c>
      <c r="E631">
        <v>0</v>
      </c>
      <c r="F631">
        <v>2115945560</v>
      </c>
      <c r="G631">
        <v>0</v>
      </c>
      <c r="H631">
        <v>0</v>
      </c>
      <c r="I631">
        <v>0</v>
      </c>
      <c r="J631">
        <v>0</v>
      </c>
      <c r="K631">
        <v>2115945560</v>
      </c>
      <c r="L631">
        <v>0</v>
      </c>
      <c r="M631" t="s">
        <v>15</v>
      </c>
      <c r="N631" t="s">
        <v>24</v>
      </c>
      <c r="O631" t="s">
        <v>15</v>
      </c>
      <c r="P631" t="str">
        <f>VLOOKUP(B631,'CHECK_DT-BT_chi_tiet'!$A:$C,3,FALSE)</f>
        <v>BV Bà Rịa - Vũng Tàu</v>
      </c>
      <c r="Q631" t="str">
        <f>VLOOKUP(A631,Sheet3!$K$11:$L$21,2,FALSE)</f>
        <v>P&amp;I</v>
      </c>
      <c r="R631" t="str">
        <f>VLOOKUP(Q631,Sheet3!$L$11:$M$21,2,FALSE)</f>
        <v>HQ2</v>
      </c>
      <c r="S631" s="26">
        <f>SUMIFS('HQ2'!$O:$O,'HQ2'!$B:$B, "="&amp;'Tong_hop_HQNV_2026Q1_2026-06-23'!Q631, 'HQ2'!$A:$A,"="&amp;'Tong_hop_HQNV_2026Q1_2026-06-23'!P631)</f>
        <v>0</v>
      </c>
      <c r="T631" s="7">
        <f t="shared" si="9"/>
        <v>0</v>
      </c>
    </row>
    <row r="632" spans="1:20" x14ac:dyDescent="0.25">
      <c r="A632" t="s">
        <v>23</v>
      </c>
      <c r="B632" s="9" t="s">
        <v>300</v>
      </c>
      <c r="C632">
        <v>0</v>
      </c>
      <c r="D632">
        <v>0</v>
      </c>
      <c r="E632">
        <v>0</v>
      </c>
      <c r="F632">
        <v>113806331</v>
      </c>
      <c r="G632">
        <v>0</v>
      </c>
      <c r="H632">
        <v>0</v>
      </c>
      <c r="I632">
        <v>0</v>
      </c>
      <c r="J632">
        <v>0</v>
      </c>
      <c r="K632">
        <v>113806331</v>
      </c>
      <c r="L632">
        <v>0</v>
      </c>
      <c r="M632" t="s">
        <v>15</v>
      </c>
      <c r="N632" t="s">
        <v>24</v>
      </c>
      <c r="O632" t="s">
        <v>15</v>
      </c>
      <c r="P632" t="str">
        <f>VLOOKUP(B632,'CHECK_DT-BT_chi_tiet'!$A:$C,3,FALSE)</f>
        <v>BV Đà Nẵng</v>
      </c>
      <c r="Q632" t="str">
        <f>VLOOKUP(A632,Sheet3!$K$11:$L$21,2,FALSE)</f>
        <v>P&amp;I</v>
      </c>
      <c r="R632" t="str">
        <f>VLOOKUP(Q632,Sheet3!$L$11:$M$21,2,FALSE)</f>
        <v>HQ2</v>
      </c>
      <c r="S632" s="26">
        <f>SUMIFS('HQ2'!$O:$O,'HQ2'!$B:$B, "="&amp;'Tong_hop_HQNV_2026Q1_2026-06-23'!Q632, 'HQ2'!$A:$A,"="&amp;'Tong_hop_HQNV_2026Q1_2026-06-23'!P632)</f>
        <v>0</v>
      </c>
      <c r="T632" s="7">
        <f t="shared" si="9"/>
        <v>0</v>
      </c>
    </row>
    <row r="633" spans="1:20" x14ac:dyDescent="0.25">
      <c r="A633" t="s">
        <v>23</v>
      </c>
      <c r="B633" s="9" t="s">
        <v>313</v>
      </c>
      <c r="C633">
        <v>0</v>
      </c>
      <c r="D633">
        <v>0</v>
      </c>
      <c r="E633">
        <v>0</v>
      </c>
      <c r="F633">
        <v>681611013</v>
      </c>
      <c r="G633">
        <v>0</v>
      </c>
      <c r="H633">
        <v>0</v>
      </c>
      <c r="I633">
        <v>0</v>
      </c>
      <c r="J633">
        <v>0</v>
      </c>
      <c r="K633">
        <v>681611013</v>
      </c>
      <c r="L633">
        <v>0</v>
      </c>
      <c r="M633" t="s">
        <v>15</v>
      </c>
      <c r="N633" t="s">
        <v>24</v>
      </c>
      <c r="O633" t="s">
        <v>15</v>
      </c>
      <c r="P633" t="str">
        <f>VLOOKUP(B633,'CHECK_DT-BT_chi_tiet'!$A:$C,3,FALSE)</f>
        <v>BV Hà Nội</v>
      </c>
      <c r="Q633" t="str">
        <f>VLOOKUP(A633,Sheet3!$K$11:$L$21,2,FALSE)</f>
        <v>P&amp;I</v>
      </c>
      <c r="R633" t="str">
        <f>VLOOKUP(Q633,Sheet3!$L$11:$M$21,2,FALSE)</f>
        <v>HQ2</v>
      </c>
      <c r="S633" s="26">
        <f>SUMIFS('HQ2'!$O:$O,'HQ2'!$B:$B, "="&amp;'Tong_hop_HQNV_2026Q1_2026-06-23'!Q633, 'HQ2'!$A:$A,"="&amp;'Tong_hop_HQNV_2026Q1_2026-06-23'!P633)</f>
        <v>0</v>
      </c>
      <c r="T633" s="7">
        <f t="shared" si="9"/>
        <v>0</v>
      </c>
    </row>
    <row r="634" spans="1:20" x14ac:dyDescent="0.25">
      <c r="A634" t="s">
        <v>23</v>
      </c>
      <c r="B634" s="9" t="s">
        <v>325</v>
      </c>
      <c r="C634">
        <v>0</v>
      </c>
      <c r="D634">
        <v>0</v>
      </c>
      <c r="E634">
        <v>0</v>
      </c>
      <c r="F634">
        <v>160055774</v>
      </c>
      <c r="G634">
        <v>0</v>
      </c>
      <c r="H634">
        <v>0</v>
      </c>
      <c r="I634">
        <v>0</v>
      </c>
      <c r="J634">
        <v>0</v>
      </c>
      <c r="K634">
        <v>160055774</v>
      </c>
      <c r="L634">
        <v>0</v>
      </c>
      <c r="M634" t="s">
        <v>15</v>
      </c>
      <c r="N634" t="s">
        <v>24</v>
      </c>
      <c r="O634" t="s">
        <v>15</v>
      </c>
      <c r="P634" t="str">
        <f>VLOOKUP(B634,'CHECK_DT-BT_chi_tiet'!$A:$C,3,FALSE)</f>
        <v>BV Lâm Đồng</v>
      </c>
      <c r="Q634" t="str">
        <f>VLOOKUP(A634,Sheet3!$K$11:$L$21,2,FALSE)</f>
        <v>P&amp;I</v>
      </c>
      <c r="R634" t="str">
        <f>VLOOKUP(Q634,Sheet3!$L$11:$M$21,2,FALSE)</f>
        <v>HQ2</v>
      </c>
      <c r="S634" s="26">
        <f>SUMIFS('HQ2'!$O:$O,'HQ2'!$B:$B, "="&amp;'Tong_hop_HQNV_2026Q1_2026-06-23'!Q634, 'HQ2'!$A:$A,"="&amp;'Tong_hop_HQNV_2026Q1_2026-06-23'!P634)</f>
        <v>0</v>
      </c>
      <c r="T634" s="7">
        <f t="shared" si="9"/>
        <v>0</v>
      </c>
    </row>
    <row r="635" spans="1:20" x14ac:dyDescent="0.25">
      <c r="A635" t="s">
        <v>23</v>
      </c>
      <c r="B635" s="9" t="s">
        <v>338</v>
      </c>
      <c r="C635">
        <v>0</v>
      </c>
      <c r="D635">
        <v>0</v>
      </c>
      <c r="E635">
        <v>0</v>
      </c>
      <c r="F635">
        <v>1415561479</v>
      </c>
      <c r="G635">
        <v>0</v>
      </c>
      <c r="H635">
        <v>0</v>
      </c>
      <c r="I635">
        <v>0</v>
      </c>
      <c r="J635">
        <v>0</v>
      </c>
      <c r="K635">
        <v>1415561479</v>
      </c>
      <c r="L635">
        <v>0</v>
      </c>
      <c r="M635" t="s">
        <v>15</v>
      </c>
      <c r="N635" t="s">
        <v>24</v>
      </c>
      <c r="O635" t="s">
        <v>15</v>
      </c>
      <c r="P635" t="str">
        <f>VLOOKUP(B635,'CHECK_DT-BT_chi_tiet'!$A:$C,3,FALSE)</f>
        <v>BV Phú Thọ</v>
      </c>
      <c r="Q635" t="str">
        <f>VLOOKUP(A635,Sheet3!$K$11:$L$21,2,FALSE)</f>
        <v>P&amp;I</v>
      </c>
      <c r="R635" t="str">
        <f>VLOOKUP(Q635,Sheet3!$L$11:$M$21,2,FALSE)</f>
        <v>HQ2</v>
      </c>
      <c r="S635" s="26">
        <f>SUMIFS('HQ2'!$O:$O,'HQ2'!$B:$B, "="&amp;'Tong_hop_HQNV_2026Q1_2026-06-23'!Q635, 'HQ2'!$A:$A,"="&amp;'Tong_hop_HQNV_2026Q1_2026-06-23'!P635)</f>
        <v>0</v>
      </c>
      <c r="T635" s="7">
        <f t="shared" si="9"/>
        <v>0</v>
      </c>
    </row>
    <row r="636" spans="1:20" x14ac:dyDescent="0.25">
      <c r="A636" t="s">
        <v>23</v>
      </c>
      <c r="B636" s="9" t="s">
        <v>343</v>
      </c>
      <c r="C636">
        <v>0</v>
      </c>
      <c r="D636">
        <v>0</v>
      </c>
      <c r="E636">
        <v>0</v>
      </c>
      <c r="F636">
        <v>1787286227</v>
      </c>
      <c r="G636">
        <v>0</v>
      </c>
      <c r="H636">
        <v>0</v>
      </c>
      <c r="I636">
        <v>0</v>
      </c>
      <c r="J636">
        <v>0</v>
      </c>
      <c r="K636">
        <v>1787286227</v>
      </c>
      <c r="L636">
        <v>0</v>
      </c>
      <c r="M636" t="s">
        <v>15</v>
      </c>
      <c r="N636" t="s">
        <v>24</v>
      </c>
      <c r="O636" t="s">
        <v>15</v>
      </c>
      <c r="P636" t="str">
        <f>VLOOKUP(B636,'CHECK_DT-BT_chi_tiet'!$A:$C,3,FALSE)</f>
        <v>BV Quảng Ninh</v>
      </c>
      <c r="Q636" t="str">
        <f>VLOOKUP(A636,Sheet3!$K$11:$L$21,2,FALSE)</f>
        <v>P&amp;I</v>
      </c>
      <c r="R636" t="str">
        <f>VLOOKUP(Q636,Sheet3!$L$11:$M$21,2,FALSE)</f>
        <v>HQ2</v>
      </c>
      <c r="S636" s="26">
        <f>SUMIFS('HQ2'!$O:$O,'HQ2'!$B:$B, "="&amp;'Tong_hop_HQNV_2026Q1_2026-06-23'!Q636, 'HQ2'!$A:$A,"="&amp;'Tong_hop_HQNV_2026Q1_2026-06-23'!P636)</f>
        <v>0</v>
      </c>
      <c r="T636" s="7">
        <f t="shared" si="9"/>
        <v>0</v>
      </c>
    </row>
    <row r="637" spans="1:20" x14ac:dyDescent="0.25">
      <c r="A637" t="s">
        <v>23</v>
      </c>
      <c r="B637" s="9" t="s">
        <v>314</v>
      </c>
      <c r="C637">
        <v>0</v>
      </c>
      <c r="D637">
        <v>0</v>
      </c>
      <c r="E637">
        <v>0</v>
      </c>
      <c r="F637">
        <v>835112932</v>
      </c>
      <c r="G637">
        <v>0</v>
      </c>
      <c r="H637">
        <v>0</v>
      </c>
      <c r="I637">
        <v>0</v>
      </c>
      <c r="J637">
        <v>0</v>
      </c>
      <c r="K637">
        <v>835112932</v>
      </c>
      <c r="L637">
        <v>0</v>
      </c>
      <c r="M637" t="s">
        <v>15</v>
      </c>
      <c r="N637" t="s">
        <v>24</v>
      </c>
      <c r="O637" t="s">
        <v>15</v>
      </c>
      <c r="P637" t="str">
        <f>VLOOKUP(B637,'CHECK_DT-BT_chi_tiet'!$A:$C,3,FALSE)</f>
        <v>BV Hà Thành</v>
      </c>
      <c r="Q637" t="str">
        <f>VLOOKUP(A637,Sheet3!$K$11:$L$21,2,FALSE)</f>
        <v>P&amp;I</v>
      </c>
      <c r="R637" t="str">
        <f>VLOOKUP(Q637,Sheet3!$L$11:$M$21,2,FALSE)</f>
        <v>HQ2</v>
      </c>
      <c r="S637" s="26">
        <f>SUMIFS('HQ2'!$O:$O,'HQ2'!$B:$B, "="&amp;'Tong_hop_HQNV_2026Q1_2026-06-23'!Q637, 'HQ2'!$A:$A,"="&amp;'Tong_hop_HQNV_2026Q1_2026-06-23'!P637)</f>
        <v>0</v>
      </c>
      <c r="T637" s="7">
        <f t="shared" si="9"/>
        <v>0</v>
      </c>
    </row>
    <row r="638" spans="1:20" x14ac:dyDescent="0.25">
      <c r="A638" t="s">
        <v>23</v>
      </c>
      <c r="B638" s="9" t="s">
        <v>330</v>
      </c>
      <c r="C638">
        <v>0</v>
      </c>
      <c r="D638">
        <v>0</v>
      </c>
      <c r="E638">
        <v>0</v>
      </c>
      <c r="F638">
        <v>687264939</v>
      </c>
      <c r="G638">
        <v>341211000</v>
      </c>
      <c r="H638">
        <v>0</v>
      </c>
      <c r="I638">
        <v>5460394003.0185003</v>
      </c>
      <c r="J638">
        <v>0</v>
      </c>
      <c r="K638">
        <v>687264939</v>
      </c>
      <c r="L638">
        <v>0</v>
      </c>
      <c r="M638" t="s">
        <v>15</v>
      </c>
      <c r="N638" t="s">
        <v>24</v>
      </c>
      <c r="O638" t="s">
        <v>15</v>
      </c>
      <c r="P638" t="str">
        <f>VLOOKUP(B638,'CHECK_DT-BT_chi_tiet'!$A:$C,3,FALSE)</f>
        <v>BV Mỹ Đình</v>
      </c>
      <c r="Q638" t="str">
        <f>VLOOKUP(A638,Sheet3!$K$11:$L$21,2,FALSE)</f>
        <v>P&amp;I</v>
      </c>
      <c r="R638" t="str">
        <f>VLOOKUP(Q638,Sheet3!$L$11:$M$21,2,FALSE)</f>
        <v>HQ2</v>
      </c>
      <c r="S638" s="26">
        <f>SUMIFS('HQ2'!$O:$O,'HQ2'!$B:$B, "="&amp;'Tong_hop_HQNV_2026Q1_2026-06-23'!Q638, 'HQ2'!$A:$A,"="&amp;'Tong_hop_HQNV_2026Q1_2026-06-23'!P638)</f>
        <v>341211000</v>
      </c>
      <c r="T638" s="7">
        <f t="shared" si="9"/>
        <v>0</v>
      </c>
    </row>
    <row r="639" spans="1:20" x14ac:dyDescent="0.25">
      <c r="A639" t="s">
        <v>25</v>
      </c>
      <c r="B639" s="9" t="s">
        <v>223</v>
      </c>
      <c r="C639">
        <v>0</v>
      </c>
      <c r="D639">
        <v>0</v>
      </c>
      <c r="E639">
        <v>0</v>
      </c>
      <c r="F639">
        <v>219710920</v>
      </c>
      <c r="G639">
        <v>0</v>
      </c>
      <c r="H639">
        <v>0</v>
      </c>
      <c r="I639">
        <v>0</v>
      </c>
      <c r="J639">
        <v>0</v>
      </c>
      <c r="K639">
        <v>219710920</v>
      </c>
      <c r="L639">
        <v>0</v>
      </c>
      <c r="M639" t="s">
        <v>15</v>
      </c>
      <c r="N639" t="s">
        <v>26</v>
      </c>
      <c r="O639" t="s">
        <v>27</v>
      </c>
      <c r="P639" t="str">
        <f>VLOOKUP(B639,'CHECK_DT-BT_chi_tiet'!$A:$C,3,FALSE)</f>
        <v>TSC-Ban KDBH Hàng hóa</v>
      </c>
      <c r="Q639" t="str">
        <f>VLOOKUP(A639,Sheet3!$K$11:$L$21,2,FALSE)</f>
        <v>Hull (Thân tàu biển)</v>
      </c>
      <c r="R639" t="str">
        <f>VLOOKUP(Q639,Sheet3!$L$11:$M$21,2,FALSE)</f>
        <v>HQ2</v>
      </c>
      <c r="S639" s="26">
        <f>SUMIFS('HQ2'!$O:$O,'HQ2'!$B:$B, "="&amp;'Tong_hop_HQNV_2026Q1_2026-06-23'!Q639, 'HQ2'!$A:$A,"="&amp;'Tong_hop_HQNV_2026Q1_2026-06-23'!P639)</f>
        <v>0</v>
      </c>
      <c r="T639" s="7">
        <f t="shared" si="9"/>
        <v>0</v>
      </c>
    </row>
    <row r="640" spans="1:20" x14ac:dyDescent="0.25">
      <c r="A640" t="s">
        <v>25</v>
      </c>
      <c r="B640" s="9" t="s">
        <v>366</v>
      </c>
      <c r="C640">
        <v>0</v>
      </c>
      <c r="D640">
        <v>0</v>
      </c>
      <c r="E640">
        <v>0</v>
      </c>
      <c r="F640">
        <v>1560471252</v>
      </c>
      <c r="G640">
        <v>0</v>
      </c>
      <c r="H640">
        <v>0</v>
      </c>
      <c r="I640">
        <v>0</v>
      </c>
      <c r="J640">
        <v>0</v>
      </c>
      <c r="K640">
        <v>1560471252</v>
      </c>
      <c r="L640">
        <v>0</v>
      </c>
      <c r="M640" t="s">
        <v>15</v>
      </c>
      <c r="N640" t="s">
        <v>26</v>
      </c>
      <c r="O640" t="s">
        <v>27</v>
      </c>
      <c r="P640" t="e">
        <f>VLOOKUP(B640,'CHECK_DT-BT_chi_tiet'!$A:$C,3,FALSE)</f>
        <v>#N/A</v>
      </c>
      <c r="Q640" t="str">
        <f>VLOOKUP(A640,Sheet3!$K$11:$L$21,2,FALSE)</f>
        <v>Hull (Thân tàu biển)</v>
      </c>
      <c r="R640" t="str">
        <f>VLOOKUP(Q640,Sheet3!$L$11:$M$21,2,FALSE)</f>
        <v>HQ2</v>
      </c>
      <c r="S640" s="26">
        <f>SUMIFS('HQ2'!$O:$O,'HQ2'!$B:$B, "="&amp;'Tong_hop_HQNV_2026Q1_2026-06-23'!Q640, 'HQ2'!$A:$A,"="&amp;'Tong_hop_HQNV_2026Q1_2026-06-23'!P640)</f>
        <v>0</v>
      </c>
      <c r="T640" s="7">
        <f t="shared" si="9"/>
        <v>0</v>
      </c>
    </row>
    <row r="641" spans="1:20" x14ac:dyDescent="0.25">
      <c r="A641" t="s">
        <v>25</v>
      </c>
      <c r="B641" s="9" t="s">
        <v>352</v>
      </c>
      <c r="C641">
        <v>0</v>
      </c>
      <c r="D641">
        <v>0</v>
      </c>
      <c r="E641">
        <v>0</v>
      </c>
      <c r="F641">
        <v>1086762102</v>
      </c>
      <c r="G641">
        <v>0</v>
      </c>
      <c r="H641">
        <v>0</v>
      </c>
      <c r="I641">
        <v>0</v>
      </c>
      <c r="J641">
        <v>0</v>
      </c>
      <c r="K641">
        <v>1086762102</v>
      </c>
      <c r="L641">
        <v>0</v>
      </c>
      <c r="M641" t="s">
        <v>15</v>
      </c>
      <c r="N641" t="s">
        <v>26</v>
      </c>
      <c r="O641" t="s">
        <v>27</v>
      </c>
      <c r="P641" t="str">
        <f>VLOOKUP(B641,'CHECK_DT-BT_chi_tiet'!$A:$C,3,FALSE)</f>
        <v>BV Thăng Long</v>
      </c>
      <c r="Q641" t="str">
        <f>VLOOKUP(A641,Sheet3!$K$11:$L$21,2,FALSE)</f>
        <v>Hull (Thân tàu biển)</v>
      </c>
      <c r="R641" t="str">
        <f>VLOOKUP(Q641,Sheet3!$L$11:$M$21,2,FALSE)</f>
        <v>HQ2</v>
      </c>
      <c r="S641" s="26">
        <f>SUMIFS('HQ2'!$O:$O,'HQ2'!$B:$B, "="&amp;'Tong_hop_HQNV_2026Q1_2026-06-23'!Q641, 'HQ2'!$A:$A,"="&amp;'Tong_hop_HQNV_2026Q1_2026-06-23'!P641)</f>
        <v>0</v>
      </c>
      <c r="T641" s="7">
        <f t="shared" si="9"/>
        <v>0</v>
      </c>
    </row>
    <row r="642" spans="1:20" x14ac:dyDescent="0.25">
      <c r="A642" t="s">
        <v>25</v>
      </c>
      <c r="B642" s="9" t="s">
        <v>358</v>
      </c>
      <c r="C642">
        <v>0</v>
      </c>
      <c r="D642">
        <v>0</v>
      </c>
      <c r="E642">
        <v>0</v>
      </c>
      <c r="F642">
        <v>1736146939</v>
      </c>
      <c r="G642" s="92">
        <v>450000000</v>
      </c>
      <c r="H642" s="92">
        <v>450000000</v>
      </c>
      <c r="I642">
        <v>0</v>
      </c>
      <c r="J642">
        <v>0</v>
      </c>
      <c r="K642">
        <v>1736146939</v>
      </c>
      <c r="L642">
        <v>0</v>
      </c>
      <c r="M642" t="s">
        <v>15</v>
      </c>
      <c r="N642" t="s">
        <v>26</v>
      </c>
      <c r="O642" t="s">
        <v>27</v>
      </c>
      <c r="P642" t="str">
        <f>VLOOKUP(B642,'CHECK_DT-BT_chi_tiet'!$A:$C,3,FALSE)</f>
        <v>BV Tràng An</v>
      </c>
      <c r="Q642" t="str">
        <f>VLOOKUP(A642,Sheet3!$K$11:$L$21,2,FALSE)</f>
        <v>Hull (Thân tàu biển)</v>
      </c>
      <c r="R642" t="str">
        <f>VLOOKUP(Q642,Sheet3!$L$11:$M$21,2,FALSE)</f>
        <v>HQ2</v>
      </c>
      <c r="S642" s="26">
        <f>SUMIFS('HQ2'!$O:$O,'HQ2'!$B:$B, "="&amp;'Tong_hop_HQNV_2026Q1_2026-06-23'!Q642, 'HQ2'!$A:$A,"="&amp;'Tong_hop_HQNV_2026Q1_2026-06-23'!P642)</f>
        <v>450000000</v>
      </c>
      <c r="T642" s="7">
        <f t="shared" si="9"/>
        <v>0</v>
      </c>
    </row>
    <row r="643" spans="1:20" x14ac:dyDescent="0.25">
      <c r="A643" t="s">
        <v>25</v>
      </c>
      <c r="B643" s="9" t="s">
        <v>286</v>
      </c>
      <c r="C643">
        <v>0</v>
      </c>
      <c r="D643">
        <v>0</v>
      </c>
      <c r="E643">
        <v>0</v>
      </c>
      <c r="F643">
        <v>566746155</v>
      </c>
      <c r="G643">
        <v>715966472</v>
      </c>
      <c r="H643">
        <v>715966472</v>
      </c>
      <c r="I643">
        <v>0</v>
      </c>
      <c r="J643">
        <v>0</v>
      </c>
      <c r="K643">
        <v>566746155</v>
      </c>
      <c r="L643">
        <v>0</v>
      </c>
      <c r="M643" t="s">
        <v>15</v>
      </c>
      <c r="N643" t="s">
        <v>26</v>
      </c>
      <c r="O643" t="s">
        <v>27</v>
      </c>
      <c r="P643" t="str">
        <f>VLOOKUP(B643,'CHECK_DT-BT_chi_tiet'!$A:$C,3,FALSE)</f>
        <v>BV Bà Rịa - Vũng Tàu</v>
      </c>
      <c r="Q643" t="str">
        <f>VLOOKUP(A643,Sheet3!$K$11:$L$21,2,FALSE)</f>
        <v>Hull (Thân tàu biển)</v>
      </c>
      <c r="R643" t="str">
        <f>VLOOKUP(Q643,Sheet3!$L$11:$M$21,2,FALSE)</f>
        <v>HQ2</v>
      </c>
      <c r="S643" s="26">
        <f>SUMIFS('HQ2'!$O:$O,'HQ2'!$B:$B, "="&amp;'Tong_hop_HQNV_2026Q1_2026-06-23'!Q643, 'HQ2'!$A:$A,"="&amp;'Tong_hop_HQNV_2026Q1_2026-06-23'!P643)</f>
        <v>715966472</v>
      </c>
      <c r="T643" s="7">
        <f t="shared" ref="T643:T706" si="10">IFERROR(IF(R643="HQ2",S643-G643,0),0)</f>
        <v>0</v>
      </c>
    </row>
    <row r="644" spans="1:20" x14ac:dyDescent="0.25">
      <c r="A644" t="s">
        <v>25</v>
      </c>
      <c r="B644" s="9" t="s">
        <v>300</v>
      </c>
      <c r="C644">
        <v>0</v>
      </c>
      <c r="D644">
        <v>0</v>
      </c>
      <c r="E644">
        <v>0</v>
      </c>
      <c r="F644">
        <v>149210000</v>
      </c>
      <c r="G644">
        <v>0</v>
      </c>
      <c r="H644">
        <v>0</v>
      </c>
      <c r="I644">
        <v>0</v>
      </c>
      <c r="J644">
        <v>0</v>
      </c>
      <c r="K644">
        <v>149210000</v>
      </c>
      <c r="L644">
        <v>0</v>
      </c>
      <c r="M644" t="s">
        <v>15</v>
      </c>
      <c r="N644" t="s">
        <v>26</v>
      </c>
      <c r="O644" t="s">
        <v>27</v>
      </c>
      <c r="P644" t="str">
        <f>VLOOKUP(B644,'CHECK_DT-BT_chi_tiet'!$A:$C,3,FALSE)</f>
        <v>BV Đà Nẵng</v>
      </c>
      <c r="Q644" t="str">
        <f>VLOOKUP(A644,Sheet3!$K$11:$L$21,2,FALSE)</f>
        <v>Hull (Thân tàu biển)</v>
      </c>
      <c r="R644" t="str">
        <f>VLOOKUP(Q644,Sheet3!$L$11:$M$21,2,FALSE)</f>
        <v>HQ2</v>
      </c>
      <c r="S644" s="26">
        <f>SUMIFS('HQ2'!$O:$O,'HQ2'!$B:$B, "="&amp;'Tong_hop_HQNV_2026Q1_2026-06-23'!Q644, 'HQ2'!$A:$A,"="&amp;'Tong_hop_HQNV_2026Q1_2026-06-23'!P644)</f>
        <v>0</v>
      </c>
      <c r="T644" s="7">
        <f t="shared" si="10"/>
        <v>0</v>
      </c>
    </row>
    <row r="645" spans="1:20" x14ac:dyDescent="0.25">
      <c r="A645" t="s">
        <v>25</v>
      </c>
      <c r="B645" s="9" t="s">
        <v>313</v>
      </c>
      <c r="C645">
        <v>0</v>
      </c>
      <c r="D645">
        <v>0</v>
      </c>
      <c r="E645">
        <v>0</v>
      </c>
      <c r="F645">
        <v>158980801</v>
      </c>
      <c r="G645">
        <v>0</v>
      </c>
      <c r="H645">
        <v>0</v>
      </c>
      <c r="I645">
        <v>0</v>
      </c>
      <c r="J645">
        <v>0</v>
      </c>
      <c r="K645">
        <v>158980801</v>
      </c>
      <c r="L645">
        <v>0</v>
      </c>
      <c r="M645" t="s">
        <v>15</v>
      </c>
      <c r="N645" t="s">
        <v>26</v>
      </c>
      <c r="O645" t="s">
        <v>27</v>
      </c>
      <c r="P645" t="str">
        <f>VLOOKUP(B645,'CHECK_DT-BT_chi_tiet'!$A:$C,3,FALSE)</f>
        <v>BV Hà Nội</v>
      </c>
      <c r="Q645" t="str">
        <f>VLOOKUP(A645,Sheet3!$K$11:$L$21,2,FALSE)</f>
        <v>Hull (Thân tàu biển)</v>
      </c>
      <c r="R645" t="str">
        <f>VLOOKUP(Q645,Sheet3!$L$11:$M$21,2,FALSE)</f>
        <v>HQ2</v>
      </c>
      <c r="S645" s="26">
        <f>SUMIFS('HQ2'!$O:$O,'HQ2'!$B:$B, "="&amp;'Tong_hop_HQNV_2026Q1_2026-06-23'!Q645, 'HQ2'!$A:$A,"="&amp;'Tong_hop_HQNV_2026Q1_2026-06-23'!P645)</f>
        <v>0</v>
      </c>
      <c r="T645" s="7">
        <f t="shared" si="10"/>
        <v>0</v>
      </c>
    </row>
    <row r="646" spans="1:20" x14ac:dyDescent="0.25">
      <c r="A646" t="s">
        <v>25</v>
      </c>
      <c r="B646" s="9" t="s">
        <v>322</v>
      </c>
      <c r="C646">
        <v>0</v>
      </c>
      <c r="D646">
        <v>0</v>
      </c>
      <c r="E646">
        <v>0</v>
      </c>
      <c r="F646">
        <v>93775000</v>
      </c>
      <c r="G646">
        <v>0</v>
      </c>
      <c r="H646">
        <v>0</v>
      </c>
      <c r="I646">
        <v>0</v>
      </c>
      <c r="J646">
        <v>0</v>
      </c>
      <c r="K646">
        <v>93775000</v>
      </c>
      <c r="L646">
        <v>0</v>
      </c>
      <c r="M646" t="s">
        <v>15</v>
      </c>
      <c r="N646" t="s">
        <v>26</v>
      </c>
      <c r="O646" t="s">
        <v>27</v>
      </c>
      <c r="P646" t="str">
        <f>VLOOKUP(B646,'CHECK_DT-BT_chi_tiet'!$A:$C,3,FALSE)</f>
        <v>BV Kiên Giang</v>
      </c>
      <c r="Q646" t="str">
        <f>VLOOKUP(A646,Sheet3!$K$11:$L$21,2,FALSE)</f>
        <v>Hull (Thân tàu biển)</v>
      </c>
      <c r="R646" t="str">
        <f>VLOOKUP(Q646,Sheet3!$L$11:$M$21,2,FALSE)</f>
        <v>HQ2</v>
      </c>
      <c r="S646" s="26">
        <f>SUMIFS('HQ2'!$O:$O,'HQ2'!$B:$B, "="&amp;'Tong_hop_HQNV_2026Q1_2026-06-23'!Q646, 'HQ2'!$A:$A,"="&amp;'Tong_hop_HQNV_2026Q1_2026-06-23'!P646)</f>
        <v>0</v>
      </c>
      <c r="T646" s="7">
        <f t="shared" si="10"/>
        <v>0</v>
      </c>
    </row>
    <row r="647" spans="1:20" x14ac:dyDescent="0.25">
      <c r="A647" t="s">
        <v>25</v>
      </c>
      <c r="B647" s="9" t="s">
        <v>332</v>
      </c>
      <c r="C647">
        <v>0</v>
      </c>
      <c r="D647">
        <v>0</v>
      </c>
      <c r="E647">
        <v>0</v>
      </c>
      <c r="F647">
        <v>530493751</v>
      </c>
      <c r="G647">
        <v>0</v>
      </c>
      <c r="H647">
        <v>0</v>
      </c>
      <c r="I647">
        <v>0</v>
      </c>
      <c r="J647">
        <v>0</v>
      </c>
      <c r="K647">
        <v>530493751</v>
      </c>
      <c r="L647">
        <v>0</v>
      </c>
      <c r="M647" t="s">
        <v>15</v>
      </c>
      <c r="N647" t="s">
        <v>26</v>
      </c>
      <c r="O647" t="s">
        <v>27</v>
      </c>
      <c r="P647" t="str">
        <f>VLOOKUP(B647,'CHECK_DT-BT_chi_tiet'!$A:$C,3,FALSE)</f>
        <v>BV Nam Định</v>
      </c>
      <c r="Q647" t="str">
        <f>VLOOKUP(A647,Sheet3!$K$11:$L$21,2,FALSE)</f>
        <v>Hull (Thân tàu biển)</v>
      </c>
      <c r="R647" t="str">
        <f>VLOOKUP(Q647,Sheet3!$L$11:$M$21,2,FALSE)</f>
        <v>HQ2</v>
      </c>
      <c r="S647" s="26">
        <f>SUMIFS('HQ2'!$O:$O,'HQ2'!$B:$B, "="&amp;'Tong_hop_HQNV_2026Q1_2026-06-23'!Q647, 'HQ2'!$A:$A,"="&amp;'Tong_hop_HQNV_2026Q1_2026-06-23'!P647)</f>
        <v>0</v>
      </c>
      <c r="T647" s="7">
        <f t="shared" si="10"/>
        <v>0</v>
      </c>
    </row>
    <row r="648" spans="1:20" x14ac:dyDescent="0.25">
      <c r="A648" t="s">
        <v>25</v>
      </c>
      <c r="B648" s="9" t="s">
        <v>333</v>
      </c>
      <c r="C648">
        <v>0</v>
      </c>
      <c r="D648">
        <v>0</v>
      </c>
      <c r="E648">
        <v>0</v>
      </c>
      <c r="F648">
        <v>1664340206</v>
      </c>
      <c r="G648">
        <v>1969756140</v>
      </c>
      <c r="H648">
        <v>0</v>
      </c>
      <c r="I648">
        <v>0</v>
      </c>
      <c r="J648">
        <v>0</v>
      </c>
      <c r="K648">
        <v>1664340206</v>
      </c>
      <c r="L648">
        <v>0</v>
      </c>
      <c r="M648" t="s">
        <v>15</v>
      </c>
      <c r="N648" t="s">
        <v>26</v>
      </c>
      <c r="O648" t="s">
        <v>27</v>
      </c>
      <c r="P648" t="str">
        <f>VLOOKUP(B648,'CHECK_DT-BT_chi_tiet'!$A:$C,3,FALSE)</f>
        <v>BV Nghệ An</v>
      </c>
      <c r="Q648" t="str">
        <f>VLOOKUP(A648,Sheet3!$K$11:$L$21,2,FALSE)</f>
        <v>Hull (Thân tàu biển)</v>
      </c>
      <c r="R648" t="str">
        <f>VLOOKUP(Q648,Sheet3!$L$11:$M$21,2,FALSE)</f>
        <v>HQ2</v>
      </c>
      <c r="S648" s="26">
        <f>SUMIFS('HQ2'!$O:$O,'HQ2'!$B:$B, "="&amp;'Tong_hop_HQNV_2026Q1_2026-06-23'!Q648, 'HQ2'!$A:$A,"="&amp;'Tong_hop_HQNV_2026Q1_2026-06-23'!P648)</f>
        <v>1969756140</v>
      </c>
      <c r="T648" s="7">
        <f t="shared" si="10"/>
        <v>0</v>
      </c>
    </row>
    <row r="649" spans="1:20" x14ac:dyDescent="0.25">
      <c r="A649" t="s">
        <v>25</v>
      </c>
      <c r="B649" s="9" t="s">
        <v>334</v>
      </c>
      <c r="C649">
        <v>0</v>
      </c>
      <c r="D649">
        <v>0</v>
      </c>
      <c r="E649">
        <v>0</v>
      </c>
      <c r="F649">
        <v>459317720</v>
      </c>
      <c r="G649">
        <v>0</v>
      </c>
      <c r="H649">
        <v>0</v>
      </c>
      <c r="I649">
        <v>0</v>
      </c>
      <c r="J649">
        <v>0</v>
      </c>
      <c r="K649">
        <v>459317720</v>
      </c>
      <c r="L649">
        <v>0</v>
      </c>
      <c r="M649" t="s">
        <v>15</v>
      </c>
      <c r="N649" t="s">
        <v>26</v>
      </c>
      <c r="O649" t="s">
        <v>27</v>
      </c>
      <c r="P649" t="str">
        <f>VLOOKUP(B649,'CHECK_DT-BT_chi_tiet'!$A:$C,3,FALSE)</f>
        <v>BV Ninh Bình</v>
      </c>
      <c r="Q649" t="str">
        <f>VLOOKUP(A649,Sheet3!$K$11:$L$21,2,FALSE)</f>
        <v>Hull (Thân tàu biển)</v>
      </c>
      <c r="R649" t="str">
        <f>VLOOKUP(Q649,Sheet3!$L$11:$M$21,2,FALSE)</f>
        <v>HQ2</v>
      </c>
      <c r="S649" s="26">
        <f>SUMIFS('HQ2'!$O:$O,'HQ2'!$B:$B, "="&amp;'Tong_hop_HQNV_2026Q1_2026-06-23'!Q649, 'HQ2'!$A:$A,"="&amp;'Tong_hop_HQNV_2026Q1_2026-06-23'!P649)</f>
        <v>0</v>
      </c>
      <c r="T649" s="7">
        <f t="shared" si="10"/>
        <v>0</v>
      </c>
    </row>
    <row r="650" spans="1:20" x14ac:dyDescent="0.25">
      <c r="A650" t="s">
        <v>25</v>
      </c>
      <c r="B650" s="9" t="s">
        <v>343</v>
      </c>
      <c r="C650">
        <v>0</v>
      </c>
      <c r="D650">
        <v>0</v>
      </c>
      <c r="E650">
        <v>0</v>
      </c>
      <c r="F650">
        <v>534110545</v>
      </c>
      <c r="G650">
        <v>2417082250</v>
      </c>
      <c r="H650">
        <v>0</v>
      </c>
      <c r="I650">
        <v>0</v>
      </c>
      <c r="J650">
        <v>0</v>
      </c>
      <c r="K650">
        <v>534110545</v>
      </c>
      <c r="L650">
        <v>0</v>
      </c>
      <c r="M650" t="s">
        <v>15</v>
      </c>
      <c r="N650" t="s">
        <v>26</v>
      </c>
      <c r="O650" t="s">
        <v>27</v>
      </c>
      <c r="P650" t="str">
        <f>VLOOKUP(B650,'CHECK_DT-BT_chi_tiet'!$A:$C,3,FALSE)</f>
        <v>BV Quảng Ninh</v>
      </c>
      <c r="Q650" t="str">
        <f>VLOOKUP(A650,Sheet3!$K$11:$L$21,2,FALSE)</f>
        <v>Hull (Thân tàu biển)</v>
      </c>
      <c r="R650" t="str">
        <f>VLOOKUP(Q650,Sheet3!$L$11:$M$21,2,FALSE)</f>
        <v>HQ2</v>
      </c>
      <c r="S650" s="26">
        <f>SUMIFS('HQ2'!$O:$O,'HQ2'!$B:$B, "="&amp;'Tong_hop_HQNV_2026Q1_2026-06-23'!Q650, 'HQ2'!$A:$A,"="&amp;'Tong_hop_HQNV_2026Q1_2026-06-23'!P650)</f>
        <v>2417082250</v>
      </c>
      <c r="T650" s="7">
        <f t="shared" si="10"/>
        <v>0</v>
      </c>
    </row>
    <row r="651" spans="1:20" x14ac:dyDescent="0.25">
      <c r="A651" t="s">
        <v>25</v>
      </c>
      <c r="B651" s="9" t="s">
        <v>344</v>
      </c>
      <c r="C651">
        <v>0</v>
      </c>
      <c r="D651">
        <v>0</v>
      </c>
      <c r="E651">
        <v>0</v>
      </c>
      <c r="F651">
        <v>343020320</v>
      </c>
      <c r="G651">
        <v>0</v>
      </c>
      <c r="H651">
        <v>0</v>
      </c>
      <c r="I651">
        <v>0</v>
      </c>
      <c r="J651">
        <v>0</v>
      </c>
      <c r="K651">
        <v>343020320</v>
      </c>
      <c r="L651">
        <v>0</v>
      </c>
      <c r="M651" t="s">
        <v>15</v>
      </c>
      <c r="N651" t="s">
        <v>26</v>
      </c>
      <c r="O651" t="s">
        <v>27</v>
      </c>
      <c r="P651" t="str">
        <f>VLOOKUP(B651,'CHECK_DT-BT_chi_tiet'!$A:$C,3,FALSE)</f>
        <v>BV Quảng Trị</v>
      </c>
      <c r="Q651" t="str">
        <f>VLOOKUP(A651,Sheet3!$K$11:$L$21,2,FALSE)</f>
        <v>Hull (Thân tàu biển)</v>
      </c>
      <c r="R651" t="str">
        <f>VLOOKUP(Q651,Sheet3!$L$11:$M$21,2,FALSE)</f>
        <v>HQ2</v>
      </c>
      <c r="S651" s="26">
        <f>SUMIFS('HQ2'!$O:$O,'HQ2'!$B:$B, "="&amp;'Tong_hop_HQNV_2026Q1_2026-06-23'!Q651, 'HQ2'!$A:$A,"="&amp;'Tong_hop_HQNV_2026Q1_2026-06-23'!P651)</f>
        <v>0</v>
      </c>
      <c r="T651" s="7">
        <f t="shared" si="10"/>
        <v>0</v>
      </c>
    </row>
    <row r="652" spans="1:20" x14ac:dyDescent="0.25">
      <c r="A652" t="s">
        <v>25</v>
      </c>
      <c r="B652" s="9" t="s">
        <v>350</v>
      </c>
      <c r="C652">
        <v>0</v>
      </c>
      <c r="D652">
        <v>0</v>
      </c>
      <c r="E652">
        <v>0</v>
      </c>
      <c r="F652">
        <v>94500000</v>
      </c>
      <c r="G652">
        <v>0</v>
      </c>
      <c r="H652">
        <v>0</v>
      </c>
      <c r="I652">
        <v>0</v>
      </c>
      <c r="J652">
        <v>0</v>
      </c>
      <c r="K652">
        <v>94500000</v>
      </c>
      <c r="L652">
        <v>0</v>
      </c>
      <c r="M652" t="s">
        <v>15</v>
      </c>
      <c r="N652" t="s">
        <v>26</v>
      </c>
      <c r="O652" t="s">
        <v>27</v>
      </c>
      <c r="P652" t="str">
        <f>VLOOKUP(B652,'CHECK_DT-BT_chi_tiet'!$A:$C,3,FALSE)</f>
        <v>BV Thái Bình</v>
      </c>
      <c r="Q652" t="str">
        <f>VLOOKUP(A652,Sheet3!$K$11:$L$21,2,FALSE)</f>
        <v>Hull (Thân tàu biển)</v>
      </c>
      <c r="R652" t="str">
        <f>VLOOKUP(Q652,Sheet3!$L$11:$M$21,2,FALSE)</f>
        <v>HQ2</v>
      </c>
      <c r="S652" s="26">
        <f>SUMIFS('HQ2'!$O:$O,'HQ2'!$B:$B, "="&amp;'Tong_hop_HQNV_2026Q1_2026-06-23'!Q652, 'HQ2'!$A:$A,"="&amp;'Tong_hop_HQNV_2026Q1_2026-06-23'!P652)</f>
        <v>0</v>
      </c>
      <c r="T652" s="7">
        <f t="shared" si="10"/>
        <v>0</v>
      </c>
    </row>
    <row r="653" spans="1:20" x14ac:dyDescent="0.25">
      <c r="A653" t="s">
        <v>25</v>
      </c>
      <c r="B653" s="9" t="s">
        <v>353</v>
      </c>
      <c r="C653">
        <v>0</v>
      </c>
      <c r="D653">
        <v>0</v>
      </c>
      <c r="E653">
        <v>0</v>
      </c>
      <c r="F653">
        <v>530493749</v>
      </c>
      <c r="G653">
        <v>0</v>
      </c>
      <c r="H653">
        <v>0</v>
      </c>
      <c r="I653">
        <v>0</v>
      </c>
      <c r="J653">
        <v>0</v>
      </c>
      <c r="K653">
        <v>530493749</v>
      </c>
      <c r="L653">
        <v>0</v>
      </c>
      <c r="M653" t="s">
        <v>15</v>
      </c>
      <c r="N653" t="s">
        <v>26</v>
      </c>
      <c r="O653" t="s">
        <v>27</v>
      </c>
      <c r="P653" t="str">
        <f>VLOOKUP(B653,'CHECK_DT-BT_chi_tiet'!$A:$C,3,FALSE)</f>
        <v>BV Thanh Hóa</v>
      </c>
      <c r="Q653" t="str">
        <f>VLOOKUP(A653,Sheet3!$K$11:$L$21,2,FALSE)</f>
        <v>Hull (Thân tàu biển)</v>
      </c>
      <c r="R653" t="str">
        <f>VLOOKUP(Q653,Sheet3!$L$11:$M$21,2,FALSE)</f>
        <v>HQ2</v>
      </c>
      <c r="S653" s="26">
        <f>SUMIFS('HQ2'!$O:$O,'HQ2'!$B:$B, "="&amp;'Tong_hop_HQNV_2026Q1_2026-06-23'!Q653, 'HQ2'!$A:$A,"="&amp;'Tong_hop_HQNV_2026Q1_2026-06-23'!P653)</f>
        <v>0</v>
      </c>
      <c r="T653" s="7">
        <f t="shared" si="10"/>
        <v>0</v>
      </c>
    </row>
    <row r="654" spans="1:20" x14ac:dyDescent="0.25">
      <c r="A654" t="s">
        <v>25</v>
      </c>
      <c r="B654" s="9" t="s">
        <v>354</v>
      </c>
      <c r="C654">
        <v>0</v>
      </c>
      <c r="D654">
        <v>0</v>
      </c>
      <c r="E654">
        <v>0</v>
      </c>
      <c r="F654">
        <v>3088467662</v>
      </c>
      <c r="G654" s="92">
        <v>672000000</v>
      </c>
      <c r="H654">
        <v>0</v>
      </c>
      <c r="I654">
        <v>0</v>
      </c>
      <c r="J654">
        <v>0</v>
      </c>
      <c r="K654">
        <v>3088467662</v>
      </c>
      <c r="L654">
        <v>0</v>
      </c>
      <c r="M654" t="s">
        <v>15</v>
      </c>
      <c r="N654" t="s">
        <v>26</v>
      </c>
      <c r="O654" t="s">
        <v>27</v>
      </c>
      <c r="P654" t="str">
        <f>VLOOKUP(B654,'CHECK_DT-BT_chi_tiet'!$A:$C,3,FALSE)</f>
        <v>BV Thành phố HCM</v>
      </c>
      <c r="Q654" t="str">
        <f>VLOOKUP(A654,Sheet3!$K$11:$L$21,2,FALSE)</f>
        <v>Hull (Thân tàu biển)</v>
      </c>
      <c r="R654" t="str">
        <f>VLOOKUP(Q654,Sheet3!$L$11:$M$21,2,FALSE)</f>
        <v>HQ2</v>
      </c>
      <c r="S654" s="26">
        <f>SUMIFS('HQ2'!$O:$O,'HQ2'!$B:$B, "="&amp;'Tong_hop_HQNV_2026Q1_2026-06-23'!Q654, 'HQ2'!$A:$A,"="&amp;'Tong_hop_HQNV_2026Q1_2026-06-23'!P654)</f>
        <v>672000000</v>
      </c>
      <c r="T654" s="7">
        <f t="shared" si="10"/>
        <v>0</v>
      </c>
    </row>
    <row r="655" spans="1:20" x14ac:dyDescent="0.25">
      <c r="A655" t="s">
        <v>25</v>
      </c>
      <c r="B655" s="9" t="s">
        <v>314</v>
      </c>
      <c r="C655">
        <v>0</v>
      </c>
      <c r="D655">
        <v>0</v>
      </c>
      <c r="E655">
        <v>0</v>
      </c>
      <c r="F655">
        <v>131712000</v>
      </c>
      <c r="G655">
        <v>0</v>
      </c>
      <c r="H655">
        <v>0</v>
      </c>
      <c r="I655">
        <v>0</v>
      </c>
      <c r="J655">
        <v>0</v>
      </c>
      <c r="K655">
        <v>131712000</v>
      </c>
      <c r="L655">
        <v>0</v>
      </c>
      <c r="M655" t="s">
        <v>15</v>
      </c>
      <c r="N655" t="s">
        <v>26</v>
      </c>
      <c r="O655" t="s">
        <v>27</v>
      </c>
      <c r="P655" t="str">
        <f>VLOOKUP(B655,'CHECK_DT-BT_chi_tiet'!$A:$C,3,FALSE)</f>
        <v>BV Hà Thành</v>
      </c>
      <c r="Q655" t="str">
        <f>VLOOKUP(A655,Sheet3!$K$11:$L$21,2,FALSE)</f>
        <v>Hull (Thân tàu biển)</v>
      </c>
      <c r="R655" t="str">
        <f>VLOOKUP(Q655,Sheet3!$L$11:$M$21,2,FALSE)</f>
        <v>HQ2</v>
      </c>
      <c r="S655" s="26">
        <f>SUMIFS('HQ2'!$O:$O,'HQ2'!$B:$B, "="&amp;'Tong_hop_HQNV_2026Q1_2026-06-23'!Q655, 'HQ2'!$A:$A,"="&amp;'Tong_hop_HQNV_2026Q1_2026-06-23'!P655)</f>
        <v>0</v>
      </c>
      <c r="T655" s="7">
        <f t="shared" si="10"/>
        <v>0</v>
      </c>
    </row>
    <row r="656" spans="1:20" x14ac:dyDescent="0.25">
      <c r="A656" t="s">
        <v>28</v>
      </c>
      <c r="B656" s="9" t="s">
        <v>223</v>
      </c>
      <c r="C656">
        <v>0</v>
      </c>
      <c r="D656">
        <v>0</v>
      </c>
      <c r="E656">
        <v>0</v>
      </c>
      <c r="F656" s="92">
        <v>8000000</v>
      </c>
      <c r="G656">
        <v>0</v>
      </c>
      <c r="H656">
        <v>0</v>
      </c>
      <c r="I656">
        <v>0</v>
      </c>
      <c r="J656">
        <v>0</v>
      </c>
      <c r="K656" s="92">
        <v>8000000</v>
      </c>
      <c r="L656">
        <v>0</v>
      </c>
      <c r="M656" t="s">
        <v>17</v>
      </c>
      <c r="N656" t="s">
        <v>20</v>
      </c>
      <c r="O656" t="s">
        <v>20</v>
      </c>
      <c r="P656" t="str">
        <f>VLOOKUP(B656,'CHECK_DT-BT_chi_tiet'!$A:$C,3,FALSE)</f>
        <v>TSC-Ban KDBH Hàng hóa</v>
      </c>
      <c r="Q656" t="str">
        <f>VLOOKUP(A656,Sheet3!$K$11:$L$21,2,FALSE)</f>
        <v>BH Trách nhiệm</v>
      </c>
      <c r="R656" t="str">
        <f>VLOOKUP(Q656,Sheet3!$L$11:$M$21,2,FALSE)</f>
        <v>HQ2</v>
      </c>
      <c r="S656" s="26">
        <f>SUMIFS('HQ2'!$O:$O,'HQ2'!$B:$B, "="&amp;'Tong_hop_HQNV_2026Q1_2026-06-23'!Q656, 'HQ2'!$A:$A,"="&amp;'Tong_hop_HQNV_2026Q1_2026-06-23'!P656)</f>
        <v>0</v>
      </c>
      <c r="T656" s="7">
        <f t="shared" si="10"/>
        <v>0</v>
      </c>
    </row>
    <row r="657" spans="1:20" x14ac:dyDescent="0.25">
      <c r="A657" t="s">
        <v>28</v>
      </c>
      <c r="B657" s="9" t="s">
        <v>234</v>
      </c>
      <c r="C657">
        <v>0</v>
      </c>
      <c r="D657">
        <v>0</v>
      </c>
      <c r="E657">
        <v>0</v>
      </c>
      <c r="F657">
        <v>129432329</v>
      </c>
      <c r="G657">
        <v>0</v>
      </c>
      <c r="H657">
        <v>0</v>
      </c>
      <c r="I657">
        <v>0</v>
      </c>
      <c r="J657">
        <v>0</v>
      </c>
      <c r="K657">
        <v>129432329</v>
      </c>
      <c r="L657">
        <v>0</v>
      </c>
      <c r="M657" t="s">
        <v>17</v>
      </c>
      <c r="N657" t="s">
        <v>20</v>
      </c>
      <c r="O657" t="s">
        <v>20</v>
      </c>
      <c r="P657" t="str">
        <f>VLOOKUP(B657,'CHECK_DT-BT_chi_tiet'!$A:$C,3,FALSE)</f>
        <v>TSC-Ban KDBH Phi hàng hải TSC</v>
      </c>
      <c r="Q657" t="str">
        <f>VLOOKUP(A657,Sheet3!$K$11:$L$21,2,FALSE)</f>
        <v>BH Trách nhiệm</v>
      </c>
      <c r="R657" t="str">
        <f>VLOOKUP(Q657,Sheet3!$L$11:$M$21,2,FALSE)</f>
        <v>HQ2</v>
      </c>
      <c r="S657" s="26">
        <f>SUMIFS('HQ2'!$O:$O,'HQ2'!$B:$B, "="&amp;'Tong_hop_HQNV_2026Q1_2026-06-23'!Q657, 'HQ2'!$A:$A,"="&amp;'Tong_hop_HQNV_2026Q1_2026-06-23'!P657)</f>
        <v>2380304520</v>
      </c>
      <c r="T657" s="7">
        <f t="shared" si="10"/>
        <v>2380304520</v>
      </c>
    </row>
    <row r="658" spans="1:20" x14ac:dyDescent="0.25">
      <c r="A658" t="s">
        <v>28</v>
      </c>
      <c r="B658" s="9" t="s">
        <v>230</v>
      </c>
      <c r="C658">
        <v>0</v>
      </c>
      <c r="D658">
        <v>0</v>
      </c>
      <c r="E658">
        <v>0</v>
      </c>
      <c r="F658">
        <v>3813093</v>
      </c>
      <c r="G658">
        <v>0</v>
      </c>
      <c r="H658">
        <v>0</v>
      </c>
      <c r="I658">
        <v>0</v>
      </c>
      <c r="J658">
        <v>0</v>
      </c>
      <c r="K658">
        <v>3813093</v>
      </c>
      <c r="L658">
        <v>0</v>
      </c>
      <c r="M658" t="s">
        <v>17</v>
      </c>
      <c r="N658" t="s">
        <v>20</v>
      </c>
      <c r="O658" t="s">
        <v>20</v>
      </c>
      <c r="P658" t="str">
        <f>VLOOKUP(B658,'CHECK_DT-BT_chi_tiet'!$A:$C,3,FALSE)</f>
        <v>TSC-Ban KD Bảo hiểm sức khỏe</v>
      </c>
      <c r="Q658" t="str">
        <f>VLOOKUP(A658,Sheet3!$K$11:$L$21,2,FALSE)</f>
        <v>BH Trách nhiệm</v>
      </c>
      <c r="R658" t="str">
        <f>VLOOKUP(Q658,Sheet3!$L$11:$M$21,2,FALSE)</f>
        <v>HQ2</v>
      </c>
      <c r="S658" s="26">
        <f>SUMIFS('HQ2'!$O:$O,'HQ2'!$B:$B, "="&amp;'Tong_hop_HQNV_2026Q1_2026-06-23'!Q658, 'HQ2'!$A:$A,"="&amp;'Tong_hop_HQNV_2026Q1_2026-06-23'!P658)</f>
        <v>0</v>
      </c>
      <c r="T658" s="7">
        <f t="shared" si="10"/>
        <v>0</v>
      </c>
    </row>
    <row r="659" spans="1:20" x14ac:dyDescent="0.25">
      <c r="A659" t="s">
        <v>28</v>
      </c>
      <c r="B659" s="9" t="s">
        <v>232</v>
      </c>
      <c r="C659">
        <v>0</v>
      </c>
      <c r="D659">
        <v>0</v>
      </c>
      <c r="E659">
        <v>0</v>
      </c>
      <c r="F659">
        <v>170712000</v>
      </c>
      <c r="G659">
        <v>0</v>
      </c>
      <c r="H659">
        <v>0</v>
      </c>
      <c r="I659">
        <v>0</v>
      </c>
      <c r="J659">
        <v>0</v>
      </c>
      <c r="K659">
        <v>170712000</v>
      </c>
      <c r="L659">
        <v>0</v>
      </c>
      <c r="M659" t="s">
        <v>17</v>
      </c>
      <c r="N659" t="s">
        <v>20</v>
      </c>
      <c r="O659" t="s">
        <v>20</v>
      </c>
      <c r="P659" t="e">
        <f>VLOOKUP(B659,'CHECK_DT-BT_chi_tiet'!$A:$C,3,FALSE)</f>
        <v>#N/A</v>
      </c>
      <c r="Q659" t="str">
        <f>VLOOKUP(A659,Sheet3!$K$11:$L$21,2,FALSE)</f>
        <v>BH Trách nhiệm</v>
      </c>
      <c r="R659" t="str">
        <f>VLOOKUP(Q659,Sheet3!$L$11:$M$21,2,FALSE)</f>
        <v>HQ2</v>
      </c>
      <c r="S659" s="26">
        <f>SUMIFS('HQ2'!$O:$O,'HQ2'!$B:$B, "="&amp;'Tong_hop_HQNV_2026Q1_2026-06-23'!Q659, 'HQ2'!$A:$A,"="&amp;'Tong_hop_HQNV_2026Q1_2026-06-23'!P659)</f>
        <v>0</v>
      </c>
      <c r="T659" s="7">
        <f t="shared" si="10"/>
        <v>0</v>
      </c>
    </row>
    <row r="660" spans="1:20" x14ac:dyDescent="0.25">
      <c r="A660" t="s">
        <v>28</v>
      </c>
      <c r="B660" s="9" t="s">
        <v>236</v>
      </c>
      <c r="C660">
        <v>0</v>
      </c>
      <c r="D660">
        <v>0</v>
      </c>
      <c r="E660">
        <v>0</v>
      </c>
      <c r="F660" s="92">
        <v>14000000</v>
      </c>
      <c r="G660">
        <v>0</v>
      </c>
      <c r="H660">
        <v>0</v>
      </c>
      <c r="I660">
        <v>0</v>
      </c>
      <c r="J660">
        <v>0</v>
      </c>
      <c r="K660" s="92">
        <v>14000000</v>
      </c>
      <c r="L660">
        <v>0</v>
      </c>
      <c r="M660" t="s">
        <v>17</v>
      </c>
      <c r="N660" t="s">
        <v>20</v>
      </c>
      <c r="O660" t="s">
        <v>20</v>
      </c>
      <c r="P660" t="e">
        <f>VLOOKUP(B660,'CHECK_DT-BT_chi_tiet'!$A:$C,3,FALSE)</f>
        <v>#N/A</v>
      </c>
      <c r="Q660" t="str">
        <f>VLOOKUP(A660,Sheet3!$K$11:$L$21,2,FALSE)</f>
        <v>BH Trách nhiệm</v>
      </c>
      <c r="R660" t="str">
        <f>VLOOKUP(Q660,Sheet3!$L$11:$M$21,2,FALSE)</f>
        <v>HQ2</v>
      </c>
      <c r="S660" s="26">
        <f>SUMIFS('HQ2'!$O:$O,'HQ2'!$B:$B, "="&amp;'Tong_hop_HQNV_2026Q1_2026-06-23'!Q660, 'HQ2'!$A:$A,"="&amp;'Tong_hop_HQNV_2026Q1_2026-06-23'!P660)</f>
        <v>0</v>
      </c>
      <c r="T660" s="7">
        <f t="shared" si="10"/>
        <v>0</v>
      </c>
    </row>
    <row r="661" spans="1:20" x14ac:dyDescent="0.25">
      <c r="A661" t="s">
        <v>28</v>
      </c>
      <c r="B661" s="9" t="s">
        <v>352</v>
      </c>
      <c r="C661">
        <v>0</v>
      </c>
      <c r="D661">
        <v>0</v>
      </c>
      <c r="E661">
        <v>0</v>
      </c>
      <c r="F661">
        <v>163508688</v>
      </c>
      <c r="G661">
        <v>165500500</v>
      </c>
      <c r="H661">
        <v>0</v>
      </c>
      <c r="I661">
        <v>0</v>
      </c>
      <c r="J661">
        <v>0</v>
      </c>
      <c r="K661">
        <v>163508688</v>
      </c>
      <c r="L661">
        <v>0</v>
      </c>
      <c r="M661" t="s">
        <v>17</v>
      </c>
      <c r="N661" t="s">
        <v>20</v>
      </c>
      <c r="O661" t="s">
        <v>20</v>
      </c>
      <c r="P661" t="str">
        <f>VLOOKUP(B661,'CHECK_DT-BT_chi_tiet'!$A:$C,3,FALSE)</f>
        <v>BV Thăng Long</v>
      </c>
      <c r="Q661" t="str">
        <f>VLOOKUP(A661,Sheet3!$K$11:$L$21,2,FALSE)</f>
        <v>BH Trách nhiệm</v>
      </c>
      <c r="R661" t="str">
        <f>VLOOKUP(Q661,Sheet3!$L$11:$M$21,2,FALSE)</f>
        <v>HQ2</v>
      </c>
      <c r="S661" s="26">
        <f>SUMIFS('HQ2'!$O:$O,'HQ2'!$B:$B, "="&amp;'Tong_hop_HQNV_2026Q1_2026-06-23'!Q661, 'HQ2'!$A:$A,"="&amp;'Tong_hop_HQNV_2026Q1_2026-06-23'!P661)</f>
        <v>165500500</v>
      </c>
      <c r="T661" s="7">
        <f t="shared" si="10"/>
        <v>0</v>
      </c>
    </row>
    <row r="662" spans="1:20" x14ac:dyDescent="0.25">
      <c r="A662" t="s">
        <v>28</v>
      </c>
      <c r="B662" s="9" t="s">
        <v>358</v>
      </c>
      <c r="C662">
        <v>0</v>
      </c>
      <c r="D662">
        <v>0</v>
      </c>
      <c r="E662">
        <v>0</v>
      </c>
      <c r="F662">
        <v>62244592</v>
      </c>
      <c r="G662">
        <v>0</v>
      </c>
      <c r="H662">
        <v>0</v>
      </c>
      <c r="I662">
        <v>0</v>
      </c>
      <c r="J662">
        <v>0</v>
      </c>
      <c r="K662">
        <v>62244592</v>
      </c>
      <c r="L662">
        <v>0</v>
      </c>
      <c r="M662" t="s">
        <v>17</v>
      </c>
      <c r="N662" t="s">
        <v>20</v>
      </c>
      <c r="O662" t="s">
        <v>20</v>
      </c>
      <c r="P662" t="str">
        <f>VLOOKUP(B662,'CHECK_DT-BT_chi_tiet'!$A:$C,3,FALSE)</f>
        <v>BV Tràng An</v>
      </c>
      <c r="Q662" t="str">
        <f>VLOOKUP(A662,Sheet3!$K$11:$L$21,2,FALSE)</f>
        <v>BH Trách nhiệm</v>
      </c>
      <c r="R662" t="str">
        <f>VLOOKUP(Q662,Sheet3!$L$11:$M$21,2,FALSE)</f>
        <v>HQ2</v>
      </c>
      <c r="S662" s="26">
        <f>SUMIFS('HQ2'!$O:$O,'HQ2'!$B:$B, "="&amp;'Tong_hop_HQNV_2026Q1_2026-06-23'!Q662, 'HQ2'!$A:$A,"="&amp;'Tong_hop_HQNV_2026Q1_2026-06-23'!P662)</f>
        <v>0</v>
      </c>
      <c r="T662" s="7">
        <f t="shared" si="10"/>
        <v>0</v>
      </c>
    </row>
    <row r="663" spans="1:20" x14ac:dyDescent="0.25">
      <c r="A663" t="s">
        <v>28</v>
      </c>
      <c r="B663" s="9" t="s">
        <v>285</v>
      </c>
      <c r="C663">
        <v>0</v>
      </c>
      <c r="D663">
        <v>0</v>
      </c>
      <c r="E663">
        <v>0</v>
      </c>
      <c r="F663">
        <v>301096664</v>
      </c>
      <c r="G663" s="92">
        <v>156000000</v>
      </c>
      <c r="H663">
        <v>0</v>
      </c>
      <c r="I663">
        <v>0</v>
      </c>
      <c r="J663">
        <v>0</v>
      </c>
      <c r="K663">
        <v>301096664</v>
      </c>
      <c r="L663">
        <v>0</v>
      </c>
      <c r="M663" t="s">
        <v>17</v>
      </c>
      <c r="N663" t="s">
        <v>20</v>
      </c>
      <c r="O663" t="s">
        <v>20</v>
      </c>
      <c r="P663" t="str">
        <f>VLOOKUP(B663,'CHECK_DT-BT_chi_tiet'!$A:$C,3,FALSE)</f>
        <v>BV An Phú</v>
      </c>
      <c r="Q663" t="str">
        <f>VLOOKUP(A663,Sheet3!$K$11:$L$21,2,FALSE)</f>
        <v>BH Trách nhiệm</v>
      </c>
      <c r="R663" t="str">
        <f>VLOOKUP(Q663,Sheet3!$L$11:$M$21,2,FALSE)</f>
        <v>HQ2</v>
      </c>
      <c r="S663" s="26">
        <f>SUMIFS('HQ2'!$O:$O,'HQ2'!$B:$B, "="&amp;'Tong_hop_HQNV_2026Q1_2026-06-23'!Q663, 'HQ2'!$A:$A,"="&amp;'Tong_hop_HQNV_2026Q1_2026-06-23'!P663)</f>
        <v>156000000</v>
      </c>
      <c r="T663" s="7">
        <f t="shared" si="10"/>
        <v>0</v>
      </c>
    </row>
    <row r="664" spans="1:20" x14ac:dyDescent="0.25">
      <c r="A664" t="s">
        <v>28</v>
      </c>
      <c r="B664" s="9" t="s">
        <v>284</v>
      </c>
      <c r="C664">
        <v>0</v>
      </c>
      <c r="D664">
        <v>0</v>
      </c>
      <c r="E664">
        <v>0</v>
      </c>
      <c r="F664">
        <v>67976342</v>
      </c>
      <c r="G664">
        <v>0</v>
      </c>
      <c r="H664">
        <v>0</v>
      </c>
      <c r="I664">
        <v>0</v>
      </c>
      <c r="J664">
        <v>0</v>
      </c>
      <c r="K664">
        <v>67976342</v>
      </c>
      <c r="L664">
        <v>0</v>
      </c>
      <c r="M664" t="s">
        <v>17</v>
      </c>
      <c r="N664" t="s">
        <v>20</v>
      </c>
      <c r="O664" t="s">
        <v>20</v>
      </c>
      <c r="P664" t="str">
        <f>VLOOKUP(B664,'CHECK_DT-BT_chi_tiet'!$A:$C,3,FALSE)</f>
        <v>BV An Giang</v>
      </c>
      <c r="Q664" t="str">
        <f>VLOOKUP(A664,Sheet3!$K$11:$L$21,2,FALSE)</f>
        <v>BH Trách nhiệm</v>
      </c>
      <c r="R664" t="str">
        <f>VLOOKUP(Q664,Sheet3!$L$11:$M$21,2,FALSE)</f>
        <v>HQ2</v>
      </c>
      <c r="S664" s="26">
        <f>SUMIFS('HQ2'!$O:$O,'HQ2'!$B:$B, "="&amp;'Tong_hop_HQNV_2026Q1_2026-06-23'!Q664, 'HQ2'!$A:$A,"="&amp;'Tong_hop_HQNV_2026Q1_2026-06-23'!P664)</f>
        <v>0</v>
      </c>
      <c r="T664" s="7">
        <f t="shared" si="10"/>
        <v>0</v>
      </c>
    </row>
    <row r="665" spans="1:20" x14ac:dyDescent="0.25">
      <c r="A665" t="s">
        <v>28</v>
      </c>
      <c r="B665" s="9" t="s">
        <v>286</v>
      </c>
      <c r="C665">
        <v>0</v>
      </c>
      <c r="D665">
        <v>0</v>
      </c>
      <c r="E665">
        <v>0</v>
      </c>
      <c r="F665">
        <v>31294750</v>
      </c>
      <c r="G665">
        <v>0</v>
      </c>
      <c r="H665">
        <v>0</v>
      </c>
      <c r="I665">
        <v>0</v>
      </c>
      <c r="J665">
        <v>0</v>
      </c>
      <c r="K665">
        <v>31294750</v>
      </c>
      <c r="L665">
        <v>0</v>
      </c>
      <c r="M665" t="s">
        <v>17</v>
      </c>
      <c r="N665" t="s">
        <v>20</v>
      </c>
      <c r="O665" t="s">
        <v>20</v>
      </c>
      <c r="P665" t="str">
        <f>VLOOKUP(B665,'CHECK_DT-BT_chi_tiet'!$A:$C,3,FALSE)</f>
        <v>BV Bà Rịa - Vũng Tàu</v>
      </c>
      <c r="Q665" t="str">
        <f>VLOOKUP(A665,Sheet3!$K$11:$L$21,2,FALSE)</f>
        <v>BH Trách nhiệm</v>
      </c>
      <c r="R665" t="str">
        <f>VLOOKUP(Q665,Sheet3!$L$11:$M$21,2,FALSE)</f>
        <v>HQ2</v>
      </c>
      <c r="S665" s="26">
        <f>SUMIFS('HQ2'!$O:$O,'HQ2'!$B:$B, "="&amp;'Tong_hop_HQNV_2026Q1_2026-06-23'!Q665, 'HQ2'!$A:$A,"="&amp;'Tong_hop_HQNV_2026Q1_2026-06-23'!P665)</f>
        <v>0</v>
      </c>
      <c r="T665" s="7">
        <f t="shared" si="10"/>
        <v>0</v>
      </c>
    </row>
    <row r="666" spans="1:20" x14ac:dyDescent="0.25">
      <c r="A666" t="s">
        <v>28</v>
      </c>
      <c r="B666" s="9" t="s">
        <v>290</v>
      </c>
      <c r="C666">
        <v>0</v>
      </c>
      <c r="D666">
        <v>0</v>
      </c>
      <c r="E666">
        <v>0</v>
      </c>
      <c r="F666">
        <v>60260800</v>
      </c>
      <c r="G666">
        <v>0</v>
      </c>
      <c r="H666">
        <v>0</v>
      </c>
      <c r="I666">
        <v>0</v>
      </c>
      <c r="J666">
        <v>0</v>
      </c>
      <c r="K666">
        <v>60260800</v>
      </c>
      <c r="L666">
        <v>0</v>
      </c>
      <c r="M666" t="s">
        <v>17</v>
      </c>
      <c r="N666" t="s">
        <v>20</v>
      </c>
      <c r="O666" t="s">
        <v>20</v>
      </c>
      <c r="P666" t="str">
        <f>VLOOKUP(B666,'CHECK_DT-BT_chi_tiet'!$A:$C,3,FALSE)</f>
        <v>BV Bắc Ninh</v>
      </c>
      <c r="Q666" t="str">
        <f>VLOOKUP(A666,Sheet3!$K$11:$L$21,2,FALSE)</f>
        <v>BH Trách nhiệm</v>
      </c>
      <c r="R666" t="str">
        <f>VLOOKUP(Q666,Sheet3!$L$11:$M$21,2,FALSE)</f>
        <v>HQ2</v>
      </c>
      <c r="S666" s="26">
        <f>SUMIFS('HQ2'!$O:$O,'HQ2'!$B:$B, "="&amp;'Tong_hop_HQNV_2026Q1_2026-06-23'!Q666, 'HQ2'!$A:$A,"="&amp;'Tong_hop_HQNV_2026Q1_2026-06-23'!P666)</f>
        <v>0</v>
      </c>
      <c r="T666" s="7">
        <f t="shared" si="10"/>
        <v>0</v>
      </c>
    </row>
    <row r="667" spans="1:20" x14ac:dyDescent="0.25">
      <c r="A667" t="s">
        <v>28</v>
      </c>
      <c r="B667" s="9" t="s">
        <v>289</v>
      </c>
      <c r="C667">
        <v>0</v>
      </c>
      <c r="D667">
        <v>0</v>
      </c>
      <c r="E667">
        <v>0</v>
      </c>
      <c r="F667" s="92">
        <v>3000000</v>
      </c>
      <c r="G667">
        <v>0</v>
      </c>
      <c r="H667">
        <v>0</v>
      </c>
      <c r="I667">
        <v>0</v>
      </c>
      <c r="J667">
        <v>0</v>
      </c>
      <c r="K667" s="92">
        <v>3000000</v>
      </c>
      <c r="L667">
        <v>0</v>
      </c>
      <c r="M667" t="s">
        <v>17</v>
      </c>
      <c r="N667" t="s">
        <v>20</v>
      </c>
      <c r="O667" t="s">
        <v>20</v>
      </c>
      <c r="P667" t="str">
        <f>VLOOKUP(B667,'CHECK_DT-BT_chi_tiet'!$A:$C,3,FALSE)</f>
        <v>BV Bạc Liêu</v>
      </c>
      <c r="Q667" t="str">
        <f>VLOOKUP(A667,Sheet3!$K$11:$L$21,2,FALSE)</f>
        <v>BH Trách nhiệm</v>
      </c>
      <c r="R667" t="str">
        <f>VLOOKUP(Q667,Sheet3!$L$11:$M$21,2,FALSE)</f>
        <v>HQ2</v>
      </c>
      <c r="S667" s="26">
        <f>SUMIFS('HQ2'!$O:$O,'HQ2'!$B:$B, "="&amp;'Tong_hop_HQNV_2026Q1_2026-06-23'!Q667, 'HQ2'!$A:$A,"="&amp;'Tong_hop_HQNV_2026Q1_2026-06-23'!P667)</f>
        <v>0</v>
      </c>
      <c r="T667" s="7">
        <f t="shared" si="10"/>
        <v>0</v>
      </c>
    </row>
    <row r="668" spans="1:20" x14ac:dyDescent="0.25">
      <c r="A668" t="s">
        <v>28</v>
      </c>
      <c r="B668" s="9" t="s">
        <v>294</v>
      </c>
      <c r="C668">
        <v>0</v>
      </c>
      <c r="D668">
        <v>0</v>
      </c>
      <c r="E668">
        <v>0</v>
      </c>
      <c r="F668">
        <v>96964890</v>
      </c>
      <c r="G668">
        <v>0</v>
      </c>
      <c r="H668">
        <v>0</v>
      </c>
      <c r="I668">
        <v>0</v>
      </c>
      <c r="J668">
        <v>0</v>
      </c>
      <c r="K668">
        <v>96964890</v>
      </c>
      <c r="L668">
        <v>0</v>
      </c>
      <c r="M668" t="s">
        <v>17</v>
      </c>
      <c r="N668" t="s">
        <v>20</v>
      </c>
      <c r="O668" t="s">
        <v>20</v>
      </c>
      <c r="P668" t="str">
        <f>VLOOKUP(B668,'CHECK_DT-BT_chi_tiet'!$A:$C,3,FALSE)</f>
        <v>BV Bình Dương</v>
      </c>
      <c r="Q668" t="str">
        <f>VLOOKUP(A668,Sheet3!$K$11:$L$21,2,FALSE)</f>
        <v>BH Trách nhiệm</v>
      </c>
      <c r="R668" t="str">
        <f>VLOOKUP(Q668,Sheet3!$L$11:$M$21,2,FALSE)</f>
        <v>HQ2</v>
      </c>
      <c r="S668" s="26">
        <f>SUMIFS('HQ2'!$O:$O,'HQ2'!$B:$B, "="&amp;'Tong_hop_HQNV_2026Q1_2026-06-23'!Q668, 'HQ2'!$A:$A,"="&amp;'Tong_hop_HQNV_2026Q1_2026-06-23'!P668)</f>
        <v>0</v>
      </c>
      <c r="T668" s="7">
        <f t="shared" si="10"/>
        <v>0</v>
      </c>
    </row>
    <row r="669" spans="1:20" x14ac:dyDescent="0.25">
      <c r="A669" t="s">
        <v>28</v>
      </c>
      <c r="B669" s="9" t="s">
        <v>293</v>
      </c>
      <c r="C669">
        <v>0</v>
      </c>
      <c r="D669">
        <v>0</v>
      </c>
      <c r="E669">
        <v>0</v>
      </c>
      <c r="F669">
        <v>7500000</v>
      </c>
      <c r="G669">
        <v>0</v>
      </c>
      <c r="H669">
        <v>0</v>
      </c>
      <c r="I669">
        <v>0</v>
      </c>
      <c r="J669">
        <v>0</v>
      </c>
      <c r="K669">
        <v>7500000</v>
      </c>
      <c r="L669">
        <v>0</v>
      </c>
      <c r="M669" t="s">
        <v>17</v>
      </c>
      <c r="N669" t="s">
        <v>20</v>
      </c>
      <c r="O669" t="s">
        <v>20</v>
      </c>
      <c r="P669" t="str">
        <f>VLOOKUP(B669,'CHECK_DT-BT_chi_tiet'!$A:$C,3,FALSE)</f>
        <v>BV Bình Định</v>
      </c>
      <c r="Q669" t="str">
        <f>VLOOKUP(A669,Sheet3!$K$11:$L$21,2,FALSE)</f>
        <v>BH Trách nhiệm</v>
      </c>
      <c r="R669" t="str">
        <f>VLOOKUP(Q669,Sheet3!$L$11:$M$21,2,FALSE)</f>
        <v>HQ2</v>
      </c>
      <c r="S669" s="26">
        <f>SUMIFS('HQ2'!$O:$O,'HQ2'!$B:$B, "="&amp;'Tong_hop_HQNV_2026Q1_2026-06-23'!Q669, 'HQ2'!$A:$A,"="&amp;'Tong_hop_HQNV_2026Q1_2026-06-23'!P669)</f>
        <v>0</v>
      </c>
      <c r="T669" s="7">
        <f t="shared" si="10"/>
        <v>0</v>
      </c>
    </row>
    <row r="670" spans="1:20" x14ac:dyDescent="0.25">
      <c r="A670" t="s">
        <v>28</v>
      </c>
      <c r="B670" s="9" t="s">
        <v>295</v>
      </c>
      <c r="C670">
        <v>0</v>
      </c>
      <c r="D670">
        <v>0</v>
      </c>
      <c r="E670">
        <v>0</v>
      </c>
      <c r="F670">
        <v>18982248</v>
      </c>
      <c r="G670">
        <v>0</v>
      </c>
      <c r="H670">
        <v>0</v>
      </c>
      <c r="I670">
        <v>0</v>
      </c>
      <c r="J670">
        <v>0</v>
      </c>
      <c r="K670">
        <v>18982248</v>
      </c>
      <c r="L670">
        <v>0</v>
      </c>
      <c r="M670" t="s">
        <v>17</v>
      </c>
      <c r="N670" t="s">
        <v>20</v>
      </c>
      <c r="O670" t="s">
        <v>20</v>
      </c>
      <c r="P670" t="str">
        <f>VLOOKUP(B670,'CHECK_DT-BT_chi_tiet'!$A:$C,3,FALSE)</f>
        <v>BV Bình Phước</v>
      </c>
      <c r="Q670" t="str">
        <f>VLOOKUP(A670,Sheet3!$K$11:$L$21,2,FALSE)</f>
        <v>BH Trách nhiệm</v>
      </c>
      <c r="R670" t="str">
        <f>VLOOKUP(Q670,Sheet3!$L$11:$M$21,2,FALSE)</f>
        <v>HQ2</v>
      </c>
      <c r="S670" s="26">
        <f>SUMIFS('HQ2'!$O:$O,'HQ2'!$B:$B, "="&amp;'Tong_hop_HQNV_2026Q1_2026-06-23'!Q670, 'HQ2'!$A:$A,"="&amp;'Tong_hop_HQNV_2026Q1_2026-06-23'!P670)</f>
        <v>0</v>
      </c>
      <c r="T670" s="7">
        <f t="shared" si="10"/>
        <v>0</v>
      </c>
    </row>
    <row r="671" spans="1:20" x14ac:dyDescent="0.25">
      <c r="A671" t="s">
        <v>28</v>
      </c>
      <c r="B671" s="9" t="s">
        <v>296</v>
      </c>
      <c r="C671">
        <v>0</v>
      </c>
      <c r="D671">
        <v>0</v>
      </c>
      <c r="E671">
        <v>0</v>
      </c>
      <c r="F671">
        <v>24038182</v>
      </c>
      <c r="G671">
        <v>0</v>
      </c>
      <c r="H671">
        <v>0</v>
      </c>
      <c r="I671">
        <v>0</v>
      </c>
      <c r="J671">
        <v>0</v>
      </c>
      <c r="K671">
        <v>24038182</v>
      </c>
      <c r="L671">
        <v>0</v>
      </c>
      <c r="M671" t="s">
        <v>17</v>
      </c>
      <c r="N671" t="s">
        <v>20</v>
      </c>
      <c r="O671" t="s">
        <v>20</v>
      </c>
      <c r="P671" t="str">
        <f>VLOOKUP(B671,'CHECK_DT-BT_chi_tiet'!$A:$C,3,FALSE)</f>
        <v>BV Bình Thuận</v>
      </c>
      <c r="Q671" t="str">
        <f>VLOOKUP(A671,Sheet3!$K$11:$L$21,2,FALSE)</f>
        <v>BH Trách nhiệm</v>
      </c>
      <c r="R671" t="str">
        <f>VLOOKUP(Q671,Sheet3!$L$11:$M$21,2,FALSE)</f>
        <v>HQ2</v>
      </c>
      <c r="S671" s="26">
        <f>SUMIFS('HQ2'!$O:$O,'HQ2'!$B:$B, "="&amp;'Tong_hop_HQNV_2026Q1_2026-06-23'!Q671, 'HQ2'!$A:$A,"="&amp;'Tong_hop_HQNV_2026Q1_2026-06-23'!P671)</f>
        <v>0</v>
      </c>
      <c r="T671" s="7">
        <f t="shared" si="10"/>
        <v>0</v>
      </c>
    </row>
    <row r="672" spans="1:20" x14ac:dyDescent="0.25">
      <c r="A672" t="s">
        <v>28</v>
      </c>
      <c r="B672" s="9" t="s">
        <v>297</v>
      </c>
      <c r="C672">
        <v>0</v>
      </c>
      <c r="D672">
        <v>0</v>
      </c>
      <c r="E672">
        <v>0</v>
      </c>
      <c r="F672">
        <v>0</v>
      </c>
      <c r="G672">
        <v>0</v>
      </c>
      <c r="H672">
        <v>0</v>
      </c>
      <c r="I672">
        <v>0</v>
      </c>
      <c r="J672">
        <v>0</v>
      </c>
      <c r="K672">
        <v>0</v>
      </c>
      <c r="L672">
        <v>0</v>
      </c>
      <c r="M672" t="s">
        <v>17</v>
      </c>
      <c r="N672" t="s">
        <v>20</v>
      </c>
      <c r="O672" t="s">
        <v>20</v>
      </c>
      <c r="P672" t="str">
        <f>VLOOKUP(B672,'CHECK_DT-BT_chi_tiet'!$A:$C,3,FALSE)</f>
        <v>BV Cà Mau</v>
      </c>
      <c r="Q672" t="str">
        <f>VLOOKUP(A672,Sheet3!$K$11:$L$21,2,FALSE)</f>
        <v>BH Trách nhiệm</v>
      </c>
      <c r="R672" t="str">
        <f>VLOOKUP(Q672,Sheet3!$L$11:$M$21,2,FALSE)</f>
        <v>HQ2</v>
      </c>
      <c r="S672" s="26">
        <f>SUMIFS('HQ2'!$O:$O,'HQ2'!$B:$B, "="&amp;'Tong_hop_HQNV_2026Q1_2026-06-23'!Q672, 'HQ2'!$A:$A,"="&amp;'Tong_hop_HQNV_2026Q1_2026-06-23'!P672)</f>
        <v>0</v>
      </c>
      <c r="T672" s="7">
        <f t="shared" si="10"/>
        <v>0</v>
      </c>
    </row>
    <row r="673" spans="1:20" x14ac:dyDescent="0.25">
      <c r="A673" t="s">
        <v>28</v>
      </c>
      <c r="B673" s="9" t="s">
        <v>298</v>
      </c>
      <c r="C673">
        <v>0</v>
      </c>
      <c r="D673">
        <v>0</v>
      </c>
      <c r="E673">
        <v>0</v>
      </c>
      <c r="F673">
        <v>137526364</v>
      </c>
      <c r="G673">
        <v>0</v>
      </c>
      <c r="H673">
        <v>0</v>
      </c>
      <c r="I673">
        <v>0</v>
      </c>
      <c r="J673">
        <v>0</v>
      </c>
      <c r="K673">
        <v>137526364</v>
      </c>
      <c r="L673">
        <v>0</v>
      </c>
      <c r="M673" t="s">
        <v>17</v>
      </c>
      <c r="N673" t="s">
        <v>20</v>
      </c>
      <c r="O673" t="s">
        <v>20</v>
      </c>
      <c r="P673" t="str">
        <f>VLOOKUP(B673,'CHECK_DT-BT_chi_tiet'!$A:$C,3,FALSE)</f>
        <v>BV Cần Thơ</v>
      </c>
      <c r="Q673" t="str">
        <f>VLOOKUP(A673,Sheet3!$K$11:$L$21,2,FALSE)</f>
        <v>BH Trách nhiệm</v>
      </c>
      <c r="R673" t="str">
        <f>VLOOKUP(Q673,Sheet3!$L$11:$M$21,2,FALSE)</f>
        <v>HQ2</v>
      </c>
      <c r="S673" s="26">
        <f>SUMIFS('HQ2'!$O:$O,'HQ2'!$B:$B, "="&amp;'Tong_hop_HQNV_2026Q1_2026-06-23'!Q673, 'HQ2'!$A:$A,"="&amp;'Tong_hop_HQNV_2026Q1_2026-06-23'!P673)</f>
        <v>0</v>
      </c>
      <c r="T673" s="7">
        <f t="shared" si="10"/>
        <v>0</v>
      </c>
    </row>
    <row r="674" spans="1:20" x14ac:dyDescent="0.25">
      <c r="A674" t="s">
        <v>28</v>
      </c>
      <c r="B674" s="9" t="s">
        <v>301</v>
      </c>
      <c r="C674">
        <v>0</v>
      </c>
      <c r="D674">
        <v>0</v>
      </c>
      <c r="E674">
        <v>0</v>
      </c>
      <c r="F674" s="92">
        <v>10000000</v>
      </c>
      <c r="G674">
        <v>0</v>
      </c>
      <c r="H674">
        <v>0</v>
      </c>
      <c r="I674">
        <v>0</v>
      </c>
      <c r="J674">
        <v>0</v>
      </c>
      <c r="K674" s="92">
        <v>10000000</v>
      </c>
      <c r="L674">
        <v>0</v>
      </c>
      <c r="M674" t="s">
        <v>17</v>
      </c>
      <c r="N674" t="s">
        <v>20</v>
      </c>
      <c r="O674" t="s">
        <v>20</v>
      </c>
      <c r="P674" t="str">
        <f>VLOOKUP(B674,'CHECK_DT-BT_chi_tiet'!$A:$C,3,FALSE)</f>
        <v>BV Dak Lak</v>
      </c>
      <c r="Q674" t="str">
        <f>VLOOKUP(A674,Sheet3!$K$11:$L$21,2,FALSE)</f>
        <v>BH Trách nhiệm</v>
      </c>
      <c r="R674" t="str">
        <f>VLOOKUP(Q674,Sheet3!$L$11:$M$21,2,FALSE)</f>
        <v>HQ2</v>
      </c>
      <c r="S674" s="26">
        <f>SUMIFS('HQ2'!$O:$O,'HQ2'!$B:$B, "="&amp;'Tong_hop_HQNV_2026Q1_2026-06-23'!Q674, 'HQ2'!$A:$A,"="&amp;'Tong_hop_HQNV_2026Q1_2026-06-23'!P674)</f>
        <v>0</v>
      </c>
      <c r="T674" s="7">
        <f t="shared" si="10"/>
        <v>0</v>
      </c>
    </row>
    <row r="675" spans="1:20" x14ac:dyDescent="0.25">
      <c r="A675" t="s">
        <v>28</v>
      </c>
      <c r="B675" s="9" t="s">
        <v>307</v>
      </c>
      <c r="C675">
        <v>0</v>
      </c>
      <c r="D675">
        <v>0</v>
      </c>
      <c r="E675">
        <v>0</v>
      </c>
      <c r="F675">
        <v>41100000</v>
      </c>
      <c r="G675">
        <v>0</v>
      </c>
      <c r="H675">
        <v>0</v>
      </c>
      <c r="I675">
        <v>0</v>
      </c>
      <c r="J675">
        <v>0</v>
      </c>
      <c r="K675">
        <v>41100000</v>
      </c>
      <c r="L675">
        <v>0</v>
      </c>
      <c r="M675" t="s">
        <v>17</v>
      </c>
      <c r="N675" t="s">
        <v>20</v>
      </c>
      <c r="O675" t="s">
        <v>20</v>
      </c>
      <c r="P675" t="str">
        <f>VLOOKUP(B675,'CHECK_DT-BT_chi_tiet'!$A:$C,3,FALSE)</f>
        <v>BV Đồng Nai</v>
      </c>
      <c r="Q675" t="str">
        <f>VLOOKUP(A675,Sheet3!$K$11:$L$21,2,FALSE)</f>
        <v>BH Trách nhiệm</v>
      </c>
      <c r="R675" t="str">
        <f>VLOOKUP(Q675,Sheet3!$L$11:$M$21,2,FALSE)</f>
        <v>HQ2</v>
      </c>
      <c r="S675" s="26">
        <f>SUMIFS('HQ2'!$O:$O,'HQ2'!$B:$B, "="&amp;'Tong_hop_HQNV_2026Q1_2026-06-23'!Q675, 'HQ2'!$A:$A,"="&amp;'Tong_hop_HQNV_2026Q1_2026-06-23'!P675)</f>
        <v>0</v>
      </c>
      <c r="T675" s="7">
        <f t="shared" si="10"/>
        <v>0</v>
      </c>
    </row>
    <row r="676" spans="1:20" x14ac:dyDescent="0.25">
      <c r="A676" t="s">
        <v>28</v>
      </c>
      <c r="B676" s="9" t="s">
        <v>308</v>
      </c>
      <c r="C676">
        <v>0</v>
      </c>
      <c r="D676">
        <v>0</v>
      </c>
      <c r="E676">
        <v>0</v>
      </c>
      <c r="F676">
        <v>51450000</v>
      </c>
      <c r="G676">
        <v>0</v>
      </c>
      <c r="H676">
        <v>0</v>
      </c>
      <c r="I676">
        <v>0</v>
      </c>
      <c r="J676">
        <v>0</v>
      </c>
      <c r="K676">
        <v>51450000</v>
      </c>
      <c r="L676">
        <v>0</v>
      </c>
      <c r="M676" t="s">
        <v>17</v>
      </c>
      <c r="N676" t="s">
        <v>20</v>
      </c>
      <c r="O676" t="s">
        <v>20</v>
      </c>
      <c r="P676" t="str">
        <f>VLOOKUP(B676,'CHECK_DT-BT_chi_tiet'!$A:$C,3,FALSE)</f>
        <v>BV Đồng Tháp</v>
      </c>
      <c r="Q676" t="str">
        <f>VLOOKUP(A676,Sheet3!$K$11:$L$21,2,FALSE)</f>
        <v>BH Trách nhiệm</v>
      </c>
      <c r="R676" t="str">
        <f>VLOOKUP(Q676,Sheet3!$L$11:$M$21,2,FALSE)</f>
        <v>HQ2</v>
      </c>
      <c r="S676" s="26">
        <f>SUMIFS('HQ2'!$O:$O,'HQ2'!$B:$B, "="&amp;'Tong_hop_HQNV_2026Q1_2026-06-23'!Q676, 'HQ2'!$A:$A,"="&amp;'Tong_hop_HQNV_2026Q1_2026-06-23'!P676)</f>
        <v>0</v>
      </c>
      <c r="T676" s="7">
        <f t="shared" si="10"/>
        <v>0</v>
      </c>
    </row>
    <row r="677" spans="1:20" x14ac:dyDescent="0.25">
      <c r="A677" t="s">
        <v>28</v>
      </c>
      <c r="B677" s="9" t="s">
        <v>310</v>
      </c>
      <c r="C677">
        <v>0</v>
      </c>
      <c r="D677">
        <v>0</v>
      </c>
      <c r="E677">
        <v>0</v>
      </c>
      <c r="F677">
        <v>222033636</v>
      </c>
      <c r="G677">
        <v>0</v>
      </c>
      <c r="H677">
        <v>0</v>
      </c>
      <c r="I677">
        <v>0</v>
      </c>
      <c r="J677">
        <v>0</v>
      </c>
      <c r="K677">
        <v>222033636</v>
      </c>
      <c r="L677">
        <v>0</v>
      </c>
      <c r="M677" t="s">
        <v>17</v>
      </c>
      <c r="N677" t="s">
        <v>20</v>
      </c>
      <c r="O677" t="s">
        <v>20</v>
      </c>
      <c r="P677" t="str">
        <f>VLOOKUP(B677,'CHECK_DT-BT_chi_tiet'!$A:$C,3,FALSE)</f>
        <v>BV Gia Lai</v>
      </c>
      <c r="Q677" t="str">
        <f>VLOOKUP(A677,Sheet3!$K$11:$L$21,2,FALSE)</f>
        <v>BH Trách nhiệm</v>
      </c>
      <c r="R677" t="str">
        <f>VLOOKUP(Q677,Sheet3!$L$11:$M$21,2,FALSE)</f>
        <v>HQ2</v>
      </c>
      <c r="S677" s="26">
        <f>SUMIFS('HQ2'!$O:$O,'HQ2'!$B:$B, "="&amp;'Tong_hop_HQNV_2026Q1_2026-06-23'!Q677, 'HQ2'!$A:$A,"="&amp;'Tong_hop_HQNV_2026Q1_2026-06-23'!P677)</f>
        <v>0</v>
      </c>
      <c r="T677" s="7">
        <f t="shared" si="10"/>
        <v>0</v>
      </c>
    </row>
    <row r="678" spans="1:20" x14ac:dyDescent="0.25">
      <c r="A678" t="s">
        <v>28</v>
      </c>
      <c r="B678" s="9" t="s">
        <v>315</v>
      </c>
      <c r="C678">
        <v>0</v>
      </c>
      <c r="D678">
        <v>0</v>
      </c>
      <c r="E678">
        <v>0</v>
      </c>
      <c r="F678">
        <v>496558000</v>
      </c>
      <c r="G678">
        <v>0</v>
      </c>
      <c r="H678">
        <v>0</v>
      </c>
      <c r="I678">
        <v>0</v>
      </c>
      <c r="J678">
        <v>0</v>
      </c>
      <c r="K678">
        <v>496558000</v>
      </c>
      <c r="L678">
        <v>0</v>
      </c>
      <c r="M678" t="s">
        <v>17</v>
      </c>
      <c r="N678" t="s">
        <v>20</v>
      </c>
      <c r="O678" t="s">
        <v>20</v>
      </c>
      <c r="P678" t="str">
        <f>VLOOKUP(B678,'CHECK_DT-BT_chi_tiet'!$A:$C,3,FALSE)</f>
        <v>BV Hà Tĩnh</v>
      </c>
      <c r="Q678" t="str">
        <f>VLOOKUP(A678,Sheet3!$K$11:$L$21,2,FALSE)</f>
        <v>BH Trách nhiệm</v>
      </c>
      <c r="R678" t="str">
        <f>VLOOKUP(Q678,Sheet3!$L$11:$M$21,2,FALSE)</f>
        <v>HQ2</v>
      </c>
      <c r="S678" s="26">
        <f>SUMIFS('HQ2'!$O:$O,'HQ2'!$B:$B, "="&amp;'Tong_hop_HQNV_2026Q1_2026-06-23'!Q678, 'HQ2'!$A:$A,"="&amp;'Tong_hop_HQNV_2026Q1_2026-06-23'!P678)</f>
        <v>0</v>
      </c>
      <c r="T678" s="7">
        <f t="shared" si="10"/>
        <v>0</v>
      </c>
    </row>
    <row r="679" spans="1:20" x14ac:dyDescent="0.25">
      <c r="A679" t="s">
        <v>28</v>
      </c>
      <c r="B679" s="9" t="s">
        <v>316</v>
      </c>
      <c r="C679">
        <v>0</v>
      </c>
      <c r="D679">
        <v>0</v>
      </c>
      <c r="E679">
        <v>0</v>
      </c>
      <c r="F679">
        <v>146613090</v>
      </c>
      <c r="G679">
        <v>0</v>
      </c>
      <c r="H679">
        <v>0</v>
      </c>
      <c r="I679">
        <v>0</v>
      </c>
      <c r="J679">
        <v>0</v>
      </c>
      <c r="K679">
        <v>146613090</v>
      </c>
      <c r="L679">
        <v>0</v>
      </c>
      <c r="M679" t="s">
        <v>17</v>
      </c>
      <c r="N679" t="s">
        <v>20</v>
      </c>
      <c r="O679" t="s">
        <v>20</v>
      </c>
      <c r="P679" t="str">
        <f>VLOOKUP(B679,'CHECK_DT-BT_chi_tiet'!$A:$C,3,FALSE)</f>
        <v>BV Hải Dương</v>
      </c>
      <c r="Q679" t="str">
        <f>VLOOKUP(A679,Sheet3!$K$11:$L$21,2,FALSE)</f>
        <v>BH Trách nhiệm</v>
      </c>
      <c r="R679" t="str">
        <f>VLOOKUP(Q679,Sheet3!$L$11:$M$21,2,FALSE)</f>
        <v>HQ2</v>
      </c>
      <c r="S679" s="26">
        <f>SUMIFS('HQ2'!$O:$O,'HQ2'!$B:$B, "="&amp;'Tong_hop_HQNV_2026Q1_2026-06-23'!Q679, 'HQ2'!$A:$A,"="&amp;'Tong_hop_HQNV_2026Q1_2026-06-23'!P679)</f>
        <v>0</v>
      </c>
      <c r="T679" s="7">
        <f t="shared" si="10"/>
        <v>0</v>
      </c>
    </row>
    <row r="680" spans="1:20" x14ac:dyDescent="0.25">
      <c r="A680" t="s">
        <v>28</v>
      </c>
      <c r="B680" s="9" t="s">
        <v>321</v>
      </c>
      <c r="C680">
        <v>0</v>
      </c>
      <c r="D680">
        <v>0</v>
      </c>
      <c r="E680">
        <v>0</v>
      </c>
      <c r="F680">
        <v>527997622</v>
      </c>
      <c r="G680">
        <v>0</v>
      </c>
      <c r="H680">
        <v>0</v>
      </c>
      <c r="I680">
        <v>0</v>
      </c>
      <c r="J680">
        <v>0</v>
      </c>
      <c r="K680">
        <v>527997622</v>
      </c>
      <c r="L680">
        <v>0</v>
      </c>
      <c r="M680" t="s">
        <v>17</v>
      </c>
      <c r="N680" t="s">
        <v>20</v>
      </c>
      <c r="O680" t="s">
        <v>20</v>
      </c>
      <c r="P680" t="str">
        <f>VLOOKUP(B680,'CHECK_DT-BT_chi_tiet'!$A:$C,3,FALSE)</f>
        <v>BV Khánh Hòa</v>
      </c>
      <c r="Q680" t="str">
        <f>VLOOKUP(A680,Sheet3!$K$11:$L$21,2,FALSE)</f>
        <v>BH Trách nhiệm</v>
      </c>
      <c r="R680" t="str">
        <f>VLOOKUP(Q680,Sheet3!$L$11:$M$21,2,FALSE)</f>
        <v>HQ2</v>
      </c>
      <c r="S680" s="26">
        <f>SUMIFS('HQ2'!$O:$O,'HQ2'!$B:$B, "="&amp;'Tong_hop_HQNV_2026Q1_2026-06-23'!Q680, 'HQ2'!$A:$A,"="&amp;'Tong_hop_HQNV_2026Q1_2026-06-23'!P680)</f>
        <v>0</v>
      </c>
      <c r="T680" s="7">
        <f t="shared" si="10"/>
        <v>0</v>
      </c>
    </row>
    <row r="681" spans="1:20" x14ac:dyDescent="0.25">
      <c r="A681" t="s">
        <v>28</v>
      </c>
      <c r="B681" s="9" t="s">
        <v>322</v>
      </c>
      <c r="C681">
        <v>0</v>
      </c>
      <c r="D681">
        <v>0</v>
      </c>
      <c r="E681">
        <v>0</v>
      </c>
      <c r="F681" s="92">
        <v>18000000</v>
      </c>
      <c r="G681">
        <v>0</v>
      </c>
      <c r="H681">
        <v>0</v>
      </c>
      <c r="I681">
        <v>0</v>
      </c>
      <c r="J681">
        <v>0</v>
      </c>
      <c r="K681" s="92">
        <v>18000000</v>
      </c>
      <c r="L681">
        <v>0</v>
      </c>
      <c r="M681" t="s">
        <v>17</v>
      </c>
      <c r="N681" t="s">
        <v>20</v>
      </c>
      <c r="O681" t="s">
        <v>20</v>
      </c>
      <c r="P681" t="str">
        <f>VLOOKUP(B681,'CHECK_DT-BT_chi_tiet'!$A:$C,3,FALSE)</f>
        <v>BV Kiên Giang</v>
      </c>
      <c r="Q681" t="str">
        <f>VLOOKUP(A681,Sheet3!$K$11:$L$21,2,FALSE)</f>
        <v>BH Trách nhiệm</v>
      </c>
      <c r="R681" t="str">
        <f>VLOOKUP(Q681,Sheet3!$L$11:$M$21,2,FALSE)</f>
        <v>HQ2</v>
      </c>
      <c r="S681" s="26">
        <f>SUMIFS('HQ2'!$O:$O,'HQ2'!$B:$B, "="&amp;'Tong_hop_HQNV_2026Q1_2026-06-23'!Q681, 'HQ2'!$A:$A,"="&amp;'Tong_hop_HQNV_2026Q1_2026-06-23'!P681)</f>
        <v>0</v>
      </c>
      <c r="T681" s="7">
        <f t="shared" si="10"/>
        <v>0</v>
      </c>
    </row>
    <row r="682" spans="1:20" x14ac:dyDescent="0.25">
      <c r="A682" t="s">
        <v>28</v>
      </c>
      <c r="B682" s="9" t="s">
        <v>325</v>
      </c>
      <c r="C682">
        <v>0</v>
      </c>
      <c r="D682">
        <v>0</v>
      </c>
      <c r="E682">
        <v>0</v>
      </c>
      <c r="F682" s="92">
        <v>6000000</v>
      </c>
      <c r="G682">
        <v>0</v>
      </c>
      <c r="H682">
        <v>0</v>
      </c>
      <c r="I682">
        <v>0</v>
      </c>
      <c r="J682">
        <v>0</v>
      </c>
      <c r="K682" s="92">
        <v>6000000</v>
      </c>
      <c r="L682">
        <v>0</v>
      </c>
      <c r="M682" t="s">
        <v>17</v>
      </c>
      <c r="N682" t="s">
        <v>20</v>
      </c>
      <c r="O682" t="s">
        <v>20</v>
      </c>
      <c r="P682" t="str">
        <f>VLOOKUP(B682,'CHECK_DT-BT_chi_tiet'!$A:$C,3,FALSE)</f>
        <v>BV Lâm Đồng</v>
      </c>
      <c r="Q682" t="str">
        <f>VLOOKUP(A682,Sheet3!$K$11:$L$21,2,FALSE)</f>
        <v>BH Trách nhiệm</v>
      </c>
      <c r="R682" t="str">
        <f>VLOOKUP(Q682,Sheet3!$L$11:$M$21,2,FALSE)</f>
        <v>HQ2</v>
      </c>
      <c r="S682" s="26">
        <f>SUMIFS('HQ2'!$O:$O,'HQ2'!$B:$B, "="&amp;'Tong_hop_HQNV_2026Q1_2026-06-23'!Q682, 'HQ2'!$A:$A,"="&amp;'Tong_hop_HQNV_2026Q1_2026-06-23'!P682)</f>
        <v>0</v>
      </c>
      <c r="T682" s="7">
        <f t="shared" si="10"/>
        <v>0</v>
      </c>
    </row>
    <row r="683" spans="1:20" x14ac:dyDescent="0.25">
      <c r="A683" t="s">
        <v>28</v>
      </c>
      <c r="B683" s="9" t="s">
        <v>303</v>
      </c>
      <c r="C683">
        <v>0</v>
      </c>
      <c r="D683">
        <v>0</v>
      </c>
      <c r="E683">
        <v>0</v>
      </c>
      <c r="F683">
        <v>65469091</v>
      </c>
      <c r="G683">
        <v>0</v>
      </c>
      <c r="H683">
        <v>0</v>
      </c>
      <c r="I683">
        <v>0</v>
      </c>
      <c r="J683">
        <v>0</v>
      </c>
      <c r="K683">
        <v>65469091</v>
      </c>
      <c r="L683">
        <v>0</v>
      </c>
      <c r="M683" t="s">
        <v>17</v>
      </c>
      <c r="N683" t="s">
        <v>20</v>
      </c>
      <c r="O683" t="s">
        <v>20</v>
      </c>
      <c r="P683" t="str">
        <f>VLOOKUP(B683,'CHECK_DT-BT_chi_tiet'!$A:$C,3,FALSE)</f>
        <v>BV Điện Biên</v>
      </c>
      <c r="Q683" t="str">
        <f>VLOOKUP(A683,Sheet3!$K$11:$L$21,2,FALSE)</f>
        <v>BH Trách nhiệm</v>
      </c>
      <c r="R683" t="str">
        <f>VLOOKUP(Q683,Sheet3!$L$11:$M$21,2,FALSE)</f>
        <v>HQ2</v>
      </c>
      <c r="S683" s="26">
        <f>SUMIFS('HQ2'!$O:$O,'HQ2'!$B:$B, "="&amp;'Tong_hop_HQNV_2026Q1_2026-06-23'!Q683, 'HQ2'!$A:$A,"="&amp;'Tong_hop_HQNV_2026Q1_2026-06-23'!P683)</f>
        <v>0</v>
      </c>
      <c r="T683" s="7">
        <f t="shared" si="10"/>
        <v>0</v>
      </c>
    </row>
    <row r="684" spans="1:20" x14ac:dyDescent="0.25">
      <c r="A684" t="s">
        <v>28</v>
      </c>
      <c r="B684" s="9" t="s">
        <v>332</v>
      </c>
      <c r="C684">
        <v>0</v>
      </c>
      <c r="D684">
        <v>0</v>
      </c>
      <c r="E684">
        <v>0</v>
      </c>
      <c r="F684" s="92">
        <v>16000000</v>
      </c>
      <c r="G684">
        <v>0</v>
      </c>
      <c r="H684">
        <v>0</v>
      </c>
      <c r="I684">
        <v>0</v>
      </c>
      <c r="J684">
        <v>0</v>
      </c>
      <c r="K684" s="92">
        <v>16000000</v>
      </c>
      <c r="L684">
        <v>0</v>
      </c>
      <c r="M684" t="s">
        <v>17</v>
      </c>
      <c r="N684" t="s">
        <v>20</v>
      </c>
      <c r="O684" t="s">
        <v>20</v>
      </c>
      <c r="P684" t="str">
        <f>VLOOKUP(B684,'CHECK_DT-BT_chi_tiet'!$A:$C,3,FALSE)</f>
        <v>BV Nam Định</v>
      </c>
      <c r="Q684" t="str">
        <f>VLOOKUP(A684,Sheet3!$K$11:$L$21,2,FALSE)</f>
        <v>BH Trách nhiệm</v>
      </c>
      <c r="R684" t="str">
        <f>VLOOKUP(Q684,Sheet3!$L$11:$M$21,2,FALSE)</f>
        <v>HQ2</v>
      </c>
      <c r="S684" s="26">
        <f>SUMIFS('HQ2'!$O:$O,'HQ2'!$B:$B, "="&amp;'Tong_hop_HQNV_2026Q1_2026-06-23'!Q684, 'HQ2'!$A:$A,"="&amp;'Tong_hop_HQNV_2026Q1_2026-06-23'!P684)</f>
        <v>0</v>
      </c>
      <c r="T684" s="7">
        <f t="shared" si="10"/>
        <v>0</v>
      </c>
    </row>
    <row r="685" spans="1:20" x14ac:dyDescent="0.25">
      <c r="A685" t="s">
        <v>28</v>
      </c>
      <c r="B685" s="9" t="s">
        <v>333</v>
      </c>
      <c r="C685">
        <v>0</v>
      </c>
      <c r="D685">
        <v>0</v>
      </c>
      <c r="E685">
        <v>0</v>
      </c>
      <c r="F685" s="92">
        <v>877000000</v>
      </c>
      <c r="G685">
        <v>0</v>
      </c>
      <c r="H685">
        <v>0</v>
      </c>
      <c r="I685">
        <v>0</v>
      </c>
      <c r="J685">
        <v>0</v>
      </c>
      <c r="K685" s="92">
        <v>877000000</v>
      </c>
      <c r="L685">
        <v>0</v>
      </c>
      <c r="M685" t="s">
        <v>17</v>
      </c>
      <c r="N685" t="s">
        <v>20</v>
      </c>
      <c r="O685" t="s">
        <v>20</v>
      </c>
      <c r="P685" t="str">
        <f>VLOOKUP(B685,'CHECK_DT-BT_chi_tiet'!$A:$C,3,FALSE)</f>
        <v>BV Nghệ An</v>
      </c>
      <c r="Q685" t="str">
        <f>VLOOKUP(A685,Sheet3!$K$11:$L$21,2,FALSE)</f>
        <v>BH Trách nhiệm</v>
      </c>
      <c r="R685" t="str">
        <f>VLOOKUP(Q685,Sheet3!$L$11:$M$21,2,FALSE)</f>
        <v>HQ2</v>
      </c>
      <c r="S685" s="26">
        <f>SUMIFS('HQ2'!$O:$O,'HQ2'!$B:$B, "="&amp;'Tong_hop_HQNV_2026Q1_2026-06-23'!Q685, 'HQ2'!$A:$A,"="&amp;'Tong_hop_HQNV_2026Q1_2026-06-23'!P685)</f>
        <v>0</v>
      </c>
      <c r="T685" s="7">
        <f t="shared" si="10"/>
        <v>0</v>
      </c>
    </row>
    <row r="686" spans="1:20" x14ac:dyDescent="0.25">
      <c r="A686" t="s">
        <v>28</v>
      </c>
      <c r="B686" s="9" t="s">
        <v>338</v>
      </c>
      <c r="C686">
        <v>0</v>
      </c>
      <c r="D686">
        <v>0</v>
      </c>
      <c r="E686">
        <v>0</v>
      </c>
      <c r="F686">
        <v>333486460</v>
      </c>
      <c r="G686">
        <v>0</v>
      </c>
      <c r="H686">
        <v>0</v>
      </c>
      <c r="I686">
        <v>0</v>
      </c>
      <c r="J686">
        <v>0</v>
      </c>
      <c r="K686">
        <v>333486460</v>
      </c>
      <c r="L686">
        <v>0</v>
      </c>
      <c r="M686" t="s">
        <v>17</v>
      </c>
      <c r="N686" t="s">
        <v>20</v>
      </c>
      <c r="O686" t="s">
        <v>20</v>
      </c>
      <c r="P686" t="str">
        <f>VLOOKUP(B686,'CHECK_DT-BT_chi_tiet'!$A:$C,3,FALSE)</f>
        <v>BV Phú Thọ</v>
      </c>
      <c r="Q686" t="str">
        <f>VLOOKUP(A686,Sheet3!$K$11:$L$21,2,FALSE)</f>
        <v>BH Trách nhiệm</v>
      </c>
      <c r="R686" t="str">
        <f>VLOOKUP(Q686,Sheet3!$L$11:$M$21,2,FALSE)</f>
        <v>HQ2</v>
      </c>
      <c r="S686" s="26">
        <f>SUMIFS('HQ2'!$O:$O,'HQ2'!$B:$B, "="&amp;'Tong_hop_HQNV_2026Q1_2026-06-23'!Q686, 'HQ2'!$A:$A,"="&amp;'Tong_hop_HQNV_2026Q1_2026-06-23'!P686)</f>
        <v>0</v>
      </c>
      <c r="T686" s="7">
        <f t="shared" si="10"/>
        <v>0</v>
      </c>
    </row>
    <row r="687" spans="1:20" x14ac:dyDescent="0.25">
      <c r="A687" t="s">
        <v>28</v>
      </c>
      <c r="B687" s="9" t="s">
        <v>339</v>
      </c>
      <c r="C687">
        <v>0</v>
      </c>
      <c r="D687">
        <v>0</v>
      </c>
      <c r="E687">
        <v>0</v>
      </c>
      <c r="F687">
        <v>2562500</v>
      </c>
      <c r="G687">
        <v>0</v>
      </c>
      <c r="H687">
        <v>0</v>
      </c>
      <c r="I687">
        <v>0</v>
      </c>
      <c r="J687">
        <v>0</v>
      </c>
      <c r="K687">
        <v>2562500</v>
      </c>
      <c r="L687">
        <v>0</v>
      </c>
      <c r="M687" t="s">
        <v>17</v>
      </c>
      <c r="N687" t="s">
        <v>20</v>
      </c>
      <c r="O687" t="s">
        <v>20</v>
      </c>
      <c r="P687" t="str">
        <f>VLOOKUP(B687,'CHECK_DT-BT_chi_tiet'!$A:$C,3,FALSE)</f>
        <v>BV Phú Yên</v>
      </c>
      <c r="Q687" t="str">
        <f>VLOOKUP(A687,Sheet3!$K$11:$L$21,2,FALSE)</f>
        <v>BH Trách nhiệm</v>
      </c>
      <c r="R687" t="str">
        <f>VLOOKUP(Q687,Sheet3!$L$11:$M$21,2,FALSE)</f>
        <v>HQ2</v>
      </c>
      <c r="S687" s="26">
        <f>SUMIFS('HQ2'!$O:$O,'HQ2'!$B:$B, "="&amp;'Tong_hop_HQNV_2026Q1_2026-06-23'!Q687, 'HQ2'!$A:$A,"="&amp;'Tong_hop_HQNV_2026Q1_2026-06-23'!P687)</f>
        <v>0</v>
      </c>
      <c r="T687" s="7">
        <f t="shared" si="10"/>
        <v>0</v>
      </c>
    </row>
    <row r="688" spans="1:20" x14ac:dyDescent="0.25">
      <c r="A688" t="s">
        <v>28</v>
      </c>
      <c r="B688" s="9" t="s">
        <v>341</v>
      </c>
      <c r="C688">
        <v>0</v>
      </c>
      <c r="D688">
        <v>0</v>
      </c>
      <c r="E688">
        <v>0</v>
      </c>
      <c r="F688">
        <v>5318182</v>
      </c>
      <c r="G688">
        <v>0</v>
      </c>
      <c r="H688">
        <v>0</v>
      </c>
      <c r="I688">
        <v>0</v>
      </c>
      <c r="J688">
        <v>0</v>
      </c>
      <c r="K688">
        <v>5318182</v>
      </c>
      <c r="L688">
        <v>0</v>
      </c>
      <c r="M688" t="s">
        <v>17</v>
      </c>
      <c r="N688" t="s">
        <v>20</v>
      </c>
      <c r="O688" t="s">
        <v>20</v>
      </c>
      <c r="P688" t="str">
        <f>VLOOKUP(B688,'CHECK_DT-BT_chi_tiet'!$A:$C,3,FALSE)</f>
        <v>BV Quảng Nam</v>
      </c>
      <c r="Q688" t="str">
        <f>VLOOKUP(A688,Sheet3!$K$11:$L$21,2,FALSE)</f>
        <v>BH Trách nhiệm</v>
      </c>
      <c r="R688" t="str">
        <f>VLOOKUP(Q688,Sheet3!$L$11:$M$21,2,FALSE)</f>
        <v>HQ2</v>
      </c>
      <c r="S688" s="26">
        <f>SUMIFS('HQ2'!$O:$O,'HQ2'!$B:$B, "="&amp;'Tong_hop_HQNV_2026Q1_2026-06-23'!Q688, 'HQ2'!$A:$A,"="&amp;'Tong_hop_HQNV_2026Q1_2026-06-23'!P688)</f>
        <v>0</v>
      </c>
      <c r="T688" s="7">
        <f t="shared" si="10"/>
        <v>0</v>
      </c>
    </row>
    <row r="689" spans="1:20" x14ac:dyDescent="0.25">
      <c r="A689" t="s">
        <v>28</v>
      </c>
      <c r="B689" s="9" t="s">
        <v>346</v>
      </c>
      <c r="C689">
        <v>0</v>
      </c>
      <c r="D689">
        <v>0</v>
      </c>
      <c r="E689">
        <v>0</v>
      </c>
      <c r="F689">
        <v>59509091</v>
      </c>
      <c r="G689">
        <v>0</v>
      </c>
      <c r="H689">
        <v>0</v>
      </c>
      <c r="I689">
        <v>0</v>
      </c>
      <c r="J689">
        <v>0</v>
      </c>
      <c r="K689">
        <v>59509091</v>
      </c>
      <c r="L689">
        <v>0</v>
      </c>
      <c r="M689" t="s">
        <v>17</v>
      </c>
      <c r="N689" t="s">
        <v>20</v>
      </c>
      <c r="O689" t="s">
        <v>20</v>
      </c>
      <c r="P689" t="str">
        <f>VLOOKUP(B689,'CHECK_DT-BT_chi_tiet'!$A:$C,3,FALSE)</f>
        <v>BV Sóc Trăng</v>
      </c>
      <c r="Q689" t="str">
        <f>VLOOKUP(A689,Sheet3!$K$11:$L$21,2,FALSE)</f>
        <v>BH Trách nhiệm</v>
      </c>
      <c r="R689" t="str">
        <f>VLOOKUP(Q689,Sheet3!$L$11:$M$21,2,FALSE)</f>
        <v>HQ2</v>
      </c>
      <c r="S689" s="26">
        <f>SUMIFS('HQ2'!$O:$O,'HQ2'!$B:$B, "="&amp;'Tong_hop_HQNV_2026Q1_2026-06-23'!Q689, 'HQ2'!$A:$A,"="&amp;'Tong_hop_HQNV_2026Q1_2026-06-23'!P689)</f>
        <v>0</v>
      </c>
      <c r="T689" s="7">
        <f t="shared" si="10"/>
        <v>0</v>
      </c>
    </row>
    <row r="690" spans="1:20" x14ac:dyDescent="0.25">
      <c r="A690" t="s">
        <v>28</v>
      </c>
      <c r="B690" s="9" t="s">
        <v>349</v>
      </c>
      <c r="C690">
        <v>0</v>
      </c>
      <c r="D690">
        <v>0</v>
      </c>
      <c r="E690">
        <v>0</v>
      </c>
      <c r="F690">
        <v>88627970</v>
      </c>
      <c r="G690">
        <v>0</v>
      </c>
      <c r="H690">
        <v>0</v>
      </c>
      <c r="I690">
        <v>0</v>
      </c>
      <c r="J690">
        <v>0</v>
      </c>
      <c r="K690">
        <v>88627970</v>
      </c>
      <c r="L690">
        <v>0</v>
      </c>
      <c r="M690" t="s">
        <v>17</v>
      </c>
      <c r="N690" t="s">
        <v>20</v>
      </c>
      <c r="O690" t="s">
        <v>20</v>
      </c>
      <c r="P690" t="str">
        <f>VLOOKUP(B690,'CHECK_DT-BT_chi_tiet'!$A:$C,3,FALSE)</f>
        <v>BV Tây Ninh</v>
      </c>
      <c r="Q690" t="str">
        <f>VLOOKUP(A690,Sheet3!$K$11:$L$21,2,FALSE)</f>
        <v>BH Trách nhiệm</v>
      </c>
      <c r="R690" t="str">
        <f>VLOOKUP(Q690,Sheet3!$L$11:$M$21,2,FALSE)</f>
        <v>HQ2</v>
      </c>
      <c r="S690" s="26">
        <f>SUMIFS('HQ2'!$O:$O,'HQ2'!$B:$B, "="&amp;'Tong_hop_HQNV_2026Q1_2026-06-23'!Q690, 'HQ2'!$A:$A,"="&amp;'Tong_hop_HQNV_2026Q1_2026-06-23'!P690)</f>
        <v>0</v>
      </c>
      <c r="T690" s="7">
        <f t="shared" si="10"/>
        <v>0</v>
      </c>
    </row>
    <row r="691" spans="1:20" x14ac:dyDescent="0.25">
      <c r="A691" t="s">
        <v>28</v>
      </c>
      <c r="B691" s="9" t="s">
        <v>350</v>
      </c>
      <c r="C691">
        <v>0</v>
      </c>
      <c r="D691">
        <v>0</v>
      </c>
      <c r="E691">
        <v>0</v>
      </c>
      <c r="F691">
        <v>259089886</v>
      </c>
      <c r="G691">
        <v>0</v>
      </c>
      <c r="H691">
        <v>0</v>
      </c>
      <c r="I691">
        <v>0</v>
      </c>
      <c r="J691">
        <v>0</v>
      </c>
      <c r="K691">
        <v>259089886</v>
      </c>
      <c r="L691">
        <v>0</v>
      </c>
      <c r="M691" t="s">
        <v>17</v>
      </c>
      <c r="N691" t="s">
        <v>20</v>
      </c>
      <c r="O691" t="s">
        <v>20</v>
      </c>
      <c r="P691" t="str">
        <f>VLOOKUP(B691,'CHECK_DT-BT_chi_tiet'!$A:$C,3,FALSE)</f>
        <v>BV Thái Bình</v>
      </c>
      <c r="Q691" t="str">
        <f>VLOOKUP(A691,Sheet3!$K$11:$L$21,2,FALSE)</f>
        <v>BH Trách nhiệm</v>
      </c>
      <c r="R691" t="str">
        <f>VLOOKUP(Q691,Sheet3!$L$11:$M$21,2,FALSE)</f>
        <v>HQ2</v>
      </c>
      <c r="S691" s="26">
        <f>SUMIFS('HQ2'!$O:$O,'HQ2'!$B:$B, "="&amp;'Tong_hop_HQNV_2026Q1_2026-06-23'!Q691, 'HQ2'!$A:$A,"="&amp;'Tong_hop_HQNV_2026Q1_2026-06-23'!P691)</f>
        <v>0</v>
      </c>
      <c r="T691" s="7">
        <f t="shared" si="10"/>
        <v>0</v>
      </c>
    </row>
    <row r="692" spans="1:20" x14ac:dyDescent="0.25">
      <c r="A692" t="s">
        <v>28</v>
      </c>
      <c r="B692" s="9" t="s">
        <v>353</v>
      </c>
      <c r="C692">
        <v>0</v>
      </c>
      <c r="D692">
        <v>0</v>
      </c>
      <c r="E692">
        <v>0</v>
      </c>
      <c r="F692" s="92">
        <v>21000000</v>
      </c>
      <c r="G692">
        <v>0</v>
      </c>
      <c r="H692">
        <v>0</v>
      </c>
      <c r="I692">
        <v>0</v>
      </c>
      <c r="J692">
        <v>0</v>
      </c>
      <c r="K692" s="92">
        <v>21000000</v>
      </c>
      <c r="L692">
        <v>0</v>
      </c>
      <c r="M692" t="s">
        <v>17</v>
      </c>
      <c r="N692" t="s">
        <v>20</v>
      </c>
      <c r="O692" t="s">
        <v>20</v>
      </c>
      <c r="P692" t="str">
        <f>VLOOKUP(B692,'CHECK_DT-BT_chi_tiet'!$A:$C,3,FALSE)</f>
        <v>BV Thanh Hóa</v>
      </c>
      <c r="Q692" t="str">
        <f>VLOOKUP(A692,Sheet3!$K$11:$L$21,2,FALSE)</f>
        <v>BH Trách nhiệm</v>
      </c>
      <c r="R692" t="str">
        <f>VLOOKUP(Q692,Sheet3!$L$11:$M$21,2,FALSE)</f>
        <v>HQ2</v>
      </c>
      <c r="S692" s="26">
        <f>SUMIFS('HQ2'!$O:$O,'HQ2'!$B:$B, "="&amp;'Tong_hop_HQNV_2026Q1_2026-06-23'!Q692, 'HQ2'!$A:$A,"="&amp;'Tong_hop_HQNV_2026Q1_2026-06-23'!P692)</f>
        <v>0</v>
      </c>
      <c r="T692" s="7">
        <f t="shared" si="10"/>
        <v>0</v>
      </c>
    </row>
    <row r="693" spans="1:20" x14ac:dyDescent="0.25">
      <c r="A693" t="s">
        <v>28</v>
      </c>
      <c r="B693" s="9" t="s">
        <v>355</v>
      </c>
      <c r="C693">
        <v>0</v>
      </c>
      <c r="D693">
        <v>0</v>
      </c>
      <c r="E693">
        <v>0</v>
      </c>
      <c r="F693" s="92">
        <v>2000000</v>
      </c>
      <c r="G693">
        <v>0</v>
      </c>
      <c r="H693">
        <v>0</v>
      </c>
      <c r="I693">
        <v>0</v>
      </c>
      <c r="J693">
        <v>0</v>
      </c>
      <c r="K693" s="92">
        <v>2000000</v>
      </c>
      <c r="L693">
        <v>0</v>
      </c>
      <c r="M693" t="s">
        <v>17</v>
      </c>
      <c r="N693" t="s">
        <v>20</v>
      </c>
      <c r="O693" t="s">
        <v>20</v>
      </c>
      <c r="P693" t="str">
        <f>VLOOKUP(B693,'CHECK_DT-BT_chi_tiet'!$A:$C,3,FALSE)</f>
        <v>BV Thừa Thiên Huế</v>
      </c>
      <c r="Q693" t="str">
        <f>VLOOKUP(A693,Sheet3!$K$11:$L$21,2,FALSE)</f>
        <v>BH Trách nhiệm</v>
      </c>
      <c r="R693" t="str">
        <f>VLOOKUP(Q693,Sheet3!$L$11:$M$21,2,FALSE)</f>
        <v>HQ2</v>
      </c>
      <c r="S693" s="26">
        <f>SUMIFS('HQ2'!$O:$O,'HQ2'!$B:$B, "="&amp;'Tong_hop_HQNV_2026Q1_2026-06-23'!Q693, 'HQ2'!$A:$A,"="&amp;'Tong_hop_HQNV_2026Q1_2026-06-23'!P693)</f>
        <v>0</v>
      </c>
      <c r="T693" s="7">
        <f t="shared" si="10"/>
        <v>0</v>
      </c>
    </row>
    <row r="694" spans="1:20" x14ac:dyDescent="0.25">
      <c r="A694" t="s">
        <v>28</v>
      </c>
      <c r="B694" s="9" t="s">
        <v>360</v>
      </c>
      <c r="C694">
        <v>0</v>
      </c>
      <c r="D694">
        <v>0</v>
      </c>
      <c r="E694">
        <v>0</v>
      </c>
      <c r="F694">
        <v>36401818</v>
      </c>
      <c r="G694">
        <v>0</v>
      </c>
      <c r="H694">
        <v>0</v>
      </c>
      <c r="I694">
        <v>0</v>
      </c>
      <c r="J694">
        <v>0</v>
      </c>
      <c r="K694">
        <v>36401818</v>
      </c>
      <c r="L694">
        <v>0</v>
      </c>
      <c r="M694" t="s">
        <v>17</v>
      </c>
      <c r="N694" t="s">
        <v>20</v>
      </c>
      <c r="O694" t="s">
        <v>20</v>
      </c>
      <c r="P694" t="str">
        <f>VLOOKUP(B694,'CHECK_DT-BT_chi_tiet'!$A:$C,3,FALSE)</f>
        <v>BV Vĩnh Long</v>
      </c>
      <c r="Q694" t="str">
        <f>VLOOKUP(A694,Sheet3!$K$11:$L$21,2,FALSE)</f>
        <v>BH Trách nhiệm</v>
      </c>
      <c r="R694" t="str">
        <f>VLOOKUP(Q694,Sheet3!$L$11:$M$21,2,FALSE)</f>
        <v>HQ2</v>
      </c>
      <c r="S694" s="26">
        <f>SUMIFS('HQ2'!$O:$O,'HQ2'!$B:$B, "="&amp;'Tong_hop_HQNV_2026Q1_2026-06-23'!Q694, 'HQ2'!$A:$A,"="&amp;'Tong_hop_HQNV_2026Q1_2026-06-23'!P694)</f>
        <v>0</v>
      </c>
      <c r="T694" s="7">
        <f t="shared" si="10"/>
        <v>0</v>
      </c>
    </row>
    <row r="695" spans="1:20" x14ac:dyDescent="0.25">
      <c r="A695" t="s">
        <v>28</v>
      </c>
      <c r="B695" s="9" t="s">
        <v>361</v>
      </c>
      <c r="C695">
        <v>0</v>
      </c>
      <c r="D695">
        <v>0</v>
      </c>
      <c r="E695">
        <v>0</v>
      </c>
      <c r="F695" s="92">
        <v>183000000</v>
      </c>
      <c r="G695">
        <v>0</v>
      </c>
      <c r="H695">
        <v>0</v>
      </c>
      <c r="I695">
        <v>0</v>
      </c>
      <c r="J695">
        <v>0</v>
      </c>
      <c r="K695" s="92">
        <v>183000000</v>
      </c>
      <c r="L695">
        <v>0</v>
      </c>
      <c r="M695" t="s">
        <v>17</v>
      </c>
      <c r="N695" t="s">
        <v>20</v>
      </c>
      <c r="O695" t="s">
        <v>20</v>
      </c>
      <c r="P695" t="str">
        <f>VLOOKUP(B695,'CHECK_DT-BT_chi_tiet'!$A:$C,3,FALSE)</f>
        <v>BV Vĩnh Phúc</v>
      </c>
      <c r="Q695" t="str">
        <f>VLOOKUP(A695,Sheet3!$K$11:$L$21,2,FALSE)</f>
        <v>BH Trách nhiệm</v>
      </c>
      <c r="R695" t="str">
        <f>VLOOKUP(Q695,Sheet3!$L$11:$M$21,2,FALSE)</f>
        <v>HQ2</v>
      </c>
      <c r="S695" s="26">
        <f>SUMIFS('HQ2'!$O:$O,'HQ2'!$B:$B, "="&amp;'Tong_hop_HQNV_2026Q1_2026-06-23'!Q695, 'HQ2'!$A:$A,"="&amp;'Tong_hop_HQNV_2026Q1_2026-06-23'!P695)</f>
        <v>0</v>
      </c>
      <c r="T695" s="7">
        <f t="shared" si="10"/>
        <v>0</v>
      </c>
    </row>
    <row r="696" spans="1:20" x14ac:dyDescent="0.25">
      <c r="A696" t="s">
        <v>28</v>
      </c>
      <c r="B696" s="9" t="s">
        <v>324</v>
      </c>
      <c r="C696">
        <v>0</v>
      </c>
      <c r="D696">
        <v>0</v>
      </c>
      <c r="E696">
        <v>0</v>
      </c>
      <c r="F696">
        <v>96658182</v>
      </c>
      <c r="G696">
        <v>0</v>
      </c>
      <c r="H696">
        <v>0</v>
      </c>
      <c r="I696">
        <v>0</v>
      </c>
      <c r="J696">
        <v>0</v>
      </c>
      <c r="K696">
        <v>96658182</v>
      </c>
      <c r="L696">
        <v>0</v>
      </c>
      <c r="M696" t="s">
        <v>17</v>
      </c>
      <c r="N696" t="s">
        <v>20</v>
      </c>
      <c r="O696" t="s">
        <v>20</v>
      </c>
      <c r="P696" t="str">
        <f>VLOOKUP(B696,'CHECK_DT-BT_chi_tiet'!$A:$C,3,FALSE)</f>
        <v>BV Lai Châu</v>
      </c>
      <c r="Q696" t="str">
        <f>VLOOKUP(A696,Sheet3!$K$11:$L$21,2,FALSE)</f>
        <v>BH Trách nhiệm</v>
      </c>
      <c r="R696" t="str">
        <f>VLOOKUP(Q696,Sheet3!$L$11:$M$21,2,FALSE)</f>
        <v>HQ2</v>
      </c>
      <c r="S696" s="26">
        <f>SUMIFS('HQ2'!$O:$O,'HQ2'!$B:$B, "="&amp;'Tong_hop_HQNV_2026Q1_2026-06-23'!Q696, 'HQ2'!$A:$A,"="&amp;'Tong_hop_HQNV_2026Q1_2026-06-23'!P696)</f>
        <v>0</v>
      </c>
      <c r="T696" s="7">
        <f t="shared" si="10"/>
        <v>0</v>
      </c>
    </row>
    <row r="697" spans="1:20" x14ac:dyDescent="0.25">
      <c r="A697" t="s">
        <v>28</v>
      </c>
      <c r="B697" s="9" t="s">
        <v>309</v>
      </c>
      <c r="C697">
        <v>0</v>
      </c>
      <c r="D697">
        <v>0</v>
      </c>
      <c r="E697">
        <v>0</v>
      </c>
      <c r="F697">
        <v>352428286</v>
      </c>
      <c r="G697" s="92">
        <v>20000000</v>
      </c>
      <c r="H697">
        <v>0</v>
      </c>
      <c r="I697">
        <v>0</v>
      </c>
      <c r="J697">
        <v>0</v>
      </c>
      <c r="K697">
        <v>352428286</v>
      </c>
      <c r="L697">
        <v>0</v>
      </c>
      <c r="M697" t="s">
        <v>17</v>
      </c>
      <c r="N697" t="s">
        <v>20</v>
      </c>
      <c r="O697" t="s">
        <v>20</v>
      </c>
      <c r="P697" t="str">
        <f>VLOOKUP(B697,'CHECK_DT-BT_chi_tiet'!$A:$C,3,FALSE)</f>
        <v>BV Gia Định</v>
      </c>
      <c r="Q697" t="str">
        <f>VLOOKUP(A697,Sheet3!$K$11:$L$21,2,FALSE)</f>
        <v>BH Trách nhiệm</v>
      </c>
      <c r="R697" t="str">
        <f>VLOOKUP(Q697,Sheet3!$L$11:$M$21,2,FALSE)</f>
        <v>HQ2</v>
      </c>
      <c r="S697" s="26">
        <f>SUMIFS('HQ2'!$O:$O,'HQ2'!$B:$B, "="&amp;'Tong_hop_HQNV_2026Q1_2026-06-23'!Q697, 'HQ2'!$A:$A,"="&amp;'Tong_hop_HQNV_2026Q1_2026-06-23'!P697)</f>
        <v>20000000</v>
      </c>
      <c r="T697" s="7">
        <f t="shared" si="10"/>
        <v>0</v>
      </c>
    </row>
    <row r="698" spans="1:20" x14ac:dyDescent="0.25">
      <c r="A698" t="s">
        <v>28</v>
      </c>
      <c r="B698" s="9" t="s">
        <v>336</v>
      </c>
      <c r="C698">
        <v>0</v>
      </c>
      <c r="D698">
        <v>0</v>
      </c>
      <c r="E698">
        <v>0</v>
      </c>
      <c r="F698">
        <v>262452129</v>
      </c>
      <c r="G698">
        <v>3356496200</v>
      </c>
      <c r="H698">
        <v>0</v>
      </c>
      <c r="I698">
        <v>0</v>
      </c>
      <c r="J698">
        <v>0</v>
      </c>
      <c r="K698">
        <v>262452129</v>
      </c>
      <c r="L698">
        <v>0</v>
      </c>
      <c r="M698" t="s">
        <v>17</v>
      </c>
      <c r="N698" t="s">
        <v>20</v>
      </c>
      <c r="O698" t="s">
        <v>20</v>
      </c>
      <c r="P698" t="str">
        <f>VLOOKUP(B698,'CHECK_DT-BT_chi_tiet'!$A:$C,3,FALSE)</f>
        <v>BV Phú Mỹ</v>
      </c>
      <c r="Q698" t="str">
        <f>VLOOKUP(A698,Sheet3!$K$11:$L$21,2,FALSE)</f>
        <v>BH Trách nhiệm</v>
      </c>
      <c r="R698" t="str">
        <f>VLOOKUP(Q698,Sheet3!$L$11:$M$21,2,FALSE)</f>
        <v>HQ2</v>
      </c>
      <c r="S698" s="26">
        <f>SUMIFS('HQ2'!$O:$O,'HQ2'!$B:$B, "="&amp;'Tong_hop_HQNV_2026Q1_2026-06-23'!Q698, 'HQ2'!$A:$A,"="&amp;'Tong_hop_HQNV_2026Q1_2026-06-23'!P698)</f>
        <v>3356496200</v>
      </c>
      <c r="T698" s="7">
        <f t="shared" si="10"/>
        <v>0</v>
      </c>
    </row>
    <row r="699" spans="1:20" x14ac:dyDescent="0.25">
      <c r="A699" t="s">
        <v>28</v>
      </c>
      <c r="B699" s="9" t="s">
        <v>318</v>
      </c>
      <c r="C699">
        <v>0</v>
      </c>
      <c r="D699">
        <v>0</v>
      </c>
      <c r="E699">
        <v>0</v>
      </c>
      <c r="F699">
        <v>40577454</v>
      </c>
      <c r="G699">
        <v>0</v>
      </c>
      <c r="H699">
        <v>0</v>
      </c>
      <c r="I699">
        <v>0</v>
      </c>
      <c r="J699">
        <v>0</v>
      </c>
      <c r="K699">
        <v>40577454</v>
      </c>
      <c r="L699">
        <v>0</v>
      </c>
      <c r="M699" t="s">
        <v>17</v>
      </c>
      <c r="N699" t="s">
        <v>20</v>
      </c>
      <c r="O699" t="s">
        <v>20</v>
      </c>
      <c r="P699" t="str">
        <f>VLOOKUP(B699,'CHECK_DT-BT_chi_tiet'!$A:$C,3,FALSE)</f>
        <v>BV Hậu Giang</v>
      </c>
      <c r="Q699" t="str">
        <f>VLOOKUP(A699,Sheet3!$K$11:$L$21,2,FALSE)</f>
        <v>BH Trách nhiệm</v>
      </c>
      <c r="R699" t="str">
        <f>VLOOKUP(Q699,Sheet3!$L$11:$M$21,2,FALSE)</f>
        <v>HQ2</v>
      </c>
      <c r="S699" s="26">
        <f>SUMIFS('HQ2'!$O:$O,'HQ2'!$B:$B, "="&amp;'Tong_hop_HQNV_2026Q1_2026-06-23'!Q699, 'HQ2'!$A:$A,"="&amp;'Tong_hop_HQNV_2026Q1_2026-06-23'!P699)</f>
        <v>0</v>
      </c>
      <c r="T699" s="7">
        <f t="shared" si="10"/>
        <v>0</v>
      </c>
    </row>
    <row r="700" spans="1:20" x14ac:dyDescent="0.25">
      <c r="A700" t="s">
        <v>28</v>
      </c>
      <c r="B700" s="9" t="s">
        <v>337</v>
      </c>
      <c r="C700">
        <v>0</v>
      </c>
      <c r="D700">
        <v>0</v>
      </c>
      <c r="E700">
        <v>0</v>
      </c>
      <c r="F700">
        <v>15500000</v>
      </c>
      <c r="G700">
        <v>0</v>
      </c>
      <c r="H700">
        <v>0</v>
      </c>
      <c r="I700">
        <v>0</v>
      </c>
      <c r="J700">
        <v>0</v>
      </c>
      <c r="K700">
        <v>15500000</v>
      </c>
      <c r="L700">
        <v>0</v>
      </c>
      <c r="M700" t="s">
        <v>17</v>
      </c>
      <c r="N700" t="s">
        <v>20</v>
      </c>
      <c r="O700" t="s">
        <v>20</v>
      </c>
      <c r="P700" t="str">
        <f>VLOOKUP(B700,'CHECK_DT-BT_chi_tiet'!$A:$C,3,FALSE)</f>
        <v>BV Phú Quốc</v>
      </c>
      <c r="Q700" t="str">
        <f>VLOOKUP(A700,Sheet3!$K$11:$L$21,2,FALSE)</f>
        <v>BH Trách nhiệm</v>
      </c>
      <c r="R700" t="str">
        <f>VLOOKUP(Q700,Sheet3!$L$11:$M$21,2,FALSE)</f>
        <v>HQ2</v>
      </c>
      <c r="S700" s="26">
        <f>SUMIFS('HQ2'!$O:$O,'HQ2'!$B:$B, "="&amp;'Tong_hop_HQNV_2026Q1_2026-06-23'!Q700, 'HQ2'!$A:$A,"="&amp;'Tong_hop_HQNV_2026Q1_2026-06-23'!P700)</f>
        <v>0</v>
      </c>
      <c r="T700" s="7">
        <f t="shared" si="10"/>
        <v>0</v>
      </c>
    </row>
    <row r="701" spans="1:20" x14ac:dyDescent="0.25">
      <c r="A701" t="s">
        <v>28</v>
      </c>
      <c r="B701" s="9" t="s">
        <v>304</v>
      </c>
      <c r="C701">
        <v>0</v>
      </c>
      <c r="D701">
        <v>0</v>
      </c>
      <c r="E701">
        <v>0</v>
      </c>
      <c r="F701" s="92">
        <v>202000000</v>
      </c>
      <c r="G701">
        <v>0</v>
      </c>
      <c r="H701">
        <v>0</v>
      </c>
      <c r="I701">
        <v>0</v>
      </c>
      <c r="J701">
        <v>0</v>
      </c>
      <c r="K701" s="92">
        <v>202000000</v>
      </c>
      <c r="L701">
        <v>0</v>
      </c>
      <c r="M701" t="s">
        <v>17</v>
      </c>
      <c r="N701" t="s">
        <v>20</v>
      </c>
      <c r="O701" t="s">
        <v>20</v>
      </c>
      <c r="P701" t="str">
        <f>VLOOKUP(B701,'CHECK_DT-BT_chi_tiet'!$A:$C,3,FALSE)</f>
        <v>BV Đình Vũ</v>
      </c>
      <c r="Q701" t="str">
        <f>VLOOKUP(A701,Sheet3!$K$11:$L$21,2,FALSE)</f>
        <v>BH Trách nhiệm</v>
      </c>
      <c r="R701" t="str">
        <f>VLOOKUP(Q701,Sheet3!$L$11:$M$21,2,FALSE)</f>
        <v>HQ2</v>
      </c>
      <c r="S701" s="26">
        <f>SUMIFS('HQ2'!$O:$O,'HQ2'!$B:$B, "="&amp;'Tong_hop_HQNV_2026Q1_2026-06-23'!Q701, 'HQ2'!$A:$A,"="&amp;'Tong_hop_HQNV_2026Q1_2026-06-23'!P701)</f>
        <v>0</v>
      </c>
      <c r="T701" s="7">
        <f t="shared" si="10"/>
        <v>0</v>
      </c>
    </row>
    <row r="702" spans="1:20" x14ac:dyDescent="0.25">
      <c r="A702" t="s">
        <v>28</v>
      </c>
      <c r="B702" s="9" t="s">
        <v>330</v>
      </c>
      <c r="C702">
        <v>0</v>
      </c>
      <c r="D702">
        <v>0</v>
      </c>
      <c r="E702">
        <v>0</v>
      </c>
      <c r="F702">
        <v>608525000</v>
      </c>
      <c r="G702">
        <v>0</v>
      </c>
      <c r="H702">
        <v>0</v>
      </c>
      <c r="I702">
        <v>0</v>
      </c>
      <c r="J702">
        <v>0</v>
      </c>
      <c r="K702">
        <v>608525000</v>
      </c>
      <c r="L702">
        <v>0</v>
      </c>
      <c r="M702" t="s">
        <v>17</v>
      </c>
      <c r="N702" t="s">
        <v>20</v>
      </c>
      <c r="O702" t="s">
        <v>20</v>
      </c>
      <c r="P702" t="str">
        <f>VLOOKUP(B702,'CHECK_DT-BT_chi_tiet'!$A:$C,3,FALSE)</f>
        <v>BV Mỹ Đình</v>
      </c>
      <c r="Q702" t="str">
        <f>VLOOKUP(A702,Sheet3!$K$11:$L$21,2,FALSE)</f>
        <v>BH Trách nhiệm</v>
      </c>
      <c r="R702" t="str">
        <f>VLOOKUP(Q702,Sheet3!$L$11:$M$21,2,FALSE)</f>
        <v>HQ2</v>
      </c>
      <c r="S702" s="26">
        <f>SUMIFS('HQ2'!$O:$O,'HQ2'!$B:$B, "="&amp;'Tong_hop_HQNV_2026Q1_2026-06-23'!Q702, 'HQ2'!$A:$A,"="&amp;'Tong_hop_HQNV_2026Q1_2026-06-23'!P702)</f>
        <v>0</v>
      </c>
      <c r="T702" s="7">
        <f t="shared" si="10"/>
        <v>0</v>
      </c>
    </row>
    <row r="703" spans="1:20" x14ac:dyDescent="0.25">
      <c r="A703" t="s">
        <v>29</v>
      </c>
      <c r="B703" s="9" t="s">
        <v>228</v>
      </c>
      <c r="C703">
        <v>0</v>
      </c>
      <c r="D703">
        <v>0</v>
      </c>
      <c r="E703">
        <v>0</v>
      </c>
      <c r="F703">
        <v>51869379</v>
      </c>
      <c r="G703">
        <v>1628034387.9000001</v>
      </c>
      <c r="H703">
        <v>0</v>
      </c>
      <c r="I703">
        <v>0</v>
      </c>
      <c r="J703">
        <v>0</v>
      </c>
      <c r="K703">
        <v>51869379</v>
      </c>
      <c r="L703">
        <v>0</v>
      </c>
      <c r="M703" t="s">
        <v>30</v>
      </c>
      <c r="N703" t="s">
        <v>31</v>
      </c>
      <c r="O703" t="s">
        <v>26</v>
      </c>
      <c r="P703" t="str">
        <f>VLOOKUP(B703,'CHECK_DT-BT_chi_tiet'!$A:$C,3,FALSE)</f>
        <v>TSC-Ban KDBH Tàu thủy</v>
      </c>
      <c r="Q703" t="str">
        <f>VLOOKUP(A703,Sheet3!$K$11:$L$21,2,FALSE)</f>
        <v>BH Tài sản</v>
      </c>
      <c r="R703" t="str">
        <f>VLOOKUP(Q703,Sheet3!$L$11:$M$21,2,FALSE)</f>
        <v>HQ2</v>
      </c>
      <c r="S703" s="26">
        <f>SUMIFS('HQ2'!$O:$O,'HQ2'!$B:$B, "="&amp;'Tong_hop_HQNV_2026Q1_2026-06-23'!Q703, 'HQ2'!$A:$A,"="&amp;'Tong_hop_HQNV_2026Q1_2026-06-23'!P703)</f>
        <v>1628034388</v>
      </c>
      <c r="T703" s="7">
        <f t="shared" si="10"/>
        <v>9.9999904632568359E-2</v>
      </c>
    </row>
    <row r="704" spans="1:20" x14ac:dyDescent="0.25">
      <c r="A704" t="s">
        <v>29</v>
      </c>
      <c r="B704" s="9" t="s">
        <v>232</v>
      </c>
      <c r="C704">
        <v>0</v>
      </c>
      <c r="D704">
        <v>0</v>
      </c>
      <c r="E704">
        <v>0</v>
      </c>
      <c r="F704">
        <v>-1007100926</v>
      </c>
      <c r="G704">
        <v>0</v>
      </c>
      <c r="H704">
        <v>0</v>
      </c>
      <c r="I704">
        <v>0</v>
      </c>
      <c r="J704">
        <v>0</v>
      </c>
      <c r="K704">
        <v>-1007100926</v>
      </c>
      <c r="L704">
        <v>0</v>
      </c>
      <c r="M704" t="s">
        <v>30</v>
      </c>
      <c r="N704" t="s">
        <v>31</v>
      </c>
      <c r="O704" t="s">
        <v>26</v>
      </c>
      <c r="P704" t="e">
        <f>VLOOKUP(B704,'CHECK_DT-BT_chi_tiet'!$A:$C,3,FALSE)</f>
        <v>#N/A</v>
      </c>
      <c r="Q704" t="str">
        <f>VLOOKUP(A704,Sheet3!$K$11:$L$21,2,FALSE)</f>
        <v>BH Tài sản</v>
      </c>
      <c r="R704" t="str">
        <f>VLOOKUP(Q704,Sheet3!$L$11:$M$21,2,FALSE)</f>
        <v>HQ2</v>
      </c>
      <c r="S704" s="26">
        <f>SUMIFS('HQ2'!$O:$O,'HQ2'!$B:$B, "="&amp;'Tong_hop_HQNV_2026Q1_2026-06-23'!Q704, 'HQ2'!$A:$A,"="&amp;'Tong_hop_HQNV_2026Q1_2026-06-23'!P704)</f>
        <v>0</v>
      </c>
      <c r="T704" s="7">
        <f t="shared" si="10"/>
        <v>0</v>
      </c>
    </row>
    <row r="705" spans="1:20" x14ac:dyDescent="0.25">
      <c r="A705" t="s">
        <v>29</v>
      </c>
      <c r="B705" s="9" t="s">
        <v>329</v>
      </c>
      <c r="C705">
        <v>0</v>
      </c>
      <c r="D705">
        <v>0</v>
      </c>
      <c r="E705">
        <v>0</v>
      </c>
      <c r="F705">
        <v>824792434</v>
      </c>
      <c r="G705" s="92">
        <v>665000000</v>
      </c>
      <c r="H705">
        <v>0</v>
      </c>
      <c r="I705">
        <v>0</v>
      </c>
      <c r="J705">
        <v>0</v>
      </c>
      <c r="K705">
        <v>824792434</v>
      </c>
      <c r="L705">
        <v>0</v>
      </c>
      <c r="M705" t="s">
        <v>30</v>
      </c>
      <c r="N705" t="s">
        <v>31</v>
      </c>
      <c r="O705" t="s">
        <v>26</v>
      </c>
      <c r="P705" t="str">
        <f>VLOOKUP(B705,'CHECK_DT-BT_chi_tiet'!$A:$C,3,FALSE)</f>
        <v>BV Long Thành</v>
      </c>
      <c r="Q705" t="str">
        <f>VLOOKUP(A705,Sheet3!$K$11:$L$21,2,FALSE)</f>
        <v>BH Tài sản</v>
      </c>
      <c r="R705" t="str">
        <f>VLOOKUP(Q705,Sheet3!$L$11:$M$21,2,FALSE)</f>
        <v>HQ2</v>
      </c>
      <c r="S705" s="26">
        <f>SUMIFS('HQ2'!$O:$O,'HQ2'!$B:$B, "="&amp;'Tong_hop_HQNV_2026Q1_2026-06-23'!Q705, 'HQ2'!$A:$A,"="&amp;'Tong_hop_HQNV_2026Q1_2026-06-23'!P705)</f>
        <v>665000000</v>
      </c>
      <c r="T705" s="7">
        <f t="shared" si="10"/>
        <v>0</v>
      </c>
    </row>
    <row r="706" spans="1:20" x14ac:dyDescent="0.25">
      <c r="A706" t="s">
        <v>29</v>
      </c>
      <c r="B706" s="9" t="s">
        <v>286</v>
      </c>
      <c r="C706">
        <v>0</v>
      </c>
      <c r="D706">
        <v>0</v>
      </c>
      <c r="E706">
        <v>0</v>
      </c>
      <c r="F706">
        <v>1031952554</v>
      </c>
      <c r="G706">
        <v>0</v>
      </c>
      <c r="H706">
        <v>0</v>
      </c>
      <c r="I706">
        <v>0</v>
      </c>
      <c r="J706">
        <v>0</v>
      </c>
      <c r="K706">
        <v>1031952554</v>
      </c>
      <c r="L706">
        <v>0</v>
      </c>
      <c r="M706" t="s">
        <v>30</v>
      </c>
      <c r="N706" t="s">
        <v>31</v>
      </c>
      <c r="O706" t="s">
        <v>26</v>
      </c>
      <c r="P706" t="str">
        <f>VLOOKUP(B706,'CHECK_DT-BT_chi_tiet'!$A:$C,3,FALSE)</f>
        <v>BV Bà Rịa - Vũng Tàu</v>
      </c>
      <c r="Q706" t="str">
        <f>VLOOKUP(A706,Sheet3!$K$11:$L$21,2,FALSE)</f>
        <v>BH Tài sản</v>
      </c>
      <c r="R706" t="str">
        <f>VLOOKUP(Q706,Sheet3!$L$11:$M$21,2,FALSE)</f>
        <v>HQ2</v>
      </c>
      <c r="S706" s="26">
        <f>SUMIFS('HQ2'!$O:$O,'HQ2'!$B:$B, "="&amp;'Tong_hop_HQNV_2026Q1_2026-06-23'!Q706, 'HQ2'!$A:$A,"="&amp;'Tong_hop_HQNV_2026Q1_2026-06-23'!P706)</f>
        <v>0</v>
      </c>
      <c r="T706" s="7">
        <f t="shared" si="10"/>
        <v>0</v>
      </c>
    </row>
    <row r="707" spans="1:20" x14ac:dyDescent="0.25">
      <c r="A707" t="s">
        <v>29</v>
      </c>
      <c r="B707" s="9" t="s">
        <v>287</v>
      </c>
      <c r="C707">
        <v>0</v>
      </c>
      <c r="D707">
        <v>0</v>
      </c>
      <c r="E707">
        <v>0</v>
      </c>
      <c r="F707">
        <v>74868947</v>
      </c>
      <c r="G707">
        <v>0</v>
      </c>
      <c r="H707">
        <v>0</v>
      </c>
      <c r="I707">
        <v>0</v>
      </c>
      <c r="J707">
        <v>0</v>
      </c>
      <c r="K707">
        <v>74868947</v>
      </c>
      <c r="L707">
        <v>0</v>
      </c>
      <c r="M707" t="s">
        <v>30</v>
      </c>
      <c r="N707" t="s">
        <v>31</v>
      </c>
      <c r="O707" t="s">
        <v>26</v>
      </c>
      <c r="P707" t="str">
        <f>VLOOKUP(B707,'CHECK_DT-BT_chi_tiet'!$A:$C,3,FALSE)</f>
        <v>BV Bắc Cạn</v>
      </c>
      <c r="Q707" t="str">
        <f>VLOOKUP(A707,Sheet3!$K$11:$L$21,2,FALSE)</f>
        <v>BH Tài sản</v>
      </c>
      <c r="R707" t="str">
        <f>VLOOKUP(Q707,Sheet3!$L$11:$M$21,2,FALSE)</f>
        <v>HQ2</v>
      </c>
      <c r="S707" s="26">
        <f>SUMIFS('HQ2'!$O:$O,'HQ2'!$B:$B, "="&amp;'Tong_hop_HQNV_2026Q1_2026-06-23'!Q707, 'HQ2'!$A:$A,"="&amp;'Tong_hop_HQNV_2026Q1_2026-06-23'!P707)</f>
        <v>0</v>
      </c>
      <c r="T707" s="7">
        <f t="shared" ref="T707:T770" si="11">IFERROR(IF(R707="HQ2",S707-G707,0),0)</f>
        <v>0</v>
      </c>
    </row>
    <row r="708" spans="1:20" x14ac:dyDescent="0.25">
      <c r="A708" t="s">
        <v>29</v>
      </c>
      <c r="B708" s="9" t="s">
        <v>288</v>
      </c>
      <c r="C708">
        <v>0</v>
      </c>
      <c r="D708">
        <v>0</v>
      </c>
      <c r="E708">
        <v>0</v>
      </c>
      <c r="F708">
        <v>2473807097</v>
      </c>
      <c r="G708" s="92">
        <v>3200000000</v>
      </c>
      <c r="H708">
        <v>0</v>
      </c>
      <c r="I708">
        <v>0</v>
      </c>
      <c r="J708">
        <v>0</v>
      </c>
      <c r="K708">
        <v>2473807097</v>
      </c>
      <c r="L708">
        <v>0</v>
      </c>
      <c r="M708" t="s">
        <v>30</v>
      </c>
      <c r="N708" t="s">
        <v>31</v>
      </c>
      <c r="O708" t="s">
        <v>26</v>
      </c>
      <c r="P708" t="str">
        <f>VLOOKUP(B708,'CHECK_DT-BT_chi_tiet'!$A:$C,3,FALSE)</f>
        <v>BV Bắc Giang</v>
      </c>
      <c r="Q708" t="str">
        <f>VLOOKUP(A708,Sheet3!$K$11:$L$21,2,FALSE)</f>
        <v>BH Tài sản</v>
      </c>
      <c r="R708" t="str">
        <f>VLOOKUP(Q708,Sheet3!$L$11:$M$21,2,FALSE)</f>
        <v>HQ2</v>
      </c>
      <c r="S708" s="26">
        <f>SUMIFS('HQ2'!$O:$O,'HQ2'!$B:$B, "="&amp;'Tong_hop_HQNV_2026Q1_2026-06-23'!Q708, 'HQ2'!$A:$A,"="&amp;'Tong_hop_HQNV_2026Q1_2026-06-23'!P708)</f>
        <v>3200000000</v>
      </c>
      <c r="T708" s="7">
        <f t="shared" si="11"/>
        <v>0</v>
      </c>
    </row>
    <row r="709" spans="1:20" x14ac:dyDescent="0.25">
      <c r="A709" t="s">
        <v>29</v>
      </c>
      <c r="B709" s="9" t="s">
        <v>292</v>
      </c>
      <c r="C709">
        <v>0</v>
      </c>
      <c r="D709">
        <v>0</v>
      </c>
      <c r="E709">
        <v>0</v>
      </c>
      <c r="F709">
        <v>451888384</v>
      </c>
      <c r="G709">
        <v>0</v>
      </c>
      <c r="H709">
        <v>0</v>
      </c>
      <c r="I709">
        <v>0</v>
      </c>
      <c r="J709">
        <v>0</v>
      </c>
      <c r="K709">
        <v>451888384</v>
      </c>
      <c r="L709">
        <v>0</v>
      </c>
      <c r="M709" t="s">
        <v>30</v>
      </c>
      <c r="N709" t="s">
        <v>31</v>
      </c>
      <c r="O709" t="s">
        <v>26</v>
      </c>
      <c r="P709" t="str">
        <f>VLOOKUP(B709,'CHECK_DT-BT_chi_tiet'!$A:$C,3,FALSE)</f>
        <v>BV Bến Tre</v>
      </c>
      <c r="Q709" t="str">
        <f>VLOOKUP(A709,Sheet3!$K$11:$L$21,2,FALSE)</f>
        <v>BH Tài sản</v>
      </c>
      <c r="R709" t="str">
        <f>VLOOKUP(Q709,Sheet3!$L$11:$M$21,2,FALSE)</f>
        <v>HQ2</v>
      </c>
      <c r="S709" s="26">
        <f>SUMIFS('HQ2'!$O:$O,'HQ2'!$B:$B, "="&amp;'Tong_hop_HQNV_2026Q1_2026-06-23'!Q709, 'HQ2'!$A:$A,"="&amp;'Tong_hop_HQNV_2026Q1_2026-06-23'!P709)</f>
        <v>0</v>
      </c>
      <c r="T709" s="7">
        <f t="shared" si="11"/>
        <v>0</v>
      </c>
    </row>
    <row r="710" spans="1:20" x14ac:dyDescent="0.25">
      <c r="A710" t="s">
        <v>29</v>
      </c>
      <c r="B710" s="9" t="s">
        <v>297</v>
      </c>
      <c r="C710">
        <v>0</v>
      </c>
      <c r="D710">
        <v>0</v>
      </c>
      <c r="E710">
        <v>0</v>
      </c>
      <c r="F710">
        <v>369894391</v>
      </c>
      <c r="G710">
        <v>0</v>
      </c>
      <c r="H710">
        <v>0</v>
      </c>
      <c r="I710">
        <v>0</v>
      </c>
      <c r="J710">
        <v>0</v>
      </c>
      <c r="K710">
        <v>369894391</v>
      </c>
      <c r="L710">
        <v>0</v>
      </c>
      <c r="M710" t="s">
        <v>30</v>
      </c>
      <c r="N710" t="s">
        <v>31</v>
      </c>
      <c r="O710" t="s">
        <v>26</v>
      </c>
      <c r="P710" t="str">
        <f>VLOOKUP(B710,'CHECK_DT-BT_chi_tiet'!$A:$C,3,FALSE)</f>
        <v>BV Cà Mau</v>
      </c>
      <c r="Q710" t="str">
        <f>VLOOKUP(A710,Sheet3!$K$11:$L$21,2,FALSE)</f>
        <v>BH Tài sản</v>
      </c>
      <c r="R710" t="str">
        <f>VLOOKUP(Q710,Sheet3!$L$11:$M$21,2,FALSE)</f>
        <v>HQ2</v>
      </c>
      <c r="S710" s="26">
        <f>SUMIFS('HQ2'!$O:$O,'HQ2'!$B:$B, "="&amp;'Tong_hop_HQNV_2026Q1_2026-06-23'!Q710, 'HQ2'!$A:$A,"="&amp;'Tong_hop_HQNV_2026Q1_2026-06-23'!P710)</f>
        <v>0</v>
      </c>
      <c r="T710" s="7">
        <f t="shared" si="11"/>
        <v>0</v>
      </c>
    </row>
    <row r="711" spans="1:20" x14ac:dyDescent="0.25">
      <c r="A711" t="s">
        <v>29</v>
      </c>
      <c r="B711" s="9" t="s">
        <v>299</v>
      </c>
      <c r="C711">
        <v>0</v>
      </c>
      <c r="D711">
        <v>0</v>
      </c>
      <c r="E711">
        <v>0</v>
      </c>
      <c r="F711">
        <v>78766249</v>
      </c>
      <c r="G711" s="92">
        <v>80000000</v>
      </c>
      <c r="H711">
        <v>0</v>
      </c>
      <c r="I711">
        <v>0</v>
      </c>
      <c r="J711">
        <v>0</v>
      </c>
      <c r="K711">
        <v>78766249</v>
      </c>
      <c r="L711">
        <v>0</v>
      </c>
      <c r="M711" t="s">
        <v>30</v>
      </c>
      <c r="N711" t="s">
        <v>31</v>
      </c>
      <c r="O711" t="s">
        <v>26</v>
      </c>
      <c r="P711" t="str">
        <f>VLOOKUP(B711,'CHECK_DT-BT_chi_tiet'!$A:$C,3,FALSE)</f>
        <v>BV Cao Bằng</v>
      </c>
      <c r="Q711" t="str">
        <f>VLOOKUP(A711,Sheet3!$K$11:$L$21,2,FALSE)</f>
        <v>BH Tài sản</v>
      </c>
      <c r="R711" t="str">
        <f>VLOOKUP(Q711,Sheet3!$L$11:$M$21,2,FALSE)</f>
        <v>HQ2</v>
      </c>
      <c r="S711" s="26">
        <f>SUMIFS('HQ2'!$O:$O,'HQ2'!$B:$B, "="&amp;'Tong_hop_HQNV_2026Q1_2026-06-23'!Q711, 'HQ2'!$A:$A,"="&amp;'Tong_hop_HQNV_2026Q1_2026-06-23'!P711)</f>
        <v>80000000</v>
      </c>
      <c r="T711" s="7">
        <f t="shared" si="11"/>
        <v>0</v>
      </c>
    </row>
    <row r="712" spans="1:20" x14ac:dyDescent="0.25">
      <c r="A712" t="s">
        <v>29</v>
      </c>
      <c r="B712" s="9" t="s">
        <v>311</v>
      </c>
      <c r="C712">
        <v>0</v>
      </c>
      <c r="D712">
        <v>0</v>
      </c>
      <c r="E712">
        <v>0</v>
      </c>
      <c r="F712">
        <v>51981411</v>
      </c>
      <c r="G712">
        <v>0</v>
      </c>
      <c r="H712">
        <v>0</v>
      </c>
      <c r="I712">
        <v>0</v>
      </c>
      <c r="J712">
        <v>0</v>
      </c>
      <c r="K712">
        <v>51981411</v>
      </c>
      <c r="L712">
        <v>0</v>
      </c>
      <c r="M712" t="s">
        <v>30</v>
      </c>
      <c r="N712" t="s">
        <v>31</v>
      </c>
      <c r="O712" t="s">
        <v>26</v>
      </c>
      <c r="P712" t="str">
        <f>VLOOKUP(B712,'CHECK_DT-BT_chi_tiet'!$A:$C,3,FALSE)</f>
        <v>BV Hà Giang</v>
      </c>
      <c r="Q712" t="str">
        <f>VLOOKUP(A712,Sheet3!$K$11:$L$21,2,FALSE)</f>
        <v>BH Tài sản</v>
      </c>
      <c r="R712" t="str">
        <f>VLOOKUP(Q712,Sheet3!$L$11:$M$21,2,FALSE)</f>
        <v>HQ2</v>
      </c>
      <c r="S712" s="26">
        <f>SUMIFS('HQ2'!$O:$O,'HQ2'!$B:$B, "="&amp;'Tong_hop_HQNV_2026Q1_2026-06-23'!Q712, 'HQ2'!$A:$A,"="&amp;'Tong_hop_HQNV_2026Q1_2026-06-23'!P712)</f>
        <v>0</v>
      </c>
      <c r="T712" s="7">
        <f t="shared" si="11"/>
        <v>0</v>
      </c>
    </row>
    <row r="713" spans="1:20" x14ac:dyDescent="0.25">
      <c r="A713" t="s">
        <v>29</v>
      </c>
      <c r="B713" s="9" t="s">
        <v>320</v>
      </c>
      <c r="C713">
        <v>0</v>
      </c>
      <c r="D713">
        <v>0</v>
      </c>
      <c r="E713">
        <v>0</v>
      </c>
      <c r="F713">
        <v>6176825220</v>
      </c>
      <c r="G713" s="92">
        <v>965000000</v>
      </c>
      <c r="H713">
        <v>0</v>
      </c>
      <c r="I713">
        <v>0</v>
      </c>
      <c r="J713">
        <v>0</v>
      </c>
      <c r="K713">
        <v>6176825220</v>
      </c>
      <c r="L713">
        <v>0</v>
      </c>
      <c r="M713" t="s">
        <v>30</v>
      </c>
      <c r="N713" t="s">
        <v>31</v>
      </c>
      <c r="O713" t="s">
        <v>26</v>
      </c>
      <c r="P713" t="str">
        <f>VLOOKUP(B713,'CHECK_DT-BT_chi_tiet'!$A:$C,3,FALSE)</f>
        <v>BV Hưng Yên</v>
      </c>
      <c r="Q713" t="str">
        <f>VLOOKUP(A713,Sheet3!$K$11:$L$21,2,FALSE)</f>
        <v>BH Tài sản</v>
      </c>
      <c r="R713" t="str">
        <f>VLOOKUP(Q713,Sheet3!$L$11:$M$21,2,FALSE)</f>
        <v>HQ2</v>
      </c>
      <c r="S713" s="26">
        <f>SUMIFS('HQ2'!$O:$O,'HQ2'!$B:$B, "="&amp;'Tong_hop_HQNV_2026Q1_2026-06-23'!Q713, 'HQ2'!$A:$A,"="&amp;'Tong_hop_HQNV_2026Q1_2026-06-23'!P713)</f>
        <v>965000000</v>
      </c>
      <c r="T713" s="7">
        <f t="shared" si="11"/>
        <v>0</v>
      </c>
    </row>
    <row r="714" spans="1:20" x14ac:dyDescent="0.25">
      <c r="A714" t="s">
        <v>29</v>
      </c>
      <c r="B714" s="9" t="s">
        <v>319</v>
      </c>
      <c r="C714">
        <v>0</v>
      </c>
      <c r="D714">
        <v>0</v>
      </c>
      <c r="E714">
        <v>0</v>
      </c>
      <c r="F714">
        <v>302327203</v>
      </c>
      <c r="G714">
        <v>0</v>
      </c>
      <c r="H714">
        <v>0</v>
      </c>
      <c r="I714">
        <v>0</v>
      </c>
      <c r="J714">
        <v>0</v>
      </c>
      <c r="K714">
        <v>302327203</v>
      </c>
      <c r="L714">
        <v>0</v>
      </c>
      <c r="M714" t="s">
        <v>30</v>
      </c>
      <c r="N714" t="s">
        <v>31</v>
      </c>
      <c r="O714" t="s">
        <v>26</v>
      </c>
      <c r="P714" t="str">
        <f>VLOOKUP(B714,'CHECK_DT-BT_chi_tiet'!$A:$C,3,FALSE)</f>
        <v>BV Hòa Bình</v>
      </c>
      <c r="Q714" t="str">
        <f>VLOOKUP(A714,Sheet3!$K$11:$L$21,2,FALSE)</f>
        <v>BH Tài sản</v>
      </c>
      <c r="R714" t="str">
        <f>VLOOKUP(Q714,Sheet3!$L$11:$M$21,2,FALSE)</f>
        <v>HQ2</v>
      </c>
      <c r="S714" s="26">
        <f>SUMIFS('HQ2'!$O:$O,'HQ2'!$B:$B, "="&amp;'Tong_hop_HQNV_2026Q1_2026-06-23'!Q714, 'HQ2'!$A:$A,"="&amp;'Tong_hop_HQNV_2026Q1_2026-06-23'!P714)</f>
        <v>0</v>
      </c>
      <c r="T714" s="7">
        <f t="shared" si="11"/>
        <v>0</v>
      </c>
    </row>
    <row r="715" spans="1:20" x14ac:dyDescent="0.25">
      <c r="A715" t="s">
        <v>29</v>
      </c>
      <c r="B715" s="9" t="s">
        <v>323</v>
      </c>
      <c r="C715">
        <v>0</v>
      </c>
      <c r="D715">
        <v>0</v>
      </c>
      <c r="E715">
        <v>0</v>
      </c>
      <c r="F715">
        <v>127757239</v>
      </c>
      <c r="G715">
        <v>0</v>
      </c>
      <c r="H715">
        <v>0</v>
      </c>
      <c r="I715">
        <v>0</v>
      </c>
      <c r="J715">
        <v>0</v>
      </c>
      <c r="K715">
        <v>127757239</v>
      </c>
      <c r="L715">
        <v>0</v>
      </c>
      <c r="M715" t="s">
        <v>30</v>
      </c>
      <c r="N715" t="s">
        <v>31</v>
      </c>
      <c r="O715" t="s">
        <v>26</v>
      </c>
      <c r="P715" t="str">
        <f>VLOOKUP(B715,'CHECK_DT-BT_chi_tiet'!$A:$C,3,FALSE)</f>
        <v>BV Kon Tum</v>
      </c>
      <c r="Q715" t="str">
        <f>VLOOKUP(A715,Sheet3!$K$11:$L$21,2,FALSE)</f>
        <v>BH Tài sản</v>
      </c>
      <c r="R715" t="str">
        <f>VLOOKUP(Q715,Sheet3!$L$11:$M$21,2,FALSE)</f>
        <v>HQ2</v>
      </c>
      <c r="S715" s="26">
        <f>SUMIFS('HQ2'!$O:$O,'HQ2'!$B:$B, "="&amp;'Tong_hop_HQNV_2026Q1_2026-06-23'!Q715, 'HQ2'!$A:$A,"="&amp;'Tong_hop_HQNV_2026Q1_2026-06-23'!P715)</f>
        <v>0</v>
      </c>
      <c r="T715" s="7">
        <f t="shared" si="11"/>
        <v>0</v>
      </c>
    </row>
    <row r="716" spans="1:20" x14ac:dyDescent="0.25">
      <c r="A716" t="s">
        <v>29</v>
      </c>
      <c r="B716" s="9" t="s">
        <v>325</v>
      </c>
      <c r="C716">
        <v>0</v>
      </c>
      <c r="D716">
        <v>0</v>
      </c>
      <c r="E716">
        <v>0</v>
      </c>
      <c r="F716">
        <v>341323736</v>
      </c>
      <c r="G716">
        <v>0</v>
      </c>
      <c r="H716">
        <v>0</v>
      </c>
      <c r="I716">
        <v>0</v>
      </c>
      <c r="J716">
        <v>0</v>
      </c>
      <c r="K716">
        <v>341323736</v>
      </c>
      <c r="L716">
        <v>0</v>
      </c>
      <c r="M716" t="s">
        <v>30</v>
      </c>
      <c r="N716" t="s">
        <v>31</v>
      </c>
      <c r="O716" t="s">
        <v>26</v>
      </c>
      <c r="P716" t="str">
        <f>VLOOKUP(B716,'CHECK_DT-BT_chi_tiet'!$A:$C,3,FALSE)</f>
        <v>BV Lâm Đồng</v>
      </c>
      <c r="Q716" t="str">
        <f>VLOOKUP(A716,Sheet3!$K$11:$L$21,2,FALSE)</f>
        <v>BH Tài sản</v>
      </c>
      <c r="R716" t="str">
        <f>VLOOKUP(Q716,Sheet3!$L$11:$M$21,2,FALSE)</f>
        <v>HQ2</v>
      </c>
      <c r="S716" s="26">
        <f>SUMIFS('HQ2'!$O:$O,'HQ2'!$B:$B, "="&amp;'Tong_hop_HQNV_2026Q1_2026-06-23'!Q716, 'HQ2'!$A:$A,"="&amp;'Tong_hop_HQNV_2026Q1_2026-06-23'!P716)</f>
        <v>0</v>
      </c>
      <c r="T716" s="7">
        <f t="shared" si="11"/>
        <v>0</v>
      </c>
    </row>
    <row r="717" spans="1:20" x14ac:dyDescent="0.25">
      <c r="A717" t="s">
        <v>29</v>
      </c>
      <c r="B717" s="9" t="s">
        <v>326</v>
      </c>
      <c r="C717">
        <v>0</v>
      </c>
      <c r="D717">
        <v>0</v>
      </c>
      <c r="E717">
        <v>0</v>
      </c>
      <c r="F717">
        <v>43737239</v>
      </c>
      <c r="G717">
        <v>0</v>
      </c>
      <c r="H717">
        <v>0</v>
      </c>
      <c r="I717">
        <v>0</v>
      </c>
      <c r="J717">
        <v>0</v>
      </c>
      <c r="K717">
        <v>43737239</v>
      </c>
      <c r="L717">
        <v>0</v>
      </c>
      <c r="M717" t="s">
        <v>30</v>
      </c>
      <c r="N717" t="s">
        <v>31</v>
      </c>
      <c r="O717" t="s">
        <v>26</v>
      </c>
      <c r="P717" t="str">
        <f>VLOOKUP(B717,'CHECK_DT-BT_chi_tiet'!$A:$C,3,FALSE)</f>
        <v>BV Lạng Sơn</v>
      </c>
      <c r="Q717" t="str">
        <f>VLOOKUP(A717,Sheet3!$K$11:$L$21,2,FALSE)</f>
        <v>BH Tài sản</v>
      </c>
      <c r="R717" t="str">
        <f>VLOOKUP(Q717,Sheet3!$L$11:$M$21,2,FALSE)</f>
        <v>HQ2</v>
      </c>
      <c r="S717" s="26">
        <f>SUMIFS('HQ2'!$O:$O,'HQ2'!$B:$B, "="&amp;'Tong_hop_HQNV_2026Q1_2026-06-23'!Q717, 'HQ2'!$A:$A,"="&amp;'Tong_hop_HQNV_2026Q1_2026-06-23'!P717)</f>
        <v>0</v>
      </c>
      <c r="T717" s="7">
        <f t="shared" si="11"/>
        <v>0</v>
      </c>
    </row>
    <row r="718" spans="1:20" x14ac:dyDescent="0.25">
      <c r="A718" t="s">
        <v>29</v>
      </c>
      <c r="B718" s="9" t="s">
        <v>338</v>
      </c>
      <c r="C718">
        <v>0</v>
      </c>
      <c r="D718">
        <v>0</v>
      </c>
      <c r="E718">
        <v>0</v>
      </c>
      <c r="F718">
        <v>3852057501</v>
      </c>
      <c r="G718" s="92">
        <v>1850000000</v>
      </c>
      <c r="H718">
        <v>0</v>
      </c>
      <c r="I718">
        <v>0</v>
      </c>
      <c r="J718">
        <v>0</v>
      </c>
      <c r="K718">
        <v>3852057501</v>
      </c>
      <c r="L718">
        <v>0</v>
      </c>
      <c r="M718" t="s">
        <v>30</v>
      </c>
      <c r="N718" t="s">
        <v>31</v>
      </c>
      <c r="O718" t="s">
        <v>26</v>
      </c>
      <c r="P718" t="str">
        <f>VLOOKUP(B718,'CHECK_DT-BT_chi_tiet'!$A:$C,3,FALSE)</f>
        <v>BV Phú Thọ</v>
      </c>
      <c r="Q718" t="str">
        <f>VLOOKUP(A718,Sheet3!$K$11:$L$21,2,FALSE)</f>
        <v>BH Tài sản</v>
      </c>
      <c r="R718" t="str">
        <f>VLOOKUP(Q718,Sheet3!$L$11:$M$21,2,FALSE)</f>
        <v>HQ2</v>
      </c>
      <c r="S718" s="26">
        <f>SUMIFS('HQ2'!$O:$O,'HQ2'!$B:$B, "="&amp;'Tong_hop_HQNV_2026Q1_2026-06-23'!Q718, 'HQ2'!$A:$A,"="&amp;'Tong_hop_HQNV_2026Q1_2026-06-23'!P718)</f>
        <v>1850000000</v>
      </c>
      <c r="T718" s="7">
        <f t="shared" si="11"/>
        <v>0</v>
      </c>
    </row>
    <row r="719" spans="1:20" x14ac:dyDescent="0.25">
      <c r="A719" t="s">
        <v>29</v>
      </c>
      <c r="B719" s="9" t="s">
        <v>339</v>
      </c>
      <c r="C719">
        <v>0</v>
      </c>
      <c r="D719">
        <v>0</v>
      </c>
      <c r="E719">
        <v>0</v>
      </c>
      <c r="F719">
        <v>631982505</v>
      </c>
      <c r="G719">
        <v>276280381036</v>
      </c>
      <c r="H719">
        <v>0</v>
      </c>
      <c r="I719">
        <v>0</v>
      </c>
      <c r="J719">
        <v>0</v>
      </c>
      <c r="K719">
        <v>631982505</v>
      </c>
      <c r="L719">
        <v>0</v>
      </c>
      <c r="M719" t="s">
        <v>30</v>
      </c>
      <c r="N719" t="s">
        <v>31</v>
      </c>
      <c r="O719" t="s">
        <v>26</v>
      </c>
      <c r="P719" t="str">
        <f>VLOOKUP(B719,'CHECK_DT-BT_chi_tiet'!$A:$C,3,FALSE)</f>
        <v>BV Phú Yên</v>
      </c>
      <c r="Q719" t="str">
        <f>VLOOKUP(A719,Sheet3!$K$11:$L$21,2,FALSE)</f>
        <v>BH Tài sản</v>
      </c>
      <c r="R719" t="str">
        <f>VLOOKUP(Q719,Sheet3!$L$11:$M$21,2,FALSE)</f>
        <v>HQ2</v>
      </c>
      <c r="S719" s="26">
        <f>SUMIFS('HQ2'!$O:$O,'HQ2'!$B:$B, "="&amp;'Tong_hop_HQNV_2026Q1_2026-06-23'!Q719, 'HQ2'!$A:$A,"="&amp;'Tong_hop_HQNV_2026Q1_2026-06-23'!P719)</f>
        <v>276280778326</v>
      </c>
      <c r="T719" s="7">
        <f t="shared" si="11"/>
        <v>397290</v>
      </c>
    </row>
    <row r="720" spans="1:20" x14ac:dyDescent="0.25">
      <c r="A720" t="s">
        <v>29</v>
      </c>
      <c r="B720" s="9" t="s">
        <v>340</v>
      </c>
      <c r="C720">
        <v>0</v>
      </c>
      <c r="D720">
        <v>0</v>
      </c>
      <c r="E720">
        <v>0</v>
      </c>
      <c r="F720">
        <v>82851988</v>
      </c>
      <c r="G720">
        <v>0</v>
      </c>
      <c r="H720">
        <v>0</v>
      </c>
      <c r="I720">
        <v>0</v>
      </c>
      <c r="J720">
        <v>0</v>
      </c>
      <c r="K720">
        <v>82851988</v>
      </c>
      <c r="L720">
        <v>0</v>
      </c>
      <c r="M720" t="s">
        <v>30</v>
      </c>
      <c r="N720" t="s">
        <v>31</v>
      </c>
      <c r="O720" t="s">
        <v>26</v>
      </c>
      <c r="P720" t="str">
        <f>VLOOKUP(B720,'CHECK_DT-BT_chi_tiet'!$A:$C,3,FALSE)</f>
        <v>BV Quảng Bình</v>
      </c>
      <c r="Q720" t="str">
        <f>VLOOKUP(A720,Sheet3!$K$11:$L$21,2,FALSE)</f>
        <v>BH Tài sản</v>
      </c>
      <c r="R720" t="str">
        <f>VLOOKUP(Q720,Sheet3!$L$11:$M$21,2,FALSE)</f>
        <v>HQ2</v>
      </c>
      <c r="S720" s="26">
        <f>SUMIFS('HQ2'!$O:$O,'HQ2'!$B:$B, "="&amp;'Tong_hop_HQNV_2026Q1_2026-06-23'!Q720, 'HQ2'!$A:$A,"="&amp;'Tong_hop_HQNV_2026Q1_2026-06-23'!P720)</f>
        <v>0</v>
      </c>
      <c r="T720" s="7">
        <f t="shared" si="11"/>
        <v>0</v>
      </c>
    </row>
    <row r="721" spans="1:20" x14ac:dyDescent="0.25">
      <c r="A721" t="s">
        <v>29</v>
      </c>
      <c r="B721" s="9" t="s">
        <v>343</v>
      </c>
      <c r="C721">
        <v>0</v>
      </c>
      <c r="D721">
        <v>0</v>
      </c>
      <c r="E721">
        <v>0</v>
      </c>
      <c r="F721">
        <v>1206972668</v>
      </c>
      <c r="G721" s="92">
        <v>1500000000</v>
      </c>
      <c r="H721">
        <v>0</v>
      </c>
      <c r="I721">
        <v>0</v>
      </c>
      <c r="J721">
        <v>0</v>
      </c>
      <c r="K721">
        <v>1206972668</v>
      </c>
      <c r="L721">
        <v>0</v>
      </c>
      <c r="M721" t="s">
        <v>30</v>
      </c>
      <c r="N721" t="s">
        <v>31</v>
      </c>
      <c r="O721" t="s">
        <v>26</v>
      </c>
      <c r="P721" t="str">
        <f>VLOOKUP(B721,'CHECK_DT-BT_chi_tiet'!$A:$C,3,FALSE)</f>
        <v>BV Quảng Ninh</v>
      </c>
      <c r="Q721" t="str">
        <f>VLOOKUP(A721,Sheet3!$K$11:$L$21,2,FALSE)</f>
        <v>BH Tài sản</v>
      </c>
      <c r="R721" t="str">
        <f>VLOOKUP(Q721,Sheet3!$L$11:$M$21,2,FALSE)</f>
        <v>HQ2</v>
      </c>
      <c r="S721" s="26">
        <f>SUMIFS('HQ2'!$O:$O,'HQ2'!$B:$B, "="&amp;'Tong_hop_HQNV_2026Q1_2026-06-23'!Q721, 'HQ2'!$A:$A,"="&amp;'Tong_hop_HQNV_2026Q1_2026-06-23'!P721)</f>
        <v>1500000000</v>
      </c>
      <c r="T721" s="7">
        <f t="shared" si="11"/>
        <v>0</v>
      </c>
    </row>
    <row r="722" spans="1:20" x14ac:dyDescent="0.25">
      <c r="A722" t="s">
        <v>29</v>
      </c>
      <c r="B722" s="9" t="s">
        <v>344</v>
      </c>
      <c r="C722">
        <v>0</v>
      </c>
      <c r="D722">
        <v>0</v>
      </c>
      <c r="E722">
        <v>0</v>
      </c>
      <c r="F722">
        <v>213994649</v>
      </c>
      <c r="G722">
        <v>0</v>
      </c>
      <c r="H722">
        <v>0</v>
      </c>
      <c r="I722">
        <v>0</v>
      </c>
      <c r="J722">
        <v>0</v>
      </c>
      <c r="K722">
        <v>213994649</v>
      </c>
      <c r="L722">
        <v>0</v>
      </c>
      <c r="M722" t="s">
        <v>30</v>
      </c>
      <c r="N722" t="s">
        <v>31</v>
      </c>
      <c r="O722" t="s">
        <v>26</v>
      </c>
      <c r="P722" t="str">
        <f>VLOOKUP(B722,'CHECK_DT-BT_chi_tiet'!$A:$C,3,FALSE)</f>
        <v>BV Quảng Trị</v>
      </c>
      <c r="Q722" t="str">
        <f>VLOOKUP(A722,Sheet3!$K$11:$L$21,2,FALSE)</f>
        <v>BH Tài sản</v>
      </c>
      <c r="R722" t="str">
        <f>VLOOKUP(Q722,Sheet3!$L$11:$M$21,2,FALSE)</f>
        <v>HQ2</v>
      </c>
      <c r="S722" s="26">
        <f>SUMIFS('HQ2'!$O:$O,'HQ2'!$B:$B, "="&amp;'Tong_hop_HQNV_2026Q1_2026-06-23'!Q722, 'HQ2'!$A:$A,"="&amp;'Tong_hop_HQNV_2026Q1_2026-06-23'!P722)</f>
        <v>0</v>
      </c>
      <c r="T722" s="7">
        <f t="shared" si="11"/>
        <v>0</v>
      </c>
    </row>
    <row r="723" spans="1:20" x14ac:dyDescent="0.25">
      <c r="A723" t="s">
        <v>29</v>
      </c>
      <c r="B723" s="9" t="s">
        <v>347</v>
      </c>
      <c r="C723">
        <v>0</v>
      </c>
      <c r="D723">
        <v>0</v>
      </c>
      <c r="E723">
        <v>0</v>
      </c>
      <c r="F723">
        <v>178148805</v>
      </c>
      <c r="G723">
        <v>0</v>
      </c>
      <c r="H723">
        <v>0</v>
      </c>
      <c r="I723">
        <v>0</v>
      </c>
      <c r="J723">
        <v>0</v>
      </c>
      <c r="K723">
        <v>178148805</v>
      </c>
      <c r="L723">
        <v>0</v>
      </c>
      <c r="M723" t="s">
        <v>30</v>
      </c>
      <c r="N723" t="s">
        <v>31</v>
      </c>
      <c r="O723" t="s">
        <v>26</v>
      </c>
      <c r="P723" t="str">
        <f>VLOOKUP(B723,'CHECK_DT-BT_chi_tiet'!$A:$C,3,FALSE)</f>
        <v>BV Sơn La</v>
      </c>
      <c r="Q723" t="str">
        <f>VLOOKUP(A723,Sheet3!$K$11:$L$21,2,FALSE)</f>
        <v>BH Tài sản</v>
      </c>
      <c r="R723" t="str">
        <f>VLOOKUP(Q723,Sheet3!$L$11:$M$21,2,FALSE)</f>
        <v>HQ2</v>
      </c>
      <c r="S723" s="26">
        <f>SUMIFS('HQ2'!$O:$O,'HQ2'!$B:$B, "="&amp;'Tong_hop_HQNV_2026Q1_2026-06-23'!Q723, 'HQ2'!$A:$A,"="&amp;'Tong_hop_HQNV_2026Q1_2026-06-23'!P723)</f>
        <v>0</v>
      </c>
      <c r="T723" s="7">
        <f t="shared" si="11"/>
        <v>0</v>
      </c>
    </row>
    <row r="724" spans="1:20" x14ac:dyDescent="0.25">
      <c r="A724" t="s">
        <v>29</v>
      </c>
      <c r="B724" s="9" t="s">
        <v>346</v>
      </c>
      <c r="C724">
        <v>0</v>
      </c>
      <c r="D724">
        <v>0</v>
      </c>
      <c r="E724">
        <v>0</v>
      </c>
      <c r="F724">
        <v>862063265</v>
      </c>
      <c r="G724">
        <v>0</v>
      </c>
      <c r="H724">
        <v>0</v>
      </c>
      <c r="I724">
        <v>0</v>
      </c>
      <c r="J724">
        <v>0</v>
      </c>
      <c r="K724">
        <v>862063265</v>
      </c>
      <c r="L724">
        <v>0</v>
      </c>
      <c r="M724" t="s">
        <v>30</v>
      </c>
      <c r="N724" t="s">
        <v>31</v>
      </c>
      <c r="O724" t="s">
        <v>26</v>
      </c>
      <c r="P724" t="str">
        <f>VLOOKUP(B724,'CHECK_DT-BT_chi_tiet'!$A:$C,3,FALSE)</f>
        <v>BV Sóc Trăng</v>
      </c>
      <c r="Q724" t="str">
        <f>VLOOKUP(A724,Sheet3!$K$11:$L$21,2,FALSE)</f>
        <v>BH Tài sản</v>
      </c>
      <c r="R724" t="str">
        <f>VLOOKUP(Q724,Sheet3!$L$11:$M$21,2,FALSE)</f>
        <v>HQ2</v>
      </c>
      <c r="S724" s="26">
        <f>SUMIFS('HQ2'!$O:$O,'HQ2'!$B:$B, "="&amp;'Tong_hop_HQNV_2026Q1_2026-06-23'!Q724, 'HQ2'!$A:$A,"="&amp;'Tong_hop_HQNV_2026Q1_2026-06-23'!P724)</f>
        <v>0</v>
      </c>
      <c r="T724" s="7">
        <f t="shared" si="11"/>
        <v>0</v>
      </c>
    </row>
    <row r="725" spans="1:20" x14ac:dyDescent="0.25">
      <c r="A725" t="s">
        <v>29</v>
      </c>
      <c r="B725" s="9" t="s">
        <v>349</v>
      </c>
      <c r="C725">
        <v>0</v>
      </c>
      <c r="D725">
        <v>0</v>
      </c>
      <c r="E725">
        <v>0</v>
      </c>
      <c r="F725">
        <v>2140869054</v>
      </c>
      <c r="G725">
        <v>0</v>
      </c>
      <c r="H725">
        <v>0</v>
      </c>
      <c r="I725">
        <v>0</v>
      </c>
      <c r="J725">
        <v>0</v>
      </c>
      <c r="K725">
        <v>2140869054</v>
      </c>
      <c r="L725">
        <v>0</v>
      </c>
      <c r="M725" t="s">
        <v>30</v>
      </c>
      <c r="N725" t="s">
        <v>31</v>
      </c>
      <c r="O725" t="s">
        <v>26</v>
      </c>
      <c r="P725" t="str">
        <f>VLOOKUP(B725,'CHECK_DT-BT_chi_tiet'!$A:$C,3,FALSE)</f>
        <v>BV Tây Ninh</v>
      </c>
      <c r="Q725" t="str">
        <f>VLOOKUP(A725,Sheet3!$K$11:$L$21,2,FALSE)</f>
        <v>BH Tài sản</v>
      </c>
      <c r="R725" t="str">
        <f>VLOOKUP(Q725,Sheet3!$L$11:$M$21,2,FALSE)</f>
        <v>HQ2</v>
      </c>
      <c r="S725" s="26">
        <f>SUMIFS('HQ2'!$O:$O,'HQ2'!$B:$B, "="&amp;'Tong_hop_HQNV_2026Q1_2026-06-23'!Q725, 'HQ2'!$A:$A,"="&amp;'Tong_hop_HQNV_2026Q1_2026-06-23'!P725)</f>
        <v>0</v>
      </c>
      <c r="T725" s="7">
        <f t="shared" si="11"/>
        <v>0</v>
      </c>
    </row>
    <row r="726" spans="1:20" x14ac:dyDescent="0.25">
      <c r="A726" t="s">
        <v>29</v>
      </c>
      <c r="B726" s="9" t="s">
        <v>353</v>
      </c>
      <c r="C726">
        <v>0</v>
      </c>
      <c r="D726">
        <v>0</v>
      </c>
      <c r="E726">
        <v>0</v>
      </c>
      <c r="F726">
        <v>863578146</v>
      </c>
      <c r="G726" s="92">
        <v>370000000</v>
      </c>
      <c r="H726">
        <v>0</v>
      </c>
      <c r="I726">
        <v>0</v>
      </c>
      <c r="J726">
        <v>0</v>
      </c>
      <c r="K726">
        <v>863578146</v>
      </c>
      <c r="L726">
        <v>0</v>
      </c>
      <c r="M726" t="s">
        <v>30</v>
      </c>
      <c r="N726" t="s">
        <v>31</v>
      </c>
      <c r="O726" t="s">
        <v>26</v>
      </c>
      <c r="P726" t="str">
        <f>VLOOKUP(B726,'CHECK_DT-BT_chi_tiet'!$A:$C,3,FALSE)</f>
        <v>BV Thanh Hóa</v>
      </c>
      <c r="Q726" t="str">
        <f>VLOOKUP(A726,Sheet3!$K$11:$L$21,2,FALSE)</f>
        <v>BH Tài sản</v>
      </c>
      <c r="R726" t="str">
        <f>VLOOKUP(Q726,Sheet3!$L$11:$M$21,2,FALSE)</f>
        <v>HQ2</v>
      </c>
      <c r="S726" s="26">
        <f>SUMIFS('HQ2'!$O:$O,'HQ2'!$B:$B, "="&amp;'Tong_hop_HQNV_2026Q1_2026-06-23'!Q726, 'HQ2'!$A:$A,"="&amp;'Tong_hop_HQNV_2026Q1_2026-06-23'!P726)</f>
        <v>370000000</v>
      </c>
      <c r="T726" s="7">
        <f t="shared" si="11"/>
        <v>0</v>
      </c>
    </row>
    <row r="727" spans="1:20" x14ac:dyDescent="0.25">
      <c r="A727" t="s">
        <v>29</v>
      </c>
      <c r="B727" s="9" t="s">
        <v>356</v>
      </c>
      <c r="C727">
        <v>0</v>
      </c>
      <c r="D727">
        <v>0</v>
      </c>
      <c r="E727">
        <v>0</v>
      </c>
      <c r="F727">
        <v>1331108739</v>
      </c>
      <c r="G727">
        <v>0</v>
      </c>
      <c r="H727">
        <v>0</v>
      </c>
      <c r="I727">
        <v>0</v>
      </c>
      <c r="J727">
        <v>0</v>
      </c>
      <c r="K727">
        <v>1331108739</v>
      </c>
      <c r="L727">
        <v>0</v>
      </c>
      <c r="M727" t="s">
        <v>30</v>
      </c>
      <c r="N727" t="s">
        <v>31</v>
      </c>
      <c r="O727" t="s">
        <v>26</v>
      </c>
      <c r="P727" t="str">
        <f>VLOOKUP(B727,'CHECK_DT-BT_chi_tiet'!$A:$C,3,FALSE)</f>
        <v>BV Tiền Giang</v>
      </c>
      <c r="Q727" t="str">
        <f>VLOOKUP(A727,Sheet3!$K$11:$L$21,2,FALSE)</f>
        <v>BH Tài sản</v>
      </c>
      <c r="R727" t="str">
        <f>VLOOKUP(Q727,Sheet3!$L$11:$M$21,2,FALSE)</f>
        <v>HQ2</v>
      </c>
      <c r="S727" s="26">
        <f>SUMIFS('HQ2'!$O:$O,'HQ2'!$B:$B, "="&amp;'Tong_hop_HQNV_2026Q1_2026-06-23'!Q727, 'HQ2'!$A:$A,"="&amp;'Tong_hop_HQNV_2026Q1_2026-06-23'!P727)</f>
        <v>0</v>
      </c>
      <c r="T727" s="7">
        <f t="shared" si="11"/>
        <v>0</v>
      </c>
    </row>
    <row r="728" spans="1:20" x14ac:dyDescent="0.25">
      <c r="A728" t="s">
        <v>29</v>
      </c>
      <c r="B728" s="9" t="s">
        <v>357</v>
      </c>
      <c r="C728">
        <v>0</v>
      </c>
      <c r="D728">
        <v>0</v>
      </c>
      <c r="E728">
        <v>0</v>
      </c>
      <c r="F728">
        <v>635614428</v>
      </c>
      <c r="G728">
        <v>0</v>
      </c>
      <c r="H728">
        <v>0</v>
      </c>
      <c r="I728">
        <v>0</v>
      </c>
      <c r="J728">
        <v>0</v>
      </c>
      <c r="K728">
        <v>635614428</v>
      </c>
      <c r="L728">
        <v>0</v>
      </c>
      <c r="M728" t="s">
        <v>30</v>
      </c>
      <c r="N728" t="s">
        <v>31</v>
      </c>
      <c r="O728" t="s">
        <v>26</v>
      </c>
      <c r="P728" t="str">
        <f>VLOOKUP(B728,'CHECK_DT-BT_chi_tiet'!$A:$C,3,FALSE)</f>
        <v>BV Trà Vinh</v>
      </c>
      <c r="Q728" t="str">
        <f>VLOOKUP(A728,Sheet3!$K$11:$L$21,2,FALSE)</f>
        <v>BH Tài sản</v>
      </c>
      <c r="R728" t="str">
        <f>VLOOKUP(Q728,Sheet3!$L$11:$M$21,2,FALSE)</f>
        <v>HQ2</v>
      </c>
      <c r="S728" s="26">
        <f>SUMIFS('HQ2'!$O:$O,'HQ2'!$B:$B, "="&amp;'Tong_hop_HQNV_2026Q1_2026-06-23'!Q728, 'HQ2'!$A:$A,"="&amp;'Tong_hop_HQNV_2026Q1_2026-06-23'!P728)</f>
        <v>0</v>
      </c>
      <c r="T728" s="7">
        <f t="shared" si="11"/>
        <v>0</v>
      </c>
    </row>
    <row r="729" spans="1:20" x14ac:dyDescent="0.25">
      <c r="A729" t="s">
        <v>29</v>
      </c>
      <c r="B729" s="9" t="s">
        <v>359</v>
      </c>
      <c r="C729">
        <v>0</v>
      </c>
      <c r="D729">
        <v>0</v>
      </c>
      <c r="E729">
        <v>0</v>
      </c>
      <c r="F729">
        <v>608153177</v>
      </c>
      <c r="G729">
        <v>0</v>
      </c>
      <c r="H729">
        <v>0</v>
      </c>
      <c r="I729">
        <v>0</v>
      </c>
      <c r="J729">
        <v>0</v>
      </c>
      <c r="K729">
        <v>608153177</v>
      </c>
      <c r="L729">
        <v>0</v>
      </c>
      <c r="M729" t="s">
        <v>30</v>
      </c>
      <c r="N729" t="s">
        <v>31</v>
      </c>
      <c r="O729" t="s">
        <v>26</v>
      </c>
      <c r="P729" t="str">
        <f>VLOOKUP(B729,'CHECK_DT-BT_chi_tiet'!$A:$C,3,FALSE)</f>
        <v>BV Tuyên Quang</v>
      </c>
      <c r="Q729" t="str">
        <f>VLOOKUP(A729,Sheet3!$K$11:$L$21,2,FALSE)</f>
        <v>BH Tài sản</v>
      </c>
      <c r="R729" t="str">
        <f>VLOOKUP(Q729,Sheet3!$L$11:$M$21,2,FALSE)</f>
        <v>HQ2</v>
      </c>
      <c r="S729" s="26">
        <f>SUMIFS('HQ2'!$O:$O,'HQ2'!$B:$B, "="&amp;'Tong_hop_HQNV_2026Q1_2026-06-23'!Q729, 'HQ2'!$A:$A,"="&amp;'Tong_hop_HQNV_2026Q1_2026-06-23'!P729)</f>
        <v>0</v>
      </c>
      <c r="T729" s="7">
        <f t="shared" si="11"/>
        <v>0</v>
      </c>
    </row>
    <row r="730" spans="1:20" x14ac:dyDescent="0.25">
      <c r="A730" t="s">
        <v>29</v>
      </c>
      <c r="B730" s="9" t="s">
        <v>360</v>
      </c>
      <c r="C730">
        <v>0</v>
      </c>
      <c r="D730">
        <v>0</v>
      </c>
      <c r="E730">
        <v>0</v>
      </c>
      <c r="F730">
        <v>2190965471</v>
      </c>
      <c r="G730" s="92">
        <v>205000000</v>
      </c>
      <c r="H730">
        <v>0</v>
      </c>
      <c r="I730">
        <v>0</v>
      </c>
      <c r="J730">
        <v>0</v>
      </c>
      <c r="K730">
        <v>2190965471</v>
      </c>
      <c r="L730">
        <v>0</v>
      </c>
      <c r="M730" t="s">
        <v>30</v>
      </c>
      <c r="N730" t="s">
        <v>31</v>
      </c>
      <c r="O730" t="s">
        <v>26</v>
      </c>
      <c r="P730" t="str">
        <f>VLOOKUP(B730,'CHECK_DT-BT_chi_tiet'!$A:$C,3,FALSE)</f>
        <v>BV Vĩnh Long</v>
      </c>
      <c r="Q730" t="str">
        <f>VLOOKUP(A730,Sheet3!$K$11:$L$21,2,FALSE)</f>
        <v>BH Tài sản</v>
      </c>
      <c r="R730" t="str">
        <f>VLOOKUP(Q730,Sheet3!$L$11:$M$21,2,FALSE)</f>
        <v>HQ2</v>
      </c>
      <c r="S730" s="26">
        <f>SUMIFS('HQ2'!$O:$O,'HQ2'!$B:$B, "="&amp;'Tong_hop_HQNV_2026Q1_2026-06-23'!Q730, 'HQ2'!$A:$A,"="&amp;'Tong_hop_HQNV_2026Q1_2026-06-23'!P730)</f>
        <v>205000000</v>
      </c>
      <c r="T730" s="7">
        <f t="shared" si="11"/>
        <v>0</v>
      </c>
    </row>
    <row r="731" spans="1:20" x14ac:dyDescent="0.25">
      <c r="A731" t="s">
        <v>29</v>
      </c>
      <c r="B731" s="9" t="s">
        <v>361</v>
      </c>
      <c r="C731">
        <v>0</v>
      </c>
      <c r="D731">
        <v>0</v>
      </c>
      <c r="E731">
        <v>0</v>
      </c>
      <c r="F731">
        <v>2775981020</v>
      </c>
      <c r="G731" s="92">
        <v>4906000000</v>
      </c>
      <c r="H731">
        <v>0</v>
      </c>
      <c r="I731">
        <v>0</v>
      </c>
      <c r="J731">
        <v>0</v>
      </c>
      <c r="K731">
        <v>2775981020</v>
      </c>
      <c r="L731">
        <v>0</v>
      </c>
      <c r="M731" t="s">
        <v>30</v>
      </c>
      <c r="N731" t="s">
        <v>31</v>
      </c>
      <c r="O731" t="s">
        <v>26</v>
      </c>
      <c r="P731" t="str">
        <f>VLOOKUP(B731,'CHECK_DT-BT_chi_tiet'!$A:$C,3,FALSE)</f>
        <v>BV Vĩnh Phúc</v>
      </c>
      <c r="Q731" t="str">
        <f>VLOOKUP(A731,Sheet3!$K$11:$L$21,2,FALSE)</f>
        <v>BH Tài sản</v>
      </c>
      <c r="R731" t="str">
        <f>VLOOKUP(Q731,Sheet3!$L$11:$M$21,2,FALSE)</f>
        <v>HQ2</v>
      </c>
      <c r="S731" s="26">
        <f>SUMIFS('HQ2'!$O:$O,'HQ2'!$B:$B, "="&amp;'Tong_hop_HQNV_2026Q1_2026-06-23'!Q731, 'HQ2'!$A:$A,"="&amp;'Tong_hop_HQNV_2026Q1_2026-06-23'!P731)</f>
        <v>4906000000</v>
      </c>
      <c r="T731" s="7">
        <f t="shared" si="11"/>
        <v>0</v>
      </c>
    </row>
    <row r="732" spans="1:20" x14ac:dyDescent="0.25">
      <c r="A732" t="s">
        <v>29</v>
      </c>
      <c r="B732" s="9" t="s">
        <v>362</v>
      </c>
      <c r="C732">
        <v>0</v>
      </c>
      <c r="D732">
        <v>0</v>
      </c>
      <c r="E732">
        <v>0</v>
      </c>
      <c r="F732">
        <v>24274579</v>
      </c>
      <c r="G732" s="92">
        <v>26000000</v>
      </c>
      <c r="H732">
        <v>0</v>
      </c>
      <c r="I732">
        <v>0</v>
      </c>
      <c r="J732">
        <v>0</v>
      </c>
      <c r="K732">
        <v>24274579</v>
      </c>
      <c r="L732">
        <v>0</v>
      </c>
      <c r="M732" t="s">
        <v>30</v>
      </c>
      <c r="N732" t="s">
        <v>31</v>
      </c>
      <c r="O732" t="s">
        <v>26</v>
      </c>
      <c r="P732" t="str">
        <f>VLOOKUP(B732,'CHECK_DT-BT_chi_tiet'!$A:$C,3,FALSE)</f>
        <v>BV Yên Bái</v>
      </c>
      <c r="Q732" t="str">
        <f>VLOOKUP(A732,Sheet3!$K$11:$L$21,2,FALSE)</f>
        <v>BH Tài sản</v>
      </c>
      <c r="R732" t="str">
        <f>VLOOKUP(Q732,Sheet3!$L$11:$M$21,2,FALSE)</f>
        <v>HQ2</v>
      </c>
      <c r="S732" s="26">
        <f>SUMIFS('HQ2'!$O:$O,'HQ2'!$B:$B, "="&amp;'Tong_hop_HQNV_2026Q1_2026-06-23'!Q732, 'HQ2'!$A:$A,"="&amp;'Tong_hop_HQNV_2026Q1_2026-06-23'!P732)</f>
        <v>26000000</v>
      </c>
      <c r="T732" s="7">
        <f t="shared" si="11"/>
        <v>0</v>
      </c>
    </row>
    <row r="733" spans="1:20" x14ac:dyDescent="0.25">
      <c r="A733" t="s">
        <v>29</v>
      </c>
      <c r="B733" s="9" t="s">
        <v>324</v>
      </c>
      <c r="C733">
        <v>0</v>
      </c>
      <c r="D733">
        <v>0</v>
      </c>
      <c r="E733">
        <v>0</v>
      </c>
      <c r="F733">
        <v>269074845</v>
      </c>
      <c r="G733">
        <v>0</v>
      </c>
      <c r="H733">
        <v>0</v>
      </c>
      <c r="I733">
        <v>0</v>
      </c>
      <c r="J733">
        <v>0</v>
      </c>
      <c r="K733">
        <v>269074845</v>
      </c>
      <c r="L733">
        <v>0</v>
      </c>
      <c r="M733" t="s">
        <v>30</v>
      </c>
      <c r="N733" t="s">
        <v>31</v>
      </c>
      <c r="O733" t="s">
        <v>26</v>
      </c>
      <c r="P733" t="str">
        <f>VLOOKUP(B733,'CHECK_DT-BT_chi_tiet'!$A:$C,3,FALSE)</f>
        <v>BV Lai Châu</v>
      </c>
      <c r="Q733" t="str">
        <f>VLOOKUP(A733,Sheet3!$K$11:$L$21,2,FALSE)</f>
        <v>BH Tài sản</v>
      </c>
      <c r="R733" t="str">
        <f>VLOOKUP(Q733,Sheet3!$L$11:$M$21,2,FALSE)</f>
        <v>HQ2</v>
      </c>
      <c r="S733" s="26">
        <f>SUMIFS('HQ2'!$O:$O,'HQ2'!$B:$B, "="&amp;'Tong_hop_HQNV_2026Q1_2026-06-23'!Q733, 'HQ2'!$A:$A,"="&amp;'Tong_hop_HQNV_2026Q1_2026-06-23'!P733)</f>
        <v>0</v>
      </c>
      <c r="T733" s="7">
        <f t="shared" si="11"/>
        <v>0</v>
      </c>
    </row>
    <row r="734" spans="1:20" x14ac:dyDescent="0.25">
      <c r="A734" t="s">
        <v>29</v>
      </c>
      <c r="B734" s="9" t="s">
        <v>302</v>
      </c>
      <c r="C734">
        <v>0</v>
      </c>
      <c r="D734">
        <v>0</v>
      </c>
      <c r="E734">
        <v>0</v>
      </c>
      <c r="F734">
        <v>39074125</v>
      </c>
      <c r="G734" s="92">
        <v>764000000</v>
      </c>
      <c r="H734">
        <v>0</v>
      </c>
      <c r="I734">
        <v>0</v>
      </c>
      <c r="J734">
        <v>0</v>
      </c>
      <c r="K734">
        <v>39074125</v>
      </c>
      <c r="L734">
        <v>0</v>
      </c>
      <c r="M734" t="s">
        <v>30</v>
      </c>
      <c r="N734" t="s">
        <v>31</v>
      </c>
      <c r="O734" t="s">
        <v>26</v>
      </c>
      <c r="P734" t="str">
        <f>VLOOKUP(B734,'CHECK_DT-BT_chi_tiet'!$A:$C,3,FALSE)</f>
        <v>BV Dak Nong</v>
      </c>
      <c r="Q734" t="str">
        <f>VLOOKUP(A734,Sheet3!$K$11:$L$21,2,FALSE)</f>
        <v>BH Tài sản</v>
      </c>
      <c r="R734" t="str">
        <f>VLOOKUP(Q734,Sheet3!$L$11:$M$21,2,FALSE)</f>
        <v>HQ2</v>
      </c>
      <c r="S734" s="26">
        <f>SUMIFS('HQ2'!$O:$O,'HQ2'!$B:$B, "="&amp;'Tong_hop_HQNV_2026Q1_2026-06-23'!Q734, 'HQ2'!$A:$A,"="&amp;'Tong_hop_HQNV_2026Q1_2026-06-23'!P734)</f>
        <v>764000000</v>
      </c>
      <c r="T734" s="7">
        <f t="shared" si="11"/>
        <v>0</v>
      </c>
    </row>
    <row r="735" spans="1:20" x14ac:dyDescent="0.25">
      <c r="A735" t="s">
        <v>29</v>
      </c>
      <c r="B735" s="9" t="s">
        <v>337</v>
      </c>
      <c r="C735">
        <v>0</v>
      </c>
      <c r="D735">
        <v>0</v>
      </c>
      <c r="E735">
        <v>0</v>
      </c>
      <c r="F735">
        <v>380791005</v>
      </c>
      <c r="G735">
        <v>0</v>
      </c>
      <c r="H735">
        <v>0</v>
      </c>
      <c r="I735">
        <v>0</v>
      </c>
      <c r="J735">
        <v>0</v>
      </c>
      <c r="K735">
        <v>380791005</v>
      </c>
      <c r="L735">
        <v>0</v>
      </c>
      <c r="M735" t="s">
        <v>30</v>
      </c>
      <c r="N735" t="s">
        <v>31</v>
      </c>
      <c r="O735" t="s">
        <v>26</v>
      </c>
      <c r="P735" t="str">
        <f>VLOOKUP(B735,'CHECK_DT-BT_chi_tiet'!$A:$C,3,FALSE)</f>
        <v>BV Phú Quốc</v>
      </c>
      <c r="Q735" t="str">
        <f>VLOOKUP(A735,Sheet3!$K$11:$L$21,2,FALSE)</f>
        <v>BH Tài sản</v>
      </c>
      <c r="R735" t="str">
        <f>VLOOKUP(Q735,Sheet3!$L$11:$M$21,2,FALSE)</f>
        <v>HQ2</v>
      </c>
      <c r="S735" s="26">
        <f>SUMIFS('HQ2'!$O:$O,'HQ2'!$B:$B, "="&amp;'Tong_hop_HQNV_2026Q1_2026-06-23'!Q735, 'HQ2'!$A:$A,"="&amp;'Tong_hop_HQNV_2026Q1_2026-06-23'!P735)</f>
        <v>0</v>
      </c>
      <c r="T735" s="7">
        <f t="shared" si="11"/>
        <v>0</v>
      </c>
    </row>
    <row r="736" spans="1:20" x14ac:dyDescent="0.25">
      <c r="A736" t="s">
        <v>29</v>
      </c>
      <c r="B736" s="9" t="s">
        <v>304</v>
      </c>
      <c r="C736">
        <v>0</v>
      </c>
      <c r="D736">
        <v>0</v>
      </c>
      <c r="E736">
        <v>0</v>
      </c>
      <c r="F736">
        <v>2662954115</v>
      </c>
      <c r="G736">
        <v>377853844</v>
      </c>
      <c r="H736">
        <v>0</v>
      </c>
      <c r="I736">
        <v>0</v>
      </c>
      <c r="J736">
        <v>0</v>
      </c>
      <c r="K736">
        <v>2662954115</v>
      </c>
      <c r="L736">
        <v>0</v>
      </c>
      <c r="M736" t="s">
        <v>30</v>
      </c>
      <c r="N736" t="s">
        <v>31</v>
      </c>
      <c r="O736" t="s">
        <v>26</v>
      </c>
      <c r="P736" t="str">
        <f>VLOOKUP(B736,'CHECK_DT-BT_chi_tiet'!$A:$C,3,FALSE)</f>
        <v>BV Đình Vũ</v>
      </c>
      <c r="Q736" t="str">
        <f>VLOOKUP(A736,Sheet3!$K$11:$L$21,2,FALSE)</f>
        <v>BH Tài sản</v>
      </c>
      <c r="R736" t="str">
        <f>VLOOKUP(Q736,Sheet3!$L$11:$M$21,2,FALSE)</f>
        <v>HQ2</v>
      </c>
      <c r="S736" s="26">
        <f>SUMIFS('HQ2'!$O:$O,'HQ2'!$B:$B, "="&amp;'Tong_hop_HQNV_2026Q1_2026-06-23'!Q736, 'HQ2'!$A:$A,"="&amp;'Tong_hop_HQNV_2026Q1_2026-06-23'!P736)</f>
        <v>377853844</v>
      </c>
      <c r="T736" s="7">
        <f t="shared" si="11"/>
        <v>0</v>
      </c>
    </row>
    <row r="737" spans="1:20" x14ac:dyDescent="0.25">
      <c r="A737" t="s">
        <v>29</v>
      </c>
      <c r="B737" s="9" t="s">
        <v>348</v>
      </c>
      <c r="C737">
        <v>0</v>
      </c>
      <c r="D737">
        <v>0</v>
      </c>
      <c r="E737">
        <v>0</v>
      </c>
      <c r="F737">
        <v>232912715</v>
      </c>
      <c r="G737">
        <v>298627436</v>
      </c>
      <c r="H737">
        <v>0</v>
      </c>
      <c r="I737">
        <v>0</v>
      </c>
      <c r="J737">
        <v>0</v>
      </c>
      <c r="K737">
        <v>232912715</v>
      </c>
      <c r="L737">
        <v>0</v>
      </c>
      <c r="M737" t="s">
        <v>30</v>
      </c>
      <c r="N737" t="s">
        <v>31</v>
      </c>
      <c r="O737" t="s">
        <v>26</v>
      </c>
      <c r="P737" t="str">
        <f>VLOOKUP(B737,'CHECK_DT-BT_chi_tiet'!$A:$C,3,FALSE)</f>
        <v>BV Sơn Tây</v>
      </c>
      <c r="Q737" t="str">
        <f>VLOOKUP(A737,Sheet3!$K$11:$L$21,2,FALSE)</f>
        <v>BH Tài sản</v>
      </c>
      <c r="R737" t="str">
        <f>VLOOKUP(Q737,Sheet3!$L$11:$M$21,2,FALSE)</f>
        <v>HQ2</v>
      </c>
      <c r="S737" s="26">
        <f>SUMIFS('HQ2'!$O:$O,'HQ2'!$B:$B, "="&amp;'Tong_hop_HQNV_2026Q1_2026-06-23'!Q737, 'HQ2'!$A:$A,"="&amp;'Tong_hop_HQNV_2026Q1_2026-06-23'!P737)</f>
        <v>298627436</v>
      </c>
      <c r="T737" s="7">
        <f t="shared" si="11"/>
        <v>0</v>
      </c>
    </row>
    <row r="738" spans="1:20" x14ac:dyDescent="0.25">
      <c r="A738" t="s">
        <v>37</v>
      </c>
      <c r="B738" s="9" t="s">
        <v>223</v>
      </c>
      <c r="C738">
        <v>0</v>
      </c>
      <c r="D738">
        <v>0</v>
      </c>
      <c r="E738">
        <v>0</v>
      </c>
      <c r="F738">
        <v>169322972</v>
      </c>
      <c r="G738">
        <v>0</v>
      </c>
      <c r="H738">
        <v>0</v>
      </c>
      <c r="I738">
        <v>0</v>
      </c>
      <c r="J738">
        <v>0</v>
      </c>
      <c r="K738">
        <v>169322972</v>
      </c>
      <c r="L738">
        <v>0</v>
      </c>
      <c r="M738" t="s">
        <v>36</v>
      </c>
      <c r="N738" t="s">
        <v>19</v>
      </c>
      <c r="O738" t="s">
        <v>19</v>
      </c>
      <c r="P738" t="str">
        <f>VLOOKUP(B738,'CHECK_DT-BT_chi_tiet'!$A:$C,3,FALSE)</f>
        <v>TSC-Ban KDBH Hàng hóa</v>
      </c>
      <c r="Q738" t="str">
        <f>VLOOKUP(A738,Sheet3!$K$11:$L$21,2,FALSE)</f>
        <v>Tàu khác</v>
      </c>
      <c r="R738" t="str">
        <f>VLOOKUP(Q738,Sheet3!$L$11:$M$21,2,FALSE)</f>
        <v>HQ2</v>
      </c>
      <c r="S738" s="26">
        <f>SUMIFS('HQ2'!$O:$O,'HQ2'!$B:$B, "="&amp;'Tong_hop_HQNV_2026Q1_2026-06-23'!Q738, 'HQ2'!$A:$A,"="&amp;'Tong_hop_HQNV_2026Q1_2026-06-23'!P738)</f>
        <v>0</v>
      </c>
      <c r="T738" s="7">
        <f t="shared" si="11"/>
        <v>0</v>
      </c>
    </row>
    <row r="739" spans="1:20" x14ac:dyDescent="0.25">
      <c r="A739" t="s">
        <v>37</v>
      </c>
      <c r="B739" s="9" t="s">
        <v>227</v>
      </c>
      <c r="C739">
        <v>0</v>
      </c>
      <c r="D739">
        <v>0</v>
      </c>
      <c r="E739">
        <v>0</v>
      </c>
      <c r="F739">
        <v>8439686660</v>
      </c>
      <c r="G739">
        <v>0</v>
      </c>
      <c r="H739">
        <v>0</v>
      </c>
      <c r="I739">
        <v>0</v>
      </c>
      <c r="J739">
        <v>0</v>
      </c>
      <c r="K739">
        <v>8439686660</v>
      </c>
      <c r="L739">
        <v>0</v>
      </c>
      <c r="M739" t="s">
        <v>36</v>
      </c>
      <c r="N739" t="s">
        <v>19</v>
      </c>
      <c r="O739" t="s">
        <v>19</v>
      </c>
      <c r="P739" t="str">
        <f>VLOOKUP(B739,'CHECK_DT-BT_chi_tiet'!$A:$C,3,FALSE)</f>
        <v>TSC-Ban BH Dự án (Fronting)</v>
      </c>
      <c r="Q739" t="str">
        <f>VLOOKUP(A739,Sheet3!$K$11:$L$21,2,FALSE)</f>
        <v>Tàu khác</v>
      </c>
      <c r="R739" t="str">
        <f>VLOOKUP(Q739,Sheet3!$L$11:$M$21,2,FALSE)</f>
        <v>HQ2</v>
      </c>
      <c r="S739" s="26">
        <f>SUMIFS('HQ2'!$O:$O,'HQ2'!$B:$B, "="&amp;'Tong_hop_HQNV_2026Q1_2026-06-23'!Q739, 'HQ2'!$A:$A,"="&amp;'Tong_hop_HQNV_2026Q1_2026-06-23'!P739)</f>
        <v>0</v>
      </c>
      <c r="T739" s="7">
        <f t="shared" si="11"/>
        <v>0</v>
      </c>
    </row>
    <row r="740" spans="1:20" x14ac:dyDescent="0.25">
      <c r="A740" t="s">
        <v>37</v>
      </c>
      <c r="B740" s="9" t="s">
        <v>228</v>
      </c>
      <c r="C740">
        <v>0</v>
      </c>
      <c r="D740">
        <v>0</v>
      </c>
      <c r="E740">
        <v>0</v>
      </c>
      <c r="F740">
        <v>1622389151</v>
      </c>
      <c r="G740">
        <v>1304317222</v>
      </c>
      <c r="H740">
        <v>168500000</v>
      </c>
      <c r="I740">
        <v>0</v>
      </c>
      <c r="J740">
        <v>0</v>
      </c>
      <c r="K740">
        <v>1622389151</v>
      </c>
      <c r="L740">
        <v>0</v>
      </c>
      <c r="M740" t="s">
        <v>36</v>
      </c>
      <c r="N740" t="s">
        <v>19</v>
      </c>
      <c r="O740" t="s">
        <v>19</v>
      </c>
      <c r="P740" t="str">
        <f>VLOOKUP(B740,'CHECK_DT-BT_chi_tiet'!$A:$C,3,FALSE)</f>
        <v>TSC-Ban KDBH Tàu thủy</v>
      </c>
      <c r="Q740" t="str">
        <f>VLOOKUP(A740,Sheet3!$K$11:$L$21,2,FALSE)</f>
        <v>Tàu khác</v>
      </c>
      <c r="R740" t="str">
        <f>VLOOKUP(Q740,Sheet3!$L$11:$M$21,2,FALSE)</f>
        <v>HQ2</v>
      </c>
      <c r="S740" s="26">
        <f>SUMIFS('HQ2'!$O:$O,'HQ2'!$B:$B, "="&amp;'Tong_hop_HQNV_2026Q1_2026-06-23'!Q740, 'HQ2'!$A:$A,"="&amp;'Tong_hop_HQNV_2026Q1_2026-06-23'!P740)</f>
        <v>1304317222</v>
      </c>
      <c r="T740" s="7">
        <f t="shared" si="11"/>
        <v>0</v>
      </c>
    </row>
    <row r="741" spans="1:20" x14ac:dyDescent="0.25">
      <c r="A741" t="s">
        <v>37</v>
      </c>
      <c r="B741" s="9" t="s">
        <v>305</v>
      </c>
      <c r="C741">
        <v>0</v>
      </c>
      <c r="D741">
        <v>0</v>
      </c>
      <c r="E741">
        <v>0</v>
      </c>
      <c r="F741">
        <v>25786000</v>
      </c>
      <c r="G741">
        <v>71717245</v>
      </c>
      <c r="H741">
        <v>0</v>
      </c>
      <c r="I741">
        <v>0</v>
      </c>
      <c r="J741">
        <v>0</v>
      </c>
      <c r="K741">
        <v>25786000</v>
      </c>
      <c r="L741">
        <v>0</v>
      </c>
      <c r="M741" t="s">
        <v>36</v>
      </c>
      <c r="N741" t="s">
        <v>19</v>
      </c>
      <c r="O741" t="s">
        <v>19</v>
      </c>
      <c r="P741" t="str">
        <f>VLOOKUP(B741,'CHECK_DT-BT_chi_tiet'!$A:$C,3,FALSE)</f>
        <v>BV Đông Bắc</v>
      </c>
      <c r="Q741" t="str">
        <f>VLOOKUP(A741,Sheet3!$K$11:$L$21,2,FALSE)</f>
        <v>Tàu khác</v>
      </c>
      <c r="R741" t="str">
        <f>VLOOKUP(Q741,Sheet3!$L$11:$M$21,2,FALSE)</f>
        <v>HQ2</v>
      </c>
      <c r="S741" s="26">
        <f>SUMIFS('HQ2'!$O:$O,'HQ2'!$B:$B, "="&amp;'Tong_hop_HQNV_2026Q1_2026-06-23'!Q741, 'HQ2'!$A:$A,"="&amp;'Tong_hop_HQNV_2026Q1_2026-06-23'!P741)</f>
        <v>71717245</v>
      </c>
      <c r="T741" s="7">
        <f t="shared" si="11"/>
        <v>0</v>
      </c>
    </row>
    <row r="742" spans="1:20" x14ac:dyDescent="0.25">
      <c r="A742" t="s">
        <v>37</v>
      </c>
      <c r="B742" s="9" t="s">
        <v>285</v>
      </c>
      <c r="C742">
        <v>0</v>
      </c>
      <c r="D742">
        <v>0</v>
      </c>
      <c r="E742">
        <v>0</v>
      </c>
      <c r="F742">
        <v>15958800</v>
      </c>
      <c r="G742">
        <v>0</v>
      </c>
      <c r="H742">
        <v>0</v>
      </c>
      <c r="I742">
        <v>0</v>
      </c>
      <c r="J742">
        <v>0</v>
      </c>
      <c r="K742">
        <v>15958800</v>
      </c>
      <c r="L742">
        <v>0</v>
      </c>
      <c r="M742" t="s">
        <v>36</v>
      </c>
      <c r="N742" t="s">
        <v>19</v>
      </c>
      <c r="O742" t="s">
        <v>19</v>
      </c>
      <c r="P742" t="str">
        <f>VLOOKUP(B742,'CHECK_DT-BT_chi_tiet'!$A:$C,3,FALSE)</f>
        <v>BV An Phú</v>
      </c>
      <c r="Q742" t="str">
        <f>VLOOKUP(A742,Sheet3!$K$11:$L$21,2,FALSE)</f>
        <v>Tàu khác</v>
      </c>
      <c r="R742" t="str">
        <f>VLOOKUP(Q742,Sheet3!$L$11:$M$21,2,FALSE)</f>
        <v>HQ2</v>
      </c>
      <c r="S742" s="26">
        <f>SUMIFS('HQ2'!$O:$O,'HQ2'!$B:$B, "="&amp;'Tong_hop_HQNV_2026Q1_2026-06-23'!Q742, 'HQ2'!$A:$A,"="&amp;'Tong_hop_HQNV_2026Q1_2026-06-23'!P742)</f>
        <v>0</v>
      </c>
      <c r="T742" s="7">
        <f t="shared" si="11"/>
        <v>0</v>
      </c>
    </row>
    <row r="743" spans="1:20" x14ac:dyDescent="0.25">
      <c r="A743" t="s">
        <v>37</v>
      </c>
      <c r="B743" s="9" t="s">
        <v>286</v>
      </c>
      <c r="C743">
        <v>0</v>
      </c>
      <c r="D743">
        <v>0</v>
      </c>
      <c r="E743">
        <v>0</v>
      </c>
      <c r="F743">
        <v>88060500</v>
      </c>
      <c r="G743" s="92">
        <v>89000000</v>
      </c>
      <c r="H743">
        <v>0</v>
      </c>
      <c r="I743">
        <v>0</v>
      </c>
      <c r="J743">
        <v>0</v>
      </c>
      <c r="K743">
        <v>88060500</v>
      </c>
      <c r="L743">
        <v>0</v>
      </c>
      <c r="M743" t="s">
        <v>36</v>
      </c>
      <c r="N743" t="s">
        <v>19</v>
      </c>
      <c r="O743" t="s">
        <v>19</v>
      </c>
      <c r="P743" t="str">
        <f>VLOOKUP(B743,'CHECK_DT-BT_chi_tiet'!$A:$C,3,FALSE)</f>
        <v>BV Bà Rịa - Vũng Tàu</v>
      </c>
      <c r="Q743" t="str">
        <f>VLOOKUP(A743,Sheet3!$K$11:$L$21,2,FALSE)</f>
        <v>Tàu khác</v>
      </c>
      <c r="R743" t="str">
        <f>VLOOKUP(Q743,Sheet3!$L$11:$M$21,2,FALSE)</f>
        <v>HQ2</v>
      </c>
      <c r="S743" s="26">
        <f>SUMIFS('HQ2'!$O:$O,'HQ2'!$B:$B, "="&amp;'Tong_hop_HQNV_2026Q1_2026-06-23'!Q743, 'HQ2'!$A:$A,"="&amp;'Tong_hop_HQNV_2026Q1_2026-06-23'!P743)</f>
        <v>89000000</v>
      </c>
      <c r="T743" s="7">
        <f t="shared" si="11"/>
        <v>0</v>
      </c>
    </row>
    <row r="744" spans="1:20" x14ac:dyDescent="0.25">
      <c r="A744" t="s">
        <v>37</v>
      </c>
      <c r="B744" s="9" t="s">
        <v>288</v>
      </c>
      <c r="C744">
        <v>0</v>
      </c>
      <c r="D744">
        <v>0</v>
      </c>
      <c r="E744">
        <v>0</v>
      </c>
      <c r="F744">
        <v>27750000</v>
      </c>
      <c r="G744">
        <v>0</v>
      </c>
      <c r="H744">
        <v>0</v>
      </c>
      <c r="I744">
        <v>0</v>
      </c>
      <c r="J744">
        <v>0</v>
      </c>
      <c r="K744">
        <v>27750000</v>
      </c>
      <c r="L744">
        <v>0</v>
      </c>
      <c r="M744" t="s">
        <v>36</v>
      </c>
      <c r="N744" t="s">
        <v>19</v>
      </c>
      <c r="O744" t="s">
        <v>19</v>
      </c>
      <c r="P744" t="str">
        <f>VLOOKUP(B744,'CHECK_DT-BT_chi_tiet'!$A:$C,3,FALSE)</f>
        <v>BV Bắc Giang</v>
      </c>
      <c r="Q744" t="str">
        <f>VLOOKUP(A744,Sheet3!$K$11:$L$21,2,FALSE)</f>
        <v>Tàu khác</v>
      </c>
      <c r="R744" t="str">
        <f>VLOOKUP(Q744,Sheet3!$L$11:$M$21,2,FALSE)</f>
        <v>HQ2</v>
      </c>
      <c r="S744" s="26">
        <f>SUMIFS('HQ2'!$O:$O,'HQ2'!$B:$B, "="&amp;'Tong_hop_HQNV_2026Q1_2026-06-23'!Q744, 'HQ2'!$A:$A,"="&amp;'Tong_hop_HQNV_2026Q1_2026-06-23'!P744)</f>
        <v>0</v>
      </c>
      <c r="T744" s="7">
        <f t="shared" si="11"/>
        <v>0</v>
      </c>
    </row>
    <row r="745" spans="1:20" x14ac:dyDescent="0.25">
      <c r="A745" t="s">
        <v>37</v>
      </c>
      <c r="B745" s="9" t="s">
        <v>289</v>
      </c>
      <c r="C745">
        <v>0</v>
      </c>
      <c r="D745">
        <v>0</v>
      </c>
      <c r="E745">
        <v>0</v>
      </c>
      <c r="F745">
        <v>54918125</v>
      </c>
      <c r="G745">
        <v>96515816</v>
      </c>
      <c r="H745">
        <v>0</v>
      </c>
      <c r="I745">
        <v>23257904</v>
      </c>
      <c r="J745">
        <v>0</v>
      </c>
      <c r="K745">
        <v>54918125</v>
      </c>
      <c r="L745">
        <v>0</v>
      </c>
      <c r="M745" t="s">
        <v>36</v>
      </c>
      <c r="N745" t="s">
        <v>19</v>
      </c>
      <c r="O745" t="s">
        <v>19</v>
      </c>
      <c r="P745" t="str">
        <f>VLOOKUP(B745,'CHECK_DT-BT_chi_tiet'!$A:$C,3,FALSE)</f>
        <v>BV Bạc Liêu</v>
      </c>
      <c r="Q745" t="str">
        <f>VLOOKUP(A745,Sheet3!$K$11:$L$21,2,FALSE)</f>
        <v>Tàu khác</v>
      </c>
      <c r="R745" t="str">
        <f>VLOOKUP(Q745,Sheet3!$L$11:$M$21,2,FALSE)</f>
        <v>HQ2</v>
      </c>
      <c r="S745" s="26">
        <f>SUMIFS('HQ2'!$O:$O,'HQ2'!$B:$B, "="&amp;'Tong_hop_HQNV_2026Q1_2026-06-23'!Q745, 'HQ2'!$A:$A,"="&amp;'Tong_hop_HQNV_2026Q1_2026-06-23'!P745)</f>
        <v>96515816</v>
      </c>
      <c r="T745" s="7">
        <f t="shared" si="11"/>
        <v>0</v>
      </c>
    </row>
    <row r="746" spans="1:20" x14ac:dyDescent="0.25">
      <c r="A746" t="s">
        <v>37</v>
      </c>
      <c r="B746" s="9" t="s">
        <v>294</v>
      </c>
      <c r="C746">
        <v>0</v>
      </c>
      <c r="D746">
        <v>0</v>
      </c>
      <c r="E746">
        <v>0</v>
      </c>
      <c r="F746">
        <v>355409340</v>
      </c>
      <c r="G746" s="92">
        <v>955000000</v>
      </c>
      <c r="H746" s="92">
        <v>55000000</v>
      </c>
      <c r="I746">
        <v>0</v>
      </c>
      <c r="J746">
        <v>0</v>
      </c>
      <c r="K746">
        <v>355409340</v>
      </c>
      <c r="L746">
        <v>0</v>
      </c>
      <c r="M746" t="s">
        <v>36</v>
      </c>
      <c r="N746" t="s">
        <v>19</v>
      </c>
      <c r="O746" t="s">
        <v>19</v>
      </c>
      <c r="P746" t="str">
        <f>VLOOKUP(B746,'CHECK_DT-BT_chi_tiet'!$A:$C,3,FALSE)</f>
        <v>BV Bình Dương</v>
      </c>
      <c r="Q746" t="str">
        <f>VLOOKUP(A746,Sheet3!$K$11:$L$21,2,FALSE)</f>
        <v>Tàu khác</v>
      </c>
      <c r="R746" t="str">
        <f>VLOOKUP(Q746,Sheet3!$L$11:$M$21,2,FALSE)</f>
        <v>HQ2</v>
      </c>
      <c r="S746" s="26">
        <f>SUMIFS('HQ2'!$O:$O,'HQ2'!$B:$B, "="&amp;'Tong_hop_HQNV_2026Q1_2026-06-23'!Q746, 'HQ2'!$A:$A,"="&amp;'Tong_hop_HQNV_2026Q1_2026-06-23'!P746)</f>
        <v>955000000</v>
      </c>
      <c r="T746" s="7">
        <f t="shared" si="11"/>
        <v>0</v>
      </c>
    </row>
    <row r="747" spans="1:20" x14ac:dyDescent="0.25">
      <c r="A747" t="s">
        <v>37</v>
      </c>
      <c r="B747" s="9" t="s">
        <v>295</v>
      </c>
      <c r="C747">
        <v>0</v>
      </c>
      <c r="D747">
        <v>0</v>
      </c>
      <c r="E747">
        <v>0</v>
      </c>
      <c r="F747">
        <v>699867302</v>
      </c>
      <c r="G747">
        <v>0</v>
      </c>
      <c r="H747">
        <v>0</v>
      </c>
      <c r="I747">
        <v>0</v>
      </c>
      <c r="J747">
        <v>0</v>
      </c>
      <c r="K747">
        <v>699867302</v>
      </c>
      <c r="L747">
        <v>0</v>
      </c>
      <c r="M747" t="s">
        <v>36</v>
      </c>
      <c r="N747" t="s">
        <v>19</v>
      </c>
      <c r="O747" t="s">
        <v>19</v>
      </c>
      <c r="P747" t="str">
        <f>VLOOKUP(B747,'CHECK_DT-BT_chi_tiet'!$A:$C,3,FALSE)</f>
        <v>BV Bình Phước</v>
      </c>
      <c r="Q747" t="str">
        <f>VLOOKUP(A747,Sheet3!$K$11:$L$21,2,FALSE)</f>
        <v>Tàu khác</v>
      </c>
      <c r="R747" t="str">
        <f>VLOOKUP(Q747,Sheet3!$L$11:$M$21,2,FALSE)</f>
        <v>HQ2</v>
      </c>
      <c r="S747" s="26">
        <f>SUMIFS('HQ2'!$O:$O,'HQ2'!$B:$B, "="&amp;'Tong_hop_HQNV_2026Q1_2026-06-23'!Q747, 'HQ2'!$A:$A,"="&amp;'Tong_hop_HQNV_2026Q1_2026-06-23'!P747)</f>
        <v>0</v>
      </c>
      <c r="T747" s="7">
        <f t="shared" si="11"/>
        <v>0</v>
      </c>
    </row>
    <row r="748" spans="1:20" x14ac:dyDescent="0.25">
      <c r="A748" t="s">
        <v>37</v>
      </c>
      <c r="B748" s="9" t="s">
        <v>307</v>
      </c>
      <c r="C748">
        <v>0</v>
      </c>
      <c r="D748">
        <v>0</v>
      </c>
      <c r="E748">
        <v>0</v>
      </c>
      <c r="F748">
        <v>4358000</v>
      </c>
      <c r="G748">
        <v>0</v>
      </c>
      <c r="H748">
        <v>0</v>
      </c>
      <c r="I748">
        <v>0</v>
      </c>
      <c r="J748">
        <v>0</v>
      </c>
      <c r="K748">
        <v>4358000</v>
      </c>
      <c r="L748">
        <v>0</v>
      </c>
      <c r="M748" t="s">
        <v>36</v>
      </c>
      <c r="N748" t="s">
        <v>19</v>
      </c>
      <c r="O748" t="s">
        <v>19</v>
      </c>
      <c r="P748" t="str">
        <f>VLOOKUP(B748,'CHECK_DT-BT_chi_tiet'!$A:$C,3,FALSE)</f>
        <v>BV Đồng Nai</v>
      </c>
      <c r="Q748" t="str">
        <f>VLOOKUP(A748,Sheet3!$K$11:$L$21,2,FALSE)</f>
        <v>Tàu khác</v>
      </c>
      <c r="R748" t="str">
        <f>VLOOKUP(Q748,Sheet3!$L$11:$M$21,2,FALSE)</f>
        <v>HQ2</v>
      </c>
      <c r="S748" s="26">
        <f>SUMIFS('HQ2'!$O:$O,'HQ2'!$B:$B, "="&amp;'Tong_hop_HQNV_2026Q1_2026-06-23'!Q748, 'HQ2'!$A:$A,"="&amp;'Tong_hop_HQNV_2026Q1_2026-06-23'!P748)</f>
        <v>0</v>
      </c>
      <c r="T748" s="7">
        <f t="shared" si="11"/>
        <v>0</v>
      </c>
    </row>
    <row r="749" spans="1:20" x14ac:dyDescent="0.25">
      <c r="A749" t="s">
        <v>37</v>
      </c>
      <c r="B749" s="9" t="s">
        <v>310</v>
      </c>
      <c r="C749">
        <v>0</v>
      </c>
      <c r="D749">
        <v>0</v>
      </c>
      <c r="E749">
        <v>0</v>
      </c>
      <c r="F749">
        <v>20397300</v>
      </c>
      <c r="G749">
        <v>0</v>
      </c>
      <c r="H749">
        <v>0</v>
      </c>
      <c r="I749">
        <v>0</v>
      </c>
      <c r="J749">
        <v>0</v>
      </c>
      <c r="K749">
        <v>20397300</v>
      </c>
      <c r="L749">
        <v>0</v>
      </c>
      <c r="M749" t="s">
        <v>36</v>
      </c>
      <c r="N749" t="s">
        <v>19</v>
      </c>
      <c r="O749" t="s">
        <v>19</v>
      </c>
      <c r="P749" t="str">
        <f>VLOOKUP(B749,'CHECK_DT-BT_chi_tiet'!$A:$C,3,FALSE)</f>
        <v>BV Gia Lai</v>
      </c>
      <c r="Q749" t="str">
        <f>VLOOKUP(A749,Sheet3!$K$11:$L$21,2,FALSE)</f>
        <v>Tàu khác</v>
      </c>
      <c r="R749" t="str">
        <f>VLOOKUP(Q749,Sheet3!$L$11:$M$21,2,FALSE)</f>
        <v>HQ2</v>
      </c>
      <c r="S749" s="26">
        <f>SUMIFS('HQ2'!$O:$O,'HQ2'!$B:$B, "="&amp;'Tong_hop_HQNV_2026Q1_2026-06-23'!Q749, 'HQ2'!$A:$A,"="&amp;'Tong_hop_HQNV_2026Q1_2026-06-23'!P749)</f>
        <v>0</v>
      </c>
      <c r="T749" s="7">
        <f t="shared" si="11"/>
        <v>0</v>
      </c>
    </row>
    <row r="750" spans="1:20" x14ac:dyDescent="0.25">
      <c r="A750" t="s">
        <v>37</v>
      </c>
      <c r="B750" s="9" t="s">
        <v>315</v>
      </c>
      <c r="C750">
        <v>0</v>
      </c>
      <c r="D750">
        <v>0</v>
      </c>
      <c r="E750">
        <v>0</v>
      </c>
      <c r="F750">
        <v>103300000</v>
      </c>
      <c r="G750">
        <v>528333333</v>
      </c>
      <c r="H750" s="92">
        <v>65000000</v>
      </c>
      <c r="I750">
        <v>697307500</v>
      </c>
      <c r="J750">
        <v>0</v>
      </c>
      <c r="K750">
        <v>103300000</v>
      </c>
      <c r="L750">
        <v>0</v>
      </c>
      <c r="M750" t="s">
        <v>36</v>
      </c>
      <c r="N750" t="s">
        <v>19</v>
      </c>
      <c r="O750" t="s">
        <v>19</v>
      </c>
      <c r="P750" t="str">
        <f>VLOOKUP(B750,'CHECK_DT-BT_chi_tiet'!$A:$C,3,FALSE)</f>
        <v>BV Hà Tĩnh</v>
      </c>
      <c r="Q750" t="str">
        <f>VLOOKUP(A750,Sheet3!$K$11:$L$21,2,FALSE)</f>
        <v>Tàu khác</v>
      </c>
      <c r="R750" t="str">
        <f>VLOOKUP(Q750,Sheet3!$L$11:$M$21,2,FALSE)</f>
        <v>HQ2</v>
      </c>
      <c r="S750" s="26">
        <f>SUMIFS('HQ2'!$O:$O,'HQ2'!$B:$B, "="&amp;'Tong_hop_HQNV_2026Q1_2026-06-23'!Q750, 'HQ2'!$A:$A,"="&amp;'Tong_hop_HQNV_2026Q1_2026-06-23'!P750)</f>
        <v>528333333</v>
      </c>
      <c r="T750" s="7">
        <f t="shared" si="11"/>
        <v>0</v>
      </c>
    </row>
    <row r="751" spans="1:20" x14ac:dyDescent="0.25">
      <c r="A751" t="s">
        <v>37</v>
      </c>
      <c r="B751" s="9" t="s">
        <v>316</v>
      </c>
      <c r="C751">
        <v>0</v>
      </c>
      <c r="D751">
        <v>0</v>
      </c>
      <c r="E751">
        <v>0</v>
      </c>
      <c r="F751">
        <v>265346887</v>
      </c>
      <c r="G751" s="92">
        <v>1566000000</v>
      </c>
      <c r="H751">
        <v>0</v>
      </c>
      <c r="I751">
        <v>0</v>
      </c>
      <c r="J751">
        <v>0</v>
      </c>
      <c r="K751">
        <v>265346887</v>
      </c>
      <c r="L751">
        <v>0</v>
      </c>
      <c r="M751" t="s">
        <v>36</v>
      </c>
      <c r="N751" t="s">
        <v>19</v>
      </c>
      <c r="O751" t="s">
        <v>19</v>
      </c>
      <c r="P751" t="str">
        <f>VLOOKUP(B751,'CHECK_DT-BT_chi_tiet'!$A:$C,3,FALSE)</f>
        <v>BV Hải Dương</v>
      </c>
      <c r="Q751" t="str">
        <f>VLOOKUP(A751,Sheet3!$K$11:$L$21,2,FALSE)</f>
        <v>Tàu khác</v>
      </c>
      <c r="R751" t="str">
        <f>VLOOKUP(Q751,Sheet3!$L$11:$M$21,2,FALSE)</f>
        <v>HQ2</v>
      </c>
      <c r="S751" s="26">
        <f>SUMIFS('HQ2'!$O:$O,'HQ2'!$B:$B, "="&amp;'Tong_hop_HQNV_2026Q1_2026-06-23'!Q751, 'HQ2'!$A:$A,"="&amp;'Tong_hop_HQNV_2026Q1_2026-06-23'!P751)</f>
        <v>1566000000</v>
      </c>
      <c r="T751" s="7">
        <f t="shared" si="11"/>
        <v>0</v>
      </c>
    </row>
    <row r="752" spans="1:20" x14ac:dyDescent="0.25">
      <c r="A752" t="s">
        <v>37</v>
      </c>
      <c r="B752" s="9" t="s">
        <v>319</v>
      </c>
      <c r="C752">
        <v>0</v>
      </c>
      <c r="D752">
        <v>0</v>
      </c>
      <c r="E752">
        <v>0</v>
      </c>
      <c r="F752">
        <v>6653600</v>
      </c>
      <c r="G752">
        <v>0</v>
      </c>
      <c r="H752">
        <v>0</v>
      </c>
      <c r="I752">
        <v>0</v>
      </c>
      <c r="J752">
        <v>0</v>
      </c>
      <c r="K752">
        <v>6653600</v>
      </c>
      <c r="L752">
        <v>0</v>
      </c>
      <c r="M752" t="s">
        <v>36</v>
      </c>
      <c r="N752" t="s">
        <v>19</v>
      </c>
      <c r="O752" t="s">
        <v>19</v>
      </c>
      <c r="P752" t="str">
        <f>VLOOKUP(B752,'CHECK_DT-BT_chi_tiet'!$A:$C,3,FALSE)</f>
        <v>BV Hòa Bình</v>
      </c>
      <c r="Q752" t="str">
        <f>VLOOKUP(A752,Sheet3!$K$11:$L$21,2,FALSE)</f>
        <v>Tàu khác</v>
      </c>
      <c r="R752" t="str">
        <f>VLOOKUP(Q752,Sheet3!$L$11:$M$21,2,FALSE)</f>
        <v>HQ2</v>
      </c>
      <c r="S752" s="26">
        <f>SUMIFS('HQ2'!$O:$O,'HQ2'!$B:$B, "="&amp;'Tong_hop_HQNV_2026Q1_2026-06-23'!Q752, 'HQ2'!$A:$A,"="&amp;'Tong_hop_HQNV_2026Q1_2026-06-23'!P752)</f>
        <v>0</v>
      </c>
      <c r="T752" s="7">
        <f t="shared" si="11"/>
        <v>0</v>
      </c>
    </row>
    <row r="753" spans="1:20" x14ac:dyDescent="0.25">
      <c r="A753" t="s">
        <v>37</v>
      </c>
      <c r="B753" s="9" t="s">
        <v>325</v>
      </c>
      <c r="C753">
        <v>0</v>
      </c>
      <c r="D753">
        <v>0</v>
      </c>
      <c r="E753">
        <v>0</v>
      </c>
      <c r="F753">
        <v>9497000</v>
      </c>
      <c r="G753">
        <v>0</v>
      </c>
      <c r="H753">
        <v>0</v>
      </c>
      <c r="I753">
        <v>0</v>
      </c>
      <c r="J753">
        <v>0</v>
      </c>
      <c r="K753">
        <v>9497000</v>
      </c>
      <c r="L753">
        <v>0</v>
      </c>
      <c r="M753" t="s">
        <v>36</v>
      </c>
      <c r="N753" t="s">
        <v>19</v>
      </c>
      <c r="O753" t="s">
        <v>19</v>
      </c>
      <c r="P753" t="str">
        <f>VLOOKUP(B753,'CHECK_DT-BT_chi_tiet'!$A:$C,3,FALSE)</f>
        <v>BV Lâm Đồng</v>
      </c>
      <c r="Q753" t="str">
        <f>VLOOKUP(A753,Sheet3!$K$11:$L$21,2,FALSE)</f>
        <v>Tàu khác</v>
      </c>
      <c r="R753" t="str">
        <f>VLOOKUP(Q753,Sheet3!$L$11:$M$21,2,FALSE)</f>
        <v>HQ2</v>
      </c>
      <c r="S753" s="26">
        <f>SUMIFS('HQ2'!$O:$O,'HQ2'!$B:$B, "="&amp;'Tong_hop_HQNV_2026Q1_2026-06-23'!Q753, 'HQ2'!$A:$A,"="&amp;'Tong_hop_HQNV_2026Q1_2026-06-23'!P753)</f>
        <v>0</v>
      </c>
      <c r="T753" s="7">
        <f t="shared" si="11"/>
        <v>0</v>
      </c>
    </row>
    <row r="754" spans="1:20" x14ac:dyDescent="0.25">
      <c r="A754" t="s">
        <v>37</v>
      </c>
      <c r="B754" s="9" t="s">
        <v>333</v>
      </c>
      <c r="C754">
        <v>0</v>
      </c>
      <c r="D754">
        <v>0</v>
      </c>
      <c r="E754">
        <v>0</v>
      </c>
      <c r="F754">
        <v>27750000</v>
      </c>
      <c r="G754">
        <v>0</v>
      </c>
      <c r="H754">
        <v>0</v>
      </c>
      <c r="I754">
        <v>0</v>
      </c>
      <c r="J754">
        <v>0</v>
      </c>
      <c r="K754">
        <v>27750000</v>
      </c>
      <c r="L754">
        <v>0</v>
      </c>
      <c r="M754" t="s">
        <v>36</v>
      </c>
      <c r="N754" t="s">
        <v>19</v>
      </c>
      <c r="O754" t="s">
        <v>19</v>
      </c>
      <c r="P754" t="str">
        <f>VLOOKUP(B754,'CHECK_DT-BT_chi_tiet'!$A:$C,3,FALSE)</f>
        <v>BV Nghệ An</v>
      </c>
      <c r="Q754" t="str">
        <f>VLOOKUP(A754,Sheet3!$K$11:$L$21,2,FALSE)</f>
        <v>Tàu khác</v>
      </c>
      <c r="R754" t="str">
        <f>VLOOKUP(Q754,Sheet3!$L$11:$M$21,2,FALSE)</f>
        <v>HQ2</v>
      </c>
      <c r="S754" s="26">
        <f>SUMIFS('HQ2'!$O:$O,'HQ2'!$B:$B, "="&amp;'Tong_hop_HQNV_2026Q1_2026-06-23'!Q754, 'HQ2'!$A:$A,"="&amp;'Tong_hop_HQNV_2026Q1_2026-06-23'!P754)</f>
        <v>0</v>
      </c>
      <c r="T754" s="7">
        <f t="shared" si="11"/>
        <v>0</v>
      </c>
    </row>
    <row r="755" spans="1:20" x14ac:dyDescent="0.25">
      <c r="A755" t="s">
        <v>37</v>
      </c>
      <c r="B755" s="9" t="s">
        <v>334</v>
      </c>
      <c r="C755">
        <v>0</v>
      </c>
      <c r="D755">
        <v>0</v>
      </c>
      <c r="E755">
        <v>0</v>
      </c>
      <c r="F755">
        <v>626453349</v>
      </c>
      <c r="G755">
        <v>0</v>
      </c>
      <c r="H755">
        <v>0</v>
      </c>
      <c r="I755">
        <v>0</v>
      </c>
      <c r="J755">
        <v>0</v>
      </c>
      <c r="K755">
        <v>626453349</v>
      </c>
      <c r="L755">
        <v>0</v>
      </c>
      <c r="M755" t="s">
        <v>36</v>
      </c>
      <c r="N755" t="s">
        <v>19</v>
      </c>
      <c r="O755" t="s">
        <v>19</v>
      </c>
      <c r="P755" t="str">
        <f>VLOOKUP(B755,'CHECK_DT-BT_chi_tiet'!$A:$C,3,FALSE)</f>
        <v>BV Ninh Bình</v>
      </c>
      <c r="Q755" t="str">
        <f>VLOOKUP(A755,Sheet3!$K$11:$L$21,2,FALSE)</f>
        <v>Tàu khác</v>
      </c>
      <c r="R755" t="str">
        <f>VLOOKUP(Q755,Sheet3!$L$11:$M$21,2,FALSE)</f>
        <v>HQ2</v>
      </c>
      <c r="S755" s="26">
        <f>SUMIFS('HQ2'!$O:$O,'HQ2'!$B:$B, "="&amp;'Tong_hop_HQNV_2026Q1_2026-06-23'!Q755, 'HQ2'!$A:$A,"="&amp;'Tong_hop_HQNV_2026Q1_2026-06-23'!P755)</f>
        <v>0</v>
      </c>
      <c r="T755" s="7">
        <f t="shared" si="11"/>
        <v>0</v>
      </c>
    </row>
    <row r="756" spans="1:20" x14ac:dyDescent="0.25">
      <c r="A756" t="s">
        <v>37</v>
      </c>
      <c r="B756" s="9" t="s">
        <v>342</v>
      </c>
      <c r="C756">
        <v>0</v>
      </c>
      <c r="D756">
        <v>0</v>
      </c>
      <c r="E756">
        <v>0</v>
      </c>
      <c r="F756">
        <v>41400000</v>
      </c>
      <c r="G756">
        <v>0</v>
      </c>
      <c r="H756">
        <v>0</v>
      </c>
      <c r="I756">
        <v>0</v>
      </c>
      <c r="J756">
        <v>0</v>
      </c>
      <c r="K756">
        <v>41400000</v>
      </c>
      <c r="L756">
        <v>0</v>
      </c>
      <c r="M756" t="s">
        <v>36</v>
      </c>
      <c r="N756" t="s">
        <v>19</v>
      </c>
      <c r="O756" t="s">
        <v>19</v>
      </c>
      <c r="P756" t="str">
        <f>VLOOKUP(B756,'CHECK_DT-BT_chi_tiet'!$A:$C,3,FALSE)</f>
        <v>BV Quảng Ngãi</v>
      </c>
      <c r="Q756" t="str">
        <f>VLOOKUP(A756,Sheet3!$K$11:$L$21,2,FALSE)</f>
        <v>Tàu khác</v>
      </c>
      <c r="R756" t="str">
        <f>VLOOKUP(Q756,Sheet3!$L$11:$M$21,2,FALSE)</f>
        <v>HQ2</v>
      </c>
      <c r="S756" s="26">
        <f>SUMIFS('HQ2'!$O:$O,'HQ2'!$B:$B, "="&amp;'Tong_hop_HQNV_2026Q1_2026-06-23'!Q756, 'HQ2'!$A:$A,"="&amp;'Tong_hop_HQNV_2026Q1_2026-06-23'!P756)</f>
        <v>0</v>
      </c>
      <c r="T756" s="7">
        <f t="shared" si="11"/>
        <v>0</v>
      </c>
    </row>
    <row r="757" spans="1:20" x14ac:dyDescent="0.25">
      <c r="A757" t="s">
        <v>37</v>
      </c>
      <c r="B757" s="9" t="s">
        <v>346</v>
      </c>
      <c r="C757">
        <v>0</v>
      </c>
      <c r="D757">
        <v>0</v>
      </c>
      <c r="E757">
        <v>0</v>
      </c>
      <c r="F757">
        <v>38940075</v>
      </c>
      <c r="G757">
        <v>0</v>
      </c>
      <c r="H757">
        <v>0</v>
      </c>
      <c r="I757">
        <v>0</v>
      </c>
      <c r="J757">
        <v>0</v>
      </c>
      <c r="K757">
        <v>38940075</v>
      </c>
      <c r="L757">
        <v>0</v>
      </c>
      <c r="M757" t="s">
        <v>36</v>
      </c>
      <c r="N757" t="s">
        <v>19</v>
      </c>
      <c r="O757" t="s">
        <v>19</v>
      </c>
      <c r="P757" t="str">
        <f>VLOOKUP(B757,'CHECK_DT-BT_chi_tiet'!$A:$C,3,FALSE)</f>
        <v>BV Sóc Trăng</v>
      </c>
      <c r="Q757" t="str">
        <f>VLOOKUP(A757,Sheet3!$K$11:$L$21,2,FALSE)</f>
        <v>Tàu khác</v>
      </c>
      <c r="R757" t="str">
        <f>VLOOKUP(Q757,Sheet3!$L$11:$M$21,2,FALSE)</f>
        <v>HQ2</v>
      </c>
      <c r="S757" s="26">
        <f>SUMIFS('HQ2'!$O:$O,'HQ2'!$B:$B, "="&amp;'Tong_hop_HQNV_2026Q1_2026-06-23'!Q757, 'HQ2'!$A:$A,"="&amp;'Tong_hop_HQNV_2026Q1_2026-06-23'!P757)</f>
        <v>0</v>
      </c>
      <c r="T757" s="7">
        <f t="shared" si="11"/>
        <v>0</v>
      </c>
    </row>
    <row r="758" spans="1:20" x14ac:dyDescent="0.25">
      <c r="A758" t="s">
        <v>37</v>
      </c>
      <c r="B758" s="9" t="s">
        <v>353</v>
      </c>
      <c r="C758">
        <v>0</v>
      </c>
      <c r="D758">
        <v>0</v>
      </c>
      <c r="E758">
        <v>0</v>
      </c>
      <c r="F758">
        <v>95454546</v>
      </c>
      <c r="G758">
        <v>0</v>
      </c>
      <c r="H758">
        <v>0</v>
      </c>
      <c r="I758">
        <v>0</v>
      </c>
      <c r="J758">
        <v>0</v>
      </c>
      <c r="K758">
        <v>95454546</v>
      </c>
      <c r="L758">
        <v>0</v>
      </c>
      <c r="M758" t="s">
        <v>36</v>
      </c>
      <c r="N758" t="s">
        <v>19</v>
      </c>
      <c r="O758" t="s">
        <v>19</v>
      </c>
      <c r="P758" t="str">
        <f>VLOOKUP(B758,'CHECK_DT-BT_chi_tiet'!$A:$C,3,FALSE)</f>
        <v>BV Thanh Hóa</v>
      </c>
      <c r="Q758" t="str">
        <f>VLOOKUP(A758,Sheet3!$K$11:$L$21,2,FALSE)</f>
        <v>Tàu khác</v>
      </c>
      <c r="R758" t="str">
        <f>VLOOKUP(Q758,Sheet3!$L$11:$M$21,2,FALSE)</f>
        <v>HQ2</v>
      </c>
      <c r="S758" s="26">
        <f>SUMIFS('HQ2'!$O:$O,'HQ2'!$B:$B, "="&amp;'Tong_hop_HQNV_2026Q1_2026-06-23'!Q758, 'HQ2'!$A:$A,"="&amp;'Tong_hop_HQNV_2026Q1_2026-06-23'!P758)</f>
        <v>0</v>
      </c>
      <c r="T758" s="7">
        <f t="shared" si="11"/>
        <v>0</v>
      </c>
    </row>
    <row r="759" spans="1:20" x14ac:dyDescent="0.25">
      <c r="A759" t="s">
        <v>37</v>
      </c>
      <c r="B759" s="9" t="s">
        <v>359</v>
      </c>
      <c r="C759">
        <v>0</v>
      </c>
      <c r="D759">
        <v>0</v>
      </c>
      <c r="E759">
        <v>0</v>
      </c>
      <c r="F759">
        <v>2100000</v>
      </c>
      <c r="G759">
        <v>0</v>
      </c>
      <c r="H759">
        <v>0</v>
      </c>
      <c r="I759">
        <v>0</v>
      </c>
      <c r="J759">
        <v>0</v>
      </c>
      <c r="K759">
        <v>2100000</v>
      </c>
      <c r="L759">
        <v>0</v>
      </c>
      <c r="M759" t="s">
        <v>36</v>
      </c>
      <c r="N759" t="s">
        <v>19</v>
      </c>
      <c r="O759" t="s">
        <v>19</v>
      </c>
      <c r="P759" t="str">
        <f>VLOOKUP(B759,'CHECK_DT-BT_chi_tiet'!$A:$C,3,FALSE)</f>
        <v>BV Tuyên Quang</v>
      </c>
      <c r="Q759" t="str">
        <f>VLOOKUP(A759,Sheet3!$K$11:$L$21,2,FALSE)</f>
        <v>Tàu khác</v>
      </c>
      <c r="R759" t="str">
        <f>VLOOKUP(Q759,Sheet3!$L$11:$M$21,2,FALSE)</f>
        <v>HQ2</v>
      </c>
      <c r="S759" s="26">
        <f>SUMIFS('HQ2'!$O:$O,'HQ2'!$B:$B, "="&amp;'Tong_hop_HQNV_2026Q1_2026-06-23'!Q759, 'HQ2'!$A:$A,"="&amp;'Tong_hop_HQNV_2026Q1_2026-06-23'!P759)</f>
        <v>0</v>
      </c>
      <c r="T759" s="7">
        <f t="shared" si="11"/>
        <v>0</v>
      </c>
    </row>
    <row r="760" spans="1:20" x14ac:dyDescent="0.25">
      <c r="A760" t="s">
        <v>37</v>
      </c>
      <c r="B760" s="9" t="s">
        <v>361</v>
      </c>
      <c r="C760">
        <v>0</v>
      </c>
      <c r="D760">
        <v>0</v>
      </c>
      <c r="E760">
        <v>0</v>
      </c>
      <c r="F760">
        <v>39600000</v>
      </c>
      <c r="G760">
        <v>0</v>
      </c>
      <c r="H760">
        <v>0</v>
      </c>
      <c r="I760">
        <v>0</v>
      </c>
      <c r="J760">
        <v>0</v>
      </c>
      <c r="K760">
        <v>39600000</v>
      </c>
      <c r="L760">
        <v>0</v>
      </c>
      <c r="M760" t="s">
        <v>36</v>
      </c>
      <c r="N760" t="s">
        <v>19</v>
      </c>
      <c r="O760" t="s">
        <v>19</v>
      </c>
      <c r="P760" t="str">
        <f>VLOOKUP(B760,'CHECK_DT-BT_chi_tiet'!$A:$C,3,FALSE)</f>
        <v>BV Vĩnh Phúc</v>
      </c>
      <c r="Q760" t="str">
        <f>VLOOKUP(A760,Sheet3!$K$11:$L$21,2,FALSE)</f>
        <v>Tàu khác</v>
      </c>
      <c r="R760" t="str">
        <f>VLOOKUP(Q760,Sheet3!$L$11:$M$21,2,FALSE)</f>
        <v>HQ2</v>
      </c>
      <c r="S760" s="26">
        <f>SUMIFS('HQ2'!$O:$O,'HQ2'!$B:$B, "="&amp;'Tong_hop_HQNV_2026Q1_2026-06-23'!Q760, 'HQ2'!$A:$A,"="&amp;'Tong_hop_HQNV_2026Q1_2026-06-23'!P760)</f>
        <v>0</v>
      </c>
      <c r="T760" s="7">
        <f t="shared" si="11"/>
        <v>0</v>
      </c>
    </row>
    <row r="761" spans="1:20" x14ac:dyDescent="0.25">
      <c r="A761" t="s">
        <v>37</v>
      </c>
      <c r="B761" s="9" t="s">
        <v>331</v>
      </c>
      <c r="C761">
        <v>0</v>
      </c>
      <c r="D761">
        <v>0</v>
      </c>
      <c r="E761">
        <v>0</v>
      </c>
      <c r="F761">
        <v>27470000</v>
      </c>
      <c r="G761">
        <v>0</v>
      </c>
      <c r="H761">
        <v>0</v>
      </c>
      <c r="I761">
        <v>0</v>
      </c>
      <c r="J761">
        <v>0</v>
      </c>
      <c r="K761">
        <v>27470000</v>
      </c>
      <c r="L761">
        <v>0</v>
      </c>
      <c r="M761" t="s">
        <v>36</v>
      </c>
      <c r="N761" t="s">
        <v>19</v>
      </c>
      <c r="O761" t="s">
        <v>19</v>
      </c>
      <c r="P761" t="str">
        <f>VLOOKUP(B761,'CHECK_DT-BT_chi_tiet'!$A:$C,3,FALSE)</f>
        <v>BV Nam Bình Dương</v>
      </c>
      <c r="Q761" t="str">
        <f>VLOOKUP(A761,Sheet3!$K$11:$L$21,2,FALSE)</f>
        <v>Tàu khác</v>
      </c>
      <c r="R761" t="str">
        <f>VLOOKUP(Q761,Sheet3!$L$11:$M$21,2,FALSE)</f>
        <v>HQ2</v>
      </c>
      <c r="S761" s="26">
        <f>SUMIFS('HQ2'!$O:$O,'HQ2'!$B:$B, "="&amp;'Tong_hop_HQNV_2026Q1_2026-06-23'!Q761, 'HQ2'!$A:$A,"="&amp;'Tong_hop_HQNV_2026Q1_2026-06-23'!P761)</f>
        <v>0</v>
      </c>
      <c r="T761" s="7">
        <f t="shared" si="11"/>
        <v>0</v>
      </c>
    </row>
    <row r="762" spans="1:20" x14ac:dyDescent="0.25">
      <c r="A762" t="s">
        <v>37</v>
      </c>
      <c r="B762" s="9" t="s">
        <v>309</v>
      </c>
      <c r="C762">
        <v>0</v>
      </c>
      <c r="D762">
        <v>0</v>
      </c>
      <c r="E762">
        <v>0</v>
      </c>
      <c r="F762">
        <v>27556194</v>
      </c>
      <c r="G762">
        <v>0</v>
      </c>
      <c r="H762">
        <v>0</v>
      </c>
      <c r="I762">
        <v>0</v>
      </c>
      <c r="J762">
        <v>0</v>
      </c>
      <c r="K762">
        <v>27556194</v>
      </c>
      <c r="L762">
        <v>0</v>
      </c>
      <c r="M762" t="s">
        <v>36</v>
      </c>
      <c r="N762" t="s">
        <v>19</v>
      </c>
      <c r="O762" t="s">
        <v>19</v>
      </c>
      <c r="P762" t="str">
        <f>VLOOKUP(B762,'CHECK_DT-BT_chi_tiet'!$A:$C,3,FALSE)</f>
        <v>BV Gia Định</v>
      </c>
      <c r="Q762" t="str">
        <f>VLOOKUP(A762,Sheet3!$K$11:$L$21,2,FALSE)</f>
        <v>Tàu khác</v>
      </c>
      <c r="R762" t="str">
        <f>VLOOKUP(Q762,Sheet3!$L$11:$M$21,2,FALSE)</f>
        <v>HQ2</v>
      </c>
      <c r="S762" s="26">
        <f>SUMIFS('HQ2'!$O:$O,'HQ2'!$B:$B, "="&amp;'Tong_hop_HQNV_2026Q1_2026-06-23'!Q762, 'HQ2'!$A:$A,"="&amp;'Tong_hop_HQNV_2026Q1_2026-06-23'!P762)</f>
        <v>0</v>
      </c>
      <c r="T762" s="7">
        <f t="shared" si="11"/>
        <v>0</v>
      </c>
    </row>
    <row r="763" spans="1:20" x14ac:dyDescent="0.25">
      <c r="A763" t="s">
        <v>37</v>
      </c>
      <c r="B763" s="9" t="s">
        <v>354</v>
      </c>
      <c r="C763">
        <v>0</v>
      </c>
      <c r="D763">
        <v>0</v>
      </c>
      <c r="E763">
        <v>0</v>
      </c>
      <c r="F763">
        <v>744911619</v>
      </c>
      <c r="G763" s="92">
        <v>155000000</v>
      </c>
      <c r="H763">
        <v>0</v>
      </c>
      <c r="I763">
        <v>0</v>
      </c>
      <c r="J763">
        <v>0</v>
      </c>
      <c r="K763">
        <v>744911619</v>
      </c>
      <c r="L763">
        <v>0</v>
      </c>
      <c r="M763" t="s">
        <v>36</v>
      </c>
      <c r="N763" t="s">
        <v>19</v>
      </c>
      <c r="O763" t="s">
        <v>19</v>
      </c>
      <c r="P763" t="str">
        <f>VLOOKUP(B763,'CHECK_DT-BT_chi_tiet'!$A:$C,3,FALSE)</f>
        <v>BV Thành phố HCM</v>
      </c>
      <c r="Q763" t="str">
        <f>VLOOKUP(A763,Sheet3!$K$11:$L$21,2,FALSE)</f>
        <v>Tàu khác</v>
      </c>
      <c r="R763" t="str">
        <f>VLOOKUP(Q763,Sheet3!$L$11:$M$21,2,FALSE)</f>
        <v>HQ2</v>
      </c>
      <c r="S763" s="26">
        <f>SUMIFS('HQ2'!$O:$O,'HQ2'!$B:$B, "="&amp;'Tong_hop_HQNV_2026Q1_2026-06-23'!Q763, 'HQ2'!$A:$A,"="&amp;'Tong_hop_HQNV_2026Q1_2026-06-23'!P763)</f>
        <v>155000000</v>
      </c>
      <c r="T763" s="7">
        <f t="shared" si="11"/>
        <v>0</v>
      </c>
    </row>
    <row r="764" spans="1:20" x14ac:dyDescent="0.25">
      <c r="A764" t="s">
        <v>37</v>
      </c>
      <c r="B764" s="9" t="s">
        <v>304</v>
      </c>
      <c r="C764">
        <v>0</v>
      </c>
      <c r="D764">
        <v>0</v>
      </c>
      <c r="E764">
        <v>0</v>
      </c>
      <c r="F764">
        <v>109523762</v>
      </c>
      <c r="G764">
        <v>0</v>
      </c>
      <c r="H764">
        <v>0</v>
      </c>
      <c r="I764">
        <v>0</v>
      </c>
      <c r="J764">
        <v>0</v>
      </c>
      <c r="K764">
        <v>109523762</v>
      </c>
      <c r="L764">
        <v>0</v>
      </c>
      <c r="M764" t="s">
        <v>36</v>
      </c>
      <c r="N764" t="s">
        <v>19</v>
      </c>
      <c r="O764" t="s">
        <v>19</v>
      </c>
      <c r="P764" t="str">
        <f>VLOOKUP(B764,'CHECK_DT-BT_chi_tiet'!$A:$C,3,FALSE)</f>
        <v>BV Đình Vũ</v>
      </c>
      <c r="Q764" t="str">
        <f>VLOOKUP(A764,Sheet3!$K$11:$L$21,2,FALSE)</f>
        <v>Tàu khác</v>
      </c>
      <c r="R764" t="str">
        <f>VLOOKUP(Q764,Sheet3!$L$11:$M$21,2,FALSE)</f>
        <v>HQ2</v>
      </c>
      <c r="S764" s="26">
        <f>SUMIFS('HQ2'!$O:$O,'HQ2'!$B:$B, "="&amp;'Tong_hop_HQNV_2026Q1_2026-06-23'!Q764, 'HQ2'!$A:$A,"="&amp;'Tong_hop_HQNV_2026Q1_2026-06-23'!P764)</f>
        <v>0</v>
      </c>
      <c r="T764" s="7">
        <f t="shared" si="11"/>
        <v>0</v>
      </c>
    </row>
    <row r="765" spans="1:20" x14ac:dyDescent="0.25">
      <c r="A765" t="s">
        <v>37</v>
      </c>
      <c r="B765" s="9" t="s">
        <v>314</v>
      </c>
      <c r="C765">
        <v>0</v>
      </c>
      <c r="D765">
        <v>0</v>
      </c>
      <c r="E765">
        <v>0</v>
      </c>
      <c r="F765">
        <v>459543129</v>
      </c>
      <c r="G765">
        <v>0</v>
      </c>
      <c r="H765">
        <v>0</v>
      </c>
      <c r="I765">
        <v>0</v>
      </c>
      <c r="J765">
        <v>0</v>
      </c>
      <c r="K765">
        <v>459543129</v>
      </c>
      <c r="L765">
        <v>0</v>
      </c>
      <c r="M765" t="s">
        <v>36</v>
      </c>
      <c r="N765" t="s">
        <v>19</v>
      </c>
      <c r="O765" t="s">
        <v>19</v>
      </c>
      <c r="P765" t="str">
        <f>VLOOKUP(B765,'CHECK_DT-BT_chi_tiet'!$A:$C,3,FALSE)</f>
        <v>BV Hà Thành</v>
      </c>
      <c r="Q765" t="str">
        <f>VLOOKUP(A765,Sheet3!$K$11:$L$21,2,FALSE)</f>
        <v>Tàu khác</v>
      </c>
      <c r="R765" t="str">
        <f>VLOOKUP(Q765,Sheet3!$L$11:$M$21,2,FALSE)</f>
        <v>HQ2</v>
      </c>
      <c r="S765" s="26">
        <f>SUMIFS('HQ2'!$O:$O,'HQ2'!$B:$B, "="&amp;'Tong_hop_HQNV_2026Q1_2026-06-23'!Q765, 'HQ2'!$A:$A,"="&amp;'Tong_hop_HQNV_2026Q1_2026-06-23'!P765)</f>
        <v>0</v>
      </c>
      <c r="T765" s="7">
        <f t="shared" si="11"/>
        <v>0</v>
      </c>
    </row>
    <row r="766" spans="1:20" x14ac:dyDescent="0.25">
      <c r="A766" t="s">
        <v>32</v>
      </c>
      <c r="B766" s="9" t="s">
        <v>227</v>
      </c>
      <c r="C766">
        <v>0</v>
      </c>
      <c r="D766">
        <v>0</v>
      </c>
      <c r="E766">
        <v>0</v>
      </c>
      <c r="F766">
        <v>30778478</v>
      </c>
      <c r="G766">
        <v>0</v>
      </c>
      <c r="H766">
        <v>0</v>
      </c>
      <c r="I766">
        <v>0</v>
      </c>
      <c r="J766">
        <v>0</v>
      </c>
      <c r="K766">
        <v>30778478</v>
      </c>
      <c r="L766">
        <v>0</v>
      </c>
      <c r="M766" t="s">
        <v>15</v>
      </c>
      <c r="N766">
        <v>1</v>
      </c>
      <c r="O766">
        <v>1</v>
      </c>
      <c r="P766" t="str">
        <f>VLOOKUP(B766,'CHECK_DT-BT_chi_tiet'!$A:$C,3,FALSE)</f>
        <v>TSC-Ban BH Dự án (Fronting)</v>
      </c>
      <c r="Q766" t="str">
        <f>VLOOKUP(A766,Sheet3!$K$11:$L$21,2,FALSE)</f>
        <v>BH Xe cơ giới</v>
      </c>
      <c r="R766" t="str">
        <f>VLOOKUP(Q766,Sheet3!$L$11:$M$21,2,FALSE)</f>
        <v>HQ1</v>
      </c>
      <c r="S766" s="26">
        <f>SUMIFS('HQ2'!$O:$O,'HQ2'!$B:$B, "="&amp;'Tong_hop_HQNV_2026Q1_2026-06-23'!Q766, 'HQ2'!$A:$A,"="&amp;'Tong_hop_HQNV_2026Q1_2026-06-23'!P766)</f>
        <v>0</v>
      </c>
      <c r="T766" s="7">
        <f t="shared" si="11"/>
        <v>0</v>
      </c>
    </row>
    <row r="767" spans="1:20" x14ac:dyDescent="0.25">
      <c r="A767" t="s">
        <v>32</v>
      </c>
      <c r="B767" s="9" t="s">
        <v>228</v>
      </c>
      <c r="C767">
        <v>0</v>
      </c>
      <c r="D767">
        <v>0</v>
      </c>
      <c r="E767">
        <v>0</v>
      </c>
      <c r="F767">
        <v>21334450</v>
      </c>
      <c r="G767">
        <v>0</v>
      </c>
      <c r="H767">
        <v>0</v>
      </c>
      <c r="I767">
        <v>0</v>
      </c>
      <c r="J767">
        <v>0</v>
      </c>
      <c r="K767">
        <v>21334450</v>
      </c>
      <c r="L767">
        <v>0</v>
      </c>
      <c r="M767" t="s">
        <v>15</v>
      </c>
      <c r="N767">
        <v>1</v>
      </c>
      <c r="O767">
        <v>1</v>
      </c>
      <c r="P767" t="str">
        <f>VLOOKUP(B767,'CHECK_DT-BT_chi_tiet'!$A:$C,3,FALSE)</f>
        <v>TSC-Ban KDBH Tàu thủy</v>
      </c>
      <c r="Q767" t="str">
        <f>VLOOKUP(A767,Sheet3!$K$11:$L$21,2,FALSE)</f>
        <v>BH Xe cơ giới</v>
      </c>
      <c r="R767" t="str">
        <f>VLOOKUP(Q767,Sheet3!$L$11:$M$21,2,FALSE)</f>
        <v>HQ1</v>
      </c>
      <c r="S767" s="26">
        <f>SUMIFS('HQ2'!$O:$O,'HQ2'!$B:$B, "="&amp;'Tong_hop_HQNV_2026Q1_2026-06-23'!Q767, 'HQ2'!$A:$A,"="&amp;'Tong_hop_HQNV_2026Q1_2026-06-23'!P767)</f>
        <v>0</v>
      </c>
      <c r="T767" s="7">
        <f t="shared" si="11"/>
        <v>0</v>
      </c>
    </row>
    <row r="768" spans="1:20" x14ac:dyDescent="0.25">
      <c r="A768" t="s">
        <v>32</v>
      </c>
      <c r="B768" s="9" t="s">
        <v>231</v>
      </c>
      <c r="C768">
        <v>0</v>
      </c>
      <c r="D768">
        <v>0</v>
      </c>
      <c r="E768">
        <v>0</v>
      </c>
      <c r="F768">
        <v>22350000</v>
      </c>
      <c r="G768">
        <v>0</v>
      </c>
      <c r="H768">
        <v>0</v>
      </c>
      <c r="I768">
        <v>0</v>
      </c>
      <c r="J768">
        <v>0</v>
      </c>
      <c r="K768">
        <v>22350000</v>
      </c>
      <c r="L768">
        <v>0</v>
      </c>
      <c r="M768" t="s">
        <v>15</v>
      </c>
      <c r="N768">
        <v>1</v>
      </c>
      <c r="O768">
        <v>1</v>
      </c>
      <c r="P768" t="str">
        <f>VLOOKUP(B768,'CHECK_DT-BT_chi_tiet'!$A:$C,3,FALSE)</f>
        <v>TSC-Ban Khách hàng doanh nghiệp</v>
      </c>
      <c r="Q768" t="str">
        <f>VLOOKUP(A768,Sheet3!$K$11:$L$21,2,FALSE)</f>
        <v>BH Xe cơ giới</v>
      </c>
      <c r="R768" t="str">
        <f>VLOOKUP(Q768,Sheet3!$L$11:$M$21,2,FALSE)</f>
        <v>HQ1</v>
      </c>
      <c r="S768" s="26">
        <f>SUMIFS('HQ2'!$O:$O,'HQ2'!$B:$B, "="&amp;'Tong_hop_HQNV_2026Q1_2026-06-23'!Q768, 'HQ2'!$A:$A,"="&amp;'Tong_hop_HQNV_2026Q1_2026-06-23'!P768)</f>
        <v>0</v>
      </c>
      <c r="T768" s="7">
        <f t="shared" si="11"/>
        <v>0</v>
      </c>
    </row>
    <row r="769" spans="1:20" x14ac:dyDescent="0.25">
      <c r="A769" t="s">
        <v>33</v>
      </c>
      <c r="B769" s="9" t="s">
        <v>287</v>
      </c>
      <c r="C769">
        <v>0</v>
      </c>
      <c r="D769">
        <v>0</v>
      </c>
      <c r="E769">
        <v>0</v>
      </c>
      <c r="F769">
        <v>52534000</v>
      </c>
      <c r="G769">
        <v>0</v>
      </c>
      <c r="H769">
        <v>0</v>
      </c>
      <c r="I769">
        <v>0</v>
      </c>
      <c r="J769">
        <v>0</v>
      </c>
      <c r="K769">
        <v>52534000</v>
      </c>
      <c r="L769">
        <v>0</v>
      </c>
      <c r="M769" t="s">
        <v>34</v>
      </c>
      <c r="N769">
        <v>1</v>
      </c>
      <c r="O769">
        <v>1</v>
      </c>
      <c r="P769" t="str">
        <f>VLOOKUP(B769,'CHECK_DT-BT_chi_tiet'!$A:$C,3,FALSE)</f>
        <v>BV Bắc Cạn</v>
      </c>
      <c r="Q769" t="str">
        <f>VLOOKUP(A769,Sheet3!$K$11:$L$21,2,FALSE)</f>
        <v>BH Y tế</v>
      </c>
      <c r="R769" t="str">
        <f>VLOOKUP(Q769,Sheet3!$L$11:$M$21,2,FALSE)</f>
        <v>HQ1</v>
      </c>
      <c r="S769" s="26">
        <f>SUMIFS('HQ2'!$O:$O,'HQ2'!$B:$B, "="&amp;'Tong_hop_HQNV_2026Q1_2026-06-23'!Q769, 'HQ2'!$A:$A,"="&amp;'Tong_hop_HQNV_2026Q1_2026-06-23'!P769)</f>
        <v>0</v>
      </c>
      <c r="T769" s="7">
        <f t="shared" si="11"/>
        <v>0</v>
      </c>
    </row>
    <row r="770" spans="1:20" x14ac:dyDescent="0.25">
      <c r="A770" t="s">
        <v>33</v>
      </c>
      <c r="B770" s="9" t="s">
        <v>303</v>
      </c>
      <c r="C770">
        <v>0</v>
      </c>
      <c r="D770">
        <v>0</v>
      </c>
      <c r="E770">
        <v>0</v>
      </c>
      <c r="F770">
        <v>16654600</v>
      </c>
      <c r="G770">
        <v>6129661</v>
      </c>
      <c r="H770">
        <v>6129661</v>
      </c>
      <c r="I770">
        <v>0</v>
      </c>
      <c r="J770">
        <v>0</v>
      </c>
      <c r="K770">
        <v>16654600</v>
      </c>
      <c r="L770">
        <v>0</v>
      </c>
      <c r="M770" t="s">
        <v>34</v>
      </c>
      <c r="N770">
        <v>1</v>
      </c>
      <c r="O770">
        <v>1</v>
      </c>
      <c r="P770" t="str">
        <f>VLOOKUP(B770,'CHECK_DT-BT_chi_tiet'!$A:$C,3,FALSE)</f>
        <v>BV Điện Biên</v>
      </c>
      <c r="Q770" t="str">
        <f>VLOOKUP(A770,Sheet3!$K$11:$L$21,2,FALSE)</f>
        <v>BH Y tế</v>
      </c>
      <c r="R770" t="str">
        <f>VLOOKUP(Q770,Sheet3!$L$11:$M$21,2,FALSE)</f>
        <v>HQ1</v>
      </c>
      <c r="S770" s="26">
        <f>SUMIFS('HQ2'!$O:$O,'HQ2'!$B:$B, "="&amp;'Tong_hop_HQNV_2026Q1_2026-06-23'!Q770, 'HQ2'!$A:$A,"="&amp;'Tong_hop_HQNV_2026Q1_2026-06-23'!P770)</f>
        <v>0</v>
      </c>
      <c r="T770" s="7">
        <f t="shared" si="11"/>
        <v>0</v>
      </c>
    </row>
    <row r="771" spans="1:20" x14ac:dyDescent="0.25">
      <c r="A771" t="s">
        <v>33</v>
      </c>
      <c r="B771" s="9" t="s">
        <v>324</v>
      </c>
      <c r="C771">
        <v>0</v>
      </c>
      <c r="D771">
        <v>0</v>
      </c>
      <c r="E771">
        <v>0</v>
      </c>
      <c r="F771">
        <v>31918675</v>
      </c>
      <c r="G771">
        <v>812000</v>
      </c>
      <c r="H771">
        <v>812000</v>
      </c>
      <c r="I771">
        <v>0</v>
      </c>
      <c r="J771">
        <v>0</v>
      </c>
      <c r="K771">
        <v>31918675</v>
      </c>
      <c r="L771">
        <v>0</v>
      </c>
      <c r="M771" t="s">
        <v>34</v>
      </c>
      <c r="N771">
        <v>1</v>
      </c>
      <c r="O771">
        <v>1</v>
      </c>
      <c r="P771" t="str">
        <f>VLOOKUP(B771,'CHECK_DT-BT_chi_tiet'!$A:$C,3,FALSE)</f>
        <v>BV Lai Châu</v>
      </c>
      <c r="Q771" t="str">
        <f>VLOOKUP(A771,Sheet3!$K$11:$L$21,2,FALSE)</f>
        <v>BH Y tế</v>
      </c>
      <c r="R771" t="str">
        <f>VLOOKUP(Q771,Sheet3!$L$11:$M$21,2,FALSE)</f>
        <v>HQ1</v>
      </c>
      <c r="S771" s="26">
        <f>SUMIFS('HQ2'!$O:$O,'HQ2'!$B:$B, "="&amp;'Tong_hop_HQNV_2026Q1_2026-06-23'!Q771, 'HQ2'!$A:$A,"="&amp;'Tong_hop_HQNV_2026Q1_2026-06-23'!P771)</f>
        <v>0</v>
      </c>
      <c r="T771" s="7">
        <f t="shared" ref="T771:T790" si="12">IFERROR(IF(R771="HQ2",S771-G771,0),0)</f>
        <v>0</v>
      </c>
    </row>
    <row r="772" spans="1:20" x14ac:dyDescent="0.25">
      <c r="A772" t="s">
        <v>22</v>
      </c>
      <c r="B772" s="9" t="s">
        <v>349</v>
      </c>
      <c r="C772">
        <v>0</v>
      </c>
      <c r="D772">
        <v>0</v>
      </c>
      <c r="E772">
        <v>0</v>
      </c>
      <c r="F772">
        <v>9931400</v>
      </c>
      <c r="G772">
        <v>0</v>
      </c>
      <c r="H772">
        <v>0</v>
      </c>
      <c r="I772">
        <v>0</v>
      </c>
      <c r="J772">
        <v>0</v>
      </c>
      <c r="K772">
        <v>9931400</v>
      </c>
      <c r="L772">
        <v>0</v>
      </c>
      <c r="M772" t="s">
        <v>22</v>
      </c>
      <c r="N772" t="s">
        <v>22</v>
      </c>
      <c r="O772" t="s">
        <v>22</v>
      </c>
      <c r="P772" t="str">
        <f>VLOOKUP(B772,'CHECK_DT-BT_chi_tiet'!$A:$C,3,FALSE)</f>
        <v>BV Tây Ninh</v>
      </c>
      <c r="Q772" t="e">
        <f>VLOOKUP(A772,Sheet3!$K$11:$L$21,2,FALSE)</f>
        <v>#N/A</v>
      </c>
      <c r="R772" t="e">
        <f>VLOOKUP(Q772,Sheet3!$L$11:$M$21,2,FALSE)</f>
        <v>#N/A</v>
      </c>
      <c r="S772" s="26">
        <f>SUMIFS('HQ2'!$O:$O,'HQ2'!$B:$B, "="&amp;'Tong_hop_HQNV_2026Q1_2026-06-23'!Q772, 'HQ2'!$A:$A,"="&amp;'Tong_hop_HQNV_2026Q1_2026-06-23'!P772)</f>
        <v>0</v>
      </c>
      <c r="T772" s="7">
        <f t="shared" si="12"/>
        <v>0</v>
      </c>
    </row>
    <row r="773" spans="1:20" x14ac:dyDescent="0.25">
      <c r="A773" t="s">
        <v>22</v>
      </c>
      <c r="B773" s="9" t="s">
        <v>354</v>
      </c>
      <c r="C773">
        <v>0</v>
      </c>
      <c r="D773">
        <v>0</v>
      </c>
      <c r="E773">
        <v>0</v>
      </c>
      <c r="F773">
        <v>280000</v>
      </c>
      <c r="G773">
        <v>0</v>
      </c>
      <c r="H773">
        <v>0</v>
      </c>
      <c r="I773">
        <v>0</v>
      </c>
      <c r="J773">
        <v>0</v>
      </c>
      <c r="K773">
        <v>280000</v>
      </c>
      <c r="L773">
        <v>0</v>
      </c>
      <c r="M773" t="s">
        <v>22</v>
      </c>
      <c r="N773" t="s">
        <v>22</v>
      </c>
      <c r="O773" t="s">
        <v>22</v>
      </c>
      <c r="P773" t="str">
        <f>VLOOKUP(B773,'CHECK_DT-BT_chi_tiet'!$A:$C,3,FALSE)</f>
        <v>BV Thành phố HCM</v>
      </c>
      <c r="Q773" t="e">
        <f>VLOOKUP(A773,Sheet3!$K$11:$L$21,2,FALSE)</f>
        <v>#N/A</v>
      </c>
      <c r="R773" t="e">
        <f>VLOOKUP(Q773,Sheet3!$L$11:$M$21,2,FALSE)</f>
        <v>#N/A</v>
      </c>
      <c r="S773" s="26">
        <f>SUMIFS('HQ2'!$O:$O,'HQ2'!$B:$B, "="&amp;'Tong_hop_HQNV_2026Q1_2026-06-23'!Q773, 'HQ2'!$A:$A,"="&amp;'Tong_hop_HQNV_2026Q1_2026-06-23'!P773)</f>
        <v>0</v>
      </c>
      <c r="T773" s="7">
        <f t="shared" si="12"/>
        <v>0</v>
      </c>
    </row>
    <row r="774" spans="1:20" x14ac:dyDescent="0.25">
      <c r="A774" t="s">
        <v>16</v>
      </c>
      <c r="B774" s="9" t="s">
        <v>234</v>
      </c>
      <c r="C774">
        <v>0</v>
      </c>
      <c r="D774">
        <v>0</v>
      </c>
      <c r="E774">
        <v>0</v>
      </c>
      <c r="F774">
        <v>0</v>
      </c>
      <c r="G774">
        <v>13071368</v>
      </c>
      <c r="H774">
        <v>0</v>
      </c>
      <c r="I774">
        <v>0</v>
      </c>
      <c r="J774">
        <v>0</v>
      </c>
      <c r="K774">
        <v>0</v>
      </c>
      <c r="L774">
        <v>0</v>
      </c>
      <c r="M774" t="s">
        <v>17</v>
      </c>
      <c r="N774">
        <v>1</v>
      </c>
      <c r="O774">
        <v>1</v>
      </c>
      <c r="P774" t="str">
        <f>VLOOKUP(B774,'CHECK_DT-BT_chi_tiet'!$A:$C,3,FALSE)</f>
        <v>TSC-Ban KDBH Phi hàng hải TSC</v>
      </c>
      <c r="Q774" t="str">
        <f>VLOOKUP(A774,Sheet3!$K$11:$L$21,2,FALSE)</f>
        <v>BH Du lịch</v>
      </c>
      <c r="R774" t="str">
        <f>VLOOKUP(Q774,Sheet3!$L$11:$M$21,2,FALSE)</f>
        <v>HQ1</v>
      </c>
      <c r="S774" s="26">
        <f>SUMIFS('HQ2'!$O:$O,'HQ2'!$B:$B, "="&amp;'Tong_hop_HQNV_2026Q1_2026-06-23'!Q774, 'HQ2'!$A:$A,"="&amp;'Tong_hop_HQNV_2026Q1_2026-06-23'!P774)</f>
        <v>0</v>
      </c>
      <c r="T774" s="7">
        <f t="shared" si="12"/>
        <v>0</v>
      </c>
    </row>
    <row r="775" spans="1:20" x14ac:dyDescent="0.25">
      <c r="A775" t="s">
        <v>35</v>
      </c>
      <c r="B775" s="9" t="s">
        <v>289</v>
      </c>
      <c r="C775">
        <v>0</v>
      </c>
      <c r="D775">
        <v>0</v>
      </c>
      <c r="E775">
        <v>0</v>
      </c>
      <c r="F775">
        <v>0</v>
      </c>
      <c r="G775" s="92">
        <v>50000000</v>
      </c>
      <c r="H775">
        <v>0</v>
      </c>
      <c r="I775">
        <v>0</v>
      </c>
      <c r="J775">
        <v>0</v>
      </c>
      <c r="K775">
        <v>0</v>
      </c>
      <c r="L775">
        <v>0</v>
      </c>
      <c r="M775" t="s">
        <v>36</v>
      </c>
      <c r="N775" t="s">
        <v>31</v>
      </c>
      <c r="O775" t="s">
        <v>20</v>
      </c>
      <c r="P775" t="str">
        <f>VLOOKUP(B775,'CHECK_DT-BT_chi_tiet'!$A:$C,3,FALSE)</f>
        <v>BV Bạc Liêu</v>
      </c>
      <c r="Q775" t="str">
        <f>VLOOKUP(A775,Sheet3!$K$11:$L$21,2,FALSE)</f>
        <v>BH Kỹ thuật</v>
      </c>
      <c r="R775" t="str">
        <f>VLOOKUP(Q775,Sheet3!$L$11:$M$21,2,FALSE)</f>
        <v>HQ2</v>
      </c>
      <c r="S775" s="26">
        <f>SUMIFS('HQ2'!$O:$O,'HQ2'!$B:$B, "="&amp;'Tong_hop_HQNV_2026Q1_2026-06-23'!Q775, 'HQ2'!$A:$A,"="&amp;'Tong_hop_HQNV_2026Q1_2026-06-23'!P775)</f>
        <v>50000000</v>
      </c>
      <c r="T775" s="7">
        <f t="shared" si="12"/>
        <v>0</v>
      </c>
    </row>
    <row r="776" spans="1:20" x14ac:dyDescent="0.25">
      <c r="A776" t="s">
        <v>25</v>
      </c>
      <c r="B776" s="9" t="s">
        <v>305</v>
      </c>
      <c r="C776">
        <v>0</v>
      </c>
      <c r="D776">
        <v>0</v>
      </c>
      <c r="E776">
        <v>0</v>
      </c>
      <c r="F776">
        <v>0</v>
      </c>
      <c r="G776" s="92">
        <v>1000000000</v>
      </c>
      <c r="H776">
        <v>0</v>
      </c>
      <c r="I776">
        <v>0</v>
      </c>
      <c r="J776">
        <v>0</v>
      </c>
      <c r="K776">
        <v>0</v>
      </c>
      <c r="L776">
        <v>0</v>
      </c>
      <c r="M776" t="s">
        <v>15</v>
      </c>
      <c r="N776" t="s">
        <v>26</v>
      </c>
      <c r="O776" t="s">
        <v>27</v>
      </c>
      <c r="P776" t="str">
        <f>VLOOKUP(B776,'CHECK_DT-BT_chi_tiet'!$A:$C,3,FALSE)</f>
        <v>BV Đông Bắc</v>
      </c>
      <c r="Q776" t="str">
        <f>VLOOKUP(A776,Sheet3!$K$11:$L$21,2,FALSE)</f>
        <v>Hull (Thân tàu biển)</v>
      </c>
      <c r="R776" t="str">
        <f>VLOOKUP(Q776,Sheet3!$L$11:$M$21,2,FALSE)</f>
        <v>HQ2</v>
      </c>
      <c r="S776" s="26">
        <f>SUMIFS('HQ2'!$O:$O,'HQ2'!$B:$B, "="&amp;'Tong_hop_HQNV_2026Q1_2026-06-23'!Q776, 'HQ2'!$A:$A,"="&amp;'Tong_hop_HQNV_2026Q1_2026-06-23'!P776)</f>
        <v>1000000000</v>
      </c>
      <c r="T776" s="7">
        <f t="shared" si="12"/>
        <v>0</v>
      </c>
    </row>
    <row r="777" spans="1:20" x14ac:dyDescent="0.25">
      <c r="A777" t="s">
        <v>28</v>
      </c>
      <c r="B777" s="9" t="s">
        <v>234</v>
      </c>
      <c r="C777">
        <v>0</v>
      </c>
      <c r="D777">
        <v>0</v>
      </c>
      <c r="E777">
        <v>0</v>
      </c>
      <c r="F777">
        <v>0</v>
      </c>
      <c r="G777">
        <v>2380304520</v>
      </c>
      <c r="H777">
        <v>0</v>
      </c>
      <c r="I777">
        <v>0</v>
      </c>
      <c r="J777">
        <v>0</v>
      </c>
      <c r="K777">
        <v>0</v>
      </c>
      <c r="L777">
        <v>0</v>
      </c>
      <c r="M777" t="s">
        <v>17</v>
      </c>
      <c r="N777" t="s">
        <v>20</v>
      </c>
      <c r="O777" t="s">
        <v>20</v>
      </c>
      <c r="P777" t="str">
        <f>VLOOKUP(B777,'CHECK_DT-BT_chi_tiet'!$A:$C,3,FALSE)</f>
        <v>TSC-Ban KDBH Phi hàng hải TSC</v>
      </c>
      <c r="Q777" t="str">
        <f>VLOOKUP(A777,Sheet3!$K$11:$L$21,2,FALSE)</f>
        <v>BH Trách nhiệm</v>
      </c>
      <c r="R777" t="str">
        <f>VLOOKUP(Q777,Sheet3!$L$11:$M$21,2,FALSE)</f>
        <v>HQ2</v>
      </c>
      <c r="S777" s="26">
        <f>SUMIFS('HQ2'!$O:$O,'HQ2'!$B:$B, "="&amp;'Tong_hop_HQNV_2026Q1_2026-06-23'!Q777, 'HQ2'!$A:$A,"="&amp;'Tong_hop_HQNV_2026Q1_2026-06-23'!P777)</f>
        <v>2380304520</v>
      </c>
      <c r="T777" s="7">
        <f t="shared" si="12"/>
        <v>0</v>
      </c>
    </row>
    <row r="778" spans="1:20" x14ac:dyDescent="0.25">
      <c r="A778" t="s">
        <v>37</v>
      </c>
      <c r="B778" s="9" t="s">
        <v>338</v>
      </c>
      <c r="C778">
        <v>0</v>
      </c>
      <c r="D778">
        <v>0</v>
      </c>
      <c r="E778">
        <v>0</v>
      </c>
      <c r="F778">
        <v>0</v>
      </c>
      <c r="G778" s="92">
        <v>300000000</v>
      </c>
      <c r="H778">
        <v>0</v>
      </c>
      <c r="I778">
        <v>0</v>
      </c>
      <c r="J778">
        <v>0</v>
      </c>
      <c r="K778">
        <v>0</v>
      </c>
      <c r="L778">
        <v>0</v>
      </c>
      <c r="M778" t="s">
        <v>36</v>
      </c>
      <c r="N778" t="s">
        <v>19</v>
      </c>
      <c r="O778" t="s">
        <v>19</v>
      </c>
      <c r="P778" t="str">
        <f>VLOOKUP(B778,'CHECK_DT-BT_chi_tiet'!$A:$C,3,FALSE)</f>
        <v>BV Phú Thọ</v>
      </c>
      <c r="Q778" t="str">
        <f>VLOOKUP(A778,Sheet3!$K$11:$L$21,2,FALSE)</f>
        <v>Tàu khác</v>
      </c>
      <c r="R778" t="str">
        <f>VLOOKUP(Q778,Sheet3!$L$11:$M$21,2,FALSE)</f>
        <v>HQ2</v>
      </c>
      <c r="S778" s="26">
        <f>SUMIFS('HQ2'!$O:$O,'HQ2'!$B:$B, "="&amp;'Tong_hop_HQNV_2026Q1_2026-06-23'!Q778, 'HQ2'!$A:$A,"="&amp;'Tong_hop_HQNV_2026Q1_2026-06-23'!P778)</f>
        <v>300000000</v>
      </c>
      <c r="T778" s="7">
        <f t="shared" si="12"/>
        <v>0</v>
      </c>
    </row>
    <row r="779" spans="1:20" x14ac:dyDescent="0.25">
      <c r="A779" t="s">
        <v>37</v>
      </c>
      <c r="B779" s="9" t="s">
        <v>351</v>
      </c>
      <c r="C779">
        <v>0</v>
      </c>
      <c r="D779">
        <v>0</v>
      </c>
      <c r="E779">
        <v>0</v>
      </c>
      <c r="F779">
        <v>0</v>
      </c>
      <c r="G779" s="92">
        <v>100000000</v>
      </c>
      <c r="H779">
        <v>0</v>
      </c>
      <c r="I779">
        <v>0</v>
      </c>
      <c r="J779">
        <v>0</v>
      </c>
      <c r="K779">
        <v>0</v>
      </c>
      <c r="L779">
        <v>0</v>
      </c>
      <c r="M779" t="s">
        <v>36</v>
      </c>
      <c r="N779" t="s">
        <v>19</v>
      </c>
      <c r="O779" t="s">
        <v>19</v>
      </c>
      <c r="P779" t="str">
        <f>VLOOKUP(B779,'CHECK_DT-BT_chi_tiet'!$A:$C,3,FALSE)</f>
        <v>BV Thái Nguyên</v>
      </c>
      <c r="Q779" t="str">
        <f>VLOOKUP(A779,Sheet3!$K$11:$L$21,2,FALSE)</f>
        <v>Tàu khác</v>
      </c>
      <c r="R779" t="str">
        <f>VLOOKUP(Q779,Sheet3!$L$11:$M$21,2,FALSE)</f>
        <v>HQ2</v>
      </c>
      <c r="S779" s="26">
        <f>SUMIFS('HQ2'!$O:$O,'HQ2'!$B:$B, "="&amp;'Tong_hop_HQNV_2026Q1_2026-06-23'!Q779, 'HQ2'!$A:$A,"="&amp;'Tong_hop_HQNV_2026Q1_2026-06-23'!P779)</f>
        <v>100000000</v>
      </c>
      <c r="T779" s="7">
        <f t="shared" si="12"/>
        <v>0</v>
      </c>
    </row>
    <row r="780" spans="1:20" x14ac:dyDescent="0.25">
      <c r="A780" t="s">
        <v>37</v>
      </c>
      <c r="B780" s="9" t="s">
        <v>291</v>
      </c>
      <c r="C780">
        <v>0</v>
      </c>
      <c r="D780">
        <v>0</v>
      </c>
      <c r="E780">
        <v>0</v>
      </c>
      <c r="F780">
        <v>0</v>
      </c>
      <c r="G780">
        <v>3949941</v>
      </c>
      <c r="H780">
        <v>0</v>
      </c>
      <c r="I780">
        <v>0</v>
      </c>
      <c r="J780">
        <v>0</v>
      </c>
      <c r="K780">
        <v>0</v>
      </c>
      <c r="L780">
        <v>0</v>
      </c>
      <c r="M780" t="s">
        <v>36</v>
      </c>
      <c r="N780" t="s">
        <v>19</v>
      </c>
      <c r="O780" t="s">
        <v>19</v>
      </c>
      <c r="P780" t="str">
        <f>VLOOKUP(B780,'CHECK_DT-BT_chi_tiet'!$A:$C,3,FALSE)</f>
        <v>BV Bến Thành</v>
      </c>
      <c r="Q780" t="str">
        <f>VLOOKUP(A780,Sheet3!$K$11:$L$21,2,FALSE)</f>
        <v>Tàu khác</v>
      </c>
      <c r="R780" t="str">
        <f>VLOOKUP(Q780,Sheet3!$L$11:$M$21,2,FALSE)</f>
        <v>HQ2</v>
      </c>
      <c r="S780" s="26">
        <f>SUMIFS('HQ2'!$O:$O,'HQ2'!$B:$B, "="&amp;'Tong_hop_HQNV_2026Q1_2026-06-23'!Q780, 'HQ2'!$A:$A,"="&amp;'Tong_hop_HQNV_2026Q1_2026-06-23'!P780)</f>
        <v>3949941</v>
      </c>
      <c r="T780" s="7">
        <f t="shared" si="12"/>
        <v>0</v>
      </c>
    </row>
    <row r="781" spans="1:20" x14ac:dyDescent="0.25">
      <c r="A781" t="s">
        <v>22</v>
      </c>
      <c r="B781" s="9" t="s">
        <v>225</v>
      </c>
      <c r="C781">
        <v>0</v>
      </c>
      <c r="D781">
        <v>0</v>
      </c>
      <c r="E781">
        <v>0</v>
      </c>
      <c r="F781">
        <v>0</v>
      </c>
      <c r="G781">
        <v>322229825.77499998</v>
      </c>
      <c r="H781">
        <v>0</v>
      </c>
      <c r="I781">
        <v>0</v>
      </c>
      <c r="J781">
        <v>0</v>
      </c>
      <c r="K781">
        <v>0</v>
      </c>
      <c r="L781">
        <v>0</v>
      </c>
      <c r="M781" t="s">
        <v>22</v>
      </c>
      <c r="N781" t="s">
        <v>22</v>
      </c>
      <c r="O781" t="s">
        <v>22</v>
      </c>
      <c r="P781" t="str">
        <f>VLOOKUP(B781,'CHECK_DT-BT_chi_tiet'!$A:$C,3,FALSE)</f>
        <v>TSC-Ban Kinh doanh Phi hàng hải - Phòng Allianz</v>
      </c>
      <c r="Q781" t="e">
        <f>VLOOKUP(A781,Sheet3!$K$11:$L$21,2,FALSE)</f>
        <v>#N/A</v>
      </c>
      <c r="R781" t="e">
        <f>VLOOKUP(Q781,Sheet3!$L$11:$M$21,2,FALSE)</f>
        <v>#N/A</v>
      </c>
      <c r="S781" s="26">
        <f>SUMIFS('HQ2'!$O:$O,'HQ2'!$B:$B, "="&amp;'Tong_hop_HQNV_2026Q1_2026-06-23'!Q781, 'HQ2'!$A:$A,"="&amp;'Tong_hop_HQNV_2026Q1_2026-06-23'!P781)</f>
        <v>0</v>
      </c>
      <c r="T781" s="7">
        <f t="shared" si="12"/>
        <v>0</v>
      </c>
    </row>
    <row r="782" spans="1:20" x14ac:dyDescent="0.25">
      <c r="A782" t="s">
        <v>18</v>
      </c>
      <c r="B782" s="9" t="s">
        <v>233</v>
      </c>
      <c r="C782">
        <v>0</v>
      </c>
      <c r="D782">
        <v>0</v>
      </c>
      <c r="E782">
        <v>0</v>
      </c>
      <c r="F782">
        <v>0</v>
      </c>
      <c r="G782">
        <v>0</v>
      </c>
      <c r="H782">
        <v>0</v>
      </c>
      <c r="I782">
        <v>74278954958.25</v>
      </c>
      <c r="J782">
        <v>63768986</v>
      </c>
      <c r="K782">
        <v>0</v>
      </c>
      <c r="L782">
        <v>0</v>
      </c>
      <c r="M782" t="s">
        <v>17</v>
      </c>
      <c r="N782" t="s">
        <v>19</v>
      </c>
      <c r="O782" t="s">
        <v>20</v>
      </c>
      <c r="P782" t="str">
        <f>VLOOKUP(B782,'CHECK_DT-BT_chi_tiet'!$A:$C,3,FALSE)</f>
        <v>Trụ sở chính</v>
      </c>
      <c r="Q782" t="str">
        <f>VLOOKUP(A782,Sheet3!$K$11:$L$21,2,FALSE)</f>
        <v>BH Hàng hóa</v>
      </c>
      <c r="R782" t="str">
        <f>VLOOKUP(Q782,Sheet3!$L$11:$M$21,2,FALSE)</f>
        <v>HQ2</v>
      </c>
      <c r="S782" s="26">
        <f>SUMIFS('HQ2'!$O:$O,'HQ2'!$B:$B, "="&amp;'Tong_hop_HQNV_2026Q1_2026-06-23'!Q782, 'HQ2'!$A:$A,"="&amp;'Tong_hop_HQNV_2026Q1_2026-06-23'!P782)</f>
        <v>0</v>
      </c>
      <c r="T782" s="7">
        <f t="shared" si="12"/>
        <v>0</v>
      </c>
    </row>
    <row r="783" spans="1:20" x14ac:dyDescent="0.25">
      <c r="A783" t="s">
        <v>35</v>
      </c>
      <c r="B783" s="9" t="s">
        <v>233</v>
      </c>
      <c r="C783">
        <v>0</v>
      </c>
      <c r="D783">
        <v>0</v>
      </c>
      <c r="E783">
        <v>0</v>
      </c>
      <c r="F783">
        <v>0</v>
      </c>
      <c r="G783">
        <v>0</v>
      </c>
      <c r="H783">
        <v>0</v>
      </c>
      <c r="I783">
        <v>5593738267</v>
      </c>
      <c r="J783">
        <v>0</v>
      </c>
      <c r="K783">
        <v>0</v>
      </c>
      <c r="L783">
        <v>0</v>
      </c>
      <c r="M783" t="s">
        <v>36</v>
      </c>
      <c r="N783" t="s">
        <v>31</v>
      </c>
      <c r="O783" t="s">
        <v>20</v>
      </c>
      <c r="P783" t="str">
        <f>VLOOKUP(B783,'CHECK_DT-BT_chi_tiet'!$A:$C,3,FALSE)</f>
        <v>Trụ sở chính</v>
      </c>
      <c r="Q783" t="str">
        <f>VLOOKUP(A783,Sheet3!$K$11:$L$21,2,FALSE)</f>
        <v>BH Kỹ thuật</v>
      </c>
      <c r="R783" t="str">
        <f>VLOOKUP(Q783,Sheet3!$L$11:$M$21,2,FALSE)</f>
        <v>HQ2</v>
      </c>
      <c r="S783" s="26">
        <f>SUMIFS('HQ2'!$O:$O,'HQ2'!$B:$B, "="&amp;'Tong_hop_HQNV_2026Q1_2026-06-23'!Q783, 'HQ2'!$A:$A,"="&amp;'Tong_hop_HQNV_2026Q1_2026-06-23'!P783)</f>
        <v>0</v>
      </c>
      <c r="T783" s="7">
        <f t="shared" si="12"/>
        <v>0</v>
      </c>
    </row>
    <row r="784" spans="1:20" x14ac:dyDescent="0.25">
      <c r="A784" t="s">
        <v>23</v>
      </c>
      <c r="B784" s="9" t="s">
        <v>233</v>
      </c>
      <c r="C784">
        <v>0</v>
      </c>
      <c r="D784">
        <v>0</v>
      </c>
      <c r="E784">
        <v>0</v>
      </c>
      <c r="F784">
        <v>0</v>
      </c>
      <c r="G784">
        <v>0</v>
      </c>
      <c r="H784">
        <v>0</v>
      </c>
      <c r="I784">
        <v>4563551065.3590002</v>
      </c>
      <c r="J784">
        <v>0</v>
      </c>
      <c r="K784">
        <v>0</v>
      </c>
      <c r="L784">
        <v>0</v>
      </c>
      <c r="M784" t="s">
        <v>15</v>
      </c>
      <c r="N784" t="s">
        <v>24</v>
      </c>
      <c r="O784" t="s">
        <v>15</v>
      </c>
      <c r="P784" t="str">
        <f>VLOOKUP(B784,'CHECK_DT-BT_chi_tiet'!$A:$C,3,FALSE)</f>
        <v>Trụ sở chính</v>
      </c>
      <c r="Q784" t="str">
        <f>VLOOKUP(A784,Sheet3!$K$11:$L$21,2,FALSE)</f>
        <v>P&amp;I</v>
      </c>
      <c r="R784" t="str">
        <f>VLOOKUP(Q784,Sheet3!$L$11:$M$21,2,FALSE)</f>
        <v>HQ2</v>
      </c>
      <c r="S784" s="26">
        <f>SUMIFS('HQ2'!$O:$O,'HQ2'!$B:$B, "="&amp;'Tong_hop_HQNV_2026Q1_2026-06-23'!Q784, 'HQ2'!$A:$A,"="&amp;'Tong_hop_HQNV_2026Q1_2026-06-23'!P784)</f>
        <v>0</v>
      </c>
      <c r="T784" s="7">
        <f t="shared" si="12"/>
        <v>0</v>
      </c>
    </row>
    <row r="785" spans="1:20" x14ac:dyDescent="0.25">
      <c r="A785" t="s">
        <v>23</v>
      </c>
      <c r="B785" s="9" t="s">
        <v>290</v>
      </c>
      <c r="C785">
        <v>0</v>
      </c>
      <c r="D785">
        <v>0</v>
      </c>
      <c r="E785">
        <v>0</v>
      </c>
      <c r="F785">
        <v>0</v>
      </c>
      <c r="G785">
        <v>0</v>
      </c>
      <c r="H785">
        <v>0</v>
      </c>
      <c r="I785">
        <v>71470000</v>
      </c>
      <c r="J785">
        <v>0</v>
      </c>
      <c r="K785">
        <v>0</v>
      </c>
      <c r="L785">
        <v>0</v>
      </c>
      <c r="M785" t="s">
        <v>15</v>
      </c>
      <c r="N785" t="s">
        <v>24</v>
      </c>
      <c r="O785" t="s">
        <v>15</v>
      </c>
      <c r="P785" t="str">
        <f>VLOOKUP(B785,'CHECK_DT-BT_chi_tiet'!$A:$C,3,FALSE)</f>
        <v>BV Bắc Ninh</v>
      </c>
      <c r="Q785" t="str">
        <f>VLOOKUP(A785,Sheet3!$K$11:$L$21,2,FALSE)</f>
        <v>P&amp;I</v>
      </c>
      <c r="R785" t="str">
        <f>VLOOKUP(Q785,Sheet3!$L$11:$M$21,2,FALSE)</f>
        <v>HQ2</v>
      </c>
      <c r="S785" s="26">
        <f>SUMIFS('HQ2'!$O:$O,'HQ2'!$B:$B, "="&amp;'Tong_hop_HQNV_2026Q1_2026-06-23'!Q785, 'HQ2'!$A:$A,"="&amp;'Tong_hop_HQNV_2026Q1_2026-06-23'!P785)</f>
        <v>0</v>
      </c>
      <c r="T785" s="7">
        <f t="shared" si="12"/>
        <v>0</v>
      </c>
    </row>
    <row r="786" spans="1:20" x14ac:dyDescent="0.25">
      <c r="A786" t="s">
        <v>25</v>
      </c>
      <c r="B786" s="9" t="s">
        <v>233</v>
      </c>
      <c r="C786">
        <v>0</v>
      </c>
      <c r="D786">
        <v>0</v>
      </c>
      <c r="E786">
        <v>0</v>
      </c>
      <c r="F786">
        <v>0</v>
      </c>
      <c r="G786">
        <v>0</v>
      </c>
      <c r="H786">
        <v>0</v>
      </c>
      <c r="I786">
        <v>5618218836</v>
      </c>
      <c r="J786">
        <v>0</v>
      </c>
      <c r="K786">
        <v>0</v>
      </c>
      <c r="L786">
        <v>0</v>
      </c>
      <c r="M786" t="s">
        <v>15</v>
      </c>
      <c r="N786" t="s">
        <v>26</v>
      </c>
      <c r="O786" t="s">
        <v>27</v>
      </c>
      <c r="P786" t="str">
        <f>VLOOKUP(B786,'CHECK_DT-BT_chi_tiet'!$A:$C,3,FALSE)</f>
        <v>Trụ sở chính</v>
      </c>
      <c r="Q786" t="str">
        <f>VLOOKUP(A786,Sheet3!$K$11:$L$21,2,FALSE)</f>
        <v>Hull (Thân tàu biển)</v>
      </c>
      <c r="R786" t="str">
        <f>VLOOKUP(Q786,Sheet3!$L$11:$M$21,2,FALSE)</f>
        <v>HQ2</v>
      </c>
      <c r="S786" s="26">
        <f>SUMIFS('HQ2'!$O:$O,'HQ2'!$B:$B, "="&amp;'Tong_hop_HQNV_2026Q1_2026-06-23'!Q786, 'HQ2'!$A:$A,"="&amp;'Tong_hop_HQNV_2026Q1_2026-06-23'!P786)</f>
        <v>0</v>
      </c>
      <c r="T786" s="7">
        <f t="shared" si="12"/>
        <v>0</v>
      </c>
    </row>
    <row r="787" spans="1:20" x14ac:dyDescent="0.25">
      <c r="A787" t="s">
        <v>28</v>
      </c>
      <c r="B787" s="9" t="s">
        <v>233</v>
      </c>
      <c r="C787">
        <v>0</v>
      </c>
      <c r="D787">
        <v>0</v>
      </c>
      <c r="E787">
        <v>0</v>
      </c>
      <c r="F787">
        <v>0</v>
      </c>
      <c r="G787">
        <v>0</v>
      </c>
      <c r="H787">
        <v>0</v>
      </c>
      <c r="I787">
        <v>811912744</v>
      </c>
      <c r="J787">
        <v>719577696</v>
      </c>
      <c r="K787">
        <v>0</v>
      </c>
      <c r="L787">
        <v>0</v>
      </c>
      <c r="M787" t="s">
        <v>17</v>
      </c>
      <c r="N787" t="s">
        <v>20</v>
      </c>
      <c r="O787" t="s">
        <v>20</v>
      </c>
      <c r="P787" t="str">
        <f>VLOOKUP(B787,'CHECK_DT-BT_chi_tiet'!$A:$C,3,FALSE)</f>
        <v>Trụ sở chính</v>
      </c>
      <c r="Q787" t="str">
        <f>VLOOKUP(A787,Sheet3!$K$11:$L$21,2,FALSE)</f>
        <v>BH Trách nhiệm</v>
      </c>
      <c r="R787" t="str">
        <f>VLOOKUP(Q787,Sheet3!$L$11:$M$21,2,FALSE)</f>
        <v>HQ2</v>
      </c>
      <c r="S787" s="26">
        <f>SUMIFS('HQ2'!$O:$O,'HQ2'!$B:$B, "="&amp;'Tong_hop_HQNV_2026Q1_2026-06-23'!Q787, 'HQ2'!$A:$A,"="&amp;'Tong_hop_HQNV_2026Q1_2026-06-23'!P787)</f>
        <v>0</v>
      </c>
      <c r="T787" s="7">
        <f t="shared" si="12"/>
        <v>0</v>
      </c>
    </row>
    <row r="788" spans="1:20" x14ac:dyDescent="0.25">
      <c r="A788" t="s">
        <v>29</v>
      </c>
      <c r="B788" s="9" t="s">
        <v>233</v>
      </c>
      <c r="C788">
        <v>0</v>
      </c>
      <c r="D788">
        <v>0</v>
      </c>
      <c r="E788">
        <v>0</v>
      </c>
      <c r="F788">
        <v>0</v>
      </c>
      <c r="G788">
        <v>0</v>
      </c>
      <c r="H788">
        <v>0</v>
      </c>
      <c r="I788">
        <v>9527373047</v>
      </c>
      <c r="J788">
        <v>0</v>
      </c>
      <c r="K788">
        <v>0</v>
      </c>
      <c r="L788">
        <v>0</v>
      </c>
      <c r="M788" t="s">
        <v>30</v>
      </c>
      <c r="N788" t="s">
        <v>31</v>
      </c>
      <c r="O788" t="s">
        <v>26</v>
      </c>
      <c r="P788" t="str">
        <f>VLOOKUP(B788,'CHECK_DT-BT_chi_tiet'!$A:$C,3,FALSE)</f>
        <v>Trụ sở chính</v>
      </c>
      <c r="Q788" t="str">
        <f>VLOOKUP(A788,Sheet3!$K$11:$L$21,2,FALSE)</f>
        <v>BH Tài sản</v>
      </c>
      <c r="R788" t="str">
        <f>VLOOKUP(Q788,Sheet3!$L$11:$M$21,2,FALSE)</f>
        <v>HQ2</v>
      </c>
      <c r="S788" s="26">
        <f>SUMIFS('HQ2'!$O:$O,'HQ2'!$B:$B, "="&amp;'Tong_hop_HQNV_2026Q1_2026-06-23'!Q788, 'HQ2'!$A:$A,"="&amp;'Tong_hop_HQNV_2026Q1_2026-06-23'!P788)</f>
        <v>0</v>
      </c>
      <c r="T788" s="7">
        <f t="shared" si="12"/>
        <v>0</v>
      </c>
    </row>
    <row r="789" spans="1:20" x14ac:dyDescent="0.25">
      <c r="A789" t="s">
        <v>37</v>
      </c>
      <c r="B789" s="9" t="s">
        <v>233</v>
      </c>
      <c r="C789">
        <v>0</v>
      </c>
      <c r="D789">
        <v>0</v>
      </c>
      <c r="E789">
        <v>0</v>
      </c>
      <c r="F789">
        <v>0</v>
      </c>
      <c r="G789">
        <v>0</v>
      </c>
      <c r="H789">
        <v>0</v>
      </c>
      <c r="I789" s="92">
        <v>400000000</v>
      </c>
      <c r="J789">
        <v>0</v>
      </c>
      <c r="K789">
        <v>0</v>
      </c>
      <c r="L789">
        <v>0</v>
      </c>
      <c r="M789" t="s">
        <v>36</v>
      </c>
      <c r="N789" t="s">
        <v>19</v>
      </c>
      <c r="O789" t="s">
        <v>19</v>
      </c>
      <c r="P789" t="str">
        <f>VLOOKUP(B789,'CHECK_DT-BT_chi_tiet'!$A:$C,3,FALSE)</f>
        <v>Trụ sở chính</v>
      </c>
      <c r="Q789" t="str">
        <f>VLOOKUP(A789,Sheet3!$K$11:$L$21,2,FALSE)</f>
        <v>Tàu khác</v>
      </c>
      <c r="R789" t="str">
        <f>VLOOKUP(Q789,Sheet3!$L$11:$M$21,2,FALSE)</f>
        <v>HQ2</v>
      </c>
      <c r="S789" s="26">
        <f>SUMIFS('HQ2'!$O:$O,'HQ2'!$B:$B, "="&amp;'Tong_hop_HQNV_2026Q1_2026-06-23'!Q789, 'HQ2'!$A:$A,"="&amp;'Tong_hop_HQNV_2026Q1_2026-06-23'!P789)</f>
        <v>0</v>
      </c>
      <c r="T789" s="7">
        <f t="shared" si="12"/>
        <v>0</v>
      </c>
    </row>
    <row r="790" spans="1:20" x14ac:dyDescent="0.25">
      <c r="P790" t="e">
        <f>VLOOKUP(B790,'CHECK_DT-BT_chi_tiet'!$A:$C,3,FALSE)</f>
        <v>#N/A</v>
      </c>
      <c r="Q790" t="e">
        <f>VLOOKUP(A790,Sheet3!$K$11:$L$21,2,FALSE)</f>
        <v>#N/A</v>
      </c>
      <c r="R790" t="e">
        <f>VLOOKUP(Q790,Sheet3!$L$11:$M$21,2,FALSE)</f>
        <v>#N/A</v>
      </c>
      <c r="S790" s="26">
        <f>SUMIFS('HQ2'!$O:$O,'HQ2'!$B:$B, "="&amp;'Tong_hop_HQNV_2026Q1_2026-06-23'!Q790, 'HQ2'!$A:$A,"="&amp;'Tong_hop_HQNV_2026Q1_2026-06-23'!P790)</f>
        <v>0</v>
      </c>
      <c r="T790" s="7">
        <f t="shared" si="12"/>
        <v>0</v>
      </c>
    </row>
  </sheetData>
  <autoFilter ref="A1:T79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G4" sqref="G4"/>
    </sheetView>
  </sheetViews>
  <sheetFormatPr defaultRowHeight="15" x14ac:dyDescent="0.25"/>
  <cols>
    <col min="3" max="3" width="36.85546875" bestFit="1" customWidth="1"/>
    <col min="4" max="4" width="17.140625" customWidth="1"/>
    <col min="5" max="5" width="18" bestFit="1" customWidth="1"/>
    <col min="6" max="6" width="18.7109375" customWidth="1"/>
    <col min="7" max="7" width="16" bestFit="1" customWidth="1"/>
    <col min="16" max="16" width="20.5703125" bestFit="1" customWidth="1"/>
  </cols>
  <sheetData>
    <row r="1" spans="1:16" x14ac:dyDescent="0.25">
      <c r="E1" s="102" t="s">
        <v>462</v>
      </c>
      <c r="F1" s="102" t="s">
        <v>463</v>
      </c>
      <c r="G1" s="102" t="s">
        <v>464</v>
      </c>
    </row>
    <row r="2" spans="1:16" x14ac:dyDescent="0.25">
      <c r="A2" s="6"/>
      <c r="B2" s="6"/>
      <c r="C2" s="6" t="s">
        <v>429</v>
      </c>
      <c r="D2" s="6"/>
      <c r="E2" s="6" t="s">
        <v>461</v>
      </c>
      <c r="F2" t="s">
        <v>278</v>
      </c>
      <c r="G2" s="6" t="s">
        <v>409</v>
      </c>
    </row>
    <row r="3" spans="1:16" x14ac:dyDescent="0.25">
      <c r="A3" s="6" t="s">
        <v>430</v>
      </c>
      <c r="B3" s="6" t="s">
        <v>431</v>
      </c>
      <c r="C3" s="6" t="s">
        <v>432</v>
      </c>
      <c r="D3" s="6"/>
      <c r="E3" s="99" t="s">
        <v>433</v>
      </c>
      <c r="P3" s="7"/>
    </row>
    <row r="4" spans="1:16" x14ac:dyDescent="0.25">
      <c r="A4" s="103">
        <v>1</v>
      </c>
      <c r="B4" s="36" t="s">
        <v>434</v>
      </c>
      <c r="C4" s="30" t="s">
        <v>435</v>
      </c>
      <c r="D4" s="104" t="s">
        <v>270</v>
      </c>
      <c r="E4" s="105">
        <v>131266805686</v>
      </c>
      <c r="F4" s="26">
        <f>SUMIFS('HQ2'!$C:$C,'HQ2'!$B:$B,"="&amp;'checkDT-BT(1)'!D4)+SUMIFS('HQ1'!$C:$C,'HQ1'!$B:$B,"="&amp;'checkDT-BT(1)'!D4)</f>
        <v>145002964785</v>
      </c>
      <c r="G4" s="32">
        <f>F4-E4</f>
        <v>13736159099</v>
      </c>
      <c r="K4" s="22"/>
      <c r="P4" s="7"/>
    </row>
    <row r="5" spans="1:16" x14ac:dyDescent="0.25">
      <c r="A5" s="94">
        <v>2</v>
      </c>
      <c r="B5" s="9" t="s">
        <v>436</v>
      </c>
      <c r="C5" t="s">
        <v>437</v>
      </c>
      <c r="E5" s="100">
        <v>280621744252</v>
      </c>
      <c r="F5" s="7">
        <f>SUM(F6:F8)</f>
        <v>280698347074</v>
      </c>
      <c r="G5" s="24">
        <f>F5-E5</f>
        <v>76602822</v>
      </c>
      <c r="K5" s="3"/>
    </row>
    <row r="6" spans="1:16" x14ac:dyDescent="0.25">
      <c r="A6" s="94"/>
      <c r="B6" s="9"/>
      <c r="D6" s="16" t="s">
        <v>23</v>
      </c>
      <c r="E6" s="100"/>
      <c r="F6" s="7">
        <f>SUMIFS('HQ2'!$C:$C,'HQ2'!$B:$B,"="&amp;'checkDT-BT(1)'!D6)+SUMIFS('HQ1'!$C:$C,'HQ1'!$B:$B,"="&amp;'checkDT-BT(1)'!D6)</f>
        <v>173284530538</v>
      </c>
      <c r="K6" s="3"/>
    </row>
    <row r="7" spans="1:16" x14ac:dyDescent="0.25">
      <c r="A7" s="94"/>
      <c r="B7" s="9"/>
      <c r="D7" s="19" t="s">
        <v>273</v>
      </c>
      <c r="E7" s="100"/>
      <c r="F7" s="7">
        <f>SUMIFS('HQ2'!$C:$C,'HQ2'!$B:$B,"="&amp;'checkDT-BT(1)'!D7)+SUMIFS('HQ1'!$C:$C,'HQ1'!$B:$B,"="&amp;'checkDT-BT(1)'!D7)</f>
        <v>59628699179</v>
      </c>
      <c r="K7" s="3"/>
    </row>
    <row r="8" spans="1:16" x14ac:dyDescent="0.25">
      <c r="A8" s="94"/>
      <c r="B8" s="9"/>
      <c r="D8" s="19" t="s">
        <v>272</v>
      </c>
      <c r="E8" s="100"/>
      <c r="F8" s="7">
        <f>SUMIFS('HQ2'!$C:$C,'HQ2'!$B:$B,"="&amp;'checkDT-BT(1)'!D8)+SUMIFS('HQ1'!$C:$C,'HQ1'!$B:$B,"="&amp;'checkDT-BT(1)'!D8)</f>
        <v>47785117357</v>
      </c>
      <c r="K8" s="3"/>
    </row>
    <row r="9" spans="1:16" x14ac:dyDescent="0.25">
      <c r="A9" s="94">
        <v>3</v>
      </c>
      <c r="B9" s="9" t="s">
        <v>438</v>
      </c>
      <c r="C9" t="s">
        <v>439</v>
      </c>
      <c r="E9" s="100">
        <v>0</v>
      </c>
      <c r="F9" s="7"/>
      <c r="K9" s="3"/>
    </row>
    <row r="10" spans="1:16" x14ac:dyDescent="0.25">
      <c r="A10" s="94">
        <v>4</v>
      </c>
      <c r="B10" s="9" t="s">
        <v>440</v>
      </c>
      <c r="C10" t="s">
        <v>441</v>
      </c>
      <c r="E10" s="100">
        <v>100989411072</v>
      </c>
      <c r="F10" s="100">
        <v>100989411072</v>
      </c>
      <c r="K10" s="3"/>
    </row>
    <row r="11" spans="1:16" x14ac:dyDescent="0.25">
      <c r="A11" s="94">
        <v>5</v>
      </c>
      <c r="B11" s="9" t="s">
        <v>442</v>
      </c>
      <c r="C11" t="s">
        <v>443</v>
      </c>
      <c r="D11" s="19" t="s">
        <v>271</v>
      </c>
      <c r="E11" s="100">
        <v>132987281755</v>
      </c>
      <c r="F11" s="7">
        <f>SUMIFS('HQ2'!$C:$C,'HQ2'!$B:$B,"="&amp;'checkDT-BT(1)'!D11)+SUMIFS('HQ1'!$C:$C,'HQ1'!$B:$B,"="&amp;'checkDT-BT(1)'!D11)</f>
        <v>136546666223</v>
      </c>
      <c r="G11" s="24">
        <f>F11-E11</f>
        <v>3559384468</v>
      </c>
      <c r="K11" s="19"/>
    </row>
    <row r="12" spans="1:16" x14ac:dyDescent="0.25">
      <c r="A12" s="94">
        <v>6</v>
      </c>
      <c r="B12" s="9" t="s">
        <v>444</v>
      </c>
      <c r="C12" t="s">
        <v>445</v>
      </c>
      <c r="D12" s="19" t="s">
        <v>268</v>
      </c>
      <c r="E12" s="100">
        <v>497284066734</v>
      </c>
      <c r="F12" s="7">
        <f>SUMIFS('HQ2'!$C:$C,'HQ2'!$B:$B,"="&amp;'checkDT-BT(1)'!D12)+SUMIFS('HQ1'!$C:$C,'HQ1'!$B:$B,"="&amp;'checkDT-BT(1)'!D12)</f>
        <v>497229964791</v>
      </c>
      <c r="G12" s="24">
        <f>F12-E12</f>
        <v>-54101943</v>
      </c>
      <c r="K12" s="16"/>
    </row>
    <row r="13" spans="1:16" x14ac:dyDescent="0.25">
      <c r="A13" s="103">
        <v>7</v>
      </c>
      <c r="B13" s="36" t="s">
        <v>446</v>
      </c>
      <c r="C13" s="30" t="s">
        <v>447</v>
      </c>
      <c r="D13" s="104" t="s">
        <v>269</v>
      </c>
      <c r="E13" s="105">
        <v>86640034360</v>
      </c>
      <c r="F13" s="26">
        <f>SUMIFS('HQ2'!$C:$C,'HQ2'!$B:$B,"="&amp;'checkDT-BT(1)'!D13)+SUMIFS('HQ1'!$C:$C,'HQ1'!$B:$B,"="&amp;'checkDT-BT(1)'!D13)</f>
        <v>73407528058</v>
      </c>
      <c r="G13" s="32">
        <f t="shared" ref="G13:G17" si="0">F13-E13</f>
        <v>-13232506302</v>
      </c>
      <c r="K13" s="19"/>
    </row>
    <row r="14" spans="1:16" x14ac:dyDescent="0.25">
      <c r="A14" s="94">
        <v>8</v>
      </c>
      <c r="B14" s="9" t="s">
        <v>448</v>
      </c>
      <c r="C14" t="s">
        <v>449</v>
      </c>
      <c r="D14" s="3" t="s">
        <v>137</v>
      </c>
      <c r="E14" s="100">
        <v>530074280760</v>
      </c>
      <c r="F14" s="7">
        <f>SUMIFS('HQ2'!$C:$C,'HQ2'!$B:$B,"="&amp;'checkDT-BT(1)'!D14)+SUMIFS('HQ1'!$C:$C,'HQ1'!$B:$B,"="&amp;'checkDT-BT(1)'!D14)</f>
        <v>534126647822</v>
      </c>
      <c r="G14" s="24">
        <f t="shared" si="0"/>
        <v>4052367062</v>
      </c>
      <c r="K14" s="19"/>
    </row>
    <row r="15" spans="1:16" x14ac:dyDescent="0.25">
      <c r="A15" s="94">
        <v>9</v>
      </c>
      <c r="B15" s="9" t="s">
        <v>450</v>
      </c>
      <c r="C15" t="s">
        <v>451</v>
      </c>
      <c r="D15" s="22" t="s">
        <v>135</v>
      </c>
      <c r="E15" s="100">
        <v>242982006410</v>
      </c>
      <c r="F15" s="7">
        <f>SUMIFS('HQ2'!$C:$C,'HQ2'!$B:$B,"="&amp;'checkDT-BT(1)'!D15)+SUMIFS('HQ1'!$C:$C,'HQ1'!$B:$B,"="&amp;'checkDT-BT(1)'!D15)</f>
        <v>242944226227</v>
      </c>
      <c r="G15" s="24">
        <f t="shared" si="0"/>
        <v>-37780183</v>
      </c>
      <c r="K15" s="19"/>
    </row>
    <row r="16" spans="1:16" x14ac:dyDescent="0.25">
      <c r="A16" s="94">
        <v>10</v>
      </c>
      <c r="B16" s="9" t="s">
        <v>452</v>
      </c>
      <c r="C16" t="s">
        <v>453</v>
      </c>
      <c r="D16" s="3" t="s">
        <v>136</v>
      </c>
      <c r="E16" s="100">
        <v>31367549353</v>
      </c>
      <c r="F16" s="7">
        <f>SUMIFS('HQ2'!$C:$C,'HQ2'!$B:$B,"="&amp;'checkDT-BT(1)'!D16)+SUMIFS('HQ1'!$C:$C,'HQ1'!$B:$B,"="&amp;'checkDT-BT(1)'!D16)</f>
        <v>31402406553</v>
      </c>
      <c r="G16" s="24">
        <f t="shared" si="0"/>
        <v>34857200</v>
      </c>
      <c r="K16" s="19"/>
    </row>
    <row r="17" spans="1:11" x14ac:dyDescent="0.25">
      <c r="A17" s="94">
        <v>11</v>
      </c>
      <c r="B17" s="9" t="s">
        <v>454</v>
      </c>
      <c r="C17" t="s">
        <v>455</v>
      </c>
      <c r="D17" s="3" t="s">
        <v>138</v>
      </c>
      <c r="E17" s="100">
        <v>1235472233969</v>
      </c>
      <c r="F17" s="7">
        <f>SUMIFS('HQ2'!$C:$C,'HQ2'!$B:$B,"="&amp;'checkDT-BT(1)'!D17)+SUMIFS('HQ1'!$C:$C,'HQ1'!$B:$B,"="&amp;'checkDT-BT(1)'!D17)</f>
        <v>1236439497144</v>
      </c>
      <c r="G17" s="24">
        <f t="shared" si="0"/>
        <v>967263175</v>
      </c>
      <c r="K17" s="19"/>
    </row>
    <row r="18" spans="1:11" x14ac:dyDescent="0.25">
      <c r="A18" s="94">
        <v>12</v>
      </c>
      <c r="B18" s="9" t="s">
        <v>456</v>
      </c>
      <c r="C18" t="s">
        <v>457</v>
      </c>
      <c r="E18" s="100">
        <v>1168993340</v>
      </c>
      <c r="F18" s="100">
        <v>1168993340</v>
      </c>
    </row>
    <row r="19" spans="1:11" x14ac:dyDescent="0.25">
      <c r="A19" s="94"/>
      <c r="B19" s="9" t="s">
        <v>458</v>
      </c>
      <c r="C19" t="s">
        <v>459</v>
      </c>
      <c r="E19" s="100">
        <v>0</v>
      </c>
      <c r="F19" s="7"/>
    </row>
    <row r="20" spans="1:11" x14ac:dyDescent="0.25">
      <c r="A20" s="6"/>
      <c r="B20" s="6"/>
      <c r="C20" s="6" t="s">
        <v>460</v>
      </c>
      <c r="D20" s="6"/>
      <c r="E20" s="101">
        <v>3270854407691</v>
      </c>
      <c r="F20" s="24">
        <f>SUM(F10:F18)+F4+F5</f>
        <v>3279956653089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3"/>
  <sheetViews>
    <sheetView workbookViewId="0">
      <pane xSplit="3" ySplit="3" topLeftCell="AE4" activePane="bottomRight" state="frozen"/>
      <selection pane="topRight" activeCell="D1" sqref="D1"/>
      <selection pane="bottomLeft" activeCell="A4" sqref="A4"/>
      <selection pane="bottomRight" activeCell="AJ38" sqref="AJ38"/>
    </sheetView>
  </sheetViews>
  <sheetFormatPr defaultRowHeight="15" x14ac:dyDescent="0.25"/>
  <cols>
    <col min="2" max="2" width="44.42578125" hidden="1" customWidth="1"/>
    <col min="3" max="3" width="37.28515625" customWidth="1"/>
    <col min="4" max="4" width="21" style="7" customWidth="1"/>
    <col min="5" max="6" width="15.28515625" bestFit="1" customWidth="1"/>
    <col min="7" max="7" width="16.28515625" bestFit="1" customWidth="1"/>
    <col min="8" max="16" width="16.28515625" customWidth="1"/>
    <col min="17" max="18" width="18" bestFit="1" customWidth="1"/>
    <col min="19" max="22" width="18" customWidth="1"/>
    <col min="23" max="23" width="15.28515625" style="21" bestFit="1" customWidth="1"/>
    <col min="24" max="24" width="14.28515625" bestFit="1" customWidth="1"/>
    <col min="25" max="25" width="15.28515625" bestFit="1" customWidth="1"/>
    <col min="26" max="26" width="16.28515625" bestFit="1" customWidth="1"/>
    <col min="27" max="28" width="15.28515625" bestFit="1" customWidth="1"/>
    <col min="29" max="30" width="14.28515625" customWidth="1"/>
    <col min="31" max="31" width="15.28515625" bestFit="1" customWidth="1"/>
    <col min="32" max="32" width="14.28515625" bestFit="1" customWidth="1"/>
    <col min="33" max="33" width="12.5703125" customWidth="1"/>
    <col min="34" max="34" width="15.28515625" bestFit="1" customWidth="1"/>
    <col min="35" max="35" width="15.140625" bestFit="1" customWidth="1"/>
    <col min="36" max="36" width="18" bestFit="1" customWidth="1"/>
    <col min="37" max="37" width="16.28515625" bestFit="1" customWidth="1"/>
    <col min="38" max="38" width="18" bestFit="1" customWidth="1"/>
    <col min="39" max="39" width="16.85546875" bestFit="1" customWidth="1"/>
    <col min="40" max="40" width="16" bestFit="1" customWidth="1"/>
    <col min="41" max="41" width="16.28515625" bestFit="1" customWidth="1"/>
  </cols>
  <sheetData>
    <row r="1" spans="1:41" x14ac:dyDescent="0.25">
      <c r="D1" s="26" t="s">
        <v>132</v>
      </c>
      <c r="Q1" s="24">
        <f>SUM(Q4:Q92)</f>
        <v>2039950091464</v>
      </c>
      <c r="R1" s="24">
        <f t="shared" ref="R1:V1" si="0">SUM(R4:R92)</f>
        <v>1075903584497</v>
      </c>
      <c r="S1" s="24">
        <f t="shared" si="0"/>
        <v>2044912777746</v>
      </c>
      <c r="T1" s="24">
        <f t="shared" si="0"/>
        <v>1086776242681</v>
      </c>
      <c r="U1" s="24">
        <f t="shared" si="0"/>
        <v>-4962686282</v>
      </c>
      <c r="V1" s="24">
        <f t="shared" si="0"/>
        <v>-10872658184</v>
      </c>
      <c r="W1" s="25" t="s">
        <v>133</v>
      </c>
      <c r="AJ1" s="24">
        <f>SUM(AJ4:AJ92)</f>
        <v>868125486350</v>
      </c>
      <c r="AK1" s="24">
        <f>SUM(AK4:AK92)</f>
        <v>263134390472</v>
      </c>
      <c r="AL1" s="24">
        <f>SUM(AL4:AL92)</f>
        <v>871528334195</v>
      </c>
      <c r="AM1" s="24">
        <f t="shared" ref="AM1:AO1" si="1">SUM(AM4:AM92)</f>
        <v>266166014346</v>
      </c>
      <c r="AN1" s="24">
        <f t="shared" si="1"/>
        <v>-3402847845</v>
      </c>
      <c r="AO1" s="24">
        <f t="shared" si="1"/>
        <v>-3031623874</v>
      </c>
    </row>
    <row r="2" spans="1:41" x14ac:dyDescent="0.25">
      <c r="D2" t="s">
        <v>14</v>
      </c>
      <c r="E2" t="s">
        <v>16</v>
      </c>
      <c r="F2" t="s">
        <v>32</v>
      </c>
      <c r="G2" t="s">
        <v>33</v>
      </c>
      <c r="H2" t="s">
        <v>18</v>
      </c>
      <c r="I2" t="s">
        <v>23</v>
      </c>
      <c r="J2" t="s">
        <v>25</v>
      </c>
      <c r="K2" t="s">
        <v>37</v>
      </c>
      <c r="L2" t="s">
        <v>29</v>
      </c>
      <c r="M2" t="s">
        <v>35</v>
      </c>
      <c r="N2" t="s">
        <v>28</v>
      </c>
      <c r="O2" t="s">
        <v>21</v>
      </c>
      <c r="P2" t="s">
        <v>38</v>
      </c>
      <c r="Q2" s="126" t="s">
        <v>277</v>
      </c>
      <c r="R2" s="126"/>
      <c r="S2" s="126" t="s">
        <v>278</v>
      </c>
      <c r="T2" s="127"/>
      <c r="U2" s="128" t="s">
        <v>281</v>
      </c>
      <c r="V2" s="127"/>
      <c r="W2" s="21" t="s">
        <v>14</v>
      </c>
      <c r="X2" t="s">
        <v>16</v>
      </c>
      <c r="Y2" t="s">
        <v>32</v>
      </c>
      <c r="Z2" t="s">
        <v>33</v>
      </c>
      <c r="AA2" t="s">
        <v>18</v>
      </c>
      <c r="AB2" t="s">
        <v>23</v>
      </c>
      <c r="AC2" t="s">
        <v>25</v>
      </c>
      <c r="AD2" t="s">
        <v>37</v>
      </c>
      <c r="AE2" t="s">
        <v>29</v>
      </c>
      <c r="AF2" t="s">
        <v>35</v>
      </c>
      <c r="AG2" t="s">
        <v>28</v>
      </c>
      <c r="AH2" t="s">
        <v>21</v>
      </c>
      <c r="AI2" t="s">
        <v>38</v>
      </c>
      <c r="AJ2" s="129" t="s">
        <v>282</v>
      </c>
      <c r="AK2" s="129"/>
      <c r="AL2" s="130" t="s">
        <v>278</v>
      </c>
      <c r="AM2" s="131"/>
      <c r="AN2" s="124" t="s">
        <v>281</v>
      </c>
      <c r="AO2" s="125"/>
    </row>
    <row r="3" spans="1:41" s="6" customFormat="1" x14ac:dyDescent="0.25">
      <c r="A3" s="35" t="s">
        <v>140</v>
      </c>
      <c r="C3" s="6" t="s">
        <v>141</v>
      </c>
      <c r="D3" s="18" t="s">
        <v>135</v>
      </c>
      <c r="E3" s="3" t="s">
        <v>136</v>
      </c>
      <c r="F3" s="3" t="s">
        <v>137</v>
      </c>
      <c r="G3" s="3" t="s">
        <v>138</v>
      </c>
      <c r="H3" s="19" t="s">
        <v>270</v>
      </c>
      <c r="I3" s="16" t="s">
        <v>23</v>
      </c>
      <c r="J3" s="19" t="s">
        <v>273</v>
      </c>
      <c r="K3" s="19" t="s">
        <v>272</v>
      </c>
      <c r="L3" s="19" t="s">
        <v>268</v>
      </c>
      <c r="M3" s="19" t="s">
        <v>271</v>
      </c>
      <c r="N3" s="19" t="s">
        <v>269</v>
      </c>
      <c r="O3" s="3"/>
      <c r="P3" s="20"/>
      <c r="Q3" s="20" t="s">
        <v>279</v>
      </c>
      <c r="R3" s="20" t="s">
        <v>280</v>
      </c>
      <c r="S3" s="20" t="s">
        <v>279</v>
      </c>
      <c r="T3" s="20" t="s">
        <v>280</v>
      </c>
      <c r="U3" s="20" t="s">
        <v>279</v>
      </c>
      <c r="V3" s="20" t="s">
        <v>280</v>
      </c>
      <c r="W3" s="22" t="s">
        <v>135</v>
      </c>
      <c r="X3" s="3" t="s">
        <v>136</v>
      </c>
      <c r="Y3" s="3" t="s">
        <v>137</v>
      </c>
      <c r="Z3" s="3" t="s">
        <v>138</v>
      </c>
      <c r="AA3" s="19" t="s">
        <v>270</v>
      </c>
      <c r="AB3" s="16" t="s">
        <v>23</v>
      </c>
      <c r="AC3" s="19" t="s">
        <v>273</v>
      </c>
      <c r="AD3" s="19" t="s">
        <v>272</v>
      </c>
      <c r="AE3" s="19" t="s">
        <v>268</v>
      </c>
      <c r="AF3" s="19" t="s">
        <v>271</v>
      </c>
      <c r="AG3" s="19" t="s">
        <v>269</v>
      </c>
      <c r="AH3" s="3"/>
      <c r="AI3" s="3"/>
      <c r="AJ3" s="20" t="s">
        <v>279</v>
      </c>
      <c r="AK3" s="20" t="s">
        <v>280</v>
      </c>
      <c r="AL3" s="20" t="s">
        <v>279</v>
      </c>
      <c r="AM3" s="20" t="s">
        <v>280</v>
      </c>
      <c r="AN3" s="20" t="s">
        <v>279</v>
      </c>
      <c r="AO3" s="20" t="s">
        <v>280</v>
      </c>
    </row>
    <row r="4" spans="1:41" x14ac:dyDescent="0.25">
      <c r="A4" s="9" t="s">
        <v>284</v>
      </c>
      <c r="B4" t="s">
        <v>142</v>
      </c>
      <c r="C4" t="s">
        <v>82</v>
      </c>
      <c r="D4" s="7">
        <f>SUMIFS('Tong_hop_HQNV_2026Q1_2026-06-23'!$K:$K,'Tong_hop_HQNV_2026Q1_2026-06-23'!$A:$A,"="&amp;'CHECK_DT-BT'!$D$2,'Tong_hop_HQNV_2026Q1_2026-06-23'!$B:$B, "="&amp;'CHECK_DT-BT'!A4)</f>
        <v>8390624609</v>
      </c>
      <c r="E4" s="7">
        <f>SUMIFS('Tong_hop_HQNV_2026Q1_2026-06-23'!$K:$K,'Tong_hop_HQNV_2026Q1_2026-06-23'!$A:$A,"="&amp;'CHECK_DT-BT'!$E$2,'Tong_hop_HQNV_2026Q1_2026-06-23'!$B:$B, "="&amp;'CHECK_DT-BT'!A4)</f>
        <v>126606400</v>
      </c>
      <c r="F4" s="7">
        <f>SUMIFS('Tong_hop_HQNV_2026Q1_2026-06-23'!$K:$K,'Tong_hop_HQNV_2026Q1_2026-06-23'!$A:$A,"="&amp;'CHECK_DT-BT'!$F$2,'Tong_hop_HQNV_2026Q1_2026-06-23'!$B:$B, "="&amp;'CHECK_DT-BT'!A4)</f>
        <v>7434905971</v>
      </c>
      <c r="G4" s="7">
        <f>SUMIFS('Tong_hop_HQNV_2026Q1_2026-06-23'!$K:$K,'Tong_hop_HQNV_2026Q1_2026-06-23'!$A:$A,"="&amp;'CHECK_DT-BT'!$G$2,'Tong_hop_HQNV_2026Q1_2026-06-23'!$B:$B, "="&amp;'CHECK_DT-BT'!A4)</f>
        <v>2045474650</v>
      </c>
      <c r="H4" s="7">
        <f>SUMIFS('Tong_hop_HQNV_2026Q1_2026-06-23'!$K:$K,'Tong_hop_HQNV_2026Q1_2026-06-23'!$A:$A,"="&amp;$H$2,'Tong_hop_HQNV_2026Q1_2026-06-23'!$B:$B, "="&amp;'CHECK_DT-BT'!A4)</f>
        <v>336853305</v>
      </c>
      <c r="I4" s="7">
        <f>SUMIFS('Tong_hop_HQNV_2026Q1_2026-06-23'!$K:$K,'Tong_hop_HQNV_2026Q1_2026-06-23'!$A:$A,"="&amp;$I$2,'Tong_hop_HQNV_2026Q1_2026-06-23'!$B:$B, "="&amp;'CHECK_DT-BT'!A4)</f>
        <v>0</v>
      </c>
      <c r="J4" s="7">
        <f>SUMIFS('Tong_hop_HQNV_2026Q1_2026-06-23'!$K:$K,'Tong_hop_HQNV_2026Q1_2026-06-23'!$A:$A,"="&amp;$J$2,'Tong_hop_HQNV_2026Q1_2026-06-23'!$B:$B, "="&amp;'CHECK_DT-BT'!A4)</f>
        <v>0</v>
      </c>
      <c r="K4" s="7">
        <f>SUMIFS('Tong_hop_HQNV_2026Q1_2026-06-23'!$K:$K,'Tong_hop_HQNV_2026Q1_2026-06-23'!$A:$A,"="&amp;$K$2,'Tong_hop_HQNV_2026Q1_2026-06-23'!$B:$B, "="&amp;'CHECK_DT-BT'!A4)</f>
        <v>1241514895</v>
      </c>
      <c r="L4" s="7">
        <f>SUMIFS('Tong_hop_HQNV_2026Q1_2026-06-23'!$K:$K,'Tong_hop_HQNV_2026Q1_2026-06-23'!$A:$A,"="&amp;$L$2,'Tong_hop_HQNV_2026Q1_2026-06-23'!$B:$B, "="&amp;'CHECK_DT-BT'!A4)</f>
        <v>1084249857</v>
      </c>
      <c r="M4" s="7">
        <f>SUMIFS('Tong_hop_HQNV_2026Q1_2026-06-23'!$K:$K,'Tong_hop_HQNV_2026Q1_2026-06-23'!$A:$A,"="&amp;$M$2,'Tong_hop_HQNV_2026Q1_2026-06-23'!$B:$B, "="&amp;'CHECK_DT-BT'!A4)</f>
        <v>910760929</v>
      </c>
      <c r="N4" s="7">
        <f>SUMIFS('Tong_hop_HQNV_2026Q1_2026-06-23'!$K:$K,'Tong_hop_HQNV_2026Q1_2026-06-23'!$A:$A,"="&amp;$N$2,'Tong_hop_HQNV_2026Q1_2026-06-23'!$B:$B, "="&amp;'CHECK_DT-BT'!A4)</f>
        <v>67976342</v>
      </c>
      <c r="O4" s="7">
        <f>SUMIFS('Tong_hop_HQNV_2026Q1_2026-06-23'!$K:$K,'Tong_hop_HQNV_2026Q1_2026-06-23'!$A:$A,"="&amp;$O$2,'Tong_hop_HQNV_2026Q1_2026-06-23'!$B:$B, "="&amp;'CHECK_DT-BT'!A4)</f>
        <v>0</v>
      </c>
      <c r="P4" s="7">
        <f>SUMIFS('Tong_hop_HQNV_2026Q1_2026-06-23'!$K:$K,'Tong_hop_HQNV_2026Q1_2026-06-23'!$A:$A,"="&amp;$P$2,'Tong_hop_HQNV_2026Q1_2026-06-23'!$B:$B, "="&amp;'CHECK_DT-BT'!A4)</f>
        <v>0</v>
      </c>
      <c r="Q4" s="7">
        <f>SUM(D4:G4)</f>
        <v>17997611630</v>
      </c>
      <c r="R4" s="7">
        <f>SUM(H4:N4)</f>
        <v>3641355328</v>
      </c>
      <c r="S4" s="7">
        <f>SUMIFS('HQ1'!$C:$C,'HQ1'!$A:$A, "="&amp;'CHECK_DT-BT'!C4, 'HQ1'!$B:$B, "Total")</f>
        <v>17997611630</v>
      </c>
      <c r="T4" s="7">
        <f>SUMIFS('HQ2'!$C:$C,'HQ2'!$A:$A, "="&amp;'CHECK_DT-BT'!C4, 'HQ2'!$B:$B, "Total")</f>
        <v>3641355328</v>
      </c>
      <c r="U4" s="7">
        <f>Q4-S4</f>
        <v>0</v>
      </c>
      <c r="V4" s="7">
        <f>R4-T4</f>
        <v>0</v>
      </c>
      <c r="W4" s="23">
        <f>SUMIFS('Tong_hop_HQNV_2026Q1_2026-06-23'!$L:$L,'Tong_hop_HQNV_2026Q1_2026-06-23'!$B:$B, "="&amp;'CHECK_DT-BT'!A4, 'Tong_hop_HQNV_2026Q1_2026-06-23'!$A:$A, "="&amp;'CHECK_DT-BT'!$W$2)</f>
        <v>7008590701</v>
      </c>
      <c r="X4" s="7">
        <f>SUMIFS('Tong_hop_HQNV_2026Q1_2026-06-23'!$L:$L,'Tong_hop_HQNV_2026Q1_2026-06-23'!$B:$B, "="&amp;'CHECK_DT-BT'!A4, 'Tong_hop_HQNV_2026Q1_2026-06-23'!$A:$A, "="&amp;'CHECK_DT-BT'!$X$2)</f>
        <v>0</v>
      </c>
      <c r="Y4" s="7">
        <f>SUMIFS('Tong_hop_HQNV_2026Q1_2026-06-23'!$L:$L,'Tong_hop_HQNV_2026Q1_2026-06-23'!$B:$B, "="&amp;'CHECK_DT-BT'!A4, 'Tong_hop_HQNV_2026Q1_2026-06-23'!$A:$A, "="&amp;'CHECK_DT-BT'!$Y$2)</f>
        <v>3491094304</v>
      </c>
      <c r="Z4" s="7">
        <f>SUMIFS('Tong_hop_HQNV_2026Q1_2026-06-23'!$L:$L,'Tong_hop_HQNV_2026Q1_2026-06-23'!$B:$B, "="&amp;'CHECK_DT-BT'!A4, 'Tong_hop_HQNV_2026Q1_2026-06-23'!$A:$A, "="&amp;'CHECK_DT-BT'!$Z$2)</f>
        <v>103422211</v>
      </c>
      <c r="AA4" s="7">
        <f>SUMIFS('Tong_hop_HQNV_2026Q1_2026-06-23'!$L:$L,'Tong_hop_HQNV_2026Q1_2026-06-23'!$B:$B, "="&amp;'CHECK_DT-BT'!A4, 'Tong_hop_HQNV_2026Q1_2026-06-23'!$A:$A, "="&amp;$AA$2)</f>
        <v>0</v>
      </c>
      <c r="AB4" s="7">
        <f>SUMIFS('Tong_hop_HQNV_2026Q1_2026-06-23'!$L:$L,'Tong_hop_HQNV_2026Q1_2026-06-23'!$B:$B, "="&amp;'CHECK_DT-BT'!A4, 'Tong_hop_HQNV_2026Q1_2026-06-23'!$A:$A, "="&amp;$AB$2)</f>
        <v>0</v>
      </c>
      <c r="AC4" s="7">
        <f>SUMIFS('Tong_hop_HQNV_2026Q1_2026-06-23'!$L:$L,'Tong_hop_HQNV_2026Q1_2026-06-23'!$B:$B, "="&amp;'CHECK_DT-BT'!A4, 'Tong_hop_HQNV_2026Q1_2026-06-23'!$A:$A, "="&amp;$AC$2)</f>
        <v>0</v>
      </c>
      <c r="AD4" s="7">
        <f>SUMIFS('Tong_hop_HQNV_2026Q1_2026-06-23'!$L:$L,'Tong_hop_HQNV_2026Q1_2026-06-23'!$B:$B, "="&amp;'CHECK_DT-BT'!A4, 'Tong_hop_HQNV_2026Q1_2026-06-23'!$A:$A, "="&amp;$AD$2)</f>
        <v>108855000</v>
      </c>
      <c r="AE4" s="7">
        <f>SUMIFS('Tong_hop_HQNV_2026Q1_2026-06-23'!$L:$L,'Tong_hop_HQNV_2026Q1_2026-06-23'!$B:$B, "="&amp;'CHECK_DT-BT'!A4, 'Tong_hop_HQNV_2026Q1_2026-06-23'!$A:$A, "="&amp;$AE$2)</f>
        <v>48588000</v>
      </c>
      <c r="AF4" s="7">
        <f>SUMIFS('Tong_hop_HQNV_2026Q1_2026-06-23'!$L:$L,'Tong_hop_HQNV_2026Q1_2026-06-23'!$B:$B, "="&amp;'CHECK_DT-BT'!A4, 'Tong_hop_HQNV_2026Q1_2026-06-23'!$A:$A, "="&amp;$AF$2)</f>
        <v>0</v>
      </c>
      <c r="AG4" s="7">
        <f>SUMIFS('Tong_hop_HQNV_2026Q1_2026-06-23'!$L:$L,'Tong_hop_HQNV_2026Q1_2026-06-23'!$B:$B, "="&amp;'CHECK_DT-BT'!A4, 'Tong_hop_HQNV_2026Q1_2026-06-23'!$A:$A, "="&amp;$AG$2)</f>
        <v>0</v>
      </c>
      <c r="AH4" s="7">
        <f>SUMIFS('Tong_hop_HQNV_2026Q1_2026-06-23'!$L:$L,'Tong_hop_HQNV_2026Q1_2026-06-23'!$B:$B, "="&amp;'CHECK_DT-BT'!A4, 'Tong_hop_HQNV_2026Q1_2026-06-23'!$A:$A, "="&amp;$AH$2)</f>
        <v>0</v>
      </c>
      <c r="AI4" s="7">
        <f>SUMIFS('Tong_hop_HQNV_2026Q1_2026-06-23'!$L:$L,'Tong_hop_HQNV_2026Q1_2026-06-23'!$B:$B, "="&amp;'CHECK_DT-BT'!A4, 'Tong_hop_HQNV_2026Q1_2026-06-23'!$A:$A, "="&amp;$AI$2)</f>
        <v>0</v>
      </c>
      <c r="AJ4" s="7">
        <f>SUM(W4:Z4)</f>
        <v>10603107216</v>
      </c>
      <c r="AK4" s="7">
        <f>SUM(AA4:AG4)</f>
        <v>157443000</v>
      </c>
      <c r="AL4" s="7">
        <f>SUMIFS('HQ1'!$D:$D,'HQ1'!$A:$A, "="&amp;'CHECK_DT-BT'!C4, 'HQ1'!$B:$B, "Total")</f>
        <v>10603107216</v>
      </c>
      <c r="AM4" s="7">
        <f>SUMIFS('HQ2'!$J:$J,'HQ2'!$A:$A, "="&amp;'CHECK_DT-BT'!C4, 'HQ2'!$B:$B, "Total")</f>
        <v>157443000</v>
      </c>
      <c r="AN4" s="24">
        <f>AJ4-AL4</f>
        <v>0</v>
      </c>
      <c r="AO4" s="24">
        <f>AK4-AM4</f>
        <v>0</v>
      </c>
    </row>
    <row r="5" spans="1:41" x14ac:dyDescent="0.25">
      <c r="A5" s="9" t="s">
        <v>285</v>
      </c>
      <c r="B5" t="s">
        <v>143</v>
      </c>
      <c r="C5" t="s">
        <v>61</v>
      </c>
      <c r="D5" s="7">
        <f>SUMIFS('Tong_hop_HQNV_2026Q1_2026-06-23'!$K:$K,'Tong_hop_HQNV_2026Q1_2026-06-23'!$A:$A,"="&amp;'CHECK_DT-BT'!$D$2,'Tong_hop_HQNV_2026Q1_2026-06-23'!$B:$B, "="&amp;'CHECK_DT-BT'!A5)</f>
        <v>1687239421</v>
      </c>
      <c r="E5" s="7">
        <f>SUMIFS('Tong_hop_HQNV_2026Q1_2026-06-23'!$K:$K,'Tong_hop_HQNV_2026Q1_2026-06-23'!$A:$A,"="&amp;'CHECK_DT-BT'!$E$2,'Tong_hop_HQNV_2026Q1_2026-06-23'!$B:$B, "="&amp;'CHECK_DT-BT'!A5)</f>
        <v>156914000</v>
      </c>
      <c r="F5" s="7">
        <f>SUMIFS('Tong_hop_HQNV_2026Q1_2026-06-23'!$K:$K,'Tong_hop_HQNV_2026Q1_2026-06-23'!$A:$A,"="&amp;'CHECK_DT-BT'!$F$2,'Tong_hop_HQNV_2026Q1_2026-06-23'!$B:$B, "="&amp;'CHECK_DT-BT'!A5)</f>
        <v>18250604644</v>
      </c>
      <c r="G5" s="7">
        <f>SUMIFS('Tong_hop_HQNV_2026Q1_2026-06-23'!$K:$K,'Tong_hop_HQNV_2026Q1_2026-06-23'!$A:$A,"="&amp;'CHECK_DT-BT'!$G$2,'Tong_hop_HQNV_2026Q1_2026-06-23'!$B:$B, "="&amp;'CHECK_DT-BT'!A5)</f>
        <v>11838815589</v>
      </c>
      <c r="H5" s="7">
        <f>SUMIFS('Tong_hop_HQNV_2026Q1_2026-06-23'!$K:$K,'Tong_hop_HQNV_2026Q1_2026-06-23'!$A:$A,"="&amp;$H$2,'Tong_hop_HQNV_2026Q1_2026-06-23'!$B:$B, "="&amp;'CHECK_DT-BT'!A5)</f>
        <v>4558057898</v>
      </c>
      <c r="I5" s="7">
        <f>SUMIFS('Tong_hop_HQNV_2026Q1_2026-06-23'!$K:$K,'Tong_hop_HQNV_2026Q1_2026-06-23'!$A:$A,"="&amp;$I$2,'Tong_hop_HQNV_2026Q1_2026-06-23'!$B:$B, "="&amp;'CHECK_DT-BT'!A5)</f>
        <v>0</v>
      </c>
      <c r="J5" s="7">
        <f>SUMIFS('Tong_hop_HQNV_2026Q1_2026-06-23'!$K:$K,'Tong_hop_HQNV_2026Q1_2026-06-23'!$A:$A,"="&amp;$J$2,'Tong_hop_HQNV_2026Q1_2026-06-23'!$B:$B, "="&amp;'CHECK_DT-BT'!A5)</f>
        <v>0</v>
      </c>
      <c r="K5" s="7">
        <f>SUMIFS('Tong_hop_HQNV_2026Q1_2026-06-23'!$K:$K,'Tong_hop_HQNV_2026Q1_2026-06-23'!$A:$A,"="&amp;$K$2,'Tong_hop_HQNV_2026Q1_2026-06-23'!$B:$B, "="&amp;'CHECK_DT-BT'!A5)</f>
        <v>15958800</v>
      </c>
      <c r="L5" s="7">
        <f>SUMIFS('Tong_hop_HQNV_2026Q1_2026-06-23'!$K:$K,'Tong_hop_HQNV_2026Q1_2026-06-23'!$A:$A,"="&amp;$L$2,'Tong_hop_HQNV_2026Q1_2026-06-23'!$B:$B, "="&amp;'CHECK_DT-BT'!A5)</f>
        <v>5466525780</v>
      </c>
      <c r="M5" s="7">
        <f>SUMIFS('Tong_hop_HQNV_2026Q1_2026-06-23'!$K:$K,'Tong_hop_HQNV_2026Q1_2026-06-23'!$A:$A,"="&amp;$M$2,'Tong_hop_HQNV_2026Q1_2026-06-23'!$B:$B, "="&amp;'CHECK_DT-BT'!A5)</f>
        <v>143527066</v>
      </c>
      <c r="N5" s="7">
        <f>SUMIFS('Tong_hop_HQNV_2026Q1_2026-06-23'!$K:$K,'Tong_hop_HQNV_2026Q1_2026-06-23'!$A:$A,"="&amp;$N$2,'Tong_hop_HQNV_2026Q1_2026-06-23'!$B:$B, "="&amp;'CHECK_DT-BT'!A5)</f>
        <v>301096664</v>
      </c>
      <c r="O5" s="7">
        <f>SUMIFS('Tong_hop_HQNV_2026Q1_2026-06-23'!$K:$K,'Tong_hop_HQNV_2026Q1_2026-06-23'!$A:$A,"="&amp;$O$2,'Tong_hop_HQNV_2026Q1_2026-06-23'!$B:$B, "="&amp;'CHECK_DT-BT'!A5)</f>
        <v>0</v>
      </c>
      <c r="P5" s="7">
        <f>SUMIFS('Tong_hop_HQNV_2026Q1_2026-06-23'!$K:$K,'Tong_hop_HQNV_2026Q1_2026-06-23'!$A:$A,"="&amp;$P$2,'Tong_hop_HQNV_2026Q1_2026-06-23'!$B:$B, "="&amp;'CHECK_DT-BT'!A5)</f>
        <v>0</v>
      </c>
      <c r="Q5" s="7">
        <f t="shared" ref="Q5:Q68" si="2">SUM(D5:G5)</f>
        <v>31933573654</v>
      </c>
      <c r="R5" s="7">
        <f t="shared" ref="R5:R68" si="3">SUM(H5:N5)</f>
        <v>10485166208</v>
      </c>
      <c r="S5" s="7">
        <f>SUMIFS('HQ1'!$C:$C,'HQ1'!$A:$A, "="&amp;'CHECK_DT-BT'!C5, 'HQ1'!$B:$B, "Total")</f>
        <v>31933573654</v>
      </c>
      <c r="T5" s="7">
        <f>SUMIFS('HQ2'!$C:$C,'HQ2'!$A:$A, "="&amp;'CHECK_DT-BT'!C5, 'HQ2'!$B:$B, "Total")</f>
        <v>10485166208</v>
      </c>
      <c r="U5" s="7">
        <f t="shared" ref="U5:U68" si="4">Q5-S5</f>
        <v>0</v>
      </c>
      <c r="V5" s="7">
        <f t="shared" ref="V5:V68" si="5">R5-T5</f>
        <v>0</v>
      </c>
      <c r="W5" s="23">
        <f>SUMIFS('Tong_hop_HQNV_2026Q1_2026-06-23'!$L:$L,'Tong_hop_HQNV_2026Q1_2026-06-23'!$B:$B, "="&amp;'CHECK_DT-BT'!A5, 'Tong_hop_HQNV_2026Q1_2026-06-23'!$A:$A, "="&amp;'CHECK_DT-BT'!$W$2)</f>
        <v>47545756</v>
      </c>
      <c r="X5" s="7">
        <f>SUMIFS('Tong_hop_HQNV_2026Q1_2026-06-23'!$L:$L,'Tong_hop_HQNV_2026Q1_2026-06-23'!$B:$B, "="&amp;'CHECK_DT-BT'!A5, 'Tong_hop_HQNV_2026Q1_2026-06-23'!$A:$A, "="&amp;'CHECK_DT-BT'!$X$2)</f>
        <v>0</v>
      </c>
      <c r="Y5" s="7">
        <f>SUMIFS('Tong_hop_HQNV_2026Q1_2026-06-23'!$L:$L,'Tong_hop_HQNV_2026Q1_2026-06-23'!$B:$B, "="&amp;'CHECK_DT-BT'!A5, 'Tong_hop_HQNV_2026Q1_2026-06-23'!$A:$A, "="&amp;'CHECK_DT-BT'!$Y$2)</f>
        <v>7449408983</v>
      </c>
      <c r="Z5" s="7">
        <f>SUMIFS('Tong_hop_HQNV_2026Q1_2026-06-23'!$L:$L,'Tong_hop_HQNV_2026Q1_2026-06-23'!$B:$B, "="&amp;'CHECK_DT-BT'!A5, 'Tong_hop_HQNV_2026Q1_2026-06-23'!$A:$A, "="&amp;'CHECK_DT-BT'!$Z$2)</f>
        <v>3597479961</v>
      </c>
      <c r="AA5" s="7">
        <f>SUMIFS('Tong_hop_HQNV_2026Q1_2026-06-23'!$L:$L,'Tong_hop_HQNV_2026Q1_2026-06-23'!$B:$B, "="&amp;'CHECK_DT-BT'!A5, 'Tong_hop_HQNV_2026Q1_2026-06-23'!$A:$A, "="&amp;$AA$2)</f>
        <v>694504790</v>
      </c>
      <c r="AB5" s="7">
        <f>SUMIFS('Tong_hop_HQNV_2026Q1_2026-06-23'!$L:$L,'Tong_hop_HQNV_2026Q1_2026-06-23'!$B:$B, "="&amp;'CHECK_DT-BT'!A5, 'Tong_hop_HQNV_2026Q1_2026-06-23'!$A:$A, "="&amp;$AB$2)</f>
        <v>0</v>
      </c>
      <c r="AC5" s="7">
        <f>SUMIFS('Tong_hop_HQNV_2026Q1_2026-06-23'!$L:$L,'Tong_hop_HQNV_2026Q1_2026-06-23'!$B:$B, "="&amp;'CHECK_DT-BT'!A5, 'Tong_hop_HQNV_2026Q1_2026-06-23'!$A:$A, "="&amp;$AC$2)</f>
        <v>0</v>
      </c>
      <c r="AD5" s="7">
        <f>SUMIFS('Tong_hop_HQNV_2026Q1_2026-06-23'!$L:$L,'Tong_hop_HQNV_2026Q1_2026-06-23'!$B:$B, "="&amp;'CHECK_DT-BT'!A5, 'Tong_hop_HQNV_2026Q1_2026-06-23'!$A:$A, "="&amp;$AD$2)</f>
        <v>0</v>
      </c>
      <c r="AE5" s="7">
        <f>SUMIFS('Tong_hop_HQNV_2026Q1_2026-06-23'!$L:$L,'Tong_hop_HQNV_2026Q1_2026-06-23'!$B:$B, "="&amp;'CHECK_DT-BT'!A5, 'Tong_hop_HQNV_2026Q1_2026-06-23'!$A:$A, "="&amp;$AE$2)</f>
        <v>17500000</v>
      </c>
      <c r="AF5" s="7">
        <f>SUMIFS('Tong_hop_HQNV_2026Q1_2026-06-23'!$L:$L,'Tong_hop_HQNV_2026Q1_2026-06-23'!$B:$B, "="&amp;'CHECK_DT-BT'!A5, 'Tong_hop_HQNV_2026Q1_2026-06-23'!$A:$A, "="&amp;$AF$2)</f>
        <v>0</v>
      </c>
      <c r="AG5" s="7">
        <f>SUMIFS('Tong_hop_HQNV_2026Q1_2026-06-23'!$L:$L,'Tong_hop_HQNV_2026Q1_2026-06-23'!$B:$B, "="&amp;'CHECK_DT-BT'!A5, 'Tong_hop_HQNV_2026Q1_2026-06-23'!$A:$A, "="&amp;$AG$2)</f>
        <v>0</v>
      </c>
      <c r="AH5" s="7">
        <f>SUMIFS('Tong_hop_HQNV_2026Q1_2026-06-23'!$L:$L,'Tong_hop_HQNV_2026Q1_2026-06-23'!$B:$B, "="&amp;'CHECK_DT-BT'!A5, 'Tong_hop_HQNV_2026Q1_2026-06-23'!$A:$A, "="&amp;$AH$2)</f>
        <v>0</v>
      </c>
      <c r="AI5" s="7">
        <f>SUMIFS('Tong_hop_HQNV_2026Q1_2026-06-23'!$L:$L,'Tong_hop_HQNV_2026Q1_2026-06-23'!$B:$B, "="&amp;'CHECK_DT-BT'!A5, 'Tong_hop_HQNV_2026Q1_2026-06-23'!$A:$A, "="&amp;$AI$2)</f>
        <v>0</v>
      </c>
      <c r="AJ5" s="7">
        <f t="shared" ref="AJ5:AJ68" si="6">SUM(W5:Z5)</f>
        <v>11094434700</v>
      </c>
      <c r="AK5" s="7">
        <f t="shared" ref="AK5:AK68" si="7">SUM(AA5:AG5)</f>
        <v>712004790</v>
      </c>
      <c r="AL5" s="7">
        <f>SUMIFS('HQ1'!$D:$D,'HQ1'!$A:$A, "="&amp;'CHECK_DT-BT'!C5, 'HQ1'!$B:$B, "Total")</f>
        <v>11094434700</v>
      </c>
      <c r="AM5" s="7">
        <f>SUMIFS('HQ2'!$J:$J,'HQ2'!$A:$A, "="&amp;'CHECK_DT-BT'!C5, 'HQ2'!$B:$B, "Total")</f>
        <v>712004790</v>
      </c>
      <c r="AN5" s="24">
        <f t="shared" ref="AN5:AN68" si="8">AJ5-AL5</f>
        <v>0</v>
      </c>
      <c r="AO5" s="24">
        <f t="shared" ref="AO5:AO68" si="9">AK5-AM5</f>
        <v>0</v>
      </c>
    </row>
    <row r="6" spans="1:41" x14ac:dyDescent="0.25">
      <c r="A6" s="9" t="s">
        <v>286</v>
      </c>
      <c r="B6" t="s">
        <v>144</v>
      </c>
      <c r="C6" t="s">
        <v>76</v>
      </c>
      <c r="D6" s="7">
        <f>SUMIFS('Tong_hop_HQNV_2026Q1_2026-06-23'!$K:$K,'Tong_hop_HQNV_2026Q1_2026-06-23'!$A:$A,"="&amp;'CHECK_DT-BT'!$D$2,'Tong_hop_HQNV_2026Q1_2026-06-23'!$B:$B, "="&amp;'CHECK_DT-BT'!A6)</f>
        <v>1061859078</v>
      </c>
      <c r="E6" s="7">
        <f>SUMIFS('Tong_hop_HQNV_2026Q1_2026-06-23'!$K:$K,'Tong_hop_HQNV_2026Q1_2026-06-23'!$A:$A,"="&amp;'CHECK_DT-BT'!$E$2,'Tong_hop_HQNV_2026Q1_2026-06-23'!$B:$B, "="&amp;'CHECK_DT-BT'!A6)</f>
        <v>29762150</v>
      </c>
      <c r="F6" s="7">
        <f>SUMIFS('Tong_hop_HQNV_2026Q1_2026-06-23'!$K:$K,'Tong_hop_HQNV_2026Q1_2026-06-23'!$A:$A,"="&amp;'CHECK_DT-BT'!$F$2,'Tong_hop_HQNV_2026Q1_2026-06-23'!$B:$B, "="&amp;'CHECK_DT-BT'!A6)</f>
        <v>1233356071</v>
      </c>
      <c r="G6" s="7">
        <f>SUMIFS('Tong_hop_HQNV_2026Q1_2026-06-23'!$K:$K,'Tong_hop_HQNV_2026Q1_2026-06-23'!$A:$A,"="&amp;'CHECK_DT-BT'!$G$2,'Tong_hop_HQNV_2026Q1_2026-06-23'!$B:$B, "="&amp;'CHECK_DT-BT'!A6)</f>
        <v>6721709500</v>
      </c>
      <c r="H6" s="7">
        <f>SUMIFS('Tong_hop_HQNV_2026Q1_2026-06-23'!$K:$K,'Tong_hop_HQNV_2026Q1_2026-06-23'!$A:$A,"="&amp;$H$2,'Tong_hop_HQNV_2026Q1_2026-06-23'!$B:$B, "="&amp;'CHECK_DT-BT'!A6)</f>
        <v>2252292953</v>
      </c>
      <c r="I6" s="7">
        <f>SUMIFS('Tong_hop_HQNV_2026Q1_2026-06-23'!$K:$K,'Tong_hop_HQNV_2026Q1_2026-06-23'!$A:$A,"="&amp;$I$2,'Tong_hop_HQNV_2026Q1_2026-06-23'!$B:$B, "="&amp;'CHECK_DT-BT'!A6)</f>
        <v>2115945560</v>
      </c>
      <c r="J6" s="7">
        <f>SUMIFS('Tong_hop_HQNV_2026Q1_2026-06-23'!$K:$K,'Tong_hop_HQNV_2026Q1_2026-06-23'!$A:$A,"="&amp;$J$2,'Tong_hop_HQNV_2026Q1_2026-06-23'!$B:$B, "="&amp;'CHECK_DT-BT'!A6)</f>
        <v>566746155</v>
      </c>
      <c r="K6" s="7">
        <f>SUMIFS('Tong_hop_HQNV_2026Q1_2026-06-23'!$K:$K,'Tong_hop_HQNV_2026Q1_2026-06-23'!$A:$A,"="&amp;$K$2,'Tong_hop_HQNV_2026Q1_2026-06-23'!$B:$B, "="&amp;'CHECK_DT-BT'!A6)</f>
        <v>88060500</v>
      </c>
      <c r="L6" s="7">
        <f>SUMIFS('Tong_hop_HQNV_2026Q1_2026-06-23'!$K:$K,'Tong_hop_HQNV_2026Q1_2026-06-23'!$A:$A,"="&amp;$L$2,'Tong_hop_HQNV_2026Q1_2026-06-23'!$B:$B, "="&amp;'CHECK_DT-BT'!A6)</f>
        <v>1031952554</v>
      </c>
      <c r="M6" s="7">
        <f>SUMIFS('Tong_hop_HQNV_2026Q1_2026-06-23'!$K:$K,'Tong_hop_HQNV_2026Q1_2026-06-23'!$A:$A,"="&amp;$M$2,'Tong_hop_HQNV_2026Q1_2026-06-23'!$B:$B, "="&amp;'CHECK_DT-BT'!A6)</f>
        <v>371478516</v>
      </c>
      <c r="N6" s="7">
        <f>SUMIFS('Tong_hop_HQNV_2026Q1_2026-06-23'!$K:$K,'Tong_hop_HQNV_2026Q1_2026-06-23'!$A:$A,"="&amp;$N$2,'Tong_hop_HQNV_2026Q1_2026-06-23'!$B:$B, "="&amp;'CHECK_DT-BT'!A6)</f>
        <v>31294750</v>
      </c>
      <c r="O6" s="7">
        <f>SUMIFS('Tong_hop_HQNV_2026Q1_2026-06-23'!$K:$K,'Tong_hop_HQNV_2026Q1_2026-06-23'!$A:$A,"="&amp;$O$2,'Tong_hop_HQNV_2026Q1_2026-06-23'!$B:$B, "="&amp;'CHECK_DT-BT'!A6)</f>
        <v>0</v>
      </c>
      <c r="P6" s="7">
        <f>SUMIFS('Tong_hop_HQNV_2026Q1_2026-06-23'!$K:$K,'Tong_hop_HQNV_2026Q1_2026-06-23'!$A:$A,"="&amp;$P$2,'Tong_hop_HQNV_2026Q1_2026-06-23'!$B:$B, "="&amp;'CHECK_DT-BT'!A6)</f>
        <v>0</v>
      </c>
      <c r="Q6" s="7">
        <f t="shared" si="2"/>
        <v>9046686799</v>
      </c>
      <c r="R6" s="7">
        <f t="shared" si="3"/>
        <v>6457770988</v>
      </c>
      <c r="S6" s="7">
        <f>SUMIFS('HQ1'!$C:$C,'HQ1'!$A:$A, "="&amp;'CHECK_DT-BT'!C6, 'HQ1'!$B:$B, "Total")</f>
        <v>9046686799</v>
      </c>
      <c r="T6" s="7">
        <f>SUMIFS('HQ2'!$C:$C,'HQ2'!$A:$A, "="&amp;'CHECK_DT-BT'!C6, 'HQ2'!$B:$B, "Total")</f>
        <v>6457770988</v>
      </c>
      <c r="U6" s="7">
        <f t="shared" si="4"/>
        <v>0</v>
      </c>
      <c r="V6" s="7">
        <f t="shared" si="5"/>
        <v>0</v>
      </c>
      <c r="W6" s="23">
        <f>SUMIFS('Tong_hop_HQNV_2026Q1_2026-06-23'!$L:$L,'Tong_hop_HQNV_2026Q1_2026-06-23'!$B:$B, "="&amp;'CHECK_DT-BT'!A6, 'Tong_hop_HQNV_2026Q1_2026-06-23'!$A:$A, "="&amp;'CHECK_DT-BT'!$W$2)</f>
        <v>354027335</v>
      </c>
      <c r="X6" s="7">
        <f>SUMIFS('Tong_hop_HQNV_2026Q1_2026-06-23'!$L:$L,'Tong_hop_HQNV_2026Q1_2026-06-23'!$B:$B, "="&amp;'CHECK_DT-BT'!A6, 'Tong_hop_HQNV_2026Q1_2026-06-23'!$A:$A, "="&amp;'CHECK_DT-BT'!$X$2)</f>
        <v>13541500</v>
      </c>
      <c r="Y6" s="7">
        <f>SUMIFS('Tong_hop_HQNV_2026Q1_2026-06-23'!$L:$L,'Tong_hop_HQNV_2026Q1_2026-06-23'!$B:$B, "="&amp;'CHECK_DT-BT'!A6, 'Tong_hop_HQNV_2026Q1_2026-06-23'!$A:$A, "="&amp;'CHECK_DT-BT'!$Y$2)</f>
        <v>453298004</v>
      </c>
      <c r="Z6" s="7">
        <f>SUMIFS('Tong_hop_HQNV_2026Q1_2026-06-23'!$L:$L,'Tong_hop_HQNV_2026Q1_2026-06-23'!$B:$B, "="&amp;'CHECK_DT-BT'!A6, 'Tong_hop_HQNV_2026Q1_2026-06-23'!$A:$A, "="&amp;'CHECK_DT-BT'!$Z$2)</f>
        <v>1454400170</v>
      </c>
      <c r="AA6" s="7">
        <f>SUMIFS('Tong_hop_HQNV_2026Q1_2026-06-23'!$L:$L,'Tong_hop_HQNV_2026Q1_2026-06-23'!$B:$B, "="&amp;'CHECK_DT-BT'!A6, 'Tong_hop_HQNV_2026Q1_2026-06-23'!$A:$A, "="&amp;$AA$2)</f>
        <v>0</v>
      </c>
      <c r="AB6" s="7">
        <f>SUMIFS('Tong_hop_HQNV_2026Q1_2026-06-23'!$L:$L,'Tong_hop_HQNV_2026Q1_2026-06-23'!$B:$B, "="&amp;'CHECK_DT-BT'!A6, 'Tong_hop_HQNV_2026Q1_2026-06-23'!$A:$A, "="&amp;$AB$2)</f>
        <v>0</v>
      </c>
      <c r="AC6" s="7">
        <f>SUMIFS('Tong_hop_HQNV_2026Q1_2026-06-23'!$L:$L,'Tong_hop_HQNV_2026Q1_2026-06-23'!$B:$B, "="&amp;'CHECK_DT-BT'!A6, 'Tong_hop_HQNV_2026Q1_2026-06-23'!$A:$A, "="&amp;$AC$2)</f>
        <v>0</v>
      </c>
      <c r="AD6" s="7">
        <f>SUMIFS('Tong_hop_HQNV_2026Q1_2026-06-23'!$L:$L,'Tong_hop_HQNV_2026Q1_2026-06-23'!$B:$B, "="&amp;'CHECK_DT-BT'!A6, 'Tong_hop_HQNV_2026Q1_2026-06-23'!$A:$A, "="&amp;$AD$2)</f>
        <v>0</v>
      </c>
      <c r="AE6" s="7">
        <f>SUMIFS('Tong_hop_HQNV_2026Q1_2026-06-23'!$L:$L,'Tong_hop_HQNV_2026Q1_2026-06-23'!$B:$B, "="&amp;'CHECK_DT-BT'!A6, 'Tong_hop_HQNV_2026Q1_2026-06-23'!$A:$A, "="&amp;$AE$2)</f>
        <v>0</v>
      </c>
      <c r="AF6" s="7">
        <f>SUMIFS('Tong_hop_HQNV_2026Q1_2026-06-23'!$L:$L,'Tong_hop_HQNV_2026Q1_2026-06-23'!$B:$B, "="&amp;'CHECK_DT-BT'!A6, 'Tong_hop_HQNV_2026Q1_2026-06-23'!$A:$A, "="&amp;$AF$2)</f>
        <v>0</v>
      </c>
      <c r="AG6" s="7">
        <f>SUMIFS('Tong_hop_HQNV_2026Q1_2026-06-23'!$L:$L,'Tong_hop_HQNV_2026Q1_2026-06-23'!$B:$B, "="&amp;'CHECK_DT-BT'!A6, 'Tong_hop_HQNV_2026Q1_2026-06-23'!$A:$A, "="&amp;$AG$2)</f>
        <v>0</v>
      </c>
      <c r="AH6" s="7">
        <f>SUMIFS('Tong_hop_HQNV_2026Q1_2026-06-23'!$L:$L,'Tong_hop_HQNV_2026Q1_2026-06-23'!$B:$B, "="&amp;'CHECK_DT-BT'!A6, 'Tong_hop_HQNV_2026Q1_2026-06-23'!$A:$A, "="&amp;$AH$2)</f>
        <v>0</v>
      </c>
      <c r="AI6" s="7">
        <f>SUMIFS('Tong_hop_HQNV_2026Q1_2026-06-23'!$L:$L,'Tong_hop_HQNV_2026Q1_2026-06-23'!$B:$B, "="&amp;'CHECK_DT-BT'!A6, 'Tong_hop_HQNV_2026Q1_2026-06-23'!$A:$A, "="&amp;$AI$2)</f>
        <v>0</v>
      </c>
      <c r="AJ6" s="7">
        <f t="shared" si="6"/>
        <v>2275267009</v>
      </c>
      <c r="AK6" s="7">
        <f t="shared" si="7"/>
        <v>0</v>
      </c>
      <c r="AL6" s="7">
        <f>SUMIFS('HQ1'!$D:$D,'HQ1'!$A:$A, "="&amp;'CHECK_DT-BT'!C6, 'HQ1'!$B:$B, "Total")</f>
        <v>2275267009</v>
      </c>
      <c r="AM6" s="7">
        <f>SUMIFS('HQ2'!$J:$J,'HQ2'!$A:$A, "="&amp;'CHECK_DT-BT'!C6, 'HQ2'!$B:$B, "Total")</f>
        <v>0</v>
      </c>
      <c r="AN6" s="24">
        <f t="shared" si="8"/>
        <v>0</v>
      </c>
      <c r="AO6" s="24">
        <f t="shared" si="9"/>
        <v>0</v>
      </c>
    </row>
    <row r="7" spans="1:41" x14ac:dyDescent="0.25">
      <c r="A7" s="9" t="s">
        <v>287</v>
      </c>
      <c r="B7" t="s">
        <v>145</v>
      </c>
      <c r="C7" t="s">
        <v>127</v>
      </c>
      <c r="D7" s="7">
        <f>SUMIFS('Tong_hop_HQNV_2026Q1_2026-06-23'!$K:$K,'Tong_hop_HQNV_2026Q1_2026-06-23'!$A:$A,"="&amp;'CHECK_DT-BT'!$D$2,'Tong_hop_HQNV_2026Q1_2026-06-23'!$B:$B, "="&amp;'CHECK_DT-BT'!A7)</f>
        <v>453262400</v>
      </c>
      <c r="E7" s="7">
        <f>SUMIFS('Tong_hop_HQNV_2026Q1_2026-06-23'!$K:$K,'Tong_hop_HQNV_2026Q1_2026-06-23'!$A:$A,"="&amp;'CHECK_DT-BT'!$E$2,'Tong_hop_HQNV_2026Q1_2026-06-23'!$B:$B, "="&amp;'CHECK_DT-BT'!A7)</f>
        <v>18601000</v>
      </c>
      <c r="F7" s="7">
        <f>SUMIFS('Tong_hop_HQNV_2026Q1_2026-06-23'!$K:$K,'Tong_hop_HQNV_2026Q1_2026-06-23'!$A:$A,"="&amp;'CHECK_DT-BT'!$F$2,'Tong_hop_HQNV_2026Q1_2026-06-23'!$B:$B, "="&amp;'CHECK_DT-BT'!A7)</f>
        <v>860684099</v>
      </c>
      <c r="G7" s="7">
        <f>SUMIFS('Tong_hop_HQNV_2026Q1_2026-06-23'!$K:$K,'Tong_hop_HQNV_2026Q1_2026-06-23'!$A:$A,"="&amp;'CHECK_DT-BT'!$G$2,'Tong_hop_HQNV_2026Q1_2026-06-23'!$B:$B, "="&amp;'CHECK_DT-BT'!A7)</f>
        <v>52534000</v>
      </c>
      <c r="H7" s="7">
        <f>SUMIFS('Tong_hop_HQNV_2026Q1_2026-06-23'!$K:$K,'Tong_hop_HQNV_2026Q1_2026-06-23'!$A:$A,"="&amp;$H$2,'Tong_hop_HQNV_2026Q1_2026-06-23'!$B:$B, "="&amp;'CHECK_DT-BT'!A7)</f>
        <v>0</v>
      </c>
      <c r="I7" s="7">
        <f>SUMIFS('Tong_hop_HQNV_2026Q1_2026-06-23'!$K:$K,'Tong_hop_HQNV_2026Q1_2026-06-23'!$A:$A,"="&amp;$I$2,'Tong_hop_HQNV_2026Q1_2026-06-23'!$B:$B, "="&amp;'CHECK_DT-BT'!A7)</f>
        <v>0</v>
      </c>
      <c r="J7" s="7">
        <f>SUMIFS('Tong_hop_HQNV_2026Q1_2026-06-23'!$K:$K,'Tong_hop_HQNV_2026Q1_2026-06-23'!$A:$A,"="&amp;$J$2,'Tong_hop_HQNV_2026Q1_2026-06-23'!$B:$B, "="&amp;'CHECK_DT-BT'!A7)</f>
        <v>0</v>
      </c>
      <c r="K7" s="7">
        <f>SUMIFS('Tong_hop_HQNV_2026Q1_2026-06-23'!$K:$K,'Tong_hop_HQNV_2026Q1_2026-06-23'!$A:$A,"="&amp;$K$2,'Tong_hop_HQNV_2026Q1_2026-06-23'!$B:$B, "="&amp;'CHECK_DT-BT'!A7)</f>
        <v>0</v>
      </c>
      <c r="L7" s="7">
        <f>SUMIFS('Tong_hop_HQNV_2026Q1_2026-06-23'!$K:$K,'Tong_hop_HQNV_2026Q1_2026-06-23'!$A:$A,"="&amp;$L$2,'Tong_hop_HQNV_2026Q1_2026-06-23'!$B:$B, "="&amp;'CHECK_DT-BT'!A7)</f>
        <v>74868947</v>
      </c>
      <c r="M7" s="7">
        <f>SUMIFS('Tong_hop_HQNV_2026Q1_2026-06-23'!$K:$K,'Tong_hop_HQNV_2026Q1_2026-06-23'!$A:$A,"="&amp;$M$2,'Tong_hop_HQNV_2026Q1_2026-06-23'!$B:$B, "="&amp;'CHECK_DT-BT'!A7)</f>
        <v>18900000</v>
      </c>
      <c r="N7" s="7">
        <f>SUMIFS('Tong_hop_HQNV_2026Q1_2026-06-23'!$K:$K,'Tong_hop_HQNV_2026Q1_2026-06-23'!$A:$A,"="&amp;$N$2,'Tong_hop_HQNV_2026Q1_2026-06-23'!$B:$B, "="&amp;'CHECK_DT-BT'!A7)</f>
        <v>0</v>
      </c>
      <c r="O7" s="7">
        <f>SUMIFS('Tong_hop_HQNV_2026Q1_2026-06-23'!$K:$K,'Tong_hop_HQNV_2026Q1_2026-06-23'!$A:$A,"="&amp;$O$2,'Tong_hop_HQNV_2026Q1_2026-06-23'!$B:$B, "="&amp;'CHECK_DT-BT'!A7)</f>
        <v>0</v>
      </c>
      <c r="P7" s="7">
        <f>SUMIFS('Tong_hop_HQNV_2026Q1_2026-06-23'!$K:$K,'Tong_hop_HQNV_2026Q1_2026-06-23'!$A:$A,"="&amp;$P$2,'Tong_hop_HQNV_2026Q1_2026-06-23'!$B:$B, "="&amp;'CHECK_DT-BT'!A7)</f>
        <v>0</v>
      </c>
      <c r="Q7" s="7">
        <f t="shared" si="2"/>
        <v>1385081499</v>
      </c>
      <c r="R7" s="7">
        <f t="shared" si="3"/>
        <v>93768947</v>
      </c>
      <c r="S7" s="7">
        <f>SUMIFS('HQ1'!$C:$C,'HQ1'!$A:$A, "="&amp;'CHECK_DT-BT'!C7, 'HQ1'!$B:$B, "Total")</f>
        <v>1385081499</v>
      </c>
      <c r="T7" s="7">
        <f>SUMIFS('HQ2'!$C:$C,'HQ2'!$A:$A, "="&amp;'CHECK_DT-BT'!C7, 'HQ2'!$B:$B, "Total")</f>
        <v>93768947</v>
      </c>
      <c r="U7" s="7">
        <f t="shared" si="4"/>
        <v>0</v>
      </c>
      <c r="V7" s="7">
        <f t="shared" si="5"/>
        <v>0</v>
      </c>
      <c r="W7" s="23">
        <f>SUMIFS('Tong_hop_HQNV_2026Q1_2026-06-23'!$L:$L,'Tong_hop_HQNV_2026Q1_2026-06-23'!$B:$B, "="&amp;'CHECK_DT-BT'!A7, 'Tong_hop_HQNV_2026Q1_2026-06-23'!$A:$A, "="&amp;'CHECK_DT-BT'!$W$2)</f>
        <v>451485810</v>
      </c>
      <c r="X7" s="7">
        <f>SUMIFS('Tong_hop_HQNV_2026Q1_2026-06-23'!$L:$L,'Tong_hop_HQNV_2026Q1_2026-06-23'!$B:$B, "="&amp;'CHECK_DT-BT'!A7, 'Tong_hop_HQNV_2026Q1_2026-06-23'!$A:$A, "="&amp;'CHECK_DT-BT'!$X$2)</f>
        <v>0</v>
      </c>
      <c r="Y7" s="7">
        <f>SUMIFS('Tong_hop_HQNV_2026Q1_2026-06-23'!$L:$L,'Tong_hop_HQNV_2026Q1_2026-06-23'!$B:$B, "="&amp;'CHECK_DT-BT'!A7, 'Tong_hop_HQNV_2026Q1_2026-06-23'!$A:$A, "="&amp;'CHECK_DT-BT'!$Y$2)</f>
        <v>18126707</v>
      </c>
      <c r="Z7" s="7">
        <f>SUMIFS('Tong_hop_HQNV_2026Q1_2026-06-23'!$L:$L,'Tong_hop_HQNV_2026Q1_2026-06-23'!$B:$B, "="&amp;'CHECK_DT-BT'!A7, 'Tong_hop_HQNV_2026Q1_2026-06-23'!$A:$A, "="&amp;'CHECK_DT-BT'!$Z$2)</f>
        <v>0</v>
      </c>
      <c r="AA7" s="7">
        <f>SUMIFS('Tong_hop_HQNV_2026Q1_2026-06-23'!$L:$L,'Tong_hop_HQNV_2026Q1_2026-06-23'!$B:$B, "="&amp;'CHECK_DT-BT'!A7, 'Tong_hop_HQNV_2026Q1_2026-06-23'!$A:$A, "="&amp;$AA$2)</f>
        <v>0</v>
      </c>
      <c r="AB7" s="7">
        <f>SUMIFS('Tong_hop_HQNV_2026Q1_2026-06-23'!$L:$L,'Tong_hop_HQNV_2026Q1_2026-06-23'!$B:$B, "="&amp;'CHECK_DT-BT'!A7, 'Tong_hop_HQNV_2026Q1_2026-06-23'!$A:$A, "="&amp;$AB$2)</f>
        <v>0</v>
      </c>
      <c r="AC7" s="7">
        <f>SUMIFS('Tong_hop_HQNV_2026Q1_2026-06-23'!$L:$L,'Tong_hop_HQNV_2026Q1_2026-06-23'!$B:$B, "="&amp;'CHECK_DT-BT'!A7, 'Tong_hop_HQNV_2026Q1_2026-06-23'!$A:$A, "="&amp;$AC$2)</f>
        <v>0</v>
      </c>
      <c r="AD7" s="7">
        <f>SUMIFS('Tong_hop_HQNV_2026Q1_2026-06-23'!$L:$L,'Tong_hop_HQNV_2026Q1_2026-06-23'!$B:$B, "="&amp;'CHECK_DT-BT'!A7, 'Tong_hop_HQNV_2026Q1_2026-06-23'!$A:$A, "="&amp;$AD$2)</f>
        <v>0</v>
      </c>
      <c r="AE7" s="7">
        <f>SUMIFS('Tong_hop_HQNV_2026Q1_2026-06-23'!$L:$L,'Tong_hop_HQNV_2026Q1_2026-06-23'!$B:$B, "="&amp;'CHECK_DT-BT'!A7, 'Tong_hop_HQNV_2026Q1_2026-06-23'!$A:$A, "="&amp;$AE$2)</f>
        <v>0</v>
      </c>
      <c r="AF7" s="7">
        <f>SUMIFS('Tong_hop_HQNV_2026Q1_2026-06-23'!$L:$L,'Tong_hop_HQNV_2026Q1_2026-06-23'!$B:$B, "="&amp;'CHECK_DT-BT'!A7, 'Tong_hop_HQNV_2026Q1_2026-06-23'!$A:$A, "="&amp;$AF$2)</f>
        <v>0</v>
      </c>
      <c r="AG7" s="7">
        <f>SUMIFS('Tong_hop_HQNV_2026Q1_2026-06-23'!$L:$L,'Tong_hop_HQNV_2026Q1_2026-06-23'!$B:$B, "="&amp;'CHECK_DT-BT'!A7, 'Tong_hop_HQNV_2026Q1_2026-06-23'!$A:$A, "="&amp;$AG$2)</f>
        <v>1200000</v>
      </c>
      <c r="AH7" s="7">
        <f>SUMIFS('Tong_hop_HQNV_2026Q1_2026-06-23'!$L:$L,'Tong_hop_HQNV_2026Q1_2026-06-23'!$B:$B, "="&amp;'CHECK_DT-BT'!A7, 'Tong_hop_HQNV_2026Q1_2026-06-23'!$A:$A, "="&amp;$AH$2)</f>
        <v>0</v>
      </c>
      <c r="AI7" s="7">
        <f>SUMIFS('Tong_hop_HQNV_2026Q1_2026-06-23'!$L:$L,'Tong_hop_HQNV_2026Q1_2026-06-23'!$B:$B, "="&amp;'CHECK_DT-BT'!A7, 'Tong_hop_HQNV_2026Q1_2026-06-23'!$A:$A, "="&amp;$AI$2)</f>
        <v>0</v>
      </c>
      <c r="AJ7" s="7">
        <f t="shared" si="6"/>
        <v>469612517</v>
      </c>
      <c r="AK7" s="7">
        <f t="shared" si="7"/>
        <v>1200000</v>
      </c>
      <c r="AL7" s="7">
        <f>SUMIFS('HQ1'!$D:$D,'HQ1'!$A:$A, "="&amp;'CHECK_DT-BT'!C7, 'HQ1'!$B:$B, "Total")</f>
        <v>469612517</v>
      </c>
      <c r="AM7" s="7">
        <f>SUMIFS('HQ2'!$J:$J,'HQ2'!$A:$A, "="&amp;'CHECK_DT-BT'!C7, 'HQ2'!$B:$B, "Total")</f>
        <v>1200000</v>
      </c>
      <c r="AN7" s="24">
        <f t="shared" si="8"/>
        <v>0</v>
      </c>
      <c r="AO7" s="24">
        <f t="shared" si="9"/>
        <v>0</v>
      </c>
    </row>
    <row r="8" spans="1:41" x14ac:dyDescent="0.25">
      <c r="A8" s="9" t="s">
        <v>288</v>
      </c>
      <c r="B8" t="s">
        <v>146</v>
      </c>
      <c r="C8" t="s">
        <v>91</v>
      </c>
      <c r="D8" s="7">
        <f>SUMIFS('Tong_hop_HQNV_2026Q1_2026-06-23'!$K:$K,'Tong_hop_HQNV_2026Q1_2026-06-23'!$A:$A,"="&amp;'CHECK_DT-BT'!$D$2,'Tong_hop_HQNV_2026Q1_2026-06-23'!$B:$B, "="&amp;'CHECK_DT-BT'!A8)</f>
        <v>6257542029</v>
      </c>
      <c r="E8" s="7">
        <f>SUMIFS('Tong_hop_HQNV_2026Q1_2026-06-23'!$K:$K,'Tong_hop_HQNV_2026Q1_2026-06-23'!$A:$A,"="&amp;'CHECK_DT-BT'!$E$2,'Tong_hop_HQNV_2026Q1_2026-06-23'!$B:$B, "="&amp;'CHECK_DT-BT'!A8)</f>
        <v>89377700</v>
      </c>
      <c r="F8" s="7">
        <f>SUMIFS('Tong_hop_HQNV_2026Q1_2026-06-23'!$K:$K,'Tong_hop_HQNV_2026Q1_2026-06-23'!$A:$A,"="&amp;'CHECK_DT-BT'!$F$2,'Tong_hop_HQNV_2026Q1_2026-06-23'!$B:$B, "="&amp;'CHECK_DT-BT'!A8)</f>
        <v>7257132209</v>
      </c>
      <c r="G8" s="7">
        <f>SUMIFS('Tong_hop_HQNV_2026Q1_2026-06-23'!$K:$K,'Tong_hop_HQNV_2026Q1_2026-06-23'!$A:$A,"="&amp;'CHECK_DT-BT'!$G$2,'Tong_hop_HQNV_2026Q1_2026-06-23'!$B:$B, "="&amp;'CHECK_DT-BT'!A8)</f>
        <v>529788964</v>
      </c>
      <c r="H8" s="7">
        <f>SUMIFS('Tong_hop_HQNV_2026Q1_2026-06-23'!$K:$K,'Tong_hop_HQNV_2026Q1_2026-06-23'!$A:$A,"="&amp;$H$2,'Tong_hop_HQNV_2026Q1_2026-06-23'!$B:$B, "="&amp;'CHECK_DT-BT'!A8)</f>
        <v>127182287</v>
      </c>
      <c r="I8" s="7">
        <f>SUMIFS('Tong_hop_HQNV_2026Q1_2026-06-23'!$K:$K,'Tong_hop_HQNV_2026Q1_2026-06-23'!$A:$A,"="&amp;$I$2,'Tong_hop_HQNV_2026Q1_2026-06-23'!$B:$B, "="&amp;'CHECK_DT-BT'!A8)</f>
        <v>0</v>
      </c>
      <c r="J8" s="7">
        <f>SUMIFS('Tong_hop_HQNV_2026Q1_2026-06-23'!$K:$K,'Tong_hop_HQNV_2026Q1_2026-06-23'!$A:$A,"="&amp;$J$2,'Tong_hop_HQNV_2026Q1_2026-06-23'!$B:$B, "="&amp;'CHECK_DT-BT'!A8)</f>
        <v>0</v>
      </c>
      <c r="K8" s="7">
        <f>SUMIFS('Tong_hop_HQNV_2026Q1_2026-06-23'!$K:$K,'Tong_hop_HQNV_2026Q1_2026-06-23'!$A:$A,"="&amp;$K$2,'Tong_hop_HQNV_2026Q1_2026-06-23'!$B:$B, "="&amp;'CHECK_DT-BT'!A8)</f>
        <v>27750000</v>
      </c>
      <c r="L8" s="7">
        <f>SUMIFS('Tong_hop_HQNV_2026Q1_2026-06-23'!$K:$K,'Tong_hop_HQNV_2026Q1_2026-06-23'!$A:$A,"="&amp;$L$2,'Tong_hop_HQNV_2026Q1_2026-06-23'!$B:$B, "="&amp;'CHECK_DT-BT'!A8)</f>
        <v>2473807097</v>
      </c>
      <c r="M8" s="7">
        <f>SUMIFS('Tong_hop_HQNV_2026Q1_2026-06-23'!$K:$K,'Tong_hop_HQNV_2026Q1_2026-06-23'!$A:$A,"="&amp;$M$2,'Tong_hop_HQNV_2026Q1_2026-06-23'!$B:$B, "="&amp;'CHECK_DT-BT'!A8)</f>
        <v>232978796</v>
      </c>
      <c r="N8" s="7">
        <f>SUMIFS('Tong_hop_HQNV_2026Q1_2026-06-23'!$K:$K,'Tong_hop_HQNV_2026Q1_2026-06-23'!$A:$A,"="&amp;$N$2,'Tong_hop_HQNV_2026Q1_2026-06-23'!$B:$B, "="&amp;'CHECK_DT-BT'!A8)</f>
        <v>0</v>
      </c>
      <c r="O8" s="7">
        <f>SUMIFS('Tong_hop_HQNV_2026Q1_2026-06-23'!$K:$K,'Tong_hop_HQNV_2026Q1_2026-06-23'!$A:$A,"="&amp;$O$2,'Tong_hop_HQNV_2026Q1_2026-06-23'!$B:$B, "="&amp;'CHECK_DT-BT'!A8)</f>
        <v>0</v>
      </c>
      <c r="P8" s="7">
        <f>SUMIFS('Tong_hop_HQNV_2026Q1_2026-06-23'!$K:$K,'Tong_hop_HQNV_2026Q1_2026-06-23'!$A:$A,"="&amp;$P$2,'Tong_hop_HQNV_2026Q1_2026-06-23'!$B:$B, "="&amp;'CHECK_DT-BT'!A8)</f>
        <v>0</v>
      </c>
      <c r="Q8" s="7">
        <f t="shared" si="2"/>
        <v>14133840902</v>
      </c>
      <c r="R8" s="7">
        <f t="shared" si="3"/>
        <v>2861718180</v>
      </c>
      <c r="S8" s="7">
        <f>SUMIFS('HQ1'!$C:$C,'HQ1'!$A:$A, "="&amp;'CHECK_DT-BT'!C8, 'HQ1'!$B:$B, "Total")</f>
        <v>14133840902</v>
      </c>
      <c r="T8" s="7">
        <f>SUMIFS('HQ2'!$C:$C,'HQ2'!$A:$A, "="&amp;'CHECK_DT-BT'!C8, 'HQ2'!$B:$B, "Total")</f>
        <v>2861718180</v>
      </c>
      <c r="U8" s="7">
        <f t="shared" si="4"/>
        <v>0</v>
      </c>
      <c r="V8" s="7">
        <f t="shared" si="5"/>
        <v>0</v>
      </c>
      <c r="W8" s="23">
        <f>SUMIFS('Tong_hop_HQNV_2026Q1_2026-06-23'!$L:$L,'Tong_hop_HQNV_2026Q1_2026-06-23'!$B:$B, "="&amp;'CHECK_DT-BT'!A8, 'Tong_hop_HQNV_2026Q1_2026-06-23'!$A:$A, "="&amp;'CHECK_DT-BT'!$W$2)</f>
        <v>4869786700</v>
      </c>
      <c r="X8" s="7">
        <f>SUMIFS('Tong_hop_HQNV_2026Q1_2026-06-23'!$L:$L,'Tong_hop_HQNV_2026Q1_2026-06-23'!$B:$B, "="&amp;'CHECK_DT-BT'!A8, 'Tong_hop_HQNV_2026Q1_2026-06-23'!$A:$A, "="&amp;'CHECK_DT-BT'!$X$2)</f>
        <v>0</v>
      </c>
      <c r="Y8" s="7">
        <f>SUMIFS('Tong_hop_HQNV_2026Q1_2026-06-23'!$L:$L,'Tong_hop_HQNV_2026Q1_2026-06-23'!$B:$B, "="&amp;'CHECK_DT-BT'!A8, 'Tong_hop_HQNV_2026Q1_2026-06-23'!$A:$A, "="&amp;'CHECK_DT-BT'!$Y$2)</f>
        <v>1639551006</v>
      </c>
      <c r="Z8" s="7">
        <f>SUMIFS('Tong_hop_HQNV_2026Q1_2026-06-23'!$L:$L,'Tong_hop_HQNV_2026Q1_2026-06-23'!$B:$B, "="&amp;'CHECK_DT-BT'!A8, 'Tong_hop_HQNV_2026Q1_2026-06-23'!$A:$A, "="&amp;'CHECK_DT-BT'!$Z$2)</f>
        <v>219822987</v>
      </c>
      <c r="AA8" s="7">
        <f>SUMIFS('Tong_hop_HQNV_2026Q1_2026-06-23'!$L:$L,'Tong_hop_HQNV_2026Q1_2026-06-23'!$B:$B, "="&amp;'CHECK_DT-BT'!A8, 'Tong_hop_HQNV_2026Q1_2026-06-23'!$A:$A, "="&amp;$AA$2)</f>
        <v>0</v>
      </c>
      <c r="AB8" s="7">
        <f>SUMIFS('Tong_hop_HQNV_2026Q1_2026-06-23'!$L:$L,'Tong_hop_HQNV_2026Q1_2026-06-23'!$B:$B, "="&amp;'CHECK_DT-BT'!A8, 'Tong_hop_HQNV_2026Q1_2026-06-23'!$A:$A, "="&amp;$AB$2)</f>
        <v>0</v>
      </c>
      <c r="AC8" s="7">
        <f>SUMIFS('Tong_hop_HQNV_2026Q1_2026-06-23'!$L:$L,'Tong_hop_HQNV_2026Q1_2026-06-23'!$B:$B, "="&amp;'CHECK_DT-BT'!A8, 'Tong_hop_HQNV_2026Q1_2026-06-23'!$A:$A, "="&amp;$AC$2)</f>
        <v>0</v>
      </c>
      <c r="AD8" s="7">
        <f>SUMIFS('Tong_hop_HQNV_2026Q1_2026-06-23'!$L:$L,'Tong_hop_HQNV_2026Q1_2026-06-23'!$B:$B, "="&amp;'CHECK_DT-BT'!A8, 'Tong_hop_HQNV_2026Q1_2026-06-23'!$A:$A, "="&amp;$AD$2)</f>
        <v>0</v>
      </c>
      <c r="AE8" s="7">
        <f>SUMIFS('Tong_hop_HQNV_2026Q1_2026-06-23'!$L:$L,'Tong_hop_HQNV_2026Q1_2026-06-23'!$B:$B, "="&amp;'CHECK_DT-BT'!A8, 'Tong_hop_HQNV_2026Q1_2026-06-23'!$A:$A, "="&amp;$AE$2)</f>
        <v>0</v>
      </c>
      <c r="AF8" s="7">
        <f>SUMIFS('Tong_hop_HQNV_2026Q1_2026-06-23'!$L:$L,'Tong_hop_HQNV_2026Q1_2026-06-23'!$B:$B, "="&amp;'CHECK_DT-BT'!A8, 'Tong_hop_HQNV_2026Q1_2026-06-23'!$A:$A, "="&amp;$AF$2)</f>
        <v>46949524</v>
      </c>
      <c r="AG8" s="7">
        <f>SUMIFS('Tong_hop_HQNV_2026Q1_2026-06-23'!$L:$L,'Tong_hop_HQNV_2026Q1_2026-06-23'!$B:$B, "="&amp;'CHECK_DT-BT'!A8, 'Tong_hop_HQNV_2026Q1_2026-06-23'!$A:$A, "="&amp;$AG$2)</f>
        <v>0</v>
      </c>
      <c r="AH8" s="7">
        <f>SUMIFS('Tong_hop_HQNV_2026Q1_2026-06-23'!$L:$L,'Tong_hop_HQNV_2026Q1_2026-06-23'!$B:$B, "="&amp;'CHECK_DT-BT'!A8, 'Tong_hop_HQNV_2026Q1_2026-06-23'!$A:$A, "="&amp;$AH$2)</f>
        <v>0</v>
      </c>
      <c r="AI8" s="7">
        <f>SUMIFS('Tong_hop_HQNV_2026Q1_2026-06-23'!$L:$L,'Tong_hop_HQNV_2026Q1_2026-06-23'!$B:$B, "="&amp;'CHECK_DT-BT'!A8, 'Tong_hop_HQNV_2026Q1_2026-06-23'!$A:$A, "="&amp;$AI$2)</f>
        <v>0</v>
      </c>
      <c r="AJ8" s="7">
        <f t="shared" si="6"/>
        <v>6729160693</v>
      </c>
      <c r="AK8" s="7">
        <f t="shared" si="7"/>
        <v>46949524</v>
      </c>
      <c r="AL8" s="7">
        <f>SUMIFS('HQ1'!$D:$D,'HQ1'!$A:$A, "="&amp;'CHECK_DT-BT'!C8, 'HQ1'!$B:$B, "Total")</f>
        <v>6729160693</v>
      </c>
      <c r="AM8" s="7">
        <f>SUMIFS('HQ2'!$J:$J,'HQ2'!$A:$A, "="&amp;'CHECK_DT-BT'!C8, 'HQ2'!$B:$B, "Total")</f>
        <v>46949524</v>
      </c>
      <c r="AN8" s="24">
        <f t="shared" si="8"/>
        <v>0</v>
      </c>
      <c r="AO8" s="24">
        <f t="shared" si="9"/>
        <v>0</v>
      </c>
    </row>
    <row r="9" spans="1:41" x14ac:dyDescent="0.25">
      <c r="A9" s="9" t="s">
        <v>289</v>
      </c>
      <c r="B9" t="s">
        <v>147</v>
      </c>
      <c r="C9" t="s">
        <v>123</v>
      </c>
      <c r="D9" s="7">
        <f>SUMIFS('Tong_hop_HQNV_2026Q1_2026-06-23'!$K:$K,'Tong_hop_HQNV_2026Q1_2026-06-23'!$A:$A,"="&amp;'CHECK_DT-BT'!$D$2,'Tong_hop_HQNV_2026Q1_2026-06-23'!$B:$B, "="&amp;'CHECK_DT-BT'!A9)</f>
        <v>593082550</v>
      </c>
      <c r="E9" s="7">
        <f>SUMIFS('Tong_hop_HQNV_2026Q1_2026-06-23'!$K:$K,'Tong_hop_HQNV_2026Q1_2026-06-23'!$A:$A,"="&amp;'CHECK_DT-BT'!$E$2,'Tong_hop_HQNV_2026Q1_2026-06-23'!$B:$B, "="&amp;'CHECK_DT-BT'!A9)</f>
        <v>329586840</v>
      </c>
      <c r="F9" s="7">
        <f>SUMIFS('Tong_hop_HQNV_2026Q1_2026-06-23'!$K:$K,'Tong_hop_HQNV_2026Q1_2026-06-23'!$A:$A,"="&amp;'CHECK_DT-BT'!$F$2,'Tong_hop_HQNV_2026Q1_2026-06-23'!$B:$B, "="&amp;'CHECK_DT-BT'!A9)</f>
        <v>3558196380</v>
      </c>
      <c r="G9" s="7">
        <f>SUMIFS('Tong_hop_HQNV_2026Q1_2026-06-23'!$K:$K,'Tong_hop_HQNV_2026Q1_2026-06-23'!$A:$A,"="&amp;'CHECK_DT-BT'!$G$2,'Tong_hop_HQNV_2026Q1_2026-06-23'!$B:$B, "="&amp;'CHECK_DT-BT'!A9)</f>
        <v>506810928</v>
      </c>
      <c r="H9" s="7">
        <f>SUMIFS('Tong_hop_HQNV_2026Q1_2026-06-23'!$K:$K,'Tong_hop_HQNV_2026Q1_2026-06-23'!$A:$A,"="&amp;$H$2,'Tong_hop_HQNV_2026Q1_2026-06-23'!$B:$B, "="&amp;'CHECK_DT-BT'!A9)</f>
        <v>19599995</v>
      </c>
      <c r="I9" s="7">
        <f>SUMIFS('Tong_hop_HQNV_2026Q1_2026-06-23'!$K:$K,'Tong_hop_HQNV_2026Q1_2026-06-23'!$A:$A,"="&amp;$I$2,'Tong_hop_HQNV_2026Q1_2026-06-23'!$B:$B, "="&amp;'CHECK_DT-BT'!A9)</f>
        <v>0</v>
      </c>
      <c r="J9" s="7">
        <f>SUMIFS('Tong_hop_HQNV_2026Q1_2026-06-23'!$K:$K,'Tong_hop_HQNV_2026Q1_2026-06-23'!$A:$A,"="&amp;$J$2,'Tong_hop_HQNV_2026Q1_2026-06-23'!$B:$B, "="&amp;'CHECK_DT-BT'!A9)</f>
        <v>0</v>
      </c>
      <c r="K9" s="7">
        <f>SUMIFS('Tong_hop_HQNV_2026Q1_2026-06-23'!$K:$K,'Tong_hop_HQNV_2026Q1_2026-06-23'!$A:$A,"="&amp;$K$2,'Tong_hop_HQNV_2026Q1_2026-06-23'!$B:$B, "="&amp;'CHECK_DT-BT'!A9)</f>
        <v>54918125</v>
      </c>
      <c r="L9" s="7">
        <f>SUMIFS('Tong_hop_HQNV_2026Q1_2026-06-23'!$K:$K,'Tong_hop_HQNV_2026Q1_2026-06-23'!$A:$A,"="&amp;$L$2,'Tong_hop_HQNV_2026Q1_2026-06-23'!$B:$B, "="&amp;'CHECK_DT-BT'!A9)</f>
        <v>290131567</v>
      </c>
      <c r="M9" s="7">
        <f>SUMIFS('Tong_hop_HQNV_2026Q1_2026-06-23'!$K:$K,'Tong_hop_HQNV_2026Q1_2026-06-23'!$A:$A,"="&amp;$M$2,'Tong_hop_HQNV_2026Q1_2026-06-23'!$B:$B, "="&amp;'CHECK_DT-BT'!A9)</f>
        <v>0</v>
      </c>
      <c r="N9" s="7">
        <f>SUMIFS('Tong_hop_HQNV_2026Q1_2026-06-23'!$K:$K,'Tong_hop_HQNV_2026Q1_2026-06-23'!$A:$A,"="&amp;$N$2,'Tong_hop_HQNV_2026Q1_2026-06-23'!$B:$B, "="&amp;'CHECK_DT-BT'!A9)</f>
        <v>3000000</v>
      </c>
      <c r="O9" s="7">
        <f>SUMIFS('Tong_hop_HQNV_2026Q1_2026-06-23'!$K:$K,'Tong_hop_HQNV_2026Q1_2026-06-23'!$A:$A,"="&amp;$O$2,'Tong_hop_HQNV_2026Q1_2026-06-23'!$B:$B, "="&amp;'CHECK_DT-BT'!A9)</f>
        <v>0</v>
      </c>
      <c r="P9" s="7">
        <f>SUMIFS('Tong_hop_HQNV_2026Q1_2026-06-23'!$K:$K,'Tong_hop_HQNV_2026Q1_2026-06-23'!$A:$A,"="&amp;$P$2,'Tong_hop_HQNV_2026Q1_2026-06-23'!$B:$B, "="&amp;'CHECK_DT-BT'!A9)</f>
        <v>0</v>
      </c>
      <c r="Q9" s="7">
        <f t="shared" si="2"/>
        <v>4987676698</v>
      </c>
      <c r="R9" s="7">
        <f t="shared" si="3"/>
        <v>367649687</v>
      </c>
      <c r="S9" s="7">
        <f>SUMIFS('HQ1'!$C:$C,'HQ1'!$A:$A, "="&amp;'CHECK_DT-BT'!C9, 'HQ1'!$B:$B, "Total")</f>
        <v>4987676698</v>
      </c>
      <c r="T9" s="7">
        <f>SUMIFS('HQ2'!$C:$C,'HQ2'!$A:$A, "="&amp;'CHECK_DT-BT'!C9, 'HQ2'!$B:$B, "Total")</f>
        <v>367649687</v>
      </c>
      <c r="U9" s="7">
        <f t="shared" si="4"/>
        <v>0</v>
      </c>
      <c r="V9" s="7">
        <f t="shared" si="5"/>
        <v>0</v>
      </c>
      <c r="W9" s="23">
        <f>SUMIFS('Tong_hop_HQNV_2026Q1_2026-06-23'!$L:$L,'Tong_hop_HQNV_2026Q1_2026-06-23'!$B:$B, "="&amp;'CHECK_DT-BT'!A9, 'Tong_hop_HQNV_2026Q1_2026-06-23'!$A:$A, "="&amp;'CHECK_DT-BT'!$W$2)</f>
        <v>734299300</v>
      </c>
      <c r="X9" s="7">
        <f>SUMIFS('Tong_hop_HQNV_2026Q1_2026-06-23'!$L:$L,'Tong_hop_HQNV_2026Q1_2026-06-23'!$B:$B, "="&amp;'CHECK_DT-BT'!A9, 'Tong_hop_HQNV_2026Q1_2026-06-23'!$A:$A, "="&amp;'CHECK_DT-BT'!$X$2)</f>
        <v>0</v>
      </c>
      <c r="Y9" s="7">
        <f>SUMIFS('Tong_hop_HQNV_2026Q1_2026-06-23'!$L:$L,'Tong_hop_HQNV_2026Q1_2026-06-23'!$B:$B, "="&amp;'CHECK_DT-BT'!A9, 'Tong_hop_HQNV_2026Q1_2026-06-23'!$A:$A, "="&amp;'CHECK_DT-BT'!$Y$2)</f>
        <v>1351470260</v>
      </c>
      <c r="Z9" s="7">
        <f>SUMIFS('Tong_hop_HQNV_2026Q1_2026-06-23'!$L:$L,'Tong_hop_HQNV_2026Q1_2026-06-23'!$B:$B, "="&amp;'CHECK_DT-BT'!A9, 'Tong_hop_HQNV_2026Q1_2026-06-23'!$A:$A, "="&amp;'CHECK_DT-BT'!$Z$2)</f>
        <v>39018447</v>
      </c>
      <c r="AA9" s="7">
        <f>SUMIFS('Tong_hop_HQNV_2026Q1_2026-06-23'!$L:$L,'Tong_hop_HQNV_2026Q1_2026-06-23'!$B:$B, "="&amp;'CHECK_DT-BT'!A9, 'Tong_hop_HQNV_2026Q1_2026-06-23'!$A:$A, "="&amp;$AA$2)</f>
        <v>0</v>
      </c>
      <c r="AB9" s="7">
        <f>SUMIFS('Tong_hop_HQNV_2026Q1_2026-06-23'!$L:$L,'Tong_hop_HQNV_2026Q1_2026-06-23'!$B:$B, "="&amp;'CHECK_DT-BT'!A9, 'Tong_hop_HQNV_2026Q1_2026-06-23'!$A:$A, "="&amp;$AB$2)</f>
        <v>0</v>
      </c>
      <c r="AC9" s="7">
        <f>SUMIFS('Tong_hop_HQNV_2026Q1_2026-06-23'!$L:$L,'Tong_hop_HQNV_2026Q1_2026-06-23'!$B:$B, "="&amp;'CHECK_DT-BT'!A9, 'Tong_hop_HQNV_2026Q1_2026-06-23'!$A:$A, "="&amp;$AC$2)</f>
        <v>0</v>
      </c>
      <c r="AD9" s="7">
        <f>SUMIFS('Tong_hop_HQNV_2026Q1_2026-06-23'!$L:$L,'Tong_hop_HQNV_2026Q1_2026-06-23'!$B:$B, "="&amp;'CHECK_DT-BT'!A9, 'Tong_hop_HQNV_2026Q1_2026-06-23'!$A:$A, "="&amp;$AD$2)</f>
        <v>0</v>
      </c>
      <c r="AE9" s="7">
        <f>SUMIFS('Tong_hop_HQNV_2026Q1_2026-06-23'!$L:$L,'Tong_hop_HQNV_2026Q1_2026-06-23'!$B:$B, "="&amp;'CHECK_DT-BT'!A9, 'Tong_hop_HQNV_2026Q1_2026-06-23'!$A:$A, "="&amp;$AE$2)</f>
        <v>113895291</v>
      </c>
      <c r="AF9" s="7">
        <f>SUMIFS('Tong_hop_HQNV_2026Q1_2026-06-23'!$L:$L,'Tong_hop_HQNV_2026Q1_2026-06-23'!$B:$B, "="&amp;'CHECK_DT-BT'!A9, 'Tong_hop_HQNV_2026Q1_2026-06-23'!$A:$A, "="&amp;$AF$2)</f>
        <v>0</v>
      </c>
      <c r="AG9" s="7">
        <f>SUMIFS('Tong_hop_HQNV_2026Q1_2026-06-23'!$L:$L,'Tong_hop_HQNV_2026Q1_2026-06-23'!$B:$B, "="&amp;'CHECK_DT-BT'!A9, 'Tong_hop_HQNV_2026Q1_2026-06-23'!$A:$A, "="&amp;$AG$2)</f>
        <v>0</v>
      </c>
      <c r="AH9" s="7">
        <f>SUMIFS('Tong_hop_HQNV_2026Q1_2026-06-23'!$L:$L,'Tong_hop_HQNV_2026Q1_2026-06-23'!$B:$B, "="&amp;'CHECK_DT-BT'!A9, 'Tong_hop_HQNV_2026Q1_2026-06-23'!$A:$A, "="&amp;$AH$2)</f>
        <v>0</v>
      </c>
      <c r="AI9" s="7">
        <f>SUMIFS('Tong_hop_HQNV_2026Q1_2026-06-23'!$L:$L,'Tong_hop_HQNV_2026Q1_2026-06-23'!$B:$B, "="&amp;'CHECK_DT-BT'!A9, 'Tong_hop_HQNV_2026Q1_2026-06-23'!$A:$A, "="&amp;$AI$2)</f>
        <v>0</v>
      </c>
      <c r="AJ9" s="7">
        <f t="shared" si="6"/>
        <v>2124788007</v>
      </c>
      <c r="AK9" s="7">
        <f t="shared" si="7"/>
        <v>113895291</v>
      </c>
      <c r="AL9" s="7">
        <f>SUMIFS('HQ1'!$D:$D,'HQ1'!$A:$A, "="&amp;'CHECK_DT-BT'!C9, 'HQ1'!$B:$B, "Total")</f>
        <v>2124788007</v>
      </c>
      <c r="AM9" s="7">
        <f>SUMIFS('HQ2'!$J:$J,'HQ2'!$A:$A, "="&amp;'CHECK_DT-BT'!C9, 'HQ2'!$B:$B, "Total")</f>
        <v>113895291</v>
      </c>
      <c r="AN9" s="24">
        <f t="shared" si="8"/>
        <v>0</v>
      </c>
      <c r="AO9" s="24">
        <f t="shared" si="9"/>
        <v>0</v>
      </c>
    </row>
    <row r="10" spans="1:41" x14ac:dyDescent="0.25">
      <c r="A10" s="9" t="s">
        <v>290</v>
      </c>
      <c r="B10" t="s">
        <v>148</v>
      </c>
      <c r="C10" t="s">
        <v>49</v>
      </c>
      <c r="D10" s="7">
        <f>SUMIFS('Tong_hop_HQNV_2026Q1_2026-06-23'!$K:$K,'Tong_hop_HQNV_2026Q1_2026-06-23'!$A:$A,"="&amp;'CHECK_DT-BT'!$D$2,'Tong_hop_HQNV_2026Q1_2026-06-23'!$B:$B, "="&amp;'CHECK_DT-BT'!A10)</f>
        <v>2901313612</v>
      </c>
      <c r="E10" s="7">
        <f>SUMIFS('Tong_hop_HQNV_2026Q1_2026-06-23'!$K:$K,'Tong_hop_HQNV_2026Q1_2026-06-23'!$A:$A,"="&amp;'CHECK_DT-BT'!$E$2,'Tong_hop_HQNV_2026Q1_2026-06-23'!$B:$B, "="&amp;'CHECK_DT-BT'!A10)</f>
        <v>91247000</v>
      </c>
      <c r="F10" s="7">
        <f>SUMIFS('Tong_hop_HQNV_2026Q1_2026-06-23'!$K:$K,'Tong_hop_HQNV_2026Q1_2026-06-23'!$A:$A,"="&amp;'CHECK_DT-BT'!$F$2,'Tong_hop_HQNV_2026Q1_2026-06-23'!$B:$B, "="&amp;'CHECK_DT-BT'!A10)</f>
        <v>7380521197</v>
      </c>
      <c r="G10" s="7">
        <f>SUMIFS('Tong_hop_HQNV_2026Q1_2026-06-23'!$K:$K,'Tong_hop_HQNV_2026Q1_2026-06-23'!$A:$A,"="&amp;'CHECK_DT-BT'!$G$2,'Tong_hop_HQNV_2026Q1_2026-06-23'!$B:$B, "="&amp;'CHECK_DT-BT'!A10)</f>
        <v>2019730320</v>
      </c>
      <c r="H10" s="7">
        <f>SUMIFS('Tong_hop_HQNV_2026Q1_2026-06-23'!$K:$K,'Tong_hop_HQNV_2026Q1_2026-06-23'!$A:$A,"="&amp;$H$2,'Tong_hop_HQNV_2026Q1_2026-06-23'!$B:$B, "="&amp;'CHECK_DT-BT'!A10)</f>
        <v>595859015</v>
      </c>
      <c r="I10" s="7">
        <f>SUMIFS('Tong_hop_HQNV_2026Q1_2026-06-23'!$K:$K,'Tong_hop_HQNV_2026Q1_2026-06-23'!$A:$A,"="&amp;$I$2,'Tong_hop_HQNV_2026Q1_2026-06-23'!$B:$B, "="&amp;'CHECK_DT-BT'!A10)</f>
        <v>0</v>
      </c>
      <c r="J10" s="7">
        <f>SUMIFS('Tong_hop_HQNV_2026Q1_2026-06-23'!$K:$K,'Tong_hop_HQNV_2026Q1_2026-06-23'!$A:$A,"="&amp;$J$2,'Tong_hop_HQNV_2026Q1_2026-06-23'!$B:$B, "="&amp;'CHECK_DT-BT'!A10)</f>
        <v>0</v>
      </c>
      <c r="K10" s="7">
        <f>SUMIFS('Tong_hop_HQNV_2026Q1_2026-06-23'!$K:$K,'Tong_hop_HQNV_2026Q1_2026-06-23'!$A:$A,"="&amp;$K$2,'Tong_hop_HQNV_2026Q1_2026-06-23'!$B:$B, "="&amp;'CHECK_DT-BT'!A10)</f>
        <v>353877767</v>
      </c>
      <c r="L10" s="7">
        <f>SUMIFS('Tong_hop_HQNV_2026Q1_2026-06-23'!$K:$K,'Tong_hop_HQNV_2026Q1_2026-06-23'!$A:$A,"="&amp;$L$2,'Tong_hop_HQNV_2026Q1_2026-06-23'!$B:$B, "="&amp;'CHECK_DT-BT'!A10)</f>
        <v>24857019668</v>
      </c>
      <c r="M10" s="7">
        <f>SUMIFS('Tong_hop_HQNV_2026Q1_2026-06-23'!$K:$K,'Tong_hop_HQNV_2026Q1_2026-06-23'!$A:$A,"="&amp;$M$2,'Tong_hop_HQNV_2026Q1_2026-06-23'!$B:$B, "="&amp;'CHECK_DT-BT'!A10)</f>
        <v>671674448</v>
      </c>
      <c r="N10" s="7">
        <f>SUMIFS('Tong_hop_HQNV_2026Q1_2026-06-23'!$K:$K,'Tong_hop_HQNV_2026Q1_2026-06-23'!$A:$A,"="&amp;$N$2,'Tong_hop_HQNV_2026Q1_2026-06-23'!$B:$B, "="&amp;'CHECK_DT-BT'!A10)</f>
        <v>60260800</v>
      </c>
      <c r="O10" s="7">
        <f>SUMIFS('Tong_hop_HQNV_2026Q1_2026-06-23'!$K:$K,'Tong_hop_HQNV_2026Q1_2026-06-23'!$A:$A,"="&amp;$O$2,'Tong_hop_HQNV_2026Q1_2026-06-23'!$B:$B, "="&amp;'CHECK_DT-BT'!A10)</f>
        <v>0</v>
      </c>
      <c r="P10" s="7">
        <f>SUMIFS('Tong_hop_HQNV_2026Q1_2026-06-23'!$K:$K,'Tong_hop_HQNV_2026Q1_2026-06-23'!$A:$A,"="&amp;$P$2,'Tong_hop_HQNV_2026Q1_2026-06-23'!$B:$B, "="&amp;'CHECK_DT-BT'!A10)</f>
        <v>0</v>
      </c>
      <c r="Q10" s="7">
        <f t="shared" si="2"/>
        <v>12392812129</v>
      </c>
      <c r="R10" s="7">
        <f t="shared" si="3"/>
        <v>26538691698</v>
      </c>
      <c r="S10" s="7">
        <f>SUMIFS('HQ1'!$C:$C,'HQ1'!$A:$A, "="&amp;'CHECK_DT-BT'!C10, 'HQ1'!$B:$B, "Total")</f>
        <v>12392812129</v>
      </c>
      <c r="T10" s="7">
        <f>SUMIFS('HQ2'!$C:$C,'HQ2'!$A:$A, "="&amp;'CHECK_DT-BT'!C10, 'HQ2'!$B:$B, "Total")</f>
        <v>26537418198</v>
      </c>
      <c r="U10" s="7">
        <f t="shared" si="4"/>
        <v>0</v>
      </c>
      <c r="V10" s="7">
        <f t="shared" si="5"/>
        <v>1273500</v>
      </c>
      <c r="W10" s="23">
        <f>SUMIFS('Tong_hop_HQNV_2026Q1_2026-06-23'!$L:$L,'Tong_hop_HQNV_2026Q1_2026-06-23'!$B:$B, "="&amp;'CHECK_DT-BT'!A10, 'Tong_hop_HQNV_2026Q1_2026-06-23'!$A:$A, "="&amp;'CHECK_DT-BT'!$W$2)</f>
        <v>4072420811</v>
      </c>
      <c r="X10" s="7">
        <f>SUMIFS('Tong_hop_HQNV_2026Q1_2026-06-23'!$L:$L,'Tong_hop_HQNV_2026Q1_2026-06-23'!$B:$B, "="&amp;'CHECK_DT-BT'!A10, 'Tong_hop_HQNV_2026Q1_2026-06-23'!$A:$A, "="&amp;'CHECK_DT-BT'!$X$2)</f>
        <v>0</v>
      </c>
      <c r="Y10" s="7">
        <f>SUMIFS('Tong_hop_HQNV_2026Q1_2026-06-23'!$L:$L,'Tong_hop_HQNV_2026Q1_2026-06-23'!$B:$B, "="&amp;'CHECK_DT-BT'!A10, 'Tong_hop_HQNV_2026Q1_2026-06-23'!$A:$A, "="&amp;'CHECK_DT-BT'!$Y$2)</f>
        <v>3107539082</v>
      </c>
      <c r="Z10" s="7">
        <f>SUMIFS('Tong_hop_HQNV_2026Q1_2026-06-23'!$L:$L,'Tong_hop_HQNV_2026Q1_2026-06-23'!$B:$B, "="&amp;'CHECK_DT-BT'!A10, 'Tong_hop_HQNV_2026Q1_2026-06-23'!$A:$A, "="&amp;'CHECK_DT-BT'!$Z$2)</f>
        <v>499781379</v>
      </c>
      <c r="AA10" s="7">
        <f>SUMIFS('Tong_hop_HQNV_2026Q1_2026-06-23'!$L:$L,'Tong_hop_HQNV_2026Q1_2026-06-23'!$B:$B, "="&amp;'CHECK_DT-BT'!A10, 'Tong_hop_HQNV_2026Q1_2026-06-23'!$A:$A, "="&amp;$AA$2)</f>
        <v>124873705</v>
      </c>
      <c r="AB10" s="7">
        <f>SUMIFS('Tong_hop_HQNV_2026Q1_2026-06-23'!$L:$L,'Tong_hop_HQNV_2026Q1_2026-06-23'!$B:$B, "="&amp;'CHECK_DT-BT'!A10, 'Tong_hop_HQNV_2026Q1_2026-06-23'!$A:$A, "="&amp;$AB$2)</f>
        <v>0</v>
      </c>
      <c r="AC10" s="7">
        <f>SUMIFS('Tong_hop_HQNV_2026Q1_2026-06-23'!$L:$L,'Tong_hop_HQNV_2026Q1_2026-06-23'!$B:$B, "="&amp;'CHECK_DT-BT'!A10, 'Tong_hop_HQNV_2026Q1_2026-06-23'!$A:$A, "="&amp;$AC$2)</f>
        <v>0</v>
      </c>
      <c r="AD10" s="7">
        <f>SUMIFS('Tong_hop_HQNV_2026Q1_2026-06-23'!$L:$L,'Tong_hop_HQNV_2026Q1_2026-06-23'!$B:$B, "="&amp;'CHECK_DT-BT'!A10, 'Tong_hop_HQNV_2026Q1_2026-06-23'!$A:$A, "="&amp;$AD$2)</f>
        <v>71470000</v>
      </c>
      <c r="AE10" s="7">
        <f>SUMIFS('Tong_hop_HQNV_2026Q1_2026-06-23'!$L:$L,'Tong_hop_HQNV_2026Q1_2026-06-23'!$B:$B, "="&amp;'CHECK_DT-BT'!A10, 'Tong_hop_HQNV_2026Q1_2026-06-23'!$A:$A, "="&amp;$AE$2)</f>
        <v>0</v>
      </c>
      <c r="AF10" s="7">
        <f>SUMIFS('Tong_hop_HQNV_2026Q1_2026-06-23'!$L:$L,'Tong_hop_HQNV_2026Q1_2026-06-23'!$B:$B, "="&amp;'CHECK_DT-BT'!A10, 'Tong_hop_HQNV_2026Q1_2026-06-23'!$A:$A, "="&amp;$AF$2)</f>
        <v>0</v>
      </c>
      <c r="AG10" s="7">
        <f>SUMIFS('Tong_hop_HQNV_2026Q1_2026-06-23'!$L:$L,'Tong_hop_HQNV_2026Q1_2026-06-23'!$B:$B, "="&amp;'CHECK_DT-BT'!A10, 'Tong_hop_HQNV_2026Q1_2026-06-23'!$A:$A, "="&amp;$AG$2)</f>
        <v>0</v>
      </c>
      <c r="AH10" s="7">
        <f>SUMIFS('Tong_hop_HQNV_2026Q1_2026-06-23'!$L:$L,'Tong_hop_HQNV_2026Q1_2026-06-23'!$B:$B, "="&amp;'CHECK_DT-BT'!A10, 'Tong_hop_HQNV_2026Q1_2026-06-23'!$A:$A, "="&amp;$AH$2)</f>
        <v>0</v>
      </c>
      <c r="AI10" s="7">
        <f>SUMIFS('Tong_hop_HQNV_2026Q1_2026-06-23'!$L:$L,'Tong_hop_HQNV_2026Q1_2026-06-23'!$B:$B, "="&amp;'CHECK_DT-BT'!A10, 'Tong_hop_HQNV_2026Q1_2026-06-23'!$A:$A, "="&amp;$AI$2)</f>
        <v>0</v>
      </c>
      <c r="AJ10" s="7">
        <f t="shared" si="6"/>
        <v>7679741272</v>
      </c>
      <c r="AK10" s="7">
        <f t="shared" si="7"/>
        <v>196343705</v>
      </c>
      <c r="AL10" s="7">
        <f>SUMIFS('HQ1'!$D:$D,'HQ1'!$A:$A, "="&amp;'CHECK_DT-BT'!C10, 'HQ1'!$B:$B, "Total")</f>
        <v>7679741272</v>
      </c>
      <c r="AM10" s="7">
        <f>SUMIFS('HQ2'!$J:$J,'HQ2'!$A:$A, "="&amp;'CHECK_DT-BT'!C10, 'HQ2'!$B:$B, "Total")</f>
        <v>196343705</v>
      </c>
      <c r="AN10" s="24">
        <f t="shared" si="8"/>
        <v>0</v>
      </c>
      <c r="AO10" s="24">
        <f t="shared" si="9"/>
        <v>0</v>
      </c>
    </row>
    <row r="11" spans="1:41" x14ac:dyDescent="0.25">
      <c r="A11" s="9" t="s">
        <v>291</v>
      </c>
      <c r="B11" t="s">
        <v>149</v>
      </c>
      <c r="C11" t="s">
        <v>79</v>
      </c>
      <c r="D11" s="7">
        <f>SUMIFS('Tong_hop_HQNV_2026Q1_2026-06-23'!$K:$K,'Tong_hop_HQNV_2026Q1_2026-06-23'!$A:$A,"="&amp;'CHECK_DT-BT'!$D$2,'Tong_hop_HQNV_2026Q1_2026-06-23'!$B:$B, "="&amp;'CHECK_DT-BT'!A11)</f>
        <v>402535468</v>
      </c>
      <c r="E11" s="7">
        <f>SUMIFS('Tong_hop_HQNV_2026Q1_2026-06-23'!$K:$K,'Tong_hop_HQNV_2026Q1_2026-06-23'!$A:$A,"="&amp;'CHECK_DT-BT'!$E$2,'Tong_hop_HQNV_2026Q1_2026-06-23'!$B:$B, "="&amp;'CHECK_DT-BT'!A11)</f>
        <v>198955000</v>
      </c>
      <c r="F11" s="7">
        <f>SUMIFS('Tong_hop_HQNV_2026Q1_2026-06-23'!$K:$K,'Tong_hop_HQNV_2026Q1_2026-06-23'!$A:$A,"="&amp;'CHECK_DT-BT'!$F$2,'Tong_hop_HQNV_2026Q1_2026-06-23'!$B:$B, "="&amp;'CHECK_DT-BT'!A11)</f>
        <v>5611667288</v>
      </c>
      <c r="G11" s="7">
        <f>SUMIFS('Tong_hop_HQNV_2026Q1_2026-06-23'!$K:$K,'Tong_hop_HQNV_2026Q1_2026-06-23'!$A:$A,"="&amp;'CHECK_DT-BT'!$G$2,'Tong_hop_HQNV_2026Q1_2026-06-23'!$B:$B, "="&amp;'CHECK_DT-BT'!A11)</f>
        <v>10195076873</v>
      </c>
      <c r="H11" s="7">
        <f>SUMIFS('Tong_hop_HQNV_2026Q1_2026-06-23'!$K:$K,'Tong_hop_HQNV_2026Q1_2026-06-23'!$A:$A,"="&amp;$H$2,'Tong_hop_HQNV_2026Q1_2026-06-23'!$B:$B, "="&amp;'CHECK_DT-BT'!A11)</f>
        <v>1150226034</v>
      </c>
      <c r="I11" s="7">
        <f>SUMIFS('Tong_hop_HQNV_2026Q1_2026-06-23'!$K:$K,'Tong_hop_HQNV_2026Q1_2026-06-23'!$A:$A,"="&amp;$I$2,'Tong_hop_HQNV_2026Q1_2026-06-23'!$B:$B, "="&amp;'CHECK_DT-BT'!A11)</f>
        <v>0</v>
      </c>
      <c r="J11" s="7">
        <f>SUMIFS('Tong_hop_HQNV_2026Q1_2026-06-23'!$K:$K,'Tong_hop_HQNV_2026Q1_2026-06-23'!$A:$A,"="&amp;$J$2,'Tong_hop_HQNV_2026Q1_2026-06-23'!$B:$B, "="&amp;'CHECK_DT-BT'!A11)</f>
        <v>0</v>
      </c>
      <c r="K11" s="7">
        <f>SUMIFS('Tong_hop_HQNV_2026Q1_2026-06-23'!$K:$K,'Tong_hop_HQNV_2026Q1_2026-06-23'!$A:$A,"="&amp;$K$2,'Tong_hop_HQNV_2026Q1_2026-06-23'!$B:$B, "="&amp;'CHECK_DT-BT'!A11)</f>
        <v>0</v>
      </c>
      <c r="L11" s="7">
        <f>SUMIFS('Tong_hop_HQNV_2026Q1_2026-06-23'!$K:$K,'Tong_hop_HQNV_2026Q1_2026-06-23'!$A:$A,"="&amp;$L$2,'Tong_hop_HQNV_2026Q1_2026-06-23'!$B:$B, "="&amp;'CHECK_DT-BT'!A11)</f>
        <v>1684586241</v>
      </c>
      <c r="M11" s="7">
        <f>SUMIFS('Tong_hop_HQNV_2026Q1_2026-06-23'!$K:$K,'Tong_hop_HQNV_2026Q1_2026-06-23'!$A:$A,"="&amp;$M$2,'Tong_hop_HQNV_2026Q1_2026-06-23'!$B:$B, "="&amp;'CHECK_DT-BT'!A11)</f>
        <v>49318511</v>
      </c>
      <c r="N11" s="7">
        <f>SUMIFS('Tong_hop_HQNV_2026Q1_2026-06-23'!$K:$K,'Tong_hop_HQNV_2026Q1_2026-06-23'!$A:$A,"="&amp;$N$2,'Tong_hop_HQNV_2026Q1_2026-06-23'!$B:$B, "="&amp;'CHECK_DT-BT'!A11)</f>
        <v>1545173217</v>
      </c>
      <c r="O11" s="7">
        <f>SUMIFS('Tong_hop_HQNV_2026Q1_2026-06-23'!$K:$K,'Tong_hop_HQNV_2026Q1_2026-06-23'!$A:$A,"="&amp;$O$2,'Tong_hop_HQNV_2026Q1_2026-06-23'!$B:$B, "="&amp;'CHECK_DT-BT'!A11)</f>
        <v>0</v>
      </c>
      <c r="P11" s="7">
        <f>SUMIFS('Tong_hop_HQNV_2026Q1_2026-06-23'!$K:$K,'Tong_hop_HQNV_2026Q1_2026-06-23'!$A:$A,"="&amp;$P$2,'Tong_hop_HQNV_2026Q1_2026-06-23'!$B:$B, "="&amp;'CHECK_DT-BT'!A11)</f>
        <v>0</v>
      </c>
      <c r="Q11" s="7">
        <f t="shared" si="2"/>
        <v>16408234629</v>
      </c>
      <c r="R11" s="7">
        <f t="shared" si="3"/>
        <v>4429304003</v>
      </c>
      <c r="S11" s="7">
        <f>SUMIFS('HQ1'!$C:$C,'HQ1'!$A:$A, "="&amp;'CHECK_DT-BT'!C11, 'HQ1'!$B:$B, "Total")</f>
        <v>16408234629</v>
      </c>
      <c r="T11" s="7">
        <f>SUMIFS('HQ2'!$C:$C,'HQ2'!$A:$A, "="&amp;'CHECK_DT-BT'!C11, 'HQ2'!$B:$B, "Total")</f>
        <v>4429304003</v>
      </c>
      <c r="U11" s="7">
        <f t="shared" si="4"/>
        <v>0</v>
      </c>
      <c r="V11" s="7">
        <f t="shared" si="5"/>
        <v>0</v>
      </c>
      <c r="W11" s="23">
        <f>SUMIFS('Tong_hop_HQNV_2026Q1_2026-06-23'!$L:$L,'Tong_hop_HQNV_2026Q1_2026-06-23'!$B:$B, "="&amp;'CHECK_DT-BT'!A11, 'Tong_hop_HQNV_2026Q1_2026-06-23'!$A:$A, "="&amp;'CHECK_DT-BT'!$W$2)</f>
        <v>47563774</v>
      </c>
      <c r="X11" s="7">
        <f>SUMIFS('Tong_hop_HQNV_2026Q1_2026-06-23'!$L:$L,'Tong_hop_HQNV_2026Q1_2026-06-23'!$B:$B, "="&amp;'CHECK_DT-BT'!A11, 'Tong_hop_HQNV_2026Q1_2026-06-23'!$A:$A, "="&amp;'CHECK_DT-BT'!$X$2)</f>
        <v>1148690</v>
      </c>
      <c r="Y11" s="7">
        <f>SUMIFS('Tong_hop_HQNV_2026Q1_2026-06-23'!$L:$L,'Tong_hop_HQNV_2026Q1_2026-06-23'!$B:$B, "="&amp;'CHECK_DT-BT'!A11, 'Tong_hop_HQNV_2026Q1_2026-06-23'!$A:$A, "="&amp;'CHECK_DT-BT'!$Y$2)</f>
        <v>2034155612</v>
      </c>
      <c r="Z11" s="7">
        <f>SUMIFS('Tong_hop_HQNV_2026Q1_2026-06-23'!$L:$L,'Tong_hop_HQNV_2026Q1_2026-06-23'!$B:$B, "="&amp;'CHECK_DT-BT'!A11, 'Tong_hop_HQNV_2026Q1_2026-06-23'!$A:$A, "="&amp;'CHECK_DT-BT'!$Z$2)</f>
        <v>3506068076</v>
      </c>
      <c r="AA11" s="7">
        <f>SUMIFS('Tong_hop_HQNV_2026Q1_2026-06-23'!$L:$L,'Tong_hop_HQNV_2026Q1_2026-06-23'!$B:$B, "="&amp;'CHECK_DT-BT'!A11, 'Tong_hop_HQNV_2026Q1_2026-06-23'!$A:$A, "="&amp;$AA$2)</f>
        <v>613474241</v>
      </c>
      <c r="AB11" s="7">
        <f>SUMIFS('Tong_hop_HQNV_2026Q1_2026-06-23'!$L:$L,'Tong_hop_HQNV_2026Q1_2026-06-23'!$B:$B, "="&amp;'CHECK_DT-BT'!A11, 'Tong_hop_HQNV_2026Q1_2026-06-23'!$A:$A, "="&amp;$AB$2)</f>
        <v>0</v>
      </c>
      <c r="AC11" s="7">
        <f>SUMIFS('Tong_hop_HQNV_2026Q1_2026-06-23'!$L:$L,'Tong_hop_HQNV_2026Q1_2026-06-23'!$B:$B, "="&amp;'CHECK_DT-BT'!A11, 'Tong_hop_HQNV_2026Q1_2026-06-23'!$A:$A, "="&amp;$AC$2)</f>
        <v>0</v>
      </c>
      <c r="AD11" s="7">
        <f>SUMIFS('Tong_hop_HQNV_2026Q1_2026-06-23'!$L:$L,'Tong_hop_HQNV_2026Q1_2026-06-23'!$B:$B, "="&amp;'CHECK_DT-BT'!A11, 'Tong_hop_HQNV_2026Q1_2026-06-23'!$A:$A, "="&amp;$AD$2)</f>
        <v>0</v>
      </c>
      <c r="AE11" s="7">
        <f>SUMIFS('Tong_hop_HQNV_2026Q1_2026-06-23'!$L:$L,'Tong_hop_HQNV_2026Q1_2026-06-23'!$B:$B, "="&amp;'CHECK_DT-BT'!A11, 'Tong_hop_HQNV_2026Q1_2026-06-23'!$A:$A, "="&amp;$AE$2)</f>
        <v>11175406946</v>
      </c>
      <c r="AF11" s="7">
        <f>SUMIFS('Tong_hop_HQNV_2026Q1_2026-06-23'!$L:$L,'Tong_hop_HQNV_2026Q1_2026-06-23'!$B:$B, "="&amp;'CHECK_DT-BT'!A11, 'Tong_hop_HQNV_2026Q1_2026-06-23'!$A:$A, "="&amp;$AF$2)</f>
        <v>194295505</v>
      </c>
      <c r="AG11" s="7">
        <f>SUMIFS('Tong_hop_HQNV_2026Q1_2026-06-23'!$L:$L,'Tong_hop_HQNV_2026Q1_2026-06-23'!$B:$B, "="&amp;'CHECK_DT-BT'!A11, 'Tong_hop_HQNV_2026Q1_2026-06-23'!$A:$A, "="&amp;$AG$2)</f>
        <v>0</v>
      </c>
      <c r="AH11" s="7">
        <f>SUMIFS('Tong_hop_HQNV_2026Q1_2026-06-23'!$L:$L,'Tong_hop_HQNV_2026Q1_2026-06-23'!$B:$B, "="&amp;'CHECK_DT-BT'!A11, 'Tong_hop_HQNV_2026Q1_2026-06-23'!$A:$A, "="&amp;$AH$2)</f>
        <v>0</v>
      </c>
      <c r="AI11" s="7">
        <f>SUMIFS('Tong_hop_HQNV_2026Q1_2026-06-23'!$L:$L,'Tong_hop_HQNV_2026Q1_2026-06-23'!$B:$B, "="&amp;'CHECK_DT-BT'!A11, 'Tong_hop_HQNV_2026Q1_2026-06-23'!$A:$A, "="&amp;$AI$2)</f>
        <v>0</v>
      </c>
      <c r="AJ11" s="7">
        <f t="shared" si="6"/>
        <v>5588936152</v>
      </c>
      <c r="AK11" s="7">
        <f t="shared" si="7"/>
        <v>11983176692</v>
      </c>
      <c r="AL11" s="7">
        <f>SUMIFS('HQ1'!$D:$D,'HQ1'!$A:$A, "="&amp;'CHECK_DT-BT'!C11, 'HQ1'!$B:$B, "Total")</f>
        <v>5588936152</v>
      </c>
      <c r="AM11" s="7">
        <f>SUMIFS('HQ2'!$J:$J,'HQ2'!$A:$A, "="&amp;'CHECK_DT-BT'!C11, 'HQ2'!$B:$B, "Total")</f>
        <v>11985316181</v>
      </c>
      <c r="AN11" s="24">
        <f t="shared" si="8"/>
        <v>0</v>
      </c>
      <c r="AO11" s="24">
        <f t="shared" si="9"/>
        <v>-2139489</v>
      </c>
    </row>
    <row r="12" spans="1:41" x14ac:dyDescent="0.25">
      <c r="A12" s="9" t="s">
        <v>292</v>
      </c>
      <c r="B12" t="s">
        <v>150</v>
      </c>
      <c r="C12" t="s">
        <v>100</v>
      </c>
      <c r="D12" s="7">
        <f>SUMIFS('Tong_hop_HQNV_2026Q1_2026-06-23'!$K:$K,'Tong_hop_HQNV_2026Q1_2026-06-23'!$A:$A,"="&amp;'CHECK_DT-BT'!$D$2,'Tong_hop_HQNV_2026Q1_2026-06-23'!$B:$B, "="&amp;'CHECK_DT-BT'!A12)</f>
        <v>1612036300</v>
      </c>
      <c r="E12" s="7">
        <f>SUMIFS('Tong_hop_HQNV_2026Q1_2026-06-23'!$K:$K,'Tong_hop_HQNV_2026Q1_2026-06-23'!$A:$A,"="&amp;'CHECK_DT-BT'!$E$2,'Tong_hop_HQNV_2026Q1_2026-06-23'!$B:$B, "="&amp;'CHECK_DT-BT'!A12)</f>
        <v>13748400</v>
      </c>
      <c r="F12" s="7">
        <f>SUMIFS('Tong_hop_HQNV_2026Q1_2026-06-23'!$K:$K,'Tong_hop_HQNV_2026Q1_2026-06-23'!$A:$A,"="&amp;'CHECK_DT-BT'!$F$2,'Tong_hop_HQNV_2026Q1_2026-06-23'!$B:$B, "="&amp;'CHECK_DT-BT'!A12)</f>
        <v>1364810179</v>
      </c>
      <c r="G12" s="7">
        <f>SUMIFS('Tong_hop_HQNV_2026Q1_2026-06-23'!$K:$K,'Tong_hop_HQNV_2026Q1_2026-06-23'!$A:$A,"="&amp;'CHECK_DT-BT'!$G$2,'Tong_hop_HQNV_2026Q1_2026-06-23'!$B:$B, "="&amp;'CHECK_DT-BT'!A12)</f>
        <v>647120725</v>
      </c>
      <c r="H12" s="7">
        <f>SUMIFS('Tong_hop_HQNV_2026Q1_2026-06-23'!$K:$K,'Tong_hop_HQNV_2026Q1_2026-06-23'!$A:$A,"="&amp;$H$2,'Tong_hop_HQNV_2026Q1_2026-06-23'!$B:$B, "="&amp;'CHECK_DT-BT'!A12)</f>
        <v>46796499</v>
      </c>
      <c r="I12" s="7">
        <f>SUMIFS('Tong_hop_HQNV_2026Q1_2026-06-23'!$K:$K,'Tong_hop_HQNV_2026Q1_2026-06-23'!$A:$A,"="&amp;$I$2,'Tong_hop_HQNV_2026Q1_2026-06-23'!$B:$B, "="&amp;'CHECK_DT-BT'!A12)</f>
        <v>0</v>
      </c>
      <c r="J12" s="7">
        <f>SUMIFS('Tong_hop_HQNV_2026Q1_2026-06-23'!$K:$K,'Tong_hop_HQNV_2026Q1_2026-06-23'!$A:$A,"="&amp;$J$2,'Tong_hop_HQNV_2026Q1_2026-06-23'!$B:$B, "="&amp;'CHECK_DT-BT'!A12)</f>
        <v>0</v>
      </c>
      <c r="K12" s="7">
        <f>SUMIFS('Tong_hop_HQNV_2026Q1_2026-06-23'!$K:$K,'Tong_hop_HQNV_2026Q1_2026-06-23'!$A:$A,"="&amp;$K$2,'Tong_hop_HQNV_2026Q1_2026-06-23'!$B:$B, "="&amp;'CHECK_DT-BT'!A12)</f>
        <v>726847700</v>
      </c>
      <c r="L12" s="7">
        <f>SUMIFS('Tong_hop_HQNV_2026Q1_2026-06-23'!$K:$K,'Tong_hop_HQNV_2026Q1_2026-06-23'!$A:$A,"="&amp;$L$2,'Tong_hop_HQNV_2026Q1_2026-06-23'!$B:$B, "="&amp;'CHECK_DT-BT'!A12)</f>
        <v>451888384</v>
      </c>
      <c r="M12" s="7">
        <f>SUMIFS('Tong_hop_HQNV_2026Q1_2026-06-23'!$K:$K,'Tong_hop_HQNV_2026Q1_2026-06-23'!$A:$A,"="&amp;$M$2,'Tong_hop_HQNV_2026Q1_2026-06-23'!$B:$B, "="&amp;'CHECK_DT-BT'!A12)</f>
        <v>505974961</v>
      </c>
      <c r="N12" s="7">
        <f>SUMIFS('Tong_hop_HQNV_2026Q1_2026-06-23'!$K:$K,'Tong_hop_HQNV_2026Q1_2026-06-23'!$A:$A,"="&amp;$N$2,'Tong_hop_HQNV_2026Q1_2026-06-23'!$B:$B, "="&amp;'CHECK_DT-BT'!A12)</f>
        <v>0</v>
      </c>
      <c r="O12" s="7">
        <f>SUMIFS('Tong_hop_HQNV_2026Q1_2026-06-23'!$K:$K,'Tong_hop_HQNV_2026Q1_2026-06-23'!$A:$A,"="&amp;$O$2,'Tong_hop_HQNV_2026Q1_2026-06-23'!$B:$B, "="&amp;'CHECK_DT-BT'!A12)</f>
        <v>0</v>
      </c>
      <c r="P12" s="7">
        <f>SUMIFS('Tong_hop_HQNV_2026Q1_2026-06-23'!$K:$K,'Tong_hop_HQNV_2026Q1_2026-06-23'!$A:$A,"="&amp;$P$2,'Tong_hop_HQNV_2026Q1_2026-06-23'!$B:$B, "="&amp;'CHECK_DT-BT'!A12)</f>
        <v>0</v>
      </c>
      <c r="Q12" s="7">
        <f t="shared" si="2"/>
        <v>3637715604</v>
      </c>
      <c r="R12" s="7">
        <f t="shared" si="3"/>
        <v>1731507544</v>
      </c>
      <c r="S12" s="7">
        <f>SUMIFS('HQ1'!$C:$C,'HQ1'!$A:$A, "="&amp;'CHECK_DT-BT'!C12, 'HQ1'!$B:$B, "Total")</f>
        <v>3637715604</v>
      </c>
      <c r="T12" s="7">
        <f>SUMIFS('HQ2'!$C:$C,'HQ2'!$A:$A, "="&amp;'CHECK_DT-BT'!C12, 'HQ2'!$B:$B, "Total")</f>
        <v>1731507544</v>
      </c>
      <c r="U12" s="7">
        <f t="shared" si="4"/>
        <v>0</v>
      </c>
      <c r="V12" s="7">
        <f t="shared" si="5"/>
        <v>0</v>
      </c>
      <c r="W12" s="23">
        <f>SUMIFS('Tong_hop_HQNV_2026Q1_2026-06-23'!$L:$L,'Tong_hop_HQNV_2026Q1_2026-06-23'!$B:$B, "="&amp;'CHECK_DT-BT'!A12, 'Tong_hop_HQNV_2026Q1_2026-06-23'!$A:$A, "="&amp;'CHECK_DT-BT'!$W$2)</f>
        <v>4629007000</v>
      </c>
      <c r="X12" s="7">
        <f>SUMIFS('Tong_hop_HQNV_2026Q1_2026-06-23'!$L:$L,'Tong_hop_HQNV_2026Q1_2026-06-23'!$B:$B, "="&amp;'CHECK_DT-BT'!A12, 'Tong_hop_HQNV_2026Q1_2026-06-23'!$A:$A, "="&amp;'CHECK_DT-BT'!$X$2)</f>
        <v>0</v>
      </c>
      <c r="Y12" s="7">
        <f>SUMIFS('Tong_hop_HQNV_2026Q1_2026-06-23'!$L:$L,'Tong_hop_HQNV_2026Q1_2026-06-23'!$B:$B, "="&amp;'CHECK_DT-BT'!A12, 'Tong_hop_HQNV_2026Q1_2026-06-23'!$A:$A, "="&amp;'CHECK_DT-BT'!$Y$2)</f>
        <v>358409271</v>
      </c>
      <c r="Z12" s="7">
        <f>SUMIFS('Tong_hop_HQNV_2026Q1_2026-06-23'!$L:$L,'Tong_hop_HQNV_2026Q1_2026-06-23'!$B:$B, "="&amp;'CHECK_DT-BT'!A12, 'Tong_hop_HQNV_2026Q1_2026-06-23'!$A:$A, "="&amp;'CHECK_DT-BT'!$Z$2)</f>
        <v>61720149</v>
      </c>
      <c r="AA12" s="7">
        <f>SUMIFS('Tong_hop_HQNV_2026Q1_2026-06-23'!$L:$L,'Tong_hop_HQNV_2026Q1_2026-06-23'!$B:$B, "="&amp;'CHECK_DT-BT'!A12, 'Tong_hop_HQNV_2026Q1_2026-06-23'!$A:$A, "="&amp;$AA$2)</f>
        <v>0</v>
      </c>
      <c r="AB12" s="7">
        <f>SUMIFS('Tong_hop_HQNV_2026Q1_2026-06-23'!$L:$L,'Tong_hop_HQNV_2026Q1_2026-06-23'!$B:$B, "="&amp;'CHECK_DT-BT'!A12, 'Tong_hop_HQNV_2026Q1_2026-06-23'!$A:$A, "="&amp;$AB$2)</f>
        <v>0</v>
      </c>
      <c r="AC12" s="7">
        <f>SUMIFS('Tong_hop_HQNV_2026Q1_2026-06-23'!$L:$L,'Tong_hop_HQNV_2026Q1_2026-06-23'!$B:$B, "="&amp;'CHECK_DT-BT'!A12, 'Tong_hop_HQNV_2026Q1_2026-06-23'!$A:$A, "="&amp;$AC$2)</f>
        <v>0</v>
      </c>
      <c r="AD12" s="7">
        <f>SUMIFS('Tong_hop_HQNV_2026Q1_2026-06-23'!$L:$L,'Tong_hop_HQNV_2026Q1_2026-06-23'!$B:$B, "="&amp;'CHECK_DT-BT'!A12, 'Tong_hop_HQNV_2026Q1_2026-06-23'!$A:$A, "="&amp;$AD$2)</f>
        <v>82801734</v>
      </c>
      <c r="AE12" s="7">
        <f>SUMIFS('Tong_hop_HQNV_2026Q1_2026-06-23'!$L:$L,'Tong_hop_HQNV_2026Q1_2026-06-23'!$B:$B, "="&amp;'CHECK_DT-BT'!A12, 'Tong_hop_HQNV_2026Q1_2026-06-23'!$A:$A, "="&amp;$AE$2)</f>
        <v>0</v>
      </c>
      <c r="AF12" s="7">
        <f>SUMIFS('Tong_hop_HQNV_2026Q1_2026-06-23'!$L:$L,'Tong_hop_HQNV_2026Q1_2026-06-23'!$B:$B, "="&amp;'CHECK_DT-BT'!A12, 'Tong_hop_HQNV_2026Q1_2026-06-23'!$A:$A, "="&amp;$AF$2)</f>
        <v>0</v>
      </c>
      <c r="AG12" s="7">
        <f>SUMIFS('Tong_hop_HQNV_2026Q1_2026-06-23'!$L:$L,'Tong_hop_HQNV_2026Q1_2026-06-23'!$B:$B, "="&amp;'CHECK_DT-BT'!A12, 'Tong_hop_HQNV_2026Q1_2026-06-23'!$A:$A, "="&amp;$AG$2)</f>
        <v>0</v>
      </c>
      <c r="AH12" s="7">
        <f>SUMIFS('Tong_hop_HQNV_2026Q1_2026-06-23'!$L:$L,'Tong_hop_HQNV_2026Q1_2026-06-23'!$B:$B, "="&amp;'CHECK_DT-BT'!A12, 'Tong_hop_HQNV_2026Q1_2026-06-23'!$A:$A, "="&amp;$AH$2)</f>
        <v>0</v>
      </c>
      <c r="AI12" s="7">
        <f>SUMIFS('Tong_hop_HQNV_2026Q1_2026-06-23'!$L:$L,'Tong_hop_HQNV_2026Q1_2026-06-23'!$B:$B, "="&amp;'CHECK_DT-BT'!A12, 'Tong_hop_HQNV_2026Q1_2026-06-23'!$A:$A, "="&amp;$AI$2)</f>
        <v>0</v>
      </c>
      <c r="AJ12" s="7">
        <f t="shared" si="6"/>
        <v>5049136420</v>
      </c>
      <c r="AK12" s="7">
        <f t="shared" si="7"/>
        <v>82801734</v>
      </c>
      <c r="AL12" s="7">
        <f>SUMIFS('HQ1'!$D:$D,'HQ1'!$A:$A, "="&amp;'CHECK_DT-BT'!C12, 'HQ1'!$B:$B, "Total")</f>
        <v>5049136420</v>
      </c>
      <c r="AM12" s="7">
        <f>SUMIFS('HQ2'!$J:$J,'HQ2'!$A:$A, "="&amp;'CHECK_DT-BT'!C12, 'HQ2'!$B:$B, "Total")</f>
        <v>82801734</v>
      </c>
      <c r="AN12" s="24">
        <f t="shared" si="8"/>
        <v>0</v>
      </c>
      <c r="AO12" s="24">
        <f t="shared" si="9"/>
        <v>0</v>
      </c>
    </row>
    <row r="13" spans="1:41" x14ac:dyDescent="0.25">
      <c r="A13" s="9" t="s">
        <v>293</v>
      </c>
      <c r="B13" t="s">
        <v>151</v>
      </c>
      <c r="C13" t="s">
        <v>62</v>
      </c>
      <c r="D13" s="7">
        <f>SUMIFS('Tong_hop_HQNV_2026Q1_2026-06-23'!$K:$K,'Tong_hop_HQNV_2026Q1_2026-06-23'!$A:$A,"="&amp;'CHECK_DT-BT'!$D$2,'Tong_hop_HQNV_2026Q1_2026-06-23'!$B:$B, "="&amp;'CHECK_DT-BT'!A13)</f>
        <v>6009799673</v>
      </c>
      <c r="E13" s="7">
        <f>SUMIFS('Tong_hop_HQNV_2026Q1_2026-06-23'!$K:$K,'Tong_hop_HQNV_2026Q1_2026-06-23'!$A:$A,"="&amp;'CHECK_DT-BT'!$E$2,'Tong_hop_HQNV_2026Q1_2026-06-23'!$B:$B, "="&amp;'CHECK_DT-BT'!A13)</f>
        <v>48831400</v>
      </c>
      <c r="F13" s="7">
        <f>SUMIFS('Tong_hop_HQNV_2026Q1_2026-06-23'!$K:$K,'Tong_hop_HQNV_2026Q1_2026-06-23'!$A:$A,"="&amp;'CHECK_DT-BT'!$F$2,'Tong_hop_HQNV_2026Q1_2026-06-23'!$B:$B, "="&amp;'CHECK_DT-BT'!A13)</f>
        <v>6831481128</v>
      </c>
      <c r="G13" s="7">
        <f>SUMIFS('Tong_hop_HQNV_2026Q1_2026-06-23'!$K:$K,'Tong_hop_HQNV_2026Q1_2026-06-23'!$A:$A,"="&amp;'CHECK_DT-BT'!$G$2,'Tong_hop_HQNV_2026Q1_2026-06-23'!$B:$B, "="&amp;'CHECK_DT-BT'!A13)</f>
        <v>645942650</v>
      </c>
      <c r="H13" s="7">
        <f>SUMIFS('Tong_hop_HQNV_2026Q1_2026-06-23'!$K:$K,'Tong_hop_HQNV_2026Q1_2026-06-23'!$A:$A,"="&amp;$H$2,'Tong_hop_HQNV_2026Q1_2026-06-23'!$B:$B, "="&amp;'CHECK_DT-BT'!A13)</f>
        <v>157734664</v>
      </c>
      <c r="I13" s="7">
        <f>SUMIFS('Tong_hop_HQNV_2026Q1_2026-06-23'!$K:$K,'Tong_hop_HQNV_2026Q1_2026-06-23'!$A:$A,"="&amp;$I$2,'Tong_hop_HQNV_2026Q1_2026-06-23'!$B:$B, "="&amp;'CHECK_DT-BT'!A13)</f>
        <v>0</v>
      </c>
      <c r="J13" s="7">
        <f>SUMIFS('Tong_hop_HQNV_2026Q1_2026-06-23'!$K:$K,'Tong_hop_HQNV_2026Q1_2026-06-23'!$A:$A,"="&amp;$J$2,'Tong_hop_HQNV_2026Q1_2026-06-23'!$B:$B, "="&amp;'CHECK_DT-BT'!A13)</f>
        <v>0</v>
      </c>
      <c r="K13" s="7">
        <f>SUMIFS('Tong_hop_HQNV_2026Q1_2026-06-23'!$K:$K,'Tong_hop_HQNV_2026Q1_2026-06-23'!$A:$A,"="&amp;$K$2,'Tong_hop_HQNV_2026Q1_2026-06-23'!$B:$B, "="&amp;'CHECK_DT-BT'!A13)</f>
        <v>6437218600</v>
      </c>
      <c r="L13" s="7">
        <f>SUMIFS('Tong_hop_HQNV_2026Q1_2026-06-23'!$K:$K,'Tong_hop_HQNV_2026Q1_2026-06-23'!$A:$A,"="&amp;$L$2,'Tong_hop_HQNV_2026Q1_2026-06-23'!$B:$B, "="&amp;'CHECK_DT-BT'!A13)</f>
        <v>1148716450</v>
      </c>
      <c r="M13" s="7">
        <f>SUMIFS('Tong_hop_HQNV_2026Q1_2026-06-23'!$K:$K,'Tong_hop_HQNV_2026Q1_2026-06-23'!$A:$A,"="&amp;$M$2,'Tong_hop_HQNV_2026Q1_2026-06-23'!$B:$B, "="&amp;'CHECK_DT-BT'!A13)</f>
        <v>478189010</v>
      </c>
      <c r="N13" s="7">
        <f>SUMIFS('Tong_hop_HQNV_2026Q1_2026-06-23'!$K:$K,'Tong_hop_HQNV_2026Q1_2026-06-23'!$A:$A,"="&amp;$N$2,'Tong_hop_HQNV_2026Q1_2026-06-23'!$B:$B, "="&amp;'CHECK_DT-BT'!A13)</f>
        <v>7500000</v>
      </c>
      <c r="O13" s="7">
        <f>SUMIFS('Tong_hop_HQNV_2026Q1_2026-06-23'!$K:$K,'Tong_hop_HQNV_2026Q1_2026-06-23'!$A:$A,"="&amp;$O$2,'Tong_hop_HQNV_2026Q1_2026-06-23'!$B:$B, "="&amp;'CHECK_DT-BT'!A13)</f>
        <v>0</v>
      </c>
      <c r="P13" s="7">
        <f>SUMIFS('Tong_hop_HQNV_2026Q1_2026-06-23'!$K:$K,'Tong_hop_HQNV_2026Q1_2026-06-23'!$A:$A,"="&amp;$P$2,'Tong_hop_HQNV_2026Q1_2026-06-23'!$B:$B, "="&amp;'CHECK_DT-BT'!A13)</f>
        <v>0</v>
      </c>
      <c r="Q13" s="7">
        <f t="shared" si="2"/>
        <v>13536054851</v>
      </c>
      <c r="R13" s="7">
        <f t="shared" si="3"/>
        <v>8229358724</v>
      </c>
      <c r="S13" s="7">
        <f>SUMIFS('HQ1'!$C:$C,'HQ1'!$A:$A, "="&amp;'CHECK_DT-BT'!C13, 'HQ1'!$B:$B, "Total")</f>
        <v>13536054851</v>
      </c>
      <c r="T13" s="7">
        <f>SUMIFS('HQ2'!$C:$C,'HQ2'!$A:$A, "="&amp;'CHECK_DT-BT'!C13, 'HQ2'!$B:$B, "Total")</f>
        <v>9634483674</v>
      </c>
      <c r="U13" s="7">
        <f t="shared" si="4"/>
        <v>0</v>
      </c>
      <c r="V13" s="7">
        <f t="shared" si="5"/>
        <v>-1405124950</v>
      </c>
      <c r="W13" s="23">
        <f>SUMIFS('Tong_hop_HQNV_2026Q1_2026-06-23'!$L:$L,'Tong_hop_HQNV_2026Q1_2026-06-23'!$B:$B, "="&amp;'CHECK_DT-BT'!A13, 'Tong_hop_HQNV_2026Q1_2026-06-23'!$A:$A, "="&amp;'CHECK_DT-BT'!$W$2)</f>
        <v>2148037400</v>
      </c>
      <c r="X13" s="7">
        <f>SUMIFS('Tong_hop_HQNV_2026Q1_2026-06-23'!$L:$L,'Tong_hop_HQNV_2026Q1_2026-06-23'!$B:$B, "="&amp;'CHECK_DT-BT'!A13, 'Tong_hop_HQNV_2026Q1_2026-06-23'!$A:$A, "="&amp;'CHECK_DT-BT'!$X$2)</f>
        <v>0</v>
      </c>
      <c r="Y13" s="7">
        <f>SUMIFS('Tong_hop_HQNV_2026Q1_2026-06-23'!$L:$L,'Tong_hop_HQNV_2026Q1_2026-06-23'!$B:$B, "="&amp;'CHECK_DT-BT'!A13, 'Tong_hop_HQNV_2026Q1_2026-06-23'!$A:$A, "="&amp;'CHECK_DT-BT'!$Y$2)</f>
        <v>4558282915</v>
      </c>
      <c r="Z13" s="7">
        <f>SUMIFS('Tong_hop_HQNV_2026Q1_2026-06-23'!$L:$L,'Tong_hop_HQNV_2026Q1_2026-06-23'!$B:$B, "="&amp;'CHECK_DT-BT'!A13, 'Tong_hop_HQNV_2026Q1_2026-06-23'!$A:$A, "="&amp;'CHECK_DT-BT'!$Z$2)</f>
        <v>183770191</v>
      </c>
      <c r="AA13" s="7">
        <f>SUMIFS('Tong_hop_HQNV_2026Q1_2026-06-23'!$L:$L,'Tong_hop_HQNV_2026Q1_2026-06-23'!$B:$B, "="&amp;'CHECK_DT-BT'!A13, 'Tong_hop_HQNV_2026Q1_2026-06-23'!$A:$A, "="&amp;$AA$2)</f>
        <v>0</v>
      </c>
      <c r="AB13" s="7">
        <f>SUMIFS('Tong_hop_HQNV_2026Q1_2026-06-23'!$L:$L,'Tong_hop_HQNV_2026Q1_2026-06-23'!$B:$B, "="&amp;'CHECK_DT-BT'!A13, 'Tong_hop_HQNV_2026Q1_2026-06-23'!$A:$A, "="&amp;$AB$2)</f>
        <v>0</v>
      </c>
      <c r="AC13" s="7">
        <f>SUMIFS('Tong_hop_HQNV_2026Q1_2026-06-23'!$L:$L,'Tong_hop_HQNV_2026Q1_2026-06-23'!$B:$B, "="&amp;'CHECK_DT-BT'!A13, 'Tong_hop_HQNV_2026Q1_2026-06-23'!$A:$A, "="&amp;$AC$2)</f>
        <v>0</v>
      </c>
      <c r="AD13" s="7">
        <f>SUMIFS('Tong_hop_HQNV_2026Q1_2026-06-23'!$L:$L,'Tong_hop_HQNV_2026Q1_2026-06-23'!$B:$B, "="&amp;'CHECK_DT-BT'!A13, 'Tong_hop_HQNV_2026Q1_2026-06-23'!$A:$A, "="&amp;$AD$2)</f>
        <v>3820509620</v>
      </c>
      <c r="AE13" s="7">
        <f>SUMIFS('Tong_hop_HQNV_2026Q1_2026-06-23'!$L:$L,'Tong_hop_HQNV_2026Q1_2026-06-23'!$B:$B, "="&amp;'CHECK_DT-BT'!A13, 'Tong_hop_HQNV_2026Q1_2026-06-23'!$A:$A, "="&amp;$AE$2)</f>
        <v>1691740042</v>
      </c>
      <c r="AF13" s="7">
        <f>SUMIFS('Tong_hop_HQNV_2026Q1_2026-06-23'!$L:$L,'Tong_hop_HQNV_2026Q1_2026-06-23'!$B:$B, "="&amp;'CHECK_DT-BT'!A13, 'Tong_hop_HQNV_2026Q1_2026-06-23'!$A:$A, "="&amp;$AF$2)</f>
        <v>53257680</v>
      </c>
      <c r="AG13" s="7">
        <f>SUMIFS('Tong_hop_HQNV_2026Q1_2026-06-23'!$L:$L,'Tong_hop_HQNV_2026Q1_2026-06-23'!$B:$B, "="&amp;'CHECK_DT-BT'!A13, 'Tong_hop_HQNV_2026Q1_2026-06-23'!$A:$A, "="&amp;$AG$2)</f>
        <v>0</v>
      </c>
      <c r="AH13" s="7">
        <f>SUMIFS('Tong_hop_HQNV_2026Q1_2026-06-23'!$L:$L,'Tong_hop_HQNV_2026Q1_2026-06-23'!$B:$B, "="&amp;'CHECK_DT-BT'!A13, 'Tong_hop_HQNV_2026Q1_2026-06-23'!$A:$A, "="&amp;$AH$2)</f>
        <v>0</v>
      </c>
      <c r="AI13" s="7">
        <f>SUMIFS('Tong_hop_HQNV_2026Q1_2026-06-23'!$L:$L,'Tong_hop_HQNV_2026Q1_2026-06-23'!$B:$B, "="&amp;'CHECK_DT-BT'!A13, 'Tong_hop_HQNV_2026Q1_2026-06-23'!$A:$A, "="&amp;$AI$2)</f>
        <v>0</v>
      </c>
      <c r="AJ13" s="7">
        <f t="shared" si="6"/>
        <v>6890090506</v>
      </c>
      <c r="AK13" s="7">
        <f t="shared" si="7"/>
        <v>5565507342</v>
      </c>
      <c r="AL13" s="7">
        <f>SUMIFS('HQ1'!$D:$D,'HQ1'!$A:$A, "="&amp;'CHECK_DT-BT'!C13, 'HQ1'!$B:$B, "Total")</f>
        <v>6890090506</v>
      </c>
      <c r="AM13" s="7">
        <f>SUMIFS('HQ2'!$J:$J,'HQ2'!$A:$A, "="&amp;'CHECK_DT-BT'!C13, 'HQ2'!$B:$B, "Total")</f>
        <v>5565507342</v>
      </c>
      <c r="AN13" s="24">
        <f t="shared" si="8"/>
        <v>0</v>
      </c>
      <c r="AO13" s="24">
        <f t="shared" si="9"/>
        <v>0</v>
      </c>
    </row>
    <row r="14" spans="1:41" x14ac:dyDescent="0.25">
      <c r="A14" s="9" t="s">
        <v>294</v>
      </c>
      <c r="B14" t="s">
        <v>152</v>
      </c>
      <c r="C14" t="s">
        <v>54</v>
      </c>
      <c r="D14" s="7">
        <f>SUMIFS('Tong_hop_HQNV_2026Q1_2026-06-23'!$K:$K,'Tong_hop_HQNV_2026Q1_2026-06-23'!$A:$A,"="&amp;'CHECK_DT-BT'!$D$2,'Tong_hop_HQNV_2026Q1_2026-06-23'!$B:$B, "="&amp;'CHECK_DT-BT'!A14)</f>
        <v>1857584516</v>
      </c>
      <c r="E14" s="7">
        <f>SUMIFS('Tong_hop_HQNV_2026Q1_2026-06-23'!$K:$K,'Tong_hop_HQNV_2026Q1_2026-06-23'!$A:$A,"="&amp;'CHECK_DT-BT'!$E$2,'Tong_hop_HQNV_2026Q1_2026-06-23'!$B:$B, "="&amp;'CHECK_DT-BT'!A14)</f>
        <v>55877800</v>
      </c>
      <c r="F14" s="7">
        <f>SUMIFS('Tong_hop_HQNV_2026Q1_2026-06-23'!$K:$K,'Tong_hop_HQNV_2026Q1_2026-06-23'!$A:$A,"="&amp;'CHECK_DT-BT'!$F$2,'Tong_hop_HQNV_2026Q1_2026-06-23'!$B:$B, "="&amp;'CHECK_DT-BT'!A14)</f>
        <v>8926022983</v>
      </c>
      <c r="G14" s="7">
        <f>SUMIFS('Tong_hop_HQNV_2026Q1_2026-06-23'!$K:$K,'Tong_hop_HQNV_2026Q1_2026-06-23'!$A:$A,"="&amp;'CHECK_DT-BT'!$G$2,'Tong_hop_HQNV_2026Q1_2026-06-23'!$B:$B, "="&amp;'CHECK_DT-BT'!A14)</f>
        <v>3190047407</v>
      </c>
      <c r="H14" s="7">
        <f>SUMIFS('Tong_hop_HQNV_2026Q1_2026-06-23'!$K:$K,'Tong_hop_HQNV_2026Q1_2026-06-23'!$A:$A,"="&amp;$H$2,'Tong_hop_HQNV_2026Q1_2026-06-23'!$B:$B, "="&amp;'CHECK_DT-BT'!A14)</f>
        <v>3533621088</v>
      </c>
      <c r="I14" s="7">
        <f>SUMIFS('Tong_hop_HQNV_2026Q1_2026-06-23'!$K:$K,'Tong_hop_HQNV_2026Q1_2026-06-23'!$A:$A,"="&amp;$I$2,'Tong_hop_HQNV_2026Q1_2026-06-23'!$B:$B, "="&amp;'CHECK_DT-BT'!A14)</f>
        <v>0</v>
      </c>
      <c r="J14" s="7">
        <f>SUMIFS('Tong_hop_HQNV_2026Q1_2026-06-23'!$K:$K,'Tong_hop_HQNV_2026Q1_2026-06-23'!$A:$A,"="&amp;$J$2,'Tong_hop_HQNV_2026Q1_2026-06-23'!$B:$B, "="&amp;'CHECK_DT-BT'!A14)</f>
        <v>0</v>
      </c>
      <c r="K14" s="7">
        <f>SUMIFS('Tong_hop_HQNV_2026Q1_2026-06-23'!$K:$K,'Tong_hop_HQNV_2026Q1_2026-06-23'!$A:$A,"="&amp;$K$2,'Tong_hop_HQNV_2026Q1_2026-06-23'!$B:$B, "="&amp;'CHECK_DT-BT'!A14)</f>
        <v>355409340</v>
      </c>
      <c r="L14" s="7">
        <f>SUMIFS('Tong_hop_HQNV_2026Q1_2026-06-23'!$K:$K,'Tong_hop_HQNV_2026Q1_2026-06-23'!$A:$A,"="&amp;$L$2,'Tong_hop_HQNV_2026Q1_2026-06-23'!$B:$B, "="&amp;'CHECK_DT-BT'!A14)</f>
        <v>10170000233</v>
      </c>
      <c r="M14" s="7">
        <f>SUMIFS('Tong_hop_HQNV_2026Q1_2026-06-23'!$K:$K,'Tong_hop_HQNV_2026Q1_2026-06-23'!$A:$A,"="&amp;$M$2,'Tong_hop_HQNV_2026Q1_2026-06-23'!$B:$B, "="&amp;'CHECK_DT-BT'!A14)</f>
        <v>648975860</v>
      </c>
      <c r="N14" s="7">
        <f>SUMIFS('Tong_hop_HQNV_2026Q1_2026-06-23'!$K:$K,'Tong_hop_HQNV_2026Q1_2026-06-23'!$A:$A,"="&amp;$N$2,'Tong_hop_HQNV_2026Q1_2026-06-23'!$B:$B, "="&amp;'CHECK_DT-BT'!A14)</f>
        <v>96964890</v>
      </c>
      <c r="O14" s="7">
        <f>SUMIFS('Tong_hop_HQNV_2026Q1_2026-06-23'!$K:$K,'Tong_hop_HQNV_2026Q1_2026-06-23'!$A:$A,"="&amp;$O$2,'Tong_hop_HQNV_2026Q1_2026-06-23'!$B:$B, "="&amp;'CHECK_DT-BT'!A14)</f>
        <v>0</v>
      </c>
      <c r="P14" s="7">
        <f>SUMIFS('Tong_hop_HQNV_2026Q1_2026-06-23'!$K:$K,'Tong_hop_HQNV_2026Q1_2026-06-23'!$A:$A,"="&amp;$P$2,'Tong_hop_HQNV_2026Q1_2026-06-23'!$B:$B, "="&amp;'CHECK_DT-BT'!A14)</f>
        <v>0</v>
      </c>
      <c r="Q14" s="7">
        <f t="shared" si="2"/>
        <v>14029532706</v>
      </c>
      <c r="R14" s="7">
        <f t="shared" si="3"/>
        <v>14804971411</v>
      </c>
      <c r="S14" s="7">
        <f>SUMIFS('HQ1'!$C:$C,'HQ1'!$A:$A, "="&amp;'CHECK_DT-BT'!C14, 'HQ1'!$B:$B, "Total")</f>
        <v>14029532706</v>
      </c>
      <c r="T14" s="7">
        <f>SUMIFS('HQ2'!$C:$C,'HQ2'!$A:$A, "="&amp;'CHECK_DT-BT'!C14, 'HQ2'!$B:$B, "Total")</f>
        <v>14804971411</v>
      </c>
      <c r="U14" s="7">
        <f t="shared" si="4"/>
        <v>0</v>
      </c>
      <c r="V14" s="7">
        <f t="shared" si="5"/>
        <v>0</v>
      </c>
      <c r="W14" s="23">
        <f>SUMIFS('Tong_hop_HQNV_2026Q1_2026-06-23'!$L:$L,'Tong_hop_HQNV_2026Q1_2026-06-23'!$B:$B, "="&amp;'CHECK_DT-BT'!A14, 'Tong_hop_HQNV_2026Q1_2026-06-23'!$A:$A, "="&amp;'CHECK_DT-BT'!$W$2)</f>
        <v>868850670</v>
      </c>
      <c r="X14" s="7">
        <f>SUMIFS('Tong_hop_HQNV_2026Q1_2026-06-23'!$L:$L,'Tong_hop_HQNV_2026Q1_2026-06-23'!$B:$B, "="&amp;'CHECK_DT-BT'!A14, 'Tong_hop_HQNV_2026Q1_2026-06-23'!$A:$A, "="&amp;'CHECK_DT-BT'!$X$2)</f>
        <v>4072800</v>
      </c>
      <c r="Y14" s="7">
        <f>SUMIFS('Tong_hop_HQNV_2026Q1_2026-06-23'!$L:$L,'Tong_hop_HQNV_2026Q1_2026-06-23'!$B:$B, "="&amp;'CHECK_DT-BT'!A14, 'Tong_hop_HQNV_2026Q1_2026-06-23'!$A:$A, "="&amp;'CHECK_DT-BT'!$Y$2)</f>
        <v>5390570887</v>
      </c>
      <c r="Z14" s="7">
        <f>SUMIFS('Tong_hop_HQNV_2026Q1_2026-06-23'!$L:$L,'Tong_hop_HQNV_2026Q1_2026-06-23'!$B:$B, "="&amp;'CHECK_DT-BT'!A14, 'Tong_hop_HQNV_2026Q1_2026-06-23'!$A:$A, "="&amp;'CHECK_DT-BT'!$Z$2)</f>
        <v>2520899947</v>
      </c>
      <c r="AA14" s="7">
        <f>SUMIFS('Tong_hop_HQNV_2026Q1_2026-06-23'!$L:$L,'Tong_hop_HQNV_2026Q1_2026-06-23'!$B:$B, "="&amp;'CHECK_DT-BT'!A14, 'Tong_hop_HQNV_2026Q1_2026-06-23'!$A:$A, "="&amp;$AA$2)</f>
        <v>15440443</v>
      </c>
      <c r="AB14" s="7">
        <f>SUMIFS('Tong_hop_HQNV_2026Q1_2026-06-23'!$L:$L,'Tong_hop_HQNV_2026Q1_2026-06-23'!$B:$B, "="&amp;'CHECK_DT-BT'!A14, 'Tong_hop_HQNV_2026Q1_2026-06-23'!$A:$A, "="&amp;$AB$2)</f>
        <v>0</v>
      </c>
      <c r="AC14" s="7">
        <f>SUMIFS('Tong_hop_HQNV_2026Q1_2026-06-23'!$L:$L,'Tong_hop_HQNV_2026Q1_2026-06-23'!$B:$B, "="&amp;'CHECK_DT-BT'!A14, 'Tong_hop_HQNV_2026Q1_2026-06-23'!$A:$A, "="&amp;$AC$2)</f>
        <v>0</v>
      </c>
      <c r="AD14" s="7">
        <f>SUMIFS('Tong_hop_HQNV_2026Q1_2026-06-23'!$L:$L,'Tong_hop_HQNV_2026Q1_2026-06-23'!$B:$B, "="&amp;'CHECK_DT-BT'!A14, 'Tong_hop_HQNV_2026Q1_2026-06-23'!$A:$A, "="&amp;$AD$2)</f>
        <v>0</v>
      </c>
      <c r="AE14" s="7">
        <f>SUMIFS('Tong_hop_HQNV_2026Q1_2026-06-23'!$L:$L,'Tong_hop_HQNV_2026Q1_2026-06-23'!$B:$B, "="&amp;'CHECK_DT-BT'!A14, 'Tong_hop_HQNV_2026Q1_2026-06-23'!$A:$A, "="&amp;$AE$2)</f>
        <v>87550000</v>
      </c>
      <c r="AF14" s="7">
        <f>SUMIFS('Tong_hop_HQNV_2026Q1_2026-06-23'!$L:$L,'Tong_hop_HQNV_2026Q1_2026-06-23'!$B:$B, "="&amp;'CHECK_DT-BT'!A14, 'Tong_hop_HQNV_2026Q1_2026-06-23'!$A:$A, "="&amp;$AF$2)</f>
        <v>0</v>
      </c>
      <c r="AG14" s="7">
        <f>SUMIFS('Tong_hop_HQNV_2026Q1_2026-06-23'!$L:$L,'Tong_hop_HQNV_2026Q1_2026-06-23'!$B:$B, "="&amp;'CHECK_DT-BT'!A14, 'Tong_hop_HQNV_2026Q1_2026-06-23'!$A:$A, "="&amp;$AG$2)</f>
        <v>0</v>
      </c>
      <c r="AH14" s="7">
        <f>SUMIFS('Tong_hop_HQNV_2026Q1_2026-06-23'!$L:$L,'Tong_hop_HQNV_2026Q1_2026-06-23'!$B:$B, "="&amp;'CHECK_DT-BT'!A14, 'Tong_hop_HQNV_2026Q1_2026-06-23'!$A:$A, "="&amp;$AH$2)</f>
        <v>0</v>
      </c>
      <c r="AI14" s="7">
        <f>SUMIFS('Tong_hop_HQNV_2026Q1_2026-06-23'!$L:$L,'Tong_hop_HQNV_2026Q1_2026-06-23'!$B:$B, "="&amp;'CHECK_DT-BT'!A14, 'Tong_hop_HQNV_2026Q1_2026-06-23'!$A:$A, "="&amp;$AI$2)</f>
        <v>0</v>
      </c>
      <c r="AJ14" s="7">
        <f t="shared" si="6"/>
        <v>8784394304</v>
      </c>
      <c r="AK14" s="7">
        <f t="shared" si="7"/>
        <v>102990443</v>
      </c>
      <c r="AL14" s="7">
        <f>SUMIFS('HQ1'!$D:$D,'HQ1'!$A:$A, "="&amp;'CHECK_DT-BT'!C14, 'HQ1'!$B:$B, "Total")</f>
        <v>8784394304</v>
      </c>
      <c r="AM14" s="7">
        <f>SUMIFS('HQ2'!$J:$J,'HQ2'!$A:$A, "="&amp;'CHECK_DT-BT'!C14, 'HQ2'!$B:$B, "Total")</f>
        <v>102990443</v>
      </c>
      <c r="AN14" s="24">
        <f t="shared" si="8"/>
        <v>0</v>
      </c>
      <c r="AO14" s="24">
        <f t="shared" si="9"/>
        <v>0</v>
      </c>
    </row>
    <row r="15" spans="1:41" x14ac:dyDescent="0.25">
      <c r="A15" s="9" t="s">
        <v>295</v>
      </c>
      <c r="B15" t="s">
        <v>153</v>
      </c>
      <c r="C15" t="s">
        <v>78</v>
      </c>
      <c r="D15" s="7">
        <f>SUMIFS('Tong_hop_HQNV_2026Q1_2026-06-23'!$K:$K,'Tong_hop_HQNV_2026Q1_2026-06-23'!$A:$A,"="&amp;'CHECK_DT-BT'!$D$2,'Tong_hop_HQNV_2026Q1_2026-06-23'!$B:$B, "="&amp;'CHECK_DT-BT'!A15)</f>
        <v>1422788000</v>
      </c>
      <c r="E15" s="7">
        <f>SUMIFS('Tong_hop_HQNV_2026Q1_2026-06-23'!$K:$K,'Tong_hop_HQNV_2026Q1_2026-06-23'!$A:$A,"="&amp;'CHECK_DT-BT'!$E$2,'Tong_hop_HQNV_2026Q1_2026-06-23'!$B:$B, "="&amp;'CHECK_DT-BT'!A15)</f>
        <v>43330000</v>
      </c>
      <c r="F15" s="7">
        <f>SUMIFS('Tong_hop_HQNV_2026Q1_2026-06-23'!$K:$K,'Tong_hop_HQNV_2026Q1_2026-06-23'!$A:$A,"="&amp;'CHECK_DT-BT'!$F$2,'Tong_hop_HQNV_2026Q1_2026-06-23'!$B:$B, "="&amp;'CHECK_DT-BT'!A15)</f>
        <v>6502349157</v>
      </c>
      <c r="G15" s="7">
        <f>SUMIFS('Tong_hop_HQNV_2026Q1_2026-06-23'!$K:$K,'Tong_hop_HQNV_2026Q1_2026-06-23'!$A:$A,"="&amp;'CHECK_DT-BT'!$G$2,'Tong_hop_HQNV_2026Q1_2026-06-23'!$B:$B, "="&amp;'CHECK_DT-BT'!A15)</f>
        <v>607147990</v>
      </c>
      <c r="H15" s="7">
        <f>SUMIFS('Tong_hop_HQNV_2026Q1_2026-06-23'!$K:$K,'Tong_hop_HQNV_2026Q1_2026-06-23'!$A:$A,"="&amp;$H$2,'Tong_hop_HQNV_2026Q1_2026-06-23'!$B:$B, "="&amp;'CHECK_DT-BT'!A15)</f>
        <v>899506868</v>
      </c>
      <c r="I15" s="7">
        <f>SUMIFS('Tong_hop_HQNV_2026Q1_2026-06-23'!$K:$K,'Tong_hop_HQNV_2026Q1_2026-06-23'!$A:$A,"="&amp;$I$2,'Tong_hop_HQNV_2026Q1_2026-06-23'!$B:$B, "="&amp;'CHECK_DT-BT'!A15)</f>
        <v>0</v>
      </c>
      <c r="J15" s="7">
        <f>SUMIFS('Tong_hop_HQNV_2026Q1_2026-06-23'!$K:$K,'Tong_hop_HQNV_2026Q1_2026-06-23'!$A:$A,"="&amp;$J$2,'Tong_hop_HQNV_2026Q1_2026-06-23'!$B:$B, "="&amp;'CHECK_DT-BT'!A15)</f>
        <v>0</v>
      </c>
      <c r="K15" s="7">
        <f>SUMIFS('Tong_hop_HQNV_2026Q1_2026-06-23'!$K:$K,'Tong_hop_HQNV_2026Q1_2026-06-23'!$A:$A,"="&amp;$K$2,'Tong_hop_HQNV_2026Q1_2026-06-23'!$B:$B, "="&amp;'CHECK_DT-BT'!A15)</f>
        <v>699867302</v>
      </c>
      <c r="L15" s="7">
        <f>SUMIFS('Tong_hop_HQNV_2026Q1_2026-06-23'!$K:$K,'Tong_hop_HQNV_2026Q1_2026-06-23'!$A:$A,"="&amp;$L$2,'Tong_hop_HQNV_2026Q1_2026-06-23'!$B:$B, "="&amp;'CHECK_DT-BT'!A15)</f>
        <v>2678230589</v>
      </c>
      <c r="M15" s="7">
        <f>SUMIFS('Tong_hop_HQNV_2026Q1_2026-06-23'!$K:$K,'Tong_hop_HQNV_2026Q1_2026-06-23'!$A:$A,"="&amp;$M$2,'Tong_hop_HQNV_2026Q1_2026-06-23'!$B:$B, "="&amp;'CHECK_DT-BT'!A15)</f>
        <v>421748637</v>
      </c>
      <c r="N15" s="7">
        <f>SUMIFS('Tong_hop_HQNV_2026Q1_2026-06-23'!$K:$K,'Tong_hop_HQNV_2026Q1_2026-06-23'!$A:$A,"="&amp;$N$2,'Tong_hop_HQNV_2026Q1_2026-06-23'!$B:$B, "="&amp;'CHECK_DT-BT'!A15)</f>
        <v>18982248</v>
      </c>
      <c r="O15" s="7">
        <f>SUMIFS('Tong_hop_HQNV_2026Q1_2026-06-23'!$K:$K,'Tong_hop_HQNV_2026Q1_2026-06-23'!$A:$A,"="&amp;$O$2,'Tong_hop_HQNV_2026Q1_2026-06-23'!$B:$B, "="&amp;'CHECK_DT-BT'!A15)</f>
        <v>0</v>
      </c>
      <c r="P15" s="7">
        <f>SUMIFS('Tong_hop_HQNV_2026Q1_2026-06-23'!$K:$K,'Tong_hop_HQNV_2026Q1_2026-06-23'!$A:$A,"="&amp;$P$2,'Tong_hop_HQNV_2026Q1_2026-06-23'!$B:$B, "="&amp;'CHECK_DT-BT'!A15)</f>
        <v>93692960</v>
      </c>
      <c r="Q15" s="7">
        <f t="shared" si="2"/>
        <v>8575615147</v>
      </c>
      <c r="R15" s="7">
        <f t="shared" si="3"/>
        <v>4718335644</v>
      </c>
      <c r="S15" s="7">
        <f>SUMIFS('HQ1'!$C:$C,'HQ1'!$A:$A, "="&amp;'CHECK_DT-BT'!C15, 'HQ1'!$B:$B, "Total")</f>
        <v>8575615147</v>
      </c>
      <c r="T15" s="7">
        <f>SUMIFS('HQ2'!$C:$C,'HQ2'!$A:$A, "="&amp;'CHECK_DT-BT'!C15, 'HQ2'!$B:$B, "Total")</f>
        <v>4717832079</v>
      </c>
      <c r="U15" s="7">
        <f t="shared" si="4"/>
        <v>0</v>
      </c>
      <c r="V15" s="7">
        <f t="shared" si="5"/>
        <v>503565</v>
      </c>
      <c r="W15" s="23">
        <f>SUMIFS('Tong_hop_HQNV_2026Q1_2026-06-23'!$L:$L,'Tong_hop_HQNV_2026Q1_2026-06-23'!$B:$B, "="&amp;'CHECK_DT-BT'!A15, 'Tong_hop_HQNV_2026Q1_2026-06-23'!$A:$A, "="&amp;'CHECK_DT-BT'!$W$2)</f>
        <v>1161236293</v>
      </c>
      <c r="X15" s="7">
        <f>SUMIFS('Tong_hop_HQNV_2026Q1_2026-06-23'!$L:$L,'Tong_hop_HQNV_2026Q1_2026-06-23'!$B:$B, "="&amp;'CHECK_DT-BT'!A15, 'Tong_hop_HQNV_2026Q1_2026-06-23'!$A:$A, "="&amp;'CHECK_DT-BT'!$X$2)</f>
        <v>0</v>
      </c>
      <c r="Y15" s="7">
        <f>SUMIFS('Tong_hop_HQNV_2026Q1_2026-06-23'!$L:$L,'Tong_hop_HQNV_2026Q1_2026-06-23'!$B:$B, "="&amp;'CHECK_DT-BT'!A15, 'Tong_hop_HQNV_2026Q1_2026-06-23'!$A:$A, "="&amp;'CHECK_DT-BT'!$Y$2)</f>
        <v>2509112397</v>
      </c>
      <c r="Z15" s="7">
        <f>SUMIFS('Tong_hop_HQNV_2026Q1_2026-06-23'!$L:$L,'Tong_hop_HQNV_2026Q1_2026-06-23'!$B:$B, "="&amp;'CHECK_DT-BT'!A15, 'Tong_hop_HQNV_2026Q1_2026-06-23'!$A:$A, "="&amp;'CHECK_DT-BT'!$Z$2)</f>
        <v>531133016</v>
      </c>
      <c r="AA15" s="7">
        <f>SUMIFS('Tong_hop_HQNV_2026Q1_2026-06-23'!$L:$L,'Tong_hop_HQNV_2026Q1_2026-06-23'!$B:$B, "="&amp;'CHECK_DT-BT'!A15, 'Tong_hop_HQNV_2026Q1_2026-06-23'!$A:$A, "="&amp;$AA$2)</f>
        <v>0</v>
      </c>
      <c r="AB15" s="7">
        <f>SUMIFS('Tong_hop_HQNV_2026Q1_2026-06-23'!$L:$L,'Tong_hop_HQNV_2026Q1_2026-06-23'!$B:$B, "="&amp;'CHECK_DT-BT'!A15, 'Tong_hop_HQNV_2026Q1_2026-06-23'!$A:$A, "="&amp;$AB$2)</f>
        <v>0</v>
      </c>
      <c r="AC15" s="7">
        <f>SUMIFS('Tong_hop_HQNV_2026Q1_2026-06-23'!$L:$L,'Tong_hop_HQNV_2026Q1_2026-06-23'!$B:$B, "="&amp;'CHECK_DT-BT'!A15, 'Tong_hop_HQNV_2026Q1_2026-06-23'!$A:$A, "="&amp;$AC$2)</f>
        <v>0</v>
      </c>
      <c r="AD15" s="7">
        <f>SUMIFS('Tong_hop_HQNV_2026Q1_2026-06-23'!$L:$L,'Tong_hop_HQNV_2026Q1_2026-06-23'!$B:$B, "="&amp;'CHECK_DT-BT'!A15, 'Tong_hop_HQNV_2026Q1_2026-06-23'!$A:$A, "="&amp;$AD$2)</f>
        <v>0</v>
      </c>
      <c r="AE15" s="7">
        <f>SUMIFS('Tong_hop_HQNV_2026Q1_2026-06-23'!$L:$L,'Tong_hop_HQNV_2026Q1_2026-06-23'!$B:$B, "="&amp;'CHECK_DT-BT'!A15, 'Tong_hop_HQNV_2026Q1_2026-06-23'!$A:$A, "="&amp;$AE$2)</f>
        <v>8170781111</v>
      </c>
      <c r="AF15" s="7">
        <f>SUMIFS('Tong_hop_HQNV_2026Q1_2026-06-23'!$L:$L,'Tong_hop_HQNV_2026Q1_2026-06-23'!$B:$B, "="&amp;'CHECK_DT-BT'!A15, 'Tong_hop_HQNV_2026Q1_2026-06-23'!$A:$A, "="&amp;$AF$2)</f>
        <v>0</v>
      </c>
      <c r="AG15" s="7">
        <f>SUMIFS('Tong_hop_HQNV_2026Q1_2026-06-23'!$L:$L,'Tong_hop_HQNV_2026Q1_2026-06-23'!$B:$B, "="&amp;'CHECK_DT-BT'!A15, 'Tong_hop_HQNV_2026Q1_2026-06-23'!$A:$A, "="&amp;$AG$2)</f>
        <v>0</v>
      </c>
      <c r="AH15" s="7">
        <f>SUMIFS('Tong_hop_HQNV_2026Q1_2026-06-23'!$L:$L,'Tong_hop_HQNV_2026Q1_2026-06-23'!$B:$B, "="&amp;'CHECK_DT-BT'!A15, 'Tong_hop_HQNV_2026Q1_2026-06-23'!$A:$A, "="&amp;$AH$2)</f>
        <v>0</v>
      </c>
      <c r="AI15" s="7">
        <f>SUMIFS('Tong_hop_HQNV_2026Q1_2026-06-23'!$L:$L,'Tong_hop_HQNV_2026Q1_2026-06-23'!$B:$B, "="&amp;'CHECK_DT-BT'!A15, 'Tong_hop_HQNV_2026Q1_2026-06-23'!$A:$A, "="&amp;$AI$2)</f>
        <v>0</v>
      </c>
      <c r="AJ15" s="7">
        <f t="shared" si="6"/>
        <v>4201481706</v>
      </c>
      <c r="AK15" s="7">
        <f t="shared" si="7"/>
        <v>8170781111</v>
      </c>
      <c r="AL15" s="7">
        <f>SUMIFS('HQ1'!$D:$D,'HQ1'!$A:$A, "="&amp;'CHECK_DT-BT'!C15, 'HQ1'!$B:$B, "Total")</f>
        <v>4201481706</v>
      </c>
      <c r="AM15" s="7">
        <f>SUMIFS('HQ2'!$J:$J,'HQ2'!$A:$A, "="&amp;'CHECK_DT-BT'!C15, 'HQ2'!$B:$B, "Total")</f>
        <v>8170781111</v>
      </c>
      <c r="AN15" s="24">
        <f t="shared" si="8"/>
        <v>0</v>
      </c>
      <c r="AO15" s="24">
        <f t="shared" si="9"/>
        <v>0</v>
      </c>
    </row>
    <row r="16" spans="1:41" x14ac:dyDescent="0.25">
      <c r="A16" s="9" t="s">
        <v>296</v>
      </c>
      <c r="B16" t="s">
        <v>154</v>
      </c>
      <c r="C16" t="s">
        <v>88</v>
      </c>
      <c r="D16" s="7">
        <f>SUMIFS('Tong_hop_HQNV_2026Q1_2026-06-23'!$K:$K,'Tong_hop_HQNV_2026Q1_2026-06-23'!$A:$A,"="&amp;'CHECK_DT-BT'!$D$2,'Tong_hop_HQNV_2026Q1_2026-06-23'!$B:$B, "="&amp;'CHECK_DT-BT'!A16)</f>
        <v>4857142900</v>
      </c>
      <c r="E16" s="7">
        <f>SUMIFS('Tong_hop_HQNV_2026Q1_2026-06-23'!$K:$K,'Tong_hop_HQNV_2026Q1_2026-06-23'!$A:$A,"="&amp;'CHECK_DT-BT'!$E$2,'Tong_hop_HQNV_2026Q1_2026-06-23'!$B:$B, "="&amp;'CHECK_DT-BT'!A16)</f>
        <v>110977500</v>
      </c>
      <c r="F16" s="7">
        <f>SUMIFS('Tong_hop_HQNV_2026Q1_2026-06-23'!$K:$K,'Tong_hop_HQNV_2026Q1_2026-06-23'!$A:$A,"="&amp;'CHECK_DT-BT'!$F$2,'Tong_hop_HQNV_2026Q1_2026-06-23'!$B:$B, "="&amp;'CHECK_DT-BT'!A16)</f>
        <v>7537033112</v>
      </c>
      <c r="G16" s="7">
        <f>SUMIFS('Tong_hop_HQNV_2026Q1_2026-06-23'!$K:$K,'Tong_hop_HQNV_2026Q1_2026-06-23'!$A:$A,"="&amp;'CHECK_DT-BT'!$G$2,'Tong_hop_HQNV_2026Q1_2026-06-23'!$B:$B, "="&amp;'CHECK_DT-BT'!A16)</f>
        <v>1754650990</v>
      </c>
      <c r="H16" s="7">
        <f>SUMIFS('Tong_hop_HQNV_2026Q1_2026-06-23'!$K:$K,'Tong_hop_HQNV_2026Q1_2026-06-23'!$A:$A,"="&amp;$H$2,'Tong_hop_HQNV_2026Q1_2026-06-23'!$B:$B, "="&amp;'CHECK_DT-BT'!A16)</f>
        <v>36492153</v>
      </c>
      <c r="I16" s="7">
        <f>SUMIFS('Tong_hop_HQNV_2026Q1_2026-06-23'!$K:$K,'Tong_hop_HQNV_2026Q1_2026-06-23'!$A:$A,"="&amp;$I$2,'Tong_hop_HQNV_2026Q1_2026-06-23'!$B:$B, "="&amp;'CHECK_DT-BT'!A16)</f>
        <v>0</v>
      </c>
      <c r="J16" s="7">
        <f>SUMIFS('Tong_hop_HQNV_2026Q1_2026-06-23'!$K:$K,'Tong_hop_HQNV_2026Q1_2026-06-23'!$A:$A,"="&amp;$J$2,'Tong_hop_HQNV_2026Q1_2026-06-23'!$B:$B, "="&amp;'CHECK_DT-BT'!A16)</f>
        <v>0</v>
      </c>
      <c r="K16" s="7">
        <f>SUMIFS('Tong_hop_HQNV_2026Q1_2026-06-23'!$K:$K,'Tong_hop_HQNV_2026Q1_2026-06-23'!$A:$A,"="&amp;$K$2,'Tong_hop_HQNV_2026Q1_2026-06-23'!$B:$B, "="&amp;'CHECK_DT-BT'!A16)</f>
        <v>1049150000</v>
      </c>
      <c r="L16" s="7">
        <f>SUMIFS('Tong_hop_HQNV_2026Q1_2026-06-23'!$K:$K,'Tong_hop_HQNV_2026Q1_2026-06-23'!$A:$A,"="&amp;$L$2,'Tong_hop_HQNV_2026Q1_2026-06-23'!$B:$B, "="&amp;'CHECK_DT-BT'!A16)</f>
        <v>1629943484</v>
      </c>
      <c r="M16" s="7">
        <f>SUMIFS('Tong_hop_HQNV_2026Q1_2026-06-23'!$K:$K,'Tong_hop_HQNV_2026Q1_2026-06-23'!$A:$A,"="&amp;$M$2,'Tong_hop_HQNV_2026Q1_2026-06-23'!$B:$B, "="&amp;'CHECK_DT-BT'!A16)</f>
        <v>96153641</v>
      </c>
      <c r="N16" s="7">
        <f>SUMIFS('Tong_hop_HQNV_2026Q1_2026-06-23'!$K:$K,'Tong_hop_HQNV_2026Q1_2026-06-23'!$A:$A,"="&amp;$N$2,'Tong_hop_HQNV_2026Q1_2026-06-23'!$B:$B, "="&amp;'CHECK_DT-BT'!A16)</f>
        <v>24038182</v>
      </c>
      <c r="O16" s="7">
        <f>SUMIFS('Tong_hop_HQNV_2026Q1_2026-06-23'!$K:$K,'Tong_hop_HQNV_2026Q1_2026-06-23'!$A:$A,"="&amp;$O$2,'Tong_hop_HQNV_2026Q1_2026-06-23'!$B:$B, "="&amp;'CHECK_DT-BT'!A16)</f>
        <v>0</v>
      </c>
      <c r="P16" s="7">
        <f>SUMIFS('Tong_hop_HQNV_2026Q1_2026-06-23'!$K:$K,'Tong_hop_HQNV_2026Q1_2026-06-23'!$A:$A,"="&amp;$P$2,'Tong_hop_HQNV_2026Q1_2026-06-23'!$B:$B, "="&amp;'CHECK_DT-BT'!A16)</f>
        <v>0</v>
      </c>
      <c r="Q16" s="7">
        <f t="shared" si="2"/>
        <v>14259804502</v>
      </c>
      <c r="R16" s="7">
        <f t="shared" si="3"/>
        <v>2835777460</v>
      </c>
      <c r="S16" s="7">
        <f>SUMIFS('HQ1'!$C:$C,'HQ1'!$A:$A, "="&amp;'CHECK_DT-BT'!C16, 'HQ1'!$B:$B, "Total")</f>
        <v>14259804502</v>
      </c>
      <c r="T16" s="7">
        <f>SUMIFS('HQ2'!$C:$C,'HQ2'!$A:$A, "="&amp;'CHECK_DT-BT'!C16, 'HQ2'!$B:$B, "Total")</f>
        <v>2835777460</v>
      </c>
      <c r="U16" s="7">
        <f t="shared" si="4"/>
        <v>0</v>
      </c>
      <c r="V16" s="7">
        <f t="shared" si="5"/>
        <v>0</v>
      </c>
      <c r="W16" s="23">
        <f>SUMIFS('Tong_hop_HQNV_2026Q1_2026-06-23'!$L:$L,'Tong_hop_HQNV_2026Q1_2026-06-23'!$B:$B, "="&amp;'CHECK_DT-BT'!A16, 'Tong_hop_HQNV_2026Q1_2026-06-23'!$A:$A, "="&amp;'CHECK_DT-BT'!$W$2)</f>
        <v>6499254500</v>
      </c>
      <c r="X16" s="7">
        <f>SUMIFS('Tong_hop_HQNV_2026Q1_2026-06-23'!$L:$L,'Tong_hop_HQNV_2026Q1_2026-06-23'!$B:$B, "="&amp;'CHECK_DT-BT'!A16, 'Tong_hop_HQNV_2026Q1_2026-06-23'!$A:$A, "="&amp;'CHECK_DT-BT'!$X$2)</f>
        <v>0</v>
      </c>
      <c r="Y16" s="7">
        <f>SUMIFS('Tong_hop_HQNV_2026Q1_2026-06-23'!$L:$L,'Tong_hop_HQNV_2026Q1_2026-06-23'!$B:$B, "="&amp;'CHECK_DT-BT'!A16, 'Tong_hop_HQNV_2026Q1_2026-06-23'!$A:$A, "="&amp;'CHECK_DT-BT'!$Y$2)</f>
        <v>3047597238</v>
      </c>
      <c r="Z16" s="7">
        <f>SUMIFS('Tong_hop_HQNV_2026Q1_2026-06-23'!$L:$L,'Tong_hop_HQNV_2026Q1_2026-06-23'!$B:$B, "="&amp;'CHECK_DT-BT'!A16, 'Tong_hop_HQNV_2026Q1_2026-06-23'!$A:$A, "="&amp;'CHECK_DT-BT'!$Z$2)</f>
        <v>551915489</v>
      </c>
      <c r="AA16" s="7">
        <f>SUMIFS('Tong_hop_HQNV_2026Q1_2026-06-23'!$L:$L,'Tong_hop_HQNV_2026Q1_2026-06-23'!$B:$B, "="&amp;'CHECK_DT-BT'!A16, 'Tong_hop_HQNV_2026Q1_2026-06-23'!$A:$A, "="&amp;$AA$2)</f>
        <v>0</v>
      </c>
      <c r="AB16" s="7">
        <f>SUMIFS('Tong_hop_HQNV_2026Q1_2026-06-23'!$L:$L,'Tong_hop_HQNV_2026Q1_2026-06-23'!$B:$B, "="&amp;'CHECK_DT-BT'!A16, 'Tong_hop_HQNV_2026Q1_2026-06-23'!$A:$A, "="&amp;$AB$2)</f>
        <v>0</v>
      </c>
      <c r="AC16" s="7">
        <f>SUMIFS('Tong_hop_HQNV_2026Q1_2026-06-23'!$L:$L,'Tong_hop_HQNV_2026Q1_2026-06-23'!$B:$B, "="&amp;'CHECK_DT-BT'!A16, 'Tong_hop_HQNV_2026Q1_2026-06-23'!$A:$A, "="&amp;$AC$2)</f>
        <v>0</v>
      </c>
      <c r="AD16" s="7">
        <f>SUMIFS('Tong_hop_HQNV_2026Q1_2026-06-23'!$L:$L,'Tong_hop_HQNV_2026Q1_2026-06-23'!$B:$B, "="&amp;'CHECK_DT-BT'!A16, 'Tong_hop_HQNV_2026Q1_2026-06-23'!$A:$A, "="&amp;$AD$2)</f>
        <v>24375000</v>
      </c>
      <c r="AE16" s="7">
        <f>SUMIFS('Tong_hop_HQNV_2026Q1_2026-06-23'!$L:$L,'Tong_hop_HQNV_2026Q1_2026-06-23'!$B:$B, "="&amp;'CHECK_DT-BT'!A16, 'Tong_hop_HQNV_2026Q1_2026-06-23'!$A:$A, "="&amp;$AE$2)</f>
        <v>0</v>
      </c>
      <c r="AF16" s="7">
        <f>SUMIFS('Tong_hop_HQNV_2026Q1_2026-06-23'!$L:$L,'Tong_hop_HQNV_2026Q1_2026-06-23'!$B:$B, "="&amp;'CHECK_DT-BT'!A16, 'Tong_hop_HQNV_2026Q1_2026-06-23'!$A:$A, "="&amp;$AF$2)</f>
        <v>0</v>
      </c>
      <c r="AG16" s="7">
        <f>SUMIFS('Tong_hop_HQNV_2026Q1_2026-06-23'!$L:$L,'Tong_hop_HQNV_2026Q1_2026-06-23'!$B:$B, "="&amp;'CHECK_DT-BT'!A16, 'Tong_hop_HQNV_2026Q1_2026-06-23'!$A:$A, "="&amp;$AG$2)</f>
        <v>0</v>
      </c>
      <c r="AH16" s="7">
        <f>SUMIFS('Tong_hop_HQNV_2026Q1_2026-06-23'!$L:$L,'Tong_hop_HQNV_2026Q1_2026-06-23'!$B:$B, "="&amp;'CHECK_DT-BT'!A16, 'Tong_hop_HQNV_2026Q1_2026-06-23'!$A:$A, "="&amp;$AH$2)</f>
        <v>0</v>
      </c>
      <c r="AI16" s="7">
        <f>SUMIFS('Tong_hop_HQNV_2026Q1_2026-06-23'!$L:$L,'Tong_hop_HQNV_2026Q1_2026-06-23'!$B:$B, "="&amp;'CHECK_DT-BT'!A16, 'Tong_hop_HQNV_2026Q1_2026-06-23'!$A:$A, "="&amp;$AI$2)</f>
        <v>0</v>
      </c>
      <c r="AJ16" s="7">
        <f t="shared" si="6"/>
        <v>10098767227</v>
      </c>
      <c r="AK16" s="7">
        <f t="shared" si="7"/>
        <v>24375000</v>
      </c>
      <c r="AL16" s="7">
        <f>SUMIFS('HQ1'!$D:$D,'HQ1'!$A:$A, "="&amp;'CHECK_DT-BT'!C16, 'HQ1'!$B:$B, "Total")</f>
        <v>10098767227</v>
      </c>
      <c r="AM16" s="7">
        <f>SUMIFS('HQ2'!$J:$J,'HQ2'!$A:$A, "="&amp;'CHECK_DT-BT'!C16, 'HQ2'!$B:$B, "Total")</f>
        <v>24375000</v>
      </c>
      <c r="AN16" s="24">
        <f t="shared" si="8"/>
        <v>0</v>
      </c>
      <c r="AO16" s="24">
        <f t="shared" si="9"/>
        <v>0</v>
      </c>
    </row>
    <row r="17" spans="1:41" x14ac:dyDescent="0.25">
      <c r="A17" s="9" t="s">
        <v>297</v>
      </c>
      <c r="B17" t="s">
        <v>155</v>
      </c>
      <c r="C17" t="s">
        <v>106</v>
      </c>
      <c r="D17" s="7">
        <f>SUMIFS('Tong_hop_HQNV_2026Q1_2026-06-23'!$K:$K,'Tong_hop_HQNV_2026Q1_2026-06-23'!$A:$A,"="&amp;'CHECK_DT-BT'!$D$2,'Tong_hop_HQNV_2026Q1_2026-06-23'!$B:$B, "="&amp;'CHECK_DT-BT'!A17)</f>
        <v>1263057320</v>
      </c>
      <c r="E17" s="7">
        <f>SUMIFS('Tong_hop_HQNV_2026Q1_2026-06-23'!$K:$K,'Tong_hop_HQNV_2026Q1_2026-06-23'!$A:$A,"="&amp;'CHECK_DT-BT'!$E$2,'Tong_hop_HQNV_2026Q1_2026-06-23'!$B:$B, "="&amp;'CHECK_DT-BT'!A17)</f>
        <v>1352000</v>
      </c>
      <c r="F17" s="7">
        <f>SUMIFS('Tong_hop_HQNV_2026Q1_2026-06-23'!$K:$K,'Tong_hop_HQNV_2026Q1_2026-06-23'!$A:$A,"="&amp;'CHECK_DT-BT'!$F$2,'Tong_hop_HQNV_2026Q1_2026-06-23'!$B:$B, "="&amp;'CHECK_DT-BT'!A17)</f>
        <v>2900145301</v>
      </c>
      <c r="G17" s="7">
        <f>SUMIFS('Tong_hop_HQNV_2026Q1_2026-06-23'!$K:$K,'Tong_hop_HQNV_2026Q1_2026-06-23'!$A:$A,"="&amp;'CHECK_DT-BT'!$G$2,'Tong_hop_HQNV_2026Q1_2026-06-23'!$B:$B, "="&amp;'CHECK_DT-BT'!A17)</f>
        <v>817871273</v>
      </c>
      <c r="H17" s="7">
        <f>SUMIFS('Tong_hop_HQNV_2026Q1_2026-06-23'!$K:$K,'Tong_hop_HQNV_2026Q1_2026-06-23'!$A:$A,"="&amp;$H$2,'Tong_hop_HQNV_2026Q1_2026-06-23'!$B:$B, "="&amp;'CHECK_DT-BT'!A17)</f>
        <v>413154312</v>
      </c>
      <c r="I17" s="7">
        <f>SUMIFS('Tong_hop_HQNV_2026Q1_2026-06-23'!$K:$K,'Tong_hop_HQNV_2026Q1_2026-06-23'!$A:$A,"="&amp;$I$2,'Tong_hop_HQNV_2026Q1_2026-06-23'!$B:$B, "="&amp;'CHECK_DT-BT'!A17)</f>
        <v>0</v>
      </c>
      <c r="J17" s="7">
        <f>SUMIFS('Tong_hop_HQNV_2026Q1_2026-06-23'!$K:$K,'Tong_hop_HQNV_2026Q1_2026-06-23'!$A:$A,"="&amp;$J$2,'Tong_hop_HQNV_2026Q1_2026-06-23'!$B:$B, "="&amp;'CHECK_DT-BT'!A17)</f>
        <v>0</v>
      </c>
      <c r="K17" s="7">
        <f>SUMIFS('Tong_hop_HQNV_2026Q1_2026-06-23'!$K:$K,'Tong_hop_HQNV_2026Q1_2026-06-23'!$A:$A,"="&amp;$K$2,'Tong_hop_HQNV_2026Q1_2026-06-23'!$B:$B, "="&amp;'CHECK_DT-BT'!A17)</f>
        <v>404028934</v>
      </c>
      <c r="L17" s="7">
        <f>SUMIFS('Tong_hop_HQNV_2026Q1_2026-06-23'!$K:$K,'Tong_hop_HQNV_2026Q1_2026-06-23'!$A:$A,"="&amp;$L$2,'Tong_hop_HQNV_2026Q1_2026-06-23'!$B:$B, "="&amp;'CHECK_DT-BT'!A17)</f>
        <v>369894391</v>
      </c>
      <c r="M17" s="7">
        <f>SUMIFS('Tong_hop_HQNV_2026Q1_2026-06-23'!$K:$K,'Tong_hop_HQNV_2026Q1_2026-06-23'!$A:$A,"="&amp;$M$2,'Tong_hop_HQNV_2026Q1_2026-06-23'!$B:$B, "="&amp;'CHECK_DT-BT'!A17)</f>
        <v>21768521</v>
      </c>
      <c r="N17" s="7">
        <f>SUMIFS('Tong_hop_HQNV_2026Q1_2026-06-23'!$K:$K,'Tong_hop_HQNV_2026Q1_2026-06-23'!$A:$A,"="&amp;$N$2,'Tong_hop_HQNV_2026Q1_2026-06-23'!$B:$B, "="&amp;'CHECK_DT-BT'!A17)</f>
        <v>0</v>
      </c>
      <c r="O17" s="7">
        <f>SUMIFS('Tong_hop_HQNV_2026Q1_2026-06-23'!$K:$K,'Tong_hop_HQNV_2026Q1_2026-06-23'!$A:$A,"="&amp;$O$2,'Tong_hop_HQNV_2026Q1_2026-06-23'!$B:$B, "="&amp;'CHECK_DT-BT'!A17)</f>
        <v>0</v>
      </c>
      <c r="P17" s="7">
        <f>SUMIFS('Tong_hop_HQNV_2026Q1_2026-06-23'!$K:$K,'Tong_hop_HQNV_2026Q1_2026-06-23'!$A:$A,"="&amp;$P$2,'Tong_hop_HQNV_2026Q1_2026-06-23'!$B:$B, "="&amp;'CHECK_DT-BT'!A17)</f>
        <v>0</v>
      </c>
      <c r="Q17" s="7">
        <f t="shared" si="2"/>
        <v>4982425894</v>
      </c>
      <c r="R17" s="7">
        <f t="shared" si="3"/>
        <v>1208846158</v>
      </c>
      <c r="S17" s="7">
        <f>SUMIFS('HQ1'!$C:$C,'HQ1'!$A:$A, "="&amp;'CHECK_DT-BT'!C17, 'HQ1'!$B:$B, "Total")</f>
        <v>4982425894</v>
      </c>
      <c r="T17" s="7">
        <f>SUMIFS('HQ2'!$C:$C,'HQ2'!$A:$A, "="&amp;'CHECK_DT-BT'!C17, 'HQ2'!$B:$B, "Total")</f>
        <v>1208846158</v>
      </c>
      <c r="U17" s="7">
        <f t="shared" si="4"/>
        <v>0</v>
      </c>
      <c r="V17" s="7">
        <f t="shared" si="5"/>
        <v>0</v>
      </c>
      <c r="W17" s="23">
        <f>SUMIFS('Tong_hop_HQNV_2026Q1_2026-06-23'!$L:$L,'Tong_hop_HQNV_2026Q1_2026-06-23'!$B:$B, "="&amp;'CHECK_DT-BT'!A17, 'Tong_hop_HQNV_2026Q1_2026-06-23'!$A:$A, "="&amp;'CHECK_DT-BT'!$W$2)</f>
        <v>1183759602</v>
      </c>
      <c r="X17" s="7">
        <f>SUMIFS('Tong_hop_HQNV_2026Q1_2026-06-23'!$L:$L,'Tong_hop_HQNV_2026Q1_2026-06-23'!$B:$B, "="&amp;'CHECK_DT-BT'!A17, 'Tong_hop_HQNV_2026Q1_2026-06-23'!$A:$A, "="&amp;'CHECK_DT-BT'!$X$2)</f>
        <v>0</v>
      </c>
      <c r="Y17" s="7">
        <f>SUMIFS('Tong_hop_HQNV_2026Q1_2026-06-23'!$L:$L,'Tong_hop_HQNV_2026Q1_2026-06-23'!$B:$B, "="&amp;'CHECK_DT-BT'!A17, 'Tong_hop_HQNV_2026Q1_2026-06-23'!$A:$A, "="&amp;'CHECK_DT-BT'!$Y$2)</f>
        <v>893161298</v>
      </c>
      <c r="Z17" s="7">
        <f>SUMIFS('Tong_hop_HQNV_2026Q1_2026-06-23'!$L:$L,'Tong_hop_HQNV_2026Q1_2026-06-23'!$B:$B, "="&amp;'CHECK_DT-BT'!A17, 'Tong_hop_HQNV_2026Q1_2026-06-23'!$A:$A, "="&amp;'CHECK_DT-BT'!$Z$2)</f>
        <v>249910499</v>
      </c>
      <c r="AA17" s="7">
        <f>SUMIFS('Tong_hop_HQNV_2026Q1_2026-06-23'!$L:$L,'Tong_hop_HQNV_2026Q1_2026-06-23'!$B:$B, "="&amp;'CHECK_DT-BT'!A17, 'Tong_hop_HQNV_2026Q1_2026-06-23'!$A:$A, "="&amp;$AA$2)</f>
        <v>0</v>
      </c>
      <c r="AB17" s="7">
        <f>SUMIFS('Tong_hop_HQNV_2026Q1_2026-06-23'!$L:$L,'Tong_hop_HQNV_2026Q1_2026-06-23'!$B:$B, "="&amp;'CHECK_DT-BT'!A17, 'Tong_hop_HQNV_2026Q1_2026-06-23'!$A:$A, "="&amp;$AB$2)</f>
        <v>0</v>
      </c>
      <c r="AC17" s="7">
        <f>SUMIFS('Tong_hop_HQNV_2026Q1_2026-06-23'!$L:$L,'Tong_hop_HQNV_2026Q1_2026-06-23'!$B:$B, "="&amp;'CHECK_DT-BT'!A17, 'Tong_hop_HQNV_2026Q1_2026-06-23'!$A:$A, "="&amp;$AC$2)</f>
        <v>0</v>
      </c>
      <c r="AD17" s="7">
        <f>SUMIFS('Tong_hop_HQNV_2026Q1_2026-06-23'!$L:$L,'Tong_hop_HQNV_2026Q1_2026-06-23'!$B:$B, "="&amp;'CHECK_DT-BT'!A17, 'Tong_hop_HQNV_2026Q1_2026-06-23'!$A:$A, "="&amp;$AD$2)</f>
        <v>3000000</v>
      </c>
      <c r="AE17" s="7">
        <f>SUMIFS('Tong_hop_HQNV_2026Q1_2026-06-23'!$L:$L,'Tong_hop_HQNV_2026Q1_2026-06-23'!$B:$B, "="&amp;'CHECK_DT-BT'!A17, 'Tong_hop_HQNV_2026Q1_2026-06-23'!$A:$A, "="&amp;$AE$2)</f>
        <v>0</v>
      </c>
      <c r="AF17" s="7">
        <f>SUMIFS('Tong_hop_HQNV_2026Q1_2026-06-23'!$L:$L,'Tong_hop_HQNV_2026Q1_2026-06-23'!$B:$B, "="&amp;'CHECK_DT-BT'!A17, 'Tong_hop_HQNV_2026Q1_2026-06-23'!$A:$A, "="&amp;$AF$2)</f>
        <v>0</v>
      </c>
      <c r="AG17" s="7">
        <f>SUMIFS('Tong_hop_HQNV_2026Q1_2026-06-23'!$L:$L,'Tong_hop_HQNV_2026Q1_2026-06-23'!$B:$B, "="&amp;'CHECK_DT-BT'!A17, 'Tong_hop_HQNV_2026Q1_2026-06-23'!$A:$A, "="&amp;$AG$2)</f>
        <v>0</v>
      </c>
      <c r="AH17" s="7">
        <f>SUMIFS('Tong_hop_HQNV_2026Q1_2026-06-23'!$L:$L,'Tong_hop_HQNV_2026Q1_2026-06-23'!$B:$B, "="&amp;'CHECK_DT-BT'!A17, 'Tong_hop_HQNV_2026Q1_2026-06-23'!$A:$A, "="&amp;$AH$2)</f>
        <v>0</v>
      </c>
      <c r="AI17" s="7">
        <f>SUMIFS('Tong_hop_HQNV_2026Q1_2026-06-23'!$L:$L,'Tong_hop_HQNV_2026Q1_2026-06-23'!$B:$B, "="&amp;'CHECK_DT-BT'!A17, 'Tong_hop_HQNV_2026Q1_2026-06-23'!$A:$A, "="&amp;$AI$2)</f>
        <v>0</v>
      </c>
      <c r="AJ17" s="7">
        <f t="shared" si="6"/>
        <v>2326831399</v>
      </c>
      <c r="AK17" s="7">
        <f t="shared" si="7"/>
        <v>3000000</v>
      </c>
      <c r="AL17" s="7">
        <f>SUMIFS('HQ1'!$D:$D,'HQ1'!$A:$A, "="&amp;'CHECK_DT-BT'!C17, 'HQ1'!$B:$B, "Total")</f>
        <v>2326831399</v>
      </c>
      <c r="AM17" s="7">
        <f>SUMIFS('HQ2'!$J:$J,'HQ2'!$A:$A, "="&amp;'CHECK_DT-BT'!C17, 'HQ2'!$B:$B, "Total")</f>
        <v>3000000</v>
      </c>
      <c r="AN17" s="24">
        <f t="shared" si="8"/>
        <v>0</v>
      </c>
      <c r="AO17" s="24">
        <f t="shared" si="9"/>
        <v>0</v>
      </c>
    </row>
    <row r="18" spans="1:41" x14ac:dyDescent="0.25">
      <c r="A18" s="9" t="s">
        <v>298</v>
      </c>
      <c r="B18" t="s">
        <v>156</v>
      </c>
      <c r="C18" t="s">
        <v>83</v>
      </c>
      <c r="D18" s="7">
        <f>SUMIFS('Tong_hop_HQNV_2026Q1_2026-06-23'!$K:$K,'Tong_hop_HQNV_2026Q1_2026-06-23'!$A:$A,"="&amp;'CHECK_DT-BT'!$D$2,'Tong_hop_HQNV_2026Q1_2026-06-23'!$B:$B, "="&amp;'CHECK_DT-BT'!A18)</f>
        <v>1394803753</v>
      </c>
      <c r="E18" s="7">
        <f>SUMIFS('Tong_hop_HQNV_2026Q1_2026-06-23'!$K:$K,'Tong_hop_HQNV_2026Q1_2026-06-23'!$A:$A,"="&amp;'CHECK_DT-BT'!$E$2,'Tong_hop_HQNV_2026Q1_2026-06-23'!$B:$B, "="&amp;'CHECK_DT-BT'!A18)</f>
        <v>94598600</v>
      </c>
      <c r="F18" s="7">
        <f>SUMIFS('Tong_hop_HQNV_2026Q1_2026-06-23'!$K:$K,'Tong_hop_HQNV_2026Q1_2026-06-23'!$A:$A,"="&amp;'CHECK_DT-BT'!$F$2,'Tong_hop_HQNV_2026Q1_2026-06-23'!$B:$B, "="&amp;'CHECK_DT-BT'!A18)</f>
        <v>15104557335</v>
      </c>
      <c r="G18" s="7">
        <f>SUMIFS('Tong_hop_HQNV_2026Q1_2026-06-23'!$K:$K,'Tong_hop_HQNV_2026Q1_2026-06-23'!$A:$A,"="&amp;'CHECK_DT-BT'!$G$2,'Tong_hop_HQNV_2026Q1_2026-06-23'!$B:$B, "="&amp;'CHECK_DT-BT'!A18)</f>
        <v>4874623654</v>
      </c>
      <c r="H18" s="7">
        <f>SUMIFS('Tong_hop_HQNV_2026Q1_2026-06-23'!$K:$K,'Tong_hop_HQNV_2026Q1_2026-06-23'!$A:$A,"="&amp;$H$2,'Tong_hop_HQNV_2026Q1_2026-06-23'!$B:$B, "="&amp;'CHECK_DT-BT'!A18)</f>
        <v>196514590</v>
      </c>
      <c r="I18" s="7">
        <f>SUMIFS('Tong_hop_HQNV_2026Q1_2026-06-23'!$K:$K,'Tong_hop_HQNV_2026Q1_2026-06-23'!$A:$A,"="&amp;$I$2,'Tong_hop_HQNV_2026Q1_2026-06-23'!$B:$B, "="&amp;'CHECK_DT-BT'!A18)</f>
        <v>0</v>
      </c>
      <c r="J18" s="7">
        <f>SUMIFS('Tong_hop_HQNV_2026Q1_2026-06-23'!$K:$K,'Tong_hop_HQNV_2026Q1_2026-06-23'!$A:$A,"="&amp;$J$2,'Tong_hop_HQNV_2026Q1_2026-06-23'!$B:$B, "="&amp;'CHECK_DT-BT'!A18)</f>
        <v>0</v>
      </c>
      <c r="K18" s="7">
        <f>SUMIFS('Tong_hop_HQNV_2026Q1_2026-06-23'!$K:$K,'Tong_hop_HQNV_2026Q1_2026-06-23'!$A:$A,"="&amp;$K$2,'Tong_hop_HQNV_2026Q1_2026-06-23'!$B:$B, "="&amp;'CHECK_DT-BT'!A18)</f>
        <v>669903148</v>
      </c>
      <c r="L18" s="7">
        <f>SUMIFS('Tong_hop_HQNV_2026Q1_2026-06-23'!$K:$K,'Tong_hop_HQNV_2026Q1_2026-06-23'!$A:$A,"="&amp;$L$2,'Tong_hop_HQNV_2026Q1_2026-06-23'!$B:$B, "="&amp;'CHECK_DT-BT'!A18)</f>
        <v>2350120135</v>
      </c>
      <c r="M18" s="7">
        <f>SUMIFS('Tong_hop_HQNV_2026Q1_2026-06-23'!$K:$K,'Tong_hop_HQNV_2026Q1_2026-06-23'!$A:$A,"="&amp;$M$2,'Tong_hop_HQNV_2026Q1_2026-06-23'!$B:$B, "="&amp;'CHECK_DT-BT'!A18)</f>
        <v>172927811</v>
      </c>
      <c r="N18" s="7">
        <f>SUMIFS('Tong_hop_HQNV_2026Q1_2026-06-23'!$K:$K,'Tong_hop_HQNV_2026Q1_2026-06-23'!$A:$A,"="&amp;$N$2,'Tong_hop_HQNV_2026Q1_2026-06-23'!$B:$B, "="&amp;'CHECK_DT-BT'!A18)</f>
        <v>137526364</v>
      </c>
      <c r="O18" s="7">
        <f>SUMIFS('Tong_hop_HQNV_2026Q1_2026-06-23'!$K:$K,'Tong_hop_HQNV_2026Q1_2026-06-23'!$A:$A,"="&amp;$O$2,'Tong_hop_HQNV_2026Q1_2026-06-23'!$B:$B, "="&amp;'CHECK_DT-BT'!A18)</f>
        <v>0</v>
      </c>
      <c r="P18" s="7">
        <f>SUMIFS('Tong_hop_HQNV_2026Q1_2026-06-23'!$K:$K,'Tong_hop_HQNV_2026Q1_2026-06-23'!$A:$A,"="&amp;$P$2,'Tong_hop_HQNV_2026Q1_2026-06-23'!$B:$B, "="&amp;'CHECK_DT-BT'!A18)</f>
        <v>0</v>
      </c>
      <c r="Q18" s="7">
        <f t="shared" si="2"/>
        <v>21468583342</v>
      </c>
      <c r="R18" s="7">
        <f t="shared" si="3"/>
        <v>3526992048</v>
      </c>
      <c r="S18" s="7">
        <f>SUMIFS('HQ1'!$C:$C,'HQ1'!$A:$A, "="&amp;'CHECK_DT-BT'!C18, 'HQ1'!$B:$B, "Total")</f>
        <v>21468583342</v>
      </c>
      <c r="T18" s="7">
        <f>SUMIFS('HQ2'!$C:$C,'HQ2'!$A:$A, "="&amp;'CHECK_DT-BT'!C18, 'HQ2'!$B:$B, "Total")</f>
        <v>3526992048</v>
      </c>
      <c r="U18" s="7">
        <f t="shared" si="4"/>
        <v>0</v>
      </c>
      <c r="V18" s="7">
        <f t="shared" si="5"/>
        <v>0</v>
      </c>
      <c r="W18" s="23">
        <f>SUMIFS('Tong_hop_HQNV_2026Q1_2026-06-23'!$L:$L,'Tong_hop_HQNV_2026Q1_2026-06-23'!$B:$B, "="&amp;'CHECK_DT-BT'!A18, 'Tong_hop_HQNV_2026Q1_2026-06-23'!$A:$A, "="&amp;'CHECK_DT-BT'!$W$2)</f>
        <v>1750244000</v>
      </c>
      <c r="X18" s="7">
        <f>SUMIFS('Tong_hop_HQNV_2026Q1_2026-06-23'!$L:$L,'Tong_hop_HQNV_2026Q1_2026-06-23'!$B:$B, "="&amp;'CHECK_DT-BT'!A18, 'Tong_hop_HQNV_2026Q1_2026-06-23'!$A:$A, "="&amp;'CHECK_DT-BT'!$X$2)</f>
        <v>0</v>
      </c>
      <c r="Y18" s="7">
        <f>SUMIFS('Tong_hop_HQNV_2026Q1_2026-06-23'!$L:$L,'Tong_hop_HQNV_2026Q1_2026-06-23'!$B:$B, "="&amp;'CHECK_DT-BT'!A18, 'Tong_hop_HQNV_2026Q1_2026-06-23'!$A:$A, "="&amp;'CHECK_DT-BT'!$Y$2)</f>
        <v>6794515687</v>
      </c>
      <c r="Z18" s="7">
        <f>SUMIFS('Tong_hop_HQNV_2026Q1_2026-06-23'!$L:$L,'Tong_hop_HQNV_2026Q1_2026-06-23'!$B:$B, "="&amp;'CHECK_DT-BT'!A18, 'Tong_hop_HQNV_2026Q1_2026-06-23'!$A:$A, "="&amp;'CHECK_DT-BT'!$Z$2)</f>
        <v>1107397557</v>
      </c>
      <c r="AA18" s="7">
        <f>SUMIFS('Tong_hop_HQNV_2026Q1_2026-06-23'!$L:$L,'Tong_hop_HQNV_2026Q1_2026-06-23'!$B:$B, "="&amp;'CHECK_DT-BT'!A18, 'Tong_hop_HQNV_2026Q1_2026-06-23'!$A:$A, "="&amp;$AA$2)</f>
        <v>0</v>
      </c>
      <c r="AB18" s="7">
        <f>SUMIFS('Tong_hop_HQNV_2026Q1_2026-06-23'!$L:$L,'Tong_hop_HQNV_2026Q1_2026-06-23'!$B:$B, "="&amp;'CHECK_DT-BT'!A18, 'Tong_hop_HQNV_2026Q1_2026-06-23'!$A:$A, "="&amp;$AB$2)</f>
        <v>0</v>
      </c>
      <c r="AC18" s="7">
        <f>SUMIFS('Tong_hop_HQNV_2026Q1_2026-06-23'!$L:$L,'Tong_hop_HQNV_2026Q1_2026-06-23'!$B:$B, "="&amp;'CHECK_DT-BT'!A18, 'Tong_hop_HQNV_2026Q1_2026-06-23'!$A:$A, "="&amp;$AC$2)</f>
        <v>0</v>
      </c>
      <c r="AD18" s="7">
        <f>SUMIFS('Tong_hop_HQNV_2026Q1_2026-06-23'!$L:$L,'Tong_hop_HQNV_2026Q1_2026-06-23'!$B:$B, "="&amp;'CHECK_DT-BT'!A18, 'Tong_hop_HQNV_2026Q1_2026-06-23'!$A:$A, "="&amp;$AD$2)</f>
        <v>148309307</v>
      </c>
      <c r="AE18" s="7">
        <f>SUMIFS('Tong_hop_HQNV_2026Q1_2026-06-23'!$L:$L,'Tong_hop_HQNV_2026Q1_2026-06-23'!$B:$B, "="&amp;'CHECK_DT-BT'!A18, 'Tong_hop_HQNV_2026Q1_2026-06-23'!$A:$A, "="&amp;$AE$2)</f>
        <v>108039685</v>
      </c>
      <c r="AF18" s="7">
        <f>SUMIFS('Tong_hop_HQNV_2026Q1_2026-06-23'!$L:$L,'Tong_hop_HQNV_2026Q1_2026-06-23'!$B:$B, "="&amp;'CHECK_DT-BT'!A18, 'Tong_hop_HQNV_2026Q1_2026-06-23'!$A:$A, "="&amp;$AF$2)</f>
        <v>17320507</v>
      </c>
      <c r="AG18" s="7">
        <f>SUMIFS('Tong_hop_HQNV_2026Q1_2026-06-23'!$L:$L,'Tong_hop_HQNV_2026Q1_2026-06-23'!$B:$B, "="&amp;'CHECK_DT-BT'!A18, 'Tong_hop_HQNV_2026Q1_2026-06-23'!$A:$A, "="&amp;$AG$2)</f>
        <v>0</v>
      </c>
      <c r="AH18" s="7">
        <f>SUMIFS('Tong_hop_HQNV_2026Q1_2026-06-23'!$L:$L,'Tong_hop_HQNV_2026Q1_2026-06-23'!$B:$B, "="&amp;'CHECK_DT-BT'!A18, 'Tong_hop_HQNV_2026Q1_2026-06-23'!$A:$A, "="&amp;$AH$2)</f>
        <v>0</v>
      </c>
      <c r="AI18" s="7">
        <f>SUMIFS('Tong_hop_HQNV_2026Q1_2026-06-23'!$L:$L,'Tong_hop_HQNV_2026Q1_2026-06-23'!$B:$B, "="&amp;'CHECK_DT-BT'!A18, 'Tong_hop_HQNV_2026Q1_2026-06-23'!$A:$A, "="&amp;$AI$2)</f>
        <v>0</v>
      </c>
      <c r="AJ18" s="7">
        <f t="shared" si="6"/>
        <v>9652157244</v>
      </c>
      <c r="AK18" s="7">
        <f t="shared" si="7"/>
        <v>273669499</v>
      </c>
      <c r="AL18" s="7">
        <f>SUMIFS('HQ1'!$D:$D,'HQ1'!$A:$A, "="&amp;'CHECK_DT-BT'!C18, 'HQ1'!$B:$B, "Total")</f>
        <v>9612211181</v>
      </c>
      <c r="AM18" s="7">
        <f>SUMIFS('HQ2'!$J:$J,'HQ2'!$A:$A, "="&amp;'CHECK_DT-BT'!C18, 'HQ2'!$B:$B, "Total")</f>
        <v>273669499</v>
      </c>
      <c r="AN18" s="24">
        <f t="shared" si="8"/>
        <v>39946063</v>
      </c>
      <c r="AO18" s="24">
        <f t="shared" si="9"/>
        <v>0</v>
      </c>
    </row>
    <row r="19" spans="1:41" x14ac:dyDescent="0.25">
      <c r="A19" s="9" t="s">
        <v>299</v>
      </c>
      <c r="B19" t="s">
        <v>157</v>
      </c>
      <c r="C19" t="s">
        <v>124</v>
      </c>
      <c r="D19" s="7">
        <f>SUMIFS('Tong_hop_HQNV_2026Q1_2026-06-23'!$K:$K,'Tong_hop_HQNV_2026Q1_2026-06-23'!$A:$A,"="&amp;'CHECK_DT-BT'!$D$2,'Tong_hop_HQNV_2026Q1_2026-06-23'!$B:$B, "="&amp;'CHECK_DT-BT'!A19)</f>
        <v>470715300</v>
      </c>
      <c r="E19" s="7">
        <f>SUMIFS('Tong_hop_HQNV_2026Q1_2026-06-23'!$K:$K,'Tong_hop_HQNV_2026Q1_2026-06-23'!$A:$A,"="&amp;'CHECK_DT-BT'!$E$2,'Tong_hop_HQNV_2026Q1_2026-06-23'!$B:$B, "="&amp;'CHECK_DT-BT'!A19)</f>
        <v>257838000</v>
      </c>
      <c r="F19" s="7">
        <f>SUMIFS('Tong_hop_HQNV_2026Q1_2026-06-23'!$K:$K,'Tong_hop_HQNV_2026Q1_2026-06-23'!$A:$A,"="&amp;'CHECK_DT-BT'!$F$2,'Tong_hop_HQNV_2026Q1_2026-06-23'!$B:$B, "="&amp;'CHECK_DT-BT'!A19)</f>
        <v>2214931238</v>
      </c>
      <c r="G19" s="7">
        <f>SUMIFS('Tong_hop_HQNV_2026Q1_2026-06-23'!$K:$K,'Tong_hop_HQNV_2026Q1_2026-06-23'!$A:$A,"="&amp;'CHECK_DT-BT'!$G$2,'Tong_hop_HQNV_2026Q1_2026-06-23'!$B:$B, "="&amp;'CHECK_DT-BT'!A19)</f>
        <v>84603400</v>
      </c>
      <c r="H19" s="7">
        <f>SUMIFS('Tong_hop_HQNV_2026Q1_2026-06-23'!$K:$K,'Tong_hop_HQNV_2026Q1_2026-06-23'!$A:$A,"="&amp;$H$2,'Tong_hop_HQNV_2026Q1_2026-06-23'!$B:$B, "="&amp;'CHECK_DT-BT'!A19)</f>
        <v>0</v>
      </c>
      <c r="I19" s="7">
        <f>SUMIFS('Tong_hop_HQNV_2026Q1_2026-06-23'!$K:$K,'Tong_hop_HQNV_2026Q1_2026-06-23'!$A:$A,"="&amp;$I$2,'Tong_hop_HQNV_2026Q1_2026-06-23'!$B:$B, "="&amp;'CHECK_DT-BT'!A19)</f>
        <v>0</v>
      </c>
      <c r="J19" s="7">
        <f>SUMIFS('Tong_hop_HQNV_2026Q1_2026-06-23'!$K:$K,'Tong_hop_HQNV_2026Q1_2026-06-23'!$A:$A,"="&amp;$J$2,'Tong_hop_HQNV_2026Q1_2026-06-23'!$B:$B, "="&amp;'CHECK_DT-BT'!A19)</f>
        <v>0</v>
      </c>
      <c r="K19" s="7">
        <f>SUMIFS('Tong_hop_HQNV_2026Q1_2026-06-23'!$K:$K,'Tong_hop_HQNV_2026Q1_2026-06-23'!$A:$A,"="&amp;$K$2,'Tong_hop_HQNV_2026Q1_2026-06-23'!$B:$B, "="&amp;'CHECK_DT-BT'!A19)</f>
        <v>0</v>
      </c>
      <c r="L19" s="7">
        <f>SUMIFS('Tong_hop_HQNV_2026Q1_2026-06-23'!$K:$K,'Tong_hop_HQNV_2026Q1_2026-06-23'!$A:$A,"="&amp;$L$2,'Tong_hop_HQNV_2026Q1_2026-06-23'!$B:$B, "="&amp;'CHECK_DT-BT'!A19)</f>
        <v>78766249</v>
      </c>
      <c r="M19" s="7">
        <f>SUMIFS('Tong_hop_HQNV_2026Q1_2026-06-23'!$K:$K,'Tong_hop_HQNV_2026Q1_2026-06-23'!$A:$A,"="&amp;$M$2,'Tong_hop_HQNV_2026Q1_2026-06-23'!$B:$B, "="&amp;'CHECK_DT-BT'!A19)</f>
        <v>236820910</v>
      </c>
      <c r="N19" s="7">
        <f>SUMIFS('Tong_hop_HQNV_2026Q1_2026-06-23'!$K:$K,'Tong_hop_HQNV_2026Q1_2026-06-23'!$A:$A,"="&amp;$N$2,'Tong_hop_HQNV_2026Q1_2026-06-23'!$B:$B, "="&amp;'CHECK_DT-BT'!A19)</f>
        <v>0</v>
      </c>
      <c r="O19" s="7">
        <f>SUMIFS('Tong_hop_HQNV_2026Q1_2026-06-23'!$K:$K,'Tong_hop_HQNV_2026Q1_2026-06-23'!$A:$A,"="&amp;$O$2,'Tong_hop_HQNV_2026Q1_2026-06-23'!$B:$B, "="&amp;'CHECK_DT-BT'!A19)</f>
        <v>0</v>
      </c>
      <c r="P19" s="7">
        <f>SUMIFS('Tong_hop_HQNV_2026Q1_2026-06-23'!$K:$K,'Tong_hop_HQNV_2026Q1_2026-06-23'!$A:$A,"="&amp;$P$2,'Tong_hop_HQNV_2026Q1_2026-06-23'!$B:$B, "="&amp;'CHECK_DT-BT'!A19)</f>
        <v>0</v>
      </c>
      <c r="Q19" s="7">
        <f t="shared" si="2"/>
        <v>3028087938</v>
      </c>
      <c r="R19" s="7">
        <f t="shared" si="3"/>
        <v>315587159</v>
      </c>
      <c r="S19" s="7">
        <f>SUMIFS('HQ1'!$C:$C,'HQ1'!$A:$A, "="&amp;'CHECK_DT-BT'!C19, 'HQ1'!$B:$B, "Total")</f>
        <v>3323199029</v>
      </c>
      <c r="T19" s="7">
        <f>SUMIFS('HQ2'!$C:$C,'HQ2'!$A:$A, "="&amp;'CHECK_DT-BT'!C19, 'HQ2'!$B:$B, "Total")</f>
        <v>315587159</v>
      </c>
      <c r="U19" s="7">
        <f t="shared" si="4"/>
        <v>-295111091</v>
      </c>
      <c r="V19" s="7">
        <f t="shared" si="5"/>
        <v>0</v>
      </c>
      <c r="W19" s="23">
        <f>SUMIFS('Tong_hop_HQNV_2026Q1_2026-06-23'!$L:$L,'Tong_hop_HQNV_2026Q1_2026-06-23'!$B:$B, "="&amp;'CHECK_DT-BT'!A19, 'Tong_hop_HQNV_2026Q1_2026-06-23'!$A:$A, "="&amp;'CHECK_DT-BT'!$W$2)</f>
        <v>392870500</v>
      </c>
      <c r="X19" s="7">
        <f>SUMIFS('Tong_hop_HQNV_2026Q1_2026-06-23'!$L:$L,'Tong_hop_HQNV_2026Q1_2026-06-23'!$B:$B, "="&amp;'CHECK_DT-BT'!A19, 'Tong_hop_HQNV_2026Q1_2026-06-23'!$A:$A, "="&amp;'CHECK_DT-BT'!$X$2)</f>
        <v>0</v>
      </c>
      <c r="Y19" s="7">
        <f>SUMIFS('Tong_hop_HQNV_2026Q1_2026-06-23'!$L:$L,'Tong_hop_HQNV_2026Q1_2026-06-23'!$B:$B, "="&amp;'CHECK_DT-BT'!A19, 'Tong_hop_HQNV_2026Q1_2026-06-23'!$A:$A, "="&amp;'CHECK_DT-BT'!$Y$2)</f>
        <v>308625734</v>
      </c>
      <c r="Z19" s="7">
        <f>SUMIFS('Tong_hop_HQNV_2026Q1_2026-06-23'!$L:$L,'Tong_hop_HQNV_2026Q1_2026-06-23'!$B:$B, "="&amp;'CHECK_DT-BT'!A19, 'Tong_hop_HQNV_2026Q1_2026-06-23'!$A:$A, "="&amp;'CHECK_DT-BT'!$Z$2)</f>
        <v>12839123</v>
      </c>
      <c r="AA19" s="7">
        <f>SUMIFS('Tong_hop_HQNV_2026Q1_2026-06-23'!$L:$L,'Tong_hop_HQNV_2026Q1_2026-06-23'!$B:$B, "="&amp;'CHECK_DT-BT'!A19, 'Tong_hop_HQNV_2026Q1_2026-06-23'!$A:$A, "="&amp;$AA$2)</f>
        <v>0</v>
      </c>
      <c r="AB19" s="7">
        <f>SUMIFS('Tong_hop_HQNV_2026Q1_2026-06-23'!$L:$L,'Tong_hop_HQNV_2026Q1_2026-06-23'!$B:$B, "="&amp;'CHECK_DT-BT'!A19, 'Tong_hop_HQNV_2026Q1_2026-06-23'!$A:$A, "="&amp;$AB$2)</f>
        <v>0</v>
      </c>
      <c r="AC19" s="7">
        <f>SUMIFS('Tong_hop_HQNV_2026Q1_2026-06-23'!$L:$L,'Tong_hop_HQNV_2026Q1_2026-06-23'!$B:$B, "="&amp;'CHECK_DT-BT'!A19, 'Tong_hop_HQNV_2026Q1_2026-06-23'!$A:$A, "="&amp;$AC$2)</f>
        <v>0</v>
      </c>
      <c r="AD19" s="7">
        <f>SUMIFS('Tong_hop_HQNV_2026Q1_2026-06-23'!$L:$L,'Tong_hop_HQNV_2026Q1_2026-06-23'!$B:$B, "="&amp;'CHECK_DT-BT'!A19, 'Tong_hop_HQNV_2026Q1_2026-06-23'!$A:$A, "="&amp;$AD$2)</f>
        <v>0</v>
      </c>
      <c r="AE19" s="7">
        <f>SUMIFS('Tong_hop_HQNV_2026Q1_2026-06-23'!$L:$L,'Tong_hop_HQNV_2026Q1_2026-06-23'!$B:$B, "="&amp;'CHECK_DT-BT'!A19, 'Tong_hop_HQNV_2026Q1_2026-06-23'!$A:$A, "="&amp;$AE$2)</f>
        <v>0</v>
      </c>
      <c r="AF19" s="7">
        <f>SUMIFS('Tong_hop_HQNV_2026Q1_2026-06-23'!$L:$L,'Tong_hop_HQNV_2026Q1_2026-06-23'!$B:$B, "="&amp;'CHECK_DT-BT'!A19, 'Tong_hop_HQNV_2026Q1_2026-06-23'!$A:$A, "="&amp;$AF$2)</f>
        <v>0</v>
      </c>
      <c r="AG19" s="7">
        <f>SUMIFS('Tong_hop_HQNV_2026Q1_2026-06-23'!$L:$L,'Tong_hop_HQNV_2026Q1_2026-06-23'!$B:$B, "="&amp;'CHECK_DT-BT'!A19, 'Tong_hop_HQNV_2026Q1_2026-06-23'!$A:$A, "="&amp;$AG$2)</f>
        <v>0</v>
      </c>
      <c r="AH19" s="7">
        <f>SUMIFS('Tong_hop_HQNV_2026Q1_2026-06-23'!$L:$L,'Tong_hop_HQNV_2026Q1_2026-06-23'!$B:$B, "="&amp;'CHECK_DT-BT'!A19, 'Tong_hop_HQNV_2026Q1_2026-06-23'!$A:$A, "="&amp;$AH$2)</f>
        <v>0</v>
      </c>
      <c r="AI19" s="7">
        <f>SUMIFS('Tong_hop_HQNV_2026Q1_2026-06-23'!$L:$L,'Tong_hop_HQNV_2026Q1_2026-06-23'!$B:$B, "="&amp;'CHECK_DT-BT'!A19, 'Tong_hop_HQNV_2026Q1_2026-06-23'!$A:$A, "="&amp;$AI$2)</f>
        <v>0</v>
      </c>
      <c r="AJ19" s="7">
        <f t="shared" si="6"/>
        <v>714335357</v>
      </c>
      <c r="AK19" s="7">
        <f t="shared" si="7"/>
        <v>0</v>
      </c>
      <c r="AL19" s="7">
        <f>SUMIFS('HQ1'!$D:$D,'HQ1'!$A:$A, "="&amp;'CHECK_DT-BT'!C19, 'HQ1'!$B:$B, "Total")</f>
        <v>714335357</v>
      </c>
      <c r="AM19" s="7">
        <f>SUMIFS('HQ2'!$J:$J,'HQ2'!$A:$A, "="&amp;'CHECK_DT-BT'!C19, 'HQ2'!$B:$B, "Total")</f>
        <v>0</v>
      </c>
      <c r="AN19" s="24">
        <f t="shared" si="8"/>
        <v>0</v>
      </c>
      <c r="AO19" s="24">
        <f t="shared" si="9"/>
        <v>0</v>
      </c>
    </row>
    <row r="20" spans="1:41" x14ac:dyDescent="0.25">
      <c r="A20" s="9" t="s">
        <v>300</v>
      </c>
      <c r="B20" t="s">
        <v>158</v>
      </c>
      <c r="C20" t="s">
        <v>59</v>
      </c>
      <c r="D20" s="7">
        <f>SUMIFS('Tong_hop_HQNV_2026Q1_2026-06-23'!$K:$K,'Tong_hop_HQNV_2026Q1_2026-06-23'!$A:$A,"="&amp;'CHECK_DT-BT'!$D$2,'Tong_hop_HQNV_2026Q1_2026-06-23'!$B:$B, "="&amp;'CHECK_DT-BT'!A20)</f>
        <v>2264341829</v>
      </c>
      <c r="E20" s="7">
        <f>SUMIFS('Tong_hop_HQNV_2026Q1_2026-06-23'!$K:$K,'Tong_hop_HQNV_2026Q1_2026-06-23'!$A:$A,"="&amp;'CHECK_DT-BT'!$E$2,'Tong_hop_HQNV_2026Q1_2026-06-23'!$B:$B, "="&amp;'CHECK_DT-BT'!A20)</f>
        <v>768775300</v>
      </c>
      <c r="F20" s="7">
        <f>SUMIFS('Tong_hop_HQNV_2026Q1_2026-06-23'!$K:$K,'Tong_hop_HQNV_2026Q1_2026-06-23'!$A:$A,"="&amp;'CHECK_DT-BT'!$F$2,'Tong_hop_HQNV_2026Q1_2026-06-23'!$B:$B, "="&amp;'CHECK_DT-BT'!A20)</f>
        <v>19826823382</v>
      </c>
      <c r="G20" s="7">
        <f>SUMIFS('Tong_hop_HQNV_2026Q1_2026-06-23'!$K:$K,'Tong_hop_HQNV_2026Q1_2026-06-23'!$A:$A,"="&amp;'CHECK_DT-BT'!$G$2,'Tong_hop_HQNV_2026Q1_2026-06-23'!$B:$B, "="&amp;'CHECK_DT-BT'!A20)</f>
        <v>30315020952</v>
      </c>
      <c r="H20" s="7">
        <f>SUMIFS('Tong_hop_HQNV_2026Q1_2026-06-23'!$K:$K,'Tong_hop_HQNV_2026Q1_2026-06-23'!$A:$A,"="&amp;$H$2,'Tong_hop_HQNV_2026Q1_2026-06-23'!$B:$B, "="&amp;'CHECK_DT-BT'!A20)</f>
        <v>3519582182</v>
      </c>
      <c r="I20" s="7">
        <f>SUMIFS('Tong_hop_HQNV_2026Q1_2026-06-23'!$K:$K,'Tong_hop_HQNV_2026Q1_2026-06-23'!$A:$A,"="&amp;$I$2,'Tong_hop_HQNV_2026Q1_2026-06-23'!$B:$B, "="&amp;'CHECK_DT-BT'!A20)</f>
        <v>113806331</v>
      </c>
      <c r="J20" s="7">
        <f>SUMIFS('Tong_hop_HQNV_2026Q1_2026-06-23'!$K:$K,'Tong_hop_HQNV_2026Q1_2026-06-23'!$A:$A,"="&amp;$J$2,'Tong_hop_HQNV_2026Q1_2026-06-23'!$B:$B, "="&amp;'CHECK_DT-BT'!A20)</f>
        <v>149210000</v>
      </c>
      <c r="K20" s="7">
        <f>SUMIFS('Tong_hop_HQNV_2026Q1_2026-06-23'!$K:$K,'Tong_hop_HQNV_2026Q1_2026-06-23'!$A:$A,"="&amp;$K$2,'Tong_hop_HQNV_2026Q1_2026-06-23'!$B:$B, "="&amp;'CHECK_DT-BT'!A20)</f>
        <v>473065060</v>
      </c>
      <c r="L20" s="7">
        <f>SUMIFS('Tong_hop_HQNV_2026Q1_2026-06-23'!$K:$K,'Tong_hop_HQNV_2026Q1_2026-06-23'!$A:$A,"="&amp;$L$2,'Tong_hop_HQNV_2026Q1_2026-06-23'!$B:$B, "="&amp;'CHECK_DT-BT'!A20)</f>
        <v>6425724644</v>
      </c>
      <c r="M20" s="7">
        <f>SUMIFS('Tong_hop_HQNV_2026Q1_2026-06-23'!$K:$K,'Tong_hop_HQNV_2026Q1_2026-06-23'!$A:$A,"="&amp;$M$2,'Tong_hop_HQNV_2026Q1_2026-06-23'!$B:$B, "="&amp;'CHECK_DT-BT'!A20)</f>
        <v>550542431</v>
      </c>
      <c r="N20" s="7">
        <f>SUMIFS('Tong_hop_HQNV_2026Q1_2026-06-23'!$K:$K,'Tong_hop_HQNV_2026Q1_2026-06-23'!$A:$A,"="&amp;$N$2,'Tong_hop_HQNV_2026Q1_2026-06-23'!$B:$B, "="&amp;'CHECK_DT-BT'!A20)</f>
        <v>461275085</v>
      </c>
      <c r="O20" s="7">
        <f>SUMIFS('Tong_hop_HQNV_2026Q1_2026-06-23'!$K:$K,'Tong_hop_HQNV_2026Q1_2026-06-23'!$A:$A,"="&amp;$O$2,'Tong_hop_HQNV_2026Q1_2026-06-23'!$B:$B, "="&amp;'CHECK_DT-BT'!A20)</f>
        <v>0</v>
      </c>
      <c r="P20" s="7">
        <f>SUMIFS('Tong_hop_HQNV_2026Q1_2026-06-23'!$K:$K,'Tong_hop_HQNV_2026Q1_2026-06-23'!$A:$A,"="&amp;$P$2,'Tong_hop_HQNV_2026Q1_2026-06-23'!$B:$B, "="&amp;'CHECK_DT-BT'!A20)</f>
        <v>0</v>
      </c>
      <c r="Q20" s="7">
        <f t="shared" si="2"/>
        <v>53174961463</v>
      </c>
      <c r="R20" s="7">
        <f t="shared" si="3"/>
        <v>11693205733</v>
      </c>
      <c r="S20" s="7">
        <f>SUMIFS('HQ1'!$C:$C,'HQ1'!$A:$A, "="&amp;'CHECK_DT-BT'!C20, 'HQ1'!$B:$B, "Total")</f>
        <v>53174961463</v>
      </c>
      <c r="T20" s="7">
        <f>SUMIFS('HQ2'!$C:$C,'HQ2'!$A:$A, "="&amp;'CHECK_DT-BT'!C20, 'HQ2'!$B:$B, "Total")</f>
        <v>11693205733</v>
      </c>
      <c r="U20" s="7">
        <f t="shared" si="4"/>
        <v>0</v>
      </c>
      <c r="V20" s="7">
        <f t="shared" si="5"/>
        <v>0</v>
      </c>
      <c r="W20" s="23">
        <f>SUMIFS('Tong_hop_HQNV_2026Q1_2026-06-23'!$L:$L,'Tong_hop_HQNV_2026Q1_2026-06-23'!$B:$B, "="&amp;'CHECK_DT-BT'!A20, 'Tong_hop_HQNV_2026Q1_2026-06-23'!$A:$A, "="&amp;'CHECK_DT-BT'!$W$2)</f>
        <v>1005872430</v>
      </c>
      <c r="X20" s="7">
        <f>SUMIFS('Tong_hop_HQNV_2026Q1_2026-06-23'!$L:$L,'Tong_hop_HQNV_2026Q1_2026-06-23'!$B:$B, "="&amp;'CHECK_DT-BT'!A20, 'Tong_hop_HQNV_2026Q1_2026-06-23'!$A:$A, "="&amp;'CHECK_DT-BT'!$X$2)</f>
        <v>855416</v>
      </c>
      <c r="Y20" s="7">
        <f>SUMIFS('Tong_hop_HQNV_2026Q1_2026-06-23'!$L:$L,'Tong_hop_HQNV_2026Q1_2026-06-23'!$B:$B, "="&amp;'CHECK_DT-BT'!A20, 'Tong_hop_HQNV_2026Q1_2026-06-23'!$A:$A, "="&amp;'CHECK_DT-BT'!$Y$2)</f>
        <v>7093134493</v>
      </c>
      <c r="Z20" s="7">
        <f>SUMIFS('Tong_hop_HQNV_2026Q1_2026-06-23'!$L:$L,'Tong_hop_HQNV_2026Q1_2026-06-23'!$B:$B, "="&amp;'CHECK_DT-BT'!A20, 'Tong_hop_HQNV_2026Q1_2026-06-23'!$A:$A, "="&amp;'CHECK_DT-BT'!$Z$2)</f>
        <v>11883099084</v>
      </c>
      <c r="AA20" s="7">
        <f>SUMIFS('Tong_hop_HQNV_2026Q1_2026-06-23'!$L:$L,'Tong_hop_HQNV_2026Q1_2026-06-23'!$B:$B, "="&amp;'CHECK_DT-BT'!A20, 'Tong_hop_HQNV_2026Q1_2026-06-23'!$A:$A, "="&amp;$AA$2)</f>
        <v>220428077</v>
      </c>
      <c r="AB20" s="7">
        <f>SUMIFS('Tong_hop_HQNV_2026Q1_2026-06-23'!$L:$L,'Tong_hop_HQNV_2026Q1_2026-06-23'!$B:$B, "="&amp;'CHECK_DT-BT'!A20, 'Tong_hop_HQNV_2026Q1_2026-06-23'!$A:$A, "="&amp;$AB$2)</f>
        <v>0</v>
      </c>
      <c r="AC20" s="7">
        <f>SUMIFS('Tong_hop_HQNV_2026Q1_2026-06-23'!$L:$L,'Tong_hop_HQNV_2026Q1_2026-06-23'!$B:$B, "="&amp;'CHECK_DT-BT'!A20, 'Tong_hop_HQNV_2026Q1_2026-06-23'!$A:$A, "="&amp;$AC$2)</f>
        <v>0</v>
      </c>
      <c r="AD20" s="7">
        <f>SUMIFS('Tong_hop_HQNV_2026Q1_2026-06-23'!$L:$L,'Tong_hop_HQNV_2026Q1_2026-06-23'!$B:$B, "="&amp;'CHECK_DT-BT'!A20, 'Tong_hop_HQNV_2026Q1_2026-06-23'!$A:$A, "="&amp;$AD$2)</f>
        <v>33897747</v>
      </c>
      <c r="AE20" s="7">
        <f>SUMIFS('Tong_hop_HQNV_2026Q1_2026-06-23'!$L:$L,'Tong_hop_HQNV_2026Q1_2026-06-23'!$B:$B, "="&amp;'CHECK_DT-BT'!A20, 'Tong_hop_HQNV_2026Q1_2026-06-23'!$A:$A, "="&amp;$AE$2)</f>
        <v>1073988825</v>
      </c>
      <c r="AF20" s="7">
        <f>SUMIFS('Tong_hop_HQNV_2026Q1_2026-06-23'!$L:$L,'Tong_hop_HQNV_2026Q1_2026-06-23'!$B:$B, "="&amp;'CHECK_DT-BT'!A20, 'Tong_hop_HQNV_2026Q1_2026-06-23'!$A:$A, "="&amp;$AF$2)</f>
        <v>698411577</v>
      </c>
      <c r="AG20" s="7">
        <f>SUMIFS('Tong_hop_HQNV_2026Q1_2026-06-23'!$L:$L,'Tong_hop_HQNV_2026Q1_2026-06-23'!$B:$B, "="&amp;'CHECK_DT-BT'!A20, 'Tong_hop_HQNV_2026Q1_2026-06-23'!$A:$A, "="&amp;$AG$2)</f>
        <v>15781038</v>
      </c>
      <c r="AH20" s="7">
        <f>SUMIFS('Tong_hop_HQNV_2026Q1_2026-06-23'!$L:$L,'Tong_hop_HQNV_2026Q1_2026-06-23'!$B:$B, "="&amp;'CHECK_DT-BT'!A20, 'Tong_hop_HQNV_2026Q1_2026-06-23'!$A:$A, "="&amp;$AH$2)</f>
        <v>0</v>
      </c>
      <c r="AI20" s="7">
        <f>SUMIFS('Tong_hop_HQNV_2026Q1_2026-06-23'!$L:$L,'Tong_hop_HQNV_2026Q1_2026-06-23'!$B:$B, "="&amp;'CHECK_DT-BT'!A20, 'Tong_hop_HQNV_2026Q1_2026-06-23'!$A:$A, "="&amp;$AI$2)</f>
        <v>0</v>
      </c>
      <c r="AJ20" s="7">
        <f t="shared" si="6"/>
        <v>19982961423</v>
      </c>
      <c r="AK20" s="7">
        <f t="shared" si="7"/>
        <v>2042507264</v>
      </c>
      <c r="AL20" s="7">
        <f>SUMIFS('HQ1'!$D:$D,'HQ1'!$A:$A, "="&amp;'CHECK_DT-BT'!C20, 'HQ1'!$B:$B, "Total")</f>
        <v>19977894150</v>
      </c>
      <c r="AM20" s="7">
        <f>SUMIFS('HQ2'!$J:$J,'HQ2'!$A:$A, "="&amp;'CHECK_DT-BT'!C20, 'HQ2'!$B:$B, "Total")</f>
        <v>2042507264</v>
      </c>
      <c r="AN20" s="24">
        <f t="shared" si="8"/>
        <v>5067273</v>
      </c>
      <c r="AO20" s="24">
        <f t="shared" si="9"/>
        <v>0</v>
      </c>
    </row>
    <row r="21" spans="1:41" x14ac:dyDescent="0.25">
      <c r="A21" s="9" t="s">
        <v>301</v>
      </c>
      <c r="B21" t="s">
        <v>159</v>
      </c>
      <c r="C21" t="s">
        <v>81</v>
      </c>
      <c r="D21" s="7">
        <f>SUMIFS('Tong_hop_HQNV_2026Q1_2026-06-23'!$K:$K,'Tong_hop_HQNV_2026Q1_2026-06-23'!$A:$A,"="&amp;'CHECK_DT-BT'!$D$2,'Tong_hop_HQNV_2026Q1_2026-06-23'!$B:$B, "="&amp;'CHECK_DT-BT'!A21)</f>
        <v>3835766917</v>
      </c>
      <c r="E21" s="7">
        <f>SUMIFS('Tong_hop_HQNV_2026Q1_2026-06-23'!$K:$K,'Tong_hop_HQNV_2026Q1_2026-06-23'!$A:$A,"="&amp;'CHECK_DT-BT'!$E$2,'Tong_hop_HQNV_2026Q1_2026-06-23'!$B:$B, "="&amp;'CHECK_DT-BT'!A21)</f>
        <v>173382500</v>
      </c>
      <c r="F21" s="7">
        <f>SUMIFS('Tong_hop_HQNV_2026Q1_2026-06-23'!$K:$K,'Tong_hop_HQNV_2026Q1_2026-06-23'!$A:$A,"="&amp;'CHECK_DT-BT'!$F$2,'Tong_hop_HQNV_2026Q1_2026-06-23'!$B:$B, "="&amp;'CHECK_DT-BT'!A21)</f>
        <v>11001058588</v>
      </c>
      <c r="G21" s="7">
        <f>SUMIFS('Tong_hop_HQNV_2026Q1_2026-06-23'!$K:$K,'Tong_hop_HQNV_2026Q1_2026-06-23'!$A:$A,"="&amp;'CHECK_DT-BT'!$G$2,'Tong_hop_HQNV_2026Q1_2026-06-23'!$B:$B, "="&amp;'CHECK_DT-BT'!A21)</f>
        <v>705674525</v>
      </c>
      <c r="H21" s="7">
        <f>SUMIFS('Tong_hop_HQNV_2026Q1_2026-06-23'!$K:$K,'Tong_hop_HQNV_2026Q1_2026-06-23'!$A:$A,"="&amp;$H$2,'Tong_hop_HQNV_2026Q1_2026-06-23'!$B:$B, "="&amp;'CHECK_DT-BT'!A21)</f>
        <v>520501237</v>
      </c>
      <c r="I21" s="7">
        <f>SUMIFS('Tong_hop_HQNV_2026Q1_2026-06-23'!$K:$K,'Tong_hop_HQNV_2026Q1_2026-06-23'!$A:$A,"="&amp;$I$2,'Tong_hop_HQNV_2026Q1_2026-06-23'!$B:$B, "="&amp;'CHECK_DT-BT'!A21)</f>
        <v>0</v>
      </c>
      <c r="J21" s="7">
        <f>SUMIFS('Tong_hop_HQNV_2026Q1_2026-06-23'!$K:$K,'Tong_hop_HQNV_2026Q1_2026-06-23'!$A:$A,"="&amp;$J$2,'Tong_hop_HQNV_2026Q1_2026-06-23'!$B:$B, "="&amp;'CHECK_DT-BT'!A21)</f>
        <v>0</v>
      </c>
      <c r="K21" s="7">
        <f>SUMIFS('Tong_hop_HQNV_2026Q1_2026-06-23'!$K:$K,'Tong_hop_HQNV_2026Q1_2026-06-23'!$A:$A,"="&amp;$K$2,'Tong_hop_HQNV_2026Q1_2026-06-23'!$B:$B, "="&amp;'CHECK_DT-BT'!A21)</f>
        <v>0</v>
      </c>
      <c r="L21" s="7">
        <f>SUMIFS('Tong_hop_HQNV_2026Q1_2026-06-23'!$K:$K,'Tong_hop_HQNV_2026Q1_2026-06-23'!$A:$A,"="&amp;$L$2,'Tong_hop_HQNV_2026Q1_2026-06-23'!$B:$B, "="&amp;'CHECK_DT-BT'!A21)</f>
        <v>2804323614</v>
      </c>
      <c r="M21" s="7">
        <f>SUMIFS('Tong_hop_HQNV_2026Q1_2026-06-23'!$K:$K,'Tong_hop_HQNV_2026Q1_2026-06-23'!$A:$A,"="&amp;$M$2,'Tong_hop_HQNV_2026Q1_2026-06-23'!$B:$B, "="&amp;'CHECK_DT-BT'!A21)</f>
        <v>637467482</v>
      </c>
      <c r="N21" s="7">
        <f>SUMIFS('Tong_hop_HQNV_2026Q1_2026-06-23'!$K:$K,'Tong_hop_HQNV_2026Q1_2026-06-23'!$A:$A,"="&amp;$N$2,'Tong_hop_HQNV_2026Q1_2026-06-23'!$B:$B, "="&amp;'CHECK_DT-BT'!A21)</f>
        <v>10000000</v>
      </c>
      <c r="O21" s="7">
        <f>SUMIFS('Tong_hop_HQNV_2026Q1_2026-06-23'!$K:$K,'Tong_hop_HQNV_2026Q1_2026-06-23'!$A:$A,"="&amp;$O$2,'Tong_hop_HQNV_2026Q1_2026-06-23'!$B:$B, "="&amp;'CHECK_DT-BT'!A21)</f>
        <v>0</v>
      </c>
      <c r="P21" s="7">
        <f>SUMIFS('Tong_hop_HQNV_2026Q1_2026-06-23'!$K:$K,'Tong_hop_HQNV_2026Q1_2026-06-23'!$A:$A,"="&amp;$P$2,'Tong_hop_HQNV_2026Q1_2026-06-23'!$B:$B, "="&amp;'CHECK_DT-BT'!A21)</f>
        <v>0</v>
      </c>
      <c r="Q21" s="7">
        <f t="shared" si="2"/>
        <v>15715882530</v>
      </c>
      <c r="R21" s="7">
        <f t="shared" si="3"/>
        <v>3972292333</v>
      </c>
      <c r="S21" s="7">
        <f>SUMIFS('HQ1'!$C:$C,'HQ1'!$A:$A, "="&amp;'CHECK_DT-BT'!C21, 'HQ1'!$B:$B, "Total")</f>
        <v>15715882530</v>
      </c>
      <c r="T21" s="7">
        <f>SUMIFS('HQ2'!$C:$C,'HQ2'!$A:$A, "="&amp;'CHECK_DT-BT'!C21, 'HQ2'!$B:$B, "Total")</f>
        <v>3972292333</v>
      </c>
      <c r="U21" s="7">
        <f t="shared" si="4"/>
        <v>0</v>
      </c>
      <c r="V21" s="7">
        <f t="shared" si="5"/>
        <v>0</v>
      </c>
      <c r="W21" s="23">
        <f>SUMIFS('Tong_hop_HQNV_2026Q1_2026-06-23'!$L:$L,'Tong_hop_HQNV_2026Q1_2026-06-23'!$B:$B, "="&amp;'CHECK_DT-BT'!A21, 'Tong_hop_HQNV_2026Q1_2026-06-23'!$A:$A, "="&amp;'CHECK_DT-BT'!$W$2)</f>
        <v>1753747019</v>
      </c>
      <c r="X21" s="7">
        <f>SUMIFS('Tong_hop_HQNV_2026Q1_2026-06-23'!$L:$L,'Tong_hop_HQNV_2026Q1_2026-06-23'!$B:$B, "="&amp;'CHECK_DT-BT'!A21, 'Tong_hop_HQNV_2026Q1_2026-06-23'!$A:$A, "="&amp;'CHECK_DT-BT'!$X$2)</f>
        <v>24893143</v>
      </c>
      <c r="Y21" s="7">
        <f>SUMIFS('Tong_hop_HQNV_2026Q1_2026-06-23'!$L:$L,'Tong_hop_HQNV_2026Q1_2026-06-23'!$B:$B, "="&amp;'CHECK_DT-BT'!A21, 'Tong_hop_HQNV_2026Q1_2026-06-23'!$A:$A, "="&amp;'CHECK_DT-BT'!$Y$2)</f>
        <v>6241753890</v>
      </c>
      <c r="Z21" s="7">
        <f>SUMIFS('Tong_hop_HQNV_2026Q1_2026-06-23'!$L:$L,'Tong_hop_HQNV_2026Q1_2026-06-23'!$B:$B, "="&amp;'CHECK_DT-BT'!A21, 'Tong_hop_HQNV_2026Q1_2026-06-23'!$A:$A, "="&amp;'CHECK_DT-BT'!$Z$2)</f>
        <v>206840735</v>
      </c>
      <c r="AA21" s="7">
        <f>SUMIFS('Tong_hop_HQNV_2026Q1_2026-06-23'!$L:$L,'Tong_hop_HQNV_2026Q1_2026-06-23'!$B:$B, "="&amp;'CHECK_DT-BT'!A21, 'Tong_hop_HQNV_2026Q1_2026-06-23'!$A:$A, "="&amp;$AA$2)</f>
        <v>0</v>
      </c>
      <c r="AB21" s="7">
        <f>SUMIFS('Tong_hop_HQNV_2026Q1_2026-06-23'!$L:$L,'Tong_hop_HQNV_2026Q1_2026-06-23'!$B:$B, "="&amp;'CHECK_DT-BT'!A21, 'Tong_hop_HQNV_2026Q1_2026-06-23'!$A:$A, "="&amp;$AB$2)</f>
        <v>0</v>
      </c>
      <c r="AC21" s="7">
        <f>SUMIFS('Tong_hop_HQNV_2026Q1_2026-06-23'!$L:$L,'Tong_hop_HQNV_2026Q1_2026-06-23'!$B:$B, "="&amp;'CHECK_DT-BT'!A21, 'Tong_hop_HQNV_2026Q1_2026-06-23'!$A:$A, "="&amp;$AC$2)</f>
        <v>0</v>
      </c>
      <c r="AD21" s="7">
        <f>SUMIFS('Tong_hop_HQNV_2026Q1_2026-06-23'!$L:$L,'Tong_hop_HQNV_2026Q1_2026-06-23'!$B:$B, "="&amp;'CHECK_DT-BT'!A21, 'Tong_hop_HQNV_2026Q1_2026-06-23'!$A:$A, "="&amp;$AD$2)</f>
        <v>0</v>
      </c>
      <c r="AE21" s="7">
        <f>SUMIFS('Tong_hop_HQNV_2026Q1_2026-06-23'!$L:$L,'Tong_hop_HQNV_2026Q1_2026-06-23'!$B:$B, "="&amp;'CHECK_DT-BT'!A21, 'Tong_hop_HQNV_2026Q1_2026-06-23'!$A:$A, "="&amp;$AE$2)</f>
        <v>7000000000</v>
      </c>
      <c r="AF21" s="7">
        <f>SUMIFS('Tong_hop_HQNV_2026Q1_2026-06-23'!$L:$L,'Tong_hop_HQNV_2026Q1_2026-06-23'!$B:$B, "="&amp;'CHECK_DT-BT'!A21, 'Tong_hop_HQNV_2026Q1_2026-06-23'!$A:$A, "="&amp;$AF$2)</f>
        <v>0</v>
      </c>
      <c r="AG21" s="7">
        <f>SUMIFS('Tong_hop_HQNV_2026Q1_2026-06-23'!$L:$L,'Tong_hop_HQNV_2026Q1_2026-06-23'!$B:$B, "="&amp;'CHECK_DT-BT'!A21, 'Tong_hop_HQNV_2026Q1_2026-06-23'!$A:$A, "="&amp;$AG$2)</f>
        <v>0</v>
      </c>
      <c r="AH21" s="7">
        <f>SUMIFS('Tong_hop_HQNV_2026Q1_2026-06-23'!$L:$L,'Tong_hop_HQNV_2026Q1_2026-06-23'!$B:$B, "="&amp;'CHECK_DT-BT'!A21, 'Tong_hop_HQNV_2026Q1_2026-06-23'!$A:$A, "="&amp;$AH$2)</f>
        <v>0</v>
      </c>
      <c r="AI21" s="7">
        <f>SUMIFS('Tong_hop_HQNV_2026Q1_2026-06-23'!$L:$L,'Tong_hop_HQNV_2026Q1_2026-06-23'!$B:$B, "="&amp;'CHECK_DT-BT'!A21, 'Tong_hop_HQNV_2026Q1_2026-06-23'!$A:$A, "="&amp;$AI$2)</f>
        <v>0</v>
      </c>
      <c r="AJ21" s="7">
        <f t="shared" si="6"/>
        <v>8227234787</v>
      </c>
      <c r="AK21" s="7">
        <f t="shared" si="7"/>
        <v>7000000000</v>
      </c>
      <c r="AL21" s="7">
        <f>SUMIFS('HQ1'!$D:$D,'HQ1'!$A:$A, "="&amp;'CHECK_DT-BT'!C21, 'HQ1'!$B:$B, "Total")</f>
        <v>8227234787</v>
      </c>
      <c r="AM21" s="7">
        <f>SUMIFS('HQ2'!$J:$J,'HQ2'!$A:$A, "="&amp;'CHECK_DT-BT'!C21, 'HQ2'!$B:$B, "Total")</f>
        <v>7000000000</v>
      </c>
      <c r="AN21" s="24">
        <f t="shared" si="8"/>
        <v>0</v>
      </c>
      <c r="AO21" s="24">
        <f t="shared" si="9"/>
        <v>0</v>
      </c>
    </row>
    <row r="22" spans="1:41" x14ac:dyDescent="0.25">
      <c r="A22" s="9" t="s">
        <v>302</v>
      </c>
      <c r="B22" t="s">
        <v>160</v>
      </c>
      <c r="C22" t="s">
        <v>120</v>
      </c>
      <c r="D22" s="7">
        <f>SUMIFS('Tong_hop_HQNV_2026Q1_2026-06-23'!$K:$K,'Tong_hop_HQNV_2026Q1_2026-06-23'!$A:$A,"="&amp;'CHECK_DT-BT'!$D$2,'Tong_hop_HQNV_2026Q1_2026-06-23'!$B:$B, "="&amp;'CHECK_DT-BT'!A22)</f>
        <v>1601322000</v>
      </c>
      <c r="E22" s="7">
        <f>SUMIFS('Tong_hop_HQNV_2026Q1_2026-06-23'!$K:$K,'Tong_hop_HQNV_2026Q1_2026-06-23'!$A:$A,"="&amp;'CHECK_DT-BT'!$E$2,'Tong_hop_HQNV_2026Q1_2026-06-23'!$B:$B, "="&amp;'CHECK_DT-BT'!A22)</f>
        <v>1679000</v>
      </c>
      <c r="F22" s="7">
        <f>SUMIFS('Tong_hop_HQNV_2026Q1_2026-06-23'!$K:$K,'Tong_hop_HQNV_2026Q1_2026-06-23'!$A:$A,"="&amp;'CHECK_DT-BT'!$F$2,'Tong_hop_HQNV_2026Q1_2026-06-23'!$B:$B, "="&amp;'CHECK_DT-BT'!A22)</f>
        <v>2804379783</v>
      </c>
      <c r="G22" s="7">
        <f>SUMIFS('Tong_hop_HQNV_2026Q1_2026-06-23'!$K:$K,'Tong_hop_HQNV_2026Q1_2026-06-23'!$A:$A,"="&amp;'CHECK_DT-BT'!$G$2,'Tong_hop_HQNV_2026Q1_2026-06-23'!$B:$B, "="&amp;'CHECK_DT-BT'!A22)</f>
        <v>177029000</v>
      </c>
      <c r="H22" s="7">
        <f>SUMIFS('Tong_hop_HQNV_2026Q1_2026-06-23'!$K:$K,'Tong_hop_HQNV_2026Q1_2026-06-23'!$A:$A,"="&amp;$H$2,'Tong_hop_HQNV_2026Q1_2026-06-23'!$B:$B, "="&amp;'CHECK_DT-BT'!A22)</f>
        <v>0</v>
      </c>
      <c r="I22" s="7">
        <f>SUMIFS('Tong_hop_HQNV_2026Q1_2026-06-23'!$K:$K,'Tong_hop_HQNV_2026Q1_2026-06-23'!$A:$A,"="&amp;$I$2,'Tong_hop_HQNV_2026Q1_2026-06-23'!$B:$B, "="&amp;'CHECK_DT-BT'!A22)</f>
        <v>0</v>
      </c>
      <c r="J22" s="7">
        <f>SUMIFS('Tong_hop_HQNV_2026Q1_2026-06-23'!$K:$K,'Tong_hop_HQNV_2026Q1_2026-06-23'!$A:$A,"="&amp;$J$2,'Tong_hop_HQNV_2026Q1_2026-06-23'!$B:$B, "="&amp;'CHECK_DT-BT'!A22)</f>
        <v>0</v>
      </c>
      <c r="K22" s="7">
        <f>SUMIFS('Tong_hop_HQNV_2026Q1_2026-06-23'!$K:$K,'Tong_hop_HQNV_2026Q1_2026-06-23'!$A:$A,"="&amp;$K$2,'Tong_hop_HQNV_2026Q1_2026-06-23'!$B:$B, "="&amp;'CHECK_DT-BT'!A22)</f>
        <v>0</v>
      </c>
      <c r="L22" s="7">
        <f>SUMIFS('Tong_hop_HQNV_2026Q1_2026-06-23'!$K:$K,'Tong_hop_HQNV_2026Q1_2026-06-23'!$A:$A,"="&amp;$L$2,'Tong_hop_HQNV_2026Q1_2026-06-23'!$B:$B, "="&amp;'CHECK_DT-BT'!A22)</f>
        <v>39074125</v>
      </c>
      <c r="M22" s="7">
        <f>SUMIFS('Tong_hop_HQNV_2026Q1_2026-06-23'!$K:$K,'Tong_hop_HQNV_2026Q1_2026-06-23'!$A:$A,"="&amp;$M$2,'Tong_hop_HQNV_2026Q1_2026-06-23'!$B:$B, "="&amp;'CHECK_DT-BT'!A22)</f>
        <v>516759637</v>
      </c>
      <c r="N22" s="7">
        <f>SUMIFS('Tong_hop_HQNV_2026Q1_2026-06-23'!$K:$K,'Tong_hop_HQNV_2026Q1_2026-06-23'!$A:$A,"="&amp;$N$2,'Tong_hop_HQNV_2026Q1_2026-06-23'!$B:$B, "="&amp;'CHECK_DT-BT'!A22)</f>
        <v>0</v>
      </c>
      <c r="O22" s="7">
        <f>SUMIFS('Tong_hop_HQNV_2026Q1_2026-06-23'!$K:$K,'Tong_hop_HQNV_2026Q1_2026-06-23'!$A:$A,"="&amp;$O$2,'Tong_hop_HQNV_2026Q1_2026-06-23'!$B:$B, "="&amp;'CHECK_DT-BT'!A22)</f>
        <v>0</v>
      </c>
      <c r="P22" s="7">
        <f>SUMIFS('Tong_hop_HQNV_2026Q1_2026-06-23'!$K:$K,'Tong_hop_HQNV_2026Q1_2026-06-23'!$A:$A,"="&amp;$P$2,'Tong_hop_HQNV_2026Q1_2026-06-23'!$B:$B, "="&amp;'CHECK_DT-BT'!A22)</f>
        <v>0</v>
      </c>
      <c r="Q22" s="7">
        <f t="shared" si="2"/>
        <v>4584409783</v>
      </c>
      <c r="R22" s="7">
        <f t="shared" si="3"/>
        <v>555833762</v>
      </c>
      <c r="S22" s="7">
        <f>SUMIFS('HQ1'!$C:$C,'HQ1'!$A:$A, "="&amp;'CHECK_DT-BT'!C22, 'HQ1'!$B:$B, "Total")</f>
        <v>4584409783</v>
      </c>
      <c r="T22" s="7">
        <f>SUMIFS('HQ2'!$C:$C,'HQ2'!$A:$A, "="&amp;'CHECK_DT-BT'!C22, 'HQ2'!$B:$B, "Total")</f>
        <v>555833762</v>
      </c>
      <c r="U22" s="7">
        <f t="shared" si="4"/>
        <v>0</v>
      </c>
      <c r="V22" s="7">
        <f t="shared" si="5"/>
        <v>0</v>
      </c>
      <c r="W22" s="23">
        <f>SUMIFS('Tong_hop_HQNV_2026Q1_2026-06-23'!$L:$L,'Tong_hop_HQNV_2026Q1_2026-06-23'!$B:$B, "="&amp;'CHECK_DT-BT'!A22, 'Tong_hop_HQNV_2026Q1_2026-06-23'!$A:$A, "="&amp;'CHECK_DT-BT'!$W$2)</f>
        <v>783259000</v>
      </c>
      <c r="X22" s="7">
        <f>SUMIFS('Tong_hop_HQNV_2026Q1_2026-06-23'!$L:$L,'Tong_hop_HQNV_2026Q1_2026-06-23'!$B:$B, "="&amp;'CHECK_DT-BT'!A22, 'Tong_hop_HQNV_2026Q1_2026-06-23'!$A:$A, "="&amp;'CHECK_DT-BT'!$X$2)</f>
        <v>0</v>
      </c>
      <c r="Y22" s="7">
        <f>SUMIFS('Tong_hop_HQNV_2026Q1_2026-06-23'!$L:$L,'Tong_hop_HQNV_2026Q1_2026-06-23'!$B:$B, "="&amp;'CHECK_DT-BT'!A22, 'Tong_hop_HQNV_2026Q1_2026-06-23'!$A:$A, "="&amp;'CHECK_DT-BT'!$Y$2)</f>
        <v>1324984604</v>
      </c>
      <c r="Z22" s="7">
        <f>SUMIFS('Tong_hop_HQNV_2026Q1_2026-06-23'!$L:$L,'Tong_hop_HQNV_2026Q1_2026-06-23'!$B:$B, "="&amp;'CHECK_DT-BT'!A22, 'Tong_hop_HQNV_2026Q1_2026-06-23'!$A:$A, "="&amp;'CHECK_DT-BT'!$Z$2)</f>
        <v>45125942</v>
      </c>
      <c r="AA22" s="7">
        <f>SUMIFS('Tong_hop_HQNV_2026Q1_2026-06-23'!$L:$L,'Tong_hop_HQNV_2026Q1_2026-06-23'!$B:$B, "="&amp;'CHECK_DT-BT'!A22, 'Tong_hop_HQNV_2026Q1_2026-06-23'!$A:$A, "="&amp;$AA$2)</f>
        <v>0</v>
      </c>
      <c r="AB22" s="7">
        <f>SUMIFS('Tong_hop_HQNV_2026Q1_2026-06-23'!$L:$L,'Tong_hop_HQNV_2026Q1_2026-06-23'!$B:$B, "="&amp;'CHECK_DT-BT'!A22, 'Tong_hop_HQNV_2026Q1_2026-06-23'!$A:$A, "="&amp;$AB$2)</f>
        <v>0</v>
      </c>
      <c r="AC22" s="7">
        <f>SUMIFS('Tong_hop_HQNV_2026Q1_2026-06-23'!$L:$L,'Tong_hop_HQNV_2026Q1_2026-06-23'!$B:$B, "="&amp;'CHECK_DT-BT'!A22, 'Tong_hop_HQNV_2026Q1_2026-06-23'!$A:$A, "="&amp;$AC$2)</f>
        <v>0</v>
      </c>
      <c r="AD22" s="7">
        <f>SUMIFS('Tong_hop_HQNV_2026Q1_2026-06-23'!$L:$L,'Tong_hop_HQNV_2026Q1_2026-06-23'!$B:$B, "="&amp;'CHECK_DT-BT'!A22, 'Tong_hop_HQNV_2026Q1_2026-06-23'!$A:$A, "="&amp;$AD$2)</f>
        <v>0</v>
      </c>
      <c r="AE22" s="7">
        <f>SUMIFS('Tong_hop_HQNV_2026Q1_2026-06-23'!$L:$L,'Tong_hop_HQNV_2026Q1_2026-06-23'!$B:$B, "="&amp;'CHECK_DT-BT'!A22, 'Tong_hop_HQNV_2026Q1_2026-06-23'!$A:$A, "="&amp;$AE$2)</f>
        <v>0</v>
      </c>
      <c r="AF22" s="7">
        <f>SUMIFS('Tong_hop_HQNV_2026Q1_2026-06-23'!$L:$L,'Tong_hop_HQNV_2026Q1_2026-06-23'!$B:$B, "="&amp;'CHECK_DT-BT'!A22, 'Tong_hop_HQNV_2026Q1_2026-06-23'!$A:$A, "="&amp;$AF$2)</f>
        <v>0</v>
      </c>
      <c r="AG22" s="7">
        <f>SUMIFS('Tong_hop_HQNV_2026Q1_2026-06-23'!$L:$L,'Tong_hop_HQNV_2026Q1_2026-06-23'!$B:$B, "="&amp;'CHECK_DT-BT'!A22, 'Tong_hop_HQNV_2026Q1_2026-06-23'!$A:$A, "="&amp;$AG$2)</f>
        <v>0</v>
      </c>
      <c r="AH22" s="7">
        <f>SUMIFS('Tong_hop_HQNV_2026Q1_2026-06-23'!$L:$L,'Tong_hop_HQNV_2026Q1_2026-06-23'!$B:$B, "="&amp;'CHECK_DT-BT'!A22, 'Tong_hop_HQNV_2026Q1_2026-06-23'!$A:$A, "="&amp;$AH$2)</f>
        <v>0</v>
      </c>
      <c r="AI22" s="7">
        <f>SUMIFS('Tong_hop_HQNV_2026Q1_2026-06-23'!$L:$L,'Tong_hop_HQNV_2026Q1_2026-06-23'!$B:$B, "="&amp;'CHECK_DT-BT'!A22, 'Tong_hop_HQNV_2026Q1_2026-06-23'!$A:$A, "="&amp;$AI$2)</f>
        <v>0</v>
      </c>
      <c r="AJ22" s="7">
        <f t="shared" si="6"/>
        <v>2153369546</v>
      </c>
      <c r="AK22" s="7">
        <f t="shared" si="7"/>
        <v>0</v>
      </c>
      <c r="AL22" s="7">
        <f>SUMIFS('HQ1'!$D:$D,'HQ1'!$A:$A, "="&amp;'CHECK_DT-BT'!C22, 'HQ1'!$B:$B, "Total")</f>
        <v>2153369546</v>
      </c>
      <c r="AM22" s="7">
        <f>SUMIFS('HQ2'!$J:$J,'HQ2'!$A:$A, "="&amp;'CHECK_DT-BT'!C22, 'HQ2'!$B:$B, "Total")</f>
        <v>0</v>
      </c>
      <c r="AN22" s="24">
        <f t="shared" si="8"/>
        <v>0</v>
      </c>
      <c r="AO22" s="24">
        <f t="shared" si="9"/>
        <v>0</v>
      </c>
    </row>
    <row r="23" spans="1:41" x14ac:dyDescent="0.25">
      <c r="A23" s="9" t="s">
        <v>303</v>
      </c>
      <c r="B23" t="s">
        <v>161</v>
      </c>
      <c r="C23" t="s">
        <v>111</v>
      </c>
      <c r="D23" s="7">
        <f>SUMIFS('Tong_hop_HQNV_2026Q1_2026-06-23'!$K:$K,'Tong_hop_HQNV_2026Q1_2026-06-23'!$A:$A,"="&amp;'CHECK_DT-BT'!$D$2,'Tong_hop_HQNV_2026Q1_2026-06-23'!$B:$B, "="&amp;'CHECK_DT-BT'!A23)</f>
        <v>917215900</v>
      </c>
      <c r="E23" s="7">
        <f>SUMIFS('Tong_hop_HQNV_2026Q1_2026-06-23'!$K:$K,'Tong_hop_HQNV_2026Q1_2026-06-23'!$A:$A,"="&amp;'CHECK_DT-BT'!$E$2,'Tong_hop_HQNV_2026Q1_2026-06-23'!$B:$B, "="&amp;'CHECK_DT-BT'!A23)</f>
        <v>396000</v>
      </c>
      <c r="F23" s="7">
        <f>SUMIFS('Tong_hop_HQNV_2026Q1_2026-06-23'!$K:$K,'Tong_hop_HQNV_2026Q1_2026-06-23'!$A:$A,"="&amp;'CHECK_DT-BT'!$F$2,'Tong_hop_HQNV_2026Q1_2026-06-23'!$B:$B, "="&amp;'CHECK_DT-BT'!A23)</f>
        <v>5235631370</v>
      </c>
      <c r="G23" s="7">
        <f>SUMIFS('Tong_hop_HQNV_2026Q1_2026-06-23'!$K:$K,'Tong_hop_HQNV_2026Q1_2026-06-23'!$A:$A,"="&amp;'CHECK_DT-BT'!$G$2,'Tong_hop_HQNV_2026Q1_2026-06-23'!$B:$B, "="&amp;'CHECK_DT-BT'!A23)</f>
        <v>16654600</v>
      </c>
      <c r="H23" s="7">
        <f>SUMIFS('Tong_hop_HQNV_2026Q1_2026-06-23'!$K:$K,'Tong_hop_HQNV_2026Q1_2026-06-23'!$A:$A,"="&amp;$H$2,'Tong_hop_HQNV_2026Q1_2026-06-23'!$B:$B, "="&amp;'CHECK_DT-BT'!A23)</f>
        <v>0</v>
      </c>
      <c r="I23" s="7">
        <f>SUMIFS('Tong_hop_HQNV_2026Q1_2026-06-23'!$K:$K,'Tong_hop_HQNV_2026Q1_2026-06-23'!$A:$A,"="&amp;$I$2,'Tong_hop_HQNV_2026Q1_2026-06-23'!$B:$B, "="&amp;'CHECK_DT-BT'!A23)</f>
        <v>0</v>
      </c>
      <c r="J23" s="7">
        <f>SUMIFS('Tong_hop_HQNV_2026Q1_2026-06-23'!$K:$K,'Tong_hop_HQNV_2026Q1_2026-06-23'!$A:$A,"="&amp;$J$2,'Tong_hop_HQNV_2026Q1_2026-06-23'!$B:$B, "="&amp;'CHECK_DT-BT'!A23)</f>
        <v>0</v>
      </c>
      <c r="K23" s="7">
        <f>SUMIFS('Tong_hop_HQNV_2026Q1_2026-06-23'!$K:$K,'Tong_hop_HQNV_2026Q1_2026-06-23'!$A:$A,"="&amp;$K$2,'Tong_hop_HQNV_2026Q1_2026-06-23'!$B:$B, "="&amp;'CHECK_DT-BT'!A23)</f>
        <v>0</v>
      </c>
      <c r="L23" s="7">
        <f>SUMIFS('Tong_hop_HQNV_2026Q1_2026-06-23'!$K:$K,'Tong_hop_HQNV_2026Q1_2026-06-23'!$A:$A,"="&amp;$L$2,'Tong_hop_HQNV_2026Q1_2026-06-23'!$B:$B, "="&amp;'CHECK_DT-BT'!A23)</f>
        <v>579318207</v>
      </c>
      <c r="M23" s="7">
        <f>SUMIFS('Tong_hop_HQNV_2026Q1_2026-06-23'!$K:$K,'Tong_hop_HQNV_2026Q1_2026-06-23'!$A:$A,"="&amp;$M$2,'Tong_hop_HQNV_2026Q1_2026-06-23'!$B:$B, "="&amp;'CHECK_DT-BT'!A23)</f>
        <v>527612152</v>
      </c>
      <c r="N23" s="7">
        <f>SUMIFS('Tong_hop_HQNV_2026Q1_2026-06-23'!$K:$K,'Tong_hop_HQNV_2026Q1_2026-06-23'!$A:$A,"="&amp;$N$2,'Tong_hop_HQNV_2026Q1_2026-06-23'!$B:$B, "="&amp;'CHECK_DT-BT'!A23)</f>
        <v>65469091</v>
      </c>
      <c r="O23" s="7">
        <f>SUMIFS('Tong_hop_HQNV_2026Q1_2026-06-23'!$K:$K,'Tong_hop_HQNV_2026Q1_2026-06-23'!$A:$A,"="&amp;$O$2,'Tong_hop_HQNV_2026Q1_2026-06-23'!$B:$B, "="&amp;'CHECK_DT-BT'!A23)</f>
        <v>0</v>
      </c>
      <c r="P23" s="7">
        <f>SUMIFS('Tong_hop_HQNV_2026Q1_2026-06-23'!$K:$K,'Tong_hop_HQNV_2026Q1_2026-06-23'!$A:$A,"="&amp;$P$2,'Tong_hop_HQNV_2026Q1_2026-06-23'!$B:$B, "="&amp;'CHECK_DT-BT'!A23)</f>
        <v>0</v>
      </c>
      <c r="Q23" s="7">
        <f t="shared" si="2"/>
        <v>6169897870</v>
      </c>
      <c r="R23" s="7">
        <f t="shared" si="3"/>
        <v>1172399450</v>
      </c>
      <c r="S23" s="7">
        <f>SUMIFS('HQ1'!$C:$C,'HQ1'!$A:$A, "="&amp;'CHECK_DT-BT'!C23, 'HQ1'!$B:$B, "Total")</f>
        <v>6169897870</v>
      </c>
      <c r="T23" s="7">
        <f>SUMIFS('HQ2'!$C:$C,'HQ2'!$A:$A, "="&amp;'CHECK_DT-BT'!C23, 'HQ2'!$B:$B, "Total")</f>
        <v>1172399450</v>
      </c>
      <c r="U23" s="7">
        <f t="shared" si="4"/>
        <v>0</v>
      </c>
      <c r="V23" s="7">
        <f t="shared" si="5"/>
        <v>0</v>
      </c>
      <c r="W23" s="23">
        <f>SUMIFS('Tong_hop_HQNV_2026Q1_2026-06-23'!$L:$L,'Tong_hop_HQNV_2026Q1_2026-06-23'!$B:$B, "="&amp;'CHECK_DT-BT'!A23, 'Tong_hop_HQNV_2026Q1_2026-06-23'!$A:$A, "="&amp;'CHECK_DT-BT'!$W$2)</f>
        <v>1376374000</v>
      </c>
      <c r="X23" s="7">
        <f>SUMIFS('Tong_hop_HQNV_2026Q1_2026-06-23'!$L:$L,'Tong_hop_HQNV_2026Q1_2026-06-23'!$B:$B, "="&amp;'CHECK_DT-BT'!A23, 'Tong_hop_HQNV_2026Q1_2026-06-23'!$A:$A, "="&amp;'CHECK_DT-BT'!$X$2)</f>
        <v>0</v>
      </c>
      <c r="Y23" s="7">
        <f>SUMIFS('Tong_hop_HQNV_2026Q1_2026-06-23'!$L:$L,'Tong_hop_HQNV_2026Q1_2026-06-23'!$B:$B, "="&amp;'CHECK_DT-BT'!A23, 'Tong_hop_HQNV_2026Q1_2026-06-23'!$A:$A, "="&amp;'CHECK_DT-BT'!$Y$2)</f>
        <v>1879771136</v>
      </c>
      <c r="Z23" s="7">
        <f>SUMIFS('Tong_hop_HQNV_2026Q1_2026-06-23'!$L:$L,'Tong_hop_HQNV_2026Q1_2026-06-23'!$B:$B, "="&amp;'CHECK_DT-BT'!A23, 'Tong_hop_HQNV_2026Q1_2026-06-23'!$A:$A, "="&amp;'CHECK_DT-BT'!$Z$2)</f>
        <v>0</v>
      </c>
      <c r="AA23" s="7">
        <f>SUMIFS('Tong_hop_HQNV_2026Q1_2026-06-23'!$L:$L,'Tong_hop_HQNV_2026Q1_2026-06-23'!$B:$B, "="&amp;'CHECK_DT-BT'!A23, 'Tong_hop_HQNV_2026Q1_2026-06-23'!$A:$A, "="&amp;$AA$2)</f>
        <v>0</v>
      </c>
      <c r="AB23" s="7">
        <f>SUMIFS('Tong_hop_HQNV_2026Q1_2026-06-23'!$L:$L,'Tong_hop_HQNV_2026Q1_2026-06-23'!$B:$B, "="&amp;'CHECK_DT-BT'!A23, 'Tong_hop_HQNV_2026Q1_2026-06-23'!$A:$A, "="&amp;$AB$2)</f>
        <v>0</v>
      </c>
      <c r="AC23" s="7">
        <f>SUMIFS('Tong_hop_HQNV_2026Q1_2026-06-23'!$L:$L,'Tong_hop_HQNV_2026Q1_2026-06-23'!$B:$B, "="&amp;'CHECK_DT-BT'!A23, 'Tong_hop_HQNV_2026Q1_2026-06-23'!$A:$A, "="&amp;$AC$2)</f>
        <v>0</v>
      </c>
      <c r="AD23" s="7">
        <f>SUMIFS('Tong_hop_HQNV_2026Q1_2026-06-23'!$L:$L,'Tong_hop_HQNV_2026Q1_2026-06-23'!$B:$B, "="&amp;'CHECK_DT-BT'!A23, 'Tong_hop_HQNV_2026Q1_2026-06-23'!$A:$A, "="&amp;$AD$2)</f>
        <v>0</v>
      </c>
      <c r="AE23" s="7">
        <f>SUMIFS('Tong_hop_HQNV_2026Q1_2026-06-23'!$L:$L,'Tong_hop_HQNV_2026Q1_2026-06-23'!$B:$B, "="&amp;'CHECK_DT-BT'!A23, 'Tong_hop_HQNV_2026Q1_2026-06-23'!$A:$A, "="&amp;$AE$2)</f>
        <v>1184871543</v>
      </c>
      <c r="AF23" s="7">
        <f>SUMIFS('Tong_hop_HQNV_2026Q1_2026-06-23'!$L:$L,'Tong_hop_HQNV_2026Q1_2026-06-23'!$B:$B, "="&amp;'CHECK_DT-BT'!A23, 'Tong_hop_HQNV_2026Q1_2026-06-23'!$A:$A, "="&amp;$AF$2)</f>
        <v>0</v>
      </c>
      <c r="AG23" s="7">
        <f>SUMIFS('Tong_hop_HQNV_2026Q1_2026-06-23'!$L:$L,'Tong_hop_HQNV_2026Q1_2026-06-23'!$B:$B, "="&amp;'CHECK_DT-BT'!A23, 'Tong_hop_HQNV_2026Q1_2026-06-23'!$A:$A, "="&amp;$AG$2)</f>
        <v>0</v>
      </c>
      <c r="AH23" s="7">
        <f>SUMIFS('Tong_hop_HQNV_2026Q1_2026-06-23'!$L:$L,'Tong_hop_HQNV_2026Q1_2026-06-23'!$B:$B, "="&amp;'CHECK_DT-BT'!A23, 'Tong_hop_HQNV_2026Q1_2026-06-23'!$A:$A, "="&amp;$AH$2)</f>
        <v>0</v>
      </c>
      <c r="AI23" s="7">
        <f>SUMIFS('Tong_hop_HQNV_2026Q1_2026-06-23'!$L:$L,'Tong_hop_HQNV_2026Q1_2026-06-23'!$B:$B, "="&amp;'CHECK_DT-BT'!A23, 'Tong_hop_HQNV_2026Q1_2026-06-23'!$A:$A, "="&amp;$AI$2)</f>
        <v>0</v>
      </c>
      <c r="AJ23" s="7">
        <f t="shared" si="6"/>
        <v>3256145136</v>
      </c>
      <c r="AK23" s="7">
        <f t="shared" si="7"/>
        <v>1184871543</v>
      </c>
      <c r="AL23" s="7">
        <f>SUMIFS('HQ1'!$D:$D,'HQ1'!$A:$A, "="&amp;'CHECK_DT-BT'!C23, 'HQ1'!$B:$B, "Total")</f>
        <v>3256145136</v>
      </c>
      <c r="AM23" s="7">
        <f>SUMIFS('HQ2'!$J:$J,'HQ2'!$A:$A, "="&amp;'CHECK_DT-BT'!C23, 'HQ2'!$B:$B, "Total")</f>
        <v>1184871543</v>
      </c>
      <c r="AN23" s="24">
        <f t="shared" si="8"/>
        <v>0</v>
      </c>
      <c r="AO23" s="24">
        <f t="shared" si="9"/>
        <v>0</v>
      </c>
    </row>
    <row r="24" spans="1:41" x14ac:dyDescent="0.25">
      <c r="A24" s="9" t="s">
        <v>304</v>
      </c>
      <c r="B24" t="s">
        <v>162</v>
      </c>
      <c r="C24" t="s">
        <v>48</v>
      </c>
      <c r="D24" s="7">
        <f>SUMIFS('Tong_hop_HQNV_2026Q1_2026-06-23'!$K:$K,'Tong_hop_HQNV_2026Q1_2026-06-23'!$A:$A,"="&amp;'CHECK_DT-BT'!$D$2,'Tong_hop_HQNV_2026Q1_2026-06-23'!$B:$B, "="&amp;'CHECK_DT-BT'!A24)</f>
        <v>170525046</v>
      </c>
      <c r="E24" s="7">
        <f>SUMIFS('Tong_hop_HQNV_2026Q1_2026-06-23'!$K:$K,'Tong_hop_HQNV_2026Q1_2026-06-23'!$A:$A,"="&amp;'CHECK_DT-BT'!$E$2,'Tong_hop_HQNV_2026Q1_2026-06-23'!$B:$B, "="&amp;'CHECK_DT-BT'!A24)</f>
        <v>11450200</v>
      </c>
      <c r="F24" s="7">
        <f>SUMIFS('Tong_hop_HQNV_2026Q1_2026-06-23'!$K:$K,'Tong_hop_HQNV_2026Q1_2026-06-23'!$A:$A,"="&amp;'CHECK_DT-BT'!$F$2,'Tong_hop_HQNV_2026Q1_2026-06-23'!$B:$B, "="&amp;'CHECK_DT-BT'!A24)</f>
        <v>5031585613</v>
      </c>
      <c r="G24" s="7">
        <f>SUMIFS('Tong_hop_HQNV_2026Q1_2026-06-23'!$K:$K,'Tong_hop_HQNV_2026Q1_2026-06-23'!$A:$A,"="&amp;'CHECK_DT-BT'!$G$2,'Tong_hop_HQNV_2026Q1_2026-06-23'!$B:$B, "="&amp;'CHECK_DT-BT'!A24)</f>
        <v>639921102</v>
      </c>
      <c r="H24" s="7">
        <f>SUMIFS('Tong_hop_HQNV_2026Q1_2026-06-23'!$K:$K,'Tong_hop_HQNV_2026Q1_2026-06-23'!$A:$A,"="&amp;$H$2,'Tong_hop_HQNV_2026Q1_2026-06-23'!$B:$B, "="&amp;'CHECK_DT-BT'!A24)</f>
        <v>2335925467</v>
      </c>
      <c r="I24" s="7">
        <f>SUMIFS('Tong_hop_HQNV_2026Q1_2026-06-23'!$K:$K,'Tong_hop_HQNV_2026Q1_2026-06-23'!$A:$A,"="&amp;$I$2,'Tong_hop_HQNV_2026Q1_2026-06-23'!$B:$B, "="&amp;'CHECK_DT-BT'!A24)</f>
        <v>34140906170</v>
      </c>
      <c r="J24" s="7">
        <f>SUMIFS('Tong_hop_HQNV_2026Q1_2026-06-23'!$K:$K,'Tong_hop_HQNV_2026Q1_2026-06-23'!$A:$A,"="&amp;$J$2,'Tong_hop_HQNV_2026Q1_2026-06-23'!$B:$B, "="&amp;'CHECK_DT-BT'!A24)</f>
        <v>10320468477</v>
      </c>
      <c r="K24" s="7">
        <f>SUMIFS('Tong_hop_HQNV_2026Q1_2026-06-23'!$K:$K,'Tong_hop_HQNV_2026Q1_2026-06-23'!$A:$A,"="&amp;$K$2,'Tong_hop_HQNV_2026Q1_2026-06-23'!$B:$B, "="&amp;'CHECK_DT-BT'!A24)</f>
        <v>109523762</v>
      </c>
      <c r="L24" s="7">
        <f>SUMIFS('Tong_hop_HQNV_2026Q1_2026-06-23'!$K:$K,'Tong_hop_HQNV_2026Q1_2026-06-23'!$A:$A,"="&amp;$L$2,'Tong_hop_HQNV_2026Q1_2026-06-23'!$B:$B, "="&amp;'CHECK_DT-BT'!A24)</f>
        <v>2662954115</v>
      </c>
      <c r="M24" s="7">
        <f>SUMIFS('Tong_hop_HQNV_2026Q1_2026-06-23'!$K:$K,'Tong_hop_HQNV_2026Q1_2026-06-23'!$A:$A,"="&amp;$M$2,'Tong_hop_HQNV_2026Q1_2026-06-23'!$B:$B, "="&amp;'CHECK_DT-BT'!A24)</f>
        <v>923617828</v>
      </c>
      <c r="N24" s="7">
        <f>SUMIFS('Tong_hop_HQNV_2026Q1_2026-06-23'!$K:$K,'Tong_hop_HQNV_2026Q1_2026-06-23'!$A:$A,"="&amp;$N$2,'Tong_hop_HQNV_2026Q1_2026-06-23'!$B:$B, "="&amp;'CHECK_DT-BT'!A24)</f>
        <v>202000000</v>
      </c>
      <c r="O24" s="7">
        <f>SUMIFS('Tong_hop_HQNV_2026Q1_2026-06-23'!$K:$K,'Tong_hop_HQNV_2026Q1_2026-06-23'!$A:$A,"="&amp;$O$2,'Tong_hop_HQNV_2026Q1_2026-06-23'!$B:$B, "="&amp;'CHECK_DT-BT'!A24)</f>
        <v>0</v>
      </c>
      <c r="P24" s="7">
        <f>SUMIFS('Tong_hop_HQNV_2026Q1_2026-06-23'!$K:$K,'Tong_hop_HQNV_2026Q1_2026-06-23'!$A:$A,"="&amp;$P$2,'Tong_hop_HQNV_2026Q1_2026-06-23'!$B:$B, "="&amp;'CHECK_DT-BT'!A24)</f>
        <v>0</v>
      </c>
      <c r="Q24" s="7">
        <f t="shared" si="2"/>
        <v>5853481961</v>
      </c>
      <c r="R24" s="7">
        <f t="shared" si="3"/>
        <v>50695395819</v>
      </c>
      <c r="S24" s="7">
        <f>SUMIFS('HQ1'!$C:$C,'HQ1'!$A:$A, "="&amp;'CHECK_DT-BT'!C24, 'HQ1'!$B:$B, "Total")</f>
        <v>5853481961</v>
      </c>
      <c r="T24" s="7">
        <f>SUMIFS('HQ2'!$C:$C,'HQ2'!$A:$A, "="&amp;'CHECK_DT-BT'!C24, 'HQ2'!$B:$B, "Total")</f>
        <v>53600268295</v>
      </c>
      <c r="U24" s="7">
        <f t="shared" si="4"/>
        <v>0</v>
      </c>
      <c r="V24" s="7">
        <f t="shared" si="5"/>
        <v>-2904872476</v>
      </c>
      <c r="W24" s="23">
        <f>SUMIFS('Tong_hop_HQNV_2026Q1_2026-06-23'!$L:$L,'Tong_hop_HQNV_2026Q1_2026-06-23'!$B:$B, "="&amp;'CHECK_DT-BT'!A24, 'Tong_hop_HQNV_2026Q1_2026-06-23'!$A:$A, "="&amp;'CHECK_DT-BT'!$W$2)</f>
        <v>56959720</v>
      </c>
      <c r="X24" s="7">
        <f>SUMIFS('Tong_hop_HQNV_2026Q1_2026-06-23'!$L:$L,'Tong_hop_HQNV_2026Q1_2026-06-23'!$B:$B, "="&amp;'CHECK_DT-BT'!A24, 'Tong_hop_HQNV_2026Q1_2026-06-23'!$A:$A, "="&amp;'CHECK_DT-BT'!$X$2)</f>
        <v>0</v>
      </c>
      <c r="Y24" s="7">
        <f>SUMIFS('Tong_hop_HQNV_2026Q1_2026-06-23'!$L:$L,'Tong_hop_HQNV_2026Q1_2026-06-23'!$B:$B, "="&amp;'CHECK_DT-BT'!A24, 'Tong_hop_HQNV_2026Q1_2026-06-23'!$A:$A, "="&amp;'CHECK_DT-BT'!$Y$2)</f>
        <v>1829602985</v>
      </c>
      <c r="Z24" s="7">
        <f>SUMIFS('Tong_hop_HQNV_2026Q1_2026-06-23'!$L:$L,'Tong_hop_HQNV_2026Q1_2026-06-23'!$B:$B, "="&amp;'CHECK_DT-BT'!A24, 'Tong_hop_HQNV_2026Q1_2026-06-23'!$A:$A, "="&amp;'CHECK_DT-BT'!$Z$2)</f>
        <v>222241512</v>
      </c>
      <c r="AA24" s="7">
        <f>SUMIFS('Tong_hop_HQNV_2026Q1_2026-06-23'!$L:$L,'Tong_hop_HQNV_2026Q1_2026-06-23'!$B:$B, "="&amp;'CHECK_DT-BT'!A24, 'Tong_hop_HQNV_2026Q1_2026-06-23'!$A:$A, "="&amp;$AA$2)</f>
        <v>0</v>
      </c>
      <c r="AB24" s="7">
        <f>SUMIFS('Tong_hop_HQNV_2026Q1_2026-06-23'!$L:$L,'Tong_hop_HQNV_2026Q1_2026-06-23'!$B:$B, "="&amp;'CHECK_DT-BT'!A24, 'Tong_hop_HQNV_2026Q1_2026-06-23'!$A:$A, "="&amp;$AB$2)</f>
        <v>14426487285</v>
      </c>
      <c r="AC24" s="7">
        <f>SUMIFS('Tong_hop_HQNV_2026Q1_2026-06-23'!$L:$L,'Tong_hop_HQNV_2026Q1_2026-06-23'!$B:$B, "="&amp;'CHECK_DT-BT'!A24, 'Tong_hop_HQNV_2026Q1_2026-06-23'!$A:$A, "="&amp;$AC$2)</f>
        <v>646248343</v>
      </c>
      <c r="AD24" s="7">
        <f>SUMIFS('Tong_hop_HQNV_2026Q1_2026-06-23'!$L:$L,'Tong_hop_HQNV_2026Q1_2026-06-23'!$B:$B, "="&amp;'CHECK_DT-BT'!A24, 'Tong_hop_HQNV_2026Q1_2026-06-23'!$A:$A, "="&amp;$AD$2)</f>
        <v>0</v>
      </c>
      <c r="AE24" s="7">
        <f>SUMIFS('Tong_hop_HQNV_2026Q1_2026-06-23'!$L:$L,'Tong_hop_HQNV_2026Q1_2026-06-23'!$B:$B, "="&amp;'CHECK_DT-BT'!A24, 'Tong_hop_HQNV_2026Q1_2026-06-23'!$A:$A, "="&amp;$AE$2)</f>
        <v>0</v>
      </c>
      <c r="AF24" s="7">
        <f>SUMIFS('Tong_hop_HQNV_2026Q1_2026-06-23'!$L:$L,'Tong_hop_HQNV_2026Q1_2026-06-23'!$B:$B, "="&amp;'CHECK_DT-BT'!A24, 'Tong_hop_HQNV_2026Q1_2026-06-23'!$A:$A, "="&amp;$AF$2)</f>
        <v>271235548</v>
      </c>
      <c r="AG24" s="7">
        <f>SUMIFS('Tong_hop_HQNV_2026Q1_2026-06-23'!$L:$L,'Tong_hop_HQNV_2026Q1_2026-06-23'!$B:$B, "="&amp;'CHECK_DT-BT'!A24, 'Tong_hop_HQNV_2026Q1_2026-06-23'!$A:$A, "="&amp;$AG$2)</f>
        <v>0</v>
      </c>
      <c r="AH24" s="7">
        <f>SUMIFS('Tong_hop_HQNV_2026Q1_2026-06-23'!$L:$L,'Tong_hop_HQNV_2026Q1_2026-06-23'!$B:$B, "="&amp;'CHECK_DT-BT'!A24, 'Tong_hop_HQNV_2026Q1_2026-06-23'!$A:$A, "="&amp;$AH$2)</f>
        <v>0</v>
      </c>
      <c r="AI24" s="7">
        <f>SUMIFS('Tong_hop_HQNV_2026Q1_2026-06-23'!$L:$L,'Tong_hop_HQNV_2026Q1_2026-06-23'!$B:$B, "="&amp;'CHECK_DT-BT'!A24, 'Tong_hop_HQNV_2026Q1_2026-06-23'!$A:$A, "="&amp;$AI$2)</f>
        <v>0</v>
      </c>
      <c r="AJ24" s="7">
        <f t="shared" si="6"/>
        <v>2108804217</v>
      </c>
      <c r="AK24" s="7">
        <f t="shared" si="7"/>
        <v>15343971176</v>
      </c>
      <c r="AL24" s="7">
        <f>SUMIFS('HQ1'!$D:$D,'HQ1'!$A:$A, "="&amp;'CHECK_DT-BT'!C24, 'HQ1'!$B:$B, "Total")</f>
        <v>2108804217</v>
      </c>
      <c r="AM24" s="7">
        <f>SUMIFS('HQ2'!$J:$J,'HQ2'!$A:$A, "="&amp;'CHECK_DT-BT'!C24, 'HQ2'!$B:$B, "Total")</f>
        <v>15343971176</v>
      </c>
      <c r="AN24" s="24">
        <f t="shared" si="8"/>
        <v>0</v>
      </c>
      <c r="AO24" s="24">
        <f t="shared" si="9"/>
        <v>0</v>
      </c>
    </row>
    <row r="25" spans="1:41" x14ac:dyDescent="0.25">
      <c r="A25" s="9" t="s">
        <v>305</v>
      </c>
      <c r="B25" t="s">
        <v>163</v>
      </c>
      <c r="C25" t="s">
        <v>118</v>
      </c>
      <c r="D25" s="7">
        <f>SUMIFS('Tong_hop_HQNV_2026Q1_2026-06-23'!$K:$K,'Tong_hop_HQNV_2026Q1_2026-06-23'!$A:$A,"="&amp;'CHECK_DT-BT'!$D$2,'Tong_hop_HQNV_2026Q1_2026-06-23'!$B:$B, "="&amp;'CHECK_DT-BT'!A25)</f>
        <v>610067694</v>
      </c>
      <c r="E25" s="7">
        <f>SUMIFS('Tong_hop_HQNV_2026Q1_2026-06-23'!$K:$K,'Tong_hop_HQNV_2026Q1_2026-06-23'!$A:$A,"="&amp;'CHECK_DT-BT'!$E$2,'Tong_hop_HQNV_2026Q1_2026-06-23'!$B:$B, "="&amp;'CHECK_DT-BT'!A25)</f>
        <v>13950000</v>
      </c>
      <c r="F25" s="7">
        <f>SUMIFS('Tong_hop_HQNV_2026Q1_2026-06-23'!$K:$K,'Tong_hop_HQNV_2026Q1_2026-06-23'!$A:$A,"="&amp;'CHECK_DT-BT'!$F$2,'Tong_hop_HQNV_2026Q1_2026-06-23'!$B:$B, "="&amp;'CHECK_DT-BT'!A25)</f>
        <v>4638665444</v>
      </c>
      <c r="G25" s="7">
        <f>SUMIFS('Tong_hop_HQNV_2026Q1_2026-06-23'!$K:$K,'Tong_hop_HQNV_2026Q1_2026-06-23'!$A:$A,"="&amp;'CHECK_DT-BT'!$G$2,'Tong_hop_HQNV_2026Q1_2026-06-23'!$B:$B, "="&amp;'CHECK_DT-BT'!A25)</f>
        <v>889225970</v>
      </c>
      <c r="H25" s="7">
        <f>SUMIFS('Tong_hop_HQNV_2026Q1_2026-06-23'!$K:$K,'Tong_hop_HQNV_2026Q1_2026-06-23'!$A:$A,"="&amp;$H$2,'Tong_hop_HQNV_2026Q1_2026-06-23'!$B:$B, "="&amp;'CHECK_DT-BT'!A25)</f>
        <v>111793795</v>
      </c>
      <c r="I25" s="7">
        <f>SUMIFS('Tong_hop_HQNV_2026Q1_2026-06-23'!$K:$K,'Tong_hop_HQNV_2026Q1_2026-06-23'!$A:$A,"="&amp;$I$2,'Tong_hop_HQNV_2026Q1_2026-06-23'!$B:$B, "="&amp;'CHECK_DT-BT'!A25)</f>
        <v>-238187479</v>
      </c>
      <c r="J25" s="7">
        <f>SUMIFS('Tong_hop_HQNV_2026Q1_2026-06-23'!$K:$K,'Tong_hop_HQNV_2026Q1_2026-06-23'!$A:$A,"="&amp;$J$2,'Tong_hop_HQNV_2026Q1_2026-06-23'!$B:$B, "="&amp;'CHECK_DT-BT'!A25)</f>
        <v>0</v>
      </c>
      <c r="K25" s="7">
        <f>SUMIFS('Tong_hop_HQNV_2026Q1_2026-06-23'!$K:$K,'Tong_hop_HQNV_2026Q1_2026-06-23'!$A:$A,"="&amp;$K$2,'Tong_hop_HQNV_2026Q1_2026-06-23'!$B:$B, "="&amp;'CHECK_DT-BT'!A25)</f>
        <v>25786000</v>
      </c>
      <c r="L25" s="7">
        <f>SUMIFS('Tong_hop_HQNV_2026Q1_2026-06-23'!$K:$K,'Tong_hop_HQNV_2026Q1_2026-06-23'!$A:$A,"="&amp;$L$2,'Tong_hop_HQNV_2026Q1_2026-06-23'!$B:$B, "="&amp;'CHECK_DT-BT'!A25)</f>
        <v>335214104</v>
      </c>
      <c r="M25" s="7">
        <f>SUMIFS('Tong_hop_HQNV_2026Q1_2026-06-23'!$K:$K,'Tong_hop_HQNV_2026Q1_2026-06-23'!$A:$A,"="&amp;$M$2,'Tong_hop_HQNV_2026Q1_2026-06-23'!$B:$B, "="&amp;'CHECK_DT-BT'!A25)</f>
        <v>182463636</v>
      </c>
      <c r="N25" s="7">
        <f>SUMIFS('Tong_hop_HQNV_2026Q1_2026-06-23'!$K:$K,'Tong_hop_HQNV_2026Q1_2026-06-23'!$A:$A,"="&amp;$N$2,'Tong_hop_HQNV_2026Q1_2026-06-23'!$B:$B, "="&amp;'CHECK_DT-BT'!A25)</f>
        <v>0</v>
      </c>
      <c r="O25" s="7">
        <f>SUMIFS('Tong_hop_HQNV_2026Q1_2026-06-23'!$K:$K,'Tong_hop_HQNV_2026Q1_2026-06-23'!$A:$A,"="&amp;$O$2,'Tong_hop_HQNV_2026Q1_2026-06-23'!$B:$B, "="&amp;'CHECK_DT-BT'!A25)</f>
        <v>0</v>
      </c>
      <c r="P25" s="7">
        <f>SUMIFS('Tong_hop_HQNV_2026Q1_2026-06-23'!$K:$K,'Tong_hop_HQNV_2026Q1_2026-06-23'!$A:$A,"="&amp;$P$2,'Tong_hop_HQNV_2026Q1_2026-06-23'!$B:$B, "="&amp;'CHECK_DT-BT'!A25)</f>
        <v>0</v>
      </c>
      <c r="Q25" s="7">
        <f t="shared" si="2"/>
        <v>6151909108</v>
      </c>
      <c r="R25" s="7">
        <f t="shared" si="3"/>
        <v>417070056</v>
      </c>
      <c r="S25" s="7">
        <f>SUMIFS('HQ1'!$C:$C,'HQ1'!$A:$A, "="&amp;'CHECK_DT-BT'!C25, 'HQ1'!$B:$B, "Total")</f>
        <v>6151909108</v>
      </c>
      <c r="T25" s="7">
        <f>SUMIFS('HQ2'!$C:$C,'HQ2'!$A:$A, "="&amp;'CHECK_DT-BT'!C25, 'HQ2'!$B:$B, "Total")</f>
        <v>417070056</v>
      </c>
      <c r="U25" s="7">
        <f t="shared" si="4"/>
        <v>0</v>
      </c>
      <c r="V25" s="7">
        <f t="shared" si="5"/>
        <v>0</v>
      </c>
      <c r="W25" s="23">
        <f>SUMIFS('Tong_hop_HQNV_2026Q1_2026-06-23'!$L:$L,'Tong_hop_HQNV_2026Q1_2026-06-23'!$B:$B, "="&amp;'CHECK_DT-BT'!A25, 'Tong_hop_HQNV_2026Q1_2026-06-23'!$A:$A, "="&amp;'CHECK_DT-BT'!$W$2)</f>
        <v>372480000</v>
      </c>
      <c r="X25" s="7">
        <f>SUMIFS('Tong_hop_HQNV_2026Q1_2026-06-23'!$L:$L,'Tong_hop_HQNV_2026Q1_2026-06-23'!$B:$B, "="&amp;'CHECK_DT-BT'!A25, 'Tong_hop_HQNV_2026Q1_2026-06-23'!$A:$A, "="&amp;'CHECK_DT-BT'!$X$2)</f>
        <v>0</v>
      </c>
      <c r="Y25" s="7">
        <f>SUMIFS('Tong_hop_HQNV_2026Q1_2026-06-23'!$L:$L,'Tong_hop_HQNV_2026Q1_2026-06-23'!$B:$B, "="&amp;'CHECK_DT-BT'!A25, 'Tong_hop_HQNV_2026Q1_2026-06-23'!$A:$A, "="&amp;'CHECK_DT-BT'!$Y$2)</f>
        <v>1246437442</v>
      </c>
      <c r="Z25" s="7">
        <f>SUMIFS('Tong_hop_HQNV_2026Q1_2026-06-23'!$L:$L,'Tong_hop_HQNV_2026Q1_2026-06-23'!$B:$B, "="&amp;'CHECK_DT-BT'!A25, 'Tong_hop_HQNV_2026Q1_2026-06-23'!$A:$A, "="&amp;'CHECK_DT-BT'!$Z$2)</f>
        <v>267590142</v>
      </c>
      <c r="AA25" s="7">
        <f>SUMIFS('Tong_hop_HQNV_2026Q1_2026-06-23'!$L:$L,'Tong_hop_HQNV_2026Q1_2026-06-23'!$B:$B, "="&amp;'CHECK_DT-BT'!A25, 'Tong_hop_HQNV_2026Q1_2026-06-23'!$A:$A, "="&amp;$AA$2)</f>
        <v>0</v>
      </c>
      <c r="AB25" s="7">
        <f>SUMIFS('Tong_hop_HQNV_2026Q1_2026-06-23'!$L:$L,'Tong_hop_HQNV_2026Q1_2026-06-23'!$B:$B, "="&amp;'CHECK_DT-BT'!A25, 'Tong_hop_HQNV_2026Q1_2026-06-23'!$A:$A, "="&amp;$AB$2)</f>
        <v>0</v>
      </c>
      <c r="AC25" s="7">
        <f>SUMIFS('Tong_hop_HQNV_2026Q1_2026-06-23'!$L:$L,'Tong_hop_HQNV_2026Q1_2026-06-23'!$B:$B, "="&amp;'CHECK_DT-BT'!A25, 'Tong_hop_HQNV_2026Q1_2026-06-23'!$A:$A, "="&amp;$AC$2)</f>
        <v>0</v>
      </c>
      <c r="AD25" s="7">
        <f>SUMIFS('Tong_hop_HQNV_2026Q1_2026-06-23'!$L:$L,'Tong_hop_HQNV_2026Q1_2026-06-23'!$B:$B, "="&amp;'CHECK_DT-BT'!A25, 'Tong_hop_HQNV_2026Q1_2026-06-23'!$A:$A, "="&amp;$AD$2)</f>
        <v>0</v>
      </c>
      <c r="AE25" s="7">
        <f>SUMIFS('Tong_hop_HQNV_2026Q1_2026-06-23'!$L:$L,'Tong_hop_HQNV_2026Q1_2026-06-23'!$B:$B, "="&amp;'CHECK_DT-BT'!A25, 'Tong_hop_HQNV_2026Q1_2026-06-23'!$A:$A, "="&amp;$AE$2)</f>
        <v>5449151424</v>
      </c>
      <c r="AF25" s="7">
        <f>SUMIFS('Tong_hop_HQNV_2026Q1_2026-06-23'!$L:$L,'Tong_hop_HQNV_2026Q1_2026-06-23'!$B:$B, "="&amp;'CHECK_DT-BT'!A25, 'Tong_hop_HQNV_2026Q1_2026-06-23'!$A:$A, "="&amp;$AF$2)</f>
        <v>0</v>
      </c>
      <c r="AG25" s="7">
        <f>SUMIFS('Tong_hop_HQNV_2026Q1_2026-06-23'!$L:$L,'Tong_hop_HQNV_2026Q1_2026-06-23'!$B:$B, "="&amp;'CHECK_DT-BT'!A25, 'Tong_hop_HQNV_2026Q1_2026-06-23'!$A:$A, "="&amp;$AG$2)</f>
        <v>7949000</v>
      </c>
      <c r="AH25" s="7">
        <f>SUMIFS('Tong_hop_HQNV_2026Q1_2026-06-23'!$L:$L,'Tong_hop_HQNV_2026Q1_2026-06-23'!$B:$B, "="&amp;'CHECK_DT-BT'!A25, 'Tong_hop_HQNV_2026Q1_2026-06-23'!$A:$A, "="&amp;$AH$2)</f>
        <v>0</v>
      </c>
      <c r="AI25" s="7">
        <f>SUMIFS('Tong_hop_HQNV_2026Q1_2026-06-23'!$L:$L,'Tong_hop_HQNV_2026Q1_2026-06-23'!$B:$B, "="&amp;'CHECK_DT-BT'!A25, 'Tong_hop_HQNV_2026Q1_2026-06-23'!$A:$A, "="&amp;$AI$2)</f>
        <v>0</v>
      </c>
      <c r="AJ25" s="7">
        <f t="shared" si="6"/>
        <v>1886507584</v>
      </c>
      <c r="AK25" s="7">
        <f t="shared" si="7"/>
        <v>5457100424</v>
      </c>
      <c r="AL25" s="7">
        <f>SUMIFS('HQ1'!$D:$D,'HQ1'!$A:$A, "="&amp;'CHECK_DT-BT'!C25, 'HQ1'!$B:$B, "Total")</f>
        <v>1886507584</v>
      </c>
      <c r="AM25" s="7">
        <f>SUMIFS('HQ2'!$J:$J,'HQ2'!$A:$A, "="&amp;'CHECK_DT-BT'!C25, 'HQ2'!$B:$B, "Total")</f>
        <v>5457100424</v>
      </c>
      <c r="AN25" s="24">
        <f t="shared" si="8"/>
        <v>0</v>
      </c>
      <c r="AO25" s="24">
        <f t="shared" si="9"/>
        <v>0</v>
      </c>
    </row>
    <row r="26" spans="1:41" x14ac:dyDescent="0.25">
      <c r="A26" s="9" t="s">
        <v>306</v>
      </c>
      <c r="B26" t="s">
        <v>164</v>
      </c>
      <c r="C26" t="s">
        <v>71</v>
      </c>
      <c r="D26" s="7">
        <f>SUMIFS('Tong_hop_HQNV_2026Q1_2026-06-23'!$K:$K,'Tong_hop_HQNV_2026Q1_2026-06-23'!$A:$A,"="&amp;'CHECK_DT-BT'!$D$2,'Tong_hop_HQNV_2026Q1_2026-06-23'!$B:$B, "="&amp;'CHECK_DT-BT'!A26)</f>
        <v>8034762582</v>
      </c>
      <c r="E26" s="7">
        <f>SUMIFS('Tong_hop_HQNV_2026Q1_2026-06-23'!$K:$K,'Tong_hop_HQNV_2026Q1_2026-06-23'!$A:$A,"="&amp;'CHECK_DT-BT'!$E$2,'Tong_hop_HQNV_2026Q1_2026-06-23'!$B:$B, "="&amp;'CHECK_DT-BT'!A26)</f>
        <v>2287388900</v>
      </c>
      <c r="F26" s="7">
        <f>SUMIFS('Tong_hop_HQNV_2026Q1_2026-06-23'!$K:$K,'Tong_hop_HQNV_2026Q1_2026-06-23'!$A:$A,"="&amp;'CHECK_DT-BT'!$F$2,'Tong_hop_HQNV_2026Q1_2026-06-23'!$B:$B, "="&amp;'CHECK_DT-BT'!A26)</f>
        <v>15504113612</v>
      </c>
      <c r="G26" s="7">
        <f>SUMIFS('Tong_hop_HQNV_2026Q1_2026-06-23'!$K:$K,'Tong_hop_HQNV_2026Q1_2026-06-23'!$A:$A,"="&amp;'CHECK_DT-BT'!$G$2,'Tong_hop_HQNV_2026Q1_2026-06-23'!$B:$B, "="&amp;'CHECK_DT-BT'!A26)</f>
        <v>14593489700</v>
      </c>
      <c r="H26" s="7">
        <f>SUMIFS('Tong_hop_HQNV_2026Q1_2026-06-23'!$K:$K,'Tong_hop_HQNV_2026Q1_2026-06-23'!$A:$A,"="&amp;$H$2,'Tong_hop_HQNV_2026Q1_2026-06-23'!$B:$B, "="&amp;'CHECK_DT-BT'!A26)</f>
        <v>195968449</v>
      </c>
      <c r="I26" s="7">
        <f>SUMIFS('Tong_hop_HQNV_2026Q1_2026-06-23'!$K:$K,'Tong_hop_HQNV_2026Q1_2026-06-23'!$A:$A,"="&amp;$I$2,'Tong_hop_HQNV_2026Q1_2026-06-23'!$B:$B, "="&amp;'CHECK_DT-BT'!A26)</f>
        <v>0</v>
      </c>
      <c r="J26" s="7">
        <f>SUMIFS('Tong_hop_HQNV_2026Q1_2026-06-23'!$K:$K,'Tong_hop_HQNV_2026Q1_2026-06-23'!$A:$A,"="&amp;$J$2,'Tong_hop_HQNV_2026Q1_2026-06-23'!$B:$B, "="&amp;'CHECK_DT-BT'!A26)</f>
        <v>0</v>
      </c>
      <c r="K26" s="7">
        <f>SUMIFS('Tong_hop_HQNV_2026Q1_2026-06-23'!$K:$K,'Tong_hop_HQNV_2026Q1_2026-06-23'!$A:$A,"="&amp;$K$2,'Tong_hop_HQNV_2026Q1_2026-06-23'!$B:$B, "="&amp;'CHECK_DT-BT'!A26)</f>
        <v>0</v>
      </c>
      <c r="L26" s="7">
        <f>SUMIFS('Tong_hop_HQNV_2026Q1_2026-06-23'!$K:$K,'Tong_hop_HQNV_2026Q1_2026-06-23'!$A:$A,"="&amp;$L$2,'Tong_hop_HQNV_2026Q1_2026-06-23'!$B:$B, "="&amp;'CHECK_DT-BT'!A26)</f>
        <v>3643814450</v>
      </c>
      <c r="M26" s="7">
        <f>SUMIFS('Tong_hop_HQNV_2026Q1_2026-06-23'!$K:$K,'Tong_hop_HQNV_2026Q1_2026-06-23'!$A:$A,"="&amp;$M$2,'Tong_hop_HQNV_2026Q1_2026-06-23'!$B:$B, "="&amp;'CHECK_DT-BT'!A26)</f>
        <v>2622739408</v>
      </c>
      <c r="N26" s="7">
        <f>SUMIFS('Tong_hop_HQNV_2026Q1_2026-06-23'!$K:$K,'Tong_hop_HQNV_2026Q1_2026-06-23'!$A:$A,"="&amp;$N$2,'Tong_hop_HQNV_2026Q1_2026-06-23'!$B:$B, "="&amp;'CHECK_DT-BT'!A26)</f>
        <v>644725965</v>
      </c>
      <c r="O26" s="7">
        <f>SUMIFS('Tong_hop_HQNV_2026Q1_2026-06-23'!$K:$K,'Tong_hop_HQNV_2026Q1_2026-06-23'!$A:$A,"="&amp;$O$2,'Tong_hop_HQNV_2026Q1_2026-06-23'!$B:$B, "="&amp;'CHECK_DT-BT'!A26)</f>
        <v>0</v>
      </c>
      <c r="P26" s="7">
        <f>SUMIFS('Tong_hop_HQNV_2026Q1_2026-06-23'!$K:$K,'Tong_hop_HQNV_2026Q1_2026-06-23'!$A:$A,"="&amp;$P$2,'Tong_hop_HQNV_2026Q1_2026-06-23'!$B:$B, "="&amp;'CHECK_DT-BT'!A26)</f>
        <v>0</v>
      </c>
      <c r="Q26" s="7">
        <f t="shared" si="2"/>
        <v>40419754794</v>
      </c>
      <c r="R26" s="7">
        <f t="shared" si="3"/>
        <v>7107248272</v>
      </c>
      <c r="S26" s="7">
        <f>SUMIFS('HQ1'!$C:$C,'HQ1'!$A:$A, "="&amp;'CHECK_DT-BT'!C26, 'HQ1'!$B:$B, "Total")</f>
        <v>40423151794</v>
      </c>
      <c r="T26" s="7">
        <f>SUMIFS('HQ2'!$C:$C,'HQ2'!$A:$A, "="&amp;'CHECK_DT-BT'!C26, 'HQ2'!$B:$B, "Total")</f>
        <v>7107248272</v>
      </c>
      <c r="U26" s="7">
        <f t="shared" si="4"/>
        <v>-3397000</v>
      </c>
      <c r="V26" s="7">
        <f t="shared" si="5"/>
        <v>0</v>
      </c>
      <c r="W26" s="23">
        <f>SUMIFS('Tong_hop_HQNV_2026Q1_2026-06-23'!$L:$L,'Tong_hop_HQNV_2026Q1_2026-06-23'!$B:$B, "="&amp;'CHECK_DT-BT'!A26, 'Tong_hop_HQNV_2026Q1_2026-06-23'!$A:$A, "="&amp;'CHECK_DT-BT'!$W$2)</f>
        <v>6268953487</v>
      </c>
      <c r="X26" s="7">
        <f>SUMIFS('Tong_hop_HQNV_2026Q1_2026-06-23'!$L:$L,'Tong_hop_HQNV_2026Q1_2026-06-23'!$B:$B, "="&amp;'CHECK_DT-BT'!A26, 'Tong_hop_HQNV_2026Q1_2026-06-23'!$A:$A, "="&amp;'CHECK_DT-BT'!$X$2)</f>
        <v>233001890</v>
      </c>
      <c r="Y26" s="7">
        <f>SUMIFS('Tong_hop_HQNV_2026Q1_2026-06-23'!$L:$L,'Tong_hop_HQNV_2026Q1_2026-06-23'!$B:$B, "="&amp;'CHECK_DT-BT'!A26, 'Tong_hop_HQNV_2026Q1_2026-06-23'!$A:$A, "="&amp;'CHECK_DT-BT'!$Y$2)</f>
        <v>9429352049</v>
      </c>
      <c r="Z26" s="7">
        <f>SUMIFS('Tong_hop_HQNV_2026Q1_2026-06-23'!$L:$L,'Tong_hop_HQNV_2026Q1_2026-06-23'!$B:$B, "="&amp;'CHECK_DT-BT'!A26, 'Tong_hop_HQNV_2026Q1_2026-06-23'!$A:$A, "="&amp;'CHECK_DT-BT'!$Z$2)</f>
        <v>13217041531</v>
      </c>
      <c r="AA26" s="7">
        <f>SUMIFS('Tong_hop_HQNV_2026Q1_2026-06-23'!$L:$L,'Tong_hop_HQNV_2026Q1_2026-06-23'!$B:$B, "="&amp;'CHECK_DT-BT'!A26, 'Tong_hop_HQNV_2026Q1_2026-06-23'!$A:$A, "="&amp;$AA$2)</f>
        <v>0</v>
      </c>
      <c r="AB26" s="7">
        <f>SUMIFS('Tong_hop_HQNV_2026Q1_2026-06-23'!$L:$L,'Tong_hop_HQNV_2026Q1_2026-06-23'!$B:$B, "="&amp;'CHECK_DT-BT'!A26, 'Tong_hop_HQNV_2026Q1_2026-06-23'!$A:$A, "="&amp;$AB$2)</f>
        <v>0</v>
      </c>
      <c r="AC26" s="7">
        <f>SUMIFS('Tong_hop_HQNV_2026Q1_2026-06-23'!$L:$L,'Tong_hop_HQNV_2026Q1_2026-06-23'!$B:$B, "="&amp;'CHECK_DT-BT'!A26, 'Tong_hop_HQNV_2026Q1_2026-06-23'!$A:$A, "="&amp;$AC$2)</f>
        <v>0</v>
      </c>
      <c r="AD26" s="7">
        <f>SUMIFS('Tong_hop_HQNV_2026Q1_2026-06-23'!$L:$L,'Tong_hop_HQNV_2026Q1_2026-06-23'!$B:$B, "="&amp;'CHECK_DT-BT'!A26, 'Tong_hop_HQNV_2026Q1_2026-06-23'!$A:$A, "="&amp;$AD$2)</f>
        <v>0</v>
      </c>
      <c r="AE26" s="7">
        <f>SUMIFS('Tong_hop_HQNV_2026Q1_2026-06-23'!$L:$L,'Tong_hop_HQNV_2026Q1_2026-06-23'!$B:$B, "="&amp;'CHECK_DT-BT'!A26, 'Tong_hop_HQNV_2026Q1_2026-06-23'!$A:$A, "="&amp;$AE$2)</f>
        <v>2782341210</v>
      </c>
      <c r="AF26" s="7">
        <f>SUMIFS('Tong_hop_HQNV_2026Q1_2026-06-23'!$L:$L,'Tong_hop_HQNV_2026Q1_2026-06-23'!$B:$B, "="&amp;'CHECK_DT-BT'!A26, 'Tong_hop_HQNV_2026Q1_2026-06-23'!$A:$A, "="&amp;$AF$2)</f>
        <v>0</v>
      </c>
      <c r="AG26" s="7">
        <f>SUMIFS('Tong_hop_HQNV_2026Q1_2026-06-23'!$L:$L,'Tong_hop_HQNV_2026Q1_2026-06-23'!$B:$B, "="&amp;'CHECK_DT-BT'!A26, 'Tong_hop_HQNV_2026Q1_2026-06-23'!$A:$A, "="&amp;$AG$2)</f>
        <v>0</v>
      </c>
      <c r="AH26" s="7">
        <f>SUMIFS('Tong_hop_HQNV_2026Q1_2026-06-23'!$L:$L,'Tong_hop_HQNV_2026Q1_2026-06-23'!$B:$B, "="&amp;'CHECK_DT-BT'!A26, 'Tong_hop_HQNV_2026Q1_2026-06-23'!$A:$A, "="&amp;$AH$2)</f>
        <v>0</v>
      </c>
      <c r="AI26" s="7">
        <f>SUMIFS('Tong_hop_HQNV_2026Q1_2026-06-23'!$L:$L,'Tong_hop_HQNV_2026Q1_2026-06-23'!$B:$B, "="&amp;'CHECK_DT-BT'!A26, 'Tong_hop_HQNV_2026Q1_2026-06-23'!$A:$A, "="&amp;$AI$2)</f>
        <v>0</v>
      </c>
      <c r="AJ26" s="7">
        <f t="shared" si="6"/>
        <v>29148348957</v>
      </c>
      <c r="AK26" s="7">
        <f t="shared" si="7"/>
        <v>2782341210</v>
      </c>
      <c r="AL26" s="7">
        <f>SUMIFS('HQ1'!$D:$D,'HQ1'!$A:$A, "="&amp;'CHECK_DT-BT'!C26, 'HQ1'!$B:$B, "Total")</f>
        <v>29147148957</v>
      </c>
      <c r="AM26" s="7">
        <f>SUMIFS('HQ2'!$J:$J,'HQ2'!$A:$A, "="&amp;'CHECK_DT-BT'!C26, 'HQ2'!$B:$B, "Total")</f>
        <v>2782204847</v>
      </c>
      <c r="AN26" s="24">
        <f t="shared" si="8"/>
        <v>1200000</v>
      </c>
      <c r="AO26" s="24">
        <f t="shared" si="9"/>
        <v>136363</v>
      </c>
    </row>
    <row r="27" spans="1:41" x14ac:dyDescent="0.25">
      <c r="A27" s="9" t="s">
        <v>307</v>
      </c>
      <c r="B27" t="s">
        <v>165</v>
      </c>
      <c r="C27" t="s">
        <v>92</v>
      </c>
      <c r="D27" s="7">
        <f>SUMIFS('Tong_hop_HQNV_2026Q1_2026-06-23'!$K:$K,'Tong_hop_HQNV_2026Q1_2026-06-23'!$A:$A,"="&amp;'CHECK_DT-BT'!$D$2,'Tong_hop_HQNV_2026Q1_2026-06-23'!$B:$B, "="&amp;'CHECK_DT-BT'!A27)</f>
        <v>1417571439</v>
      </c>
      <c r="E27" s="7">
        <f>SUMIFS('Tong_hop_HQNV_2026Q1_2026-06-23'!$K:$K,'Tong_hop_HQNV_2026Q1_2026-06-23'!$A:$A,"="&amp;'CHECK_DT-BT'!$E$2,'Tong_hop_HQNV_2026Q1_2026-06-23'!$B:$B, "="&amp;'CHECK_DT-BT'!A27)</f>
        <v>158083300</v>
      </c>
      <c r="F27" s="7">
        <f>SUMIFS('Tong_hop_HQNV_2026Q1_2026-06-23'!$K:$K,'Tong_hop_HQNV_2026Q1_2026-06-23'!$A:$A,"="&amp;'CHECK_DT-BT'!$F$2,'Tong_hop_HQNV_2026Q1_2026-06-23'!$B:$B, "="&amp;'CHECK_DT-BT'!A27)</f>
        <v>4088595214</v>
      </c>
      <c r="G27" s="7">
        <f>SUMIFS('Tong_hop_HQNV_2026Q1_2026-06-23'!$K:$K,'Tong_hop_HQNV_2026Q1_2026-06-23'!$A:$A,"="&amp;'CHECK_DT-BT'!$G$2,'Tong_hop_HQNV_2026Q1_2026-06-23'!$B:$B, "="&amp;'CHECK_DT-BT'!A27)</f>
        <v>4245468027</v>
      </c>
      <c r="H27" s="7">
        <f>SUMIFS('Tong_hop_HQNV_2026Q1_2026-06-23'!$K:$K,'Tong_hop_HQNV_2026Q1_2026-06-23'!$A:$A,"="&amp;$H$2,'Tong_hop_HQNV_2026Q1_2026-06-23'!$B:$B, "="&amp;'CHECK_DT-BT'!A27)</f>
        <v>418488717</v>
      </c>
      <c r="I27" s="7">
        <f>SUMIFS('Tong_hop_HQNV_2026Q1_2026-06-23'!$K:$K,'Tong_hop_HQNV_2026Q1_2026-06-23'!$A:$A,"="&amp;$I$2,'Tong_hop_HQNV_2026Q1_2026-06-23'!$B:$B, "="&amp;'CHECK_DT-BT'!A27)</f>
        <v>0</v>
      </c>
      <c r="J27" s="7">
        <f>SUMIFS('Tong_hop_HQNV_2026Q1_2026-06-23'!$K:$K,'Tong_hop_HQNV_2026Q1_2026-06-23'!$A:$A,"="&amp;$J$2,'Tong_hop_HQNV_2026Q1_2026-06-23'!$B:$B, "="&amp;'CHECK_DT-BT'!A27)</f>
        <v>0</v>
      </c>
      <c r="K27" s="7">
        <f>SUMIFS('Tong_hop_HQNV_2026Q1_2026-06-23'!$K:$K,'Tong_hop_HQNV_2026Q1_2026-06-23'!$A:$A,"="&amp;$K$2,'Tong_hop_HQNV_2026Q1_2026-06-23'!$B:$B, "="&amp;'CHECK_DT-BT'!A27)</f>
        <v>4358000</v>
      </c>
      <c r="L27" s="7">
        <f>SUMIFS('Tong_hop_HQNV_2026Q1_2026-06-23'!$K:$K,'Tong_hop_HQNV_2026Q1_2026-06-23'!$A:$A,"="&amp;$L$2,'Tong_hop_HQNV_2026Q1_2026-06-23'!$B:$B, "="&amp;'CHECK_DT-BT'!A27)</f>
        <v>2106272404</v>
      </c>
      <c r="M27" s="7">
        <f>SUMIFS('Tong_hop_HQNV_2026Q1_2026-06-23'!$K:$K,'Tong_hop_HQNV_2026Q1_2026-06-23'!$A:$A,"="&amp;$M$2,'Tong_hop_HQNV_2026Q1_2026-06-23'!$B:$B, "="&amp;'CHECK_DT-BT'!A27)</f>
        <v>107563993</v>
      </c>
      <c r="N27" s="7">
        <f>SUMIFS('Tong_hop_HQNV_2026Q1_2026-06-23'!$K:$K,'Tong_hop_HQNV_2026Q1_2026-06-23'!$A:$A,"="&amp;$N$2,'Tong_hop_HQNV_2026Q1_2026-06-23'!$B:$B, "="&amp;'CHECK_DT-BT'!A27)</f>
        <v>41100000</v>
      </c>
      <c r="O27" s="7">
        <f>SUMIFS('Tong_hop_HQNV_2026Q1_2026-06-23'!$K:$K,'Tong_hop_HQNV_2026Q1_2026-06-23'!$A:$A,"="&amp;$O$2,'Tong_hop_HQNV_2026Q1_2026-06-23'!$B:$B, "="&amp;'CHECK_DT-BT'!A27)</f>
        <v>0</v>
      </c>
      <c r="P27" s="7">
        <f>SUMIFS('Tong_hop_HQNV_2026Q1_2026-06-23'!$K:$K,'Tong_hop_HQNV_2026Q1_2026-06-23'!$A:$A,"="&amp;$P$2,'Tong_hop_HQNV_2026Q1_2026-06-23'!$B:$B, "="&amp;'CHECK_DT-BT'!A27)</f>
        <v>0</v>
      </c>
      <c r="Q27" s="7">
        <f t="shared" si="2"/>
        <v>9909717980</v>
      </c>
      <c r="R27" s="7">
        <f t="shared" si="3"/>
        <v>2677783114</v>
      </c>
      <c r="S27" s="7">
        <f>SUMIFS('HQ1'!$C:$C,'HQ1'!$A:$A, "="&amp;'CHECK_DT-BT'!C27, 'HQ1'!$B:$B, "Total")</f>
        <v>9909717980</v>
      </c>
      <c r="T27" s="7">
        <f>SUMIFS('HQ2'!$C:$C,'HQ2'!$A:$A, "="&amp;'CHECK_DT-BT'!C27, 'HQ2'!$B:$B, "Total")</f>
        <v>2677783114</v>
      </c>
      <c r="U27" s="7">
        <f t="shared" si="4"/>
        <v>0</v>
      </c>
      <c r="V27" s="7">
        <f t="shared" si="5"/>
        <v>0</v>
      </c>
      <c r="W27" s="23">
        <f>SUMIFS('Tong_hop_HQNV_2026Q1_2026-06-23'!$L:$L,'Tong_hop_HQNV_2026Q1_2026-06-23'!$B:$B, "="&amp;'CHECK_DT-BT'!A27, 'Tong_hop_HQNV_2026Q1_2026-06-23'!$A:$A, "="&amp;'CHECK_DT-BT'!$W$2)</f>
        <v>3759718429</v>
      </c>
      <c r="X27" s="7">
        <f>SUMIFS('Tong_hop_HQNV_2026Q1_2026-06-23'!$L:$L,'Tong_hop_HQNV_2026Q1_2026-06-23'!$B:$B, "="&amp;'CHECK_DT-BT'!A27, 'Tong_hop_HQNV_2026Q1_2026-06-23'!$A:$A, "="&amp;'CHECK_DT-BT'!$X$2)</f>
        <v>0</v>
      </c>
      <c r="Y27" s="7">
        <f>SUMIFS('Tong_hop_HQNV_2026Q1_2026-06-23'!$L:$L,'Tong_hop_HQNV_2026Q1_2026-06-23'!$B:$B, "="&amp;'CHECK_DT-BT'!A27, 'Tong_hop_HQNV_2026Q1_2026-06-23'!$A:$A, "="&amp;'CHECK_DT-BT'!$Y$2)</f>
        <v>1522138687</v>
      </c>
      <c r="Z27" s="7">
        <f>SUMIFS('Tong_hop_HQNV_2026Q1_2026-06-23'!$L:$L,'Tong_hop_HQNV_2026Q1_2026-06-23'!$B:$B, "="&amp;'CHECK_DT-BT'!A27, 'Tong_hop_HQNV_2026Q1_2026-06-23'!$A:$A, "="&amp;'CHECK_DT-BT'!$Z$2)</f>
        <v>977836306</v>
      </c>
      <c r="AA27" s="7">
        <f>SUMIFS('Tong_hop_HQNV_2026Q1_2026-06-23'!$L:$L,'Tong_hop_HQNV_2026Q1_2026-06-23'!$B:$B, "="&amp;'CHECK_DT-BT'!A27, 'Tong_hop_HQNV_2026Q1_2026-06-23'!$A:$A, "="&amp;$AA$2)</f>
        <v>4343977</v>
      </c>
      <c r="AB27" s="7">
        <f>SUMIFS('Tong_hop_HQNV_2026Q1_2026-06-23'!$L:$L,'Tong_hop_HQNV_2026Q1_2026-06-23'!$B:$B, "="&amp;'CHECK_DT-BT'!A27, 'Tong_hop_HQNV_2026Q1_2026-06-23'!$A:$A, "="&amp;$AB$2)</f>
        <v>0</v>
      </c>
      <c r="AC27" s="7">
        <f>SUMIFS('Tong_hop_HQNV_2026Q1_2026-06-23'!$L:$L,'Tong_hop_HQNV_2026Q1_2026-06-23'!$B:$B, "="&amp;'CHECK_DT-BT'!A27, 'Tong_hop_HQNV_2026Q1_2026-06-23'!$A:$A, "="&amp;$AC$2)</f>
        <v>0</v>
      </c>
      <c r="AD27" s="7">
        <f>SUMIFS('Tong_hop_HQNV_2026Q1_2026-06-23'!$L:$L,'Tong_hop_HQNV_2026Q1_2026-06-23'!$B:$B, "="&amp;'CHECK_DT-BT'!A27, 'Tong_hop_HQNV_2026Q1_2026-06-23'!$A:$A, "="&amp;$AD$2)</f>
        <v>0</v>
      </c>
      <c r="AE27" s="7">
        <f>SUMIFS('Tong_hop_HQNV_2026Q1_2026-06-23'!$L:$L,'Tong_hop_HQNV_2026Q1_2026-06-23'!$B:$B, "="&amp;'CHECK_DT-BT'!A27, 'Tong_hop_HQNV_2026Q1_2026-06-23'!$A:$A, "="&amp;$AE$2)</f>
        <v>2412959138</v>
      </c>
      <c r="AF27" s="7">
        <f>SUMIFS('Tong_hop_HQNV_2026Q1_2026-06-23'!$L:$L,'Tong_hop_HQNV_2026Q1_2026-06-23'!$B:$B, "="&amp;'CHECK_DT-BT'!A27, 'Tong_hop_HQNV_2026Q1_2026-06-23'!$A:$A, "="&amp;$AF$2)</f>
        <v>0</v>
      </c>
      <c r="AG27" s="7">
        <f>SUMIFS('Tong_hop_HQNV_2026Q1_2026-06-23'!$L:$L,'Tong_hop_HQNV_2026Q1_2026-06-23'!$B:$B, "="&amp;'CHECK_DT-BT'!A27, 'Tong_hop_HQNV_2026Q1_2026-06-23'!$A:$A, "="&amp;$AG$2)</f>
        <v>0</v>
      </c>
      <c r="AH27" s="7">
        <f>SUMIFS('Tong_hop_HQNV_2026Q1_2026-06-23'!$L:$L,'Tong_hop_HQNV_2026Q1_2026-06-23'!$B:$B, "="&amp;'CHECK_DT-BT'!A27, 'Tong_hop_HQNV_2026Q1_2026-06-23'!$A:$A, "="&amp;$AH$2)</f>
        <v>0</v>
      </c>
      <c r="AI27" s="7">
        <f>SUMIFS('Tong_hop_HQNV_2026Q1_2026-06-23'!$L:$L,'Tong_hop_HQNV_2026Q1_2026-06-23'!$B:$B, "="&amp;'CHECK_DT-BT'!A27, 'Tong_hop_HQNV_2026Q1_2026-06-23'!$A:$A, "="&amp;$AI$2)</f>
        <v>0</v>
      </c>
      <c r="AJ27" s="7">
        <f t="shared" si="6"/>
        <v>6259693422</v>
      </c>
      <c r="AK27" s="7">
        <f t="shared" si="7"/>
        <v>2417303115</v>
      </c>
      <c r="AL27" s="7">
        <f>SUMIFS('HQ1'!$D:$D,'HQ1'!$A:$A, "="&amp;'CHECK_DT-BT'!C27, 'HQ1'!$B:$B, "Total")</f>
        <v>6259693422</v>
      </c>
      <c r="AM27" s="7">
        <f>SUMIFS('HQ2'!$J:$J,'HQ2'!$A:$A, "="&amp;'CHECK_DT-BT'!C27, 'HQ2'!$B:$B, "Total")</f>
        <v>2417303115</v>
      </c>
      <c r="AN27" s="24">
        <f t="shared" si="8"/>
        <v>0</v>
      </c>
      <c r="AO27" s="24">
        <f t="shared" si="9"/>
        <v>0</v>
      </c>
    </row>
    <row r="28" spans="1:41" x14ac:dyDescent="0.25">
      <c r="A28" s="9" t="s">
        <v>308</v>
      </c>
      <c r="B28" t="s">
        <v>166</v>
      </c>
      <c r="C28" t="s">
        <v>60</v>
      </c>
      <c r="D28" s="7">
        <f>SUMIFS('Tong_hop_HQNV_2026Q1_2026-06-23'!$K:$K,'Tong_hop_HQNV_2026Q1_2026-06-23'!$A:$A,"="&amp;'CHECK_DT-BT'!$D$2,'Tong_hop_HQNV_2026Q1_2026-06-23'!$B:$B, "="&amp;'CHECK_DT-BT'!A28)</f>
        <v>2763051761</v>
      </c>
      <c r="E28" s="7">
        <f>SUMIFS('Tong_hop_HQNV_2026Q1_2026-06-23'!$K:$K,'Tong_hop_HQNV_2026Q1_2026-06-23'!$A:$A,"="&amp;'CHECK_DT-BT'!$E$2,'Tong_hop_HQNV_2026Q1_2026-06-23'!$B:$B, "="&amp;'CHECK_DT-BT'!A28)</f>
        <v>23195500</v>
      </c>
      <c r="F28" s="7">
        <f>SUMIFS('Tong_hop_HQNV_2026Q1_2026-06-23'!$K:$K,'Tong_hop_HQNV_2026Q1_2026-06-23'!$A:$A,"="&amp;'CHECK_DT-BT'!$F$2,'Tong_hop_HQNV_2026Q1_2026-06-23'!$B:$B, "="&amp;'CHECK_DT-BT'!A28)</f>
        <v>5816843307</v>
      </c>
      <c r="G28" s="7">
        <f>SUMIFS('Tong_hop_HQNV_2026Q1_2026-06-23'!$K:$K,'Tong_hop_HQNV_2026Q1_2026-06-23'!$A:$A,"="&amp;'CHECK_DT-BT'!$G$2,'Tong_hop_HQNV_2026Q1_2026-06-23'!$B:$B, "="&amp;'CHECK_DT-BT'!A28)</f>
        <v>1243248153</v>
      </c>
      <c r="H28" s="7">
        <f>SUMIFS('Tong_hop_HQNV_2026Q1_2026-06-23'!$K:$K,'Tong_hop_HQNV_2026Q1_2026-06-23'!$A:$A,"="&amp;$H$2,'Tong_hop_HQNV_2026Q1_2026-06-23'!$B:$B, "="&amp;'CHECK_DT-BT'!A28)</f>
        <v>3450311011</v>
      </c>
      <c r="I28" s="7">
        <f>SUMIFS('Tong_hop_HQNV_2026Q1_2026-06-23'!$K:$K,'Tong_hop_HQNV_2026Q1_2026-06-23'!$A:$A,"="&amp;$I$2,'Tong_hop_HQNV_2026Q1_2026-06-23'!$B:$B, "="&amp;'CHECK_DT-BT'!A28)</f>
        <v>0</v>
      </c>
      <c r="J28" s="7">
        <f>SUMIFS('Tong_hop_HQNV_2026Q1_2026-06-23'!$K:$K,'Tong_hop_HQNV_2026Q1_2026-06-23'!$A:$A,"="&amp;$J$2,'Tong_hop_HQNV_2026Q1_2026-06-23'!$B:$B, "="&amp;'CHECK_DT-BT'!A28)</f>
        <v>0</v>
      </c>
      <c r="K28" s="7">
        <f>SUMIFS('Tong_hop_HQNV_2026Q1_2026-06-23'!$K:$K,'Tong_hop_HQNV_2026Q1_2026-06-23'!$A:$A,"="&amp;$K$2,'Tong_hop_HQNV_2026Q1_2026-06-23'!$B:$B, "="&amp;'CHECK_DT-BT'!A28)</f>
        <v>703213778</v>
      </c>
      <c r="L28" s="7">
        <f>SUMIFS('Tong_hop_HQNV_2026Q1_2026-06-23'!$K:$K,'Tong_hop_HQNV_2026Q1_2026-06-23'!$A:$A,"="&amp;$L$2,'Tong_hop_HQNV_2026Q1_2026-06-23'!$B:$B, "="&amp;'CHECK_DT-BT'!A28)</f>
        <v>6678411654</v>
      </c>
      <c r="M28" s="7">
        <f>SUMIFS('Tong_hop_HQNV_2026Q1_2026-06-23'!$K:$K,'Tong_hop_HQNV_2026Q1_2026-06-23'!$A:$A,"="&amp;$M$2,'Tong_hop_HQNV_2026Q1_2026-06-23'!$B:$B, "="&amp;'CHECK_DT-BT'!A28)</f>
        <v>63645730</v>
      </c>
      <c r="N28" s="7">
        <f>SUMIFS('Tong_hop_HQNV_2026Q1_2026-06-23'!$K:$K,'Tong_hop_HQNV_2026Q1_2026-06-23'!$A:$A,"="&amp;$N$2,'Tong_hop_HQNV_2026Q1_2026-06-23'!$B:$B, "="&amp;'CHECK_DT-BT'!A28)</f>
        <v>51450000</v>
      </c>
      <c r="O28" s="7">
        <f>SUMIFS('Tong_hop_HQNV_2026Q1_2026-06-23'!$K:$K,'Tong_hop_HQNV_2026Q1_2026-06-23'!$A:$A,"="&amp;$O$2,'Tong_hop_HQNV_2026Q1_2026-06-23'!$B:$B, "="&amp;'CHECK_DT-BT'!A28)</f>
        <v>0</v>
      </c>
      <c r="P28" s="7">
        <f>SUMIFS('Tong_hop_HQNV_2026Q1_2026-06-23'!$K:$K,'Tong_hop_HQNV_2026Q1_2026-06-23'!$A:$A,"="&amp;$P$2,'Tong_hop_HQNV_2026Q1_2026-06-23'!$B:$B, "="&amp;'CHECK_DT-BT'!A28)</f>
        <v>0</v>
      </c>
      <c r="Q28" s="7">
        <f t="shared" si="2"/>
        <v>9846338721</v>
      </c>
      <c r="R28" s="7">
        <f t="shared" si="3"/>
        <v>10947032173</v>
      </c>
      <c r="S28" s="7">
        <f>SUMIFS('HQ1'!$C:$C,'HQ1'!$A:$A, "="&amp;'CHECK_DT-BT'!C28, 'HQ1'!$B:$B, "Total")</f>
        <v>9846338721</v>
      </c>
      <c r="T28" s="7">
        <f>SUMIFS('HQ2'!$C:$C,'HQ2'!$A:$A, "="&amp;'CHECK_DT-BT'!C28, 'HQ2'!$B:$B, "Total")</f>
        <v>10947032173</v>
      </c>
      <c r="U28" s="7">
        <f t="shared" si="4"/>
        <v>0</v>
      </c>
      <c r="V28" s="7">
        <f t="shared" si="5"/>
        <v>0</v>
      </c>
      <c r="W28" s="23">
        <f>SUMIFS('Tong_hop_HQNV_2026Q1_2026-06-23'!$L:$L,'Tong_hop_HQNV_2026Q1_2026-06-23'!$B:$B, "="&amp;'CHECK_DT-BT'!A28, 'Tong_hop_HQNV_2026Q1_2026-06-23'!$A:$A, "="&amp;'CHECK_DT-BT'!$W$2)</f>
        <v>8592358940</v>
      </c>
      <c r="X28" s="7">
        <f>SUMIFS('Tong_hop_HQNV_2026Q1_2026-06-23'!$L:$L,'Tong_hop_HQNV_2026Q1_2026-06-23'!$B:$B, "="&amp;'CHECK_DT-BT'!A28, 'Tong_hop_HQNV_2026Q1_2026-06-23'!$A:$A, "="&amp;'CHECK_DT-BT'!$X$2)</f>
        <v>0</v>
      </c>
      <c r="Y28" s="7">
        <f>SUMIFS('Tong_hop_HQNV_2026Q1_2026-06-23'!$L:$L,'Tong_hop_HQNV_2026Q1_2026-06-23'!$B:$B, "="&amp;'CHECK_DT-BT'!A28, 'Tong_hop_HQNV_2026Q1_2026-06-23'!$A:$A, "="&amp;'CHECK_DT-BT'!$Y$2)</f>
        <v>1600252975</v>
      </c>
      <c r="Z28" s="7">
        <f>SUMIFS('Tong_hop_HQNV_2026Q1_2026-06-23'!$L:$L,'Tong_hop_HQNV_2026Q1_2026-06-23'!$B:$B, "="&amp;'CHECK_DT-BT'!A28, 'Tong_hop_HQNV_2026Q1_2026-06-23'!$A:$A, "="&amp;'CHECK_DT-BT'!$Z$2)</f>
        <v>589104430</v>
      </c>
      <c r="AA28" s="7">
        <f>SUMIFS('Tong_hop_HQNV_2026Q1_2026-06-23'!$L:$L,'Tong_hop_HQNV_2026Q1_2026-06-23'!$B:$B, "="&amp;'CHECK_DT-BT'!A28, 'Tong_hop_HQNV_2026Q1_2026-06-23'!$A:$A, "="&amp;$AA$2)</f>
        <v>930009750</v>
      </c>
      <c r="AB28" s="7">
        <f>SUMIFS('Tong_hop_HQNV_2026Q1_2026-06-23'!$L:$L,'Tong_hop_HQNV_2026Q1_2026-06-23'!$B:$B, "="&amp;'CHECK_DT-BT'!A28, 'Tong_hop_HQNV_2026Q1_2026-06-23'!$A:$A, "="&amp;$AB$2)</f>
        <v>0</v>
      </c>
      <c r="AC28" s="7">
        <f>SUMIFS('Tong_hop_HQNV_2026Q1_2026-06-23'!$L:$L,'Tong_hop_HQNV_2026Q1_2026-06-23'!$B:$B, "="&amp;'CHECK_DT-BT'!A28, 'Tong_hop_HQNV_2026Q1_2026-06-23'!$A:$A, "="&amp;$AC$2)</f>
        <v>0</v>
      </c>
      <c r="AD28" s="7">
        <f>SUMIFS('Tong_hop_HQNV_2026Q1_2026-06-23'!$L:$L,'Tong_hop_HQNV_2026Q1_2026-06-23'!$B:$B, "="&amp;'CHECK_DT-BT'!A28, 'Tong_hop_HQNV_2026Q1_2026-06-23'!$A:$A, "="&amp;$AD$2)</f>
        <v>163135500</v>
      </c>
      <c r="AE28" s="7">
        <f>SUMIFS('Tong_hop_HQNV_2026Q1_2026-06-23'!$L:$L,'Tong_hop_HQNV_2026Q1_2026-06-23'!$B:$B, "="&amp;'CHECK_DT-BT'!A28, 'Tong_hop_HQNV_2026Q1_2026-06-23'!$A:$A, "="&amp;$AE$2)</f>
        <v>330617870</v>
      </c>
      <c r="AF28" s="7">
        <f>SUMIFS('Tong_hop_HQNV_2026Q1_2026-06-23'!$L:$L,'Tong_hop_HQNV_2026Q1_2026-06-23'!$B:$B, "="&amp;'CHECK_DT-BT'!A28, 'Tong_hop_HQNV_2026Q1_2026-06-23'!$A:$A, "="&amp;$AF$2)</f>
        <v>0</v>
      </c>
      <c r="AG28" s="7">
        <f>SUMIFS('Tong_hop_HQNV_2026Q1_2026-06-23'!$L:$L,'Tong_hop_HQNV_2026Q1_2026-06-23'!$B:$B, "="&amp;'CHECK_DT-BT'!A28, 'Tong_hop_HQNV_2026Q1_2026-06-23'!$A:$A, "="&amp;$AG$2)</f>
        <v>0</v>
      </c>
      <c r="AH28" s="7">
        <f>SUMIFS('Tong_hop_HQNV_2026Q1_2026-06-23'!$L:$L,'Tong_hop_HQNV_2026Q1_2026-06-23'!$B:$B, "="&amp;'CHECK_DT-BT'!A28, 'Tong_hop_HQNV_2026Q1_2026-06-23'!$A:$A, "="&amp;$AH$2)</f>
        <v>0</v>
      </c>
      <c r="AI28" s="7">
        <f>SUMIFS('Tong_hop_HQNV_2026Q1_2026-06-23'!$L:$L,'Tong_hop_HQNV_2026Q1_2026-06-23'!$B:$B, "="&amp;'CHECK_DT-BT'!A28, 'Tong_hop_HQNV_2026Q1_2026-06-23'!$A:$A, "="&amp;$AI$2)</f>
        <v>0</v>
      </c>
      <c r="AJ28" s="7">
        <f t="shared" si="6"/>
        <v>10781716345</v>
      </c>
      <c r="AK28" s="7">
        <f t="shared" si="7"/>
        <v>1423763120</v>
      </c>
      <c r="AL28" s="7">
        <f>SUMIFS('HQ1'!$D:$D,'HQ1'!$A:$A, "="&amp;'CHECK_DT-BT'!C28, 'HQ1'!$B:$B, "Total")</f>
        <v>10781716345</v>
      </c>
      <c r="AM28" s="7">
        <f>SUMIFS('HQ2'!$J:$J,'HQ2'!$A:$A, "="&amp;'CHECK_DT-BT'!C28, 'HQ2'!$B:$B, "Total")</f>
        <v>1423763120</v>
      </c>
      <c r="AN28" s="24">
        <f t="shared" si="8"/>
        <v>0</v>
      </c>
      <c r="AO28" s="24">
        <f t="shared" si="9"/>
        <v>0</v>
      </c>
    </row>
    <row r="29" spans="1:41" x14ac:dyDescent="0.25">
      <c r="A29" s="9" t="s">
        <v>309</v>
      </c>
      <c r="B29" t="s">
        <v>167</v>
      </c>
      <c r="C29" t="s">
        <v>65</v>
      </c>
      <c r="D29" s="7">
        <f>SUMIFS('Tong_hop_HQNV_2026Q1_2026-06-23'!$K:$K,'Tong_hop_HQNV_2026Q1_2026-06-23'!$A:$A,"="&amp;'CHECK_DT-BT'!$D$2,'Tong_hop_HQNV_2026Q1_2026-06-23'!$B:$B, "="&amp;'CHECK_DT-BT'!A29)</f>
        <v>1655116494</v>
      </c>
      <c r="E29" s="7">
        <f>SUMIFS('Tong_hop_HQNV_2026Q1_2026-06-23'!$K:$K,'Tong_hop_HQNV_2026Q1_2026-06-23'!$A:$A,"="&amp;'CHECK_DT-BT'!$E$2,'Tong_hop_HQNV_2026Q1_2026-06-23'!$B:$B, "="&amp;'CHECK_DT-BT'!A29)</f>
        <v>370221600</v>
      </c>
      <c r="F29" s="7">
        <f>SUMIFS('Tong_hop_HQNV_2026Q1_2026-06-23'!$K:$K,'Tong_hop_HQNV_2026Q1_2026-06-23'!$A:$A,"="&amp;'CHECK_DT-BT'!$F$2,'Tong_hop_HQNV_2026Q1_2026-06-23'!$B:$B, "="&amp;'CHECK_DT-BT'!A29)</f>
        <v>9000574964</v>
      </c>
      <c r="G29" s="7">
        <f>SUMIFS('Tong_hop_HQNV_2026Q1_2026-06-23'!$K:$K,'Tong_hop_HQNV_2026Q1_2026-06-23'!$A:$A,"="&amp;'CHECK_DT-BT'!$G$2,'Tong_hop_HQNV_2026Q1_2026-06-23'!$B:$B, "="&amp;'CHECK_DT-BT'!A29)</f>
        <v>8257228259</v>
      </c>
      <c r="H29" s="7">
        <f>SUMIFS('Tong_hop_HQNV_2026Q1_2026-06-23'!$K:$K,'Tong_hop_HQNV_2026Q1_2026-06-23'!$A:$A,"="&amp;$H$2,'Tong_hop_HQNV_2026Q1_2026-06-23'!$B:$B, "="&amp;'CHECK_DT-BT'!A29)</f>
        <v>1806980566</v>
      </c>
      <c r="I29" s="7">
        <f>SUMIFS('Tong_hop_HQNV_2026Q1_2026-06-23'!$K:$K,'Tong_hop_HQNV_2026Q1_2026-06-23'!$A:$A,"="&amp;$I$2,'Tong_hop_HQNV_2026Q1_2026-06-23'!$B:$B, "="&amp;'CHECK_DT-BT'!A29)</f>
        <v>4616017047</v>
      </c>
      <c r="J29" s="7">
        <f>SUMIFS('Tong_hop_HQNV_2026Q1_2026-06-23'!$K:$K,'Tong_hop_HQNV_2026Q1_2026-06-23'!$A:$A,"="&amp;$J$2,'Tong_hop_HQNV_2026Q1_2026-06-23'!$B:$B, "="&amp;'CHECK_DT-BT'!A29)</f>
        <v>1799078374</v>
      </c>
      <c r="K29" s="7">
        <f>SUMIFS('Tong_hop_HQNV_2026Q1_2026-06-23'!$K:$K,'Tong_hop_HQNV_2026Q1_2026-06-23'!$A:$A,"="&amp;$K$2,'Tong_hop_HQNV_2026Q1_2026-06-23'!$B:$B, "="&amp;'CHECK_DT-BT'!A29)</f>
        <v>27556194</v>
      </c>
      <c r="L29" s="7">
        <f>SUMIFS('Tong_hop_HQNV_2026Q1_2026-06-23'!$K:$K,'Tong_hop_HQNV_2026Q1_2026-06-23'!$A:$A,"="&amp;$L$2,'Tong_hop_HQNV_2026Q1_2026-06-23'!$B:$B, "="&amp;'CHECK_DT-BT'!A29)</f>
        <v>2031817121</v>
      </c>
      <c r="M29" s="7">
        <f>SUMIFS('Tong_hop_HQNV_2026Q1_2026-06-23'!$K:$K,'Tong_hop_HQNV_2026Q1_2026-06-23'!$A:$A,"="&amp;$M$2,'Tong_hop_HQNV_2026Q1_2026-06-23'!$B:$B, "="&amp;'CHECK_DT-BT'!A29)</f>
        <v>2151474398</v>
      </c>
      <c r="N29" s="7">
        <f>SUMIFS('Tong_hop_HQNV_2026Q1_2026-06-23'!$K:$K,'Tong_hop_HQNV_2026Q1_2026-06-23'!$A:$A,"="&amp;$N$2,'Tong_hop_HQNV_2026Q1_2026-06-23'!$B:$B, "="&amp;'CHECK_DT-BT'!A29)</f>
        <v>352428286</v>
      </c>
      <c r="O29" s="7">
        <f>SUMIFS('Tong_hop_HQNV_2026Q1_2026-06-23'!$K:$K,'Tong_hop_HQNV_2026Q1_2026-06-23'!$A:$A,"="&amp;$O$2,'Tong_hop_HQNV_2026Q1_2026-06-23'!$B:$B, "="&amp;'CHECK_DT-BT'!A29)</f>
        <v>0</v>
      </c>
      <c r="P29" s="7">
        <f>SUMIFS('Tong_hop_HQNV_2026Q1_2026-06-23'!$K:$K,'Tong_hop_HQNV_2026Q1_2026-06-23'!$A:$A,"="&amp;$P$2,'Tong_hop_HQNV_2026Q1_2026-06-23'!$B:$B, "="&amp;'CHECK_DT-BT'!A29)</f>
        <v>0</v>
      </c>
      <c r="Q29" s="7">
        <f t="shared" si="2"/>
        <v>19283141317</v>
      </c>
      <c r="R29" s="7">
        <f t="shared" si="3"/>
        <v>12785351986</v>
      </c>
      <c r="S29" s="7">
        <f>SUMIFS('HQ1'!$C:$C,'HQ1'!$A:$A, "="&amp;'CHECK_DT-BT'!C29, 'HQ1'!$B:$B, "Total")</f>
        <v>19283141317</v>
      </c>
      <c r="T29" s="7">
        <f>SUMIFS('HQ2'!$C:$C,'HQ2'!$A:$A, "="&amp;'CHECK_DT-BT'!C29, 'HQ2'!$B:$B, "Total")</f>
        <v>12785351986</v>
      </c>
      <c r="U29" s="7">
        <f t="shared" si="4"/>
        <v>0</v>
      </c>
      <c r="V29" s="7">
        <f t="shared" si="5"/>
        <v>0</v>
      </c>
      <c r="W29" s="23">
        <f>SUMIFS('Tong_hop_HQNV_2026Q1_2026-06-23'!$L:$L,'Tong_hop_HQNV_2026Q1_2026-06-23'!$B:$B, "="&amp;'CHECK_DT-BT'!A29, 'Tong_hop_HQNV_2026Q1_2026-06-23'!$A:$A, "="&amp;'CHECK_DT-BT'!$W$2)</f>
        <v>192624734</v>
      </c>
      <c r="X29" s="7">
        <f>SUMIFS('Tong_hop_HQNV_2026Q1_2026-06-23'!$L:$L,'Tong_hop_HQNV_2026Q1_2026-06-23'!$B:$B, "="&amp;'CHECK_DT-BT'!A29, 'Tong_hop_HQNV_2026Q1_2026-06-23'!$A:$A, "="&amp;'CHECK_DT-BT'!$X$2)</f>
        <v>656634</v>
      </c>
      <c r="Y29" s="7">
        <f>SUMIFS('Tong_hop_HQNV_2026Q1_2026-06-23'!$L:$L,'Tong_hop_HQNV_2026Q1_2026-06-23'!$B:$B, "="&amp;'CHECK_DT-BT'!A29, 'Tong_hop_HQNV_2026Q1_2026-06-23'!$A:$A, "="&amp;'CHECK_DT-BT'!$Y$2)</f>
        <v>4007326988</v>
      </c>
      <c r="Z29" s="7">
        <f>SUMIFS('Tong_hop_HQNV_2026Q1_2026-06-23'!$L:$L,'Tong_hop_HQNV_2026Q1_2026-06-23'!$B:$B, "="&amp;'CHECK_DT-BT'!A29, 'Tong_hop_HQNV_2026Q1_2026-06-23'!$A:$A, "="&amp;'CHECK_DT-BT'!$Z$2)</f>
        <v>2899062189</v>
      </c>
      <c r="AA29" s="7">
        <f>SUMIFS('Tong_hop_HQNV_2026Q1_2026-06-23'!$L:$L,'Tong_hop_HQNV_2026Q1_2026-06-23'!$B:$B, "="&amp;'CHECK_DT-BT'!A29, 'Tong_hop_HQNV_2026Q1_2026-06-23'!$A:$A, "="&amp;$AA$2)</f>
        <v>205310688</v>
      </c>
      <c r="AB29" s="7">
        <f>SUMIFS('Tong_hop_HQNV_2026Q1_2026-06-23'!$L:$L,'Tong_hop_HQNV_2026Q1_2026-06-23'!$B:$B, "="&amp;'CHECK_DT-BT'!A29, 'Tong_hop_HQNV_2026Q1_2026-06-23'!$A:$A, "="&amp;$AB$2)</f>
        <v>467075957</v>
      </c>
      <c r="AC29" s="7">
        <f>SUMIFS('Tong_hop_HQNV_2026Q1_2026-06-23'!$L:$L,'Tong_hop_HQNV_2026Q1_2026-06-23'!$B:$B, "="&amp;'CHECK_DT-BT'!A29, 'Tong_hop_HQNV_2026Q1_2026-06-23'!$A:$A, "="&amp;$AC$2)</f>
        <v>472319000</v>
      </c>
      <c r="AD29" s="7">
        <f>SUMIFS('Tong_hop_HQNV_2026Q1_2026-06-23'!$L:$L,'Tong_hop_HQNV_2026Q1_2026-06-23'!$B:$B, "="&amp;'CHECK_DT-BT'!A29, 'Tong_hop_HQNV_2026Q1_2026-06-23'!$A:$A, "="&amp;$AD$2)</f>
        <v>0</v>
      </c>
      <c r="AE29" s="7">
        <f>SUMIFS('Tong_hop_HQNV_2026Q1_2026-06-23'!$L:$L,'Tong_hop_HQNV_2026Q1_2026-06-23'!$B:$B, "="&amp;'CHECK_DT-BT'!A29, 'Tong_hop_HQNV_2026Q1_2026-06-23'!$A:$A, "="&amp;$AE$2)</f>
        <v>223928230</v>
      </c>
      <c r="AF29" s="7">
        <f>SUMIFS('Tong_hop_HQNV_2026Q1_2026-06-23'!$L:$L,'Tong_hop_HQNV_2026Q1_2026-06-23'!$B:$B, "="&amp;'CHECK_DT-BT'!A29, 'Tong_hop_HQNV_2026Q1_2026-06-23'!$A:$A, "="&amp;$AF$2)</f>
        <v>0</v>
      </c>
      <c r="AG29" s="7">
        <f>SUMIFS('Tong_hop_HQNV_2026Q1_2026-06-23'!$L:$L,'Tong_hop_HQNV_2026Q1_2026-06-23'!$B:$B, "="&amp;'CHECK_DT-BT'!A29, 'Tong_hop_HQNV_2026Q1_2026-06-23'!$A:$A, "="&amp;$AG$2)</f>
        <v>0</v>
      </c>
      <c r="AH29" s="7">
        <f>SUMIFS('Tong_hop_HQNV_2026Q1_2026-06-23'!$L:$L,'Tong_hop_HQNV_2026Q1_2026-06-23'!$B:$B, "="&amp;'CHECK_DT-BT'!A29, 'Tong_hop_HQNV_2026Q1_2026-06-23'!$A:$A, "="&amp;$AH$2)</f>
        <v>0</v>
      </c>
      <c r="AI29" s="7">
        <f>SUMIFS('Tong_hop_HQNV_2026Q1_2026-06-23'!$L:$L,'Tong_hop_HQNV_2026Q1_2026-06-23'!$B:$B, "="&amp;'CHECK_DT-BT'!A29, 'Tong_hop_HQNV_2026Q1_2026-06-23'!$A:$A, "="&amp;$AI$2)</f>
        <v>0</v>
      </c>
      <c r="AJ29" s="7">
        <f t="shared" si="6"/>
        <v>7099670545</v>
      </c>
      <c r="AK29" s="7">
        <f t="shared" si="7"/>
        <v>1368633875</v>
      </c>
      <c r="AL29" s="7">
        <f>SUMIFS('HQ1'!$D:$D,'HQ1'!$A:$A, "="&amp;'CHECK_DT-BT'!C29, 'HQ1'!$B:$B, "Total")</f>
        <v>7099670545</v>
      </c>
      <c r="AM29" s="7">
        <f>SUMIFS('HQ2'!$J:$J,'HQ2'!$A:$A, "="&amp;'CHECK_DT-BT'!C29, 'HQ2'!$B:$B, "Total")</f>
        <v>1368633875</v>
      </c>
      <c r="AN29" s="24">
        <f t="shared" si="8"/>
        <v>0</v>
      </c>
      <c r="AO29" s="24">
        <f t="shared" si="9"/>
        <v>0</v>
      </c>
    </row>
    <row r="30" spans="1:41" x14ac:dyDescent="0.25">
      <c r="A30" s="9" t="s">
        <v>310</v>
      </c>
      <c r="B30" t="s">
        <v>168</v>
      </c>
      <c r="C30" t="s">
        <v>74</v>
      </c>
      <c r="D30" s="7">
        <f>SUMIFS('Tong_hop_HQNV_2026Q1_2026-06-23'!$K:$K,'Tong_hop_HQNV_2026Q1_2026-06-23'!$A:$A,"="&amp;'CHECK_DT-BT'!$D$2,'Tong_hop_HQNV_2026Q1_2026-06-23'!$B:$B, "="&amp;'CHECK_DT-BT'!A30)</f>
        <v>2036742300</v>
      </c>
      <c r="E30" s="7">
        <f>SUMIFS('Tong_hop_HQNV_2026Q1_2026-06-23'!$K:$K,'Tong_hop_HQNV_2026Q1_2026-06-23'!$A:$A,"="&amp;'CHECK_DT-BT'!$E$2,'Tong_hop_HQNV_2026Q1_2026-06-23'!$B:$B, "="&amp;'CHECK_DT-BT'!A30)</f>
        <v>7253000</v>
      </c>
      <c r="F30" s="7">
        <f>SUMIFS('Tong_hop_HQNV_2026Q1_2026-06-23'!$K:$K,'Tong_hop_HQNV_2026Q1_2026-06-23'!$A:$A,"="&amp;'CHECK_DT-BT'!$F$2,'Tong_hop_HQNV_2026Q1_2026-06-23'!$B:$B, "="&amp;'CHECK_DT-BT'!A30)</f>
        <v>7726883326</v>
      </c>
      <c r="G30" s="7">
        <f>SUMIFS('Tong_hop_HQNV_2026Q1_2026-06-23'!$K:$K,'Tong_hop_HQNV_2026Q1_2026-06-23'!$A:$A,"="&amp;'CHECK_DT-BT'!$G$2,'Tong_hop_HQNV_2026Q1_2026-06-23'!$B:$B, "="&amp;'CHECK_DT-BT'!A30)</f>
        <v>2765455471</v>
      </c>
      <c r="H30" s="7">
        <f>SUMIFS('Tong_hop_HQNV_2026Q1_2026-06-23'!$K:$K,'Tong_hop_HQNV_2026Q1_2026-06-23'!$A:$A,"="&amp;$H$2,'Tong_hop_HQNV_2026Q1_2026-06-23'!$B:$B, "="&amp;'CHECK_DT-BT'!A30)</f>
        <v>29982656</v>
      </c>
      <c r="I30" s="7">
        <f>SUMIFS('Tong_hop_HQNV_2026Q1_2026-06-23'!$K:$K,'Tong_hop_HQNV_2026Q1_2026-06-23'!$A:$A,"="&amp;$I$2,'Tong_hop_HQNV_2026Q1_2026-06-23'!$B:$B, "="&amp;'CHECK_DT-BT'!A30)</f>
        <v>0</v>
      </c>
      <c r="J30" s="7">
        <f>SUMIFS('Tong_hop_HQNV_2026Q1_2026-06-23'!$K:$K,'Tong_hop_HQNV_2026Q1_2026-06-23'!$A:$A,"="&amp;$J$2,'Tong_hop_HQNV_2026Q1_2026-06-23'!$B:$B, "="&amp;'CHECK_DT-BT'!A30)</f>
        <v>0</v>
      </c>
      <c r="K30" s="7">
        <f>SUMIFS('Tong_hop_HQNV_2026Q1_2026-06-23'!$K:$K,'Tong_hop_HQNV_2026Q1_2026-06-23'!$A:$A,"="&amp;$K$2,'Tong_hop_HQNV_2026Q1_2026-06-23'!$B:$B, "="&amp;'CHECK_DT-BT'!A30)</f>
        <v>20397300</v>
      </c>
      <c r="L30" s="7">
        <f>SUMIFS('Tong_hop_HQNV_2026Q1_2026-06-23'!$K:$K,'Tong_hop_HQNV_2026Q1_2026-06-23'!$A:$A,"="&amp;$L$2,'Tong_hop_HQNV_2026Q1_2026-06-23'!$B:$B, "="&amp;'CHECK_DT-BT'!A30)</f>
        <v>775522334</v>
      </c>
      <c r="M30" s="7">
        <f>SUMIFS('Tong_hop_HQNV_2026Q1_2026-06-23'!$K:$K,'Tong_hop_HQNV_2026Q1_2026-06-23'!$A:$A,"="&amp;$M$2,'Tong_hop_HQNV_2026Q1_2026-06-23'!$B:$B, "="&amp;'CHECK_DT-BT'!A30)</f>
        <v>5532198704</v>
      </c>
      <c r="N30" s="7">
        <f>SUMIFS('Tong_hop_HQNV_2026Q1_2026-06-23'!$K:$K,'Tong_hop_HQNV_2026Q1_2026-06-23'!$A:$A,"="&amp;$N$2,'Tong_hop_HQNV_2026Q1_2026-06-23'!$B:$B, "="&amp;'CHECK_DT-BT'!A30)</f>
        <v>222033636</v>
      </c>
      <c r="O30" s="7">
        <f>SUMIFS('Tong_hop_HQNV_2026Q1_2026-06-23'!$K:$K,'Tong_hop_HQNV_2026Q1_2026-06-23'!$A:$A,"="&amp;$O$2,'Tong_hop_HQNV_2026Q1_2026-06-23'!$B:$B, "="&amp;'CHECK_DT-BT'!A30)</f>
        <v>0</v>
      </c>
      <c r="P30" s="7">
        <f>SUMIFS('Tong_hop_HQNV_2026Q1_2026-06-23'!$K:$K,'Tong_hop_HQNV_2026Q1_2026-06-23'!$A:$A,"="&amp;$P$2,'Tong_hop_HQNV_2026Q1_2026-06-23'!$B:$B, "="&amp;'CHECK_DT-BT'!A30)</f>
        <v>0</v>
      </c>
      <c r="Q30" s="7">
        <f t="shared" si="2"/>
        <v>12536334097</v>
      </c>
      <c r="R30" s="7">
        <f t="shared" si="3"/>
        <v>6580134630</v>
      </c>
      <c r="S30" s="7">
        <f>SUMIFS('HQ1'!$C:$C,'HQ1'!$A:$A, "="&amp;'CHECK_DT-BT'!C30, 'HQ1'!$B:$B, "Total")</f>
        <v>12535412824</v>
      </c>
      <c r="T30" s="7">
        <f>SUMIFS('HQ2'!$C:$C,'HQ2'!$A:$A, "="&amp;'CHECK_DT-BT'!C30, 'HQ2'!$B:$B, "Total")</f>
        <v>6580134630</v>
      </c>
      <c r="U30" s="7">
        <f t="shared" si="4"/>
        <v>921273</v>
      </c>
      <c r="V30" s="7">
        <f t="shared" si="5"/>
        <v>0</v>
      </c>
      <c r="W30" s="23">
        <f>SUMIFS('Tong_hop_HQNV_2026Q1_2026-06-23'!$L:$L,'Tong_hop_HQNV_2026Q1_2026-06-23'!$B:$B, "="&amp;'CHECK_DT-BT'!A30, 'Tong_hop_HQNV_2026Q1_2026-06-23'!$A:$A, "="&amp;'CHECK_DT-BT'!$W$2)</f>
        <v>928285000</v>
      </c>
      <c r="X30" s="7">
        <f>SUMIFS('Tong_hop_HQNV_2026Q1_2026-06-23'!$L:$L,'Tong_hop_HQNV_2026Q1_2026-06-23'!$B:$B, "="&amp;'CHECK_DT-BT'!A30, 'Tong_hop_HQNV_2026Q1_2026-06-23'!$A:$A, "="&amp;'CHECK_DT-BT'!$X$2)</f>
        <v>9892064</v>
      </c>
      <c r="Y30" s="7">
        <f>SUMIFS('Tong_hop_HQNV_2026Q1_2026-06-23'!$L:$L,'Tong_hop_HQNV_2026Q1_2026-06-23'!$B:$B, "="&amp;'CHECK_DT-BT'!A30, 'Tong_hop_HQNV_2026Q1_2026-06-23'!$A:$A, "="&amp;'CHECK_DT-BT'!$Y$2)</f>
        <v>2565709821</v>
      </c>
      <c r="Z30" s="7">
        <f>SUMIFS('Tong_hop_HQNV_2026Q1_2026-06-23'!$L:$L,'Tong_hop_HQNV_2026Q1_2026-06-23'!$B:$B, "="&amp;'CHECK_DT-BT'!A30, 'Tong_hop_HQNV_2026Q1_2026-06-23'!$A:$A, "="&amp;'CHECK_DT-BT'!$Z$2)</f>
        <v>1224503974</v>
      </c>
      <c r="AA30" s="7">
        <f>SUMIFS('Tong_hop_HQNV_2026Q1_2026-06-23'!$L:$L,'Tong_hop_HQNV_2026Q1_2026-06-23'!$B:$B, "="&amp;'CHECK_DT-BT'!A30, 'Tong_hop_HQNV_2026Q1_2026-06-23'!$A:$A, "="&amp;$AA$2)</f>
        <v>0</v>
      </c>
      <c r="AB30" s="7">
        <f>SUMIFS('Tong_hop_HQNV_2026Q1_2026-06-23'!$L:$L,'Tong_hop_HQNV_2026Q1_2026-06-23'!$B:$B, "="&amp;'CHECK_DT-BT'!A30, 'Tong_hop_HQNV_2026Q1_2026-06-23'!$A:$A, "="&amp;$AB$2)</f>
        <v>0</v>
      </c>
      <c r="AC30" s="7">
        <f>SUMIFS('Tong_hop_HQNV_2026Q1_2026-06-23'!$L:$L,'Tong_hop_HQNV_2026Q1_2026-06-23'!$B:$B, "="&amp;'CHECK_DT-BT'!A30, 'Tong_hop_HQNV_2026Q1_2026-06-23'!$A:$A, "="&amp;$AC$2)</f>
        <v>0</v>
      </c>
      <c r="AD30" s="7">
        <f>SUMIFS('Tong_hop_HQNV_2026Q1_2026-06-23'!$L:$L,'Tong_hop_HQNV_2026Q1_2026-06-23'!$B:$B, "="&amp;'CHECK_DT-BT'!A30, 'Tong_hop_HQNV_2026Q1_2026-06-23'!$A:$A, "="&amp;$AD$2)</f>
        <v>0</v>
      </c>
      <c r="AE30" s="7">
        <f>SUMIFS('Tong_hop_HQNV_2026Q1_2026-06-23'!$L:$L,'Tong_hop_HQNV_2026Q1_2026-06-23'!$B:$B, "="&amp;'CHECK_DT-BT'!A30, 'Tong_hop_HQNV_2026Q1_2026-06-23'!$A:$A, "="&amp;$AE$2)</f>
        <v>1357921778</v>
      </c>
      <c r="AF30" s="7">
        <f>SUMIFS('Tong_hop_HQNV_2026Q1_2026-06-23'!$L:$L,'Tong_hop_HQNV_2026Q1_2026-06-23'!$B:$B, "="&amp;'CHECK_DT-BT'!A30, 'Tong_hop_HQNV_2026Q1_2026-06-23'!$A:$A, "="&amp;$AF$2)</f>
        <v>0</v>
      </c>
      <c r="AG30" s="7">
        <f>SUMIFS('Tong_hop_HQNV_2026Q1_2026-06-23'!$L:$L,'Tong_hop_HQNV_2026Q1_2026-06-23'!$B:$B, "="&amp;'CHECK_DT-BT'!A30, 'Tong_hop_HQNV_2026Q1_2026-06-23'!$A:$A, "="&amp;$AG$2)</f>
        <v>0</v>
      </c>
      <c r="AH30" s="7">
        <f>SUMIFS('Tong_hop_HQNV_2026Q1_2026-06-23'!$L:$L,'Tong_hop_HQNV_2026Q1_2026-06-23'!$B:$B, "="&amp;'CHECK_DT-BT'!A30, 'Tong_hop_HQNV_2026Q1_2026-06-23'!$A:$A, "="&amp;$AH$2)</f>
        <v>0</v>
      </c>
      <c r="AI30" s="7">
        <f>SUMIFS('Tong_hop_HQNV_2026Q1_2026-06-23'!$L:$L,'Tong_hop_HQNV_2026Q1_2026-06-23'!$B:$B, "="&amp;'CHECK_DT-BT'!A30, 'Tong_hop_HQNV_2026Q1_2026-06-23'!$A:$A, "="&amp;$AI$2)</f>
        <v>0</v>
      </c>
      <c r="AJ30" s="7">
        <f t="shared" si="6"/>
        <v>4728390859</v>
      </c>
      <c r="AK30" s="7">
        <f t="shared" si="7"/>
        <v>1357921778</v>
      </c>
      <c r="AL30" s="7">
        <f>SUMIFS('HQ1'!$D:$D,'HQ1'!$A:$A, "="&amp;'CHECK_DT-BT'!C30, 'HQ1'!$B:$B, "Total")</f>
        <v>4728390859</v>
      </c>
      <c r="AM30" s="7">
        <f>SUMIFS('HQ2'!$J:$J,'HQ2'!$A:$A, "="&amp;'CHECK_DT-BT'!C30, 'HQ2'!$B:$B, "Total")</f>
        <v>1357921778</v>
      </c>
      <c r="AN30" s="24">
        <f t="shared" si="8"/>
        <v>0</v>
      </c>
      <c r="AO30" s="24">
        <f t="shared" si="9"/>
        <v>0</v>
      </c>
    </row>
    <row r="31" spans="1:41" x14ac:dyDescent="0.25">
      <c r="A31" s="9" t="s">
        <v>311</v>
      </c>
      <c r="B31" t="s">
        <v>169</v>
      </c>
      <c r="C31" t="s">
        <v>119</v>
      </c>
      <c r="D31" s="7">
        <f>SUMIFS('Tong_hop_HQNV_2026Q1_2026-06-23'!$K:$K,'Tong_hop_HQNV_2026Q1_2026-06-23'!$A:$A,"="&amp;'CHECK_DT-BT'!$D$2,'Tong_hop_HQNV_2026Q1_2026-06-23'!$B:$B, "="&amp;'CHECK_DT-BT'!A31)</f>
        <v>447352189</v>
      </c>
      <c r="E31" s="7">
        <f>SUMIFS('Tong_hop_HQNV_2026Q1_2026-06-23'!$K:$K,'Tong_hop_HQNV_2026Q1_2026-06-23'!$A:$A,"="&amp;'CHECK_DT-BT'!$E$2,'Tong_hop_HQNV_2026Q1_2026-06-23'!$B:$B, "="&amp;'CHECK_DT-BT'!A31)</f>
        <v>106560000</v>
      </c>
      <c r="F31" s="7">
        <f>SUMIFS('Tong_hop_HQNV_2026Q1_2026-06-23'!$K:$K,'Tong_hop_HQNV_2026Q1_2026-06-23'!$A:$A,"="&amp;'CHECK_DT-BT'!$F$2,'Tong_hop_HQNV_2026Q1_2026-06-23'!$B:$B, "="&amp;'CHECK_DT-BT'!A31)</f>
        <v>4253829555</v>
      </c>
      <c r="G31" s="7">
        <f>SUMIFS('Tong_hop_HQNV_2026Q1_2026-06-23'!$K:$K,'Tong_hop_HQNV_2026Q1_2026-06-23'!$A:$A,"="&amp;'CHECK_DT-BT'!$G$2,'Tong_hop_HQNV_2026Q1_2026-06-23'!$B:$B, "="&amp;'CHECK_DT-BT'!A31)</f>
        <v>194872816</v>
      </c>
      <c r="H31" s="7">
        <f>SUMIFS('Tong_hop_HQNV_2026Q1_2026-06-23'!$K:$K,'Tong_hop_HQNV_2026Q1_2026-06-23'!$A:$A,"="&amp;$H$2,'Tong_hop_HQNV_2026Q1_2026-06-23'!$B:$B, "="&amp;'CHECK_DT-BT'!A31)</f>
        <v>0</v>
      </c>
      <c r="I31" s="7">
        <f>SUMIFS('Tong_hop_HQNV_2026Q1_2026-06-23'!$K:$K,'Tong_hop_HQNV_2026Q1_2026-06-23'!$A:$A,"="&amp;$I$2,'Tong_hop_HQNV_2026Q1_2026-06-23'!$B:$B, "="&amp;'CHECK_DT-BT'!A31)</f>
        <v>0</v>
      </c>
      <c r="J31" s="7">
        <f>SUMIFS('Tong_hop_HQNV_2026Q1_2026-06-23'!$K:$K,'Tong_hop_HQNV_2026Q1_2026-06-23'!$A:$A,"="&amp;$J$2,'Tong_hop_HQNV_2026Q1_2026-06-23'!$B:$B, "="&amp;'CHECK_DT-BT'!A31)</f>
        <v>0</v>
      </c>
      <c r="K31" s="7">
        <f>SUMIFS('Tong_hop_HQNV_2026Q1_2026-06-23'!$K:$K,'Tong_hop_HQNV_2026Q1_2026-06-23'!$A:$A,"="&amp;$K$2,'Tong_hop_HQNV_2026Q1_2026-06-23'!$B:$B, "="&amp;'CHECK_DT-BT'!A31)</f>
        <v>0</v>
      </c>
      <c r="L31" s="7">
        <f>SUMIFS('Tong_hop_HQNV_2026Q1_2026-06-23'!$K:$K,'Tong_hop_HQNV_2026Q1_2026-06-23'!$A:$A,"="&amp;$L$2,'Tong_hop_HQNV_2026Q1_2026-06-23'!$B:$B, "="&amp;'CHECK_DT-BT'!A31)</f>
        <v>51981411</v>
      </c>
      <c r="M31" s="7">
        <f>SUMIFS('Tong_hop_HQNV_2026Q1_2026-06-23'!$K:$K,'Tong_hop_HQNV_2026Q1_2026-06-23'!$A:$A,"="&amp;$M$2,'Tong_hop_HQNV_2026Q1_2026-06-23'!$B:$B, "="&amp;'CHECK_DT-BT'!A31)</f>
        <v>409128464</v>
      </c>
      <c r="N31" s="7">
        <f>SUMIFS('Tong_hop_HQNV_2026Q1_2026-06-23'!$K:$K,'Tong_hop_HQNV_2026Q1_2026-06-23'!$A:$A,"="&amp;$N$2,'Tong_hop_HQNV_2026Q1_2026-06-23'!$B:$B, "="&amp;'CHECK_DT-BT'!A31)</f>
        <v>0</v>
      </c>
      <c r="O31" s="7">
        <f>SUMIFS('Tong_hop_HQNV_2026Q1_2026-06-23'!$K:$K,'Tong_hop_HQNV_2026Q1_2026-06-23'!$A:$A,"="&amp;$O$2,'Tong_hop_HQNV_2026Q1_2026-06-23'!$B:$B, "="&amp;'CHECK_DT-BT'!A31)</f>
        <v>0</v>
      </c>
      <c r="P31" s="7">
        <f>SUMIFS('Tong_hop_HQNV_2026Q1_2026-06-23'!$K:$K,'Tong_hop_HQNV_2026Q1_2026-06-23'!$A:$A,"="&amp;$P$2,'Tong_hop_HQNV_2026Q1_2026-06-23'!$B:$B, "="&amp;'CHECK_DT-BT'!A31)</f>
        <v>0</v>
      </c>
      <c r="Q31" s="7">
        <f t="shared" si="2"/>
        <v>5002614560</v>
      </c>
      <c r="R31" s="7">
        <f t="shared" si="3"/>
        <v>461109875</v>
      </c>
      <c r="S31" s="7">
        <f>SUMIFS('HQ1'!$C:$C,'HQ1'!$A:$A, "="&amp;'CHECK_DT-BT'!C31, 'HQ1'!$B:$B, "Total")</f>
        <v>5002614560</v>
      </c>
      <c r="T31" s="7">
        <f>SUMIFS('HQ2'!$C:$C,'HQ2'!$A:$A, "="&amp;'CHECK_DT-BT'!C31, 'HQ2'!$B:$B, "Total")</f>
        <v>461109875</v>
      </c>
      <c r="U31" s="7">
        <f t="shared" si="4"/>
        <v>0</v>
      </c>
      <c r="V31" s="7">
        <f t="shared" si="5"/>
        <v>0</v>
      </c>
      <c r="W31" s="23">
        <f>SUMIFS('Tong_hop_HQNV_2026Q1_2026-06-23'!$L:$L,'Tong_hop_HQNV_2026Q1_2026-06-23'!$B:$B, "="&amp;'CHECK_DT-BT'!A31, 'Tong_hop_HQNV_2026Q1_2026-06-23'!$A:$A, "="&amp;'CHECK_DT-BT'!$W$2)</f>
        <v>241944700</v>
      </c>
      <c r="X31" s="7">
        <f>SUMIFS('Tong_hop_HQNV_2026Q1_2026-06-23'!$L:$L,'Tong_hop_HQNV_2026Q1_2026-06-23'!$B:$B, "="&amp;'CHECK_DT-BT'!A31, 'Tong_hop_HQNV_2026Q1_2026-06-23'!$A:$A, "="&amp;'CHECK_DT-BT'!$X$2)</f>
        <v>0</v>
      </c>
      <c r="Y31" s="7">
        <f>SUMIFS('Tong_hop_HQNV_2026Q1_2026-06-23'!$L:$L,'Tong_hop_HQNV_2026Q1_2026-06-23'!$B:$B, "="&amp;'CHECK_DT-BT'!A31, 'Tong_hop_HQNV_2026Q1_2026-06-23'!$A:$A, "="&amp;'CHECK_DT-BT'!$Y$2)</f>
        <v>1658751770</v>
      </c>
      <c r="Z31" s="7">
        <f>SUMIFS('Tong_hop_HQNV_2026Q1_2026-06-23'!$L:$L,'Tong_hop_HQNV_2026Q1_2026-06-23'!$B:$B, "="&amp;'CHECK_DT-BT'!A31, 'Tong_hop_HQNV_2026Q1_2026-06-23'!$A:$A, "="&amp;'CHECK_DT-BT'!$Z$2)</f>
        <v>40543000</v>
      </c>
      <c r="AA31" s="7">
        <f>SUMIFS('Tong_hop_HQNV_2026Q1_2026-06-23'!$L:$L,'Tong_hop_HQNV_2026Q1_2026-06-23'!$B:$B, "="&amp;'CHECK_DT-BT'!A31, 'Tong_hop_HQNV_2026Q1_2026-06-23'!$A:$A, "="&amp;$AA$2)</f>
        <v>0</v>
      </c>
      <c r="AB31" s="7">
        <f>SUMIFS('Tong_hop_HQNV_2026Q1_2026-06-23'!$L:$L,'Tong_hop_HQNV_2026Q1_2026-06-23'!$B:$B, "="&amp;'CHECK_DT-BT'!A31, 'Tong_hop_HQNV_2026Q1_2026-06-23'!$A:$A, "="&amp;$AB$2)</f>
        <v>0</v>
      </c>
      <c r="AC31" s="7">
        <f>SUMIFS('Tong_hop_HQNV_2026Q1_2026-06-23'!$L:$L,'Tong_hop_HQNV_2026Q1_2026-06-23'!$B:$B, "="&amp;'CHECK_DT-BT'!A31, 'Tong_hop_HQNV_2026Q1_2026-06-23'!$A:$A, "="&amp;$AC$2)</f>
        <v>0</v>
      </c>
      <c r="AD31" s="7">
        <f>SUMIFS('Tong_hop_HQNV_2026Q1_2026-06-23'!$L:$L,'Tong_hop_HQNV_2026Q1_2026-06-23'!$B:$B, "="&amp;'CHECK_DT-BT'!A31, 'Tong_hop_HQNV_2026Q1_2026-06-23'!$A:$A, "="&amp;$AD$2)</f>
        <v>0</v>
      </c>
      <c r="AE31" s="7">
        <f>SUMIFS('Tong_hop_HQNV_2026Q1_2026-06-23'!$L:$L,'Tong_hop_HQNV_2026Q1_2026-06-23'!$B:$B, "="&amp;'CHECK_DT-BT'!A31, 'Tong_hop_HQNV_2026Q1_2026-06-23'!$A:$A, "="&amp;$AE$2)</f>
        <v>0</v>
      </c>
      <c r="AF31" s="7">
        <f>SUMIFS('Tong_hop_HQNV_2026Q1_2026-06-23'!$L:$L,'Tong_hop_HQNV_2026Q1_2026-06-23'!$B:$B, "="&amp;'CHECK_DT-BT'!A31, 'Tong_hop_HQNV_2026Q1_2026-06-23'!$A:$A, "="&amp;$AF$2)</f>
        <v>0</v>
      </c>
      <c r="AG31" s="7">
        <f>SUMIFS('Tong_hop_HQNV_2026Q1_2026-06-23'!$L:$L,'Tong_hop_HQNV_2026Q1_2026-06-23'!$B:$B, "="&amp;'CHECK_DT-BT'!A31, 'Tong_hop_HQNV_2026Q1_2026-06-23'!$A:$A, "="&amp;$AG$2)</f>
        <v>0</v>
      </c>
      <c r="AH31" s="7">
        <f>SUMIFS('Tong_hop_HQNV_2026Q1_2026-06-23'!$L:$L,'Tong_hop_HQNV_2026Q1_2026-06-23'!$B:$B, "="&amp;'CHECK_DT-BT'!A31, 'Tong_hop_HQNV_2026Q1_2026-06-23'!$A:$A, "="&amp;$AH$2)</f>
        <v>0</v>
      </c>
      <c r="AI31" s="7">
        <f>SUMIFS('Tong_hop_HQNV_2026Q1_2026-06-23'!$L:$L,'Tong_hop_HQNV_2026Q1_2026-06-23'!$B:$B, "="&amp;'CHECK_DT-BT'!A31, 'Tong_hop_HQNV_2026Q1_2026-06-23'!$A:$A, "="&amp;$AI$2)</f>
        <v>0</v>
      </c>
      <c r="AJ31" s="7">
        <f t="shared" si="6"/>
        <v>1941239470</v>
      </c>
      <c r="AK31" s="7">
        <f t="shared" si="7"/>
        <v>0</v>
      </c>
      <c r="AL31" s="7">
        <f>SUMIFS('HQ1'!$D:$D,'HQ1'!$A:$A, "="&amp;'CHECK_DT-BT'!C31, 'HQ1'!$B:$B, "Total")</f>
        <v>1941239470</v>
      </c>
      <c r="AM31" s="7">
        <f>SUMIFS('HQ2'!$J:$J,'HQ2'!$A:$A, "="&amp;'CHECK_DT-BT'!C31, 'HQ2'!$B:$B, "Total")</f>
        <v>0</v>
      </c>
      <c r="AN31" s="24">
        <f t="shared" si="8"/>
        <v>0</v>
      </c>
      <c r="AO31" s="24">
        <f t="shared" si="9"/>
        <v>0</v>
      </c>
    </row>
    <row r="32" spans="1:41" x14ac:dyDescent="0.25">
      <c r="A32" s="9" t="s">
        <v>312</v>
      </c>
      <c r="B32" t="s">
        <v>170</v>
      </c>
      <c r="C32" t="s">
        <v>103</v>
      </c>
      <c r="D32" s="7">
        <f>SUMIFS('Tong_hop_HQNV_2026Q1_2026-06-23'!$K:$K,'Tong_hop_HQNV_2026Q1_2026-06-23'!$A:$A,"="&amp;'CHECK_DT-BT'!$D$2,'Tong_hop_HQNV_2026Q1_2026-06-23'!$B:$B, "="&amp;'CHECK_DT-BT'!A32)</f>
        <v>1453737701</v>
      </c>
      <c r="E32" s="7">
        <f>SUMIFS('Tong_hop_HQNV_2026Q1_2026-06-23'!$K:$K,'Tong_hop_HQNV_2026Q1_2026-06-23'!$A:$A,"="&amp;'CHECK_DT-BT'!$E$2,'Tong_hop_HQNV_2026Q1_2026-06-23'!$B:$B, "="&amp;'CHECK_DT-BT'!A32)</f>
        <v>7369200</v>
      </c>
      <c r="F32" s="7">
        <f>SUMIFS('Tong_hop_HQNV_2026Q1_2026-06-23'!$K:$K,'Tong_hop_HQNV_2026Q1_2026-06-23'!$A:$A,"="&amp;'CHECK_DT-BT'!$F$2,'Tong_hop_HQNV_2026Q1_2026-06-23'!$B:$B, "="&amp;'CHECK_DT-BT'!A32)</f>
        <v>2867675839</v>
      </c>
      <c r="G32" s="7">
        <f>SUMIFS('Tong_hop_HQNV_2026Q1_2026-06-23'!$K:$K,'Tong_hop_HQNV_2026Q1_2026-06-23'!$A:$A,"="&amp;'CHECK_DT-BT'!$G$2,'Tong_hop_HQNV_2026Q1_2026-06-23'!$B:$B, "="&amp;'CHECK_DT-BT'!A32)</f>
        <v>296393650</v>
      </c>
      <c r="H32" s="7">
        <f>SUMIFS('Tong_hop_HQNV_2026Q1_2026-06-23'!$K:$K,'Tong_hop_HQNV_2026Q1_2026-06-23'!$A:$A,"="&amp;$H$2,'Tong_hop_HQNV_2026Q1_2026-06-23'!$B:$B, "="&amp;'CHECK_DT-BT'!A32)</f>
        <v>89839613</v>
      </c>
      <c r="I32" s="7">
        <f>SUMIFS('Tong_hop_HQNV_2026Q1_2026-06-23'!$K:$K,'Tong_hop_HQNV_2026Q1_2026-06-23'!$A:$A,"="&amp;$I$2,'Tong_hop_HQNV_2026Q1_2026-06-23'!$B:$B, "="&amp;'CHECK_DT-BT'!A32)</f>
        <v>0</v>
      </c>
      <c r="J32" s="7">
        <f>SUMIFS('Tong_hop_HQNV_2026Q1_2026-06-23'!$K:$K,'Tong_hop_HQNV_2026Q1_2026-06-23'!$A:$A,"="&amp;$J$2,'Tong_hop_HQNV_2026Q1_2026-06-23'!$B:$B, "="&amp;'CHECK_DT-BT'!A32)</f>
        <v>0</v>
      </c>
      <c r="K32" s="7">
        <f>SUMIFS('Tong_hop_HQNV_2026Q1_2026-06-23'!$K:$K,'Tong_hop_HQNV_2026Q1_2026-06-23'!$A:$A,"="&amp;$K$2,'Tong_hop_HQNV_2026Q1_2026-06-23'!$B:$B, "="&amp;'CHECK_DT-BT'!A32)</f>
        <v>0</v>
      </c>
      <c r="L32" s="7">
        <f>SUMIFS('Tong_hop_HQNV_2026Q1_2026-06-23'!$K:$K,'Tong_hop_HQNV_2026Q1_2026-06-23'!$A:$A,"="&amp;$L$2,'Tong_hop_HQNV_2026Q1_2026-06-23'!$B:$B, "="&amp;'CHECK_DT-BT'!A32)</f>
        <v>1403146037</v>
      </c>
      <c r="M32" s="7">
        <f>SUMIFS('Tong_hop_HQNV_2026Q1_2026-06-23'!$K:$K,'Tong_hop_HQNV_2026Q1_2026-06-23'!$A:$A,"="&amp;$M$2,'Tong_hop_HQNV_2026Q1_2026-06-23'!$B:$B, "="&amp;'CHECK_DT-BT'!A32)</f>
        <v>264919257</v>
      </c>
      <c r="N32" s="7">
        <f>SUMIFS('Tong_hop_HQNV_2026Q1_2026-06-23'!$K:$K,'Tong_hop_HQNV_2026Q1_2026-06-23'!$A:$A,"="&amp;$N$2,'Tong_hop_HQNV_2026Q1_2026-06-23'!$B:$B, "="&amp;'CHECK_DT-BT'!A32)</f>
        <v>0</v>
      </c>
      <c r="O32" s="7">
        <f>SUMIFS('Tong_hop_HQNV_2026Q1_2026-06-23'!$K:$K,'Tong_hop_HQNV_2026Q1_2026-06-23'!$A:$A,"="&amp;$O$2,'Tong_hop_HQNV_2026Q1_2026-06-23'!$B:$B, "="&amp;'CHECK_DT-BT'!A32)</f>
        <v>0</v>
      </c>
      <c r="P32" s="7">
        <f>SUMIFS('Tong_hop_HQNV_2026Q1_2026-06-23'!$K:$K,'Tong_hop_HQNV_2026Q1_2026-06-23'!$A:$A,"="&amp;$P$2,'Tong_hop_HQNV_2026Q1_2026-06-23'!$B:$B, "="&amp;'CHECK_DT-BT'!A32)</f>
        <v>0</v>
      </c>
      <c r="Q32" s="7">
        <f t="shared" si="2"/>
        <v>4625176390</v>
      </c>
      <c r="R32" s="7">
        <f t="shared" si="3"/>
        <v>1757904907</v>
      </c>
      <c r="S32" s="7">
        <f>SUMIFS('HQ1'!$C:$C,'HQ1'!$A:$A, "="&amp;'CHECK_DT-BT'!C32, 'HQ1'!$B:$B, "Total")</f>
        <v>4625176390</v>
      </c>
      <c r="T32" s="7">
        <f>SUMIFS('HQ2'!$C:$C,'HQ2'!$A:$A, "="&amp;'CHECK_DT-BT'!C32, 'HQ2'!$B:$B, "Total")</f>
        <v>1757904907</v>
      </c>
      <c r="U32" s="7">
        <f t="shared" si="4"/>
        <v>0</v>
      </c>
      <c r="V32" s="7">
        <f t="shared" si="5"/>
        <v>0</v>
      </c>
      <c r="W32" s="23">
        <f>SUMIFS('Tong_hop_HQNV_2026Q1_2026-06-23'!$L:$L,'Tong_hop_HQNV_2026Q1_2026-06-23'!$B:$B, "="&amp;'CHECK_DT-BT'!A32, 'Tong_hop_HQNV_2026Q1_2026-06-23'!$A:$A, "="&amp;'CHECK_DT-BT'!$W$2)</f>
        <v>1860601385</v>
      </c>
      <c r="X32" s="7">
        <f>SUMIFS('Tong_hop_HQNV_2026Q1_2026-06-23'!$L:$L,'Tong_hop_HQNV_2026Q1_2026-06-23'!$B:$B, "="&amp;'CHECK_DT-BT'!A32, 'Tong_hop_HQNV_2026Q1_2026-06-23'!$A:$A, "="&amp;'CHECK_DT-BT'!$X$2)</f>
        <v>0</v>
      </c>
      <c r="Y32" s="7">
        <f>SUMIFS('Tong_hop_HQNV_2026Q1_2026-06-23'!$L:$L,'Tong_hop_HQNV_2026Q1_2026-06-23'!$B:$B, "="&amp;'CHECK_DT-BT'!A32, 'Tong_hop_HQNV_2026Q1_2026-06-23'!$A:$A, "="&amp;'CHECK_DT-BT'!$Y$2)</f>
        <v>911631199</v>
      </c>
      <c r="Z32" s="7">
        <f>SUMIFS('Tong_hop_HQNV_2026Q1_2026-06-23'!$L:$L,'Tong_hop_HQNV_2026Q1_2026-06-23'!$B:$B, "="&amp;'CHECK_DT-BT'!A32, 'Tong_hop_HQNV_2026Q1_2026-06-23'!$A:$A, "="&amp;'CHECK_DT-BT'!$Z$2)</f>
        <v>70426236</v>
      </c>
      <c r="AA32" s="7">
        <f>SUMIFS('Tong_hop_HQNV_2026Q1_2026-06-23'!$L:$L,'Tong_hop_HQNV_2026Q1_2026-06-23'!$B:$B, "="&amp;'CHECK_DT-BT'!A32, 'Tong_hop_HQNV_2026Q1_2026-06-23'!$A:$A, "="&amp;$AA$2)</f>
        <v>0</v>
      </c>
      <c r="AB32" s="7">
        <f>SUMIFS('Tong_hop_HQNV_2026Q1_2026-06-23'!$L:$L,'Tong_hop_HQNV_2026Q1_2026-06-23'!$B:$B, "="&amp;'CHECK_DT-BT'!A32, 'Tong_hop_HQNV_2026Q1_2026-06-23'!$A:$A, "="&amp;$AB$2)</f>
        <v>0</v>
      </c>
      <c r="AC32" s="7">
        <f>SUMIFS('Tong_hop_HQNV_2026Q1_2026-06-23'!$L:$L,'Tong_hop_HQNV_2026Q1_2026-06-23'!$B:$B, "="&amp;'CHECK_DT-BT'!A32, 'Tong_hop_HQNV_2026Q1_2026-06-23'!$A:$A, "="&amp;$AC$2)</f>
        <v>0</v>
      </c>
      <c r="AD32" s="7">
        <f>SUMIFS('Tong_hop_HQNV_2026Q1_2026-06-23'!$L:$L,'Tong_hop_HQNV_2026Q1_2026-06-23'!$B:$B, "="&amp;'CHECK_DT-BT'!A32, 'Tong_hop_HQNV_2026Q1_2026-06-23'!$A:$A, "="&amp;$AD$2)</f>
        <v>0</v>
      </c>
      <c r="AE32" s="7">
        <f>SUMIFS('Tong_hop_HQNV_2026Q1_2026-06-23'!$L:$L,'Tong_hop_HQNV_2026Q1_2026-06-23'!$B:$B, "="&amp;'CHECK_DT-BT'!A32, 'Tong_hop_HQNV_2026Q1_2026-06-23'!$A:$A, "="&amp;$AE$2)</f>
        <v>345349248</v>
      </c>
      <c r="AF32" s="7">
        <f>SUMIFS('Tong_hop_HQNV_2026Q1_2026-06-23'!$L:$L,'Tong_hop_HQNV_2026Q1_2026-06-23'!$B:$B, "="&amp;'CHECK_DT-BT'!A32, 'Tong_hop_HQNV_2026Q1_2026-06-23'!$A:$A, "="&amp;$AF$2)</f>
        <v>0</v>
      </c>
      <c r="AG32" s="7">
        <f>SUMIFS('Tong_hop_HQNV_2026Q1_2026-06-23'!$L:$L,'Tong_hop_HQNV_2026Q1_2026-06-23'!$B:$B, "="&amp;'CHECK_DT-BT'!A32, 'Tong_hop_HQNV_2026Q1_2026-06-23'!$A:$A, "="&amp;$AG$2)</f>
        <v>0</v>
      </c>
      <c r="AH32" s="7">
        <f>SUMIFS('Tong_hop_HQNV_2026Q1_2026-06-23'!$L:$L,'Tong_hop_HQNV_2026Q1_2026-06-23'!$B:$B, "="&amp;'CHECK_DT-BT'!A32, 'Tong_hop_HQNV_2026Q1_2026-06-23'!$A:$A, "="&amp;$AH$2)</f>
        <v>0</v>
      </c>
      <c r="AI32" s="7">
        <f>SUMIFS('Tong_hop_HQNV_2026Q1_2026-06-23'!$L:$L,'Tong_hop_HQNV_2026Q1_2026-06-23'!$B:$B, "="&amp;'CHECK_DT-BT'!A32, 'Tong_hop_HQNV_2026Q1_2026-06-23'!$A:$A, "="&amp;$AI$2)</f>
        <v>0</v>
      </c>
      <c r="AJ32" s="7">
        <f t="shared" si="6"/>
        <v>2842658820</v>
      </c>
      <c r="AK32" s="7">
        <f t="shared" si="7"/>
        <v>345349248</v>
      </c>
      <c r="AL32" s="7">
        <f>SUMIFS('HQ1'!$D:$D,'HQ1'!$A:$A, "="&amp;'CHECK_DT-BT'!C32, 'HQ1'!$B:$B, "Total")</f>
        <v>2842658820</v>
      </c>
      <c r="AM32" s="7">
        <f>SUMIFS('HQ2'!$J:$J,'HQ2'!$A:$A, "="&amp;'CHECK_DT-BT'!C32, 'HQ2'!$B:$B, "Total")</f>
        <v>345349248</v>
      </c>
      <c r="AN32" s="24">
        <f t="shared" si="8"/>
        <v>0</v>
      </c>
      <c r="AO32" s="24">
        <f t="shared" si="9"/>
        <v>0</v>
      </c>
    </row>
    <row r="33" spans="1:41" x14ac:dyDescent="0.25">
      <c r="A33" s="9" t="s">
        <v>313</v>
      </c>
      <c r="B33" t="s">
        <v>171</v>
      </c>
      <c r="C33" t="s">
        <v>53</v>
      </c>
      <c r="D33" s="7">
        <f>SUMIFS('Tong_hop_HQNV_2026Q1_2026-06-23'!$K:$K,'Tong_hop_HQNV_2026Q1_2026-06-23'!$A:$A,"="&amp;'CHECK_DT-BT'!$D$2,'Tong_hop_HQNV_2026Q1_2026-06-23'!$B:$B, "="&amp;'CHECK_DT-BT'!A33)</f>
        <v>8768150081</v>
      </c>
      <c r="E33" s="7">
        <f>SUMIFS('Tong_hop_HQNV_2026Q1_2026-06-23'!$K:$K,'Tong_hop_HQNV_2026Q1_2026-06-23'!$A:$A,"="&amp;'CHECK_DT-BT'!$E$2,'Tong_hop_HQNV_2026Q1_2026-06-23'!$B:$B, "="&amp;'CHECK_DT-BT'!A33)</f>
        <v>2441329961</v>
      </c>
      <c r="F33" s="7">
        <f>SUMIFS('Tong_hop_HQNV_2026Q1_2026-06-23'!$K:$K,'Tong_hop_HQNV_2026Q1_2026-06-23'!$A:$A,"="&amp;'CHECK_DT-BT'!$F$2,'Tong_hop_HQNV_2026Q1_2026-06-23'!$B:$B, "="&amp;'CHECK_DT-BT'!A33)</f>
        <v>18706732498</v>
      </c>
      <c r="G33" s="7">
        <f>SUMIFS('Tong_hop_HQNV_2026Q1_2026-06-23'!$K:$K,'Tong_hop_HQNV_2026Q1_2026-06-23'!$A:$A,"="&amp;'CHECK_DT-BT'!$G$2,'Tong_hop_HQNV_2026Q1_2026-06-23'!$B:$B, "="&amp;'CHECK_DT-BT'!A33)</f>
        <v>64230731222</v>
      </c>
      <c r="H33" s="7">
        <f>SUMIFS('Tong_hop_HQNV_2026Q1_2026-06-23'!$K:$K,'Tong_hop_HQNV_2026Q1_2026-06-23'!$A:$A,"="&amp;$H$2,'Tong_hop_HQNV_2026Q1_2026-06-23'!$B:$B, "="&amp;'CHECK_DT-BT'!A33)</f>
        <v>3807049372</v>
      </c>
      <c r="I33" s="7">
        <f>SUMIFS('Tong_hop_HQNV_2026Q1_2026-06-23'!$K:$K,'Tong_hop_HQNV_2026Q1_2026-06-23'!$A:$A,"="&amp;$I$2,'Tong_hop_HQNV_2026Q1_2026-06-23'!$B:$B, "="&amp;'CHECK_DT-BT'!A33)</f>
        <v>681611013</v>
      </c>
      <c r="J33" s="7">
        <f>SUMIFS('Tong_hop_HQNV_2026Q1_2026-06-23'!$K:$K,'Tong_hop_HQNV_2026Q1_2026-06-23'!$A:$A,"="&amp;$J$2,'Tong_hop_HQNV_2026Q1_2026-06-23'!$B:$B, "="&amp;'CHECK_DT-BT'!A33)</f>
        <v>158980801</v>
      </c>
      <c r="K33" s="7">
        <f>SUMIFS('Tong_hop_HQNV_2026Q1_2026-06-23'!$K:$K,'Tong_hop_HQNV_2026Q1_2026-06-23'!$A:$A,"="&amp;$K$2,'Tong_hop_HQNV_2026Q1_2026-06-23'!$B:$B, "="&amp;'CHECK_DT-BT'!A33)</f>
        <v>0</v>
      </c>
      <c r="L33" s="7">
        <f>SUMIFS('Tong_hop_HQNV_2026Q1_2026-06-23'!$K:$K,'Tong_hop_HQNV_2026Q1_2026-06-23'!$A:$A,"="&amp;$L$2,'Tong_hop_HQNV_2026Q1_2026-06-23'!$B:$B, "="&amp;'CHECK_DT-BT'!A33)</f>
        <v>9050938257</v>
      </c>
      <c r="M33" s="7">
        <f>SUMIFS('Tong_hop_HQNV_2026Q1_2026-06-23'!$K:$K,'Tong_hop_HQNV_2026Q1_2026-06-23'!$A:$A,"="&amp;$M$2,'Tong_hop_HQNV_2026Q1_2026-06-23'!$B:$B, "="&amp;'CHECK_DT-BT'!A33)</f>
        <v>4814977238</v>
      </c>
      <c r="N33" s="7">
        <f>SUMIFS('Tong_hop_HQNV_2026Q1_2026-06-23'!$K:$K,'Tong_hop_HQNV_2026Q1_2026-06-23'!$A:$A,"="&amp;$N$2,'Tong_hop_HQNV_2026Q1_2026-06-23'!$B:$B, "="&amp;'CHECK_DT-BT'!A33)</f>
        <v>2600496532</v>
      </c>
      <c r="O33" s="7">
        <f>SUMIFS('Tong_hop_HQNV_2026Q1_2026-06-23'!$K:$K,'Tong_hop_HQNV_2026Q1_2026-06-23'!$A:$A,"="&amp;$O$2,'Tong_hop_HQNV_2026Q1_2026-06-23'!$B:$B, "="&amp;'CHECK_DT-BT'!A33)</f>
        <v>99305040</v>
      </c>
      <c r="P33" s="7">
        <f>SUMIFS('Tong_hop_HQNV_2026Q1_2026-06-23'!$K:$K,'Tong_hop_HQNV_2026Q1_2026-06-23'!$A:$A,"="&amp;$P$2,'Tong_hop_HQNV_2026Q1_2026-06-23'!$B:$B, "="&amp;'CHECK_DT-BT'!A33)</f>
        <v>0</v>
      </c>
      <c r="Q33" s="7">
        <f t="shared" si="2"/>
        <v>94146943762</v>
      </c>
      <c r="R33" s="7">
        <f t="shared" si="3"/>
        <v>21114053213</v>
      </c>
      <c r="S33" s="7">
        <f>SUMIFS('HQ1'!$C:$C,'HQ1'!$A:$A, "="&amp;'CHECK_DT-BT'!C33, 'HQ1'!$B:$B, "Total")</f>
        <v>94136455762</v>
      </c>
      <c r="T33" s="7">
        <f>SUMIFS('HQ2'!$C:$C,'HQ2'!$A:$A, "="&amp;'CHECK_DT-BT'!C33, 'HQ2'!$B:$B, "Total")</f>
        <v>21114053213</v>
      </c>
      <c r="U33" s="7">
        <f t="shared" si="4"/>
        <v>10488000</v>
      </c>
      <c r="V33" s="7">
        <f t="shared" si="5"/>
        <v>0</v>
      </c>
      <c r="W33" s="23">
        <f>SUMIFS('Tong_hop_HQNV_2026Q1_2026-06-23'!$L:$L,'Tong_hop_HQNV_2026Q1_2026-06-23'!$B:$B, "="&amp;'CHECK_DT-BT'!A33, 'Tong_hop_HQNV_2026Q1_2026-06-23'!$A:$A, "="&amp;'CHECK_DT-BT'!$W$2)</f>
        <v>2080072600</v>
      </c>
      <c r="X33" s="7">
        <f>SUMIFS('Tong_hop_HQNV_2026Q1_2026-06-23'!$L:$L,'Tong_hop_HQNV_2026Q1_2026-06-23'!$B:$B, "="&amp;'CHECK_DT-BT'!A33, 'Tong_hop_HQNV_2026Q1_2026-06-23'!$A:$A, "="&amp;'CHECK_DT-BT'!$X$2)</f>
        <v>145570773</v>
      </c>
      <c r="Y33" s="7">
        <f>SUMIFS('Tong_hop_HQNV_2026Q1_2026-06-23'!$L:$L,'Tong_hop_HQNV_2026Q1_2026-06-23'!$B:$B, "="&amp;'CHECK_DT-BT'!A33, 'Tong_hop_HQNV_2026Q1_2026-06-23'!$A:$A, "="&amp;'CHECK_DT-BT'!$Y$2)</f>
        <v>6016628942</v>
      </c>
      <c r="Z33" s="7">
        <f>SUMIFS('Tong_hop_HQNV_2026Q1_2026-06-23'!$L:$L,'Tong_hop_HQNV_2026Q1_2026-06-23'!$B:$B, "="&amp;'CHECK_DT-BT'!A33, 'Tong_hop_HQNV_2026Q1_2026-06-23'!$A:$A, "="&amp;'CHECK_DT-BT'!$Z$2)</f>
        <v>26280758461</v>
      </c>
      <c r="AA33" s="7">
        <f>SUMIFS('Tong_hop_HQNV_2026Q1_2026-06-23'!$L:$L,'Tong_hop_HQNV_2026Q1_2026-06-23'!$B:$B, "="&amp;'CHECK_DT-BT'!A33, 'Tong_hop_HQNV_2026Q1_2026-06-23'!$A:$A, "="&amp;$AA$2)</f>
        <v>24820028</v>
      </c>
      <c r="AB33" s="7">
        <f>SUMIFS('Tong_hop_HQNV_2026Q1_2026-06-23'!$L:$L,'Tong_hop_HQNV_2026Q1_2026-06-23'!$B:$B, "="&amp;'CHECK_DT-BT'!A33, 'Tong_hop_HQNV_2026Q1_2026-06-23'!$A:$A, "="&amp;$AB$2)</f>
        <v>0</v>
      </c>
      <c r="AC33" s="7">
        <f>SUMIFS('Tong_hop_HQNV_2026Q1_2026-06-23'!$L:$L,'Tong_hop_HQNV_2026Q1_2026-06-23'!$B:$B, "="&amp;'CHECK_DT-BT'!A33, 'Tong_hop_HQNV_2026Q1_2026-06-23'!$A:$A, "="&amp;$AC$2)</f>
        <v>0</v>
      </c>
      <c r="AD33" s="7">
        <f>SUMIFS('Tong_hop_HQNV_2026Q1_2026-06-23'!$L:$L,'Tong_hop_HQNV_2026Q1_2026-06-23'!$B:$B, "="&amp;'CHECK_DT-BT'!A33, 'Tong_hop_HQNV_2026Q1_2026-06-23'!$A:$A, "="&amp;$AD$2)</f>
        <v>0</v>
      </c>
      <c r="AE33" s="7">
        <f>SUMIFS('Tong_hop_HQNV_2026Q1_2026-06-23'!$L:$L,'Tong_hop_HQNV_2026Q1_2026-06-23'!$B:$B, "="&amp;'CHECK_DT-BT'!A33, 'Tong_hop_HQNV_2026Q1_2026-06-23'!$A:$A, "="&amp;$AE$2)</f>
        <v>696746876</v>
      </c>
      <c r="AF33" s="7">
        <f>SUMIFS('Tong_hop_HQNV_2026Q1_2026-06-23'!$L:$L,'Tong_hop_HQNV_2026Q1_2026-06-23'!$B:$B, "="&amp;'CHECK_DT-BT'!A33, 'Tong_hop_HQNV_2026Q1_2026-06-23'!$A:$A, "="&amp;$AF$2)</f>
        <v>1246311193</v>
      </c>
      <c r="AG33" s="7">
        <f>SUMIFS('Tong_hop_HQNV_2026Q1_2026-06-23'!$L:$L,'Tong_hop_HQNV_2026Q1_2026-06-23'!$B:$B, "="&amp;'CHECK_DT-BT'!A33, 'Tong_hop_HQNV_2026Q1_2026-06-23'!$A:$A, "="&amp;$AG$2)</f>
        <v>0</v>
      </c>
      <c r="AH33" s="7">
        <f>SUMIFS('Tong_hop_HQNV_2026Q1_2026-06-23'!$L:$L,'Tong_hop_HQNV_2026Q1_2026-06-23'!$B:$B, "="&amp;'CHECK_DT-BT'!A33, 'Tong_hop_HQNV_2026Q1_2026-06-23'!$A:$A, "="&amp;$AH$2)</f>
        <v>0</v>
      </c>
      <c r="AI33" s="7">
        <f>SUMIFS('Tong_hop_HQNV_2026Q1_2026-06-23'!$L:$L,'Tong_hop_HQNV_2026Q1_2026-06-23'!$B:$B, "="&amp;'CHECK_DT-BT'!A33, 'Tong_hop_HQNV_2026Q1_2026-06-23'!$A:$A, "="&amp;$AI$2)</f>
        <v>0</v>
      </c>
      <c r="AJ33" s="7">
        <f t="shared" si="6"/>
        <v>34523030776</v>
      </c>
      <c r="AK33" s="7">
        <f t="shared" si="7"/>
        <v>1967878097</v>
      </c>
      <c r="AL33" s="7">
        <f>SUMIFS('HQ1'!$D:$D,'HQ1'!$A:$A, "="&amp;'CHECK_DT-BT'!C33, 'HQ1'!$B:$B, "Total")</f>
        <v>34523030776</v>
      </c>
      <c r="AM33" s="7">
        <f>SUMIFS('HQ2'!$J:$J,'HQ2'!$A:$A, "="&amp;'CHECK_DT-BT'!C33, 'HQ2'!$B:$B, "Total")</f>
        <v>1964415552</v>
      </c>
      <c r="AN33" s="24">
        <f t="shared" si="8"/>
        <v>0</v>
      </c>
      <c r="AO33" s="24">
        <f t="shared" si="9"/>
        <v>3462545</v>
      </c>
    </row>
    <row r="34" spans="1:41" x14ac:dyDescent="0.25">
      <c r="A34" s="9" t="s">
        <v>314</v>
      </c>
      <c r="B34" t="s">
        <v>172</v>
      </c>
      <c r="C34" t="s">
        <v>64</v>
      </c>
      <c r="D34" s="7">
        <f>SUMIFS('Tong_hop_HQNV_2026Q1_2026-06-23'!$K:$K,'Tong_hop_HQNV_2026Q1_2026-06-23'!$A:$A,"="&amp;'CHECK_DT-BT'!$D$2,'Tong_hop_HQNV_2026Q1_2026-06-23'!$B:$B, "="&amp;'CHECK_DT-BT'!A34)</f>
        <v>2295507599</v>
      </c>
      <c r="E34" s="7">
        <f>SUMIFS('Tong_hop_HQNV_2026Q1_2026-06-23'!$K:$K,'Tong_hop_HQNV_2026Q1_2026-06-23'!$A:$A,"="&amp;'CHECK_DT-BT'!$E$2,'Tong_hop_HQNV_2026Q1_2026-06-23'!$B:$B, "="&amp;'CHECK_DT-BT'!A34)</f>
        <v>577883100</v>
      </c>
      <c r="F34" s="7">
        <f>SUMIFS('Tong_hop_HQNV_2026Q1_2026-06-23'!$K:$K,'Tong_hop_HQNV_2026Q1_2026-06-23'!$A:$A,"="&amp;'CHECK_DT-BT'!$F$2,'Tong_hop_HQNV_2026Q1_2026-06-23'!$B:$B, "="&amp;'CHECK_DT-BT'!A34)</f>
        <v>23082371675</v>
      </c>
      <c r="G34" s="7">
        <f>SUMIFS('Tong_hop_HQNV_2026Q1_2026-06-23'!$K:$K,'Tong_hop_HQNV_2026Q1_2026-06-23'!$A:$A,"="&amp;'CHECK_DT-BT'!$G$2,'Tong_hop_HQNV_2026Q1_2026-06-23'!$B:$B, "="&amp;'CHECK_DT-BT'!A34)</f>
        <v>95012610470</v>
      </c>
      <c r="H34" s="7">
        <f>SUMIFS('Tong_hop_HQNV_2026Q1_2026-06-23'!$K:$K,'Tong_hop_HQNV_2026Q1_2026-06-23'!$A:$A,"="&amp;$H$2,'Tong_hop_HQNV_2026Q1_2026-06-23'!$B:$B, "="&amp;'CHECK_DT-BT'!A34)</f>
        <v>893584116</v>
      </c>
      <c r="I34" s="7">
        <f>SUMIFS('Tong_hop_HQNV_2026Q1_2026-06-23'!$K:$K,'Tong_hop_HQNV_2026Q1_2026-06-23'!$A:$A,"="&amp;$I$2,'Tong_hop_HQNV_2026Q1_2026-06-23'!$B:$B, "="&amp;'CHECK_DT-BT'!A34)</f>
        <v>835112932</v>
      </c>
      <c r="J34" s="7">
        <f>SUMIFS('Tong_hop_HQNV_2026Q1_2026-06-23'!$K:$K,'Tong_hop_HQNV_2026Q1_2026-06-23'!$A:$A,"="&amp;$J$2,'Tong_hop_HQNV_2026Q1_2026-06-23'!$B:$B, "="&amp;'CHECK_DT-BT'!A34)</f>
        <v>131712000</v>
      </c>
      <c r="K34" s="7">
        <f>SUMIFS('Tong_hop_HQNV_2026Q1_2026-06-23'!$K:$K,'Tong_hop_HQNV_2026Q1_2026-06-23'!$A:$A,"="&amp;$K$2,'Tong_hop_HQNV_2026Q1_2026-06-23'!$B:$B, "="&amp;'CHECK_DT-BT'!A34)</f>
        <v>459543129</v>
      </c>
      <c r="L34" s="7">
        <f>SUMIFS('Tong_hop_HQNV_2026Q1_2026-06-23'!$K:$K,'Tong_hop_HQNV_2026Q1_2026-06-23'!$A:$A,"="&amp;$L$2,'Tong_hop_HQNV_2026Q1_2026-06-23'!$B:$B, "="&amp;'CHECK_DT-BT'!A34)</f>
        <v>5990669380</v>
      </c>
      <c r="M34" s="7">
        <f>SUMIFS('Tong_hop_HQNV_2026Q1_2026-06-23'!$K:$K,'Tong_hop_HQNV_2026Q1_2026-06-23'!$A:$A,"="&amp;$M$2,'Tong_hop_HQNV_2026Q1_2026-06-23'!$B:$B, "="&amp;'CHECK_DT-BT'!A34)</f>
        <v>464803381</v>
      </c>
      <c r="N34" s="7">
        <f>SUMIFS('Tong_hop_HQNV_2026Q1_2026-06-23'!$K:$K,'Tong_hop_HQNV_2026Q1_2026-06-23'!$A:$A,"="&amp;$N$2,'Tong_hop_HQNV_2026Q1_2026-06-23'!$B:$B, "="&amp;'CHECK_DT-BT'!A34)</f>
        <v>1537942969</v>
      </c>
      <c r="O34" s="7">
        <f>SUMIFS('Tong_hop_HQNV_2026Q1_2026-06-23'!$K:$K,'Tong_hop_HQNV_2026Q1_2026-06-23'!$A:$A,"="&amp;$O$2,'Tong_hop_HQNV_2026Q1_2026-06-23'!$B:$B, "="&amp;'CHECK_DT-BT'!A34)</f>
        <v>0</v>
      </c>
      <c r="P34" s="7">
        <f>SUMIFS('Tong_hop_HQNV_2026Q1_2026-06-23'!$K:$K,'Tong_hop_HQNV_2026Q1_2026-06-23'!$A:$A,"="&amp;$P$2,'Tong_hop_HQNV_2026Q1_2026-06-23'!$B:$B, "="&amp;'CHECK_DT-BT'!A34)</f>
        <v>0</v>
      </c>
      <c r="Q34" s="7">
        <f t="shared" si="2"/>
        <v>120968372844</v>
      </c>
      <c r="R34" s="7">
        <f t="shared" si="3"/>
        <v>10313367907</v>
      </c>
      <c r="S34" s="7">
        <f>SUMIFS('HQ1'!$C:$C,'HQ1'!$A:$A, "="&amp;'CHECK_DT-BT'!C34, 'HQ1'!$B:$B, "Total")</f>
        <v>120968372844</v>
      </c>
      <c r="T34" s="7">
        <f>SUMIFS('HQ2'!$C:$C,'HQ2'!$A:$A, "="&amp;'CHECK_DT-BT'!C34, 'HQ2'!$B:$B, "Total")</f>
        <v>11046558011</v>
      </c>
      <c r="U34" s="7">
        <f t="shared" si="4"/>
        <v>0</v>
      </c>
      <c r="V34" s="7">
        <f t="shared" si="5"/>
        <v>-733190104</v>
      </c>
      <c r="W34" s="23">
        <f>SUMIFS('Tong_hop_HQNV_2026Q1_2026-06-23'!$L:$L,'Tong_hop_HQNV_2026Q1_2026-06-23'!$B:$B, "="&amp;'CHECK_DT-BT'!A34, 'Tong_hop_HQNV_2026Q1_2026-06-23'!$A:$A, "="&amp;'CHECK_DT-BT'!$W$2)</f>
        <v>609496000</v>
      </c>
      <c r="X34" s="7">
        <f>SUMIFS('Tong_hop_HQNV_2026Q1_2026-06-23'!$L:$L,'Tong_hop_HQNV_2026Q1_2026-06-23'!$B:$B, "="&amp;'CHECK_DT-BT'!A34, 'Tong_hop_HQNV_2026Q1_2026-06-23'!$A:$A, "="&amp;'CHECK_DT-BT'!$X$2)</f>
        <v>6333532</v>
      </c>
      <c r="Y34" s="7">
        <f>SUMIFS('Tong_hop_HQNV_2026Q1_2026-06-23'!$L:$L,'Tong_hop_HQNV_2026Q1_2026-06-23'!$B:$B, "="&amp;'CHECK_DT-BT'!A34, 'Tong_hop_HQNV_2026Q1_2026-06-23'!$A:$A, "="&amp;'CHECK_DT-BT'!$Y$2)</f>
        <v>7562221263</v>
      </c>
      <c r="Z34" s="7">
        <f>SUMIFS('Tong_hop_HQNV_2026Q1_2026-06-23'!$L:$L,'Tong_hop_HQNV_2026Q1_2026-06-23'!$B:$B, "="&amp;'CHECK_DT-BT'!A34, 'Tong_hop_HQNV_2026Q1_2026-06-23'!$A:$A, "="&amp;'CHECK_DT-BT'!$Z$2)</f>
        <v>27951615684</v>
      </c>
      <c r="AA34" s="7">
        <f>SUMIFS('Tong_hop_HQNV_2026Q1_2026-06-23'!$L:$L,'Tong_hop_HQNV_2026Q1_2026-06-23'!$B:$B, "="&amp;'CHECK_DT-BT'!A34, 'Tong_hop_HQNV_2026Q1_2026-06-23'!$A:$A, "="&amp;$AA$2)</f>
        <v>105727</v>
      </c>
      <c r="AB34" s="7">
        <f>SUMIFS('Tong_hop_HQNV_2026Q1_2026-06-23'!$L:$L,'Tong_hop_HQNV_2026Q1_2026-06-23'!$B:$B, "="&amp;'CHECK_DT-BT'!A34, 'Tong_hop_HQNV_2026Q1_2026-06-23'!$A:$A, "="&amp;$AB$2)</f>
        <v>0</v>
      </c>
      <c r="AC34" s="7">
        <f>SUMIFS('Tong_hop_HQNV_2026Q1_2026-06-23'!$L:$L,'Tong_hop_HQNV_2026Q1_2026-06-23'!$B:$B, "="&amp;'CHECK_DT-BT'!A34, 'Tong_hop_HQNV_2026Q1_2026-06-23'!$A:$A, "="&amp;$AC$2)</f>
        <v>0</v>
      </c>
      <c r="AD34" s="7">
        <f>SUMIFS('Tong_hop_HQNV_2026Q1_2026-06-23'!$L:$L,'Tong_hop_HQNV_2026Q1_2026-06-23'!$B:$B, "="&amp;'CHECK_DT-BT'!A34, 'Tong_hop_HQNV_2026Q1_2026-06-23'!$A:$A, "="&amp;$AD$2)</f>
        <v>0</v>
      </c>
      <c r="AE34" s="7">
        <f>SUMIFS('Tong_hop_HQNV_2026Q1_2026-06-23'!$L:$L,'Tong_hop_HQNV_2026Q1_2026-06-23'!$B:$B, "="&amp;'CHECK_DT-BT'!A34, 'Tong_hop_HQNV_2026Q1_2026-06-23'!$A:$A, "="&amp;$AE$2)</f>
        <v>6994364905</v>
      </c>
      <c r="AF34" s="7">
        <f>SUMIFS('Tong_hop_HQNV_2026Q1_2026-06-23'!$L:$L,'Tong_hop_HQNV_2026Q1_2026-06-23'!$B:$B, "="&amp;'CHECK_DT-BT'!A34, 'Tong_hop_HQNV_2026Q1_2026-06-23'!$A:$A, "="&amp;$AF$2)</f>
        <v>777220261</v>
      </c>
      <c r="AG34" s="7">
        <f>SUMIFS('Tong_hop_HQNV_2026Q1_2026-06-23'!$L:$L,'Tong_hop_HQNV_2026Q1_2026-06-23'!$B:$B, "="&amp;'CHECK_DT-BT'!A34, 'Tong_hop_HQNV_2026Q1_2026-06-23'!$A:$A, "="&amp;$AG$2)</f>
        <v>6316935</v>
      </c>
      <c r="AH34" s="7">
        <f>SUMIFS('Tong_hop_HQNV_2026Q1_2026-06-23'!$L:$L,'Tong_hop_HQNV_2026Q1_2026-06-23'!$B:$B, "="&amp;'CHECK_DT-BT'!A34, 'Tong_hop_HQNV_2026Q1_2026-06-23'!$A:$A, "="&amp;$AH$2)</f>
        <v>0</v>
      </c>
      <c r="AI34" s="7">
        <f>SUMIFS('Tong_hop_HQNV_2026Q1_2026-06-23'!$L:$L,'Tong_hop_HQNV_2026Q1_2026-06-23'!$B:$B, "="&amp;'CHECK_DT-BT'!A34, 'Tong_hop_HQNV_2026Q1_2026-06-23'!$A:$A, "="&amp;$AI$2)</f>
        <v>0</v>
      </c>
      <c r="AJ34" s="7">
        <f t="shared" si="6"/>
        <v>36129666479</v>
      </c>
      <c r="AK34" s="7">
        <f t="shared" si="7"/>
        <v>7778007828</v>
      </c>
      <c r="AL34" s="7">
        <f>SUMIFS('HQ1'!$D:$D,'HQ1'!$A:$A, "="&amp;'CHECK_DT-BT'!C34, 'HQ1'!$B:$B, "Total")</f>
        <v>36129666479</v>
      </c>
      <c r="AM34" s="7">
        <f>SUMIFS('HQ2'!$J:$J,'HQ2'!$A:$A, "="&amp;'CHECK_DT-BT'!C34, 'HQ2'!$B:$B, "Total")</f>
        <v>7778007828</v>
      </c>
      <c r="AN34" s="24">
        <f t="shared" si="8"/>
        <v>0</v>
      </c>
      <c r="AO34" s="24">
        <f t="shared" si="9"/>
        <v>0</v>
      </c>
    </row>
    <row r="35" spans="1:41" x14ac:dyDescent="0.25">
      <c r="A35" s="9" t="s">
        <v>315</v>
      </c>
      <c r="B35" t="s">
        <v>173</v>
      </c>
      <c r="C35" t="s">
        <v>104</v>
      </c>
      <c r="D35" s="7">
        <f>SUMIFS('Tong_hop_HQNV_2026Q1_2026-06-23'!$K:$K,'Tong_hop_HQNV_2026Q1_2026-06-23'!$A:$A,"="&amp;'CHECK_DT-BT'!$D$2,'Tong_hop_HQNV_2026Q1_2026-06-23'!$B:$B, "="&amp;'CHECK_DT-BT'!A35)</f>
        <v>3388132347</v>
      </c>
      <c r="E35" s="7">
        <f>SUMIFS('Tong_hop_HQNV_2026Q1_2026-06-23'!$K:$K,'Tong_hop_HQNV_2026Q1_2026-06-23'!$A:$A,"="&amp;'CHECK_DT-BT'!$E$2,'Tong_hop_HQNV_2026Q1_2026-06-23'!$B:$B, "="&amp;'CHECK_DT-BT'!A35)</f>
        <v>50846900</v>
      </c>
      <c r="F35" s="7">
        <f>SUMIFS('Tong_hop_HQNV_2026Q1_2026-06-23'!$K:$K,'Tong_hop_HQNV_2026Q1_2026-06-23'!$A:$A,"="&amp;'CHECK_DT-BT'!$F$2,'Tong_hop_HQNV_2026Q1_2026-06-23'!$B:$B, "="&amp;'CHECK_DT-BT'!A35)</f>
        <v>5385409801</v>
      </c>
      <c r="G35" s="7">
        <f>SUMIFS('Tong_hop_HQNV_2026Q1_2026-06-23'!$K:$K,'Tong_hop_HQNV_2026Q1_2026-06-23'!$A:$A,"="&amp;'CHECK_DT-BT'!$G$2,'Tong_hop_HQNV_2026Q1_2026-06-23'!$B:$B, "="&amp;'CHECK_DT-BT'!A35)</f>
        <v>248808250</v>
      </c>
      <c r="H35" s="7">
        <f>SUMIFS('Tong_hop_HQNV_2026Q1_2026-06-23'!$K:$K,'Tong_hop_HQNV_2026Q1_2026-06-23'!$A:$A,"="&amp;$H$2,'Tong_hop_HQNV_2026Q1_2026-06-23'!$B:$B, "="&amp;'CHECK_DT-BT'!A35)</f>
        <v>43206409</v>
      </c>
      <c r="I35" s="7">
        <f>SUMIFS('Tong_hop_HQNV_2026Q1_2026-06-23'!$K:$K,'Tong_hop_HQNV_2026Q1_2026-06-23'!$A:$A,"="&amp;$I$2,'Tong_hop_HQNV_2026Q1_2026-06-23'!$B:$B, "="&amp;'CHECK_DT-BT'!A35)</f>
        <v>0</v>
      </c>
      <c r="J35" s="7">
        <f>SUMIFS('Tong_hop_HQNV_2026Q1_2026-06-23'!$K:$K,'Tong_hop_HQNV_2026Q1_2026-06-23'!$A:$A,"="&amp;$J$2,'Tong_hop_HQNV_2026Q1_2026-06-23'!$B:$B, "="&amp;'CHECK_DT-BT'!A35)</f>
        <v>0</v>
      </c>
      <c r="K35" s="7">
        <f>SUMIFS('Tong_hop_HQNV_2026Q1_2026-06-23'!$K:$K,'Tong_hop_HQNV_2026Q1_2026-06-23'!$A:$A,"="&amp;$K$2,'Tong_hop_HQNV_2026Q1_2026-06-23'!$B:$B, "="&amp;'CHECK_DT-BT'!A35)</f>
        <v>103300000</v>
      </c>
      <c r="L35" s="7">
        <f>SUMIFS('Tong_hop_HQNV_2026Q1_2026-06-23'!$K:$K,'Tong_hop_HQNV_2026Q1_2026-06-23'!$A:$A,"="&amp;$L$2,'Tong_hop_HQNV_2026Q1_2026-06-23'!$B:$B, "="&amp;'CHECK_DT-BT'!A35)</f>
        <v>341773362</v>
      </c>
      <c r="M35" s="7">
        <f>SUMIFS('Tong_hop_HQNV_2026Q1_2026-06-23'!$K:$K,'Tong_hop_HQNV_2026Q1_2026-06-23'!$A:$A,"="&amp;$M$2,'Tong_hop_HQNV_2026Q1_2026-06-23'!$B:$B, "="&amp;'CHECK_DT-BT'!A35)</f>
        <v>590862009</v>
      </c>
      <c r="N35" s="7">
        <f>SUMIFS('Tong_hop_HQNV_2026Q1_2026-06-23'!$K:$K,'Tong_hop_HQNV_2026Q1_2026-06-23'!$A:$A,"="&amp;$N$2,'Tong_hop_HQNV_2026Q1_2026-06-23'!$B:$B, "="&amp;'CHECK_DT-BT'!A35)</f>
        <v>496558000</v>
      </c>
      <c r="O35" s="7">
        <f>SUMIFS('Tong_hop_HQNV_2026Q1_2026-06-23'!$K:$K,'Tong_hop_HQNV_2026Q1_2026-06-23'!$A:$A,"="&amp;$O$2,'Tong_hop_HQNV_2026Q1_2026-06-23'!$B:$B, "="&amp;'CHECK_DT-BT'!A35)</f>
        <v>0</v>
      </c>
      <c r="P35" s="7">
        <f>SUMIFS('Tong_hop_HQNV_2026Q1_2026-06-23'!$K:$K,'Tong_hop_HQNV_2026Q1_2026-06-23'!$A:$A,"="&amp;$P$2,'Tong_hop_HQNV_2026Q1_2026-06-23'!$B:$B, "="&amp;'CHECK_DT-BT'!A35)</f>
        <v>0</v>
      </c>
      <c r="Q35" s="7">
        <f t="shared" si="2"/>
        <v>9073197298</v>
      </c>
      <c r="R35" s="7">
        <f t="shared" si="3"/>
        <v>1575699780</v>
      </c>
      <c r="S35" s="7">
        <f>SUMIFS('HQ1'!$C:$C,'HQ1'!$A:$A, "="&amp;'CHECK_DT-BT'!C35, 'HQ1'!$B:$B, "Total")</f>
        <v>9073197298</v>
      </c>
      <c r="T35" s="7">
        <f>SUMIFS('HQ2'!$C:$C,'HQ2'!$A:$A, "="&amp;'CHECK_DT-BT'!C35, 'HQ2'!$B:$B, "Total")</f>
        <v>1575699780</v>
      </c>
      <c r="U35" s="7">
        <f t="shared" si="4"/>
        <v>0</v>
      </c>
      <c r="V35" s="7">
        <f t="shared" si="5"/>
        <v>0</v>
      </c>
      <c r="W35" s="23">
        <f>SUMIFS('Tong_hop_HQNV_2026Q1_2026-06-23'!$L:$L,'Tong_hop_HQNV_2026Q1_2026-06-23'!$B:$B, "="&amp;'CHECK_DT-BT'!A35, 'Tong_hop_HQNV_2026Q1_2026-06-23'!$A:$A, "="&amp;'CHECK_DT-BT'!$W$2)</f>
        <v>1855190000</v>
      </c>
      <c r="X35" s="7">
        <f>SUMIFS('Tong_hop_HQNV_2026Q1_2026-06-23'!$L:$L,'Tong_hop_HQNV_2026Q1_2026-06-23'!$B:$B, "="&amp;'CHECK_DT-BT'!A35, 'Tong_hop_HQNV_2026Q1_2026-06-23'!$A:$A, "="&amp;'CHECK_DT-BT'!$X$2)</f>
        <v>0</v>
      </c>
      <c r="Y35" s="7">
        <f>SUMIFS('Tong_hop_HQNV_2026Q1_2026-06-23'!$L:$L,'Tong_hop_HQNV_2026Q1_2026-06-23'!$B:$B, "="&amp;'CHECK_DT-BT'!A35, 'Tong_hop_HQNV_2026Q1_2026-06-23'!$A:$A, "="&amp;'CHECK_DT-BT'!$Y$2)</f>
        <v>2549438914</v>
      </c>
      <c r="Z35" s="7">
        <f>SUMIFS('Tong_hop_HQNV_2026Q1_2026-06-23'!$L:$L,'Tong_hop_HQNV_2026Q1_2026-06-23'!$B:$B, "="&amp;'CHECK_DT-BT'!A35, 'Tong_hop_HQNV_2026Q1_2026-06-23'!$A:$A, "="&amp;'CHECK_DT-BT'!$Z$2)</f>
        <v>9448679</v>
      </c>
      <c r="AA35" s="7">
        <f>SUMIFS('Tong_hop_HQNV_2026Q1_2026-06-23'!$L:$L,'Tong_hop_HQNV_2026Q1_2026-06-23'!$B:$B, "="&amp;'CHECK_DT-BT'!A35, 'Tong_hop_HQNV_2026Q1_2026-06-23'!$A:$A, "="&amp;$AA$2)</f>
        <v>0</v>
      </c>
      <c r="AB35" s="7">
        <f>SUMIFS('Tong_hop_HQNV_2026Q1_2026-06-23'!$L:$L,'Tong_hop_HQNV_2026Q1_2026-06-23'!$B:$B, "="&amp;'CHECK_DT-BT'!A35, 'Tong_hop_HQNV_2026Q1_2026-06-23'!$A:$A, "="&amp;$AB$2)</f>
        <v>0</v>
      </c>
      <c r="AC35" s="7">
        <f>SUMIFS('Tong_hop_HQNV_2026Q1_2026-06-23'!$L:$L,'Tong_hop_HQNV_2026Q1_2026-06-23'!$B:$B, "="&amp;'CHECK_DT-BT'!A35, 'Tong_hop_HQNV_2026Q1_2026-06-23'!$A:$A, "="&amp;$AC$2)</f>
        <v>697307500</v>
      </c>
      <c r="AD35" s="7">
        <f>SUMIFS('Tong_hop_HQNV_2026Q1_2026-06-23'!$L:$L,'Tong_hop_HQNV_2026Q1_2026-06-23'!$B:$B, "="&amp;'CHECK_DT-BT'!A35, 'Tong_hop_HQNV_2026Q1_2026-06-23'!$A:$A, "="&amp;$AD$2)</f>
        <v>0</v>
      </c>
      <c r="AE35" s="7">
        <f>SUMIFS('Tong_hop_HQNV_2026Q1_2026-06-23'!$L:$L,'Tong_hop_HQNV_2026Q1_2026-06-23'!$B:$B, "="&amp;'CHECK_DT-BT'!A35, 'Tong_hop_HQNV_2026Q1_2026-06-23'!$A:$A, "="&amp;$AE$2)</f>
        <v>155956296</v>
      </c>
      <c r="AF35" s="7">
        <f>SUMIFS('Tong_hop_HQNV_2026Q1_2026-06-23'!$L:$L,'Tong_hop_HQNV_2026Q1_2026-06-23'!$B:$B, "="&amp;'CHECK_DT-BT'!A35, 'Tong_hop_HQNV_2026Q1_2026-06-23'!$A:$A, "="&amp;$AF$2)</f>
        <v>0</v>
      </c>
      <c r="AG35" s="7">
        <f>SUMIFS('Tong_hop_HQNV_2026Q1_2026-06-23'!$L:$L,'Tong_hop_HQNV_2026Q1_2026-06-23'!$B:$B, "="&amp;'CHECK_DT-BT'!A35, 'Tong_hop_HQNV_2026Q1_2026-06-23'!$A:$A, "="&amp;$AG$2)</f>
        <v>0</v>
      </c>
      <c r="AH35" s="7">
        <f>SUMIFS('Tong_hop_HQNV_2026Q1_2026-06-23'!$L:$L,'Tong_hop_HQNV_2026Q1_2026-06-23'!$B:$B, "="&amp;'CHECK_DT-BT'!A35, 'Tong_hop_HQNV_2026Q1_2026-06-23'!$A:$A, "="&amp;$AH$2)</f>
        <v>0</v>
      </c>
      <c r="AI35" s="7">
        <f>SUMIFS('Tong_hop_HQNV_2026Q1_2026-06-23'!$L:$L,'Tong_hop_HQNV_2026Q1_2026-06-23'!$B:$B, "="&amp;'CHECK_DT-BT'!A35, 'Tong_hop_HQNV_2026Q1_2026-06-23'!$A:$A, "="&amp;$AI$2)</f>
        <v>0</v>
      </c>
      <c r="AJ35" s="7">
        <f t="shared" si="6"/>
        <v>4414077593</v>
      </c>
      <c r="AK35" s="7">
        <f t="shared" si="7"/>
        <v>853263796</v>
      </c>
      <c r="AL35" s="7">
        <f>SUMIFS('HQ1'!$D:$D,'HQ1'!$A:$A, "="&amp;'CHECK_DT-BT'!C35, 'HQ1'!$B:$B, "Total")</f>
        <v>4414077593</v>
      </c>
      <c r="AM35" s="7">
        <f>SUMIFS('HQ2'!$J:$J,'HQ2'!$A:$A, "="&amp;'CHECK_DT-BT'!C35, 'HQ2'!$B:$B, "Total")</f>
        <v>853263796</v>
      </c>
      <c r="AN35" s="24">
        <f t="shared" si="8"/>
        <v>0</v>
      </c>
      <c r="AO35" s="24">
        <f t="shared" si="9"/>
        <v>0</v>
      </c>
    </row>
    <row r="36" spans="1:41" x14ac:dyDescent="0.25">
      <c r="A36" s="9" t="s">
        <v>316</v>
      </c>
      <c r="B36" t="s">
        <v>174</v>
      </c>
      <c r="C36" t="s">
        <v>87</v>
      </c>
      <c r="D36" s="7">
        <f>SUMIFS('Tong_hop_HQNV_2026Q1_2026-06-23'!$K:$K,'Tong_hop_HQNV_2026Q1_2026-06-23'!$A:$A,"="&amp;'CHECK_DT-BT'!$D$2,'Tong_hop_HQNV_2026Q1_2026-06-23'!$B:$B, "="&amp;'CHECK_DT-BT'!A36)</f>
        <v>4244307400</v>
      </c>
      <c r="E36" s="7">
        <f>SUMIFS('Tong_hop_HQNV_2026Q1_2026-06-23'!$K:$K,'Tong_hop_HQNV_2026Q1_2026-06-23'!$A:$A,"="&amp;'CHECK_DT-BT'!$E$2,'Tong_hop_HQNV_2026Q1_2026-06-23'!$B:$B, "="&amp;'CHECK_DT-BT'!A36)</f>
        <v>168983400</v>
      </c>
      <c r="F36" s="7">
        <f>SUMIFS('Tong_hop_HQNV_2026Q1_2026-06-23'!$K:$K,'Tong_hop_HQNV_2026Q1_2026-06-23'!$A:$A,"="&amp;'CHECK_DT-BT'!$F$2,'Tong_hop_HQNV_2026Q1_2026-06-23'!$B:$B, "="&amp;'CHECK_DT-BT'!A36)</f>
        <v>5666478251</v>
      </c>
      <c r="G36" s="7">
        <f>SUMIFS('Tong_hop_HQNV_2026Q1_2026-06-23'!$K:$K,'Tong_hop_HQNV_2026Q1_2026-06-23'!$A:$A,"="&amp;'CHECK_DT-BT'!$G$2,'Tong_hop_HQNV_2026Q1_2026-06-23'!$B:$B, "="&amp;'CHECK_DT-BT'!A36)</f>
        <v>591047300</v>
      </c>
      <c r="H36" s="7">
        <f>SUMIFS('Tong_hop_HQNV_2026Q1_2026-06-23'!$K:$K,'Tong_hop_HQNV_2026Q1_2026-06-23'!$A:$A,"="&amp;$H$2,'Tong_hop_HQNV_2026Q1_2026-06-23'!$B:$B, "="&amp;'CHECK_DT-BT'!A36)</f>
        <v>479701445</v>
      </c>
      <c r="I36" s="7">
        <f>SUMIFS('Tong_hop_HQNV_2026Q1_2026-06-23'!$K:$K,'Tong_hop_HQNV_2026Q1_2026-06-23'!$A:$A,"="&amp;$I$2,'Tong_hop_HQNV_2026Q1_2026-06-23'!$B:$B, "="&amp;'CHECK_DT-BT'!A36)</f>
        <v>0</v>
      </c>
      <c r="J36" s="7">
        <f>SUMIFS('Tong_hop_HQNV_2026Q1_2026-06-23'!$K:$K,'Tong_hop_HQNV_2026Q1_2026-06-23'!$A:$A,"="&amp;$J$2,'Tong_hop_HQNV_2026Q1_2026-06-23'!$B:$B, "="&amp;'CHECK_DT-BT'!A36)</f>
        <v>0</v>
      </c>
      <c r="K36" s="7">
        <f>SUMIFS('Tong_hop_HQNV_2026Q1_2026-06-23'!$K:$K,'Tong_hop_HQNV_2026Q1_2026-06-23'!$A:$A,"="&amp;$K$2,'Tong_hop_HQNV_2026Q1_2026-06-23'!$B:$B, "="&amp;'CHECK_DT-BT'!A36)</f>
        <v>265346887</v>
      </c>
      <c r="L36" s="7">
        <f>SUMIFS('Tong_hop_HQNV_2026Q1_2026-06-23'!$K:$K,'Tong_hop_HQNV_2026Q1_2026-06-23'!$A:$A,"="&amp;$L$2,'Tong_hop_HQNV_2026Q1_2026-06-23'!$B:$B, "="&amp;'CHECK_DT-BT'!A36)</f>
        <v>1918255435</v>
      </c>
      <c r="M36" s="7">
        <f>SUMIFS('Tong_hop_HQNV_2026Q1_2026-06-23'!$K:$K,'Tong_hop_HQNV_2026Q1_2026-06-23'!$A:$A,"="&amp;$M$2,'Tong_hop_HQNV_2026Q1_2026-06-23'!$B:$B, "="&amp;'CHECK_DT-BT'!A36)</f>
        <v>261463836</v>
      </c>
      <c r="N36" s="7">
        <f>SUMIFS('Tong_hop_HQNV_2026Q1_2026-06-23'!$K:$K,'Tong_hop_HQNV_2026Q1_2026-06-23'!$A:$A,"="&amp;$N$2,'Tong_hop_HQNV_2026Q1_2026-06-23'!$B:$B, "="&amp;'CHECK_DT-BT'!A36)</f>
        <v>146613090</v>
      </c>
      <c r="O36" s="7">
        <f>SUMIFS('Tong_hop_HQNV_2026Q1_2026-06-23'!$K:$K,'Tong_hop_HQNV_2026Q1_2026-06-23'!$A:$A,"="&amp;$O$2,'Tong_hop_HQNV_2026Q1_2026-06-23'!$B:$B, "="&amp;'CHECK_DT-BT'!A36)</f>
        <v>0</v>
      </c>
      <c r="P36" s="7">
        <f>SUMIFS('Tong_hop_HQNV_2026Q1_2026-06-23'!$K:$K,'Tong_hop_HQNV_2026Q1_2026-06-23'!$A:$A,"="&amp;$P$2,'Tong_hop_HQNV_2026Q1_2026-06-23'!$B:$B, "="&amp;'CHECK_DT-BT'!A36)</f>
        <v>0</v>
      </c>
      <c r="Q36" s="7">
        <f t="shared" si="2"/>
        <v>10670816351</v>
      </c>
      <c r="R36" s="7">
        <f t="shared" si="3"/>
        <v>3071380693</v>
      </c>
      <c r="S36" s="7">
        <f>SUMIFS('HQ1'!$C:$C,'HQ1'!$A:$A, "="&amp;'CHECK_DT-BT'!C36, 'HQ1'!$B:$B, "Total")</f>
        <v>10670816351</v>
      </c>
      <c r="T36" s="7">
        <f>SUMIFS('HQ2'!$C:$C,'HQ2'!$A:$A, "="&amp;'CHECK_DT-BT'!C36, 'HQ2'!$B:$B, "Total")</f>
        <v>3071380693</v>
      </c>
      <c r="U36" s="7">
        <f t="shared" si="4"/>
        <v>0</v>
      </c>
      <c r="V36" s="7">
        <f t="shared" si="5"/>
        <v>0</v>
      </c>
      <c r="W36" s="23">
        <f>SUMIFS('Tong_hop_HQNV_2026Q1_2026-06-23'!$L:$L,'Tong_hop_HQNV_2026Q1_2026-06-23'!$B:$B, "="&amp;'CHECK_DT-BT'!A36, 'Tong_hop_HQNV_2026Q1_2026-06-23'!$A:$A, "="&amp;'CHECK_DT-BT'!$W$2)</f>
        <v>6532654000</v>
      </c>
      <c r="X36" s="7">
        <f>SUMIFS('Tong_hop_HQNV_2026Q1_2026-06-23'!$L:$L,'Tong_hop_HQNV_2026Q1_2026-06-23'!$B:$B, "="&amp;'CHECK_DT-BT'!A36, 'Tong_hop_HQNV_2026Q1_2026-06-23'!$A:$A, "="&amp;'CHECK_DT-BT'!$X$2)</f>
        <v>0</v>
      </c>
      <c r="Y36" s="7">
        <f>SUMIFS('Tong_hop_HQNV_2026Q1_2026-06-23'!$L:$L,'Tong_hop_HQNV_2026Q1_2026-06-23'!$B:$B, "="&amp;'CHECK_DT-BT'!A36, 'Tong_hop_HQNV_2026Q1_2026-06-23'!$A:$A, "="&amp;'CHECK_DT-BT'!$Y$2)</f>
        <v>5281708603</v>
      </c>
      <c r="Z36" s="7">
        <f>SUMIFS('Tong_hop_HQNV_2026Q1_2026-06-23'!$L:$L,'Tong_hop_HQNV_2026Q1_2026-06-23'!$B:$B, "="&amp;'CHECK_DT-BT'!A36, 'Tong_hop_HQNV_2026Q1_2026-06-23'!$A:$A, "="&amp;'CHECK_DT-BT'!$Z$2)</f>
        <v>177768529</v>
      </c>
      <c r="AA36" s="7">
        <f>SUMIFS('Tong_hop_HQNV_2026Q1_2026-06-23'!$L:$L,'Tong_hop_HQNV_2026Q1_2026-06-23'!$B:$B, "="&amp;'CHECK_DT-BT'!A36, 'Tong_hop_HQNV_2026Q1_2026-06-23'!$A:$A, "="&amp;$AA$2)</f>
        <v>-24534902</v>
      </c>
      <c r="AB36" s="7">
        <f>SUMIFS('Tong_hop_HQNV_2026Q1_2026-06-23'!$L:$L,'Tong_hop_HQNV_2026Q1_2026-06-23'!$B:$B, "="&amp;'CHECK_DT-BT'!A36, 'Tong_hop_HQNV_2026Q1_2026-06-23'!$A:$A, "="&amp;$AB$2)</f>
        <v>0</v>
      </c>
      <c r="AC36" s="7">
        <f>SUMIFS('Tong_hop_HQNV_2026Q1_2026-06-23'!$L:$L,'Tong_hop_HQNV_2026Q1_2026-06-23'!$B:$B, "="&amp;'CHECK_DT-BT'!A36, 'Tong_hop_HQNV_2026Q1_2026-06-23'!$A:$A, "="&amp;$AC$2)</f>
        <v>0</v>
      </c>
      <c r="AD36" s="7">
        <f>SUMIFS('Tong_hop_HQNV_2026Q1_2026-06-23'!$L:$L,'Tong_hop_HQNV_2026Q1_2026-06-23'!$B:$B, "="&amp;'CHECK_DT-BT'!A36, 'Tong_hop_HQNV_2026Q1_2026-06-23'!$A:$A, "="&amp;$AD$2)</f>
        <v>0</v>
      </c>
      <c r="AE36" s="7">
        <f>SUMIFS('Tong_hop_HQNV_2026Q1_2026-06-23'!$L:$L,'Tong_hop_HQNV_2026Q1_2026-06-23'!$B:$B, "="&amp;'CHECK_DT-BT'!A36, 'Tong_hop_HQNV_2026Q1_2026-06-23'!$A:$A, "="&amp;$AE$2)</f>
        <v>44427102</v>
      </c>
      <c r="AF36" s="7">
        <f>SUMIFS('Tong_hop_HQNV_2026Q1_2026-06-23'!$L:$L,'Tong_hop_HQNV_2026Q1_2026-06-23'!$B:$B, "="&amp;'CHECK_DT-BT'!A36, 'Tong_hop_HQNV_2026Q1_2026-06-23'!$A:$A, "="&amp;$AF$2)</f>
        <v>0</v>
      </c>
      <c r="AG36" s="7">
        <f>SUMIFS('Tong_hop_HQNV_2026Q1_2026-06-23'!$L:$L,'Tong_hop_HQNV_2026Q1_2026-06-23'!$B:$B, "="&amp;'CHECK_DT-BT'!A36, 'Tong_hop_HQNV_2026Q1_2026-06-23'!$A:$A, "="&amp;$AG$2)</f>
        <v>0</v>
      </c>
      <c r="AH36" s="7">
        <f>SUMIFS('Tong_hop_HQNV_2026Q1_2026-06-23'!$L:$L,'Tong_hop_HQNV_2026Q1_2026-06-23'!$B:$B, "="&amp;'CHECK_DT-BT'!A36, 'Tong_hop_HQNV_2026Q1_2026-06-23'!$A:$A, "="&amp;$AH$2)</f>
        <v>0</v>
      </c>
      <c r="AI36" s="7">
        <f>SUMIFS('Tong_hop_HQNV_2026Q1_2026-06-23'!$L:$L,'Tong_hop_HQNV_2026Q1_2026-06-23'!$B:$B, "="&amp;'CHECK_DT-BT'!A36, 'Tong_hop_HQNV_2026Q1_2026-06-23'!$A:$A, "="&amp;$AI$2)</f>
        <v>0</v>
      </c>
      <c r="AJ36" s="7">
        <f t="shared" si="6"/>
        <v>11992131132</v>
      </c>
      <c r="AK36" s="7">
        <f t="shared" si="7"/>
        <v>19892200</v>
      </c>
      <c r="AL36" s="7">
        <f>SUMIFS('HQ1'!$D:$D,'HQ1'!$A:$A, "="&amp;'CHECK_DT-BT'!C36, 'HQ1'!$B:$B, "Total")</f>
        <v>11992131132</v>
      </c>
      <c r="AM36" s="7">
        <f>SUMIFS('HQ2'!$J:$J,'HQ2'!$A:$A, "="&amp;'CHECK_DT-BT'!C36, 'HQ2'!$B:$B, "Total")</f>
        <v>19892200</v>
      </c>
      <c r="AN36" s="24">
        <f t="shared" si="8"/>
        <v>0</v>
      </c>
      <c r="AO36" s="24">
        <f t="shared" si="9"/>
        <v>0</v>
      </c>
    </row>
    <row r="37" spans="1:41" x14ac:dyDescent="0.25">
      <c r="A37" s="9" t="s">
        <v>317</v>
      </c>
      <c r="B37" t="s">
        <v>175</v>
      </c>
      <c r="C37" t="s">
        <v>47</v>
      </c>
      <c r="D37" s="7">
        <f>SUMIFS('Tong_hop_HQNV_2026Q1_2026-06-23'!$K:$K,'Tong_hop_HQNV_2026Q1_2026-06-23'!$A:$A,"="&amp;'CHECK_DT-BT'!$D$2,'Tong_hop_HQNV_2026Q1_2026-06-23'!$B:$B, "="&amp;'CHECK_DT-BT'!A37)</f>
        <v>4863008856</v>
      </c>
      <c r="E37" s="7">
        <f>SUMIFS('Tong_hop_HQNV_2026Q1_2026-06-23'!$K:$K,'Tong_hop_HQNV_2026Q1_2026-06-23'!$A:$A,"="&amp;'CHECK_DT-BT'!$E$2,'Tong_hop_HQNV_2026Q1_2026-06-23'!$B:$B, "="&amp;'CHECK_DT-BT'!A37)</f>
        <v>137165140</v>
      </c>
      <c r="F37" s="7">
        <f>SUMIFS('Tong_hop_HQNV_2026Q1_2026-06-23'!$K:$K,'Tong_hop_HQNV_2026Q1_2026-06-23'!$A:$A,"="&amp;'CHECK_DT-BT'!$F$2,'Tong_hop_HQNV_2026Q1_2026-06-23'!$B:$B, "="&amp;'CHECK_DT-BT'!A37)</f>
        <v>6442755552</v>
      </c>
      <c r="G37" s="7">
        <f>SUMIFS('Tong_hop_HQNV_2026Q1_2026-06-23'!$K:$K,'Tong_hop_HQNV_2026Q1_2026-06-23'!$A:$A,"="&amp;'CHECK_DT-BT'!$G$2,'Tong_hop_HQNV_2026Q1_2026-06-23'!$B:$B, "="&amp;'CHECK_DT-BT'!A37)</f>
        <v>7821391985</v>
      </c>
      <c r="H37" s="7">
        <f>SUMIFS('Tong_hop_HQNV_2026Q1_2026-06-23'!$K:$K,'Tong_hop_HQNV_2026Q1_2026-06-23'!$A:$A,"="&amp;$H$2,'Tong_hop_HQNV_2026Q1_2026-06-23'!$B:$B, "="&amp;'CHECK_DT-BT'!A37)</f>
        <v>6741787112</v>
      </c>
      <c r="I37" s="7">
        <f>SUMIFS('Tong_hop_HQNV_2026Q1_2026-06-23'!$K:$K,'Tong_hop_HQNV_2026Q1_2026-06-23'!$A:$A,"="&amp;$I$2,'Tong_hop_HQNV_2026Q1_2026-06-23'!$B:$B, "="&amp;'CHECK_DT-BT'!A37)</f>
        <v>60985550952</v>
      </c>
      <c r="J37" s="7">
        <f>SUMIFS('Tong_hop_HQNV_2026Q1_2026-06-23'!$K:$K,'Tong_hop_HQNV_2026Q1_2026-06-23'!$A:$A,"="&amp;$J$2,'Tong_hop_HQNV_2026Q1_2026-06-23'!$B:$B, "="&amp;'CHECK_DT-BT'!A37)</f>
        <v>15706015634</v>
      </c>
      <c r="K37" s="7">
        <f>SUMIFS('Tong_hop_HQNV_2026Q1_2026-06-23'!$K:$K,'Tong_hop_HQNV_2026Q1_2026-06-23'!$A:$A,"="&amp;$K$2,'Tong_hop_HQNV_2026Q1_2026-06-23'!$B:$B, "="&amp;'CHECK_DT-BT'!A37)</f>
        <v>2291236287</v>
      </c>
      <c r="L37" s="7">
        <f>SUMIFS('Tong_hop_HQNV_2026Q1_2026-06-23'!$K:$K,'Tong_hop_HQNV_2026Q1_2026-06-23'!$A:$A,"="&amp;$L$2,'Tong_hop_HQNV_2026Q1_2026-06-23'!$B:$B, "="&amp;'CHECK_DT-BT'!A37)</f>
        <v>3792615206</v>
      </c>
      <c r="M37" s="7">
        <f>SUMIFS('Tong_hop_HQNV_2026Q1_2026-06-23'!$K:$K,'Tong_hop_HQNV_2026Q1_2026-06-23'!$A:$A,"="&amp;$M$2,'Tong_hop_HQNV_2026Q1_2026-06-23'!$B:$B, "="&amp;'CHECK_DT-BT'!A37)</f>
        <v>2553265019</v>
      </c>
      <c r="N37" s="7">
        <f>SUMIFS('Tong_hop_HQNV_2026Q1_2026-06-23'!$K:$K,'Tong_hop_HQNV_2026Q1_2026-06-23'!$A:$A,"="&amp;$N$2,'Tong_hop_HQNV_2026Q1_2026-06-23'!$B:$B, "="&amp;'CHECK_DT-BT'!A37)</f>
        <v>544914312</v>
      </c>
      <c r="O37" s="7">
        <f>SUMIFS('Tong_hop_HQNV_2026Q1_2026-06-23'!$K:$K,'Tong_hop_HQNV_2026Q1_2026-06-23'!$A:$A,"="&amp;$O$2,'Tong_hop_HQNV_2026Q1_2026-06-23'!$B:$B, "="&amp;'CHECK_DT-BT'!A37)</f>
        <v>0</v>
      </c>
      <c r="P37" s="7">
        <f>SUMIFS('Tong_hop_HQNV_2026Q1_2026-06-23'!$K:$K,'Tong_hop_HQNV_2026Q1_2026-06-23'!$A:$A,"="&amp;$P$2,'Tong_hop_HQNV_2026Q1_2026-06-23'!$B:$B, "="&amp;'CHECK_DT-BT'!A37)</f>
        <v>0</v>
      </c>
      <c r="Q37" s="7">
        <f t="shared" si="2"/>
        <v>19264321533</v>
      </c>
      <c r="R37" s="7">
        <f t="shared" si="3"/>
        <v>92615384522</v>
      </c>
      <c r="S37" s="7">
        <f>SUMIFS('HQ1'!$C:$C,'HQ1'!$A:$A, "="&amp;'CHECK_DT-BT'!C37, 'HQ1'!$B:$B, "Total")</f>
        <v>19264321533</v>
      </c>
      <c r="T37" s="7">
        <f>SUMIFS('HQ2'!$C:$C,'HQ2'!$A:$A, "="&amp;'CHECK_DT-BT'!C37, 'HQ2'!$B:$B, "Total")</f>
        <v>95631239628</v>
      </c>
      <c r="U37" s="7">
        <f t="shared" si="4"/>
        <v>0</v>
      </c>
      <c r="V37" s="7">
        <f t="shared" si="5"/>
        <v>-3015855106</v>
      </c>
      <c r="W37" s="23">
        <f>SUMIFS('Tong_hop_HQNV_2026Q1_2026-06-23'!$L:$L,'Tong_hop_HQNV_2026Q1_2026-06-23'!$B:$B, "="&amp;'CHECK_DT-BT'!A37, 'Tong_hop_HQNV_2026Q1_2026-06-23'!$A:$A, "="&amp;'CHECK_DT-BT'!$W$2)</f>
        <v>2951423398</v>
      </c>
      <c r="X37" s="7">
        <f>SUMIFS('Tong_hop_HQNV_2026Q1_2026-06-23'!$L:$L,'Tong_hop_HQNV_2026Q1_2026-06-23'!$B:$B, "="&amp;'CHECK_DT-BT'!A37, 'Tong_hop_HQNV_2026Q1_2026-06-23'!$A:$A, "="&amp;'CHECK_DT-BT'!$X$2)</f>
        <v>0</v>
      </c>
      <c r="Y37" s="7">
        <f>SUMIFS('Tong_hop_HQNV_2026Q1_2026-06-23'!$L:$L,'Tong_hop_HQNV_2026Q1_2026-06-23'!$B:$B, "="&amp;'CHECK_DT-BT'!A37, 'Tong_hop_HQNV_2026Q1_2026-06-23'!$A:$A, "="&amp;'CHECK_DT-BT'!$Y$2)</f>
        <v>3983628831</v>
      </c>
      <c r="Z37" s="7">
        <f>SUMIFS('Tong_hop_HQNV_2026Q1_2026-06-23'!$L:$L,'Tong_hop_HQNV_2026Q1_2026-06-23'!$B:$B, "="&amp;'CHECK_DT-BT'!A37, 'Tong_hop_HQNV_2026Q1_2026-06-23'!$A:$A, "="&amp;'CHECK_DT-BT'!$Z$2)</f>
        <v>2814662081</v>
      </c>
      <c r="AA37" s="7">
        <f>SUMIFS('Tong_hop_HQNV_2026Q1_2026-06-23'!$L:$L,'Tong_hop_HQNV_2026Q1_2026-06-23'!$B:$B, "="&amp;'CHECK_DT-BT'!A37, 'Tong_hop_HQNV_2026Q1_2026-06-23'!$A:$A, "="&amp;$AA$2)</f>
        <v>1511198960</v>
      </c>
      <c r="AB37" s="7">
        <f>SUMIFS('Tong_hop_HQNV_2026Q1_2026-06-23'!$L:$L,'Tong_hop_HQNV_2026Q1_2026-06-23'!$B:$B, "="&amp;'CHECK_DT-BT'!A37, 'Tong_hop_HQNV_2026Q1_2026-06-23'!$A:$A, "="&amp;$AB$2)</f>
        <v>16525591421</v>
      </c>
      <c r="AC37" s="7">
        <f>SUMIFS('Tong_hop_HQNV_2026Q1_2026-06-23'!$L:$L,'Tong_hop_HQNV_2026Q1_2026-06-23'!$B:$B, "="&amp;'CHECK_DT-BT'!A37, 'Tong_hop_HQNV_2026Q1_2026-06-23'!$A:$A, "="&amp;$AC$2)</f>
        <v>7447941515</v>
      </c>
      <c r="AD37" s="7">
        <f>SUMIFS('Tong_hop_HQNV_2026Q1_2026-06-23'!$L:$L,'Tong_hop_HQNV_2026Q1_2026-06-23'!$B:$B, "="&amp;'CHECK_DT-BT'!A37, 'Tong_hop_HQNV_2026Q1_2026-06-23'!$A:$A, "="&amp;$AD$2)</f>
        <v>178633174</v>
      </c>
      <c r="AE37" s="7">
        <f>SUMIFS('Tong_hop_HQNV_2026Q1_2026-06-23'!$L:$L,'Tong_hop_HQNV_2026Q1_2026-06-23'!$B:$B, "="&amp;'CHECK_DT-BT'!A37, 'Tong_hop_HQNV_2026Q1_2026-06-23'!$A:$A, "="&amp;$AE$2)</f>
        <v>360596642</v>
      </c>
      <c r="AF37" s="7">
        <f>SUMIFS('Tong_hop_HQNV_2026Q1_2026-06-23'!$L:$L,'Tong_hop_HQNV_2026Q1_2026-06-23'!$B:$B, "="&amp;'CHECK_DT-BT'!A37, 'Tong_hop_HQNV_2026Q1_2026-06-23'!$A:$A, "="&amp;$AF$2)</f>
        <v>36416097</v>
      </c>
      <c r="AG37" s="7">
        <f>SUMIFS('Tong_hop_HQNV_2026Q1_2026-06-23'!$L:$L,'Tong_hop_HQNV_2026Q1_2026-06-23'!$B:$B, "="&amp;'CHECK_DT-BT'!A37, 'Tong_hop_HQNV_2026Q1_2026-06-23'!$A:$A, "="&amp;$AG$2)</f>
        <v>711155841</v>
      </c>
      <c r="AH37" s="7">
        <f>SUMIFS('Tong_hop_HQNV_2026Q1_2026-06-23'!$L:$L,'Tong_hop_HQNV_2026Q1_2026-06-23'!$B:$B, "="&amp;'CHECK_DT-BT'!A37, 'Tong_hop_HQNV_2026Q1_2026-06-23'!$A:$A, "="&amp;$AH$2)</f>
        <v>0</v>
      </c>
      <c r="AI37" s="7">
        <f>SUMIFS('Tong_hop_HQNV_2026Q1_2026-06-23'!$L:$L,'Tong_hop_HQNV_2026Q1_2026-06-23'!$B:$B, "="&amp;'CHECK_DT-BT'!A37, 'Tong_hop_HQNV_2026Q1_2026-06-23'!$A:$A, "="&amp;$AI$2)</f>
        <v>0</v>
      </c>
      <c r="AJ37" s="7">
        <f t="shared" si="6"/>
        <v>9749714310</v>
      </c>
      <c r="AK37" s="7">
        <f t="shared" si="7"/>
        <v>26771533650</v>
      </c>
      <c r="AL37" s="7">
        <f>SUMIFS('HQ1'!$D:$D,'HQ1'!$A:$A, "="&amp;'CHECK_DT-BT'!C37, 'HQ1'!$B:$B, "Total")</f>
        <v>9749714310</v>
      </c>
      <c r="AM37" s="7">
        <f>SUMIFS('HQ2'!$J:$J,'HQ2'!$A:$A, "="&amp;'CHECK_DT-BT'!C37, 'HQ2'!$B:$B, "Total")</f>
        <v>26771534050</v>
      </c>
      <c r="AN37" s="24">
        <f t="shared" si="8"/>
        <v>0</v>
      </c>
      <c r="AO37" s="24">
        <f t="shared" si="9"/>
        <v>-400</v>
      </c>
    </row>
    <row r="38" spans="1:41" x14ac:dyDescent="0.25">
      <c r="A38" s="9" t="s">
        <v>318</v>
      </c>
      <c r="B38" t="s">
        <v>176</v>
      </c>
      <c r="C38" t="s">
        <v>113</v>
      </c>
      <c r="D38" s="7">
        <f>SUMIFS('Tong_hop_HQNV_2026Q1_2026-06-23'!$K:$K,'Tong_hop_HQNV_2026Q1_2026-06-23'!$A:$A,"="&amp;'CHECK_DT-BT'!$D$2,'Tong_hop_HQNV_2026Q1_2026-06-23'!$B:$B, "="&amp;'CHECK_DT-BT'!A38)</f>
        <v>1503109467</v>
      </c>
      <c r="E38" s="7">
        <f>SUMIFS('Tong_hop_HQNV_2026Q1_2026-06-23'!$K:$K,'Tong_hop_HQNV_2026Q1_2026-06-23'!$A:$A,"="&amp;'CHECK_DT-BT'!$E$2,'Tong_hop_HQNV_2026Q1_2026-06-23'!$B:$B, "="&amp;'CHECK_DT-BT'!A38)</f>
        <v>2406600</v>
      </c>
      <c r="F38" s="7">
        <f>SUMIFS('Tong_hop_HQNV_2026Q1_2026-06-23'!$K:$K,'Tong_hop_HQNV_2026Q1_2026-06-23'!$A:$A,"="&amp;'CHECK_DT-BT'!$F$2,'Tong_hop_HQNV_2026Q1_2026-06-23'!$B:$B, "="&amp;'CHECK_DT-BT'!A38)</f>
        <v>3682246970</v>
      </c>
      <c r="G38" s="7">
        <f>SUMIFS('Tong_hop_HQNV_2026Q1_2026-06-23'!$K:$K,'Tong_hop_HQNV_2026Q1_2026-06-23'!$A:$A,"="&amp;'CHECK_DT-BT'!$G$2,'Tong_hop_HQNV_2026Q1_2026-06-23'!$B:$B, "="&amp;'CHECK_DT-BT'!A38)</f>
        <v>931876592</v>
      </c>
      <c r="H38" s="7">
        <f>SUMIFS('Tong_hop_HQNV_2026Q1_2026-06-23'!$K:$K,'Tong_hop_HQNV_2026Q1_2026-06-23'!$A:$A,"="&amp;$H$2,'Tong_hop_HQNV_2026Q1_2026-06-23'!$B:$B, "="&amp;'CHECK_DT-BT'!A38)</f>
        <v>22420229</v>
      </c>
      <c r="I38" s="7">
        <f>SUMIFS('Tong_hop_HQNV_2026Q1_2026-06-23'!$K:$K,'Tong_hop_HQNV_2026Q1_2026-06-23'!$A:$A,"="&amp;$I$2,'Tong_hop_HQNV_2026Q1_2026-06-23'!$B:$B, "="&amp;'CHECK_DT-BT'!A38)</f>
        <v>0</v>
      </c>
      <c r="J38" s="7">
        <f>SUMIFS('Tong_hop_HQNV_2026Q1_2026-06-23'!$K:$K,'Tong_hop_HQNV_2026Q1_2026-06-23'!$A:$A,"="&amp;$J$2,'Tong_hop_HQNV_2026Q1_2026-06-23'!$B:$B, "="&amp;'CHECK_DT-BT'!A38)</f>
        <v>0</v>
      </c>
      <c r="K38" s="7">
        <f>SUMIFS('Tong_hop_HQNV_2026Q1_2026-06-23'!$K:$K,'Tong_hop_HQNV_2026Q1_2026-06-23'!$A:$A,"="&amp;$K$2,'Tong_hop_HQNV_2026Q1_2026-06-23'!$B:$B, "="&amp;'CHECK_DT-BT'!A38)</f>
        <v>223246001</v>
      </c>
      <c r="L38" s="7">
        <f>SUMIFS('Tong_hop_HQNV_2026Q1_2026-06-23'!$K:$K,'Tong_hop_HQNV_2026Q1_2026-06-23'!$A:$A,"="&amp;$L$2,'Tong_hop_HQNV_2026Q1_2026-06-23'!$B:$B, "="&amp;'CHECK_DT-BT'!A38)</f>
        <v>608415839</v>
      </c>
      <c r="M38" s="7">
        <f>SUMIFS('Tong_hop_HQNV_2026Q1_2026-06-23'!$K:$K,'Tong_hop_HQNV_2026Q1_2026-06-23'!$A:$A,"="&amp;$M$2,'Tong_hop_HQNV_2026Q1_2026-06-23'!$B:$B, "="&amp;'CHECK_DT-BT'!A38)</f>
        <v>82398181</v>
      </c>
      <c r="N38" s="7">
        <f>SUMIFS('Tong_hop_HQNV_2026Q1_2026-06-23'!$K:$K,'Tong_hop_HQNV_2026Q1_2026-06-23'!$A:$A,"="&amp;$N$2,'Tong_hop_HQNV_2026Q1_2026-06-23'!$B:$B, "="&amp;'CHECK_DT-BT'!A38)</f>
        <v>40577454</v>
      </c>
      <c r="O38" s="7">
        <f>SUMIFS('Tong_hop_HQNV_2026Q1_2026-06-23'!$K:$K,'Tong_hop_HQNV_2026Q1_2026-06-23'!$A:$A,"="&amp;$O$2,'Tong_hop_HQNV_2026Q1_2026-06-23'!$B:$B, "="&amp;'CHECK_DT-BT'!A38)</f>
        <v>0</v>
      </c>
      <c r="P38" s="7">
        <f>SUMIFS('Tong_hop_HQNV_2026Q1_2026-06-23'!$K:$K,'Tong_hop_HQNV_2026Q1_2026-06-23'!$A:$A,"="&amp;$P$2,'Tong_hop_HQNV_2026Q1_2026-06-23'!$B:$B, "="&amp;'CHECK_DT-BT'!A38)</f>
        <v>0</v>
      </c>
      <c r="Q38" s="7">
        <f t="shared" si="2"/>
        <v>6119639629</v>
      </c>
      <c r="R38" s="7">
        <f t="shared" si="3"/>
        <v>977057704</v>
      </c>
      <c r="S38" s="7">
        <f>SUMIFS('HQ1'!$C:$C,'HQ1'!$A:$A, "="&amp;'CHECK_DT-BT'!C38, 'HQ1'!$B:$B, "Total")</f>
        <v>6119639629</v>
      </c>
      <c r="T38" s="7">
        <f>SUMIFS('HQ2'!$C:$C,'HQ2'!$A:$A, "="&amp;'CHECK_DT-BT'!C38, 'HQ2'!$B:$B, "Total")</f>
        <v>977057704</v>
      </c>
      <c r="U38" s="7">
        <f t="shared" si="4"/>
        <v>0</v>
      </c>
      <c r="V38" s="7">
        <f t="shared" si="5"/>
        <v>0</v>
      </c>
      <c r="W38" s="23">
        <f>SUMIFS('Tong_hop_HQNV_2026Q1_2026-06-23'!$L:$L,'Tong_hop_HQNV_2026Q1_2026-06-23'!$B:$B, "="&amp;'CHECK_DT-BT'!A38, 'Tong_hop_HQNV_2026Q1_2026-06-23'!$A:$A, "="&amp;'CHECK_DT-BT'!$W$2)</f>
        <v>2492097216</v>
      </c>
      <c r="X38" s="7">
        <f>SUMIFS('Tong_hop_HQNV_2026Q1_2026-06-23'!$L:$L,'Tong_hop_HQNV_2026Q1_2026-06-23'!$B:$B, "="&amp;'CHECK_DT-BT'!A38, 'Tong_hop_HQNV_2026Q1_2026-06-23'!$A:$A, "="&amp;'CHECK_DT-BT'!$X$2)</f>
        <v>0</v>
      </c>
      <c r="Y38" s="7">
        <f>SUMIFS('Tong_hop_HQNV_2026Q1_2026-06-23'!$L:$L,'Tong_hop_HQNV_2026Q1_2026-06-23'!$B:$B, "="&amp;'CHECK_DT-BT'!A38, 'Tong_hop_HQNV_2026Q1_2026-06-23'!$A:$A, "="&amp;'CHECK_DT-BT'!$Y$2)</f>
        <v>1731150588</v>
      </c>
      <c r="Z38" s="7">
        <f>SUMIFS('Tong_hop_HQNV_2026Q1_2026-06-23'!$L:$L,'Tong_hop_HQNV_2026Q1_2026-06-23'!$B:$B, "="&amp;'CHECK_DT-BT'!A38, 'Tong_hop_HQNV_2026Q1_2026-06-23'!$A:$A, "="&amp;'CHECK_DT-BT'!$Z$2)</f>
        <v>252987915</v>
      </c>
      <c r="AA38" s="7">
        <f>SUMIFS('Tong_hop_HQNV_2026Q1_2026-06-23'!$L:$L,'Tong_hop_HQNV_2026Q1_2026-06-23'!$B:$B, "="&amp;'CHECK_DT-BT'!A38, 'Tong_hop_HQNV_2026Q1_2026-06-23'!$A:$A, "="&amp;$AA$2)</f>
        <v>0</v>
      </c>
      <c r="AB38" s="7">
        <f>SUMIFS('Tong_hop_HQNV_2026Q1_2026-06-23'!$L:$L,'Tong_hop_HQNV_2026Q1_2026-06-23'!$B:$B, "="&amp;'CHECK_DT-BT'!A38, 'Tong_hop_HQNV_2026Q1_2026-06-23'!$A:$A, "="&amp;$AB$2)</f>
        <v>0</v>
      </c>
      <c r="AC38" s="7">
        <f>SUMIFS('Tong_hop_HQNV_2026Q1_2026-06-23'!$L:$L,'Tong_hop_HQNV_2026Q1_2026-06-23'!$B:$B, "="&amp;'CHECK_DT-BT'!A38, 'Tong_hop_HQNV_2026Q1_2026-06-23'!$A:$A, "="&amp;$AC$2)</f>
        <v>0</v>
      </c>
      <c r="AD38" s="7">
        <f>SUMIFS('Tong_hop_HQNV_2026Q1_2026-06-23'!$L:$L,'Tong_hop_HQNV_2026Q1_2026-06-23'!$B:$B, "="&amp;'CHECK_DT-BT'!A38, 'Tong_hop_HQNV_2026Q1_2026-06-23'!$A:$A, "="&amp;$AD$2)</f>
        <v>55202375</v>
      </c>
      <c r="AE38" s="7">
        <f>SUMIFS('Tong_hop_HQNV_2026Q1_2026-06-23'!$L:$L,'Tong_hop_HQNV_2026Q1_2026-06-23'!$B:$B, "="&amp;'CHECK_DT-BT'!A38, 'Tong_hop_HQNV_2026Q1_2026-06-23'!$A:$A, "="&amp;$AE$2)</f>
        <v>0</v>
      </c>
      <c r="AF38" s="7">
        <f>SUMIFS('Tong_hop_HQNV_2026Q1_2026-06-23'!$L:$L,'Tong_hop_HQNV_2026Q1_2026-06-23'!$B:$B, "="&amp;'CHECK_DT-BT'!A38, 'Tong_hop_HQNV_2026Q1_2026-06-23'!$A:$A, "="&amp;$AF$2)</f>
        <v>0</v>
      </c>
      <c r="AG38" s="7">
        <f>SUMIFS('Tong_hop_HQNV_2026Q1_2026-06-23'!$L:$L,'Tong_hop_HQNV_2026Q1_2026-06-23'!$B:$B, "="&amp;'CHECK_DT-BT'!A38, 'Tong_hop_HQNV_2026Q1_2026-06-23'!$A:$A, "="&amp;$AG$2)</f>
        <v>0</v>
      </c>
      <c r="AH38" s="7">
        <f>SUMIFS('Tong_hop_HQNV_2026Q1_2026-06-23'!$L:$L,'Tong_hop_HQNV_2026Q1_2026-06-23'!$B:$B, "="&amp;'CHECK_DT-BT'!A38, 'Tong_hop_HQNV_2026Q1_2026-06-23'!$A:$A, "="&amp;$AH$2)</f>
        <v>0</v>
      </c>
      <c r="AI38" s="7">
        <f>SUMIFS('Tong_hop_HQNV_2026Q1_2026-06-23'!$L:$L,'Tong_hop_HQNV_2026Q1_2026-06-23'!$B:$B, "="&amp;'CHECK_DT-BT'!A38, 'Tong_hop_HQNV_2026Q1_2026-06-23'!$A:$A, "="&amp;$AI$2)</f>
        <v>0</v>
      </c>
      <c r="AJ38" s="7">
        <f t="shared" si="6"/>
        <v>4476235719</v>
      </c>
      <c r="AK38" s="7">
        <f t="shared" si="7"/>
        <v>55202375</v>
      </c>
      <c r="AL38" s="7">
        <f>SUMIFS('HQ1'!$D:$D,'HQ1'!$A:$A, "="&amp;'CHECK_DT-BT'!C38, 'HQ1'!$B:$B, "Total")</f>
        <v>4476235719</v>
      </c>
      <c r="AM38" s="7">
        <f>SUMIFS('HQ2'!$J:$J,'HQ2'!$A:$A, "="&amp;'CHECK_DT-BT'!C38, 'HQ2'!$B:$B, "Total")</f>
        <v>55202375</v>
      </c>
      <c r="AN38" s="24">
        <f t="shared" si="8"/>
        <v>0</v>
      </c>
      <c r="AO38" s="24">
        <f t="shared" si="9"/>
        <v>0</v>
      </c>
    </row>
    <row r="39" spans="1:41" x14ac:dyDescent="0.25">
      <c r="A39" s="9" t="s">
        <v>319</v>
      </c>
      <c r="B39" t="s">
        <v>177</v>
      </c>
      <c r="C39" t="s">
        <v>122</v>
      </c>
      <c r="D39" s="7">
        <f>SUMIFS('Tong_hop_HQNV_2026Q1_2026-06-23'!$K:$K,'Tong_hop_HQNV_2026Q1_2026-06-23'!$A:$A,"="&amp;'CHECK_DT-BT'!$D$2,'Tong_hop_HQNV_2026Q1_2026-06-23'!$B:$B, "="&amp;'CHECK_DT-BT'!A39)</f>
        <v>958543260</v>
      </c>
      <c r="E39" s="7">
        <f>SUMIFS('Tong_hop_HQNV_2026Q1_2026-06-23'!$K:$K,'Tong_hop_HQNV_2026Q1_2026-06-23'!$A:$A,"="&amp;'CHECK_DT-BT'!$E$2,'Tong_hop_HQNV_2026Q1_2026-06-23'!$B:$B, "="&amp;'CHECK_DT-BT'!A39)</f>
        <v>336264500</v>
      </c>
      <c r="F39" s="7">
        <f>SUMIFS('Tong_hop_HQNV_2026Q1_2026-06-23'!$K:$K,'Tong_hop_HQNV_2026Q1_2026-06-23'!$A:$A,"="&amp;'CHECK_DT-BT'!$F$2,'Tong_hop_HQNV_2026Q1_2026-06-23'!$B:$B, "="&amp;'CHECK_DT-BT'!A39)</f>
        <v>2641324485</v>
      </c>
      <c r="G39" s="7">
        <f>SUMIFS('Tong_hop_HQNV_2026Q1_2026-06-23'!$K:$K,'Tong_hop_HQNV_2026Q1_2026-06-23'!$A:$A,"="&amp;'CHECK_DT-BT'!$G$2,'Tong_hop_HQNV_2026Q1_2026-06-23'!$B:$B, "="&amp;'CHECK_DT-BT'!A39)</f>
        <v>397167182</v>
      </c>
      <c r="H39" s="7">
        <f>SUMIFS('Tong_hop_HQNV_2026Q1_2026-06-23'!$K:$K,'Tong_hop_HQNV_2026Q1_2026-06-23'!$A:$A,"="&amp;$H$2,'Tong_hop_HQNV_2026Q1_2026-06-23'!$B:$B, "="&amp;'CHECK_DT-BT'!A39)</f>
        <v>14804100</v>
      </c>
      <c r="I39" s="7">
        <f>SUMIFS('Tong_hop_HQNV_2026Q1_2026-06-23'!$K:$K,'Tong_hop_HQNV_2026Q1_2026-06-23'!$A:$A,"="&amp;$I$2,'Tong_hop_HQNV_2026Q1_2026-06-23'!$B:$B, "="&amp;'CHECK_DT-BT'!A39)</f>
        <v>0</v>
      </c>
      <c r="J39" s="7">
        <f>SUMIFS('Tong_hop_HQNV_2026Q1_2026-06-23'!$K:$K,'Tong_hop_HQNV_2026Q1_2026-06-23'!$A:$A,"="&amp;$J$2,'Tong_hop_HQNV_2026Q1_2026-06-23'!$B:$B, "="&amp;'CHECK_DT-BT'!A39)</f>
        <v>0</v>
      </c>
      <c r="K39" s="7">
        <f>SUMIFS('Tong_hop_HQNV_2026Q1_2026-06-23'!$K:$K,'Tong_hop_HQNV_2026Q1_2026-06-23'!$A:$A,"="&amp;$K$2,'Tong_hop_HQNV_2026Q1_2026-06-23'!$B:$B, "="&amp;'CHECK_DT-BT'!A39)</f>
        <v>6653600</v>
      </c>
      <c r="L39" s="7">
        <f>SUMIFS('Tong_hop_HQNV_2026Q1_2026-06-23'!$K:$K,'Tong_hop_HQNV_2026Q1_2026-06-23'!$A:$A,"="&amp;$L$2,'Tong_hop_HQNV_2026Q1_2026-06-23'!$B:$B, "="&amp;'CHECK_DT-BT'!A39)</f>
        <v>302327203</v>
      </c>
      <c r="M39" s="7">
        <f>SUMIFS('Tong_hop_HQNV_2026Q1_2026-06-23'!$K:$K,'Tong_hop_HQNV_2026Q1_2026-06-23'!$A:$A,"="&amp;$M$2,'Tong_hop_HQNV_2026Q1_2026-06-23'!$B:$B, "="&amp;'CHECK_DT-BT'!A39)</f>
        <v>81379090</v>
      </c>
      <c r="N39" s="7">
        <f>SUMIFS('Tong_hop_HQNV_2026Q1_2026-06-23'!$K:$K,'Tong_hop_HQNV_2026Q1_2026-06-23'!$A:$A,"="&amp;$N$2,'Tong_hop_HQNV_2026Q1_2026-06-23'!$B:$B, "="&amp;'CHECK_DT-BT'!A39)</f>
        <v>0</v>
      </c>
      <c r="O39" s="7">
        <f>SUMIFS('Tong_hop_HQNV_2026Q1_2026-06-23'!$K:$K,'Tong_hop_HQNV_2026Q1_2026-06-23'!$A:$A,"="&amp;$O$2,'Tong_hop_HQNV_2026Q1_2026-06-23'!$B:$B, "="&amp;'CHECK_DT-BT'!A39)</f>
        <v>0</v>
      </c>
      <c r="P39" s="7">
        <f>SUMIFS('Tong_hop_HQNV_2026Q1_2026-06-23'!$K:$K,'Tong_hop_HQNV_2026Q1_2026-06-23'!$A:$A,"="&amp;$P$2,'Tong_hop_HQNV_2026Q1_2026-06-23'!$B:$B, "="&amp;'CHECK_DT-BT'!A39)</f>
        <v>0</v>
      </c>
      <c r="Q39" s="7">
        <f t="shared" si="2"/>
        <v>4333299427</v>
      </c>
      <c r="R39" s="7">
        <f t="shared" si="3"/>
        <v>405163993</v>
      </c>
      <c r="S39" s="7">
        <f>SUMIFS('HQ1'!$C:$C,'HQ1'!$A:$A, "="&amp;'CHECK_DT-BT'!C39, 'HQ1'!$B:$B, "Total")</f>
        <v>4333299427</v>
      </c>
      <c r="T39" s="7">
        <f>SUMIFS('HQ2'!$C:$C,'HQ2'!$A:$A, "="&amp;'CHECK_DT-BT'!C39, 'HQ2'!$B:$B, "Total")</f>
        <v>405163993</v>
      </c>
      <c r="U39" s="7">
        <f t="shared" si="4"/>
        <v>0</v>
      </c>
      <c r="V39" s="7">
        <f t="shared" si="5"/>
        <v>0</v>
      </c>
      <c r="W39" s="23">
        <f>SUMIFS('Tong_hop_HQNV_2026Q1_2026-06-23'!$L:$L,'Tong_hop_HQNV_2026Q1_2026-06-23'!$B:$B, "="&amp;'CHECK_DT-BT'!A39, 'Tong_hop_HQNV_2026Q1_2026-06-23'!$A:$A, "="&amp;'CHECK_DT-BT'!$W$2)</f>
        <v>664593000</v>
      </c>
      <c r="X39" s="7">
        <f>SUMIFS('Tong_hop_HQNV_2026Q1_2026-06-23'!$L:$L,'Tong_hop_HQNV_2026Q1_2026-06-23'!$B:$B, "="&amp;'CHECK_DT-BT'!A39, 'Tong_hop_HQNV_2026Q1_2026-06-23'!$A:$A, "="&amp;'CHECK_DT-BT'!$X$2)</f>
        <v>0</v>
      </c>
      <c r="Y39" s="7">
        <f>SUMIFS('Tong_hop_HQNV_2026Q1_2026-06-23'!$L:$L,'Tong_hop_HQNV_2026Q1_2026-06-23'!$B:$B, "="&amp;'CHECK_DT-BT'!A39, 'Tong_hop_HQNV_2026Q1_2026-06-23'!$A:$A, "="&amp;'CHECK_DT-BT'!$Y$2)</f>
        <v>374107469</v>
      </c>
      <c r="Z39" s="7">
        <f>SUMIFS('Tong_hop_HQNV_2026Q1_2026-06-23'!$L:$L,'Tong_hop_HQNV_2026Q1_2026-06-23'!$B:$B, "="&amp;'CHECK_DT-BT'!A39, 'Tong_hop_HQNV_2026Q1_2026-06-23'!$A:$A, "="&amp;'CHECK_DT-BT'!$Z$2)</f>
        <v>64070392</v>
      </c>
      <c r="AA39" s="7">
        <f>SUMIFS('Tong_hop_HQNV_2026Q1_2026-06-23'!$L:$L,'Tong_hop_HQNV_2026Q1_2026-06-23'!$B:$B, "="&amp;'CHECK_DT-BT'!A39, 'Tong_hop_HQNV_2026Q1_2026-06-23'!$A:$A, "="&amp;$AA$2)</f>
        <v>0</v>
      </c>
      <c r="AB39" s="7">
        <f>SUMIFS('Tong_hop_HQNV_2026Q1_2026-06-23'!$L:$L,'Tong_hop_HQNV_2026Q1_2026-06-23'!$B:$B, "="&amp;'CHECK_DT-BT'!A39, 'Tong_hop_HQNV_2026Q1_2026-06-23'!$A:$A, "="&amp;$AB$2)</f>
        <v>0</v>
      </c>
      <c r="AC39" s="7">
        <f>SUMIFS('Tong_hop_HQNV_2026Q1_2026-06-23'!$L:$L,'Tong_hop_HQNV_2026Q1_2026-06-23'!$B:$B, "="&amp;'CHECK_DT-BT'!A39, 'Tong_hop_HQNV_2026Q1_2026-06-23'!$A:$A, "="&amp;$AC$2)</f>
        <v>0</v>
      </c>
      <c r="AD39" s="7">
        <f>SUMIFS('Tong_hop_HQNV_2026Q1_2026-06-23'!$L:$L,'Tong_hop_HQNV_2026Q1_2026-06-23'!$B:$B, "="&amp;'CHECK_DT-BT'!A39, 'Tong_hop_HQNV_2026Q1_2026-06-23'!$A:$A, "="&amp;$AD$2)</f>
        <v>0</v>
      </c>
      <c r="AE39" s="7">
        <f>SUMIFS('Tong_hop_HQNV_2026Q1_2026-06-23'!$L:$L,'Tong_hop_HQNV_2026Q1_2026-06-23'!$B:$B, "="&amp;'CHECK_DT-BT'!A39, 'Tong_hop_HQNV_2026Q1_2026-06-23'!$A:$A, "="&amp;$AE$2)</f>
        <v>0</v>
      </c>
      <c r="AF39" s="7">
        <f>SUMIFS('Tong_hop_HQNV_2026Q1_2026-06-23'!$L:$L,'Tong_hop_HQNV_2026Q1_2026-06-23'!$B:$B, "="&amp;'CHECK_DT-BT'!A39, 'Tong_hop_HQNV_2026Q1_2026-06-23'!$A:$A, "="&amp;$AF$2)</f>
        <v>492827013</v>
      </c>
      <c r="AG39" s="7">
        <f>SUMIFS('Tong_hop_HQNV_2026Q1_2026-06-23'!$L:$L,'Tong_hop_HQNV_2026Q1_2026-06-23'!$B:$B, "="&amp;'CHECK_DT-BT'!A39, 'Tong_hop_HQNV_2026Q1_2026-06-23'!$A:$A, "="&amp;$AG$2)</f>
        <v>80500000</v>
      </c>
      <c r="AH39" s="7">
        <f>SUMIFS('Tong_hop_HQNV_2026Q1_2026-06-23'!$L:$L,'Tong_hop_HQNV_2026Q1_2026-06-23'!$B:$B, "="&amp;'CHECK_DT-BT'!A39, 'Tong_hop_HQNV_2026Q1_2026-06-23'!$A:$A, "="&amp;$AH$2)</f>
        <v>0</v>
      </c>
      <c r="AI39" s="7">
        <f>SUMIFS('Tong_hop_HQNV_2026Q1_2026-06-23'!$L:$L,'Tong_hop_HQNV_2026Q1_2026-06-23'!$B:$B, "="&amp;'CHECK_DT-BT'!A39, 'Tong_hop_HQNV_2026Q1_2026-06-23'!$A:$A, "="&amp;$AI$2)</f>
        <v>0</v>
      </c>
      <c r="AJ39" s="7">
        <f t="shared" si="6"/>
        <v>1102770861</v>
      </c>
      <c r="AK39" s="7">
        <f t="shared" si="7"/>
        <v>573327013</v>
      </c>
      <c r="AL39" s="7">
        <f>SUMIFS('HQ1'!$D:$D,'HQ1'!$A:$A, "="&amp;'CHECK_DT-BT'!C39, 'HQ1'!$B:$B, "Total")</f>
        <v>1102770861</v>
      </c>
      <c r="AM39" s="7">
        <f>SUMIFS('HQ2'!$J:$J,'HQ2'!$A:$A, "="&amp;'CHECK_DT-BT'!C39, 'HQ2'!$B:$B, "Total")</f>
        <v>573327013</v>
      </c>
      <c r="AN39" s="24">
        <f t="shared" si="8"/>
        <v>0</v>
      </c>
      <c r="AO39" s="24">
        <f t="shared" si="9"/>
        <v>0</v>
      </c>
    </row>
    <row r="40" spans="1:41" x14ac:dyDescent="0.25">
      <c r="A40" s="9" t="s">
        <v>320</v>
      </c>
      <c r="B40" t="s">
        <v>178</v>
      </c>
      <c r="C40" t="s">
        <v>72</v>
      </c>
      <c r="D40" s="7">
        <f>SUMIFS('Tong_hop_HQNV_2026Q1_2026-06-23'!$K:$K,'Tong_hop_HQNV_2026Q1_2026-06-23'!$A:$A,"="&amp;'CHECK_DT-BT'!$D$2,'Tong_hop_HQNV_2026Q1_2026-06-23'!$B:$B, "="&amp;'CHECK_DT-BT'!A40)</f>
        <v>3791483460</v>
      </c>
      <c r="E40" s="7">
        <f>SUMIFS('Tong_hop_HQNV_2026Q1_2026-06-23'!$K:$K,'Tong_hop_HQNV_2026Q1_2026-06-23'!$A:$A,"="&amp;'CHECK_DT-BT'!$E$2,'Tong_hop_HQNV_2026Q1_2026-06-23'!$B:$B, "="&amp;'CHECK_DT-BT'!A40)</f>
        <v>15704600</v>
      </c>
      <c r="F40" s="7">
        <f>SUMIFS('Tong_hop_HQNV_2026Q1_2026-06-23'!$K:$K,'Tong_hop_HQNV_2026Q1_2026-06-23'!$A:$A,"="&amp;'CHECK_DT-BT'!$F$2,'Tong_hop_HQNV_2026Q1_2026-06-23'!$B:$B, "="&amp;'CHECK_DT-BT'!A40)</f>
        <v>6225438511</v>
      </c>
      <c r="G40" s="7">
        <f>SUMIFS('Tong_hop_HQNV_2026Q1_2026-06-23'!$K:$K,'Tong_hop_HQNV_2026Q1_2026-06-23'!$A:$A,"="&amp;'CHECK_DT-BT'!$G$2,'Tong_hop_HQNV_2026Q1_2026-06-23'!$B:$B, "="&amp;'CHECK_DT-BT'!A40)</f>
        <v>859919590</v>
      </c>
      <c r="H40" s="7">
        <f>SUMIFS('Tong_hop_HQNV_2026Q1_2026-06-23'!$K:$K,'Tong_hop_HQNV_2026Q1_2026-06-23'!$A:$A,"="&amp;$H$2,'Tong_hop_HQNV_2026Q1_2026-06-23'!$B:$B, "="&amp;'CHECK_DT-BT'!A40)</f>
        <v>92217217</v>
      </c>
      <c r="I40" s="7">
        <f>SUMIFS('Tong_hop_HQNV_2026Q1_2026-06-23'!$K:$K,'Tong_hop_HQNV_2026Q1_2026-06-23'!$A:$A,"="&amp;$I$2,'Tong_hop_HQNV_2026Q1_2026-06-23'!$B:$B, "="&amp;'CHECK_DT-BT'!A40)</f>
        <v>-251062934</v>
      </c>
      <c r="J40" s="7">
        <f>SUMIFS('Tong_hop_HQNV_2026Q1_2026-06-23'!$K:$K,'Tong_hop_HQNV_2026Q1_2026-06-23'!$A:$A,"="&amp;$J$2,'Tong_hop_HQNV_2026Q1_2026-06-23'!$B:$B, "="&amp;'CHECK_DT-BT'!A40)</f>
        <v>0</v>
      </c>
      <c r="K40" s="7">
        <f>SUMIFS('Tong_hop_HQNV_2026Q1_2026-06-23'!$K:$K,'Tong_hop_HQNV_2026Q1_2026-06-23'!$A:$A,"="&amp;$K$2,'Tong_hop_HQNV_2026Q1_2026-06-23'!$B:$B, "="&amp;'CHECK_DT-BT'!A40)</f>
        <v>0</v>
      </c>
      <c r="L40" s="7">
        <f>SUMIFS('Tong_hop_HQNV_2026Q1_2026-06-23'!$K:$K,'Tong_hop_HQNV_2026Q1_2026-06-23'!$A:$A,"="&amp;$L$2,'Tong_hop_HQNV_2026Q1_2026-06-23'!$B:$B, "="&amp;'CHECK_DT-BT'!A40)</f>
        <v>6176825220</v>
      </c>
      <c r="M40" s="7">
        <f>SUMIFS('Tong_hop_HQNV_2026Q1_2026-06-23'!$K:$K,'Tong_hop_HQNV_2026Q1_2026-06-23'!$A:$A,"="&amp;$M$2,'Tong_hop_HQNV_2026Q1_2026-06-23'!$B:$B, "="&amp;'CHECK_DT-BT'!A40)</f>
        <v>676405265</v>
      </c>
      <c r="N40" s="7">
        <f>SUMIFS('Tong_hop_HQNV_2026Q1_2026-06-23'!$K:$K,'Tong_hop_HQNV_2026Q1_2026-06-23'!$A:$A,"="&amp;$N$2,'Tong_hop_HQNV_2026Q1_2026-06-23'!$B:$B, "="&amp;'CHECK_DT-BT'!A40)</f>
        <v>0</v>
      </c>
      <c r="O40" s="7">
        <f>SUMIFS('Tong_hop_HQNV_2026Q1_2026-06-23'!$K:$K,'Tong_hop_HQNV_2026Q1_2026-06-23'!$A:$A,"="&amp;$O$2,'Tong_hop_HQNV_2026Q1_2026-06-23'!$B:$B, "="&amp;'CHECK_DT-BT'!A40)</f>
        <v>0</v>
      </c>
      <c r="P40" s="7">
        <f>SUMIFS('Tong_hop_HQNV_2026Q1_2026-06-23'!$K:$K,'Tong_hop_HQNV_2026Q1_2026-06-23'!$A:$A,"="&amp;$P$2,'Tong_hop_HQNV_2026Q1_2026-06-23'!$B:$B, "="&amp;'CHECK_DT-BT'!A40)</f>
        <v>0</v>
      </c>
      <c r="Q40" s="7">
        <f t="shared" si="2"/>
        <v>10892546161</v>
      </c>
      <c r="R40" s="7">
        <f t="shared" si="3"/>
        <v>6694384768</v>
      </c>
      <c r="S40" s="7">
        <f>SUMIFS('HQ1'!$C:$C,'HQ1'!$A:$A, "="&amp;'CHECK_DT-BT'!C40, 'HQ1'!$B:$B, "Total")</f>
        <v>10892546161</v>
      </c>
      <c r="T40" s="7">
        <f>SUMIFS('HQ2'!$C:$C,'HQ2'!$A:$A, "="&amp;'CHECK_DT-BT'!C40, 'HQ2'!$B:$B, "Total")</f>
        <v>6694384768</v>
      </c>
      <c r="U40" s="7">
        <f t="shared" si="4"/>
        <v>0</v>
      </c>
      <c r="V40" s="7">
        <f t="shared" si="5"/>
        <v>0</v>
      </c>
      <c r="W40" s="23">
        <f>SUMIFS('Tong_hop_HQNV_2026Q1_2026-06-23'!$L:$L,'Tong_hop_HQNV_2026Q1_2026-06-23'!$B:$B, "="&amp;'CHECK_DT-BT'!A40, 'Tong_hop_HQNV_2026Q1_2026-06-23'!$A:$A, "="&amp;'CHECK_DT-BT'!$W$2)</f>
        <v>5430630000</v>
      </c>
      <c r="X40" s="7">
        <f>SUMIFS('Tong_hop_HQNV_2026Q1_2026-06-23'!$L:$L,'Tong_hop_HQNV_2026Q1_2026-06-23'!$B:$B, "="&amp;'CHECK_DT-BT'!A40, 'Tong_hop_HQNV_2026Q1_2026-06-23'!$A:$A, "="&amp;'CHECK_DT-BT'!$X$2)</f>
        <v>0</v>
      </c>
      <c r="Y40" s="7">
        <f>SUMIFS('Tong_hop_HQNV_2026Q1_2026-06-23'!$L:$L,'Tong_hop_HQNV_2026Q1_2026-06-23'!$B:$B, "="&amp;'CHECK_DT-BT'!A40, 'Tong_hop_HQNV_2026Q1_2026-06-23'!$A:$A, "="&amp;'CHECK_DT-BT'!$Y$2)</f>
        <v>4765648773</v>
      </c>
      <c r="Z40" s="7">
        <f>SUMIFS('Tong_hop_HQNV_2026Q1_2026-06-23'!$L:$L,'Tong_hop_HQNV_2026Q1_2026-06-23'!$B:$B, "="&amp;'CHECK_DT-BT'!A40, 'Tong_hop_HQNV_2026Q1_2026-06-23'!$A:$A, "="&amp;'CHECK_DT-BT'!$Z$2)</f>
        <v>208470305</v>
      </c>
      <c r="AA40" s="7">
        <f>SUMIFS('Tong_hop_HQNV_2026Q1_2026-06-23'!$L:$L,'Tong_hop_HQNV_2026Q1_2026-06-23'!$B:$B, "="&amp;'CHECK_DT-BT'!A40, 'Tong_hop_HQNV_2026Q1_2026-06-23'!$A:$A, "="&amp;$AA$2)</f>
        <v>0</v>
      </c>
      <c r="AB40" s="7">
        <f>SUMIFS('Tong_hop_HQNV_2026Q1_2026-06-23'!$L:$L,'Tong_hop_HQNV_2026Q1_2026-06-23'!$B:$B, "="&amp;'CHECK_DT-BT'!A40, 'Tong_hop_HQNV_2026Q1_2026-06-23'!$A:$A, "="&amp;$AB$2)</f>
        <v>0</v>
      </c>
      <c r="AC40" s="7">
        <f>SUMIFS('Tong_hop_HQNV_2026Q1_2026-06-23'!$L:$L,'Tong_hop_HQNV_2026Q1_2026-06-23'!$B:$B, "="&amp;'CHECK_DT-BT'!A40, 'Tong_hop_HQNV_2026Q1_2026-06-23'!$A:$A, "="&amp;$AC$2)</f>
        <v>0</v>
      </c>
      <c r="AD40" s="7">
        <f>SUMIFS('Tong_hop_HQNV_2026Q1_2026-06-23'!$L:$L,'Tong_hop_HQNV_2026Q1_2026-06-23'!$B:$B, "="&amp;'CHECK_DT-BT'!A40, 'Tong_hop_HQNV_2026Q1_2026-06-23'!$A:$A, "="&amp;$AD$2)</f>
        <v>0</v>
      </c>
      <c r="AE40" s="7">
        <f>SUMIFS('Tong_hop_HQNV_2026Q1_2026-06-23'!$L:$L,'Tong_hop_HQNV_2026Q1_2026-06-23'!$B:$B, "="&amp;'CHECK_DT-BT'!A40, 'Tong_hop_HQNV_2026Q1_2026-06-23'!$A:$A, "="&amp;$AE$2)</f>
        <v>0</v>
      </c>
      <c r="AF40" s="7">
        <f>SUMIFS('Tong_hop_HQNV_2026Q1_2026-06-23'!$L:$L,'Tong_hop_HQNV_2026Q1_2026-06-23'!$B:$B, "="&amp;'CHECK_DT-BT'!A40, 'Tong_hop_HQNV_2026Q1_2026-06-23'!$A:$A, "="&amp;$AF$2)</f>
        <v>0</v>
      </c>
      <c r="AG40" s="7">
        <f>SUMIFS('Tong_hop_HQNV_2026Q1_2026-06-23'!$L:$L,'Tong_hop_HQNV_2026Q1_2026-06-23'!$B:$B, "="&amp;'CHECK_DT-BT'!A40, 'Tong_hop_HQNV_2026Q1_2026-06-23'!$A:$A, "="&amp;$AG$2)</f>
        <v>0</v>
      </c>
      <c r="AH40" s="7">
        <f>SUMIFS('Tong_hop_HQNV_2026Q1_2026-06-23'!$L:$L,'Tong_hop_HQNV_2026Q1_2026-06-23'!$B:$B, "="&amp;'CHECK_DT-BT'!A40, 'Tong_hop_HQNV_2026Q1_2026-06-23'!$A:$A, "="&amp;$AH$2)</f>
        <v>0</v>
      </c>
      <c r="AI40" s="7">
        <f>SUMIFS('Tong_hop_HQNV_2026Q1_2026-06-23'!$L:$L,'Tong_hop_HQNV_2026Q1_2026-06-23'!$B:$B, "="&amp;'CHECK_DT-BT'!A40, 'Tong_hop_HQNV_2026Q1_2026-06-23'!$A:$A, "="&amp;$AI$2)</f>
        <v>0</v>
      </c>
      <c r="AJ40" s="7">
        <f t="shared" si="6"/>
        <v>10404749078</v>
      </c>
      <c r="AK40" s="7">
        <f t="shared" si="7"/>
        <v>0</v>
      </c>
      <c r="AL40" s="7">
        <f>SUMIFS('HQ1'!$D:$D,'HQ1'!$A:$A, "="&amp;'CHECK_DT-BT'!C40, 'HQ1'!$B:$B, "Total")</f>
        <v>10404749078</v>
      </c>
      <c r="AM40" s="7">
        <f>SUMIFS('HQ2'!$J:$J,'HQ2'!$A:$A, "="&amp;'CHECK_DT-BT'!C40, 'HQ2'!$B:$B, "Total")</f>
        <v>0</v>
      </c>
      <c r="AN40" s="24">
        <f t="shared" si="8"/>
        <v>0</v>
      </c>
      <c r="AO40" s="24">
        <f t="shared" si="9"/>
        <v>0</v>
      </c>
    </row>
    <row r="41" spans="1:41" x14ac:dyDescent="0.25">
      <c r="A41" s="9" t="s">
        <v>321</v>
      </c>
      <c r="B41" t="s">
        <v>179</v>
      </c>
      <c r="C41" t="s">
        <v>57</v>
      </c>
      <c r="D41" s="7">
        <f>SUMIFS('Tong_hop_HQNV_2026Q1_2026-06-23'!$K:$K,'Tong_hop_HQNV_2026Q1_2026-06-23'!$A:$A,"="&amp;'CHECK_DT-BT'!$D$2,'Tong_hop_HQNV_2026Q1_2026-06-23'!$B:$B, "="&amp;'CHECK_DT-BT'!A41)</f>
        <v>2628016185</v>
      </c>
      <c r="E41" s="7">
        <f>SUMIFS('Tong_hop_HQNV_2026Q1_2026-06-23'!$K:$K,'Tong_hop_HQNV_2026Q1_2026-06-23'!$A:$A,"="&amp;'CHECK_DT-BT'!$E$2,'Tong_hop_HQNV_2026Q1_2026-06-23'!$B:$B, "="&amp;'CHECK_DT-BT'!A41)</f>
        <v>199794000</v>
      </c>
      <c r="F41" s="7">
        <f>SUMIFS('Tong_hop_HQNV_2026Q1_2026-06-23'!$K:$K,'Tong_hop_HQNV_2026Q1_2026-06-23'!$A:$A,"="&amp;'CHECK_DT-BT'!$F$2,'Tong_hop_HQNV_2026Q1_2026-06-23'!$B:$B, "="&amp;'CHECK_DT-BT'!A41)</f>
        <v>12938654967</v>
      </c>
      <c r="G41" s="7">
        <f>SUMIFS('Tong_hop_HQNV_2026Q1_2026-06-23'!$K:$K,'Tong_hop_HQNV_2026Q1_2026-06-23'!$A:$A,"="&amp;'CHECK_DT-BT'!$G$2,'Tong_hop_HQNV_2026Q1_2026-06-23'!$B:$B, "="&amp;'CHECK_DT-BT'!A41)</f>
        <v>4197291338</v>
      </c>
      <c r="H41" s="7">
        <f>SUMIFS('Tong_hop_HQNV_2026Q1_2026-06-23'!$K:$K,'Tong_hop_HQNV_2026Q1_2026-06-23'!$A:$A,"="&amp;$H$2,'Tong_hop_HQNV_2026Q1_2026-06-23'!$B:$B, "="&amp;'CHECK_DT-BT'!A41)</f>
        <v>2751534172</v>
      </c>
      <c r="I41" s="7">
        <f>SUMIFS('Tong_hop_HQNV_2026Q1_2026-06-23'!$K:$K,'Tong_hop_HQNV_2026Q1_2026-06-23'!$A:$A,"="&amp;$I$2,'Tong_hop_HQNV_2026Q1_2026-06-23'!$B:$B, "="&amp;'CHECK_DT-BT'!A41)</f>
        <v>0</v>
      </c>
      <c r="J41" s="7">
        <f>SUMIFS('Tong_hop_HQNV_2026Q1_2026-06-23'!$K:$K,'Tong_hop_HQNV_2026Q1_2026-06-23'!$A:$A,"="&amp;$J$2,'Tong_hop_HQNV_2026Q1_2026-06-23'!$B:$B, "="&amp;'CHECK_DT-BT'!A41)</f>
        <v>0</v>
      </c>
      <c r="K41" s="7">
        <f>SUMIFS('Tong_hop_HQNV_2026Q1_2026-06-23'!$K:$K,'Tong_hop_HQNV_2026Q1_2026-06-23'!$A:$A,"="&amp;$K$2,'Tong_hop_HQNV_2026Q1_2026-06-23'!$B:$B, "="&amp;'CHECK_DT-BT'!A41)</f>
        <v>2261505191</v>
      </c>
      <c r="L41" s="7">
        <f>SUMIFS('Tong_hop_HQNV_2026Q1_2026-06-23'!$K:$K,'Tong_hop_HQNV_2026Q1_2026-06-23'!$A:$A,"="&amp;$L$2,'Tong_hop_HQNV_2026Q1_2026-06-23'!$B:$B, "="&amp;'CHECK_DT-BT'!A41)</f>
        <v>6496653845</v>
      </c>
      <c r="M41" s="7">
        <f>SUMIFS('Tong_hop_HQNV_2026Q1_2026-06-23'!$K:$K,'Tong_hop_HQNV_2026Q1_2026-06-23'!$A:$A,"="&amp;$M$2,'Tong_hop_HQNV_2026Q1_2026-06-23'!$B:$B, "="&amp;'CHECK_DT-BT'!A41)</f>
        <v>1538055900</v>
      </c>
      <c r="N41" s="7">
        <f>SUMIFS('Tong_hop_HQNV_2026Q1_2026-06-23'!$K:$K,'Tong_hop_HQNV_2026Q1_2026-06-23'!$A:$A,"="&amp;$N$2,'Tong_hop_HQNV_2026Q1_2026-06-23'!$B:$B, "="&amp;'CHECK_DT-BT'!A41)</f>
        <v>527997622</v>
      </c>
      <c r="O41" s="7">
        <f>SUMIFS('Tong_hop_HQNV_2026Q1_2026-06-23'!$K:$K,'Tong_hop_HQNV_2026Q1_2026-06-23'!$A:$A,"="&amp;$O$2,'Tong_hop_HQNV_2026Q1_2026-06-23'!$B:$B, "="&amp;'CHECK_DT-BT'!A41)</f>
        <v>0</v>
      </c>
      <c r="P41" s="7">
        <f>SUMIFS('Tong_hop_HQNV_2026Q1_2026-06-23'!$K:$K,'Tong_hop_HQNV_2026Q1_2026-06-23'!$A:$A,"="&amp;$P$2,'Tong_hop_HQNV_2026Q1_2026-06-23'!$B:$B, "="&amp;'CHECK_DT-BT'!A41)</f>
        <v>0</v>
      </c>
      <c r="Q41" s="7">
        <f t="shared" si="2"/>
        <v>19963756490</v>
      </c>
      <c r="R41" s="7">
        <f t="shared" si="3"/>
        <v>13575746730</v>
      </c>
      <c r="S41" s="7">
        <f>SUMIFS('HQ1'!$C:$C,'HQ1'!$A:$A, "="&amp;'CHECK_DT-BT'!C41, 'HQ1'!$B:$B, "Total")</f>
        <v>25378170888</v>
      </c>
      <c r="T41" s="7">
        <f>SUMIFS('HQ2'!$C:$C,'HQ2'!$A:$A, "="&amp;'CHECK_DT-BT'!C41, 'HQ2'!$B:$B, "Total")</f>
        <v>17201575431</v>
      </c>
      <c r="U41" s="7">
        <f t="shared" si="4"/>
        <v>-5414414398</v>
      </c>
      <c r="V41" s="7">
        <f t="shared" si="5"/>
        <v>-3625828701</v>
      </c>
      <c r="W41" s="23">
        <f>SUMIFS('Tong_hop_HQNV_2026Q1_2026-06-23'!$L:$L,'Tong_hop_HQNV_2026Q1_2026-06-23'!$B:$B, "="&amp;'CHECK_DT-BT'!A41, 'Tong_hop_HQNV_2026Q1_2026-06-23'!$A:$A, "="&amp;'CHECK_DT-BT'!$W$2)</f>
        <v>1408164716</v>
      </c>
      <c r="X41" s="7">
        <f>SUMIFS('Tong_hop_HQNV_2026Q1_2026-06-23'!$L:$L,'Tong_hop_HQNV_2026Q1_2026-06-23'!$B:$B, "="&amp;'CHECK_DT-BT'!A41, 'Tong_hop_HQNV_2026Q1_2026-06-23'!$A:$A, "="&amp;'CHECK_DT-BT'!$X$2)</f>
        <v>48574816</v>
      </c>
      <c r="Y41" s="7">
        <f>SUMIFS('Tong_hop_HQNV_2026Q1_2026-06-23'!$L:$L,'Tong_hop_HQNV_2026Q1_2026-06-23'!$B:$B, "="&amp;'CHECK_DT-BT'!A41, 'Tong_hop_HQNV_2026Q1_2026-06-23'!$A:$A, "="&amp;'CHECK_DT-BT'!$Y$2)</f>
        <v>9033901695</v>
      </c>
      <c r="Z41" s="7">
        <f>SUMIFS('Tong_hop_HQNV_2026Q1_2026-06-23'!$L:$L,'Tong_hop_HQNV_2026Q1_2026-06-23'!$B:$B, "="&amp;'CHECK_DT-BT'!A41, 'Tong_hop_HQNV_2026Q1_2026-06-23'!$A:$A, "="&amp;'CHECK_DT-BT'!$Z$2)</f>
        <v>2143799824</v>
      </c>
      <c r="AA41" s="7">
        <f>SUMIFS('Tong_hop_HQNV_2026Q1_2026-06-23'!$L:$L,'Tong_hop_HQNV_2026Q1_2026-06-23'!$B:$B, "="&amp;'CHECK_DT-BT'!A41, 'Tong_hop_HQNV_2026Q1_2026-06-23'!$A:$A, "="&amp;$AA$2)</f>
        <v>0</v>
      </c>
      <c r="AB41" s="7">
        <f>SUMIFS('Tong_hop_HQNV_2026Q1_2026-06-23'!$L:$L,'Tong_hop_HQNV_2026Q1_2026-06-23'!$B:$B, "="&amp;'CHECK_DT-BT'!A41, 'Tong_hop_HQNV_2026Q1_2026-06-23'!$A:$A, "="&amp;$AB$2)</f>
        <v>0</v>
      </c>
      <c r="AC41" s="7">
        <f>SUMIFS('Tong_hop_HQNV_2026Q1_2026-06-23'!$L:$L,'Tong_hop_HQNV_2026Q1_2026-06-23'!$B:$B, "="&amp;'CHECK_DT-BT'!A41, 'Tong_hop_HQNV_2026Q1_2026-06-23'!$A:$A, "="&amp;$AC$2)</f>
        <v>0</v>
      </c>
      <c r="AD41" s="7">
        <f>SUMIFS('Tong_hop_HQNV_2026Q1_2026-06-23'!$L:$L,'Tong_hop_HQNV_2026Q1_2026-06-23'!$B:$B, "="&amp;'CHECK_DT-BT'!A41, 'Tong_hop_HQNV_2026Q1_2026-06-23'!$A:$A, "="&amp;$AD$2)</f>
        <v>22642000</v>
      </c>
      <c r="AE41" s="7">
        <f>SUMIFS('Tong_hop_HQNV_2026Q1_2026-06-23'!$L:$L,'Tong_hop_HQNV_2026Q1_2026-06-23'!$B:$B, "="&amp;'CHECK_DT-BT'!A41, 'Tong_hop_HQNV_2026Q1_2026-06-23'!$A:$A, "="&amp;$AE$2)</f>
        <v>8825091836</v>
      </c>
      <c r="AF41" s="7">
        <f>SUMIFS('Tong_hop_HQNV_2026Q1_2026-06-23'!$L:$L,'Tong_hop_HQNV_2026Q1_2026-06-23'!$B:$B, "="&amp;'CHECK_DT-BT'!A41, 'Tong_hop_HQNV_2026Q1_2026-06-23'!$A:$A, "="&amp;$AF$2)</f>
        <v>0</v>
      </c>
      <c r="AG41" s="7">
        <f>SUMIFS('Tong_hop_HQNV_2026Q1_2026-06-23'!$L:$L,'Tong_hop_HQNV_2026Q1_2026-06-23'!$B:$B, "="&amp;'CHECK_DT-BT'!A41, 'Tong_hop_HQNV_2026Q1_2026-06-23'!$A:$A, "="&amp;$AG$2)</f>
        <v>0</v>
      </c>
      <c r="AH41" s="7">
        <f>SUMIFS('Tong_hop_HQNV_2026Q1_2026-06-23'!$L:$L,'Tong_hop_HQNV_2026Q1_2026-06-23'!$B:$B, "="&amp;'CHECK_DT-BT'!A41, 'Tong_hop_HQNV_2026Q1_2026-06-23'!$A:$A, "="&amp;$AH$2)</f>
        <v>0</v>
      </c>
      <c r="AI41" s="7">
        <f>SUMIFS('Tong_hop_HQNV_2026Q1_2026-06-23'!$L:$L,'Tong_hop_HQNV_2026Q1_2026-06-23'!$B:$B, "="&amp;'CHECK_DT-BT'!A41, 'Tong_hop_HQNV_2026Q1_2026-06-23'!$A:$A, "="&amp;$AI$2)</f>
        <v>0</v>
      </c>
      <c r="AJ41" s="7">
        <f t="shared" si="6"/>
        <v>12634441051</v>
      </c>
      <c r="AK41" s="7">
        <f t="shared" si="7"/>
        <v>8847733836</v>
      </c>
      <c r="AL41" s="7">
        <f>SUMIFS('HQ1'!$D:$D,'HQ1'!$A:$A, "="&amp;'CHECK_DT-BT'!C41, 'HQ1'!$B:$B, "Total")</f>
        <v>16250684113</v>
      </c>
      <c r="AM41" s="7">
        <f>SUMIFS('HQ2'!$J:$J,'HQ2'!$A:$A, "="&amp;'CHECK_DT-BT'!C41, 'HQ2'!$B:$B, "Total")</f>
        <v>12121127536</v>
      </c>
      <c r="AN41" s="24">
        <f t="shared" si="8"/>
        <v>-3616243062</v>
      </c>
      <c r="AO41" s="24">
        <f t="shared" si="9"/>
        <v>-3273393700</v>
      </c>
    </row>
    <row r="42" spans="1:41" x14ac:dyDescent="0.25">
      <c r="A42" s="9" t="s">
        <v>322</v>
      </c>
      <c r="B42" t="s">
        <v>180</v>
      </c>
      <c r="C42" t="s">
        <v>67</v>
      </c>
      <c r="D42" s="7">
        <f>SUMIFS('Tong_hop_HQNV_2026Q1_2026-06-23'!$K:$K,'Tong_hop_HQNV_2026Q1_2026-06-23'!$A:$A,"="&amp;'CHECK_DT-BT'!$D$2,'Tong_hop_HQNV_2026Q1_2026-06-23'!$B:$B, "="&amp;'CHECK_DT-BT'!A42)</f>
        <v>16134486735</v>
      </c>
      <c r="E42" s="7">
        <f>SUMIFS('Tong_hop_HQNV_2026Q1_2026-06-23'!$K:$K,'Tong_hop_HQNV_2026Q1_2026-06-23'!$A:$A,"="&amp;'CHECK_DT-BT'!$E$2,'Tong_hop_HQNV_2026Q1_2026-06-23'!$B:$B, "="&amp;'CHECK_DT-BT'!A42)</f>
        <v>461201200</v>
      </c>
      <c r="F42" s="7">
        <f>SUMIFS('Tong_hop_HQNV_2026Q1_2026-06-23'!$K:$K,'Tong_hop_HQNV_2026Q1_2026-06-23'!$A:$A,"="&amp;'CHECK_DT-BT'!$F$2,'Tong_hop_HQNV_2026Q1_2026-06-23'!$B:$B, "="&amp;'CHECK_DT-BT'!A42)</f>
        <v>10503388425</v>
      </c>
      <c r="G42" s="7">
        <f>SUMIFS('Tong_hop_HQNV_2026Q1_2026-06-23'!$K:$K,'Tong_hop_HQNV_2026Q1_2026-06-23'!$A:$A,"="&amp;'CHECK_DT-BT'!$G$2,'Tong_hop_HQNV_2026Q1_2026-06-23'!$B:$B, "="&amp;'CHECK_DT-BT'!A42)</f>
        <v>1310474615</v>
      </c>
      <c r="H42" s="7">
        <f>SUMIFS('Tong_hop_HQNV_2026Q1_2026-06-23'!$K:$K,'Tong_hop_HQNV_2026Q1_2026-06-23'!$A:$A,"="&amp;$H$2,'Tong_hop_HQNV_2026Q1_2026-06-23'!$B:$B, "="&amp;'CHECK_DT-BT'!A42)</f>
        <v>474564509</v>
      </c>
      <c r="I42" s="7">
        <f>SUMIFS('Tong_hop_HQNV_2026Q1_2026-06-23'!$K:$K,'Tong_hop_HQNV_2026Q1_2026-06-23'!$A:$A,"="&amp;$I$2,'Tong_hop_HQNV_2026Q1_2026-06-23'!$B:$B, "="&amp;'CHECK_DT-BT'!A42)</f>
        <v>0</v>
      </c>
      <c r="J42" s="7">
        <f>SUMIFS('Tong_hop_HQNV_2026Q1_2026-06-23'!$K:$K,'Tong_hop_HQNV_2026Q1_2026-06-23'!$A:$A,"="&amp;$J$2,'Tong_hop_HQNV_2026Q1_2026-06-23'!$B:$B, "="&amp;'CHECK_DT-BT'!A42)</f>
        <v>93775000</v>
      </c>
      <c r="K42" s="7">
        <f>SUMIFS('Tong_hop_HQNV_2026Q1_2026-06-23'!$K:$K,'Tong_hop_HQNV_2026Q1_2026-06-23'!$A:$A,"="&amp;$K$2,'Tong_hop_HQNV_2026Q1_2026-06-23'!$B:$B, "="&amp;'CHECK_DT-BT'!A42)</f>
        <v>3312905769</v>
      </c>
      <c r="L42" s="7">
        <f>SUMIFS('Tong_hop_HQNV_2026Q1_2026-06-23'!$K:$K,'Tong_hop_HQNV_2026Q1_2026-06-23'!$A:$A,"="&amp;$L$2,'Tong_hop_HQNV_2026Q1_2026-06-23'!$B:$B, "="&amp;'CHECK_DT-BT'!A42)</f>
        <v>2515464064</v>
      </c>
      <c r="M42" s="7">
        <f>SUMIFS('Tong_hop_HQNV_2026Q1_2026-06-23'!$K:$K,'Tong_hop_HQNV_2026Q1_2026-06-23'!$A:$A,"="&amp;$M$2,'Tong_hop_HQNV_2026Q1_2026-06-23'!$B:$B, "="&amp;'CHECK_DT-BT'!A42)</f>
        <v>1350437075</v>
      </c>
      <c r="N42" s="7">
        <f>SUMIFS('Tong_hop_HQNV_2026Q1_2026-06-23'!$K:$K,'Tong_hop_HQNV_2026Q1_2026-06-23'!$A:$A,"="&amp;$N$2,'Tong_hop_HQNV_2026Q1_2026-06-23'!$B:$B, "="&amp;'CHECK_DT-BT'!A42)</f>
        <v>18000000</v>
      </c>
      <c r="O42" s="7">
        <f>SUMIFS('Tong_hop_HQNV_2026Q1_2026-06-23'!$K:$K,'Tong_hop_HQNV_2026Q1_2026-06-23'!$A:$A,"="&amp;$O$2,'Tong_hop_HQNV_2026Q1_2026-06-23'!$B:$B, "="&amp;'CHECK_DT-BT'!A42)</f>
        <v>0</v>
      </c>
      <c r="P42" s="7">
        <f>SUMIFS('Tong_hop_HQNV_2026Q1_2026-06-23'!$K:$K,'Tong_hop_HQNV_2026Q1_2026-06-23'!$A:$A,"="&amp;$P$2,'Tong_hop_HQNV_2026Q1_2026-06-23'!$B:$B, "="&amp;'CHECK_DT-BT'!A42)</f>
        <v>0</v>
      </c>
      <c r="Q42" s="7">
        <f t="shared" si="2"/>
        <v>28409550975</v>
      </c>
      <c r="R42" s="7">
        <f t="shared" si="3"/>
        <v>7765146417</v>
      </c>
      <c r="S42" s="7">
        <f>SUMIFS('HQ1'!$C:$C,'HQ1'!$A:$A, "="&amp;'CHECK_DT-BT'!C42, 'HQ1'!$B:$B, "Total")</f>
        <v>28409914650</v>
      </c>
      <c r="T42" s="7">
        <f>SUMIFS('HQ2'!$C:$C,'HQ2'!$A:$A, "="&amp;'CHECK_DT-BT'!C42, 'HQ2'!$B:$B, "Total")</f>
        <v>7764782742</v>
      </c>
      <c r="U42" s="7">
        <f t="shared" si="4"/>
        <v>-363675</v>
      </c>
      <c r="V42" s="7">
        <f t="shared" si="5"/>
        <v>363675</v>
      </c>
      <c r="W42" s="23">
        <f>SUMIFS('Tong_hop_HQNV_2026Q1_2026-06-23'!$L:$L,'Tong_hop_HQNV_2026Q1_2026-06-23'!$B:$B, "="&amp;'CHECK_DT-BT'!A42, 'Tong_hop_HQNV_2026Q1_2026-06-23'!$A:$A, "="&amp;'CHECK_DT-BT'!$W$2)</f>
        <v>8915518640</v>
      </c>
      <c r="X42" s="7">
        <f>SUMIFS('Tong_hop_HQNV_2026Q1_2026-06-23'!$L:$L,'Tong_hop_HQNV_2026Q1_2026-06-23'!$B:$B, "="&amp;'CHECK_DT-BT'!A42, 'Tong_hop_HQNV_2026Q1_2026-06-23'!$A:$A, "="&amp;'CHECK_DT-BT'!$X$2)</f>
        <v>730000</v>
      </c>
      <c r="Y42" s="7">
        <f>SUMIFS('Tong_hop_HQNV_2026Q1_2026-06-23'!$L:$L,'Tong_hop_HQNV_2026Q1_2026-06-23'!$B:$B, "="&amp;'CHECK_DT-BT'!A42, 'Tong_hop_HQNV_2026Q1_2026-06-23'!$A:$A, "="&amp;'CHECK_DT-BT'!$Y$2)</f>
        <v>6173714734</v>
      </c>
      <c r="Z42" s="7">
        <f>SUMIFS('Tong_hop_HQNV_2026Q1_2026-06-23'!$L:$L,'Tong_hop_HQNV_2026Q1_2026-06-23'!$B:$B, "="&amp;'CHECK_DT-BT'!A42, 'Tong_hop_HQNV_2026Q1_2026-06-23'!$A:$A, "="&amp;'CHECK_DT-BT'!$Z$2)</f>
        <v>134497178</v>
      </c>
      <c r="AA42" s="7">
        <f>SUMIFS('Tong_hop_HQNV_2026Q1_2026-06-23'!$L:$L,'Tong_hop_HQNV_2026Q1_2026-06-23'!$B:$B, "="&amp;'CHECK_DT-BT'!A42, 'Tong_hop_HQNV_2026Q1_2026-06-23'!$A:$A, "="&amp;$AA$2)</f>
        <v>0</v>
      </c>
      <c r="AB42" s="7">
        <f>SUMIFS('Tong_hop_HQNV_2026Q1_2026-06-23'!$L:$L,'Tong_hop_HQNV_2026Q1_2026-06-23'!$B:$B, "="&amp;'CHECK_DT-BT'!A42, 'Tong_hop_HQNV_2026Q1_2026-06-23'!$A:$A, "="&amp;$AB$2)</f>
        <v>0</v>
      </c>
      <c r="AC42" s="7">
        <f>SUMIFS('Tong_hop_HQNV_2026Q1_2026-06-23'!$L:$L,'Tong_hop_HQNV_2026Q1_2026-06-23'!$B:$B, "="&amp;'CHECK_DT-BT'!A42, 'Tong_hop_HQNV_2026Q1_2026-06-23'!$A:$A, "="&amp;$AC$2)</f>
        <v>0</v>
      </c>
      <c r="AD42" s="7">
        <f>SUMIFS('Tong_hop_HQNV_2026Q1_2026-06-23'!$L:$L,'Tong_hop_HQNV_2026Q1_2026-06-23'!$B:$B, "="&amp;'CHECK_DT-BT'!A42, 'Tong_hop_HQNV_2026Q1_2026-06-23'!$A:$A, "="&amp;$AD$2)</f>
        <v>446231306</v>
      </c>
      <c r="AE42" s="7">
        <f>SUMIFS('Tong_hop_HQNV_2026Q1_2026-06-23'!$L:$L,'Tong_hop_HQNV_2026Q1_2026-06-23'!$B:$B, "="&amp;'CHECK_DT-BT'!A42, 'Tong_hop_HQNV_2026Q1_2026-06-23'!$A:$A, "="&amp;$AE$2)</f>
        <v>0</v>
      </c>
      <c r="AF42" s="7">
        <f>SUMIFS('Tong_hop_HQNV_2026Q1_2026-06-23'!$L:$L,'Tong_hop_HQNV_2026Q1_2026-06-23'!$B:$B, "="&amp;'CHECK_DT-BT'!A42, 'Tong_hop_HQNV_2026Q1_2026-06-23'!$A:$A, "="&amp;$AF$2)</f>
        <v>0</v>
      </c>
      <c r="AG42" s="7">
        <f>SUMIFS('Tong_hop_HQNV_2026Q1_2026-06-23'!$L:$L,'Tong_hop_HQNV_2026Q1_2026-06-23'!$B:$B, "="&amp;'CHECK_DT-BT'!A42, 'Tong_hop_HQNV_2026Q1_2026-06-23'!$A:$A, "="&amp;$AG$2)</f>
        <v>0</v>
      </c>
      <c r="AH42" s="7">
        <f>SUMIFS('Tong_hop_HQNV_2026Q1_2026-06-23'!$L:$L,'Tong_hop_HQNV_2026Q1_2026-06-23'!$B:$B, "="&amp;'CHECK_DT-BT'!A42, 'Tong_hop_HQNV_2026Q1_2026-06-23'!$A:$A, "="&amp;$AH$2)</f>
        <v>0</v>
      </c>
      <c r="AI42" s="7">
        <f>SUMIFS('Tong_hop_HQNV_2026Q1_2026-06-23'!$L:$L,'Tong_hop_HQNV_2026Q1_2026-06-23'!$B:$B, "="&amp;'CHECK_DT-BT'!A42, 'Tong_hop_HQNV_2026Q1_2026-06-23'!$A:$A, "="&amp;$AI$2)</f>
        <v>0</v>
      </c>
      <c r="AJ42" s="7">
        <f t="shared" si="6"/>
        <v>15224460552</v>
      </c>
      <c r="AK42" s="7">
        <f t="shared" si="7"/>
        <v>446231306</v>
      </c>
      <c r="AL42" s="7">
        <f>SUMIFS('HQ1'!$D:$D,'HQ1'!$A:$A, "="&amp;'CHECK_DT-BT'!C42, 'HQ1'!$B:$B, "Total")</f>
        <v>15197110052</v>
      </c>
      <c r="AM42" s="7">
        <f>SUMIFS('HQ2'!$J:$J,'HQ2'!$A:$A, "="&amp;'CHECK_DT-BT'!C42, 'HQ2'!$B:$B, "Total")</f>
        <v>446231306</v>
      </c>
      <c r="AN42" s="24">
        <f t="shared" si="8"/>
        <v>27350500</v>
      </c>
      <c r="AO42" s="24">
        <f t="shared" si="9"/>
        <v>0</v>
      </c>
    </row>
    <row r="43" spans="1:41" x14ac:dyDescent="0.25">
      <c r="A43" s="9" t="s">
        <v>323</v>
      </c>
      <c r="B43" t="s">
        <v>181</v>
      </c>
      <c r="C43" t="s">
        <v>125</v>
      </c>
      <c r="D43" s="7">
        <f>SUMIFS('Tong_hop_HQNV_2026Q1_2026-06-23'!$K:$K,'Tong_hop_HQNV_2026Q1_2026-06-23'!$A:$A,"="&amp;'CHECK_DT-BT'!$D$2,'Tong_hop_HQNV_2026Q1_2026-06-23'!$B:$B, "="&amp;'CHECK_DT-BT'!A43)</f>
        <v>383877600</v>
      </c>
      <c r="E43" s="7">
        <f>SUMIFS('Tong_hop_HQNV_2026Q1_2026-06-23'!$K:$K,'Tong_hop_HQNV_2026Q1_2026-06-23'!$A:$A,"="&amp;'CHECK_DT-BT'!$E$2,'Tong_hop_HQNV_2026Q1_2026-06-23'!$B:$B, "="&amp;'CHECK_DT-BT'!A43)</f>
        <v>576000</v>
      </c>
      <c r="F43" s="7">
        <f>SUMIFS('Tong_hop_HQNV_2026Q1_2026-06-23'!$K:$K,'Tong_hop_HQNV_2026Q1_2026-06-23'!$A:$A,"="&amp;'CHECK_DT-BT'!$F$2,'Tong_hop_HQNV_2026Q1_2026-06-23'!$B:$B, "="&amp;'CHECK_DT-BT'!A43)</f>
        <v>4102987168</v>
      </c>
      <c r="G43" s="7">
        <f>SUMIFS('Tong_hop_HQNV_2026Q1_2026-06-23'!$K:$K,'Tong_hop_HQNV_2026Q1_2026-06-23'!$A:$A,"="&amp;'CHECK_DT-BT'!$G$2,'Tong_hop_HQNV_2026Q1_2026-06-23'!$B:$B, "="&amp;'CHECK_DT-BT'!A43)</f>
        <v>306098600</v>
      </c>
      <c r="H43" s="7">
        <f>SUMIFS('Tong_hop_HQNV_2026Q1_2026-06-23'!$K:$K,'Tong_hop_HQNV_2026Q1_2026-06-23'!$A:$A,"="&amp;$H$2,'Tong_hop_HQNV_2026Q1_2026-06-23'!$B:$B, "="&amp;'CHECK_DT-BT'!A43)</f>
        <v>0</v>
      </c>
      <c r="I43" s="7">
        <f>SUMIFS('Tong_hop_HQNV_2026Q1_2026-06-23'!$K:$K,'Tong_hop_HQNV_2026Q1_2026-06-23'!$A:$A,"="&amp;$I$2,'Tong_hop_HQNV_2026Q1_2026-06-23'!$B:$B, "="&amp;'CHECK_DT-BT'!A43)</f>
        <v>0</v>
      </c>
      <c r="J43" s="7">
        <f>SUMIFS('Tong_hop_HQNV_2026Q1_2026-06-23'!$K:$K,'Tong_hop_HQNV_2026Q1_2026-06-23'!$A:$A,"="&amp;$J$2,'Tong_hop_HQNV_2026Q1_2026-06-23'!$B:$B, "="&amp;'CHECK_DT-BT'!A43)</f>
        <v>0</v>
      </c>
      <c r="K43" s="7">
        <f>SUMIFS('Tong_hop_HQNV_2026Q1_2026-06-23'!$K:$K,'Tong_hop_HQNV_2026Q1_2026-06-23'!$A:$A,"="&amp;$K$2,'Tong_hop_HQNV_2026Q1_2026-06-23'!$B:$B, "="&amp;'CHECK_DT-BT'!A43)</f>
        <v>0</v>
      </c>
      <c r="L43" s="7">
        <f>SUMIFS('Tong_hop_HQNV_2026Q1_2026-06-23'!$K:$K,'Tong_hop_HQNV_2026Q1_2026-06-23'!$A:$A,"="&amp;$L$2,'Tong_hop_HQNV_2026Q1_2026-06-23'!$B:$B, "="&amp;'CHECK_DT-BT'!A43)</f>
        <v>127757239</v>
      </c>
      <c r="M43" s="7">
        <f>SUMIFS('Tong_hop_HQNV_2026Q1_2026-06-23'!$K:$K,'Tong_hop_HQNV_2026Q1_2026-06-23'!$A:$A,"="&amp;$M$2,'Tong_hop_HQNV_2026Q1_2026-06-23'!$B:$B, "="&amp;'CHECK_DT-BT'!A43)</f>
        <v>141476672</v>
      </c>
      <c r="N43" s="7">
        <f>SUMIFS('Tong_hop_HQNV_2026Q1_2026-06-23'!$K:$K,'Tong_hop_HQNV_2026Q1_2026-06-23'!$A:$A,"="&amp;$N$2,'Tong_hop_HQNV_2026Q1_2026-06-23'!$B:$B, "="&amp;'CHECK_DT-BT'!A43)</f>
        <v>0</v>
      </c>
      <c r="O43" s="7">
        <f>SUMIFS('Tong_hop_HQNV_2026Q1_2026-06-23'!$K:$K,'Tong_hop_HQNV_2026Q1_2026-06-23'!$A:$A,"="&amp;$O$2,'Tong_hop_HQNV_2026Q1_2026-06-23'!$B:$B, "="&amp;'CHECK_DT-BT'!A43)</f>
        <v>0</v>
      </c>
      <c r="P43" s="7">
        <f>SUMIFS('Tong_hop_HQNV_2026Q1_2026-06-23'!$K:$K,'Tong_hop_HQNV_2026Q1_2026-06-23'!$A:$A,"="&amp;$P$2,'Tong_hop_HQNV_2026Q1_2026-06-23'!$B:$B, "="&amp;'CHECK_DT-BT'!A43)</f>
        <v>0</v>
      </c>
      <c r="Q43" s="7">
        <f t="shared" si="2"/>
        <v>4793539368</v>
      </c>
      <c r="R43" s="7">
        <f t="shared" si="3"/>
        <v>269233911</v>
      </c>
      <c r="S43" s="7">
        <f>SUMIFS('HQ1'!$C:$C,'HQ1'!$A:$A, "="&amp;'CHECK_DT-BT'!C43, 'HQ1'!$B:$B, "Total")</f>
        <v>4793539368</v>
      </c>
      <c r="T43" s="7">
        <f>SUMIFS('HQ2'!$C:$C,'HQ2'!$A:$A, "="&amp;'CHECK_DT-BT'!C43, 'HQ2'!$B:$B, "Total")</f>
        <v>269233911</v>
      </c>
      <c r="U43" s="7">
        <f t="shared" si="4"/>
        <v>0</v>
      </c>
      <c r="V43" s="7">
        <f t="shared" si="5"/>
        <v>0</v>
      </c>
      <c r="W43" s="23">
        <f>SUMIFS('Tong_hop_HQNV_2026Q1_2026-06-23'!$L:$L,'Tong_hop_HQNV_2026Q1_2026-06-23'!$B:$B, "="&amp;'CHECK_DT-BT'!A43, 'Tong_hop_HQNV_2026Q1_2026-06-23'!$A:$A, "="&amp;'CHECK_DT-BT'!$W$2)</f>
        <v>329089000</v>
      </c>
      <c r="X43" s="7">
        <f>SUMIFS('Tong_hop_HQNV_2026Q1_2026-06-23'!$L:$L,'Tong_hop_HQNV_2026Q1_2026-06-23'!$B:$B, "="&amp;'CHECK_DT-BT'!A43, 'Tong_hop_HQNV_2026Q1_2026-06-23'!$A:$A, "="&amp;'CHECK_DT-BT'!$X$2)</f>
        <v>0</v>
      </c>
      <c r="Y43" s="7">
        <f>SUMIFS('Tong_hop_HQNV_2026Q1_2026-06-23'!$L:$L,'Tong_hop_HQNV_2026Q1_2026-06-23'!$B:$B, "="&amp;'CHECK_DT-BT'!A43, 'Tong_hop_HQNV_2026Q1_2026-06-23'!$A:$A, "="&amp;'CHECK_DT-BT'!$Y$2)</f>
        <v>1344542110</v>
      </c>
      <c r="Z43" s="7">
        <f>SUMIFS('Tong_hop_HQNV_2026Q1_2026-06-23'!$L:$L,'Tong_hop_HQNV_2026Q1_2026-06-23'!$B:$B, "="&amp;'CHECK_DT-BT'!A43, 'Tong_hop_HQNV_2026Q1_2026-06-23'!$A:$A, "="&amp;'CHECK_DT-BT'!$Z$2)</f>
        <v>165378534</v>
      </c>
      <c r="AA43" s="7">
        <f>SUMIFS('Tong_hop_HQNV_2026Q1_2026-06-23'!$L:$L,'Tong_hop_HQNV_2026Q1_2026-06-23'!$B:$B, "="&amp;'CHECK_DT-BT'!A43, 'Tong_hop_HQNV_2026Q1_2026-06-23'!$A:$A, "="&amp;$AA$2)</f>
        <v>0</v>
      </c>
      <c r="AB43" s="7">
        <f>SUMIFS('Tong_hop_HQNV_2026Q1_2026-06-23'!$L:$L,'Tong_hop_HQNV_2026Q1_2026-06-23'!$B:$B, "="&amp;'CHECK_DT-BT'!A43, 'Tong_hop_HQNV_2026Q1_2026-06-23'!$A:$A, "="&amp;$AB$2)</f>
        <v>0</v>
      </c>
      <c r="AC43" s="7">
        <f>SUMIFS('Tong_hop_HQNV_2026Q1_2026-06-23'!$L:$L,'Tong_hop_HQNV_2026Q1_2026-06-23'!$B:$B, "="&amp;'CHECK_DT-BT'!A43, 'Tong_hop_HQNV_2026Q1_2026-06-23'!$A:$A, "="&amp;$AC$2)</f>
        <v>0</v>
      </c>
      <c r="AD43" s="7">
        <f>SUMIFS('Tong_hop_HQNV_2026Q1_2026-06-23'!$L:$L,'Tong_hop_HQNV_2026Q1_2026-06-23'!$B:$B, "="&amp;'CHECK_DT-BT'!A43, 'Tong_hop_HQNV_2026Q1_2026-06-23'!$A:$A, "="&amp;$AD$2)</f>
        <v>0</v>
      </c>
      <c r="AE43" s="7">
        <f>SUMIFS('Tong_hop_HQNV_2026Q1_2026-06-23'!$L:$L,'Tong_hop_HQNV_2026Q1_2026-06-23'!$B:$B, "="&amp;'CHECK_DT-BT'!A43, 'Tong_hop_HQNV_2026Q1_2026-06-23'!$A:$A, "="&amp;$AE$2)</f>
        <v>0</v>
      </c>
      <c r="AF43" s="7">
        <f>SUMIFS('Tong_hop_HQNV_2026Q1_2026-06-23'!$L:$L,'Tong_hop_HQNV_2026Q1_2026-06-23'!$B:$B, "="&amp;'CHECK_DT-BT'!A43, 'Tong_hop_HQNV_2026Q1_2026-06-23'!$A:$A, "="&amp;$AF$2)</f>
        <v>0</v>
      </c>
      <c r="AG43" s="7">
        <f>SUMIFS('Tong_hop_HQNV_2026Q1_2026-06-23'!$L:$L,'Tong_hop_HQNV_2026Q1_2026-06-23'!$B:$B, "="&amp;'CHECK_DT-BT'!A43, 'Tong_hop_HQNV_2026Q1_2026-06-23'!$A:$A, "="&amp;$AG$2)</f>
        <v>0</v>
      </c>
      <c r="AH43" s="7">
        <f>SUMIFS('Tong_hop_HQNV_2026Q1_2026-06-23'!$L:$L,'Tong_hop_HQNV_2026Q1_2026-06-23'!$B:$B, "="&amp;'CHECK_DT-BT'!A43, 'Tong_hop_HQNV_2026Q1_2026-06-23'!$A:$A, "="&amp;$AH$2)</f>
        <v>0</v>
      </c>
      <c r="AI43" s="7">
        <f>SUMIFS('Tong_hop_HQNV_2026Q1_2026-06-23'!$L:$L,'Tong_hop_HQNV_2026Q1_2026-06-23'!$B:$B, "="&amp;'CHECK_DT-BT'!A43, 'Tong_hop_HQNV_2026Q1_2026-06-23'!$A:$A, "="&amp;$AI$2)</f>
        <v>0</v>
      </c>
      <c r="AJ43" s="7">
        <f t="shared" si="6"/>
        <v>1839009644</v>
      </c>
      <c r="AK43" s="7">
        <f t="shared" si="7"/>
        <v>0</v>
      </c>
      <c r="AL43" s="7">
        <f>SUMIFS('HQ1'!$D:$D,'HQ1'!$A:$A, "="&amp;'CHECK_DT-BT'!C43, 'HQ1'!$B:$B, "Total")</f>
        <v>1839009644</v>
      </c>
      <c r="AM43" s="7">
        <f>SUMIFS('HQ2'!$J:$J,'HQ2'!$A:$A, "="&amp;'CHECK_DT-BT'!C43, 'HQ2'!$B:$B, "Total")</f>
        <v>0</v>
      </c>
      <c r="AN43" s="24">
        <f t="shared" si="8"/>
        <v>0</v>
      </c>
      <c r="AO43" s="24">
        <f t="shared" si="9"/>
        <v>0</v>
      </c>
    </row>
    <row r="44" spans="1:41" x14ac:dyDescent="0.25">
      <c r="A44" s="9" t="s">
        <v>324</v>
      </c>
      <c r="B44" t="s">
        <v>182</v>
      </c>
      <c r="C44" t="s">
        <v>117</v>
      </c>
      <c r="D44" s="7">
        <f>SUMIFS('Tong_hop_HQNV_2026Q1_2026-06-23'!$K:$K,'Tong_hop_HQNV_2026Q1_2026-06-23'!$A:$A,"="&amp;'CHECK_DT-BT'!$D$2,'Tong_hop_HQNV_2026Q1_2026-06-23'!$B:$B, "="&amp;'CHECK_DT-BT'!A44)</f>
        <v>374207851</v>
      </c>
      <c r="E44" s="7">
        <f>SUMIFS('Tong_hop_HQNV_2026Q1_2026-06-23'!$K:$K,'Tong_hop_HQNV_2026Q1_2026-06-23'!$A:$A,"="&amp;'CHECK_DT-BT'!$E$2,'Tong_hop_HQNV_2026Q1_2026-06-23'!$B:$B, "="&amp;'CHECK_DT-BT'!A44)</f>
        <v>338100000</v>
      </c>
      <c r="F44" s="7">
        <f>SUMIFS('Tong_hop_HQNV_2026Q1_2026-06-23'!$K:$K,'Tong_hop_HQNV_2026Q1_2026-06-23'!$A:$A,"="&amp;'CHECK_DT-BT'!$F$2,'Tong_hop_HQNV_2026Q1_2026-06-23'!$B:$B, "="&amp;'CHECK_DT-BT'!A44)</f>
        <v>1238456571</v>
      </c>
      <c r="G44" s="7">
        <f>SUMIFS('Tong_hop_HQNV_2026Q1_2026-06-23'!$K:$K,'Tong_hop_HQNV_2026Q1_2026-06-23'!$A:$A,"="&amp;'CHECK_DT-BT'!$G$2,'Tong_hop_HQNV_2026Q1_2026-06-23'!$B:$B, "="&amp;'CHECK_DT-BT'!A44)</f>
        <v>31918675</v>
      </c>
      <c r="H44" s="7">
        <f>SUMIFS('Tong_hop_HQNV_2026Q1_2026-06-23'!$K:$K,'Tong_hop_HQNV_2026Q1_2026-06-23'!$A:$A,"="&amp;$H$2,'Tong_hop_HQNV_2026Q1_2026-06-23'!$B:$B, "="&amp;'CHECK_DT-BT'!A44)</f>
        <v>0</v>
      </c>
      <c r="I44" s="7">
        <f>SUMIFS('Tong_hop_HQNV_2026Q1_2026-06-23'!$K:$K,'Tong_hop_HQNV_2026Q1_2026-06-23'!$A:$A,"="&amp;$I$2,'Tong_hop_HQNV_2026Q1_2026-06-23'!$B:$B, "="&amp;'CHECK_DT-BT'!A44)</f>
        <v>0</v>
      </c>
      <c r="J44" s="7">
        <f>SUMIFS('Tong_hop_HQNV_2026Q1_2026-06-23'!$K:$K,'Tong_hop_HQNV_2026Q1_2026-06-23'!$A:$A,"="&amp;$J$2,'Tong_hop_HQNV_2026Q1_2026-06-23'!$B:$B, "="&amp;'CHECK_DT-BT'!A44)</f>
        <v>0</v>
      </c>
      <c r="K44" s="7">
        <f>SUMIFS('Tong_hop_HQNV_2026Q1_2026-06-23'!$K:$K,'Tong_hop_HQNV_2026Q1_2026-06-23'!$A:$A,"="&amp;$K$2,'Tong_hop_HQNV_2026Q1_2026-06-23'!$B:$B, "="&amp;'CHECK_DT-BT'!A44)</f>
        <v>0</v>
      </c>
      <c r="L44" s="7">
        <f>SUMIFS('Tong_hop_HQNV_2026Q1_2026-06-23'!$K:$K,'Tong_hop_HQNV_2026Q1_2026-06-23'!$A:$A,"="&amp;$L$2,'Tong_hop_HQNV_2026Q1_2026-06-23'!$B:$B, "="&amp;'CHECK_DT-BT'!A44)</f>
        <v>269074845</v>
      </c>
      <c r="M44" s="7">
        <f>SUMIFS('Tong_hop_HQNV_2026Q1_2026-06-23'!$K:$K,'Tong_hop_HQNV_2026Q1_2026-06-23'!$A:$A,"="&amp;$M$2,'Tong_hop_HQNV_2026Q1_2026-06-23'!$B:$B, "="&amp;'CHECK_DT-BT'!A44)</f>
        <v>352880910</v>
      </c>
      <c r="N44" s="7">
        <f>SUMIFS('Tong_hop_HQNV_2026Q1_2026-06-23'!$K:$K,'Tong_hop_HQNV_2026Q1_2026-06-23'!$A:$A,"="&amp;$N$2,'Tong_hop_HQNV_2026Q1_2026-06-23'!$B:$B, "="&amp;'CHECK_DT-BT'!A44)</f>
        <v>96658182</v>
      </c>
      <c r="O44" s="7">
        <f>SUMIFS('Tong_hop_HQNV_2026Q1_2026-06-23'!$K:$K,'Tong_hop_HQNV_2026Q1_2026-06-23'!$A:$A,"="&amp;$O$2,'Tong_hop_HQNV_2026Q1_2026-06-23'!$B:$B, "="&amp;'CHECK_DT-BT'!A44)</f>
        <v>0</v>
      </c>
      <c r="P44" s="7">
        <f>SUMIFS('Tong_hop_HQNV_2026Q1_2026-06-23'!$K:$K,'Tong_hop_HQNV_2026Q1_2026-06-23'!$A:$A,"="&amp;$P$2,'Tong_hop_HQNV_2026Q1_2026-06-23'!$B:$B, "="&amp;'CHECK_DT-BT'!A44)</f>
        <v>0</v>
      </c>
      <c r="Q44" s="7">
        <f t="shared" si="2"/>
        <v>1982683097</v>
      </c>
      <c r="R44" s="7">
        <f t="shared" si="3"/>
        <v>718613937</v>
      </c>
      <c r="S44" s="7">
        <f>SUMIFS('HQ1'!$C:$C,'HQ1'!$A:$A, "="&amp;'CHECK_DT-BT'!C44, 'HQ1'!$B:$B, "Total")</f>
        <v>1982683097</v>
      </c>
      <c r="T44" s="7">
        <f>SUMIFS('HQ2'!$C:$C,'HQ2'!$A:$A, "="&amp;'CHECK_DT-BT'!C44, 'HQ2'!$B:$B, "Total")</f>
        <v>718613937</v>
      </c>
      <c r="U44" s="7">
        <f t="shared" si="4"/>
        <v>0</v>
      </c>
      <c r="V44" s="7">
        <f t="shared" si="5"/>
        <v>0</v>
      </c>
      <c r="W44" s="23">
        <f>SUMIFS('Tong_hop_HQNV_2026Q1_2026-06-23'!$L:$L,'Tong_hop_HQNV_2026Q1_2026-06-23'!$B:$B, "="&amp;'CHECK_DT-BT'!A44, 'Tong_hop_HQNV_2026Q1_2026-06-23'!$A:$A, "="&amp;'CHECK_DT-BT'!$W$2)</f>
        <v>98523000</v>
      </c>
      <c r="X44" s="7">
        <f>SUMIFS('Tong_hop_HQNV_2026Q1_2026-06-23'!$L:$L,'Tong_hop_HQNV_2026Q1_2026-06-23'!$B:$B, "="&amp;'CHECK_DT-BT'!A44, 'Tong_hop_HQNV_2026Q1_2026-06-23'!$A:$A, "="&amp;'CHECK_DT-BT'!$X$2)</f>
        <v>0</v>
      </c>
      <c r="Y44" s="7">
        <f>SUMIFS('Tong_hop_HQNV_2026Q1_2026-06-23'!$L:$L,'Tong_hop_HQNV_2026Q1_2026-06-23'!$B:$B, "="&amp;'CHECK_DT-BT'!A44, 'Tong_hop_HQNV_2026Q1_2026-06-23'!$A:$A, "="&amp;'CHECK_DT-BT'!$Y$2)</f>
        <v>338637206</v>
      </c>
      <c r="Z44" s="7">
        <f>SUMIFS('Tong_hop_HQNV_2026Q1_2026-06-23'!$L:$L,'Tong_hop_HQNV_2026Q1_2026-06-23'!$B:$B, "="&amp;'CHECK_DT-BT'!A44, 'Tong_hop_HQNV_2026Q1_2026-06-23'!$A:$A, "="&amp;'CHECK_DT-BT'!$Z$2)</f>
        <v>0</v>
      </c>
      <c r="AA44" s="7">
        <f>SUMIFS('Tong_hop_HQNV_2026Q1_2026-06-23'!$L:$L,'Tong_hop_HQNV_2026Q1_2026-06-23'!$B:$B, "="&amp;'CHECK_DT-BT'!A44, 'Tong_hop_HQNV_2026Q1_2026-06-23'!$A:$A, "="&amp;$AA$2)</f>
        <v>0</v>
      </c>
      <c r="AB44" s="7">
        <f>SUMIFS('Tong_hop_HQNV_2026Q1_2026-06-23'!$L:$L,'Tong_hop_HQNV_2026Q1_2026-06-23'!$B:$B, "="&amp;'CHECK_DT-BT'!A44, 'Tong_hop_HQNV_2026Q1_2026-06-23'!$A:$A, "="&amp;$AB$2)</f>
        <v>0</v>
      </c>
      <c r="AC44" s="7">
        <f>SUMIFS('Tong_hop_HQNV_2026Q1_2026-06-23'!$L:$L,'Tong_hop_HQNV_2026Q1_2026-06-23'!$B:$B, "="&amp;'CHECK_DT-BT'!A44, 'Tong_hop_HQNV_2026Q1_2026-06-23'!$A:$A, "="&amp;$AC$2)</f>
        <v>0</v>
      </c>
      <c r="AD44" s="7">
        <f>SUMIFS('Tong_hop_HQNV_2026Q1_2026-06-23'!$L:$L,'Tong_hop_HQNV_2026Q1_2026-06-23'!$B:$B, "="&amp;'CHECK_DT-BT'!A44, 'Tong_hop_HQNV_2026Q1_2026-06-23'!$A:$A, "="&amp;$AD$2)</f>
        <v>0</v>
      </c>
      <c r="AE44" s="7">
        <f>SUMIFS('Tong_hop_HQNV_2026Q1_2026-06-23'!$L:$L,'Tong_hop_HQNV_2026Q1_2026-06-23'!$B:$B, "="&amp;'CHECK_DT-BT'!A44, 'Tong_hop_HQNV_2026Q1_2026-06-23'!$A:$A, "="&amp;$AE$2)</f>
        <v>0</v>
      </c>
      <c r="AF44" s="7">
        <f>SUMIFS('Tong_hop_HQNV_2026Q1_2026-06-23'!$L:$L,'Tong_hop_HQNV_2026Q1_2026-06-23'!$B:$B, "="&amp;'CHECK_DT-BT'!A44, 'Tong_hop_HQNV_2026Q1_2026-06-23'!$A:$A, "="&amp;$AF$2)</f>
        <v>400000000</v>
      </c>
      <c r="AG44" s="7">
        <f>SUMIFS('Tong_hop_HQNV_2026Q1_2026-06-23'!$L:$L,'Tong_hop_HQNV_2026Q1_2026-06-23'!$B:$B, "="&amp;'CHECK_DT-BT'!A44, 'Tong_hop_HQNV_2026Q1_2026-06-23'!$A:$A, "="&amp;$AG$2)</f>
        <v>0</v>
      </c>
      <c r="AH44" s="7">
        <f>SUMIFS('Tong_hop_HQNV_2026Q1_2026-06-23'!$L:$L,'Tong_hop_HQNV_2026Q1_2026-06-23'!$B:$B, "="&amp;'CHECK_DT-BT'!A44, 'Tong_hop_HQNV_2026Q1_2026-06-23'!$A:$A, "="&amp;$AH$2)</f>
        <v>0</v>
      </c>
      <c r="AI44" s="7">
        <f>SUMIFS('Tong_hop_HQNV_2026Q1_2026-06-23'!$L:$L,'Tong_hop_HQNV_2026Q1_2026-06-23'!$B:$B, "="&amp;'CHECK_DT-BT'!A44, 'Tong_hop_HQNV_2026Q1_2026-06-23'!$A:$A, "="&amp;$AI$2)</f>
        <v>0</v>
      </c>
      <c r="AJ44" s="7">
        <f t="shared" si="6"/>
        <v>437160206</v>
      </c>
      <c r="AK44" s="7">
        <f t="shared" si="7"/>
        <v>400000000</v>
      </c>
      <c r="AL44" s="7">
        <f>SUMIFS('HQ1'!$D:$D,'HQ1'!$A:$A, "="&amp;'CHECK_DT-BT'!C44, 'HQ1'!$B:$B, "Total")</f>
        <v>437160206</v>
      </c>
      <c r="AM44" s="7">
        <f>SUMIFS('HQ2'!$J:$J,'HQ2'!$A:$A, "="&amp;'CHECK_DT-BT'!C44, 'HQ2'!$B:$B, "Total")</f>
        <v>400000000</v>
      </c>
      <c r="AN44" s="24">
        <f t="shared" si="8"/>
        <v>0</v>
      </c>
      <c r="AO44" s="24">
        <f t="shared" si="9"/>
        <v>0</v>
      </c>
    </row>
    <row r="45" spans="1:41" x14ac:dyDescent="0.25">
      <c r="A45" s="9" t="s">
        <v>325</v>
      </c>
      <c r="B45" t="s">
        <v>183</v>
      </c>
      <c r="C45" t="s">
        <v>121</v>
      </c>
      <c r="D45" s="7">
        <f>SUMIFS('Tong_hop_HQNV_2026Q1_2026-06-23'!$K:$K,'Tong_hop_HQNV_2026Q1_2026-06-23'!$A:$A,"="&amp;'CHECK_DT-BT'!$D$2,'Tong_hop_HQNV_2026Q1_2026-06-23'!$B:$B, "="&amp;'CHECK_DT-BT'!A45)</f>
        <v>672950300</v>
      </c>
      <c r="E45" s="7">
        <f>SUMIFS('Tong_hop_HQNV_2026Q1_2026-06-23'!$K:$K,'Tong_hop_HQNV_2026Q1_2026-06-23'!$A:$A,"="&amp;'CHECK_DT-BT'!$E$2,'Tong_hop_HQNV_2026Q1_2026-06-23'!$B:$B, "="&amp;'CHECK_DT-BT'!A45)</f>
        <v>71713500</v>
      </c>
      <c r="F45" s="7">
        <f>SUMIFS('Tong_hop_HQNV_2026Q1_2026-06-23'!$K:$K,'Tong_hop_HQNV_2026Q1_2026-06-23'!$A:$A,"="&amp;'CHECK_DT-BT'!$F$2,'Tong_hop_HQNV_2026Q1_2026-06-23'!$B:$B, "="&amp;'CHECK_DT-BT'!A45)</f>
        <v>10326295640</v>
      </c>
      <c r="G45" s="7">
        <f>SUMIFS('Tong_hop_HQNV_2026Q1_2026-06-23'!$K:$K,'Tong_hop_HQNV_2026Q1_2026-06-23'!$A:$A,"="&amp;'CHECK_DT-BT'!$G$2,'Tong_hop_HQNV_2026Q1_2026-06-23'!$B:$B, "="&amp;'CHECK_DT-BT'!A45)</f>
        <v>928085867</v>
      </c>
      <c r="H45" s="7">
        <f>SUMIFS('Tong_hop_HQNV_2026Q1_2026-06-23'!$K:$K,'Tong_hop_HQNV_2026Q1_2026-06-23'!$A:$A,"="&amp;$H$2,'Tong_hop_HQNV_2026Q1_2026-06-23'!$B:$B, "="&amp;'CHECK_DT-BT'!A45)</f>
        <v>930033</v>
      </c>
      <c r="I45" s="7">
        <f>SUMIFS('Tong_hop_HQNV_2026Q1_2026-06-23'!$K:$K,'Tong_hop_HQNV_2026Q1_2026-06-23'!$A:$A,"="&amp;$I$2,'Tong_hop_HQNV_2026Q1_2026-06-23'!$B:$B, "="&amp;'CHECK_DT-BT'!A45)</f>
        <v>160055774</v>
      </c>
      <c r="J45" s="7">
        <f>SUMIFS('Tong_hop_HQNV_2026Q1_2026-06-23'!$K:$K,'Tong_hop_HQNV_2026Q1_2026-06-23'!$A:$A,"="&amp;$J$2,'Tong_hop_HQNV_2026Q1_2026-06-23'!$B:$B, "="&amp;'CHECK_DT-BT'!A45)</f>
        <v>0</v>
      </c>
      <c r="K45" s="7">
        <f>SUMIFS('Tong_hop_HQNV_2026Q1_2026-06-23'!$K:$K,'Tong_hop_HQNV_2026Q1_2026-06-23'!$A:$A,"="&amp;$K$2,'Tong_hop_HQNV_2026Q1_2026-06-23'!$B:$B, "="&amp;'CHECK_DT-BT'!A45)</f>
        <v>9497000</v>
      </c>
      <c r="L45" s="7">
        <f>SUMIFS('Tong_hop_HQNV_2026Q1_2026-06-23'!$K:$K,'Tong_hop_HQNV_2026Q1_2026-06-23'!$A:$A,"="&amp;$L$2,'Tong_hop_HQNV_2026Q1_2026-06-23'!$B:$B, "="&amp;'CHECK_DT-BT'!A45)</f>
        <v>341323736</v>
      </c>
      <c r="M45" s="7">
        <f>SUMIFS('Tong_hop_HQNV_2026Q1_2026-06-23'!$K:$K,'Tong_hop_HQNV_2026Q1_2026-06-23'!$A:$A,"="&amp;$M$2,'Tong_hop_HQNV_2026Q1_2026-06-23'!$B:$B, "="&amp;'CHECK_DT-BT'!A45)</f>
        <v>54507596</v>
      </c>
      <c r="N45" s="7">
        <f>SUMIFS('Tong_hop_HQNV_2026Q1_2026-06-23'!$K:$K,'Tong_hop_HQNV_2026Q1_2026-06-23'!$A:$A,"="&amp;$N$2,'Tong_hop_HQNV_2026Q1_2026-06-23'!$B:$B, "="&amp;'CHECK_DT-BT'!A45)</f>
        <v>6000000</v>
      </c>
      <c r="O45" s="7">
        <f>SUMIFS('Tong_hop_HQNV_2026Q1_2026-06-23'!$K:$K,'Tong_hop_HQNV_2026Q1_2026-06-23'!$A:$A,"="&amp;$O$2,'Tong_hop_HQNV_2026Q1_2026-06-23'!$B:$B, "="&amp;'CHECK_DT-BT'!A45)</f>
        <v>0</v>
      </c>
      <c r="P45" s="7">
        <f>SUMIFS('Tong_hop_HQNV_2026Q1_2026-06-23'!$K:$K,'Tong_hop_HQNV_2026Q1_2026-06-23'!$A:$A,"="&amp;$P$2,'Tong_hop_HQNV_2026Q1_2026-06-23'!$B:$B, "="&amp;'CHECK_DT-BT'!A45)</f>
        <v>0</v>
      </c>
      <c r="Q45" s="7">
        <f t="shared" si="2"/>
        <v>11999045307</v>
      </c>
      <c r="R45" s="7">
        <f t="shared" si="3"/>
        <v>572314139</v>
      </c>
      <c r="S45" s="7">
        <f>SUMIFS('HQ1'!$C:$C,'HQ1'!$A:$A, "="&amp;'CHECK_DT-BT'!C45, 'HQ1'!$B:$B, "Total")</f>
        <v>11999045307</v>
      </c>
      <c r="T45" s="7">
        <f>SUMIFS('HQ2'!$C:$C,'HQ2'!$A:$A, "="&amp;'CHECK_DT-BT'!C45, 'HQ2'!$B:$B, "Total")</f>
        <v>572314139</v>
      </c>
      <c r="U45" s="7">
        <f t="shared" si="4"/>
        <v>0</v>
      </c>
      <c r="V45" s="7">
        <f t="shared" si="5"/>
        <v>0</v>
      </c>
      <c r="W45" s="23">
        <f>SUMIFS('Tong_hop_HQNV_2026Q1_2026-06-23'!$L:$L,'Tong_hop_HQNV_2026Q1_2026-06-23'!$B:$B, "="&amp;'CHECK_DT-BT'!A45, 'Tong_hop_HQNV_2026Q1_2026-06-23'!$A:$A, "="&amp;'CHECK_DT-BT'!$W$2)</f>
        <v>399365000</v>
      </c>
      <c r="X45" s="7">
        <f>SUMIFS('Tong_hop_HQNV_2026Q1_2026-06-23'!$L:$L,'Tong_hop_HQNV_2026Q1_2026-06-23'!$B:$B, "="&amp;'CHECK_DT-BT'!A45, 'Tong_hop_HQNV_2026Q1_2026-06-23'!$A:$A, "="&amp;'CHECK_DT-BT'!$X$2)</f>
        <v>0</v>
      </c>
      <c r="Y45" s="7">
        <f>SUMIFS('Tong_hop_HQNV_2026Q1_2026-06-23'!$L:$L,'Tong_hop_HQNV_2026Q1_2026-06-23'!$B:$B, "="&amp;'CHECK_DT-BT'!A45, 'Tong_hop_HQNV_2026Q1_2026-06-23'!$A:$A, "="&amp;'CHECK_DT-BT'!$Y$2)</f>
        <v>3365163253</v>
      </c>
      <c r="Z45" s="7">
        <f>SUMIFS('Tong_hop_HQNV_2026Q1_2026-06-23'!$L:$L,'Tong_hop_HQNV_2026Q1_2026-06-23'!$B:$B, "="&amp;'CHECK_DT-BT'!A45, 'Tong_hop_HQNV_2026Q1_2026-06-23'!$A:$A, "="&amp;'CHECK_DT-BT'!$Z$2)</f>
        <v>263134947</v>
      </c>
      <c r="AA45" s="7">
        <f>SUMIFS('Tong_hop_HQNV_2026Q1_2026-06-23'!$L:$L,'Tong_hop_HQNV_2026Q1_2026-06-23'!$B:$B, "="&amp;'CHECK_DT-BT'!A45, 'Tong_hop_HQNV_2026Q1_2026-06-23'!$A:$A, "="&amp;$AA$2)</f>
        <v>0</v>
      </c>
      <c r="AB45" s="7">
        <f>SUMIFS('Tong_hop_HQNV_2026Q1_2026-06-23'!$L:$L,'Tong_hop_HQNV_2026Q1_2026-06-23'!$B:$B, "="&amp;'CHECK_DT-BT'!A45, 'Tong_hop_HQNV_2026Q1_2026-06-23'!$A:$A, "="&amp;$AB$2)</f>
        <v>0</v>
      </c>
      <c r="AC45" s="7">
        <f>SUMIFS('Tong_hop_HQNV_2026Q1_2026-06-23'!$L:$L,'Tong_hop_HQNV_2026Q1_2026-06-23'!$B:$B, "="&amp;'CHECK_DT-BT'!A45, 'Tong_hop_HQNV_2026Q1_2026-06-23'!$A:$A, "="&amp;$AC$2)</f>
        <v>0</v>
      </c>
      <c r="AD45" s="7">
        <f>SUMIFS('Tong_hop_HQNV_2026Q1_2026-06-23'!$L:$L,'Tong_hop_HQNV_2026Q1_2026-06-23'!$B:$B, "="&amp;'CHECK_DT-BT'!A45, 'Tong_hop_HQNV_2026Q1_2026-06-23'!$A:$A, "="&amp;$AD$2)</f>
        <v>0</v>
      </c>
      <c r="AE45" s="7">
        <f>SUMIFS('Tong_hop_HQNV_2026Q1_2026-06-23'!$L:$L,'Tong_hop_HQNV_2026Q1_2026-06-23'!$B:$B, "="&amp;'CHECK_DT-BT'!A45, 'Tong_hop_HQNV_2026Q1_2026-06-23'!$A:$A, "="&amp;$AE$2)</f>
        <v>0</v>
      </c>
      <c r="AF45" s="7">
        <f>SUMIFS('Tong_hop_HQNV_2026Q1_2026-06-23'!$L:$L,'Tong_hop_HQNV_2026Q1_2026-06-23'!$B:$B, "="&amp;'CHECK_DT-BT'!A45, 'Tong_hop_HQNV_2026Q1_2026-06-23'!$A:$A, "="&amp;$AF$2)</f>
        <v>0</v>
      </c>
      <c r="AG45" s="7">
        <f>SUMIFS('Tong_hop_HQNV_2026Q1_2026-06-23'!$L:$L,'Tong_hop_HQNV_2026Q1_2026-06-23'!$B:$B, "="&amp;'CHECK_DT-BT'!A45, 'Tong_hop_HQNV_2026Q1_2026-06-23'!$A:$A, "="&amp;$AG$2)</f>
        <v>0</v>
      </c>
      <c r="AH45" s="7">
        <f>SUMIFS('Tong_hop_HQNV_2026Q1_2026-06-23'!$L:$L,'Tong_hop_HQNV_2026Q1_2026-06-23'!$B:$B, "="&amp;'CHECK_DT-BT'!A45, 'Tong_hop_HQNV_2026Q1_2026-06-23'!$A:$A, "="&amp;$AH$2)</f>
        <v>0</v>
      </c>
      <c r="AI45" s="7">
        <f>SUMIFS('Tong_hop_HQNV_2026Q1_2026-06-23'!$L:$L,'Tong_hop_HQNV_2026Q1_2026-06-23'!$B:$B, "="&amp;'CHECK_DT-BT'!A45, 'Tong_hop_HQNV_2026Q1_2026-06-23'!$A:$A, "="&amp;$AI$2)</f>
        <v>0</v>
      </c>
      <c r="AJ45" s="7">
        <f t="shared" si="6"/>
        <v>4027663200</v>
      </c>
      <c r="AK45" s="7">
        <f t="shared" si="7"/>
        <v>0</v>
      </c>
      <c r="AL45" s="7">
        <f>SUMIFS('HQ1'!$D:$D,'HQ1'!$A:$A, "="&amp;'CHECK_DT-BT'!C45, 'HQ1'!$B:$B, "Total")</f>
        <v>4027663200</v>
      </c>
      <c r="AM45" s="7">
        <f>SUMIFS('HQ2'!$J:$J,'HQ2'!$A:$A, "="&amp;'CHECK_DT-BT'!C45, 'HQ2'!$B:$B, "Total")</f>
        <v>0</v>
      </c>
      <c r="AN45" s="24">
        <f t="shared" si="8"/>
        <v>0</v>
      </c>
      <c r="AO45" s="24">
        <f t="shared" si="9"/>
        <v>0</v>
      </c>
    </row>
    <row r="46" spans="1:41" x14ac:dyDescent="0.25">
      <c r="A46" s="9" t="s">
        <v>326</v>
      </c>
      <c r="B46" t="s">
        <v>184</v>
      </c>
      <c r="C46" t="s">
        <v>128</v>
      </c>
      <c r="D46" s="7">
        <f>SUMIFS('Tong_hop_HQNV_2026Q1_2026-06-23'!$K:$K,'Tong_hop_HQNV_2026Q1_2026-06-23'!$A:$A,"="&amp;'CHECK_DT-BT'!$D$2,'Tong_hop_HQNV_2026Q1_2026-06-23'!$B:$B, "="&amp;'CHECK_DT-BT'!A46)</f>
        <v>1000407900</v>
      </c>
      <c r="E46" s="7">
        <f>SUMIFS('Tong_hop_HQNV_2026Q1_2026-06-23'!$K:$K,'Tong_hop_HQNV_2026Q1_2026-06-23'!$A:$A,"="&amp;'CHECK_DT-BT'!$E$2,'Tong_hop_HQNV_2026Q1_2026-06-23'!$B:$B, "="&amp;'CHECK_DT-BT'!A46)</f>
        <v>1605000</v>
      </c>
      <c r="F46" s="7">
        <f>SUMIFS('Tong_hop_HQNV_2026Q1_2026-06-23'!$K:$K,'Tong_hop_HQNV_2026Q1_2026-06-23'!$A:$A,"="&amp;'CHECK_DT-BT'!$F$2,'Tong_hop_HQNV_2026Q1_2026-06-23'!$B:$B, "="&amp;'CHECK_DT-BT'!A46)</f>
        <v>2495703330</v>
      </c>
      <c r="G46" s="7">
        <f>SUMIFS('Tong_hop_HQNV_2026Q1_2026-06-23'!$K:$K,'Tong_hop_HQNV_2026Q1_2026-06-23'!$A:$A,"="&amp;'CHECK_DT-BT'!$G$2,'Tong_hop_HQNV_2026Q1_2026-06-23'!$B:$B, "="&amp;'CHECK_DT-BT'!A46)</f>
        <v>541982080</v>
      </c>
      <c r="H46" s="7">
        <f>SUMIFS('Tong_hop_HQNV_2026Q1_2026-06-23'!$K:$K,'Tong_hop_HQNV_2026Q1_2026-06-23'!$A:$A,"="&amp;$H$2,'Tong_hop_HQNV_2026Q1_2026-06-23'!$B:$B, "="&amp;'CHECK_DT-BT'!A46)</f>
        <v>0</v>
      </c>
      <c r="I46" s="7">
        <f>SUMIFS('Tong_hop_HQNV_2026Q1_2026-06-23'!$K:$K,'Tong_hop_HQNV_2026Q1_2026-06-23'!$A:$A,"="&amp;$I$2,'Tong_hop_HQNV_2026Q1_2026-06-23'!$B:$B, "="&amp;'CHECK_DT-BT'!A46)</f>
        <v>0</v>
      </c>
      <c r="J46" s="7">
        <f>SUMIFS('Tong_hop_HQNV_2026Q1_2026-06-23'!$K:$K,'Tong_hop_HQNV_2026Q1_2026-06-23'!$A:$A,"="&amp;$J$2,'Tong_hop_HQNV_2026Q1_2026-06-23'!$B:$B, "="&amp;'CHECK_DT-BT'!A46)</f>
        <v>0</v>
      </c>
      <c r="K46" s="7">
        <f>SUMIFS('Tong_hop_HQNV_2026Q1_2026-06-23'!$K:$K,'Tong_hop_HQNV_2026Q1_2026-06-23'!$A:$A,"="&amp;$K$2,'Tong_hop_HQNV_2026Q1_2026-06-23'!$B:$B, "="&amp;'CHECK_DT-BT'!A46)</f>
        <v>0</v>
      </c>
      <c r="L46" s="7">
        <f>SUMIFS('Tong_hop_HQNV_2026Q1_2026-06-23'!$K:$K,'Tong_hop_HQNV_2026Q1_2026-06-23'!$A:$A,"="&amp;$L$2,'Tong_hop_HQNV_2026Q1_2026-06-23'!$B:$B, "="&amp;'CHECK_DT-BT'!A46)</f>
        <v>43737239</v>
      </c>
      <c r="M46" s="7">
        <f>SUMIFS('Tong_hop_HQNV_2026Q1_2026-06-23'!$K:$K,'Tong_hop_HQNV_2026Q1_2026-06-23'!$A:$A,"="&amp;$M$2,'Tong_hop_HQNV_2026Q1_2026-06-23'!$B:$B, "="&amp;'CHECK_DT-BT'!A46)</f>
        <v>31195527</v>
      </c>
      <c r="N46" s="7">
        <f>SUMIFS('Tong_hop_HQNV_2026Q1_2026-06-23'!$K:$K,'Tong_hop_HQNV_2026Q1_2026-06-23'!$A:$A,"="&amp;$N$2,'Tong_hop_HQNV_2026Q1_2026-06-23'!$B:$B, "="&amp;'CHECK_DT-BT'!A46)</f>
        <v>0</v>
      </c>
      <c r="O46" s="7">
        <f>SUMIFS('Tong_hop_HQNV_2026Q1_2026-06-23'!$K:$K,'Tong_hop_HQNV_2026Q1_2026-06-23'!$A:$A,"="&amp;$O$2,'Tong_hop_HQNV_2026Q1_2026-06-23'!$B:$B, "="&amp;'CHECK_DT-BT'!A46)</f>
        <v>0</v>
      </c>
      <c r="P46" s="7">
        <f>SUMIFS('Tong_hop_HQNV_2026Q1_2026-06-23'!$K:$K,'Tong_hop_HQNV_2026Q1_2026-06-23'!$A:$A,"="&amp;$P$2,'Tong_hop_HQNV_2026Q1_2026-06-23'!$B:$B, "="&amp;'CHECK_DT-BT'!A46)</f>
        <v>0</v>
      </c>
      <c r="Q46" s="7">
        <f t="shared" si="2"/>
        <v>4039698310</v>
      </c>
      <c r="R46" s="7">
        <f t="shared" si="3"/>
        <v>74932766</v>
      </c>
      <c r="S46" s="7">
        <f>SUMIFS('HQ1'!$C:$C,'HQ1'!$A:$A, "="&amp;'CHECK_DT-BT'!C46, 'HQ1'!$B:$B, "Total")</f>
        <v>4039698310</v>
      </c>
      <c r="T46" s="7">
        <f>SUMIFS('HQ2'!$C:$C,'HQ2'!$A:$A, "="&amp;'CHECK_DT-BT'!C46, 'HQ2'!$B:$B, "Total")</f>
        <v>74932766</v>
      </c>
      <c r="U46" s="7">
        <f t="shared" si="4"/>
        <v>0</v>
      </c>
      <c r="V46" s="7">
        <f t="shared" si="5"/>
        <v>0</v>
      </c>
      <c r="W46" s="23">
        <f>SUMIFS('Tong_hop_HQNV_2026Q1_2026-06-23'!$L:$L,'Tong_hop_HQNV_2026Q1_2026-06-23'!$B:$B, "="&amp;'CHECK_DT-BT'!A46, 'Tong_hop_HQNV_2026Q1_2026-06-23'!$A:$A, "="&amp;'CHECK_DT-BT'!$W$2)</f>
        <v>816379000</v>
      </c>
      <c r="X46" s="7">
        <f>SUMIFS('Tong_hop_HQNV_2026Q1_2026-06-23'!$L:$L,'Tong_hop_HQNV_2026Q1_2026-06-23'!$B:$B, "="&amp;'CHECK_DT-BT'!A46, 'Tong_hop_HQNV_2026Q1_2026-06-23'!$A:$A, "="&amp;'CHECK_DT-BT'!$X$2)</f>
        <v>0</v>
      </c>
      <c r="Y46" s="7">
        <f>SUMIFS('Tong_hop_HQNV_2026Q1_2026-06-23'!$L:$L,'Tong_hop_HQNV_2026Q1_2026-06-23'!$B:$B, "="&amp;'CHECK_DT-BT'!A46, 'Tong_hop_HQNV_2026Q1_2026-06-23'!$A:$A, "="&amp;'CHECK_DT-BT'!$Y$2)</f>
        <v>339776080</v>
      </c>
      <c r="Z46" s="7">
        <f>SUMIFS('Tong_hop_HQNV_2026Q1_2026-06-23'!$L:$L,'Tong_hop_HQNV_2026Q1_2026-06-23'!$B:$B, "="&amp;'CHECK_DT-BT'!A46, 'Tong_hop_HQNV_2026Q1_2026-06-23'!$A:$A, "="&amp;'CHECK_DT-BT'!$Z$2)</f>
        <v>124942222</v>
      </c>
      <c r="AA46" s="7">
        <f>SUMIFS('Tong_hop_HQNV_2026Q1_2026-06-23'!$L:$L,'Tong_hop_HQNV_2026Q1_2026-06-23'!$B:$B, "="&amp;'CHECK_DT-BT'!A46, 'Tong_hop_HQNV_2026Q1_2026-06-23'!$A:$A, "="&amp;$AA$2)</f>
        <v>0</v>
      </c>
      <c r="AB46" s="7">
        <f>SUMIFS('Tong_hop_HQNV_2026Q1_2026-06-23'!$L:$L,'Tong_hop_HQNV_2026Q1_2026-06-23'!$B:$B, "="&amp;'CHECK_DT-BT'!A46, 'Tong_hop_HQNV_2026Q1_2026-06-23'!$A:$A, "="&amp;$AB$2)</f>
        <v>0</v>
      </c>
      <c r="AC46" s="7">
        <f>SUMIFS('Tong_hop_HQNV_2026Q1_2026-06-23'!$L:$L,'Tong_hop_HQNV_2026Q1_2026-06-23'!$B:$B, "="&amp;'CHECK_DT-BT'!A46, 'Tong_hop_HQNV_2026Q1_2026-06-23'!$A:$A, "="&amp;$AC$2)</f>
        <v>0</v>
      </c>
      <c r="AD46" s="7">
        <f>SUMIFS('Tong_hop_HQNV_2026Q1_2026-06-23'!$L:$L,'Tong_hop_HQNV_2026Q1_2026-06-23'!$B:$B, "="&amp;'CHECK_DT-BT'!A46, 'Tong_hop_HQNV_2026Q1_2026-06-23'!$A:$A, "="&amp;$AD$2)</f>
        <v>0</v>
      </c>
      <c r="AE46" s="7">
        <f>SUMIFS('Tong_hop_HQNV_2026Q1_2026-06-23'!$L:$L,'Tong_hop_HQNV_2026Q1_2026-06-23'!$B:$B, "="&amp;'CHECK_DT-BT'!A46, 'Tong_hop_HQNV_2026Q1_2026-06-23'!$A:$A, "="&amp;$AE$2)</f>
        <v>0</v>
      </c>
      <c r="AF46" s="7">
        <f>SUMIFS('Tong_hop_HQNV_2026Q1_2026-06-23'!$L:$L,'Tong_hop_HQNV_2026Q1_2026-06-23'!$B:$B, "="&amp;'CHECK_DT-BT'!A46, 'Tong_hop_HQNV_2026Q1_2026-06-23'!$A:$A, "="&amp;$AF$2)</f>
        <v>0</v>
      </c>
      <c r="AG46" s="7">
        <f>SUMIFS('Tong_hop_HQNV_2026Q1_2026-06-23'!$L:$L,'Tong_hop_HQNV_2026Q1_2026-06-23'!$B:$B, "="&amp;'CHECK_DT-BT'!A46, 'Tong_hop_HQNV_2026Q1_2026-06-23'!$A:$A, "="&amp;$AG$2)</f>
        <v>0</v>
      </c>
      <c r="AH46" s="7">
        <f>SUMIFS('Tong_hop_HQNV_2026Q1_2026-06-23'!$L:$L,'Tong_hop_HQNV_2026Q1_2026-06-23'!$B:$B, "="&amp;'CHECK_DT-BT'!A46, 'Tong_hop_HQNV_2026Q1_2026-06-23'!$A:$A, "="&amp;$AH$2)</f>
        <v>0</v>
      </c>
      <c r="AI46" s="7">
        <f>SUMIFS('Tong_hop_HQNV_2026Q1_2026-06-23'!$L:$L,'Tong_hop_HQNV_2026Q1_2026-06-23'!$B:$B, "="&amp;'CHECK_DT-BT'!A46, 'Tong_hop_HQNV_2026Q1_2026-06-23'!$A:$A, "="&amp;$AI$2)</f>
        <v>0</v>
      </c>
      <c r="AJ46" s="7">
        <f t="shared" si="6"/>
        <v>1281097302</v>
      </c>
      <c r="AK46" s="7">
        <f t="shared" si="7"/>
        <v>0</v>
      </c>
      <c r="AL46" s="7">
        <f>SUMIFS('HQ1'!$D:$D,'HQ1'!$A:$A, "="&amp;'CHECK_DT-BT'!C46, 'HQ1'!$B:$B, "Total")</f>
        <v>1281097302</v>
      </c>
      <c r="AM46" s="7">
        <f>SUMIFS('HQ2'!$J:$J,'HQ2'!$A:$A, "="&amp;'CHECK_DT-BT'!C46, 'HQ2'!$B:$B, "Total")</f>
        <v>0</v>
      </c>
      <c r="AN46" s="24">
        <f t="shared" si="8"/>
        <v>0</v>
      </c>
      <c r="AO46" s="24">
        <f t="shared" si="9"/>
        <v>0</v>
      </c>
    </row>
    <row r="47" spans="1:41" x14ac:dyDescent="0.25">
      <c r="A47" s="9" t="s">
        <v>327</v>
      </c>
      <c r="B47" t="s">
        <v>185</v>
      </c>
      <c r="C47" t="s">
        <v>110</v>
      </c>
      <c r="D47" s="7">
        <f>SUMIFS('Tong_hop_HQNV_2026Q1_2026-06-23'!$K:$K,'Tong_hop_HQNV_2026Q1_2026-06-23'!$A:$A,"="&amp;'CHECK_DT-BT'!$D$2,'Tong_hop_HQNV_2026Q1_2026-06-23'!$B:$B, "="&amp;'CHECK_DT-BT'!A47)</f>
        <v>1235882998</v>
      </c>
      <c r="E47" s="7">
        <f>SUMIFS('Tong_hop_HQNV_2026Q1_2026-06-23'!$K:$K,'Tong_hop_HQNV_2026Q1_2026-06-23'!$A:$A,"="&amp;'CHECK_DT-BT'!$E$2,'Tong_hop_HQNV_2026Q1_2026-06-23'!$B:$B, "="&amp;'CHECK_DT-BT'!A47)</f>
        <v>0</v>
      </c>
      <c r="F47" s="7">
        <f>SUMIFS('Tong_hop_HQNV_2026Q1_2026-06-23'!$K:$K,'Tong_hop_HQNV_2026Q1_2026-06-23'!$A:$A,"="&amp;'CHECK_DT-BT'!$F$2,'Tong_hop_HQNV_2026Q1_2026-06-23'!$B:$B, "="&amp;'CHECK_DT-BT'!A47)</f>
        <v>3035942395</v>
      </c>
      <c r="G47" s="7">
        <f>SUMIFS('Tong_hop_HQNV_2026Q1_2026-06-23'!$K:$K,'Tong_hop_HQNV_2026Q1_2026-06-23'!$A:$A,"="&amp;'CHECK_DT-BT'!$G$2,'Tong_hop_HQNV_2026Q1_2026-06-23'!$B:$B, "="&amp;'CHECK_DT-BT'!A47)</f>
        <v>211592600</v>
      </c>
      <c r="H47" s="7">
        <f>SUMIFS('Tong_hop_HQNV_2026Q1_2026-06-23'!$K:$K,'Tong_hop_HQNV_2026Q1_2026-06-23'!$A:$A,"="&amp;$H$2,'Tong_hop_HQNV_2026Q1_2026-06-23'!$B:$B, "="&amp;'CHECK_DT-BT'!A47)</f>
        <v>65338081</v>
      </c>
      <c r="I47" s="7">
        <f>SUMIFS('Tong_hop_HQNV_2026Q1_2026-06-23'!$K:$K,'Tong_hop_HQNV_2026Q1_2026-06-23'!$A:$A,"="&amp;$I$2,'Tong_hop_HQNV_2026Q1_2026-06-23'!$B:$B, "="&amp;'CHECK_DT-BT'!A47)</f>
        <v>0</v>
      </c>
      <c r="J47" s="7">
        <f>SUMIFS('Tong_hop_HQNV_2026Q1_2026-06-23'!$K:$K,'Tong_hop_HQNV_2026Q1_2026-06-23'!$A:$A,"="&amp;$J$2,'Tong_hop_HQNV_2026Q1_2026-06-23'!$B:$B, "="&amp;'CHECK_DT-BT'!A47)</f>
        <v>0</v>
      </c>
      <c r="K47" s="7">
        <f>SUMIFS('Tong_hop_HQNV_2026Q1_2026-06-23'!$K:$K,'Tong_hop_HQNV_2026Q1_2026-06-23'!$A:$A,"="&amp;$K$2,'Tong_hop_HQNV_2026Q1_2026-06-23'!$B:$B, "="&amp;'CHECK_DT-BT'!A47)</f>
        <v>0</v>
      </c>
      <c r="L47" s="7">
        <f>SUMIFS('Tong_hop_HQNV_2026Q1_2026-06-23'!$K:$K,'Tong_hop_HQNV_2026Q1_2026-06-23'!$A:$A,"="&amp;$L$2,'Tong_hop_HQNV_2026Q1_2026-06-23'!$B:$B, "="&amp;'CHECK_DT-BT'!A47)</f>
        <v>822622393</v>
      </c>
      <c r="M47" s="7">
        <f>SUMIFS('Tong_hop_HQNV_2026Q1_2026-06-23'!$K:$K,'Tong_hop_HQNV_2026Q1_2026-06-23'!$A:$A,"="&amp;$M$2,'Tong_hop_HQNV_2026Q1_2026-06-23'!$B:$B, "="&amp;'CHECK_DT-BT'!A47)</f>
        <v>500978776</v>
      </c>
      <c r="N47" s="7">
        <f>SUMIFS('Tong_hop_HQNV_2026Q1_2026-06-23'!$K:$K,'Tong_hop_HQNV_2026Q1_2026-06-23'!$A:$A,"="&amp;$N$2,'Tong_hop_HQNV_2026Q1_2026-06-23'!$B:$B, "="&amp;'CHECK_DT-BT'!A47)</f>
        <v>0</v>
      </c>
      <c r="O47" s="7">
        <f>SUMIFS('Tong_hop_HQNV_2026Q1_2026-06-23'!$K:$K,'Tong_hop_HQNV_2026Q1_2026-06-23'!$A:$A,"="&amp;$O$2,'Tong_hop_HQNV_2026Q1_2026-06-23'!$B:$B, "="&amp;'CHECK_DT-BT'!A47)</f>
        <v>0</v>
      </c>
      <c r="P47" s="7">
        <f>SUMIFS('Tong_hop_HQNV_2026Q1_2026-06-23'!$K:$K,'Tong_hop_HQNV_2026Q1_2026-06-23'!$A:$A,"="&amp;$P$2,'Tong_hop_HQNV_2026Q1_2026-06-23'!$B:$B, "="&amp;'CHECK_DT-BT'!A47)</f>
        <v>0</v>
      </c>
      <c r="Q47" s="7">
        <f t="shared" si="2"/>
        <v>4483417993</v>
      </c>
      <c r="R47" s="7">
        <f t="shared" si="3"/>
        <v>1388939250</v>
      </c>
      <c r="S47" s="7">
        <f>SUMIFS('HQ1'!$C:$C,'HQ1'!$A:$A, "="&amp;'CHECK_DT-BT'!C47, 'HQ1'!$B:$B, "Total")</f>
        <v>4483417993</v>
      </c>
      <c r="T47" s="7">
        <f>SUMIFS('HQ2'!$C:$C,'HQ2'!$A:$A, "="&amp;'CHECK_DT-BT'!C47, 'HQ2'!$B:$B, "Total")</f>
        <v>1388939250</v>
      </c>
      <c r="U47" s="7">
        <f t="shared" si="4"/>
        <v>0</v>
      </c>
      <c r="V47" s="7">
        <f t="shared" si="5"/>
        <v>0</v>
      </c>
      <c r="W47" s="23">
        <f>SUMIFS('Tong_hop_HQNV_2026Q1_2026-06-23'!$L:$L,'Tong_hop_HQNV_2026Q1_2026-06-23'!$B:$B, "="&amp;'CHECK_DT-BT'!A47, 'Tong_hop_HQNV_2026Q1_2026-06-23'!$A:$A, "="&amp;'CHECK_DT-BT'!$W$2)</f>
        <v>741264195</v>
      </c>
      <c r="X47" s="7">
        <f>SUMIFS('Tong_hop_HQNV_2026Q1_2026-06-23'!$L:$L,'Tong_hop_HQNV_2026Q1_2026-06-23'!$B:$B, "="&amp;'CHECK_DT-BT'!A47, 'Tong_hop_HQNV_2026Q1_2026-06-23'!$A:$A, "="&amp;'CHECK_DT-BT'!$X$2)</f>
        <v>0</v>
      </c>
      <c r="Y47" s="7">
        <f>SUMIFS('Tong_hop_HQNV_2026Q1_2026-06-23'!$L:$L,'Tong_hop_HQNV_2026Q1_2026-06-23'!$B:$B, "="&amp;'CHECK_DT-BT'!A47, 'Tong_hop_HQNV_2026Q1_2026-06-23'!$A:$A, "="&amp;'CHECK_DT-BT'!$Y$2)</f>
        <v>582647193</v>
      </c>
      <c r="Z47" s="7">
        <f>SUMIFS('Tong_hop_HQNV_2026Q1_2026-06-23'!$L:$L,'Tong_hop_HQNV_2026Q1_2026-06-23'!$B:$B, "="&amp;'CHECK_DT-BT'!A47, 'Tong_hop_HQNV_2026Q1_2026-06-23'!$A:$A, "="&amp;'CHECK_DT-BT'!$Z$2)</f>
        <v>100388002</v>
      </c>
      <c r="AA47" s="7">
        <f>SUMIFS('Tong_hop_HQNV_2026Q1_2026-06-23'!$L:$L,'Tong_hop_HQNV_2026Q1_2026-06-23'!$B:$B, "="&amp;'CHECK_DT-BT'!A47, 'Tong_hop_HQNV_2026Q1_2026-06-23'!$A:$A, "="&amp;$AA$2)</f>
        <v>0</v>
      </c>
      <c r="AB47" s="7">
        <f>SUMIFS('Tong_hop_HQNV_2026Q1_2026-06-23'!$L:$L,'Tong_hop_HQNV_2026Q1_2026-06-23'!$B:$B, "="&amp;'CHECK_DT-BT'!A47, 'Tong_hop_HQNV_2026Q1_2026-06-23'!$A:$A, "="&amp;$AB$2)</f>
        <v>0</v>
      </c>
      <c r="AC47" s="7">
        <f>SUMIFS('Tong_hop_HQNV_2026Q1_2026-06-23'!$L:$L,'Tong_hop_HQNV_2026Q1_2026-06-23'!$B:$B, "="&amp;'CHECK_DT-BT'!A47, 'Tong_hop_HQNV_2026Q1_2026-06-23'!$A:$A, "="&amp;$AC$2)</f>
        <v>0</v>
      </c>
      <c r="AD47" s="7">
        <f>SUMIFS('Tong_hop_HQNV_2026Q1_2026-06-23'!$L:$L,'Tong_hop_HQNV_2026Q1_2026-06-23'!$B:$B, "="&amp;'CHECK_DT-BT'!A47, 'Tong_hop_HQNV_2026Q1_2026-06-23'!$A:$A, "="&amp;$AD$2)</f>
        <v>0</v>
      </c>
      <c r="AE47" s="7">
        <f>SUMIFS('Tong_hop_HQNV_2026Q1_2026-06-23'!$L:$L,'Tong_hop_HQNV_2026Q1_2026-06-23'!$B:$B, "="&amp;'CHECK_DT-BT'!A47, 'Tong_hop_HQNV_2026Q1_2026-06-23'!$A:$A, "="&amp;$AE$2)</f>
        <v>501041019</v>
      </c>
      <c r="AF47" s="7">
        <f>SUMIFS('Tong_hop_HQNV_2026Q1_2026-06-23'!$L:$L,'Tong_hop_HQNV_2026Q1_2026-06-23'!$B:$B, "="&amp;'CHECK_DT-BT'!A47, 'Tong_hop_HQNV_2026Q1_2026-06-23'!$A:$A, "="&amp;$AF$2)</f>
        <v>0</v>
      </c>
      <c r="AG47" s="7">
        <f>SUMIFS('Tong_hop_HQNV_2026Q1_2026-06-23'!$L:$L,'Tong_hop_HQNV_2026Q1_2026-06-23'!$B:$B, "="&amp;'CHECK_DT-BT'!A47, 'Tong_hop_HQNV_2026Q1_2026-06-23'!$A:$A, "="&amp;$AG$2)</f>
        <v>0</v>
      </c>
      <c r="AH47" s="7">
        <f>SUMIFS('Tong_hop_HQNV_2026Q1_2026-06-23'!$L:$L,'Tong_hop_HQNV_2026Q1_2026-06-23'!$B:$B, "="&amp;'CHECK_DT-BT'!A47, 'Tong_hop_HQNV_2026Q1_2026-06-23'!$A:$A, "="&amp;$AH$2)</f>
        <v>0</v>
      </c>
      <c r="AI47" s="7">
        <f>SUMIFS('Tong_hop_HQNV_2026Q1_2026-06-23'!$L:$L,'Tong_hop_HQNV_2026Q1_2026-06-23'!$B:$B, "="&amp;'CHECK_DT-BT'!A47, 'Tong_hop_HQNV_2026Q1_2026-06-23'!$A:$A, "="&amp;$AI$2)</f>
        <v>0</v>
      </c>
      <c r="AJ47" s="7">
        <f t="shared" si="6"/>
        <v>1424299390</v>
      </c>
      <c r="AK47" s="7">
        <f t="shared" si="7"/>
        <v>501041019</v>
      </c>
      <c r="AL47" s="7">
        <f>SUMIFS('HQ1'!$D:$D,'HQ1'!$A:$A, "="&amp;'CHECK_DT-BT'!C47, 'HQ1'!$B:$B, "Total")</f>
        <v>1424299390</v>
      </c>
      <c r="AM47" s="7">
        <f>SUMIFS('HQ2'!$J:$J,'HQ2'!$A:$A, "="&amp;'CHECK_DT-BT'!C47, 'HQ2'!$B:$B, "Total")</f>
        <v>485161019</v>
      </c>
      <c r="AN47" s="24">
        <f t="shared" si="8"/>
        <v>0</v>
      </c>
      <c r="AO47" s="24">
        <f t="shared" si="9"/>
        <v>15880000</v>
      </c>
    </row>
    <row r="48" spans="1:41" x14ac:dyDescent="0.25">
      <c r="A48" s="9" t="s">
        <v>328</v>
      </c>
      <c r="B48" t="s">
        <v>186</v>
      </c>
      <c r="C48" t="s">
        <v>77</v>
      </c>
      <c r="D48" s="7">
        <f>SUMIFS('Tong_hop_HQNV_2026Q1_2026-06-23'!$K:$K,'Tong_hop_HQNV_2026Q1_2026-06-23'!$A:$A,"="&amp;'CHECK_DT-BT'!$D$2,'Tong_hop_HQNV_2026Q1_2026-06-23'!$B:$B, "="&amp;'CHECK_DT-BT'!A48)</f>
        <v>2573413662</v>
      </c>
      <c r="E48" s="7">
        <f>SUMIFS('Tong_hop_HQNV_2026Q1_2026-06-23'!$K:$K,'Tong_hop_HQNV_2026Q1_2026-06-23'!$A:$A,"="&amp;'CHECK_DT-BT'!$E$2,'Tong_hop_HQNV_2026Q1_2026-06-23'!$B:$B, "="&amp;'CHECK_DT-BT'!A48)</f>
        <v>14308600</v>
      </c>
      <c r="F48" s="7">
        <f>SUMIFS('Tong_hop_HQNV_2026Q1_2026-06-23'!$K:$K,'Tong_hop_HQNV_2026Q1_2026-06-23'!$A:$A,"="&amp;'CHECK_DT-BT'!$F$2,'Tong_hop_HQNV_2026Q1_2026-06-23'!$B:$B, "="&amp;'CHECK_DT-BT'!A48)</f>
        <v>3890006822</v>
      </c>
      <c r="G48" s="7">
        <f>SUMIFS('Tong_hop_HQNV_2026Q1_2026-06-23'!$K:$K,'Tong_hop_HQNV_2026Q1_2026-06-23'!$A:$A,"="&amp;'CHECK_DT-BT'!$G$2,'Tong_hop_HQNV_2026Q1_2026-06-23'!$B:$B, "="&amp;'CHECK_DT-BT'!A48)</f>
        <v>1041862160</v>
      </c>
      <c r="H48" s="7">
        <f>SUMIFS('Tong_hop_HQNV_2026Q1_2026-06-23'!$K:$K,'Tong_hop_HQNV_2026Q1_2026-06-23'!$A:$A,"="&amp;$H$2,'Tong_hop_HQNV_2026Q1_2026-06-23'!$B:$B, "="&amp;'CHECK_DT-BT'!A48)</f>
        <v>728548276</v>
      </c>
      <c r="I48" s="7">
        <f>SUMIFS('Tong_hop_HQNV_2026Q1_2026-06-23'!$K:$K,'Tong_hop_HQNV_2026Q1_2026-06-23'!$A:$A,"="&amp;$I$2,'Tong_hop_HQNV_2026Q1_2026-06-23'!$B:$B, "="&amp;'CHECK_DT-BT'!A48)</f>
        <v>0</v>
      </c>
      <c r="J48" s="7">
        <f>SUMIFS('Tong_hop_HQNV_2026Q1_2026-06-23'!$K:$K,'Tong_hop_HQNV_2026Q1_2026-06-23'!$A:$A,"="&amp;$J$2,'Tong_hop_HQNV_2026Q1_2026-06-23'!$B:$B, "="&amp;'CHECK_DT-BT'!A48)</f>
        <v>0</v>
      </c>
      <c r="K48" s="7">
        <f>SUMIFS('Tong_hop_HQNV_2026Q1_2026-06-23'!$K:$K,'Tong_hop_HQNV_2026Q1_2026-06-23'!$A:$A,"="&amp;$K$2,'Tong_hop_HQNV_2026Q1_2026-06-23'!$B:$B, "="&amp;'CHECK_DT-BT'!A48)</f>
        <v>356805944</v>
      </c>
      <c r="L48" s="7">
        <f>SUMIFS('Tong_hop_HQNV_2026Q1_2026-06-23'!$K:$K,'Tong_hop_HQNV_2026Q1_2026-06-23'!$A:$A,"="&amp;$L$2,'Tong_hop_HQNV_2026Q1_2026-06-23'!$B:$B, "="&amp;'CHECK_DT-BT'!A48)</f>
        <v>3326662184</v>
      </c>
      <c r="M48" s="7">
        <f>SUMIFS('Tong_hop_HQNV_2026Q1_2026-06-23'!$K:$K,'Tong_hop_HQNV_2026Q1_2026-06-23'!$A:$A,"="&amp;$M$2,'Tong_hop_HQNV_2026Q1_2026-06-23'!$B:$B, "="&amp;'CHECK_DT-BT'!A48)</f>
        <v>299817273</v>
      </c>
      <c r="N48" s="7">
        <f>SUMIFS('Tong_hop_HQNV_2026Q1_2026-06-23'!$K:$K,'Tong_hop_HQNV_2026Q1_2026-06-23'!$A:$A,"="&amp;$N$2,'Tong_hop_HQNV_2026Q1_2026-06-23'!$B:$B, "="&amp;'CHECK_DT-BT'!A48)</f>
        <v>61972728</v>
      </c>
      <c r="O48" s="7">
        <f>SUMIFS('Tong_hop_HQNV_2026Q1_2026-06-23'!$K:$K,'Tong_hop_HQNV_2026Q1_2026-06-23'!$A:$A,"="&amp;$O$2,'Tong_hop_HQNV_2026Q1_2026-06-23'!$B:$B, "="&amp;'CHECK_DT-BT'!A48)</f>
        <v>0</v>
      </c>
      <c r="P48" s="7">
        <f>SUMIFS('Tong_hop_HQNV_2026Q1_2026-06-23'!$K:$K,'Tong_hop_HQNV_2026Q1_2026-06-23'!$A:$A,"="&amp;$P$2,'Tong_hop_HQNV_2026Q1_2026-06-23'!$B:$B, "="&amp;'CHECK_DT-BT'!A48)</f>
        <v>0</v>
      </c>
      <c r="Q48" s="7">
        <f t="shared" si="2"/>
        <v>7519591244</v>
      </c>
      <c r="R48" s="7">
        <f t="shared" si="3"/>
        <v>4773806405</v>
      </c>
      <c r="S48" s="7">
        <f>SUMIFS('HQ1'!$C:$C,'HQ1'!$A:$A, "="&amp;'CHECK_DT-BT'!C48, 'HQ1'!$B:$B, "Total")</f>
        <v>7519591244</v>
      </c>
      <c r="T48" s="7">
        <f>SUMIFS('HQ2'!$C:$C,'HQ2'!$A:$A, "="&amp;'CHECK_DT-BT'!C48, 'HQ2'!$B:$B, "Total")</f>
        <v>4773806405</v>
      </c>
      <c r="U48" s="7">
        <f t="shared" si="4"/>
        <v>0</v>
      </c>
      <c r="V48" s="7">
        <f t="shared" si="5"/>
        <v>0</v>
      </c>
      <c r="W48" s="23">
        <f>SUMIFS('Tong_hop_HQNV_2026Q1_2026-06-23'!$L:$L,'Tong_hop_HQNV_2026Q1_2026-06-23'!$B:$B, "="&amp;'CHECK_DT-BT'!A48, 'Tong_hop_HQNV_2026Q1_2026-06-23'!$A:$A, "="&amp;'CHECK_DT-BT'!$W$2)</f>
        <v>2014059600</v>
      </c>
      <c r="X48" s="7">
        <f>SUMIFS('Tong_hop_HQNV_2026Q1_2026-06-23'!$L:$L,'Tong_hop_HQNV_2026Q1_2026-06-23'!$B:$B, "="&amp;'CHECK_DT-BT'!A48, 'Tong_hop_HQNV_2026Q1_2026-06-23'!$A:$A, "="&amp;'CHECK_DT-BT'!$X$2)</f>
        <v>0</v>
      </c>
      <c r="Y48" s="7">
        <f>SUMIFS('Tong_hop_HQNV_2026Q1_2026-06-23'!$L:$L,'Tong_hop_HQNV_2026Q1_2026-06-23'!$B:$B, "="&amp;'CHECK_DT-BT'!A48, 'Tong_hop_HQNV_2026Q1_2026-06-23'!$A:$A, "="&amp;'CHECK_DT-BT'!$Y$2)</f>
        <v>478943618</v>
      </c>
      <c r="Z48" s="7">
        <f>SUMIFS('Tong_hop_HQNV_2026Q1_2026-06-23'!$L:$L,'Tong_hop_HQNV_2026Q1_2026-06-23'!$B:$B, "="&amp;'CHECK_DT-BT'!A48, 'Tong_hop_HQNV_2026Q1_2026-06-23'!$A:$A, "="&amp;'CHECK_DT-BT'!$Z$2)</f>
        <v>70243413</v>
      </c>
      <c r="AA48" s="7">
        <f>SUMIFS('Tong_hop_HQNV_2026Q1_2026-06-23'!$L:$L,'Tong_hop_HQNV_2026Q1_2026-06-23'!$B:$B, "="&amp;'CHECK_DT-BT'!A48, 'Tong_hop_HQNV_2026Q1_2026-06-23'!$A:$A, "="&amp;$AA$2)</f>
        <v>0</v>
      </c>
      <c r="AB48" s="7">
        <f>SUMIFS('Tong_hop_HQNV_2026Q1_2026-06-23'!$L:$L,'Tong_hop_HQNV_2026Q1_2026-06-23'!$B:$B, "="&amp;'CHECK_DT-BT'!A48, 'Tong_hop_HQNV_2026Q1_2026-06-23'!$A:$A, "="&amp;$AB$2)</f>
        <v>0</v>
      </c>
      <c r="AC48" s="7">
        <f>SUMIFS('Tong_hop_HQNV_2026Q1_2026-06-23'!$L:$L,'Tong_hop_HQNV_2026Q1_2026-06-23'!$B:$B, "="&amp;'CHECK_DT-BT'!A48, 'Tong_hop_HQNV_2026Q1_2026-06-23'!$A:$A, "="&amp;$AC$2)</f>
        <v>0</v>
      </c>
      <c r="AD48" s="7">
        <f>SUMIFS('Tong_hop_HQNV_2026Q1_2026-06-23'!$L:$L,'Tong_hop_HQNV_2026Q1_2026-06-23'!$B:$B, "="&amp;'CHECK_DT-BT'!A48, 'Tong_hop_HQNV_2026Q1_2026-06-23'!$A:$A, "="&amp;$AD$2)</f>
        <v>0</v>
      </c>
      <c r="AE48" s="7">
        <f>SUMIFS('Tong_hop_HQNV_2026Q1_2026-06-23'!$L:$L,'Tong_hop_HQNV_2026Q1_2026-06-23'!$B:$B, "="&amp;'CHECK_DT-BT'!A48, 'Tong_hop_HQNV_2026Q1_2026-06-23'!$A:$A, "="&amp;$AE$2)</f>
        <v>0</v>
      </c>
      <c r="AF48" s="7">
        <f>SUMIFS('Tong_hop_HQNV_2026Q1_2026-06-23'!$L:$L,'Tong_hop_HQNV_2026Q1_2026-06-23'!$B:$B, "="&amp;'CHECK_DT-BT'!A48, 'Tong_hop_HQNV_2026Q1_2026-06-23'!$A:$A, "="&amp;$AF$2)</f>
        <v>0</v>
      </c>
      <c r="AG48" s="7">
        <f>SUMIFS('Tong_hop_HQNV_2026Q1_2026-06-23'!$L:$L,'Tong_hop_HQNV_2026Q1_2026-06-23'!$B:$B, "="&amp;'CHECK_DT-BT'!A48, 'Tong_hop_HQNV_2026Q1_2026-06-23'!$A:$A, "="&amp;$AG$2)</f>
        <v>12027918</v>
      </c>
      <c r="AH48" s="7">
        <f>SUMIFS('Tong_hop_HQNV_2026Q1_2026-06-23'!$L:$L,'Tong_hop_HQNV_2026Q1_2026-06-23'!$B:$B, "="&amp;'CHECK_DT-BT'!A48, 'Tong_hop_HQNV_2026Q1_2026-06-23'!$A:$A, "="&amp;$AH$2)</f>
        <v>0</v>
      </c>
      <c r="AI48" s="7">
        <f>SUMIFS('Tong_hop_HQNV_2026Q1_2026-06-23'!$L:$L,'Tong_hop_HQNV_2026Q1_2026-06-23'!$B:$B, "="&amp;'CHECK_DT-BT'!A48, 'Tong_hop_HQNV_2026Q1_2026-06-23'!$A:$A, "="&amp;$AI$2)</f>
        <v>0</v>
      </c>
      <c r="AJ48" s="7">
        <f t="shared" si="6"/>
        <v>2563246631</v>
      </c>
      <c r="AK48" s="7">
        <f t="shared" si="7"/>
        <v>12027918</v>
      </c>
      <c r="AL48" s="7">
        <f>SUMIFS('HQ1'!$D:$D,'HQ1'!$A:$A, "="&amp;'CHECK_DT-BT'!C48, 'HQ1'!$B:$B, "Total")</f>
        <v>2563246631</v>
      </c>
      <c r="AM48" s="7">
        <f>SUMIFS('HQ2'!$J:$J,'HQ2'!$A:$A, "="&amp;'CHECK_DT-BT'!C48, 'HQ2'!$B:$B, "Total")</f>
        <v>12027918</v>
      </c>
      <c r="AN48" s="24">
        <f t="shared" si="8"/>
        <v>0</v>
      </c>
      <c r="AO48" s="24">
        <f t="shared" si="9"/>
        <v>0</v>
      </c>
    </row>
    <row r="49" spans="1:41" x14ac:dyDescent="0.25">
      <c r="A49" s="9" t="s">
        <v>329</v>
      </c>
      <c r="B49" t="s">
        <v>187</v>
      </c>
      <c r="C49" t="s">
        <v>68</v>
      </c>
      <c r="D49" s="7">
        <f>SUMIFS('Tong_hop_HQNV_2026Q1_2026-06-23'!$K:$K,'Tong_hop_HQNV_2026Q1_2026-06-23'!$A:$A,"="&amp;'CHECK_DT-BT'!$D$2,'Tong_hop_HQNV_2026Q1_2026-06-23'!$B:$B, "="&amp;'CHECK_DT-BT'!A49)</f>
        <v>823627032</v>
      </c>
      <c r="E49" s="7">
        <f>SUMIFS('Tong_hop_HQNV_2026Q1_2026-06-23'!$K:$K,'Tong_hop_HQNV_2026Q1_2026-06-23'!$A:$A,"="&amp;'CHECK_DT-BT'!$E$2,'Tong_hop_HQNV_2026Q1_2026-06-23'!$B:$B, "="&amp;'CHECK_DT-BT'!A49)</f>
        <v>31058400</v>
      </c>
      <c r="F49" s="7">
        <f>SUMIFS('Tong_hop_HQNV_2026Q1_2026-06-23'!$K:$K,'Tong_hop_HQNV_2026Q1_2026-06-23'!$A:$A,"="&amp;'CHECK_DT-BT'!$F$2,'Tong_hop_HQNV_2026Q1_2026-06-23'!$B:$B, "="&amp;'CHECK_DT-BT'!A49)</f>
        <v>3765143806</v>
      </c>
      <c r="G49" s="7">
        <f>SUMIFS('Tong_hop_HQNV_2026Q1_2026-06-23'!$K:$K,'Tong_hop_HQNV_2026Q1_2026-06-23'!$A:$A,"="&amp;'CHECK_DT-BT'!$G$2,'Tong_hop_HQNV_2026Q1_2026-06-23'!$B:$B, "="&amp;'CHECK_DT-BT'!A49)</f>
        <v>1640304366</v>
      </c>
      <c r="H49" s="7">
        <f>SUMIFS('Tong_hop_HQNV_2026Q1_2026-06-23'!$K:$K,'Tong_hop_HQNV_2026Q1_2026-06-23'!$A:$A,"="&amp;$H$2,'Tong_hop_HQNV_2026Q1_2026-06-23'!$B:$B, "="&amp;'CHECK_DT-BT'!A49)</f>
        <v>6043537958</v>
      </c>
      <c r="I49" s="7">
        <f>SUMIFS('Tong_hop_HQNV_2026Q1_2026-06-23'!$K:$K,'Tong_hop_HQNV_2026Q1_2026-06-23'!$A:$A,"="&amp;$I$2,'Tong_hop_HQNV_2026Q1_2026-06-23'!$B:$B, "="&amp;'CHECK_DT-BT'!A49)</f>
        <v>0</v>
      </c>
      <c r="J49" s="7">
        <f>SUMIFS('Tong_hop_HQNV_2026Q1_2026-06-23'!$K:$K,'Tong_hop_HQNV_2026Q1_2026-06-23'!$A:$A,"="&amp;$J$2,'Tong_hop_HQNV_2026Q1_2026-06-23'!$B:$B, "="&amp;'CHECK_DT-BT'!A49)</f>
        <v>0</v>
      </c>
      <c r="K49" s="7">
        <f>SUMIFS('Tong_hop_HQNV_2026Q1_2026-06-23'!$K:$K,'Tong_hop_HQNV_2026Q1_2026-06-23'!$A:$A,"="&amp;$K$2,'Tong_hop_HQNV_2026Q1_2026-06-23'!$B:$B, "="&amp;'CHECK_DT-BT'!A49)</f>
        <v>0</v>
      </c>
      <c r="L49" s="7">
        <f>SUMIFS('Tong_hop_HQNV_2026Q1_2026-06-23'!$K:$K,'Tong_hop_HQNV_2026Q1_2026-06-23'!$A:$A,"="&amp;$L$2,'Tong_hop_HQNV_2026Q1_2026-06-23'!$B:$B, "="&amp;'CHECK_DT-BT'!A49)</f>
        <v>824792434</v>
      </c>
      <c r="M49" s="7">
        <f>SUMIFS('Tong_hop_HQNV_2026Q1_2026-06-23'!$K:$K,'Tong_hop_HQNV_2026Q1_2026-06-23'!$A:$A,"="&amp;$M$2,'Tong_hop_HQNV_2026Q1_2026-06-23'!$B:$B, "="&amp;'CHECK_DT-BT'!A49)</f>
        <v>0</v>
      </c>
      <c r="N49" s="7">
        <f>SUMIFS('Tong_hop_HQNV_2026Q1_2026-06-23'!$K:$K,'Tong_hop_HQNV_2026Q1_2026-06-23'!$A:$A,"="&amp;$N$2,'Tong_hop_HQNV_2026Q1_2026-06-23'!$B:$B, "="&amp;'CHECK_DT-BT'!A49)</f>
        <v>15724658</v>
      </c>
      <c r="O49" s="7">
        <f>SUMIFS('Tong_hop_HQNV_2026Q1_2026-06-23'!$K:$K,'Tong_hop_HQNV_2026Q1_2026-06-23'!$A:$A,"="&amp;$O$2,'Tong_hop_HQNV_2026Q1_2026-06-23'!$B:$B, "="&amp;'CHECK_DT-BT'!A49)</f>
        <v>0</v>
      </c>
      <c r="P49" s="7">
        <f>SUMIFS('Tong_hop_HQNV_2026Q1_2026-06-23'!$K:$K,'Tong_hop_HQNV_2026Q1_2026-06-23'!$A:$A,"="&amp;$P$2,'Tong_hop_HQNV_2026Q1_2026-06-23'!$B:$B, "="&amp;'CHECK_DT-BT'!A49)</f>
        <v>0</v>
      </c>
      <c r="Q49" s="7">
        <f t="shared" si="2"/>
        <v>6260133604</v>
      </c>
      <c r="R49" s="7">
        <f t="shared" si="3"/>
        <v>6884055050</v>
      </c>
      <c r="S49" s="7">
        <f>SUMIFS('HQ1'!$C:$C,'HQ1'!$A:$A, "="&amp;'CHECK_DT-BT'!C49, 'HQ1'!$B:$B, "Total")</f>
        <v>6260133604</v>
      </c>
      <c r="T49" s="7">
        <f>SUMIFS('HQ2'!$C:$C,'HQ2'!$A:$A, "="&amp;'CHECK_DT-BT'!C49, 'HQ2'!$B:$B, "Total")</f>
        <v>6884055050</v>
      </c>
      <c r="U49" s="7">
        <f t="shared" si="4"/>
        <v>0</v>
      </c>
      <c r="V49" s="7">
        <f t="shared" si="5"/>
        <v>0</v>
      </c>
      <c r="W49" s="23">
        <f>SUMIFS('Tong_hop_HQNV_2026Q1_2026-06-23'!$L:$L,'Tong_hop_HQNV_2026Q1_2026-06-23'!$B:$B, "="&amp;'CHECK_DT-BT'!A49, 'Tong_hop_HQNV_2026Q1_2026-06-23'!$A:$A, "="&amp;'CHECK_DT-BT'!$W$2)</f>
        <v>1436659667</v>
      </c>
      <c r="X49" s="7">
        <f>SUMIFS('Tong_hop_HQNV_2026Q1_2026-06-23'!$L:$L,'Tong_hop_HQNV_2026Q1_2026-06-23'!$B:$B, "="&amp;'CHECK_DT-BT'!A49, 'Tong_hop_HQNV_2026Q1_2026-06-23'!$A:$A, "="&amp;'CHECK_DT-BT'!$X$2)</f>
        <v>0</v>
      </c>
      <c r="Y49" s="7">
        <f>SUMIFS('Tong_hop_HQNV_2026Q1_2026-06-23'!$L:$L,'Tong_hop_HQNV_2026Q1_2026-06-23'!$B:$B, "="&amp;'CHECK_DT-BT'!A49, 'Tong_hop_HQNV_2026Q1_2026-06-23'!$A:$A, "="&amp;'CHECK_DT-BT'!$Y$2)</f>
        <v>1293855827</v>
      </c>
      <c r="Z49" s="7">
        <f>SUMIFS('Tong_hop_HQNV_2026Q1_2026-06-23'!$L:$L,'Tong_hop_HQNV_2026Q1_2026-06-23'!$B:$B, "="&amp;'CHECK_DT-BT'!A49, 'Tong_hop_HQNV_2026Q1_2026-06-23'!$A:$A, "="&amp;'CHECK_DT-BT'!$Z$2)</f>
        <v>341361520</v>
      </c>
      <c r="AA49" s="7">
        <f>SUMIFS('Tong_hop_HQNV_2026Q1_2026-06-23'!$L:$L,'Tong_hop_HQNV_2026Q1_2026-06-23'!$B:$B, "="&amp;'CHECK_DT-BT'!A49, 'Tong_hop_HQNV_2026Q1_2026-06-23'!$A:$A, "="&amp;$AA$2)</f>
        <v>2547069323</v>
      </c>
      <c r="AB49" s="7">
        <f>SUMIFS('Tong_hop_HQNV_2026Q1_2026-06-23'!$L:$L,'Tong_hop_HQNV_2026Q1_2026-06-23'!$B:$B, "="&amp;'CHECK_DT-BT'!A49, 'Tong_hop_HQNV_2026Q1_2026-06-23'!$A:$A, "="&amp;$AB$2)</f>
        <v>0</v>
      </c>
      <c r="AC49" s="7">
        <f>SUMIFS('Tong_hop_HQNV_2026Q1_2026-06-23'!$L:$L,'Tong_hop_HQNV_2026Q1_2026-06-23'!$B:$B, "="&amp;'CHECK_DT-BT'!A49, 'Tong_hop_HQNV_2026Q1_2026-06-23'!$A:$A, "="&amp;$AC$2)</f>
        <v>0</v>
      </c>
      <c r="AD49" s="7">
        <f>SUMIFS('Tong_hop_HQNV_2026Q1_2026-06-23'!$L:$L,'Tong_hop_HQNV_2026Q1_2026-06-23'!$B:$B, "="&amp;'CHECK_DT-BT'!A49, 'Tong_hop_HQNV_2026Q1_2026-06-23'!$A:$A, "="&amp;$AD$2)</f>
        <v>0</v>
      </c>
      <c r="AE49" s="7">
        <f>SUMIFS('Tong_hop_HQNV_2026Q1_2026-06-23'!$L:$L,'Tong_hop_HQNV_2026Q1_2026-06-23'!$B:$B, "="&amp;'CHECK_DT-BT'!A49, 'Tong_hop_HQNV_2026Q1_2026-06-23'!$A:$A, "="&amp;$AE$2)</f>
        <v>0</v>
      </c>
      <c r="AF49" s="7">
        <f>SUMIFS('Tong_hop_HQNV_2026Q1_2026-06-23'!$L:$L,'Tong_hop_HQNV_2026Q1_2026-06-23'!$B:$B, "="&amp;'CHECK_DT-BT'!A49, 'Tong_hop_HQNV_2026Q1_2026-06-23'!$A:$A, "="&amp;$AF$2)</f>
        <v>0</v>
      </c>
      <c r="AG49" s="7">
        <f>SUMIFS('Tong_hop_HQNV_2026Q1_2026-06-23'!$L:$L,'Tong_hop_HQNV_2026Q1_2026-06-23'!$B:$B, "="&amp;'CHECK_DT-BT'!A49, 'Tong_hop_HQNV_2026Q1_2026-06-23'!$A:$A, "="&amp;$AG$2)</f>
        <v>0</v>
      </c>
      <c r="AH49" s="7">
        <f>SUMIFS('Tong_hop_HQNV_2026Q1_2026-06-23'!$L:$L,'Tong_hop_HQNV_2026Q1_2026-06-23'!$B:$B, "="&amp;'CHECK_DT-BT'!A49, 'Tong_hop_HQNV_2026Q1_2026-06-23'!$A:$A, "="&amp;$AH$2)</f>
        <v>0</v>
      </c>
      <c r="AI49" s="7">
        <f>SUMIFS('Tong_hop_HQNV_2026Q1_2026-06-23'!$L:$L,'Tong_hop_HQNV_2026Q1_2026-06-23'!$B:$B, "="&amp;'CHECK_DT-BT'!A49, 'Tong_hop_HQNV_2026Q1_2026-06-23'!$A:$A, "="&amp;$AI$2)</f>
        <v>0</v>
      </c>
      <c r="AJ49" s="7">
        <f t="shared" si="6"/>
        <v>3071877014</v>
      </c>
      <c r="AK49" s="7">
        <f t="shared" si="7"/>
        <v>2547069323</v>
      </c>
      <c r="AL49" s="7">
        <f>SUMIFS('HQ1'!$D:$D,'HQ1'!$A:$A, "="&amp;'CHECK_DT-BT'!C49, 'HQ1'!$B:$B, "Total")</f>
        <v>3071877014</v>
      </c>
      <c r="AM49" s="7">
        <f>SUMIFS('HQ2'!$J:$J,'HQ2'!$A:$A, "="&amp;'CHECK_DT-BT'!C49, 'HQ2'!$B:$B, "Total")</f>
        <v>2547069323</v>
      </c>
      <c r="AN49" s="24">
        <f t="shared" si="8"/>
        <v>0</v>
      </c>
      <c r="AO49" s="24">
        <f t="shared" si="9"/>
        <v>0</v>
      </c>
    </row>
    <row r="50" spans="1:41" x14ac:dyDescent="0.25">
      <c r="A50" s="9" t="s">
        <v>330</v>
      </c>
      <c r="B50" t="s">
        <v>188</v>
      </c>
      <c r="C50" t="s">
        <v>84</v>
      </c>
      <c r="D50" s="7">
        <f>SUMIFS('Tong_hop_HQNV_2026Q1_2026-06-23'!$K:$K,'Tong_hop_HQNV_2026Q1_2026-06-23'!$A:$A,"="&amp;'CHECK_DT-BT'!$D$2,'Tong_hop_HQNV_2026Q1_2026-06-23'!$B:$B, "="&amp;'CHECK_DT-BT'!A50)</f>
        <v>836572303</v>
      </c>
      <c r="E50" s="7">
        <f>SUMIFS('Tong_hop_HQNV_2026Q1_2026-06-23'!$K:$K,'Tong_hop_HQNV_2026Q1_2026-06-23'!$A:$A,"="&amp;'CHECK_DT-BT'!$E$2,'Tong_hop_HQNV_2026Q1_2026-06-23'!$B:$B, "="&amp;'CHECK_DT-BT'!A50)</f>
        <v>924859750</v>
      </c>
      <c r="F50" s="7">
        <f>SUMIFS('Tong_hop_HQNV_2026Q1_2026-06-23'!$K:$K,'Tong_hop_HQNV_2026Q1_2026-06-23'!$A:$A,"="&amp;'CHECK_DT-BT'!$F$2,'Tong_hop_HQNV_2026Q1_2026-06-23'!$B:$B, "="&amp;'CHECK_DT-BT'!A50)</f>
        <v>15389413053</v>
      </c>
      <c r="G50" s="7">
        <f>SUMIFS('Tong_hop_HQNV_2026Q1_2026-06-23'!$K:$K,'Tong_hop_HQNV_2026Q1_2026-06-23'!$A:$A,"="&amp;'CHECK_DT-BT'!$G$2,'Tong_hop_HQNV_2026Q1_2026-06-23'!$B:$B, "="&amp;'CHECK_DT-BT'!A50)</f>
        <v>8749867612</v>
      </c>
      <c r="H50" s="7">
        <f>SUMIFS('Tong_hop_HQNV_2026Q1_2026-06-23'!$K:$K,'Tong_hop_HQNV_2026Q1_2026-06-23'!$A:$A,"="&amp;$H$2,'Tong_hop_HQNV_2026Q1_2026-06-23'!$B:$B, "="&amp;'CHECK_DT-BT'!A50)</f>
        <v>782428536</v>
      </c>
      <c r="I50" s="7">
        <f>SUMIFS('Tong_hop_HQNV_2026Q1_2026-06-23'!$K:$K,'Tong_hop_HQNV_2026Q1_2026-06-23'!$A:$A,"="&amp;$I$2,'Tong_hop_HQNV_2026Q1_2026-06-23'!$B:$B, "="&amp;'CHECK_DT-BT'!A50)</f>
        <v>687264939</v>
      </c>
      <c r="J50" s="7">
        <f>SUMIFS('Tong_hop_HQNV_2026Q1_2026-06-23'!$K:$K,'Tong_hop_HQNV_2026Q1_2026-06-23'!$A:$A,"="&amp;$J$2,'Tong_hop_HQNV_2026Q1_2026-06-23'!$B:$B, "="&amp;'CHECK_DT-BT'!A50)</f>
        <v>414660476</v>
      </c>
      <c r="K50" s="7">
        <f>SUMIFS('Tong_hop_HQNV_2026Q1_2026-06-23'!$K:$K,'Tong_hop_HQNV_2026Q1_2026-06-23'!$A:$A,"="&amp;$K$2,'Tong_hop_HQNV_2026Q1_2026-06-23'!$B:$B, "="&amp;'CHECK_DT-BT'!A50)</f>
        <v>0</v>
      </c>
      <c r="L50" s="7">
        <f>SUMIFS('Tong_hop_HQNV_2026Q1_2026-06-23'!$K:$K,'Tong_hop_HQNV_2026Q1_2026-06-23'!$A:$A,"="&amp;$L$2,'Tong_hop_HQNV_2026Q1_2026-06-23'!$B:$B, "="&amp;'CHECK_DT-BT'!A50)</f>
        <v>974121078</v>
      </c>
      <c r="M50" s="7">
        <f>SUMIFS('Tong_hop_HQNV_2026Q1_2026-06-23'!$K:$K,'Tong_hop_HQNV_2026Q1_2026-06-23'!$A:$A,"="&amp;$M$2,'Tong_hop_HQNV_2026Q1_2026-06-23'!$B:$B, "="&amp;'CHECK_DT-BT'!A50)</f>
        <v>520533836</v>
      </c>
      <c r="N50" s="7">
        <f>SUMIFS('Tong_hop_HQNV_2026Q1_2026-06-23'!$K:$K,'Tong_hop_HQNV_2026Q1_2026-06-23'!$A:$A,"="&amp;$N$2,'Tong_hop_HQNV_2026Q1_2026-06-23'!$B:$B, "="&amp;'CHECK_DT-BT'!A50)</f>
        <v>608525000</v>
      </c>
      <c r="O50" s="7">
        <f>SUMIFS('Tong_hop_HQNV_2026Q1_2026-06-23'!$K:$K,'Tong_hop_HQNV_2026Q1_2026-06-23'!$A:$A,"="&amp;$O$2,'Tong_hop_HQNV_2026Q1_2026-06-23'!$B:$B, "="&amp;'CHECK_DT-BT'!A50)</f>
        <v>0</v>
      </c>
      <c r="P50" s="7">
        <f>SUMIFS('Tong_hop_HQNV_2026Q1_2026-06-23'!$K:$K,'Tong_hop_HQNV_2026Q1_2026-06-23'!$A:$A,"="&amp;$P$2,'Tong_hop_HQNV_2026Q1_2026-06-23'!$B:$B, "="&amp;'CHECK_DT-BT'!A50)</f>
        <v>0</v>
      </c>
      <c r="Q50" s="7">
        <f t="shared" si="2"/>
        <v>25900712718</v>
      </c>
      <c r="R50" s="7">
        <f t="shared" si="3"/>
        <v>3987533865</v>
      </c>
      <c r="S50" s="7">
        <f>SUMIFS('HQ1'!$C:$C,'HQ1'!$A:$A, "="&amp;'CHECK_DT-BT'!C50, 'HQ1'!$B:$B, "Total")</f>
        <v>25900712718</v>
      </c>
      <c r="T50" s="7">
        <f>SUMIFS('HQ2'!$C:$C,'HQ2'!$A:$A, "="&amp;'CHECK_DT-BT'!C50, 'HQ2'!$B:$B, "Total")</f>
        <v>4672895630</v>
      </c>
      <c r="U50" s="7">
        <f t="shared" si="4"/>
        <v>0</v>
      </c>
      <c r="V50" s="7">
        <f t="shared" si="5"/>
        <v>-685361765</v>
      </c>
      <c r="W50" s="23">
        <f>SUMIFS('Tong_hop_HQNV_2026Q1_2026-06-23'!$L:$L,'Tong_hop_HQNV_2026Q1_2026-06-23'!$B:$B, "="&amp;'CHECK_DT-BT'!A50, 'Tong_hop_HQNV_2026Q1_2026-06-23'!$A:$A, "="&amp;'CHECK_DT-BT'!$W$2)</f>
        <v>536512000</v>
      </c>
      <c r="X50" s="7">
        <f>SUMIFS('Tong_hop_HQNV_2026Q1_2026-06-23'!$L:$L,'Tong_hop_HQNV_2026Q1_2026-06-23'!$B:$B, "="&amp;'CHECK_DT-BT'!A50, 'Tong_hop_HQNV_2026Q1_2026-06-23'!$A:$A, "="&amp;'CHECK_DT-BT'!$X$2)</f>
        <v>29701956</v>
      </c>
      <c r="Y50" s="7">
        <f>SUMIFS('Tong_hop_HQNV_2026Q1_2026-06-23'!$L:$L,'Tong_hop_HQNV_2026Q1_2026-06-23'!$B:$B, "="&amp;'CHECK_DT-BT'!A50, 'Tong_hop_HQNV_2026Q1_2026-06-23'!$A:$A, "="&amp;'CHECK_DT-BT'!$Y$2)</f>
        <v>5482772700</v>
      </c>
      <c r="Z50" s="7">
        <f>SUMIFS('Tong_hop_HQNV_2026Q1_2026-06-23'!$L:$L,'Tong_hop_HQNV_2026Q1_2026-06-23'!$B:$B, "="&amp;'CHECK_DT-BT'!A50, 'Tong_hop_HQNV_2026Q1_2026-06-23'!$A:$A, "="&amp;'CHECK_DT-BT'!$Z$2)</f>
        <v>3931627981</v>
      </c>
      <c r="AA50" s="7">
        <f>SUMIFS('Tong_hop_HQNV_2026Q1_2026-06-23'!$L:$L,'Tong_hop_HQNV_2026Q1_2026-06-23'!$B:$B, "="&amp;'CHECK_DT-BT'!A50, 'Tong_hop_HQNV_2026Q1_2026-06-23'!$A:$A, "="&amp;$AA$2)</f>
        <v>0</v>
      </c>
      <c r="AB50" s="7">
        <f>SUMIFS('Tong_hop_HQNV_2026Q1_2026-06-23'!$L:$L,'Tong_hop_HQNV_2026Q1_2026-06-23'!$B:$B, "="&amp;'CHECK_DT-BT'!A50, 'Tong_hop_HQNV_2026Q1_2026-06-23'!$A:$A, "="&amp;$AB$2)</f>
        <v>0</v>
      </c>
      <c r="AC50" s="7">
        <f>SUMIFS('Tong_hop_HQNV_2026Q1_2026-06-23'!$L:$L,'Tong_hop_HQNV_2026Q1_2026-06-23'!$B:$B, "="&amp;'CHECK_DT-BT'!A50, 'Tong_hop_HQNV_2026Q1_2026-06-23'!$A:$A, "="&amp;$AC$2)</f>
        <v>5818429663</v>
      </c>
      <c r="AD50" s="7">
        <f>SUMIFS('Tong_hop_HQNV_2026Q1_2026-06-23'!$L:$L,'Tong_hop_HQNV_2026Q1_2026-06-23'!$B:$B, "="&amp;'CHECK_DT-BT'!A50, 'Tong_hop_HQNV_2026Q1_2026-06-23'!$A:$A, "="&amp;$AD$2)</f>
        <v>0</v>
      </c>
      <c r="AE50" s="7">
        <f>SUMIFS('Tong_hop_HQNV_2026Q1_2026-06-23'!$L:$L,'Tong_hop_HQNV_2026Q1_2026-06-23'!$B:$B, "="&amp;'CHECK_DT-BT'!A50, 'Tong_hop_HQNV_2026Q1_2026-06-23'!$A:$A, "="&amp;$AE$2)</f>
        <v>38150073</v>
      </c>
      <c r="AF50" s="7">
        <f>SUMIFS('Tong_hop_HQNV_2026Q1_2026-06-23'!$L:$L,'Tong_hop_HQNV_2026Q1_2026-06-23'!$B:$B, "="&amp;'CHECK_DT-BT'!A50, 'Tong_hop_HQNV_2026Q1_2026-06-23'!$A:$A, "="&amp;$AF$2)</f>
        <v>0</v>
      </c>
      <c r="AG50" s="7">
        <f>SUMIFS('Tong_hop_HQNV_2026Q1_2026-06-23'!$L:$L,'Tong_hop_HQNV_2026Q1_2026-06-23'!$B:$B, "="&amp;'CHECK_DT-BT'!A50, 'Tong_hop_HQNV_2026Q1_2026-06-23'!$A:$A, "="&amp;$AG$2)</f>
        <v>0</v>
      </c>
      <c r="AH50" s="7">
        <f>SUMIFS('Tong_hop_HQNV_2026Q1_2026-06-23'!$L:$L,'Tong_hop_HQNV_2026Q1_2026-06-23'!$B:$B, "="&amp;'CHECK_DT-BT'!A50, 'Tong_hop_HQNV_2026Q1_2026-06-23'!$A:$A, "="&amp;$AH$2)</f>
        <v>0</v>
      </c>
      <c r="AI50" s="7">
        <f>SUMIFS('Tong_hop_HQNV_2026Q1_2026-06-23'!$L:$L,'Tong_hop_HQNV_2026Q1_2026-06-23'!$B:$B, "="&amp;'CHECK_DT-BT'!A50, 'Tong_hop_HQNV_2026Q1_2026-06-23'!$A:$A, "="&amp;$AI$2)</f>
        <v>0</v>
      </c>
      <c r="AJ50" s="7">
        <f t="shared" si="6"/>
        <v>9980614637</v>
      </c>
      <c r="AK50" s="7">
        <f t="shared" si="7"/>
        <v>5856579736</v>
      </c>
      <c r="AL50" s="7">
        <f>SUMIFS('HQ1'!$D:$D,'HQ1'!$A:$A, "="&amp;'CHECK_DT-BT'!C50, 'HQ1'!$B:$B, "Total")</f>
        <v>9980614637</v>
      </c>
      <c r="AM50" s="7">
        <f>SUMIFS('HQ2'!$J:$J,'HQ2'!$A:$A, "="&amp;'CHECK_DT-BT'!C50, 'HQ2'!$B:$B, "Total")</f>
        <v>5856579736</v>
      </c>
      <c r="AN50" s="24">
        <f t="shared" si="8"/>
        <v>0</v>
      </c>
      <c r="AO50" s="24">
        <f t="shared" si="9"/>
        <v>0</v>
      </c>
    </row>
    <row r="51" spans="1:41" x14ac:dyDescent="0.25">
      <c r="A51" s="9" t="s">
        <v>331</v>
      </c>
      <c r="B51" t="s">
        <v>189</v>
      </c>
      <c r="C51" t="s">
        <v>52</v>
      </c>
      <c r="D51" s="7">
        <f>SUMIFS('Tong_hop_HQNV_2026Q1_2026-06-23'!$K:$K,'Tong_hop_HQNV_2026Q1_2026-06-23'!$A:$A,"="&amp;'CHECK_DT-BT'!$D$2,'Tong_hop_HQNV_2026Q1_2026-06-23'!$B:$B, "="&amp;'CHECK_DT-BT'!A51)</f>
        <v>1408884977</v>
      </c>
      <c r="E51" s="7">
        <f>SUMIFS('Tong_hop_HQNV_2026Q1_2026-06-23'!$K:$K,'Tong_hop_HQNV_2026Q1_2026-06-23'!$A:$A,"="&amp;'CHECK_DT-BT'!$E$2,'Tong_hop_HQNV_2026Q1_2026-06-23'!$B:$B, "="&amp;'CHECK_DT-BT'!A51)</f>
        <v>46713700</v>
      </c>
      <c r="F51" s="7">
        <f>SUMIFS('Tong_hop_HQNV_2026Q1_2026-06-23'!$K:$K,'Tong_hop_HQNV_2026Q1_2026-06-23'!$A:$A,"="&amp;'CHECK_DT-BT'!$F$2,'Tong_hop_HQNV_2026Q1_2026-06-23'!$B:$B, "="&amp;'CHECK_DT-BT'!A51)</f>
        <v>12465458045</v>
      </c>
      <c r="G51" s="7">
        <f>SUMIFS('Tong_hop_HQNV_2026Q1_2026-06-23'!$K:$K,'Tong_hop_HQNV_2026Q1_2026-06-23'!$A:$A,"="&amp;'CHECK_DT-BT'!$G$2,'Tong_hop_HQNV_2026Q1_2026-06-23'!$B:$B, "="&amp;'CHECK_DT-BT'!A51)</f>
        <v>3742860639</v>
      </c>
      <c r="H51" s="7">
        <f>SUMIFS('Tong_hop_HQNV_2026Q1_2026-06-23'!$K:$K,'Tong_hop_HQNV_2026Q1_2026-06-23'!$A:$A,"="&amp;$H$2,'Tong_hop_HQNV_2026Q1_2026-06-23'!$B:$B, "="&amp;'CHECK_DT-BT'!A51)</f>
        <v>8626129701</v>
      </c>
      <c r="I51" s="7">
        <f>SUMIFS('Tong_hop_HQNV_2026Q1_2026-06-23'!$K:$K,'Tong_hop_HQNV_2026Q1_2026-06-23'!$A:$A,"="&amp;$I$2,'Tong_hop_HQNV_2026Q1_2026-06-23'!$B:$B, "="&amp;'CHECK_DT-BT'!A51)</f>
        <v>0</v>
      </c>
      <c r="J51" s="7">
        <f>SUMIFS('Tong_hop_HQNV_2026Q1_2026-06-23'!$K:$K,'Tong_hop_HQNV_2026Q1_2026-06-23'!$A:$A,"="&amp;$J$2,'Tong_hop_HQNV_2026Q1_2026-06-23'!$B:$B, "="&amp;'CHECK_DT-BT'!A51)</f>
        <v>0</v>
      </c>
      <c r="K51" s="7">
        <f>SUMIFS('Tong_hop_HQNV_2026Q1_2026-06-23'!$K:$K,'Tong_hop_HQNV_2026Q1_2026-06-23'!$A:$A,"="&amp;$K$2,'Tong_hop_HQNV_2026Q1_2026-06-23'!$B:$B, "="&amp;'CHECK_DT-BT'!A51)</f>
        <v>27470000</v>
      </c>
      <c r="L51" s="7">
        <f>SUMIFS('Tong_hop_HQNV_2026Q1_2026-06-23'!$K:$K,'Tong_hop_HQNV_2026Q1_2026-06-23'!$A:$A,"="&amp;$L$2,'Tong_hop_HQNV_2026Q1_2026-06-23'!$B:$B, "="&amp;'CHECK_DT-BT'!A51)</f>
        <v>11392854526</v>
      </c>
      <c r="M51" s="7">
        <f>SUMIFS('Tong_hop_HQNV_2026Q1_2026-06-23'!$K:$K,'Tong_hop_HQNV_2026Q1_2026-06-23'!$A:$A,"="&amp;$M$2,'Tong_hop_HQNV_2026Q1_2026-06-23'!$B:$B, "="&amp;'CHECK_DT-BT'!A51)</f>
        <v>899409691</v>
      </c>
      <c r="N51" s="7">
        <f>SUMIFS('Tong_hop_HQNV_2026Q1_2026-06-23'!$K:$K,'Tong_hop_HQNV_2026Q1_2026-06-23'!$A:$A,"="&amp;$N$2,'Tong_hop_HQNV_2026Q1_2026-06-23'!$B:$B, "="&amp;'CHECK_DT-BT'!A51)</f>
        <v>552342293</v>
      </c>
      <c r="O51" s="7">
        <f>SUMIFS('Tong_hop_HQNV_2026Q1_2026-06-23'!$K:$K,'Tong_hop_HQNV_2026Q1_2026-06-23'!$A:$A,"="&amp;$O$2,'Tong_hop_HQNV_2026Q1_2026-06-23'!$B:$B, "="&amp;'CHECK_DT-BT'!A51)</f>
        <v>0</v>
      </c>
      <c r="P51" s="7">
        <f>SUMIFS('Tong_hop_HQNV_2026Q1_2026-06-23'!$K:$K,'Tong_hop_HQNV_2026Q1_2026-06-23'!$A:$A,"="&amp;$P$2,'Tong_hop_HQNV_2026Q1_2026-06-23'!$B:$B, "="&amp;'CHECK_DT-BT'!A51)</f>
        <v>1075300380</v>
      </c>
      <c r="Q51" s="7">
        <f t="shared" si="2"/>
        <v>17663917361</v>
      </c>
      <c r="R51" s="7">
        <f t="shared" si="3"/>
        <v>21498206211</v>
      </c>
      <c r="S51" s="7">
        <f>SUMIFS('HQ1'!$C:$C,'HQ1'!$A:$A, "="&amp;'CHECK_DT-BT'!C51, 'HQ1'!$B:$B, "Total")</f>
        <v>17663917361</v>
      </c>
      <c r="T51" s="7">
        <f>SUMIFS('HQ2'!$C:$C,'HQ2'!$A:$A, "="&amp;'CHECK_DT-BT'!C51, 'HQ2'!$B:$B, "Total")</f>
        <v>21498206211</v>
      </c>
      <c r="U51" s="7">
        <f t="shared" si="4"/>
        <v>0</v>
      </c>
      <c r="V51" s="7">
        <f t="shared" si="5"/>
        <v>0</v>
      </c>
      <c r="W51" s="23">
        <f>SUMIFS('Tong_hop_HQNV_2026Q1_2026-06-23'!$L:$L,'Tong_hop_HQNV_2026Q1_2026-06-23'!$B:$B, "="&amp;'CHECK_DT-BT'!A51, 'Tong_hop_HQNV_2026Q1_2026-06-23'!$A:$A, "="&amp;'CHECK_DT-BT'!$W$2)</f>
        <v>270165248</v>
      </c>
      <c r="X51" s="7">
        <f>SUMIFS('Tong_hop_HQNV_2026Q1_2026-06-23'!$L:$L,'Tong_hop_HQNV_2026Q1_2026-06-23'!$B:$B, "="&amp;'CHECK_DT-BT'!A51, 'Tong_hop_HQNV_2026Q1_2026-06-23'!$A:$A, "="&amp;'CHECK_DT-BT'!$X$2)</f>
        <v>0</v>
      </c>
      <c r="Y51" s="7">
        <f>SUMIFS('Tong_hop_HQNV_2026Q1_2026-06-23'!$L:$L,'Tong_hop_HQNV_2026Q1_2026-06-23'!$B:$B, "="&amp;'CHECK_DT-BT'!A51, 'Tong_hop_HQNV_2026Q1_2026-06-23'!$A:$A, "="&amp;'CHECK_DT-BT'!$Y$2)</f>
        <v>5105541721</v>
      </c>
      <c r="Z51" s="7">
        <f>SUMIFS('Tong_hop_HQNV_2026Q1_2026-06-23'!$L:$L,'Tong_hop_HQNV_2026Q1_2026-06-23'!$B:$B, "="&amp;'CHECK_DT-BT'!A51, 'Tong_hop_HQNV_2026Q1_2026-06-23'!$A:$A, "="&amp;'CHECK_DT-BT'!$Z$2)</f>
        <v>2964879717</v>
      </c>
      <c r="AA51" s="7">
        <f>SUMIFS('Tong_hop_HQNV_2026Q1_2026-06-23'!$L:$L,'Tong_hop_HQNV_2026Q1_2026-06-23'!$B:$B, "="&amp;'CHECK_DT-BT'!A51, 'Tong_hop_HQNV_2026Q1_2026-06-23'!$A:$A, "="&amp;$AA$2)</f>
        <v>1834907670</v>
      </c>
      <c r="AB51" s="7">
        <f>SUMIFS('Tong_hop_HQNV_2026Q1_2026-06-23'!$L:$L,'Tong_hop_HQNV_2026Q1_2026-06-23'!$B:$B, "="&amp;'CHECK_DT-BT'!A51, 'Tong_hop_HQNV_2026Q1_2026-06-23'!$A:$A, "="&amp;$AB$2)</f>
        <v>0</v>
      </c>
      <c r="AC51" s="7">
        <f>SUMIFS('Tong_hop_HQNV_2026Q1_2026-06-23'!$L:$L,'Tong_hop_HQNV_2026Q1_2026-06-23'!$B:$B, "="&amp;'CHECK_DT-BT'!A51, 'Tong_hop_HQNV_2026Q1_2026-06-23'!$A:$A, "="&amp;$AC$2)</f>
        <v>0</v>
      </c>
      <c r="AD51" s="7">
        <f>SUMIFS('Tong_hop_HQNV_2026Q1_2026-06-23'!$L:$L,'Tong_hop_HQNV_2026Q1_2026-06-23'!$B:$B, "="&amp;'CHECK_DT-BT'!A51, 'Tong_hop_HQNV_2026Q1_2026-06-23'!$A:$A, "="&amp;$AD$2)</f>
        <v>0</v>
      </c>
      <c r="AE51" s="7">
        <f>SUMIFS('Tong_hop_HQNV_2026Q1_2026-06-23'!$L:$L,'Tong_hop_HQNV_2026Q1_2026-06-23'!$B:$B, "="&amp;'CHECK_DT-BT'!A51, 'Tong_hop_HQNV_2026Q1_2026-06-23'!$A:$A, "="&amp;$AE$2)</f>
        <v>53684443</v>
      </c>
      <c r="AF51" s="7">
        <f>SUMIFS('Tong_hop_HQNV_2026Q1_2026-06-23'!$L:$L,'Tong_hop_HQNV_2026Q1_2026-06-23'!$B:$B, "="&amp;'CHECK_DT-BT'!A51, 'Tong_hop_HQNV_2026Q1_2026-06-23'!$A:$A, "="&amp;$AF$2)</f>
        <v>0</v>
      </c>
      <c r="AG51" s="7">
        <f>SUMIFS('Tong_hop_HQNV_2026Q1_2026-06-23'!$L:$L,'Tong_hop_HQNV_2026Q1_2026-06-23'!$B:$B, "="&amp;'CHECK_DT-BT'!A51, 'Tong_hop_HQNV_2026Q1_2026-06-23'!$A:$A, "="&amp;$AG$2)</f>
        <v>0</v>
      </c>
      <c r="AH51" s="7">
        <f>SUMIFS('Tong_hop_HQNV_2026Q1_2026-06-23'!$L:$L,'Tong_hop_HQNV_2026Q1_2026-06-23'!$B:$B, "="&amp;'CHECK_DT-BT'!A51, 'Tong_hop_HQNV_2026Q1_2026-06-23'!$A:$A, "="&amp;$AH$2)</f>
        <v>0</v>
      </c>
      <c r="AI51" s="7">
        <f>SUMIFS('Tong_hop_HQNV_2026Q1_2026-06-23'!$L:$L,'Tong_hop_HQNV_2026Q1_2026-06-23'!$B:$B, "="&amp;'CHECK_DT-BT'!A51, 'Tong_hop_HQNV_2026Q1_2026-06-23'!$A:$A, "="&amp;$AI$2)</f>
        <v>0</v>
      </c>
      <c r="AJ51" s="7">
        <f t="shared" si="6"/>
        <v>8340586686</v>
      </c>
      <c r="AK51" s="7">
        <f t="shared" si="7"/>
        <v>1888592113</v>
      </c>
      <c r="AL51" s="7">
        <f>SUMIFS('HQ1'!$D:$D,'HQ1'!$A:$A, "="&amp;'CHECK_DT-BT'!C51, 'HQ1'!$B:$B, "Total")</f>
        <v>8340586686</v>
      </c>
      <c r="AM51" s="7">
        <f>SUMIFS('HQ2'!$J:$J,'HQ2'!$A:$A, "="&amp;'CHECK_DT-BT'!C51, 'HQ2'!$B:$B, "Total")</f>
        <v>1888592113</v>
      </c>
      <c r="AN51" s="24">
        <f t="shared" si="8"/>
        <v>0</v>
      </c>
      <c r="AO51" s="24">
        <f t="shared" si="9"/>
        <v>0</v>
      </c>
    </row>
    <row r="52" spans="1:41" x14ac:dyDescent="0.25">
      <c r="A52" s="9" t="s">
        <v>332</v>
      </c>
      <c r="B52" t="s">
        <v>190</v>
      </c>
      <c r="C52" t="s">
        <v>93</v>
      </c>
      <c r="D52" s="7">
        <f>SUMIFS('Tong_hop_HQNV_2026Q1_2026-06-23'!$K:$K,'Tong_hop_HQNV_2026Q1_2026-06-23'!$A:$A,"="&amp;'CHECK_DT-BT'!$D$2,'Tong_hop_HQNV_2026Q1_2026-06-23'!$B:$B, "="&amp;'CHECK_DT-BT'!A52)</f>
        <v>3018435000</v>
      </c>
      <c r="E52" s="7">
        <f>SUMIFS('Tong_hop_HQNV_2026Q1_2026-06-23'!$K:$K,'Tong_hop_HQNV_2026Q1_2026-06-23'!$A:$A,"="&amp;'CHECK_DT-BT'!$E$2,'Tong_hop_HQNV_2026Q1_2026-06-23'!$B:$B, "="&amp;'CHECK_DT-BT'!A52)</f>
        <v>19291300</v>
      </c>
      <c r="F52" s="7">
        <f>SUMIFS('Tong_hop_HQNV_2026Q1_2026-06-23'!$K:$K,'Tong_hop_HQNV_2026Q1_2026-06-23'!$A:$A,"="&amp;'CHECK_DT-BT'!$F$2,'Tong_hop_HQNV_2026Q1_2026-06-23'!$B:$B, "="&amp;'CHECK_DT-BT'!A52)</f>
        <v>1223475707</v>
      </c>
      <c r="G52" s="7">
        <f>SUMIFS('Tong_hop_HQNV_2026Q1_2026-06-23'!$K:$K,'Tong_hop_HQNV_2026Q1_2026-06-23'!$A:$A,"="&amp;'CHECK_DT-BT'!$G$2,'Tong_hop_HQNV_2026Q1_2026-06-23'!$B:$B, "="&amp;'CHECK_DT-BT'!A52)</f>
        <v>737063750</v>
      </c>
      <c r="H52" s="7">
        <f>SUMIFS('Tong_hop_HQNV_2026Q1_2026-06-23'!$K:$K,'Tong_hop_HQNV_2026Q1_2026-06-23'!$A:$A,"="&amp;$H$2,'Tong_hop_HQNV_2026Q1_2026-06-23'!$B:$B, "="&amp;'CHECK_DT-BT'!A52)</f>
        <v>0</v>
      </c>
      <c r="I52" s="7">
        <f>SUMIFS('Tong_hop_HQNV_2026Q1_2026-06-23'!$K:$K,'Tong_hop_HQNV_2026Q1_2026-06-23'!$A:$A,"="&amp;$I$2,'Tong_hop_HQNV_2026Q1_2026-06-23'!$B:$B, "="&amp;'CHECK_DT-BT'!A52)</f>
        <v>1594211997</v>
      </c>
      <c r="J52" s="7">
        <f>SUMIFS('Tong_hop_HQNV_2026Q1_2026-06-23'!$K:$K,'Tong_hop_HQNV_2026Q1_2026-06-23'!$A:$A,"="&amp;$J$2,'Tong_hop_HQNV_2026Q1_2026-06-23'!$B:$B, "="&amp;'CHECK_DT-BT'!A52)</f>
        <v>530493751</v>
      </c>
      <c r="K52" s="7">
        <f>SUMIFS('Tong_hop_HQNV_2026Q1_2026-06-23'!$K:$K,'Tong_hop_HQNV_2026Q1_2026-06-23'!$A:$A,"="&amp;$K$2,'Tong_hop_HQNV_2026Q1_2026-06-23'!$B:$B, "="&amp;'CHECK_DT-BT'!A52)</f>
        <v>172478240</v>
      </c>
      <c r="L52" s="7">
        <f>SUMIFS('Tong_hop_HQNV_2026Q1_2026-06-23'!$K:$K,'Tong_hop_HQNV_2026Q1_2026-06-23'!$A:$A,"="&amp;$L$2,'Tong_hop_HQNV_2026Q1_2026-06-23'!$B:$B, "="&amp;'CHECK_DT-BT'!A52)</f>
        <v>979690324</v>
      </c>
      <c r="M52" s="7">
        <f>SUMIFS('Tong_hop_HQNV_2026Q1_2026-06-23'!$K:$K,'Tong_hop_HQNV_2026Q1_2026-06-23'!$A:$A,"="&amp;$M$2,'Tong_hop_HQNV_2026Q1_2026-06-23'!$B:$B, "="&amp;'CHECK_DT-BT'!A52)</f>
        <v>441549755</v>
      </c>
      <c r="N52" s="7">
        <f>SUMIFS('Tong_hop_HQNV_2026Q1_2026-06-23'!$K:$K,'Tong_hop_HQNV_2026Q1_2026-06-23'!$A:$A,"="&amp;$N$2,'Tong_hop_HQNV_2026Q1_2026-06-23'!$B:$B, "="&amp;'CHECK_DT-BT'!A52)</f>
        <v>16000000</v>
      </c>
      <c r="O52" s="7">
        <f>SUMIFS('Tong_hop_HQNV_2026Q1_2026-06-23'!$K:$K,'Tong_hop_HQNV_2026Q1_2026-06-23'!$A:$A,"="&amp;$O$2,'Tong_hop_HQNV_2026Q1_2026-06-23'!$B:$B, "="&amp;'CHECK_DT-BT'!A52)</f>
        <v>0</v>
      </c>
      <c r="P52" s="7">
        <f>SUMIFS('Tong_hop_HQNV_2026Q1_2026-06-23'!$K:$K,'Tong_hop_HQNV_2026Q1_2026-06-23'!$A:$A,"="&amp;$P$2,'Tong_hop_HQNV_2026Q1_2026-06-23'!$B:$B, "="&amp;'CHECK_DT-BT'!A52)</f>
        <v>0</v>
      </c>
      <c r="Q52" s="7">
        <f t="shared" si="2"/>
        <v>4998265757</v>
      </c>
      <c r="R52" s="7">
        <f t="shared" si="3"/>
        <v>3734424067</v>
      </c>
      <c r="S52" s="7">
        <f>SUMIFS('HQ1'!$C:$C,'HQ1'!$A:$A, "="&amp;'CHECK_DT-BT'!C52, 'HQ1'!$B:$B, "Total")</f>
        <v>4998265757</v>
      </c>
      <c r="T52" s="7">
        <f>SUMIFS('HQ2'!$C:$C,'HQ2'!$A:$A, "="&amp;'CHECK_DT-BT'!C52, 'HQ2'!$B:$B, "Total")</f>
        <v>3734424067</v>
      </c>
      <c r="U52" s="7">
        <f t="shared" si="4"/>
        <v>0</v>
      </c>
      <c r="V52" s="7">
        <f t="shared" si="5"/>
        <v>0</v>
      </c>
      <c r="W52" s="23">
        <f>SUMIFS('Tong_hop_HQNV_2026Q1_2026-06-23'!$L:$L,'Tong_hop_HQNV_2026Q1_2026-06-23'!$B:$B, "="&amp;'CHECK_DT-BT'!A52, 'Tong_hop_HQNV_2026Q1_2026-06-23'!$A:$A, "="&amp;'CHECK_DT-BT'!$W$2)</f>
        <v>1948746500</v>
      </c>
      <c r="X52" s="7">
        <f>SUMIFS('Tong_hop_HQNV_2026Q1_2026-06-23'!$L:$L,'Tong_hop_HQNV_2026Q1_2026-06-23'!$B:$B, "="&amp;'CHECK_DT-BT'!A52, 'Tong_hop_HQNV_2026Q1_2026-06-23'!$A:$A, "="&amp;'CHECK_DT-BT'!$X$2)</f>
        <v>0</v>
      </c>
      <c r="Y52" s="7">
        <f>SUMIFS('Tong_hop_HQNV_2026Q1_2026-06-23'!$L:$L,'Tong_hop_HQNV_2026Q1_2026-06-23'!$B:$B, "="&amp;'CHECK_DT-BT'!A52, 'Tong_hop_HQNV_2026Q1_2026-06-23'!$A:$A, "="&amp;'CHECK_DT-BT'!$Y$2)</f>
        <v>829254747</v>
      </c>
      <c r="Z52" s="7">
        <f>SUMIFS('Tong_hop_HQNV_2026Q1_2026-06-23'!$L:$L,'Tong_hop_HQNV_2026Q1_2026-06-23'!$B:$B, "="&amp;'CHECK_DT-BT'!A52, 'Tong_hop_HQNV_2026Q1_2026-06-23'!$A:$A, "="&amp;'CHECK_DT-BT'!$Z$2)</f>
        <v>164622619</v>
      </c>
      <c r="AA52" s="7">
        <f>SUMIFS('Tong_hop_HQNV_2026Q1_2026-06-23'!$L:$L,'Tong_hop_HQNV_2026Q1_2026-06-23'!$B:$B, "="&amp;'CHECK_DT-BT'!A52, 'Tong_hop_HQNV_2026Q1_2026-06-23'!$A:$A, "="&amp;$AA$2)</f>
        <v>0</v>
      </c>
      <c r="AB52" s="7">
        <f>SUMIFS('Tong_hop_HQNV_2026Q1_2026-06-23'!$L:$L,'Tong_hop_HQNV_2026Q1_2026-06-23'!$B:$B, "="&amp;'CHECK_DT-BT'!A52, 'Tong_hop_HQNV_2026Q1_2026-06-23'!$A:$A, "="&amp;$AB$2)</f>
        <v>25486590</v>
      </c>
      <c r="AC52" s="7">
        <f>SUMIFS('Tong_hop_HQNV_2026Q1_2026-06-23'!$L:$L,'Tong_hop_HQNV_2026Q1_2026-06-23'!$B:$B, "="&amp;'CHECK_DT-BT'!A52, 'Tong_hop_HQNV_2026Q1_2026-06-23'!$A:$A, "="&amp;$AC$2)</f>
        <v>0</v>
      </c>
      <c r="AD52" s="7">
        <f>SUMIFS('Tong_hop_HQNV_2026Q1_2026-06-23'!$L:$L,'Tong_hop_HQNV_2026Q1_2026-06-23'!$B:$B, "="&amp;'CHECK_DT-BT'!A52, 'Tong_hop_HQNV_2026Q1_2026-06-23'!$A:$A, "="&amp;$AD$2)</f>
        <v>37440000</v>
      </c>
      <c r="AE52" s="7">
        <f>SUMIFS('Tong_hop_HQNV_2026Q1_2026-06-23'!$L:$L,'Tong_hop_HQNV_2026Q1_2026-06-23'!$B:$B, "="&amp;'CHECK_DT-BT'!A52, 'Tong_hop_HQNV_2026Q1_2026-06-23'!$A:$A, "="&amp;$AE$2)</f>
        <v>0</v>
      </c>
      <c r="AF52" s="7">
        <f>SUMIFS('Tong_hop_HQNV_2026Q1_2026-06-23'!$L:$L,'Tong_hop_HQNV_2026Q1_2026-06-23'!$B:$B, "="&amp;'CHECK_DT-BT'!A52, 'Tong_hop_HQNV_2026Q1_2026-06-23'!$A:$A, "="&amp;$AF$2)</f>
        <v>0</v>
      </c>
      <c r="AG52" s="7">
        <f>SUMIFS('Tong_hop_HQNV_2026Q1_2026-06-23'!$L:$L,'Tong_hop_HQNV_2026Q1_2026-06-23'!$B:$B, "="&amp;'CHECK_DT-BT'!A52, 'Tong_hop_HQNV_2026Q1_2026-06-23'!$A:$A, "="&amp;$AG$2)</f>
        <v>0</v>
      </c>
      <c r="AH52" s="7">
        <f>SUMIFS('Tong_hop_HQNV_2026Q1_2026-06-23'!$L:$L,'Tong_hop_HQNV_2026Q1_2026-06-23'!$B:$B, "="&amp;'CHECK_DT-BT'!A52, 'Tong_hop_HQNV_2026Q1_2026-06-23'!$A:$A, "="&amp;$AH$2)</f>
        <v>0</v>
      </c>
      <c r="AI52" s="7">
        <f>SUMIFS('Tong_hop_HQNV_2026Q1_2026-06-23'!$L:$L,'Tong_hop_HQNV_2026Q1_2026-06-23'!$B:$B, "="&amp;'CHECK_DT-BT'!A52, 'Tong_hop_HQNV_2026Q1_2026-06-23'!$A:$A, "="&amp;$AI$2)</f>
        <v>0</v>
      </c>
      <c r="AJ52" s="7">
        <f t="shared" si="6"/>
        <v>2942623866</v>
      </c>
      <c r="AK52" s="7">
        <f t="shared" si="7"/>
        <v>62926590</v>
      </c>
      <c r="AL52" s="7">
        <f>SUMIFS('HQ1'!$D:$D,'HQ1'!$A:$A, "="&amp;'CHECK_DT-BT'!C52, 'HQ1'!$B:$B, "Total")</f>
        <v>2942623866</v>
      </c>
      <c r="AM52" s="7">
        <f>SUMIFS('HQ2'!$J:$J,'HQ2'!$A:$A, "="&amp;'CHECK_DT-BT'!C52, 'HQ2'!$B:$B, "Total")</f>
        <v>62926590</v>
      </c>
      <c r="AN52" s="24">
        <f t="shared" si="8"/>
        <v>0</v>
      </c>
      <c r="AO52" s="24">
        <f t="shared" si="9"/>
        <v>0</v>
      </c>
    </row>
    <row r="53" spans="1:41" x14ac:dyDescent="0.25">
      <c r="A53" s="9" t="s">
        <v>333</v>
      </c>
      <c r="B53" t="s">
        <v>191</v>
      </c>
      <c r="C53" t="s">
        <v>70</v>
      </c>
      <c r="D53" s="7">
        <f>SUMIFS('Tong_hop_HQNV_2026Q1_2026-06-23'!$K:$K,'Tong_hop_HQNV_2026Q1_2026-06-23'!$A:$A,"="&amp;'CHECK_DT-BT'!$D$2,'Tong_hop_HQNV_2026Q1_2026-06-23'!$B:$B, "="&amp;'CHECK_DT-BT'!A53)</f>
        <v>20392240200</v>
      </c>
      <c r="E53" s="7">
        <f>SUMIFS('Tong_hop_HQNV_2026Q1_2026-06-23'!$K:$K,'Tong_hop_HQNV_2026Q1_2026-06-23'!$A:$A,"="&amp;'CHECK_DT-BT'!$E$2,'Tong_hop_HQNV_2026Q1_2026-06-23'!$B:$B, "="&amp;'CHECK_DT-BT'!A53)</f>
        <v>185461000</v>
      </c>
      <c r="F53" s="7">
        <f>SUMIFS('Tong_hop_HQNV_2026Q1_2026-06-23'!$K:$K,'Tong_hop_HQNV_2026Q1_2026-06-23'!$A:$A,"="&amp;'CHECK_DT-BT'!$F$2,'Tong_hop_HQNV_2026Q1_2026-06-23'!$B:$B, "="&amp;'CHECK_DT-BT'!A53)</f>
        <v>10854261928</v>
      </c>
      <c r="G53" s="7">
        <f>SUMIFS('Tong_hop_HQNV_2026Q1_2026-06-23'!$K:$K,'Tong_hop_HQNV_2026Q1_2026-06-23'!$A:$A,"="&amp;'CHECK_DT-BT'!$G$2,'Tong_hop_HQNV_2026Q1_2026-06-23'!$B:$B, "="&amp;'CHECK_DT-BT'!A53)</f>
        <v>547852740</v>
      </c>
      <c r="H53" s="7">
        <f>SUMIFS('Tong_hop_HQNV_2026Q1_2026-06-23'!$K:$K,'Tong_hop_HQNV_2026Q1_2026-06-23'!$A:$A,"="&amp;$H$2,'Tong_hop_HQNV_2026Q1_2026-06-23'!$B:$B, "="&amp;'CHECK_DT-BT'!A53)</f>
        <v>22805242</v>
      </c>
      <c r="I53" s="7">
        <f>SUMIFS('Tong_hop_HQNV_2026Q1_2026-06-23'!$K:$K,'Tong_hop_HQNV_2026Q1_2026-06-23'!$A:$A,"="&amp;$I$2,'Tong_hop_HQNV_2026Q1_2026-06-23'!$B:$B, "="&amp;'CHECK_DT-BT'!A53)</f>
        <v>5118972604</v>
      </c>
      <c r="J53" s="7">
        <f>SUMIFS('Tong_hop_HQNV_2026Q1_2026-06-23'!$K:$K,'Tong_hop_HQNV_2026Q1_2026-06-23'!$A:$A,"="&amp;$J$2,'Tong_hop_HQNV_2026Q1_2026-06-23'!$B:$B, "="&amp;'CHECK_DT-BT'!A53)</f>
        <v>1664340206</v>
      </c>
      <c r="K53" s="7">
        <f>SUMIFS('Tong_hop_HQNV_2026Q1_2026-06-23'!$K:$K,'Tong_hop_HQNV_2026Q1_2026-06-23'!$A:$A,"="&amp;$K$2,'Tong_hop_HQNV_2026Q1_2026-06-23'!$B:$B, "="&amp;'CHECK_DT-BT'!A53)</f>
        <v>27750000</v>
      </c>
      <c r="L53" s="7">
        <f>SUMIFS('Tong_hop_HQNV_2026Q1_2026-06-23'!$K:$K,'Tong_hop_HQNV_2026Q1_2026-06-23'!$A:$A,"="&amp;$L$2,'Tong_hop_HQNV_2026Q1_2026-06-23'!$B:$B, "="&amp;'CHECK_DT-BT'!A53)</f>
        <v>999669282</v>
      </c>
      <c r="M53" s="7">
        <f>SUMIFS('Tong_hop_HQNV_2026Q1_2026-06-23'!$K:$K,'Tong_hop_HQNV_2026Q1_2026-06-23'!$A:$A,"="&amp;$M$2,'Tong_hop_HQNV_2026Q1_2026-06-23'!$B:$B, "="&amp;'CHECK_DT-BT'!A53)</f>
        <v>1526400117</v>
      </c>
      <c r="N53" s="7">
        <f>SUMIFS('Tong_hop_HQNV_2026Q1_2026-06-23'!$K:$K,'Tong_hop_HQNV_2026Q1_2026-06-23'!$A:$A,"="&amp;$N$2,'Tong_hop_HQNV_2026Q1_2026-06-23'!$B:$B, "="&amp;'CHECK_DT-BT'!A53)</f>
        <v>877000000</v>
      </c>
      <c r="O53" s="7">
        <f>SUMIFS('Tong_hop_HQNV_2026Q1_2026-06-23'!$K:$K,'Tong_hop_HQNV_2026Q1_2026-06-23'!$A:$A,"="&amp;$O$2,'Tong_hop_HQNV_2026Q1_2026-06-23'!$B:$B, "="&amp;'CHECK_DT-BT'!A53)</f>
        <v>0</v>
      </c>
      <c r="P53" s="7">
        <f>SUMIFS('Tong_hop_HQNV_2026Q1_2026-06-23'!$K:$K,'Tong_hop_HQNV_2026Q1_2026-06-23'!$A:$A,"="&amp;$P$2,'Tong_hop_HQNV_2026Q1_2026-06-23'!$B:$B, "="&amp;'CHECK_DT-BT'!A53)</f>
        <v>0</v>
      </c>
      <c r="Q53" s="7">
        <f t="shared" si="2"/>
        <v>31979815868</v>
      </c>
      <c r="R53" s="7">
        <f t="shared" si="3"/>
        <v>10236937451</v>
      </c>
      <c r="S53" s="7">
        <f>SUMIFS('HQ1'!$C:$C,'HQ1'!$A:$A, "="&amp;'CHECK_DT-BT'!C53, 'HQ1'!$B:$B, "Total")</f>
        <v>31979609868</v>
      </c>
      <c r="T53" s="7">
        <f>SUMIFS('HQ2'!$C:$C,'HQ2'!$A:$A, "="&amp;'CHECK_DT-BT'!C53, 'HQ2'!$B:$B, "Total")</f>
        <v>10236937451</v>
      </c>
      <c r="U53" s="7">
        <f t="shared" si="4"/>
        <v>206000</v>
      </c>
      <c r="V53" s="7">
        <f t="shared" si="5"/>
        <v>0</v>
      </c>
      <c r="W53" s="23">
        <f>SUMIFS('Tong_hop_HQNV_2026Q1_2026-06-23'!$L:$L,'Tong_hop_HQNV_2026Q1_2026-06-23'!$B:$B, "="&amp;'CHECK_DT-BT'!A53, 'Tong_hop_HQNV_2026Q1_2026-06-23'!$A:$A, "="&amp;'CHECK_DT-BT'!$W$2)</f>
        <v>12577349262</v>
      </c>
      <c r="X53" s="7">
        <f>SUMIFS('Tong_hop_HQNV_2026Q1_2026-06-23'!$L:$L,'Tong_hop_HQNV_2026Q1_2026-06-23'!$B:$B, "="&amp;'CHECK_DT-BT'!A53, 'Tong_hop_HQNV_2026Q1_2026-06-23'!$A:$A, "="&amp;'CHECK_DT-BT'!$X$2)</f>
        <v>0</v>
      </c>
      <c r="Y53" s="7">
        <f>SUMIFS('Tong_hop_HQNV_2026Q1_2026-06-23'!$L:$L,'Tong_hop_HQNV_2026Q1_2026-06-23'!$B:$B, "="&amp;'CHECK_DT-BT'!A53, 'Tong_hop_HQNV_2026Q1_2026-06-23'!$A:$A, "="&amp;'CHECK_DT-BT'!$Y$2)</f>
        <v>4363270171</v>
      </c>
      <c r="Z53" s="7">
        <f>SUMIFS('Tong_hop_HQNV_2026Q1_2026-06-23'!$L:$L,'Tong_hop_HQNV_2026Q1_2026-06-23'!$B:$B, "="&amp;'CHECK_DT-BT'!A53, 'Tong_hop_HQNV_2026Q1_2026-06-23'!$A:$A, "="&amp;'CHECK_DT-BT'!$Z$2)</f>
        <v>95060422</v>
      </c>
      <c r="AA53" s="7">
        <f>SUMIFS('Tong_hop_HQNV_2026Q1_2026-06-23'!$L:$L,'Tong_hop_HQNV_2026Q1_2026-06-23'!$B:$B, "="&amp;'CHECK_DT-BT'!A53, 'Tong_hop_HQNV_2026Q1_2026-06-23'!$A:$A, "="&amp;$AA$2)</f>
        <v>0</v>
      </c>
      <c r="AB53" s="7">
        <f>SUMIFS('Tong_hop_HQNV_2026Q1_2026-06-23'!$L:$L,'Tong_hop_HQNV_2026Q1_2026-06-23'!$B:$B, "="&amp;'CHECK_DT-BT'!A53, 'Tong_hop_HQNV_2026Q1_2026-06-23'!$A:$A, "="&amp;$AB$2)</f>
        <v>364553470</v>
      </c>
      <c r="AC53" s="7">
        <f>SUMIFS('Tong_hop_HQNV_2026Q1_2026-06-23'!$L:$L,'Tong_hop_HQNV_2026Q1_2026-06-23'!$B:$B, "="&amp;'CHECK_DT-BT'!A53, 'Tong_hop_HQNV_2026Q1_2026-06-23'!$A:$A, "="&amp;$AC$2)</f>
        <v>0</v>
      </c>
      <c r="AD53" s="7">
        <f>SUMIFS('Tong_hop_HQNV_2026Q1_2026-06-23'!$L:$L,'Tong_hop_HQNV_2026Q1_2026-06-23'!$B:$B, "="&amp;'CHECK_DT-BT'!A53, 'Tong_hop_HQNV_2026Q1_2026-06-23'!$A:$A, "="&amp;$AD$2)</f>
        <v>0</v>
      </c>
      <c r="AE53" s="7">
        <f>SUMIFS('Tong_hop_HQNV_2026Q1_2026-06-23'!$L:$L,'Tong_hop_HQNV_2026Q1_2026-06-23'!$B:$B, "="&amp;'CHECK_DT-BT'!A53, 'Tong_hop_HQNV_2026Q1_2026-06-23'!$A:$A, "="&amp;$AE$2)</f>
        <v>494857891</v>
      </c>
      <c r="AF53" s="7">
        <f>SUMIFS('Tong_hop_HQNV_2026Q1_2026-06-23'!$L:$L,'Tong_hop_HQNV_2026Q1_2026-06-23'!$B:$B, "="&amp;'CHECK_DT-BT'!A53, 'Tong_hop_HQNV_2026Q1_2026-06-23'!$A:$A, "="&amp;$AF$2)</f>
        <v>313569857</v>
      </c>
      <c r="AG53" s="7">
        <f>SUMIFS('Tong_hop_HQNV_2026Q1_2026-06-23'!$L:$L,'Tong_hop_HQNV_2026Q1_2026-06-23'!$B:$B, "="&amp;'CHECK_DT-BT'!A53, 'Tong_hop_HQNV_2026Q1_2026-06-23'!$A:$A, "="&amp;$AG$2)</f>
        <v>0</v>
      </c>
      <c r="AH53" s="7">
        <f>SUMIFS('Tong_hop_HQNV_2026Q1_2026-06-23'!$L:$L,'Tong_hop_HQNV_2026Q1_2026-06-23'!$B:$B, "="&amp;'CHECK_DT-BT'!A53, 'Tong_hop_HQNV_2026Q1_2026-06-23'!$A:$A, "="&amp;$AH$2)</f>
        <v>0</v>
      </c>
      <c r="AI53" s="7">
        <f>SUMIFS('Tong_hop_HQNV_2026Q1_2026-06-23'!$L:$L,'Tong_hop_HQNV_2026Q1_2026-06-23'!$B:$B, "="&amp;'CHECK_DT-BT'!A53, 'Tong_hop_HQNV_2026Q1_2026-06-23'!$A:$A, "="&amp;$AI$2)</f>
        <v>0</v>
      </c>
      <c r="AJ53" s="7">
        <f t="shared" si="6"/>
        <v>17035679855</v>
      </c>
      <c r="AK53" s="7">
        <f t="shared" si="7"/>
        <v>1172981218</v>
      </c>
      <c r="AL53" s="7">
        <f>SUMIFS('HQ1'!$D:$D,'HQ1'!$A:$A, "="&amp;'CHECK_DT-BT'!C53, 'HQ1'!$B:$B, "Total")</f>
        <v>17035679855</v>
      </c>
      <c r="AM53" s="7">
        <f>SUMIFS('HQ2'!$J:$J,'HQ2'!$A:$A, "="&amp;'CHECK_DT-BT'!C53, 'HQ2'!$B:$B, "Total")</f>
        <v>1172981218</v>
      </c>
      <c r="AN53" s="24">
        <f t="shared" si="8"/>
        <v>0</v>
      </c>
      <c r="AO53" s="24">
        <f t="shared" si="9"/>
        <v>0</v>
      </c>
    </row>
    <row r="54" spans="1:41" x14ac:dyDescent="0.25">
      <c r="A54" s="9" t="s">
        <v>334</v>
      </c>
      <c r="B54" t="s">
        <v>192</v>
      </c>
      <c r="C54" t="s">
        <v>94</v>
      </c>
      <c r="D54" s="7">
        <f>SUMIFS('Tong_hop_HQNV_2026Q1_2026-06-23'!$K:$K,'Tong_hop_HQNV_2026Q1_2026-06-23'!$A:$A,"="&amp;'CHECK_DT-BT'!$D$2,'Tong_hop_HQNV_2026Q1_2026-06-23'!$B:$B, "="&amp;'CHECK_DT-BT'!A54)</f>
        <v>2399088220</v>
      </c>
      <c r="E54" s="7">
        <f>SUMIFS('Tong_hop_HQNV_2026Q1_2026-06-23'!$K:$K,'Tong_hop_HQNV_2026Q1_2026-06-23'!$A:$A,"="&amp;'CHECK_DT-BT'!$E$2,'Tong_hop_HQNV_2026Q1_2026-06-23'!$B:$B, "="&amp;'CHECK_DT-BT'!A54)</f>
        <v>7485240</v>
      </c>
      <c r="F54" s="7">
        <f>SUMIFS('Tong_hop_HQNV_2026Q1_2026-06-23'!$K:$K,'Tong_hop_HQNV_2026Q1_2026-06-23'!$A:$A,"="&amp;'CHECK_DT-BT'!$F$2,'Tong_hop_HQNV_2026Q1_2026-06-23'!$B:$B, "="&amp;'CHECK_DT-BT'!A54)</f>
        <v>1983067029</v>
      </c>
      <c r="G54" s="7">
        <f>SUMIFS('Tong_hop_HQNV_2026Q1_2026-06-23'!$K:$K,'Tong_hop_HQNV_2026Q1_2026-06-23'!$A:$A,"="&amp;'CHECK_DT-BT'!$G$2,'Tong_hop_HQNV_2026Q1_2026-06-23'!$B:$B, "="&amp;'CHECK_DT-BT'!A54)</f>
        <v>450971736</v>
      </c>
      <c r="H54" s="7">
        <f>SUMIFS('Tong_hop_HQNV_2026Q1_2026-06-23'!$K:$K,'Tong_hop_HQNV_2026Q1_2026-06-23'!$A:$A,"="&amp;$H$2,'Tong_hop_HQNV_2026Q1_2026-06-23'!$B:$B, "="&amp;'CHECK_DT-BT'!A54)</f>
        <v>939084999</v>
      </c>
      <c r="I54" s="7">
        <f>SUMIFS('Tong_hop_HQNV_2026Q1_2026-06-23'!$K:$K,'Tong_hop_HQNV_2026Q1_2026-06-23'!$A:$A,"="&amp;$I$2,'Tong_hop_HQNV_2026Q1_2026-06-23'!$B:$B, "="&amp;'CHECK_DT-BT'!A54)</f>
        <v>0</v>
      </c>
      <c r="J54" s="7">
        <f>SUMIFS('Tong_hop_HQNV_2026Q1_2026-06-23'!$K:$K,'Tong_hop_HQNV_2026Q1_2026-06-23'!$A:$A,"="&amp;$J$2,'Tong_hop_HQNV_2026Q1_2026-06-23'!$B:$B, "="&amp;'CHECK_DT-BT'!A54)</f>
        <v>459317720</v>
      </c>
      <c r="K54" s="7">
        <f>SUMIFS('Tong_hop_HQNV_2026Q1_2026-06-23'!$K:$K,'Tong_hop_HQNV_2026Q1_2026-06-23'!$A:$A,"="&amp;$K$2,'Tong_hop_HQNV_2026Q1_2026-06-23'!$B:$B, "="&amp;'CHECK_DT-BT'!A54)</f>
        <v>626453349</v>
      </c>
      <c r="L54" s="7">
        <f>SUMIFS('Tong_hop_HQNV_2026Q1_2026-06-23'!$K:$K,'Tong_hop_HQNV_2026Q1_2026-06-23'!$A:$A,"="&amp;$L$2,'Tong_hop_HQNV_2026Q1_2026-06-23'!$B:$B, "="&amp;'CHECK_DT-BT'!A54)</f>
        <v>318493760</v>
      </c>
      <c r="M54" s="7">
        <f>SUMIFS('Tong_hop_HQNV_2026Q1_2026-06-23'!$K:$K,'Tong_hop_HQNV_2026Q1_2026-06-23'!$A:$A,"="&amp;$M$2,'Tong_hop_HQNV_2026Q1_2026-06-23'!$B:$B, "="&amp;'CHECK_DT-BT'!A54)</f>
        <v>188610563</v>
      </c>
      <c r="N54" s="7">
        <f>SUMIFS('Tong_hop_HQNV_2026Q1_2026-06-23'!$K:$K,'Tong_hop_HQNV_2026Q1_2026-06-23'!$A:$A,"="&amp;$N$2,'Tong_hop_HQNV_2026Q1_2026-06-23'!$B:$B, "="&amp;'CHECK_DT-BT'!A54)</f>
        <v>0</v>
      </c>
      <c r="O54" s="7">
        <f>SUMIFS('Tong_hop_HQNV_2026Q1_2026-06-23'!$K:$K,'Tong_hop_HQNV_2026Q1_2026-06-23'!$A:$A,"="&amp;$O$2,'Tong_hop_HQNV_2026Q1_2026-06-23'!$B:$B, "="&amp;'CHECK_DT-BT'!A54)</f>
        <v>0</v>
      </c>
      <c r="P54" s="7">
        <f>SUMIFS('Tong_hop_HQNV_2026Q1_2026-06-23'!$K:$K,'Tong_hop_HQNV_2026Q1_2026-06-23'!$A:$A,"="&amp;$P$2,'Tong_hop_HQNV_2026Q1_2026-06-23'!$B:$B, "="&amp;'CHECK_DT-BT'!A54)</f>
        <v>0</v>
      </c>
      <c r="Q54" s="7">
        <f t="shared" si="2"/>
        <v>4840612225</v>
      </c>
      <c r="R54" s="7">
        <f t="shared" si="3"/>
        <v>2531960391</v>
      </c>
      <c r="S54" s="7">
        <f>SUMIFS('HQ1'!$C:$C,'HQ1'!$A:$A, "="&amp;'CHECK_DT-BT'!C54, 'HQ1'!$B:$B, "Total")</f>
        <v>4840612225</v>
      </c>
      <c r="T54" s="7">
        <f>SUMIFS('HQ2'!$C:$C,'HQ2'!$A:$A, "="&amp;'CHECK_DT-BT'!C54, 'HQ2'!$B:$B, "Total")</f>
        <v>2531960391</v>
      </c>
      <c r="U54" s="7">
        <f t="shared" si="4"/>
        <v>0</v>
      </c>
      <c r="V54" s="7">
        <f t="shared" si="5"/>
        <v>0</v>
      </c>
      <c r="W54" s="23">
        <f>SUMIFS('Tong_hop_HQNV_2026Q1_2026-06-23'!$L:$L,'Tong_hop_HQNV_2026Q1_2026-06-23'!$B:$B, "="&amp;'CHECK_DT-BT'!A54, 'Tong_hop_HQNV_2026Q1_2026-06-23'!$A:$A, "="&amp;'CHECK_DT-BT'!$W$2)</f>
        <v>2674415500</v>
      </c>
      <c r="X54" s="7">
        <f>SUMIFS('Tong_hop_HQNV_2026Q1_2026-06-23'!$L:$L,'Tong_hop_HQNV_2026Q1_2026-06-23'!$B:$B, "="&amp;'CHECK_DT-BT'!A54, 'Tong_hop_HQNV_2026Q1_2026-06-23'!$A:$A, "="&amp;'CHECK_DT-BT'!$X$2)</f>
        <v>0</v>
      </c>
      <c r="Y54" s="7">
        <f>SUMIFS('Tong_hop_HQNV_2026Q1_2026-06-23'!$L:$L,'Tong_hop_HQNV_2026Q1_2026-06-23'!$B:$B, "="&amp;'CHECK_DT-BT'!A54, 'Tong_hop_HQNV_2026Q1_2026-06-23'!$A:$A, "="&amp;'CHECK_DT-BT'!$Y$2)</f>
        <v>508713643</v>
      </c>
      <c r="Z54" s="7">
        <f>SUMIFS('Tong_hop_HQNV_2026Q1_2026-06-23'!$L:$L,'Tong_hop_HQNV_2026Q1_2026-06-23'!$B:$B, "="&amp;'CHECK_DT-BT'!A54, 'Tong_hop_HQNV_2026Q1_2026-06-23'!$A:$A, "="&amp;'CHECK_DT-BT'!$Z$2)</f>
        <v>117764953</v>
      </c>
      <c r="AA54" s="7">
        <f>SUMIFS('Tong_hop_HQNV_2026Q1_2026-06-23'!$L:$L,'Tong_hop_HQNV_2026Q1_2026-06-23'!$B:$B, "="&amp;'CHECK_DT-BT'!A54, 'Tong_hop_HQNV_2026Q1_2026-06-23'!$A:$A, "="&amp;$AA$2)</f>
        <v>0</v>
      </c>
      <c r="AB54" s="7">
        <f>SUMIFS('Tong_hop_HQNV_2026Q1_2026-06-23'!$L:$L,'Tong_hop_HQNV_2026Q1_2026-06-23'!$B:$B, "="&amp;'CHECK_DT-BT'!A54, 'Tong_hop_HQNV_2026Q1_2026-06-23'!$A:$A, "="&amp;$AB$2)</f>
        <v>0</v>
      </c>
      <c r="AC54" s="7">
        <f>SUMIFS('Tong_hop_HQNV_2026Q1_2026-06-23'!$L:$L,'Tong_hop_HQNV_2026Q1_2026-06-23'!$B:$B, "="&amp;'CHECK_DT-BT'!A54, 'Tong_hop_HQNV_2026Q1_2026-06-23'!$A:$A, "="&amp;$AC$2)</f>
        <v>0</v>
      </c>
      <c r="AD54" s="7">
        <f>SUMIFS('Tong_hop_HQNV_2026Q1_2026-06-23'!$L:$L,'Tong_hop_HQNV_2026Q1_2026-06-23'!$B:$B, "="&amp;'CHECK_DT-BT'!A54, 'Tong_hop_HQNV_2026Q1_2026-06-23'!$A:$A, "="&amp;$AD$2)</f>
        <v>0</v>
      </c>
      <c r="AE54" s="7">
        <f>SUMIFS('Tong_hop_HQNV_2026Q1_2026-06-23'!$L:$L,'Tong_hop_HQNV_2026Q1_2026-06-23'!$B:$B, "="&amp;'CHECK_DT-BT'!A54, 'Tong_hop_HQNV_2026Q1_2026-06-23'!$A:$A, "="&amp;$AE$2)</f>
        <v>0</v>
      </c>
      <c r="AF54" s="7">
        <f>SUMIFS('Tong_hop_HQNV_2026Q1_2026-06-23'!$L:$L,'Tong_hop_HQNV_2026Q1_2026-06-23'!$B:$B, "="&amp;'CHECK_DT-BT'!A54, 'Tong_hop_HQNV_2026Q1_2026-06-23'!$A:$A, "="&amp;$AF$2)</f>
        <v>0</v>
      </c>
      <c r="AG54" s="7">
        <f>SUMIFS('Tong_hop_HQNV_2026Q1_2026-06-23'!$L:$L,'Tong_hop_HQNV_2026Q1_2026-06-23'!$B:$B, "="&amp;'CHECK_DT-BT'!A54, 'Tong_hop_HQNV_2026Q1_2026-06-23'!$A:$A, "="&amp;$AG$2)</f>
        <v>0</v>
      </c>
      <c r="AH54" s="7">
        <f>SUMIFS('Tong_hop_HQNV_2026Q1_2026-06-23'!$L:$L,'Tong_hop_HQNV_2026Q1_2026-06-23'!$B:$B, "="&amp;'CHECK_DT-BT'!A54, 'Tong_hop_HQNV_2026Q1_2026-06-23'!$A:$A, "="&amp;$AH$2)</f>
        <v>0</v>
      </c>
      <c r="AI54" s="7">
        <f>SUMIFS('Tong_hop_HQNV_2026Q1_2026-06-23'!$L:$L,'Tong_hop_HQNV_2026Q1_2026-06-23'!$B:$B, "="&amp;'CHECK_DT-BT'!A54, 'Tong_hop_HQNV_2026Q1_2026-06-23'!$A:$A, "="&amp;$AI$2)</f>
        <v>0</v>
      </c>
      <c r="AJ54" s="7">
        <f t="shared" si="6"/>
        <v>3300894096</v>
      </c>
      <c r="AK54" s="7">
        <f t="shared" si="7"/>
        <v>0</v>
      </c>
      <c r="AL54" s="7">
        <f>SUMIFS('HQ1'!$D:$D,'HQ1'!$A:$A, "="&amp;'CHECK_DT-BT'!C54, 'HQ1'!$B:$B, "Total")</f>
        <v>3300894096</v>
      </c>
      <c r="AM54" s="7">
        <f>SUMIFS('HQ2'!$J:$J,'HQ2'!$A:$A, "="&amp;'CHECK_DT-BT'!C54, 'HQ2'!$B:$B, "Total")</f>
        <v>0</v>
      </c>
      <c r="AN54" s="24">
        <f t="shared" si="8"/>
        <v>0</v>
      </c>
      <c r="AO54" s="24">
        <f t="shared" si="9"/>
        <v>0</v>
      </c>
    </row>
    <row r="55" spans="1:41" x14ac:dyDescent="0.25">
      <c r="A55" s="9" t="s">
        <v>335</v>
      </c>
      <c r="B55" t="s">
        <v>193</v>
      </c>
      <c r="C55" t="s">
        <v>89</v>
      </c>
      <c r="D55" s="7">
        <f>SUMIFS('Tong_hop_HQNV_2026Q1_2026-06-23'!$K:$K,'Tong_hop_HQNV_2026Q1_2026-06-23'!$A:$A,"="&amp;'CHECK_DT-BT'!$D$2,'Tong_hop_HQNV_2026Q1_2026-06-23'!$B:$B, "="&amp;'CHECK_DT-BT'!A55)</f>
        <v>4731867550</v>
      </c>
      <c r="E55" s="7">
        <f>SUMIFS('Tong_hop_HQNV_2026Q1_2026-06-23'!$K:$K,'Tong_hop_HQNV_2026Q1_2026-06-23'!$A:$A,"="&amp;'CHECK_DT-BT'!$E$2,'Tong_hop_HQNV_2026Q1_2026-06-23'!$B:$B, "="&amp;'CHECK_DT-BT'!A55)</f>
        <v>24546750</v>
      </c>
      <c r="F55" s="7">
        <f>SUMIFS('Tong_hop_HQNV_2026Q1_2026-06-23'!$K:$K,'Tong_hop_HQNV_2026Q1_2026-06-23'!$A:$A,"="&amp;'CHECK_DT-BT'!$F$2,'Tong_hop_HQNV_2026Q1_2026-06-23'!$B:$B, "="&amp;'CHECK_DT-BT'!A55)</f>
        <v>1568363472</v>
      </c>
      <c r="G55" s="7">
        <f>SUMIFS('Tong_hop_HQNV_2026Q1_2026-06-23'!$K:$K,'Tong_hop_HQNV_2026Q1_2026-06-23'!$A:$A,"="&amp;'CHECK_DT-BT'!$G$2,'Tong_hop_HQNV_2026Q1_2026-06-23'!$B:$B, "="&amp;'CHECK_DT-BT'!A55)</f>
        <v>294285675</v>
      </c>
      <c r="H55" s="7">
        <f>SUMIFS('Tong_hop_HQNV_2026Q1_2026-06-23'!$K:$K,'Tong_hop_HQNV_2026Q1_2026-06-23'!$A:$A,"="&amp;$H$2,'Tong_hop_HQNV_2026Q1_2026-06-23'!$B:$B, "="&amp;'CHECK_DT-BT'!A55)</f>
        <v>0</v>
      </c>
      <c r="I55" s="7">
        <f>SUMIFS('Tong_hop_HQNV_2026Q1_2026-06-23'!$K:$K,'Tong_hop_HQNV_2026Q1_2026-06-23'!$A:$A,"="&amp;$I$2,'Tong_hop_HQNV_2026Q1_2026-06-23'!$B:$B, "="&amp;'CHECK_DT-BT'!A55)</f>
        <v>0</v>
      </c>
      <c r="J55" s="7">
        <f>SUMIFS('Tong_hop_HQNV_2026Q1_2026-06-23'!$K:$K,'Tong_hop_HQNV_2026Q1_2026-06-23'!$A:$A,"="&amp;$J$2,'Tong_hop_HQNV_2026Q1_2026-06-23'!$B:$B, "="&amp;'CHECK_DT-BT'!A55)</f>
        <v>0</v>
      </c>
      <c r="K55" s="7">
        <f>SUMIFS('Tong_hop_HQNV_2026Q1_2026-06-23'!$K:$K,'Tong_hop_HQNV_2026Q1_2026-06-23'!$A:$A,"="&amp;$K$2,'Tong_hop_HQNV_2026Q1_2026-06-23'!$B:$B, "="&amp;'CHECK_DT-BT'!A55)</f>
        <v>2143568745</v>
      </c>
      <c r="L55" s="7">
        <f>SUMIFS('Tong_hop_HQNV_2026Q1_2026-06-23'!$K:$K,'Tong_hop_HQNV_2026Q1_2026-06-23'!$A:$A,"="&amp;$L$2,'Tong_hop_HQNV_2026Q1_2026-06-23'!$B:$B, "="&amp;'CHECK_DT-BT'!A55)</f>
        <v>244464091</v>
      </c>
      <c r="M55" s="7">
        <f>SUMIFS('Tong_hop_HQNV_2026Q1_2026-06-23'!$K:$K,'Tong_hop_HQNV_2026Q1_2026-06-23'!$A:$A,"="&amp;$M$2,'Tong_hop_HQNV_2026Q1_2026-06-23'!$B:$B, "="&amp;'CHECK_DT-BT'!A55)</f>
        <v>94724750</v>
      </c>
      <c r="N55" s="7">
        <f>SUMIFS('Tong_hop_HQNV_2026Q1_2026-06-23'!$K:$K,'Tong_hop_HQNV_2026Q1_2026-06-23'!$A:$A,"="&amp;$N$2,'Tong_hop_HQNV_2026Q1_2026-06-23'!$B:$B, "="&amp;'CHECK_DT-BT'!A55)</f>
        <v>0</v>
      </c>
      <c r="O55" s="7">
        <f>SUMIFS('Tong_hop_HQNV_2026Q1_2026-06-23'!$K:$K,'Tong_hop_HQNV_2026Q1_2026-06-23'!$A:$A,"="&amp;$O$2,'Tong_hop_HQNV_2026Q1_2026-06-23'!$B:$B, "="&amp;'CHECK_DT-BT'!A55)</f>
        <v>0</v>
      </c>
      <c r="P55" s="7">
        <f>SUMIFS('Tong_hop_HQNV_2026Q1_2026-06-23'!$K:$K,'Tong_hop_HQNV_2026Q1_2026-06-23'!$A:$A,"="&amp;$P$2,'Tong_hop_HQNV_2026Q1_2026-06-23'!$B:$B, "="&amp;'CHECK_DT-BT'!A55)</f>
        <v>0</v>
      </c>
      <c r="Q55" s="7">
        <f t="shared" si="2"/>
        <v>6619063447</v>
      </c>
      <c r="R55" s="7">
        <f t="shared" si="3"/>
        <v>2482757586</v>
      </c>
      <c r="S55" s="7">
        <f>SUMIFS('HQ1'!$C:$C,'HQ1'!$A:$A, "="&amp;'CHECK_DT-BT'!C55, 'HQ1'!$B:$B, "Total")</f>
        <v>6619063447</v>
      </c>
      <c r="T55" s="7">
        <f>SUMIFS('HQ2'!$C:$C,'HQ2'!$A:$A, "="&amp;'CHECK_DT-BT'!C55, 'HQ2'!$B:$B, "Total")</f>
        <v>2482757586</v>
      </c>
      <c r="U55" s="7">
        <f t="shared" si="4"/>
        <v>0</v>
      </c>
      <c r="V55" s="7">
        <f t="shared" si="5"/>
        <v>0</v>
      </c>
      <c r="W55" s="23">
        <f>SUMIFS('Tong_hop_HQNV_2026Q1_2026-06-23'!$L:$L,'Tong_hop_HQNV_2026Q1_2026-06-23'!$B:$B, "="&amp;'CHECK_DT-BT'!A55, 'Tong_hop_HQNV_2026Q1_2026-06-23'!$A:$A, "="&amp;'CHECK_DT-BT'!$W$2)</f>
        <v>2464704115</v>
      </c>
      <c r="X55" s="7">
        <f>SUMIFS('Tong_hop_HQNV_2026Q1_2026-06-23'!$L:$L,'Tong_hop_HQNV_2026Q1_2026-06-23'!$B:$B, "="&amp;'CHECK_DT-BT'!A55, 'Tong_hop_HQNV_2026Q1_2026-06-23'!$A:$A, "="&amp;'CHECK_DT-BT'!$X$2)</f>
        <v>0</v>
      </c>
      <c r="Y55" s="7">
        <f>SUMIFS('Tong_hop_HQNV_2026Q1_2026-06-23'!$L:$L,'Tong_hop_HQNV_2026Q1_2026-06-23'!$B:$B, "="&amp;'CHECK_DT-BT'!A55, 'Tong_hop_HQNV_2026Q1_2026-06-23'!$A:$A, "="&amp;'CHECK_DT-BT'!$Y$2)</f>
        <v>723443730</v>
      </c>
      <c r="Z55" s="7">
        <f>SUMIFS('Tong_hop_HQNV_2026Q1_2026-06-23'!$L:$L,'Tong_hop_HQNV_2026Q1_2026-06-23'!$B:$B, "="&amp;'CHECK_DT-BT'!A55, 'Tong_hop_HQNV_2026Q1_2026-06-23'!$A:$A, "="&amp;'CHECK_DT-BT'!$Z$2)</f>
        <v>226196349</v>
      </c>
      <c r="AA55" s="7">
        <f>SUMIFS('Tong_hop_HQNV_2026Q1_2026-06-23'!$L:$L,'Tong_hop_HQNV_2026Q1_2026-06-23'!$B:$B, "="&amp;'CHECK_DT-BT'!A55, 'Tong_hop_HQNV_2026Q1_2026-06-23'!$A:$A, "="&amp;$AA$2)</f>
        <v>0</v>
      </c>
      <c r="AB55" s="7">
        <f>SUMIFS('Tong_hop_HQNV_2026Q1_2026-06-23'!$L:$L,'Tong_hop_HQNV_2026Q1_2026-06-23'!$B:$B, "="&amp;'CHECK_DT-BT'!A55, 'Tong_hop_HQNV_2026Q1_2026-06-23'!$A:$A, "="&amp;$AB$2)</f>
        <v>0</v>
      </c>
      <c r="AC55" s="7">
        <f>SUMIFS('Tong_hop_HQNV_2026Q1_2026-06-23'!$L:$L,'Tong_hop_HQNV_2026Q1_2026-06-23'!$B:$B, "="&amp;'CHECK_DT-BT'!A55, 'Tong_hop_HQNV_2026Q1_2026-06-23'!$A:$A, "="&amp;$AC$2)</f>
        <v>0</v>
      </c>
      <c r="AD55" s="7">
        <f>SUMIFS('Tong_hop_HQNV_2026Q1_2026-06-23'!$L:$L,'Tong_hop_HQNV_2026Q1_2026-06-23'!$B:$B, "="&amp;'CHECK_DT-BT'!A55, 'Tong_hop_HQNV_2026Q1_2026-06-23'!$A:$A, "="&amp;$AD$2)</f>
        <v>934421786</v>
      </c>
      <c r="AE55" s="7">
        <f>SUMIFS('Tong_hop_HQNV_2026Q1_2026-06-23'!$L:$L,'Tong_hop_HQNV_2026Q1_2026-06-23'!$B:$B, "="&amp;'CHECK_DT-BT'!A55, 'Tong_hop_HQNV_2026Q1_2026-06-23'!$A:$A, "="&amp;$AE$2)</f>
        <v>49620000</v>
      </c>
      <c r="AF55" s="7">
        <f>SUMIFS('Tong_hop_HQNV_2026Q1_2026-06-23'!$L:$L,'Tong_hop_HQNV_2026Q1_2026-06-23'!$B:$B, "="&amp;'CHECK_DT-BT'!A55, 'Tong_hop_HQNV_2026Q1_2026-06-23'!$A:$A, "="&amp;$AF$2)</f>
        <v>0</v>
      </c>
      <c r="AG55" s="7">
        <f>SUMIFS('Tong_hop_HQNV_2026Q1_2026-06-23'!$L:$L,'Tong_hop_HQNV_2026Q1_2026-06-23'!$B:$B, "="&amp;'CHECK_DT-BT'!A55, 'Tong_hop_HQNV_2026Q1_2026-06-23'!$A:$A, "="&amp;$AG$2)</f>
        <v>0</v>
      </c>
      <c r="AH55" s="7">
        <f>SUMIFS('Tong_hop_HQNV_2026Q1_2026-06-23'!$L:$L,'Tong_hop_HQNV_2026Q1_2026-06-23'!$B:$B, "="&amp;'CHECK_DT-BT'!A55, 'Tong_hop_HQNV_2026Q1_2026-06-23'!$A:$A, "="&amp;$AH$2)</f>
        <v>0</v>
      </c>
      <c r="AI55" s="7">
        <f>SUMIFS('Tong_hop_HQNV_2026Q1_2026-06-23'!$L:$L,'Tong_hop_HQNV_2026Q1_2026-06-23'!$B:$B, "="&amp;'CHECK_DT-BT'!A55, 'Tong_hop_HQNV_2026Q1_2026-06-23'!$A:$A, "="&amp;$AI$2)</f>
        <v>0</v>
      </c>
      <c r="AJ55" s="7">
        <f t="shared" si="6"/>
        <v>3414344194</v>
      </c>
      <c r="AK55" s="7">
        <f t="shared" si="7"/>
        <v>984041786</v>
      </c>
      <c r="AL55" s="7">
        <f>SUMIFS('HQ1'!$D:$D,'HQ1'!$A:$A, "="&amp;'CHECK_DT-BT'!C55, 'HQ1'!$B:$B, "Total")</f>
        <v>3414344194</v>
      </c>
      <c r="AM55" s="7">
        <f>SUMIFS('HQ2'!$J:$J,'HQ2'!$A:$A, "="&amp;'CHECK_DT-BT'!C55, 'HQ2'!$B:$B, "Total")</f>
        <v>984041786</v>
      </c>
      <c r="AN55" s="24">
        <f t="shared" si="8"/>
        <v>0</v>
      </c>
      <c r="AO55" s="24">
        <f t="shared" si="9"/>
        <v>0</v>
      </c>
    </row>
    <row r="56" spans="1:41" s="30" customFormat="1" x14ac:dyDescent="0.25">
      <c r="A56" s="36" t="s">
        <v>336</v>
      </c>
      <c r="B56" s="30" t="s">
        <v>194</v>
      </c>
      <c r="C56" s="30" t="s">
        <v>63</v>
      </c>
      <c r="D56" s="26">
        <f>SUMIFS('Tong_hop_HQNV_2026Q1_2026-06-23'!$K:$K,'Tong_hop_HQNV_2026Q1_2026-06-23'!$A:$A,"="&amp;'CHECK_DT-BT'!$D$2,'Tong_hop_HQNV_2026Q1_2026-06-23'!$B:$B, "="&amp;'CHECK_DT-BT'!A56)</f>
        <v>362034463</v>
      </c>
      <c r="E56" s="26">
        <f>SUMIFS('Tong_hop_HQNV_2026Q1_2026-06-23'!$K:$K,'Tong_hop_HQNV_2026Q1_2026-06-23'!$A:$A,"="&amp;'CHECK_DT-BT'!$E$2,'Tong_hop_HQNV_2026Q1_2026-06-23'!$B:$B, "="&amp;'CHECK_DT-BT'!A56)</f>
        <v>228607220</v>
      </c>
      <c r="F56" s="26">
        <f>SUMIFS('Tong_hop_HQNV_2026Q1_2026-06-23'!$K:$K,'Tong_hop_HQNV_2026Q1_2026-06-23'!$A:$A,"="&amp;'CHECK_DT-BT'!$F$2,'Tong_hop_HQNV_2026Q1_2026-06-23'!$B:$B, "="&amp;'CHECK_DT-BT'!A56)</f>
        <v>18833822420</v>
      </c>
      <c r="G56" s="26">
        <f>SUMIFS('Tong_hop_HQNV_2026Q1_2026-06-23'!$K:$K,'Tong_hop_HQNV_2026Q1_2026-06-23'!$A:$A,"="&amp;'CHECK_DT-BT'!$G$2,'Tong_hop_HQNV_2026Q1_2026-06-23'!$B:$B, "="&amp;'CHECK_DT-BT'!A56)</f>
        <v>10338982349</v>
      </c>
      <c r="H56" s="26">
        <f>SUMIFS('Tong_hop_HQNV_2026Q1_2026-06-23'!$K:$K,'Tong_hop_HQNV_2026Q1_2026-06-23'!$A:$A,"="&amp;$H$2,'Tong_hop_HQNV_2026Q1_2026-06-23'!$B:$B, "="&amp;'CHECK_DT-BT'!A56)</f>
        <v>580632035</v>
      </c>
      <c r="I56" s="26">
        <f>SUMIFS('Tong_hop_HQNV_2026Q1_2026-06-23'!$K:$K,'Tong_hop_HQNV_2026Q1_2026-06-23'!$A:$A,"="&amp;$I$2,'Tong_hop_HQNV_2026Q1_2026-06-23'!$B:$B, "="&amp;'CHECK_DT-BT'!A56)</f>
        <v>1734330675</v>
      </c>
      <c r="J56" s="26">
        <f>SUMIFS('Tong_hop_HQNV_2026Q1_2026-06-23'!$K:$K,'Tong_hop_HQNV_2026Q1_2026-06-23'!$A:$A,"="&amp;$J$2,'Tong_hop_HQNV_2026Q1_2026-06-23'!$B:$B, "="&amp;'CHECK_DT-BT'!A56)</f>
        <v>449914270</v>
      </c>
      <c r="K56" s="26">
        <f>SUMIFS('Tong_hop_HQNV_2026Q1_2026-06-23'!$K:$K,'Tong_hop_HQNV_2026Q1_2026-06-23'!$A:$A,"="&amp;$K$2,'Tong_hop_HQNV_2026Q1_2026-06-23'!$B:$B, "="&amp;'CHECK_DT-BT'!A56)</f>
        <v>24317500</v>
      </c>
      <c r="L56" s="26">
        <f>SUMIFS('Tong_hop_HQNV_2026Q1_2026-06-23'!$K:$K,'Tong_hop_HQNV_2026Q1_2026-06-23'!$A:$A,"="&amp;$L$2,'Tong_hop_HQNV_2026Q1_2026-06-23'!$B:$B, "="&amp;'CHECK_DT-BT'!A56)</f>
        <v>4623876279</v>
      </c>
      <c r="M56" s="26">
        <f>SUMIFS('Tong_hop_HQNV_2026Q1_2026-06-23'!$K:$K,'Tong_hop_HQNV_2026Q1_2026-06-23'!$A:$A,"="&amp;$M$2,'Tong_hop_HQNV_2026Q1_2026-06-23'!$B:$B, "="&amp;'CHECK_DT-BT'!A56)</f>
        <v>103729215</v>
      </c>
      <c r="N56" s="26">
        <f>SUMIFS('Tong_hop_HQNV_2026Q1_2026-06-23'!$K:$K,'Tong_hop_HQNV_2026Q1_2026-06-23'!$A:$A,"="&amp;$N$2,'Tong_hop_HQNV_2026Q1_2026-06-23'!$B:$B, "="&amp;'CHECK_DT-BT'!A56)</f>
        <v>262452129</v>
      </c>
      <c r="O56" s="26">
        <f>SUMIFS('Tong_hop_HQNV_2026Q1_2026-06-23'!$K:$K,'Tong_hop_HQNV_2026Q1_2026-06-23'!$A:$A,"="&amp;$O$2,'Tong_hop_HQNV_2026Q1_2026-06-23'!$B:$B, "="&amp;'CHECK_DT-BT'!A56)</f>
        <v>0</v>
      </c>
      <c r="P56" s="26">
        <f>SUMIFS('Tong_hop_HQNV_2026Q1_2026-06-23'!$K:$K,'Tong_hop_HQNV_2026Q1_2026-06-23'!$A:$A,"="&amp;$P$2,'Tong_hop_HQNV_2026Q1_2026-06-23'!$B:$B, "="&amp;'CHECK_DT-BT'!A56)</f>
        <v>0</v>
      </c>
      <c r="Q56" s="26">
        <f t="shared" si="2"/>
        <v>29763446452</v>
      </c>
      <c r="R56" s="26">
        <f t="shared" si="3"/>
        <v>7779252103</v>
      </c>
      <c r="S56" s="26">
        <f>SUMIFS('HQ1'!$C:$C,'HQ1'!$A:$A, "="&amp;'CHECK_DT-BT'!C56, 'HQ1'!$B:$B, "Total")</f>
        <v>29763446452</v>
      </c>
      <c r="T56" s="26">
        <f>SUMIFS('HQ2'!$C:$C,'HQ2'!$A:$A, "="&amp;'CHECK_DT-BT'!C56, 'HQ2'!$B:$B, "Total")</f>
        <v>16177270005</v>
      </c>
      <c r="U56" s="26">
        <f t="shared" si="4"/>
        <v>0</v>
      </c>
      <c r="V56" s="26">
        <f t="shared" si="5"/>
        <v>-8398017902</v>
      </c>
      <c r="W56" s="31">
        <f>SUMIFS('Tong_hop_HQNV_2026Q1_2026-06-23'!$L:$L,'Tong_hop_HQNV_2026Q1_2026-06-23'!$B:$B, "="&amp;'CHECK_DT-BT'!A56, 'Tong_hop_HQNV_2026Q1_2026-06-23'!$A:$A, "="&amp;'CHECK_DT-BT'!$W$2)</f>
        <v>57807460</v>
      </c>
      <c r="X56" s="26">
        <f>SUMIFS('Tong_hop_HQNV_2026Q1_2026-06-23'!$L:$L,'Tong_hop_HQNV_2026Q1_2026-06-23'!$B:$B, "="&amp;'CHECK_DT-BT'!A56, 'Tong_hop_HQNV_2026Q1_2026-06-23'!$A:$A, "="&amp;'CHECK_DT-BT'!$X$2)</f>
        <v>11482276</v>
      </c>
      <c r="Y56" s="26">
        <f>SUMIFS('Tong_hop_HQNV_2026Q1_2026-06-23'!$L:$L,'Tong_hop_HQNV_2026Q1_2026-06-23'!$B:$B, "="&amp;'CHECK_DT-BT'!A56, 'Tong_hop_HQNV_2026Q1_2026-06-23'!$A:$A, "="&amp;'CHECK_DT-BT'!$Y$2)</f>
        <v>9498565722</v>
      </c>
      <c r="Z56" s="26">
        <f>SUMIFS('Tong_hop_HQNV_2026Q1_2026-06-23'!$L:$L,'Tong_hop_HQNV_2026Q1_2026-06-23'!$B:$B, "="&amp;'CHECK_DT-BT'!A56, 'Tong_hop_HQNV_2026Q1_2026-06-23'!$A:$A, "="&amp;'CHECK_DT-BT'!$Z$2)</f>
        <v>3206374119</v>
      </c>
      <c r="AA56" s="26">
        <f>SUMIFS('Tong_hop_HQNV_2026Q1_2026-06-23'!$L:$L,'Tong_hop_HQNV_2026Q1_2026-06-23'!$B:$B, "="&amp;'CHECK_DT-BT'!A56, 'Tong_hop_HQNV_2026Q1_2026-06-23'!$A:$A, "="&amp;$AA$2)</f>
        <v>0</v>
      </c>
      <c r="AB56" s="26">
        <f>SUMIFS('Tong_hop_HQNV_2026Q1_2026-06-23'!$L:$L,'Tong_hop_HQNV_2026Q1_2026-06-23'!$B:$B, "="&amp;'CHECK_DT-BT'!A56, 'Tong_hop_HQNV_2026Q1_2026-06-23'!$A:$A, "="&amp;$AB$2)</f>
        <v>-49925662</v>
      </c>
      <c r="AC56" s="26">
        <f>SUMIFS('Tong_hop_HQNV_2026Q1_2026-06-23'!$L:$L,'Tong_hop_HQNV_2026Q1_2026-06-23'!$B:$B, "="&amp;'CHECK_DT-BT'!A56, 'Tong_hop_HQNV_2026Q1_2026-06-23'!$A:$A, "="&amp;$AC$2)</f>
        <v>1294625422</v>
      </c>
      <c r="AD56" s="26">
        <f>SUMIFS('Tong_hop_HQNV_2026Q1_2026-06-23'!$L:$L,'Tong_hop_HQNV_2026Q1_2026-06-23'!$B:$B, "="&amp;'CHECK_DT-BT'!A56, 'Tong_hop_HQNV_2026Q1_2026-06-23'!$A:$A, "="&amp;$AD$2)</f>
        <v>400000000</v>
      </c>
      <c r="AE56" s="26">
        <f>SUMIFS('Tong_hop_HQNV_2026Q1_2026-06-23'!$L:$L,'Tong_hop_HQNV_2026Q1_2026-06-23'!$B:$B, "="&amp;'CHECK_DT-BT'!A56, 'Tong_hop_HQNV_2026Q1_2026-06-23'!$A:$A, "="&amp;$AE$2)</f>
        <v>1345352176</v>
      </c>
      <c r="AF56" s="26">
        <f>SUMIFS('Tong_hop_HQNV_2026Q1_2026-06-23'!$L:$L,'Tong_hop_HQNV_2026Q1_2026-06-23'!$B:$B, "="&amp;'CHECK_DT-BT'!A56, 'Tong_hop_HQNV_2026Q1_2026-06-23'!$A:$A, "="&amp;$AF$2)</f>
        <v>430362190</v>
      </c>
      <c r="AG56" s="26">
        <f>SUMIFS('Tong_hop_HQNV_2026Q1_2026-06-23'!$L:$L,'Tong_hop_HQNV_2026Q1_2026-06-23'!$B:$B, "="&amp;'CHECK_DT-BT'!A56, 'Tong_hop_HQNV_2026Q1_2026-06-23'!$A:$A, "="&amp;$AG$2)</f>
        <v>0</v>
      </c>
      <c r="AH56" s="26">
        <f>SUMIFS('Tong_hop_HQNV_2026Q1_2026-06-23'!$L:$L,'Tong_hop_HQNV_2026Q1_2026-06-23'!$B:$B, "="&amp;'CHECK_DT-BT'!A56, 'Tong_hop_HQNV_2026Q1_2026-06-23'!$A:$A, "="&amp;$AH$2)</f>
        <v>0</v>
      </c>
      <c r="AI56" s="26">
        <f>SUMIFS('Tong_hop_HQNV_2026Q1_2026-06-23'!$L:$L,'Tong_hop_HQNV_2026Q1_2026-06-23'!$B:$B, "="&amp;'CHECK_DT-BT'!A56, 'Tong_hop_HQNV_2026Q1_2026-06-23'!$A:$A, "="&amp;$AI$2)</f>
        <v>0</v>
      </c>
      <c r="AJ56" s="26">
        <f t="shared" si="6"/>
        <v>12774229577</v>
      </c>
      <c r="AK56" s="26">
        <f t="shared" si="7"/>
        <v>3420414126</v>
      </c>
      <c r="AL56" s="26">
        <f>SUMIFS('HQ1'!$D:$D,'HQ1'!$A:$A, "="&amp;'CHECK_DT-BT'!C56, 'HQ1'!$B:$B, "Total")</f>
        <v>12774229577</v>
      </c>
      <c r="AM56" s="7">
        <f>SUMIFS('HQ2'!$J:$J,'HQ2'!$A:$A, "="&amp;'CHECK_DT-BT'!C56, 'HQ2'!$B:$B, "Total")</f>
        <v>3420414126</v>
      </c>
      <c r="AN56" s="32">
        <f t="shared" si="8"/>
        <v>0</v>
      </c>
      <c r="AO56" s="32">
        <f t="shared" si="9"/>
        <v>0</v>
      </c>
    </row>
    <row r="57" spans="1:41" x14ac:dyDescent="0.25">
      <c r="A57" s="9" t="s">
        <v>337</v>
      </c>
      <c r="B57" t="s">
        <v>195</v>
      </c>
      <c r="C57" t="s">
        <v>95</v>
      </c>
      <c r="D57" s="7">
        <f>SUMIFS('Tong_hop_HQNV_2026Q1_2026-06-23'!$K:$K,'Tong_hop_HQNV_2026Q1_2026-06-23'!$A:$A,"="&amp;'CHECK_DT-BT'!$D$2,'Tong_hop_HQNV_2026Q1_2026-06-23'!$B:$B, "="&amp;'CHECK_DT-BT'!A57)</f>
        <v>258319450</v>
      </c>
      <c r="E57" s="7">
        <f>SUMIFS('Tong_hop_HQNV_2026Q1_2026-06-23'!$K:$K,'Tong_hop_HQNV_2026Q1_2026-06-23'!$A:$A,"="&amp;'CHECK_DT-BT'!$E$2,'Tong_hop_HQNV_2026Q1_2026-06-23'!$B:$B, "="&amp;'CHECK_DT-BT'!A57)</f>
        <v>107160360</v>
      </c>
      <c r="F57" s="7">
        <f>SUMIFS('Tong_hop_HQNV_2026Q1_2026-06-23'!$K:$K,'Tong_hop_HQNV_2026Q1_2026-06-23'!$A:$A,"="&amp;'CHECK_DT-BT'!$F$2,'Tong_hop_HQNV_2026Q1_2026-06-23'!$B:$B, "="&amp;'CHECK_DT-BT'!A57)</f>
        <v>1942513838</v>
      </c>
      <c r="G57" s="7">
        <f>SUMIFS('Tong_hop_HQNV_2026Q1_2026-06-23'!$K:$K,'Tong_hop_HQNV_2026Q1_2026-06-23'!$A:$A,"="&amp;'CHECK_DT-BT'!$G$2,'Tong_hop_HQNV_2026Q1_2026-06-23'!$B:$B, "="&amp;'CHECK_DT-BT'!A57)</f>
        <v>155699500</v>
      </c>
      <c r="H57" s="7">
        <f>SUMIFS('Tong_hop_HQNV_2026Q1_2026-06-23'!$K:$K,'Tong_hop_HQNV_2026Q1_2026-06-23'!$A:$A,"="&amp;$H$2,'Tong_hop_HQNV_2026Q1_2026-06-23'!$B:$B, "="&amp;'CHECK_DT-BT'!A57)</f>
        <v>114807523</v>
      </c>
      <c r="I57" s="7">
        <f>SUMIFS('Tong_hop_HQNV_2026Q1_2026-06-23'!$K:$K,'Tong_hop_HQNV_2026Q1_2026-06-23'!$A:$A,"="&amp;$I$2,'Tong_hop_HQNV_2026Q1_2026-06-23'!$B:$B, "="&amp;'CHECK_DT-BT'!A57)</f>
        <v>0</v>
      </c>
      <c r="J57" s="7">
        <f>SUMIFS('Tong_hop_HQNV_2026Q1_2026-06-23'!$K:$K,'Tong_hop_HQNV_2026Q1_2026-06-23'!$A:$A,"="&amp;$J$2,'Tong_hop_HQNV_2026Q1_2026-06-23'!$B:$B, "="&amp;'CHECK_DT-BT'!A57)</f>
        <v>0</v>
      </c>
      <c r="K57" s="7">
        <f>SUMIFS('Tong_hop_HQNV_2026Q1_2026-06-23'!$K:$K,'Tong_hop_HQNV_2026Q1_2026-06-23'!$A:$A,"="&amp;$K$2,'Tong_hop_HQNV_2026Q1_2026-06-23'!$B:$B, "="&amp;'CHECK_DT-BT'!A57)</f>
        <v>318395954</v>
      </c>
      <c r="L57" s="7">
        <f>SUMIFS('Tong_hop_HQNV_2026Q1_2026-06-23'!$K:$K,'Tong_hop_HQNV_2026Q1_2026-06-23'!$A:$A,"="&amp;$L$2,'Tong_hop_HQNV_2026Q1_2026-06-23'!$B:$B, "="&amp;'CHECK_DT-BT'!A57)</f>
        <v>380791005</v>
      </c>
      <c r="M57" s="7">
        <f>SUMIFS('Tong_hop_HQNV_2026Q1_2026-06-23'!$K:$K,'Tong_hop_HQNV_2026Q1_2026-06-23'!$A:$A,"="&amp;$M$2,'Tong_hop_HQNV_2026Q1_2026-06-23'!$B:$B, "="&amp;'CHECK_DT-BT'!A57)</f>
        <v>1543725740</v>
      </c>
      <c r="N57" s="7">
        <f>SUMIFS('Tong_hop_HQNV_2026Q1_2026-06-23'!$K:$K,'Tong_hop_HQNV_2026Q1_2026-06-23'!$A:$A,"="&amp;$N$2,'Tong_hop_HQNV_2026Q1_2026-06-23'!$B:$B, "="&amp;'CHECK_DT-BT'!A57)</f>
        <v>15500000</v>
      </c>
      <c r="O57" s="7">
        <f>SUMIFS('Tong_hop_HQNV_2026Q1_2026-06-23'!$K:$K,'Tong_hop_HQNV_2026Q1_2026-06-23'!$A:$A,"="&amp;$O$2,'Tong_hop_HQNV_2026Q1_2026-06-23'!$B:$B, "="&amp;'CHECK_DT-BT'!A57)</f>
        <v>0</v>
      </c>
      <c r="P57" s="7">
        <f>SUMIFS('Tong_hop_HQNV_2026Q1_2026-06-23'!$K:$K,'Tong_hop_HQNV_2026Q1_2026-06-23'!$A:$A,"="&amp;$P$2,'Tong_hop_HQNV_2026Q1_2026-06-23'!$B:$B, "="&amp;'CHECK_DT-BT'!A57)</f>
        <v>0</v>
      </c>
      <c r="Q57" s="7">
        <f t="shared" si="2"/>
        <v>2463693148</v>
      </c>
      <c r="R57" s="7">
        <f t="shared" si="3"/>
        <v>2373220222</v>
      </c>
      <c r="S57" s="7">
        <f>SUMIFS('HQ1'!$C:$C,'HQ1'!$A:$A, "="&amp;'CHECK_DT-BT'!C57, 'HQ1'!$B:$B, "Total")</f>
        <v>2463693148</v>
      </c>
      <c r="T57" s="7">
        <f>SUMIFS('HQ2'!$C:$C,'HQ2'!$A:$A, "="&amp;'CHECK_DT-BT'!C57, 'HQ2'!$B:$B, "Total")</f>
        <v>2373220222</v>
      </c>
      <c r="U57" s="7">
        <f t="shared" si="4"/>
        <v>0</v>
      </c>
      <c r="V57" s="7">
        <f t="shared" si="5"/>
        <v>0</v>
      </c>
      <c r="W57" s="23">
        <f>SUMIFS('Tong_hop_HQNV_2026Q1_2026-06-23'!$L:$L,'Tong_hop_HQNV_2026Q1_2026-06-23'!$B:$B, "="&amp;'CHECK_DT-BT'!A57, 'Tong_hop_HQNV_2026Q1_2026-06-23'!$A:$A, "="&amp;'CHECK_DT-BT'!$W$2)</f>
        <v>305531000</v>
      </c>
      <c r="X57" s="7">
        <f>SUMIFS('Tong_hop_HQNV_2026Q1_2026-06-23'!$L:$L,'Tong_hop_HQNV_2026Q1_2026-06-23'!$B:$B, "="&amp;'CHECK_DT-BT'!A57, 'Tong_hop_HQNV_2026Q1_2026-06-23'!$A:$A, "="&amp;'CHECK_DT-BT'!$X$2)</f>
        <v>0</v>
      </c>
      <c r="Y57" s="7">
        <f>SUMIFS('Tong_hop_HQNV_2026Q1_2026-06-23'!$L:$L,'Tong_hop_HQNV_2026Q1_2026-06-23'!$B:$B, "="&amp;'CHECK_DT-BT'!A57, 'Tong_hop_HQNV_2026Q1_2026-06-23'!$A:$A, "="&amp;'CHECK_DT-BT'!$Y$2)</f>
        <v>393013408</v>
      </c>
      <c r="Z57" s="7">
        <f>SUMIFS('Tong_hop_HQNV_2026Q1_2026-06-23'!$L:$L,'Tong_hop_HQNV_2026Q1_2026-06-23'!$B:$B, "="&amp;'CHECK_DT-BT'!A57, 'Tong_hop_HQNV_2026Q1_2026-06-23'!$A:$A, "="&amp;'CHECK_DT-BT'!$Z$2)</f>
        <v>65473580</v>
      </c>
      <c r="AA57" s="7">
        <f>SUMIFS('Tong_hop_HQNV_2026Q1_2026-06-23'!$L:$L,'Tong_hop_HQNV_2026Q1_2026-06-23'!$B:$B, "="&amp;'CHECK_DT-BT'!A57, 'Tong_hop_HQNV_2026Q1_2026-06-23'!$A:$A, "="&amp;$AA$2)</f>
        <v>0</v>
      </c>
      <c r="AB57" s="7">
        <f>SUMIFS('Tong_hop_HQNV_2026Q1_2026-06-23'!$L:$L,'Tong_hop_HQNV_2026Q1_2026-06-23'!$B:$B, "="&amp;'CHECK_DT-BT'!A57, 'Tong_hop_HQNV_2026Q1_2026-06-23'!$A:$A, "="&amp;$AB$2)</f>
        <v>0</v>
      </c>
      <c r="AC57" s="7">
        <f>SUMIFS('Tong_hop_HQNV_2026Q1_2026-06-23'!$L:$L,'Tong_hop_HQNV_2026Q1_2026-06-23'!$B:$B, "="&amp;'CHECK_DT-BT'!A57, 'Tong_hop_HQNV_2026Q1_2026-06-23'!$A:$A, "="&amp;$AC$2)</f>
        <v>0</v>
      </c>
      <c r="AD57" s="7">
        <f>SUMIFS('Tong_hop_HQNV_2026Q1_2026-06-23'!$L:$L,'Tong_hop_HQNV_2026Q1_2026-06-23'!$B:$B, "="&amp;'CHECK_DT-BT'!A57, 'Tong_hop_HQNV_2026Q1_2026-06-23'!$A:$A, "="&amp;$AD$2)</f>
        <v>86412466</v>
      </c>
      <c r="AE57" s="7">
        <f>SUMIFS('Tong_hop_HQNV_2026Q1_2026-06-23'!$L:$L,'Tong_hop_HQNV_2026Q1_2026-06-23'!$B:$B, "="&amp;'CHECK_DT-BT'!A57, 'Tong_hop_HQNV_2026Q1_2026-06-23'!$A:$A, "="&amp;$AE$2)</f>
        <v>0</v>
      </c>
      <c r="AF57" s="7">
        <f>SUMIFS('Tong_hop_HQNV_2026Q1_2026-06-23'!$L:$L,'Tong_hop_HQNV_2026Q1_2026-06-23'!$B:$B, "="&amp;'CHECK_DT-BT'!A57, 'Tong_hop_HQNV_2026Q1_2026-06-23'!$A:$A, "="&amp;$AF$2)</f>
        <v>0</v>
      </c>
      <c r="AG57" s="7">
        <f>SUMIFS('Tong_hop_HQNV_2026Q1_2026-06-23'!$L:$L,'Tong_hop_HQNV_2026Q1_2026-06-23'!$B:$B, "="&amp;'CHECK_DT-BT'!A57, 'Tong_hop_HQNV_2026Q1_2026-06-23'!$A:$A, "="&amp;$AG$2)</f>
        <v>0</v>
      </c>
      <c r="AH57" s="7">
        <f>SUMIFS('Tong_hop_HQNV_2026Q1_2026-06-23'!$L:$L,'Tong_hop_HQNV_2026Q1_2026-06-23'!$B:$B, "="&amp;'CHECK_DT-BT'!A57, 'Tong_hop_HQNV_2026Q1_2026-06-23'!$A:$A, "="&amp;$AH$2)</f>
        <v>0</v>
      </c>
      <c r="AI57" s="7">
        <f>SUMIFS('Tong_hop_HQNV_2026Q1_2026-06-23'!$L:$L,'Tong_hop_HQNV_2026Q1_2026-06-23'!$B:$B, "="&amp;'CHECK_DT-BT'!A57, 'Tong_hop_HQNV_2026Q1_2026-06-23'!$A:$A, "="&amp;$AI$2)</f>
        <v>0</v>
      </c>
      <c r="AJ57" s="7">
        <f t="shared" si="6"/>
        <v>764017988</v>
      </c>
      <c r="AK57" s="7">
        <f t="shared" si="7"/>
        <v>86412466</v>
      </c>
      <c r="AL57" s="7">
        <f>SUMIFS('HQ1'!$D:$D,'HQ1'!$A:$A, "="&amp;'CHECK_DT-BT'!C57, 'HQ1'!$B:$B, "Total")</f>
        <v>764017988</v>
      </c>
      <c r="AM57" s="7">
        <f>SUMIFS('HQ2'!$J:$J,'HQ2'!$A:$A, "="&amp;'CHECK_DT-BT'!C57, 'HQ2'!$B:$B, "Total")</f>
        <v>86412466</v>
      </c>
      <c r="AN57" s="24">
        <f t="shared" si="8"/>
        <v>0</v>
      </c>
      <c r="AO57" s="24">
        <f t="shared" si="9"/>
        <v>0</v>
      </c>
    </row>
    <row r="58" spans="1:41" x14ac:dyDescent="0.25">
      <c r="A58" s="9" t="s">
        <v>338</v>
      </c>
      <c r="B58" t="s">
        <v>196</v>
      </c>
      <c r="C58" t="s">
        <v>75</v>
      </c>
      <c r="D58" s="7">
        <f>SUMIFS('Tong_hop_HQNV_2026Q1_2026-06-23'!$K:$K,'Tong_hop_HQNV_2026Q1_2026-06-23'!$A:$A,"="&amp;'CHECK_DT-BT'!$D$2,'Tong_hop_HQNV_2026Q1_2026-06-23'!$B:$B, "="&amp;'CHECK_DT-BT'!A58)</f>
        <v>1561643064</v>
      </c>
      <c r="E58" s="7">
        <f>SUMIFS('Tong_hop_HQNV_2026Q1_2026-06-23'!$K:$K,'Tong_hop_HQNV_2026Q1_2026-06-23'!$A:$A,"="&amp;'CHECK_DT-BT'!$E$2,'Tong_hop_HQNV_2026Q1_2026-06-23'!$B:$B, "="&amp;'CHECK_DT-BT'!A58)</f>
        <v>23500400</v>
      </c>
      <c r="F58" s="7">
        <f>SUMIFS('Tong_hop_HQNV_2026Q1_2026-06-23'!$K:$K,'Tong_hop_HQNV_2026Q1_2026-06-23'!$A:$A,"="&amp;'CHECK_DT-BT'!$F$2,'Tong_hop_HQNV_2026Q1_2026-06-23'!$B:$B, "="&amp;'CHECK_DT-BT'!A58)</f>
        <v>4673201641</v>
      </c>
      <c r="G58" s="7">
        <f>SUMIFS('Tong_hop_HQNV_2026Q1_2026-06-23'!$K:$K,'Tong_hop_HQNV_2026Q1_2026-06-23'!$A:$A,"="&amp;'CHECK_DT-BT'!$G$2,'Tong_hop_HQNV_2026Q1_2026-06-23'!$B:$B, "="&amp;'CHECK_DT-BT'!A58)</f>
        <v>4804090997</v>
      </c>
      <c r="H58" s="7">
        <f>SUMIFS('Tong_hop_HQNV_2026Q1_2026-06-23'!$K:$K,'Tong_hop_HQNV_2026Q1_2026-06-23'!$A:$A,"="&amp;$H$2,'Tong_hop_HQNV_2026Q1_2026-06-23'!$B:$B, "="&amp;'CHECK_DT-BT'!A58)</f>
        <v>404706087</v>
      </c>
      <c r="I58" s="7">
        <f>SUMIFS('Tong_hop_HQNV_2026Q1_2026-06-23'!$K:$K,'Tong_hop_HQNV_2026Q1_2026-06-23'!$A:$A,"="&amp;$I$2,'Tong_hop_HQNV_2026Q1_2026-06-23'!$B:$B, "="&amp;'CHECK_DT-BT'!A58)</f>
        <v>1415561479</v>
      </c>
      <c r="J58" s="7">
        <f>SUMIFS('Tong_hop_HQNV_2026Q1_2026-06-23'!$K:$K,'Tong_hop_HQNV_2026Q1_2026-06-23'!$A:$A,"="&amp;$J$2,'Tong_hop_HQNV_2026Q1_2026-06-23'!$B:$B, "="&amp;'CHECK_DT-BT'!A58)</f>
        <v>0</v>
      </c>
      <c r="K58" s="7">
        <f>SUMIFS('Tong_hop_HQNV_2026Q1_2026-06-23'!$K:$K,'Tong_hop_HQNV_2026Q1_2026-06-23'!$A:$A,"="&amp;$K$2,'Tong_hop_HQNV_2026Q1_2026-06-23'!$B:$B, "="&amp;'CHECK_DT-BT'!A58)</f>
        <v>0</v>
      </c>
      <c r="L58" s="7">
        <f>SUMIFS('Tong_hop_HQNV_2026Q1_2026-06-23'!$K:$K,'Tong_hop_HQNV_2026Q1_2026-06-23'!$A:$A,"="&amp;$L$2,'Tong_hop_HQNV_2026Q1_2026-06-23'!$B:$B, "="&amp;'CHECK_DT-BT'!A58)</f>
        <v>3852057501</v>
      </c>
      <c r="M58" s="7">
        <f>SUMIFS('Tong_hop_HQNV_2026Q1_2026-06-23'!$K:$K,'Tong_hop_HQNV_2026Q1_2026-06-23'!$A:$A,"="&amp;$M$2,'Tong_hop_HQNV_2026Q1_2026-06-23'!$B:$B, "="&amp;'CHECK_DT-BT'!A58)</f>
        <v>776108773</v>
      </c>
      <c r="N58" s="7">
        <f>SUMIFS('Tong_hop_HQNV_2026Q1_2026-06-23'!$K:$K,'Tong_hop_HQNV_2026Q1_2026-06-23'!$A:$A,"="&amp;$N$2,'Tong_hop_HQNV_2026Q1_2026-06-23'!$B:$B, "="&amp;'CHECK_DT-BT'!A58)</f>
        <v>333486460</v>
      </c>
      <c r="O58" s="7">
        <f>SUMIFS('Tong_hop_HQNV_2026Q1_2026-06-23'!$K:$K,'Tong_hop_HQNV_2026Q1_2026-06-23'!$A:$A,"="&amp;$O$2,'Tong_hop_HQNV_2026Q1_2026-06-23'!$B:$B, "="&amp;'CHECK_DT-BT'!A58)</f>
        <v>0</v>
      </c>
      <c r="P58" s="7">
        <f>SUMIFS('Tong_hop_HQNV_2026Q1_2026-06-23'!$K:$K,'Tong_hop_HQNV_2026Q1_2026-06-23'!$A:$A,"="&amp;$P$2,'Tong_hop_HQNV_2026Q1_2026-06-23'!$B:$B, "="&amp;'CHECK_DT-BT'!A58)</f>
        <v>0</v>
      </c>
      <c r="Q58" s="7">
        <f t="shared" si="2"/>
        <v>11062436102</v>
      </c>
      <c r="R58" s="7">
        <f t="shared" si="3"/>
        <v>6781920300</v>
      </c>
      <c r="S58" s="7">
        <f>SUMIFS('HQ1'!$C:$C,'HQ1'!$A:$A, "="&amp;'CHECK_DT-BT'!C58, 'HQ1'!$B:$B, "Total")</f>
        <v>11062436102</v>
      </c>
      <c r="T58" s="7">
        <f>SUMIFS('HQ2'!$C:$C,'HQ2'!$A:$A, "="&amp;'CHECK_DT-BT'!C58, 'HQ2'!$B:$B, "Total")</f>
        <v>6781920300</v>
      </c>
      <c r="U58" s="7">
        <f t="shared" si="4"/>
        <v>0</v>
      </c>
      <c r="V58" s="7">
        <f t="shared" si="5"/>
        <v>0</v>
      </c>
      <c r="W58" s="23">
        <f>SUMIFS('Tong_hop_HQNV_2026Q1_2026-06-23'!$L:$L,'Tong_hop_HQNV_2026Q1_2026-06-23'!$B:$B, "="&amp;'CHECK_DT-BT'!A58, 'Tong_hop_HQNV_2026Q1_2026-06-23'!$A:$A, "="&amp;'CHECK_DT-BT'!$W$2)</f>
        <v>1916653327</v>
      </c>
      <c r="X58" s="7">
        <f>SUMIFS('Tong_hop_HQNV_2026Q1_2026-06-23'!$L:$L,'Tong_hop_HQNV_2026Q1_2026-06-23'!$B:$B, "="&amp;'CHECK_DT-BT'!A58, 'Tong_hop_HQNV_2026Q1_2026-06-23'!$A:$A, "="&amp;'CHECK_DT-BT'!$X$2)</f>
        <v>0</v>
      </c>
      <c r="Y58" s="7">
        <f>SUMIFS('Tong_hop_HQNV_2026Q1_2026-06-23'!$L:$L,'Tong_hop_HQNV_2026Q1_2026-06-23'!$B:$B, "="&amp;'CHECK_DT-BT'!A58, 'Tong_hop_HQNV_2026Q1_2026-06-23'!$A:$A, "="&amp;'CHECK_DT-BT'!$Y$2)</f>
        <v>1063671334</v>
      </c>
      <c r="Z58" s="7">
        <f>SUMIFS('Tong_hop_HQNV_2026Q1_2026-06-23'!$L:$L,'Tong_hop_HQNV_2026Q1_2026-06-23'!$B:$B, "="&amp;'CHECK_DT-BT'!A58, 'Tong_hop_HQNV_2026Q1_2026-06-23'!$A:$A, "="&amp;'CHECK_DT-BT'!$Z$2)</f>
        <v>1895880729</v>
      </c>
      <c r="AA58" s="7">
        <f>SUMIFS('Tong_hop_HQNV_2026Q1_2026-06-23'!$L:$L,'Tong_hop_HQNV_2026Q1_2026-06-23'!$B:$B, "="&amp;'CHECK_DT-BT'!A58, 'Tong_hop_HQNV_2026Q1_2026-06-23'!$A:$A, "="&amp;$AA$2)</f>
        <v>0</v>
      </c>
      <c r="AB58" s="7">
        <f>SUMIFS('Tong_hop_HQNV_2026Q1_2026-06-23'!$L:$L,'Tong_hop_HQNV_2026Q1_2026-06-23'!$B:$B, "="&amp;'CHECK_DT-BT'!A58, 'Tong_hop_HQNV_2026Q1_2026-06-23'!$A:$A, "="&amp;$AB$2)</f>
        <v>0</v>
      </c>
      <c r="AC58" s="7">
        <f>SUMIFS('Tong_hop_HQNV_2026Q1_2026-06-23'!$L:$L,'Tong_hop_HQNV_2026Q1_2026-06-23'!$B:$B, "="&amp;'CHECK_DT-BT'!A58, 'Tong_hop_HQNV_2026Q1_2026-06-23'!$A:$A, "="&amp;$AC$2)</f>
        <v>0</v>
      </c>
      <c r="AD58" s="7">
        <f>SUMIFS('Tong_hop_HQNV_2026Q1_2026-06-23'!$L:$L,'Tong_hop_HQNV_2026Q1_2026-06-23'!$B:$B, "="&amp;'CHECK_DT-BT'!A58, 'Tong_hop_HQNV_2026Q1_2026-06-23'!$A:$A, "="&amp;$AD$2)</f>
        <v>0</v>
      </c>
      <c r="AE58" s="7">
        <f>SUMIFS('Tong_hop_HQNV_2026Q1_2026-06-23'!$L:$L,'Tong_hop_HQNV_2026Q1_2026-06-23'!$B:$B, "="&amp;'CHECK_DT-BT'!A58, 'Tong_hop_HQNV_2026Q1_2026-06-23'!$A:$A, "="&amp;$AE$2)</f>
        <v>0</v>
      </c>
      <c r="AF58" s="7">
        <f>SUMIFS('Tong_hop_HQNV_2026Q1_2026-06-23'!$L:$L,'Tong_hop_HQNV_2026Q1_2026-06-23'!$B:$B, "="&amp;'CHECK_DT-BT'!A58, 'Tong_hop_HQNV_2026Q1_2026-06-23'!$A:$A, "="&amp;$AF$2)</f>
        <v>0</v>
      </c>
      <c r="AG58" s="7">
        <f>SUMIFS('Tong_hop_HQNV_2026Q1_2026-06-23'!$L:$L,'Tong_hop_HQNV_2026Q1_2026-06-23'!$B:$B, "="&amp;'CHECK_DT-BT'!A58, 'Tong_hop_HQNV_2026Q1_2026-06-23'!$A:$A, "="&amp;$AG$2)</f>
        <v>0</v>
      </c>
      <c r="AH58" s="7">
        <f>SUMIFS('Tong_hop_HQNV_2026Q1_2026-06-23'!$L:$L,'Tong_hop_HQNV_2026Q1_2026-06-23'!$B:$B, "="&amp;'CHECK_DT-BT'!A58, 'Tong_hop_HQNV_2026Q1_2026-06-23'!$A:$A, "="&amp;$AH$2)</f>
        <v>0</v>
      </c>
      <c r="AI58" s="7">
        <f>SUMIFS('Tong_hop_HQNV_2026Q1_2026-06-23'!$L:$L,'Tong_hop_HQNV_2026Q1_2026-06-23'!$B:$B, "="&amp;'CHECK_DT-BT'!A58, 'Tong_hop_HQNV_2026Q1_2026-06-23'!$A:$A, "="&amp;$AI$2)</f>
        <v>0</v>
      </c>
      <c r="AJ58" s="7">
        <f t="shared" si="6"/>
        <v>4876205390</v>
      </c>
      <c r="AK58" s="7">
        <f t="shared" si="7"/>
        <v>0</v>
      </c>
      <c r="AL58" s="7">
        <f>SUMIFS('HQ1'!$D:$D,'HQ1'!$A:$A, "="&amp;'CHECK_DT-BT'!C58, 'HQ1'!$B:$B, "Total")</f>
        <v>4876205390</v>
      </c>
      <c r="AM58" s="7">
        <f>SUMIFS('HQ2'!$J:$J,'HQ2'!$A:$A, "="&amp;'CHECK_DT-BT'!C58, 'HQ2'!$B:$B, "Total")</f>
        <v>0</v>
      </c>
      <c r="AN58" s="24">
        <f t="shared" si="8"/>
        <v>0</v>
      </c>
      <c r="AO58" s="24">
        <f t="shared" si="9"/>
        <v>0</v>
      </c>
    </row>
    <row r="59" spans="1:41" x14ac:dyDescent="0.25">
      <c r="A59" s="9" t="s">
        <v>339</v>
      </c>
      <c r="B59" t="s">
        <v>197</v>
      </c>
      <c r="C59" t="s">
        <v>105</v>
      </c>
      <c r="D59" s="7">
        <f>SUMIFS('Tong_hop_HQNV_2026Q1_2026-06-23'!$K:$K,'Tong_hop_HQNV_2026Q1_2026-06-23'!$A:$A,"="&amp;'CHECK_DT-BT'!$D$2,'Tong_hop_HQNV_2026Q1_2026-06-23'!$B:$B, "="&amp;'CHECK_DT-BT'!A59)</f>
        <v>2539532500</v>
      </c>
      <c r="E59" s="7">
        <f>SUMIFS('Tong_hop_HQNV_2026Q1_2026-06-23'!$K:$K,'Tong_hop_HQNV_2026Q1_2026-06-23'!$A:$A,"="&amp;'CHECK_DT-BT'!$E$2,'Tong_hop_HQNV_2026Q1_2026-06-23'!$B:$B, "="&amp;'CHECK_DT-BT'!A59)</f>
        <v>7322800</v>
      </c>
      <c r="F59" s="7">
        <f>SUMIFS('Tong_hop_HQNV_2026Q1_2026-06-23'!$K:$K,'Tong_hop_HQNV_2026Q1_2026-06-23'!$A:$A,"="&amp;'CHECK_DT-BT'!$F$2,'Tong_hop_HQNV_2026Q1_2026-06-23'!$B:$B, "="&amp;'CHECK_DT-BT'!A59)</f>
        <v>2604220319</v>
      </c>
      <c r="G59" s="7">
        <f>SUMIFS('Tong_hop_HQNV_2026Q1_2026-06-23'!$K:$K,'Tong_hop_HQNV_2026Q1_2026-06-23'!$A:$A,"="&amp;'CHECK_DT-BT'!$G$2,'Tong_hop_HQNV_2026Q1_2026-06-23'!$B:$B, "="&amp;'CHECK_DT-BT'!A59)</f>
        <v>690859950</v>
      </c>
      <c r="H59" s="7">
        <f>SUMIFS('Tong_hop_HQNV_2026Q1_2026-06-23'!$K:$K,'Tong_hop_HQNV_2026Q1_2026-06-23'!$A:$A,"="&amp;$H$2,'Tong_hop_HQNV_2026Q1_2026-06-23'!$B:$B, "="&amp;'CHECK_DT-BT'!A59)</f>
        <v>108616543</v>
      </c>
      <c r="I59" s="7">
        <f>SUMIFS('Tong_hop_HQNV_2026Q1_2026-06-23'!$K:$K,'Tong_hop_HQNV_2026Q1_2026-06-23'!$A:$A,"="&amp;$I$2,'Tong_hop_HQNV_2026Q1_2026-06-23'!$B:$B, "="&amp;'CHECK_DT-BT'!A59)</f>
        <v>0</v>
      </c>
      <c r="J59" s="7">
        <f>SUMIFS('Tong_hop_HQNV_2026Q1_2026-06-23'!$K:$K,'Tong_hop_HQNV_2026Q1_2026-06-23'!$A:$A,"="&amp;$J$2,'Tong_hop_HQNV_2026Q1_2026-06-23'!$B:$B, "="&amp;'CHECK_DT-BT'!A59)</f>
        <v>0</v>
      </c>
      <c r="K59" s="7">
        <f>SUMIFS('Tong_hop_HQNV_2026Q1_2026-06-23'!$K:$K,'Tong_hop_HQNV_2026Q1_2026-06-23'!$A:$A,"="&amp;$K$2,'Tong_hop_HQNV_2026Q1_2026-06-23'!$B:$B, "="&amp;'CHECK_DT-BT'!A59)</f>
        <v>696299200</v>
      </c>
      <c r="L59" s="7">
        <f>SUMIFS('Tong_hop_HQNV_2026Q1_2026-06-23'!$K:$K,'Tong_hop_HQNV_2026Q1_2026-06-23'!$A:$A,"="&amp;$L$2,'Tong_hop_HQNV_2026Q1_2026-06-23'!$B:$B, "="&amp;'CHECK_DT-BT'!A59)</f>
        <v>631982505</v>
      </c>
      <c r="M59" s="7">
        <f>SUMIFS('Tong_hop_HQNV_2026Q1_2026-06-23'!$K:$K,'Tong_hop_HQNV_2026Q1_2026-06-23'!$A:$A,"="&amp;$M$2,'Tong_hop_HQNV_2026Q1_2026-06-23'!$B:$B, "="&amp;'CHECK_DT-BT'!A59)</f>
        <v>81955454</v>
      </c>
      <c r="N59" s="7">
        <f>SUMIFS('Tong_hop_HQNV_2026Q1_2026-06-23'!$K:$K,'Tong_hop_HQNV_2026Q1_2026-06-23'!$A:$A,"="&amp;$N$2,'Tong_hop_HQNV_2026Q1_2026-06-23'!$B:$B, "="&amp;'CHECK_DT-BT'!A59)</f>
        <v>2562500</v>
      </c>
      <c r="O59" s="7">
        <f>SUMIFS('Tong_hop_HQNV_2026Q1_2026-06-23'!$K:$K,'Tong_hop_HQNV_2026Q1_2026-06-23'!$A:$A,"="&amp;$O$2,'Tong_hop_HQNV_2026Q1_2026-06-23'!$B:$B, "="&amp;'CHECK_DT-BT'!A59)</f>
        <v>0</v>
      </c>
      <c r="P59" s="7">
        <f>SUMIFS('Tong_hop_HQNV_2026Q1_2026-06-23'!$K:$K,'Tong_hop_HQNV_2026Q1_2026-06-23'!$A:$A,"="&amp;$P$2,'Tong_hop_HQNV_2026Q1_2026-06-23'!$B:$B, "="&amp;'CHECK_DT-BT'!A59)</f>
        <v>0</v>
      </c>
      <c r="Q59" s="7">
        <f t="shared" si="2"/>
        <v>5841935569</v>
      </c>
      <c r="R59" s="7">
        <f t="shared" si="3"/>
        <v>1521416202</v>
      </c>
      <c r="S59" s="7">
        <f>SUMIFS('HQ1'!$C:$C,'HQ1'!$A:$A, "="&amp;'CHECK_DT-BT'!C59, 'HQ1'!$B:$B, "Total")</f>
        <v>5841935569</v>
      </c>
      <c r="T59" s="7">
        <f>SUMIFS('HQ2'!$C:$C,'HQ2'!$A:$A, "="&amp;'CHECK_DT-BT'!C59, 'HQ2'!$B:$B, "Total")</f>
        <v>1521416202</v>
      </c>
      <c r="U59" s="7">
        <f t="shared" si="4"/>
        <v>0</v>
      </c>
      <c r="V59" s="7">
        <f t="shared" si="5"/>
        <v>0</v>
      </c>
      <c r="W59" s="23">
        <f>SUMIFS('Tong_hop_HQNV_2026Q1_2026-06-23'!$L:$L,'Tong_hop_HQNV_2026Q1_2026-06-23'!$B:$B, "="&amp;'CHECK_DT-BT'!A59, 'Tong_hop_HQNV_2026Q1_2026-06-23'!$A:$A, "="&amp;'CHECK_DT-BT'!$W$2)</f>
        <v>2705608140</v>
      </c>
      <c r="X59" s="7">
        <f>SUMIFS('Tong_hop_HQNV_2026Q1_2026-06-23'!$L:$L,'Tong_hop_HQNV_2026Q1_2026-06-23'!$B:$B, "="&amp;'CHECK_DT-BT'!A59, 'Tong_hop_HQNV_2026Q1_2026-06-23'!$A:$A, "="&amp;'CHECK_DT-BT'!$X$2)</f>
        <v>0</v>
      </c>
      <c r="Y59" s="7">
        <f>SUMIFS('Tong_hop_HQNV_2026Q1_2026-06-23'!$L:$L,'Tong_hop_HQNV_2026Q1_2026-06-23'!$B:$B, "="&amp;'CHECK_DT-BT'!A59, 'Tong_hop_HQNV_2026Q1_2026-06-23'!$A:$A, "="&amp;'CHECK_DT-BT'!$Y$2)</f>
        <v>744227252</v>
      </c>
      <c r="Z59" s="7">
        <f>SUMIFS('Tong_hop_HQNV_2026Q1_2026-06-23'!$L:$L,'Tong_hop_HQNV_2026Q1_2026-06-23'!$B:$B, "="&amp;'CHECK_DT-BT'!A59, 'Tong_hop_HQNV_2026Q1_2026-06-23'!$A:$A, "="&amp;'CHECK_DT-BT'!$Z$2)</f>
        <v>85011372</v>
      </c>
      <c r="AA59" s="7">
        <f>SUMIFS('Tong_hop_HQNV_2026Q1_2026-06-23'!$L:$L,'Tong_hop_HQNV_2026Q1_2026-06-23'!$B:$B, "="&amp;'CHECK_DT-BT'!A59, 'Tong_hop_HQNV_2026Q1_2026-06-23'!$A:$A, "="&amp;$AA$2)</f>
        <v>0</v>
      </c>
      <c r="AB59" s="7">
        <f>SUMIFS('Tong_hop_HQNV_2026Q1_2026-06-23'!$L:$L,'Tong_hop_HQNV_2026Q1_2026-06-23'!$B:$B, "="&amp;'CHECK_DT-BT'!A59, 'Tong_hop_HQNV_2026Q1_2026-06-23'!$A:$A, "="&amp;$AB$2)</f>
        <v>0</v>
      </c>
      <c r="AC59" s="7">
        <f>SUMIFS('Tong_hop_HQNV_2026Q1_2026-06-23'!$L:$L,'Tong_hop_HQNV_2026Q1_2026-06-23'!$B:$B, "="&amp;'CHECK_DT-BT'!A59, 'Tong_hop_HQNV_2026Q1_2026-06-23'!$A:$A, "="&amp;$AC$2)</f>
        <v>0</v>
      </c>
      <c r="AD59" s="7">
        <f>SUMIFS('Tong_hop_HQNV_2026Q1_2026-06-23'!$L:$L,'Tong_hop_HQNV_2026Q1_2026-06-23'!$B:$B, "="&amp;'CHECK_DT-BT'!A59, 'Tong_hop_HQNV_2026Q1_2026-06-23'!$A:$A, "="&amp;$AD$2)</f>
        <v>134675000</v>
      </c>
      <c r="AE59" s="7">
        <f>SUMIFS('Tong_hop_HQNV_2026Q1_2026-06-23'!$L:$L,'Tong_hop_HQNV_2026Q1_2026-06-23'!$B:$B, "="&amp;'CHECK_DT-BT'!A59, 'Tong_hop_HQNV_2026Q1_2026-06-23'!$A:$A, "="&amp;$AE$2)</f>
        <v>0</v>
      </c>
      <c r="AF59" s="7">
        <f>SUMIFS('Tong_hop_HQNV_2026Q1_2026-06-23'!$L:$L,'Tong_hop_HQNV_2026Q1_2026-06-23'!$B:$B, "="&amp;'CHECK_DT-BT'!A59, 'Tong_hop_HQNV_2026Q1_2026-06-23'!$A:$A, "="&amp;$AF$2)</f>
        <v>0</v>
      </c>
      <c r="AG59" s="7">
        <f>SUMIFS('Tong_hop_HQNV_2026Q1_2026-06-23'!$L:$L,'Tong_hop_HQNV_2026Q1_2026-06-23'!$B:$B, "="&amp;'CHECK_DT-BT'!A59, 'Tong_hop_HQNV_2026Q1_2026-06-23'!$A:$A, "="&amp;$AG$2)</f>
        <v>0</v>
      </c>
      <c r="AH59" s="7">
        <f>SUMIFS('Tong_hop_HQNV_2026Q1_2026-06-23'!$L:$L,'Tong_hop_HQNV_2026Q1_2026-06-23'!$B:$B, "="&amp;'CHECK_DT-BT'!A59, 'Tong_hop_HQNV_2026Q1_2026-06-23'!$A:$A, "="&amp;$AH$2)</f>
        <v>0</v>
      </c>
      <c r="AI59" s="7">
        <f>SUMIFS('Tong_hop_HQNV_2026Q1_2026-06-23'!$L:$L,'Tong_hop_HQNV_2026Q1_2026-06-23'!$B:$B, "="&amp;'CHECK_DT-BT'!A59, 'Tong_hop_HQNV_2026Q1_2026-06-23'!$A:$A, "="&amp;$AI$2)</f>
        <v>0</v>
      </c>
      <c r="AJ59" s="7">
        <f t="shared" si="6"/>
        <v>3534846764</v>
      </c>
      <c r="AK59" s="7">
        <f t="shared" si="7"/>
        <v>134675000</v>
      </c>
      <c r="AL59" s="7">
        <f>SUMIFS('HQ1'!$D:$D,'HQ1'!$A:$A, "="&amp;'CHECK_DT-BT'!C59, 'HQ1'!$B:$B, "Total")</f>
        <v>3534846764</v>
      </c>
      <c r="AM59" s="7">
        <f>SUMIFS('HQ2'!$J:$J,'HQ2'!$A:$A, "="&amp;'CHECK_DT-BT'!C59, 'HQ2'!$B:$B, "Total")</f>
        <v>134675000</v>
      </c>
      <c r="AN59" s="24">
        <f t="shared" si="8"/>
        <v>0</v>
      </c>
      <c r="AO59" s="24">
        <f t="shared" si="9"/>
        <v>0</v>
      </c>
    </row>
    <row r="60" spans="1:41" x14ac:dyDescent="0.25">
      <c r="A60" s="9" t="s">
        <v>340</v>
      </c>
      <c r="B60" t="s">
        <v>198</v>
      </c>
      <c r="C60" t="s">
        <v>73</v>
      </c>
      <c r="D60" s="7">
        <f>SUMIFS('Tong_hop_HQNV_2026Q1_2026-06-23'!$K:$K,'Tong_hop_HQNV_2026Q1_2026-06-23'!$A:$A,"="&amp;'CHECK_DT-BT'!$D$2,'Tong_hop_HQNV_2026Q1_2026-06-23'!$B:$B, "="&amp;'CHECK_DT-BT'!A60)</f>
        <v>4541438677</v>
      </c>
      <c r="E60" s="7">
        <f>SUMIFS('Tong_hop_HQNV_2026Q1_2026-06-23'!$K:$K,'Tong_hop_HQNV_2026Q1_2026-06-23'!$A:$A,"="&amp;'CHECK_DT-BT'!$E$2,'Tong_hop_HQNV_2026Q1_2026-06-23'!$B:$B, "="&amp;'CHECK_DT-BT'!A60)</f>
        <v>429854160</v>
      </c>
      <c r="F60" s="7">
        <f>SUMIFS('Tong_hop_HQNV_2026Q1_2026-06-23'!$K:$K,'Tong_hop_HQNV_2026Q1_2026-06-23'!$A:$A,"="&amp;'CHECK_DT-BT'!$F$2,'Tong_hop_HQNV_2026Q1_2026-06-23'!$B:$B, "="&amp;'CHECK_DT-BT'!A60)</f>
        <v>2340572194</v>
      </c>
      <c r="G60" s="7">
        <f>SUMIFS('Tong_hop_HQNV_2026Q1_2026-06-23'!$K:$K,'Tong_hop_HQNV_2026Q1_2026-06-23'!$A:$A,"="&amp;'CHECK_DT-BT'!$G$2,'Tong_hop_HQNV_2026Q1_2026-06-23'!$B:$B, "="&amp;'CHECK_DT-BT'!A60)</f>
        <v>123121950</v>
      </c>
      <c r="H60" s="7">
        <f>SUMIFS('Tong_hop_HQNV_2026Q1_2026-06-23'!$K:$K,'Tong_hop_HQNV_2026Q1_2026-06-23'!$A:$A,"="&amp;$H$2,'Tong_hop_HQNV_2026Q1_2026-06-23'!$B:$B, "="&amp;'CHECK_DT-BT'!A60)</f>
        <v>0</v>
      </c>
      <c r="I60" s="7">
        <f>SUMIFS('Tong_hop_HQNV_2026Q1_2026-06-23'!$K:$K,'Tong_hop_HQNV_2026Q1_2026-06-23'!$A:$A,"="&amp;$I$2,'Tong_hop_HQNV_2026Q1_2026-06-23'!$B:$B, "="&amp;'CHECK_DT-BT'!A60)</f>
        <v>0</v>
      </c>
      <c r="J60" s="7">
        <f>SUMIFS('Tong_hop_HQNV_2026Q1_2026-06-23'!$K:$K,'Tong_hop_HQNV_2026Q1_2026-06-23'!$A:$A,"="&amp;$J$2,'Tong_hop_HQNV_2026Q1_2026-06-23'!$B:$B, "="&amp;'CHECK_DT-BT'!A60)</f>
        <v>0</v>
      </c>
      <c r="K60" s="7">
        <f>SUMIFS('Tong_hop_HQNV_2026Q1_2026-06-23'!$K:$K,'Tong_hop_HQNV_2026Q1_2026-06-23'!$A:$A,"="&amp;$K$2,'Tong_hop_HQNV_2026Q1_2026-06-23'!$B:$B, "="&amp;'CHECK_DT-BT'!A60)</f>
        <v>1922049136</v>
      </c>
      <c r="L60" s="7">
        <f>SUMIFS('Tong_hop_HQNV_2026Q1_2026-06-23'!$K:$K,'Tong_hop_HQNV_2026Q1_2026-06-23'!$A:$A,"="&amp;$L$2,'Tong_hop_HQNV_2026Q1_2026-06-23'!$B:$B, "="&amp;'CHECK_DT-BT'!A60)</f>
        <v>82851988</v>
      </c>
      <c r="M60" s="7">
        <f>SUMIFS('Tong_hop_HQNV_2026Q1_2026-06-23'!$K:$K,'Tong_hop_HQNV_2026Q1_2026-06-23'!$A:$A,"="&amp;$M$2,'Tong_hop_HQNV_2026Q1_2026-06-23'!$B:$B, "="&amp;'CHECK_DT-BT'!A60)</f>
        <v>3967584297</v>
      </c>
      <c r="N60" s="7">
        <f>SUMIFS('Tong_hop_HQNV_2026Q1_2026-06-23'!$K:$K,'Tong_hop_HQNV_2026Q1_2026-06-23'!$A:$A,"="&amp;$N$2,'Tong_hop_HQNV_2026Q1_2026-06-23'!$B:$B, "="&amp;'CHECK_DT-BT'!A60)</f>
        <v>0</v>
      </c>
      <c r="O60" s="7">
        <f>SUMIFS('Tong_hop_HQNV_2026Q1_2026-06-23'!$K:$K,'Tong_hop_HQNV_2026Q1_2026-06-23'!$A:$A,"="&amp;$O$2,'Tong_hop_HQNV_2026Q1_2026-06-23'!$B:$B, "="&amp;'CHECK_DT-BT'!A60)</f>
        <v>0</v>
      </c>
      <c r="P60" s="7">
        <f>SUMIFS('Tong_hop_HQNV_2026Q1_2026-06-23'!$K:$K,'Tong_hop_HQNV_2026Q1_2026-06-23'!$A:$A,"="&amp;$P$2,'Tong_hop_HQNV_2026Q1_2026-06-23'!$B:$B, "="&amp;'CHECK_DT-BT'!A60)</f>
        <v>0</v>
      </c>
      <c r="Q60" s="7">
        <f t="shared" si="2"/>
        <v>7434986981</v>
      </c>
      <c r="R60" s="7">
        <f t="shared" si="3"/>
        <v>5972485421</v>
      </c>
      <c r="S60" s="7">
        <f>SUMIFS('HQ1'!$C:$C,'HQ1'!$A:$A, "="&amp;'CHECK_DT-BT'!C60, 'HQ1'!$B:$B, "Total")</f>
        <v>7434986981</v>
      </c>
      <c r="T60" s="7">
        <f>SUMIFS('HQ2'!$C:$C,'HQ2'!$A:$A, "="&amp;'CHECK_DT-BT'!C60, 'HQ2'!$B:$B, "Total")</f>
        <v>5972485421</v>
      </c>
      <c r="U60" s="7">
        <f t="shared" si="4"/>
        <v>0</v>
      </c>
      <c r="V60" s="7">
        <f t="shared" si="5"/>
        <v>0</v>
      </c>
      <c r="W60" s="23">
        <f>SUMIFS('Tong_hop_HQNV_2026Q1_2026-06-23'!$L:$L,'Tong_hop_HQNV_2026Q1_2026-06-23'!$B:$B, "="&amp;'CHECK_DT-BT'!A60, 'Tong_hop_HQNV_2026Q1_2026-06-23'!$A:$A, "="&amp;'CHECK_DT-BT'!$W$2)</f>
        <v>2717178976</v>
      </c>
      <c r="X60" s="7">
        <f>SUMIFS('Tong_hop_HQNV_2026Q1_2026-06-23'!$L:$L,'Tong_hop_HQNV_2026Q1_2026-06-23'!$B:$B, "="&amp;'CHECK_DT-BT'!A60, 'Tong_hop_HQNV_2026Q1_2026-06-23'!$A:$A, "="&amp;'CHECK_DT-BT'!$X$2)</f>
        <v>0</v>
      </c>
      <c r="Y60" s="7">
        <f>SUMIFS('Tong_hop_HQNV_2026Q1_2026-06-23'!$L:$L,'Tong_hop_HQNV_2026Q1_2026-06-23'!$B:$B, "="&amp;'CHECK_DT-BT'!A60, 'Tong_hop_HQNV_2026Q1_2026-06-23'!$A:$A, "="&amp;'CHECK_DT-BT'!$Y$2)</f>
        <v>1351414338</v>
      </c>
      <c r="Z60" s="7">
        <f>SUMIFS('Tong_hop_HQNV_2026Q1_2026-06-23'!$L:$L,'Tong_hop_HQNV_2026Q1_2026-06-23'!$B:$B, "="&amp;'CHECK_DT-BT'!A60, 'Tong_hop_HQNV_2026Q1_2026-06-23'!$A:$A, "="&amp;'CHECK_DT-BT'!$Z$2)</f>
        <v>88216008</v>
      </c>
      <c r="AA60" s="7">
        <f>SUMIFS('Tong_hop_HQNV_2026Q1_2026-06-23'!$L:$L,'Tong_hop_HQNV_2026Q1_2026-06-23'!$B:$B, "="&amp;'CHECK_DT-BT'!A60, 'Tong_hop_HQNV_2026Q1_2026-06-23'!$A:$A, "="&amp;$AA$2)</f>
        <v>0</v>
      </c>
      <c r="AB60" s="7">
        <f>SUMIFS('Tong_hop_HQNV_2026Q1_2026-06-23'!$L:$L,'Tong_hop_HQNV_2026Q1_2026-06-23'!$B:$B, "="&amp;'CHECK_DT-BT'!A60, 'Tong_hop_HQNV_2026Q1_2026-06-23'!$A:$A, "="&amp;$AB$2)</f>
        <v>0</v>
      </c>
      <c r="AC60" s="7">
        <f>SUMIFS('Tong_hop_HQNV_2026Q1_2026-06-23'!$L:$L,'Tong_hop_HQNV_2026Q1_2026-06-23'!$B:$B, "="&amp;'CHECK_DT-BT'!A60, 'Tong_hop_HQNV_2026Q1_2026-06-23'!$A:$A, "="&amp;$AC$2)</f>
        <v>0</v>
      </c>
      <c r="AD60" s="7">
        <f>SUMIFS('Tong_hop_HQNV_2026Q1_2026-06-23'!$L:$L,'Tong_hop_HQNV_2026Q1_2026-06-23'!$B:$B, "="&amp;'CHECK_DT-BT'!A60, 'Tong_hop_HQNV_2026Q1_2026-06-23'!$A:$A, "="&amp;$AD$2)</f>
        <v>512386500</v>
      </c>
      <c r="AE60" s="7">
        <f>SUMIFS('Tong_hop_HQNV_2026Q1_2026-06-23'!$L:$L,'Tong_hop_HQNV_2026Q1_2026-06-23'!$B:$B, "="&amp;'CHECK_DT-BT'!A60, 'Tong_hop_HQNV_2026Q1_2026-06-23'!$A:$A, "="&amp;$AE$2)</f>
        <v>0</v>
      </c>
      <c r="AF60" s="7">
        <f>SUMIFS('Tong_hop_HQNV_2026Q1_2026-06-23'!$L:$L,'Tong_hop_HQNV_2026Q1_2026-06-23'!$B:$B, "="&amp;'CHECK_DT-BT'!A60, 'Tong_hop_HQNV_2026Q1_2026-06-23'!$A:$A, "="&amp;$AF$2)</f>
        <v>0</v>
      </c>
      <c r="AG60" s="7">
        <f>SUMIFS('Tong_hop_HQNV_2026Q1_2026-06-23'!$L:$L,'Tong_hop_HQNV_2026Q1_2026-06-23'!$B:$B, "="&amp;'CHECK_DT-BT'!A60, 'Tong_hop_HQNV_2026Q1_2026-06-23'!$A:$A, "="&amp;$AG$2)</f>
        <v>0</v>
      </c>
      <c r="AH60" s="7">
        <f>SUMIFS('Tong_hop_HQNV_2026Q1_2026-06-23'!$L:$L,'Tong_hop_HQNV_2026Q1_2026-06-23'!$B:$B, "="&amp;'CHECK_DT-BT'!A60, 'Tong_hop_HQNV_2026Q1_2026-06-23'!$A:$A, "="&amp;$AH$2)</f>
        <v>0</v>
      </c>
      <c r="AI60" s="7">
        <f>SUMIFS('Tong_hop_HQNV_2026Q1_2026-06-23'!$L:$L,'Tong_hop_HQNV_2026Q1_2026-06-23'!$B:$B, "="&amp;'CHECK_DT-BT'!A60, 'Tong_hop_HQNV_2026Q1_2026-06-23'!$A:$A, "="&amp;$AI$2)</f>
        <v>0</v>
      </c>
      <c r="AJ60" s="7">
        <f t="shared" si="6"/>
        <v>4156809322</v>
      </c>
      <c r="AK60" s="7">
        <f t="shared" si="7"/>
        <v>512386500</v>
      </c>
      <c r="AL60" s="7">
        <f>SUMIFS('HQ1'!$D:$D,'HQ1'!$A:$A, "="&amp;'CHECK_DT-BT'!C60, 'HQ1'!$B:$B, "Total")</f>
        <v>4156809322</v>
      </c>
      <c r="AM60" s="7">
        <f>SUMIFS('HQ2'!$J:$J,'HQ2'!$A:$A, "="&amp;'CHECK_DT-BT'!C60, 'HQ2'!$B:$B, "Total")</f>
        <v>512386500</v>
      </c>
      <c r="AN60" s="24">
        <f t="shared" si="8"/>
        <v>0</v>
      </c>
      <c r="AO60" s="24">
        <f t="shared" si="9"/>
        <v>0</v>
      </c>
    </row>
    <row r="61" spans="1:41" x14ac:dyDescent="0.25">
      <c r="A61" s="9" t="s">
        <v>341</v>
      </c>
      <c r="B61" t="s">
        <v>199</v>
      </c>
      <c r="C61" t="s">
        <v>101</v>
      </c>
      <c r="D61" s="7">
        <f>SUMIFS('Tong_hop_HQNV_2026Q1_2026-06-23'!$K:$K,'Tong_hop_HQNV_2026Q1_2026-06-23'!$A:$A,"="&amp;'CHECK_DT-BT'!$D$2,'Tong_hop_HQNV_2026Q1_2026-06-23'!$B:$B, "="&amp;'CHECK_DT-BT'!A61)</f>
        <v>8237470313</v>
      </c>
      <c r="E61" s="7">
        <f>SUMIFS('Tong_hop_HQNV_2026Q1_2026-06-23'!$K:$K,'Tong_hop_HQNV_2026Q1_2026-06-23'!$A:$A,"="&amp;'CHECK_DT-BT'!$E$2,'Tong_hop_HQNV_2026Q1_2026-06-23'!$B:$B, "="&amp;'CHECK_DT-BT'!A61)</f>
        <v>7833400</v>
      </c>
      <c r="F61" s="7">
        <f>SUMIFS('Tong_hop_HQNV_2026Q1_2026-06-23'!$K:$K,'Tong_hop_HQNV_2026Q1_2026-06-23'!$A:$A,"="&amp;'CHECK_DT-BT'!$F$2,'Tong_hop_HQNV_2026Q1_2026-06-23'!$B:$B, "="&amp;'CHECK_DT-BT'!A61)</f>
        <v>4613731890</v>
      </c>
      <c r="G61" s="7">
        <f>SUMIFS('Tong_hop_HQNV_2026Q1_2026-06-23'!$K:$K,'Tong_hop_HQNV_2026Q1_2026-06-23'!$A:$A,"="&amp;'CHECK_DT-BT'!$G$2,'Tong_hop_HQNV_2026Q1_2026-06-23'!$B:$B, "="&amp;'CHECK_DT-BT'!A61)</f>
        <v>1174291475</v>
      </c>
      <c r="H61" s="7">
        <f>SUMIFS('Tong_hop_HQNV_2026Q1_2026-06-23'!$K:$K,'Tong_hop_HQNV_2026Q1_2026-06-23'!$A:$A,"="&amp;$H$2,'Tong_hop_HQNV_2026Q1_2026-06-23'!$B:$B, "="&amp;'CHECK_DT-BT'!A61)</f>
        <v>412530389</v>
      </c>
      <c r="I61" s="7">
        <f>SUMIFS('Tong_hop_HQNV_2026Q1_2026-06-23'!$K:$K,'Tong_hop_HQNV_2026Q1_2026-06-23'!$A:$A,"="&amp;$I$2,'Tong_hop_HQNV_2026Q1_2026-06-23'!$B:$B, "="&amp;'CHECK_DT-BT'!A61)</f>
        <v>0</v>
      </c>
      <c r="J61" s="7">
        <f>SUMIFS('Tong_hop_HQNV_2026Q1_2026-06-23'!$K:$K,'Tong_hop_HQNV_2026Q1_2026-06-23'!$A:$A,"="&amp;$J$2,'Tong_hop_HQNV_2026Q1_2026-06-23'!$B:$B, "="&amp;'CHECK_DT-BT'!A61)</f>
        <v>0</v>
      </c>
      <c r="K61" s="7">
        <f>SUMIFS('Tong_hop_HQNV_2026Q1_2026-06-23'!$K:$K,'Tong_hop_HQNV_2026Q1_2026-06-23'!$A:$A,"="&amp;$K$2,'Tong_hop_HQNV_2026Q1_2026-06-23'!$B:$B, "="&amp;'CHECK_DT-BT'!A61)</f>
        <v>343936251</v>
      </c>
      <c r="L61" s="7">
        <f>SUMIFS('Tong_hop_HQNV_2026Q1_2026-06-23'!$K:$K,'Tong_hop_HQNV_2026Q1_2026-06-23'!$A:$A,"="&amp;$L$2,'Tong_hop_HQNV_2026Q1_2026-06-23'!$B:$B, "="&amp;'CHECK_DT-BT'!A61)</f>
        <v>903650240</v>
      </c>
      <c r="M61" s="7">
        <f>SUMIFS('Tong_hop_HQNV_2026Q1_2026-06-23'!$K:$K,'Tong_hop_HQNV_2026Q1_2026-06-23'!$A:$A,"="&amp;$M$2,'Tong_hop_HQNV_2026Q1_2026-06-23'!$B:$B, "="&amp;'CHECK_DT-BT'!A61)</f>
        <v>166484636</v>
      </c>
      <c r="N61" s="7">
        <f>SUMIFS('Tong_hop_HQNV_2026Q1_2026-06-23'!$K:$K,'Tong_hop_HQNV_2026Q1_2026-06-23'!$A:$A,"="&amp;$N$2,'Tong_hop_HQNV_2026Q1_2026-06-23'!$B:$B, "="&amp;'CHECK_DT-BT'!A61)</f>
        <v>5318182</v>
      </c>
      <c r="O61" s="7">
        <f>SUMIFS('Tong_hop_HQNV_2026Q1_2026-06-23'!$K:$K,'Tong_hop_HQNV_2026Q1_2026-06-23'!$A:$A,"="&amp;$O$2,'Tong_hop_HQNV_2026Q1_2026-06-23'!$B:$B, "="&amp;'CHECK_DT-BT'!A61)</f>
        <v>0</v>
      </c>
      <c r="P61" s="7">
        <f>SUMIFS('Tong_hop_HQNV_2026Q1_2026-06-23'!$K:$K,'Tong_hop_HQNV_2026Q1_2026-06-23'!$A:$A,"="&amp;$P$2,'Tong_hop_HQNV_2026Q1_2026-06-23'!$B:$B, "="&amp;'CHECK_DT-BT'!A61)</f>
        <v>0</v>
      </c>
      <c r="Q61" s="7">
        <f t="shared" si="2"/>
        <v>14033327078</v>
      </c>
      <c r="R61" s="7">
        <f t="shared" si="3"/>
        <v>1831919698</v>
      </c>
      <c r="S61" s="7">
        <f>SUMIFS('HQ1'!$C:$C,'HQ1'!$A:$A, "="&amp;'CHECK_DT-BT'!C61, 'HQ1'!$B:$B, "Total")</f>
        <v>14033327078</v>
      </c>
      <c r="T61" s="7">
        <f>SUMIFS('HQ2'!$C:$C,'HQ2'!$A:$A, "="&amp;'CHECK_DT-BT'!C61, 'HQ2'!$B:$B, "Total")</f>
        <v>1831919698</v>
      </c>
      <c r="U61" s="7">
        <f t="shared" si="4"/>
        <v>0</v>
      </c>
      <c r="V61" s="7">
        <f t="shared" si="5"/>
        <v>0</v>
      </c>
      <c r="W61" s="23">
        <f>SUMIFS('Tong_hop_HQNV_2026Q1_2026-06-23'!$L:$L,'Tong_hop_HQNV_2026Q1_2026-06-23'!$B:$B, "="&amp;'CHECK_DT-BT'!A61, 'Tong_hop_HQNV_2026Q1_2026-06-23'!$A:$A, "="&amp;'CHECK_DT-BT'!$W$2)</f>
        <v>7365283500</v>
      </c>
      <c r="X61" s="7">
        <f>SUMIFS('Tong_hop_HQNV_2026Q1_2026-06-23'!$L:$L,'Tong_hop_HQNV_2026Q1_2026-06-23'!$B:$B, "="&amp;'CHECK_DT-BT'!A61, 'Tong_hop_HQNV_2026Q1_2026-06-23'!$A:$A, "="&amp;'CHECK_DT-BT'!$X$2)</f>
        <v>0</v>
      </c>
      <c r="Y61" s="7">
        <f>SUMIFS('Tong_hop_HQNV_2026Q1_2026-06-23'!$L:$L,'Tong_hop_HQNV_2026Q1_2026-06-23'!$B:$B, "="&amp;'CHECK_DT-BT'!A61, 'Tong_hop_HQNV_2026Q1_2026-06-23'!$A:$A, "="&amp;'CHECK_DT-BT'!$Y$2)</f>
        <v>3122476776</v>
      </c>
      <c r="Z61" s="7">
        <f>SUMIFS('Tong_hop_HQNV_2026Q1_2026-06-23'!$L:$L,'Tong_hop_HQNV_2026Q1_2026-06-23'!$B:$B, "="&amp;'CHECK_DT-BT'!A61, 'Tong_hop_HQNV_2026Q1_2026-06-23'!$A:$A, "="&amp;'CHECK_DT-BT'!$Z$2)</f>
        <v>167509477</v>
      </c>
      <c r="AA61" s="7">
        <f>SUMIFS('Tong_hop_HQNV_2026Q1_2026-06-23'!$L:$L,'Tong_hop_HQNV_2026Q1_2026-06-23'!$B:$B, "="&amp;'CHECK_DT-BT'!A61, 'Tong_hop_HQNV_2026Q1_2026-06-23'!$A:$A, "="&amp;$AA$2)</f>
        <v>131611537</v>
      </c>
      <c r="AB61" s="7">
        <f>SUMIFS('Tong_hop_HQNV_2026Q1_2026-06-23'!$L:$L,'Tong_hop_HQNV_2026Q1_2026-06-23'!$B:$B, "="&amp;'CHECK_DT-BT'!A61, 'Tong_hop_HQNV_2026Q1_2026-06-23'!$A:$A, "="&amp;$AB$2)</f>
        <v>0</v>
      </c>
      <c r="AC61" s="7">
        <f>SUMIFS('Tong_hop_HQNV_2026Q1_2026-06-23'!$L:$L,'Tong_hop_HQNV_2026Q1_2026-06-23'!$B:$B, "="&amp;'CHECK_DT-BT'!A61, 'Tong_hop_HQNV_2026Q1_2026-06-23'!$A:$A, "="&amp;$AC$2)</f>
        <v>0</v>
      </c>
      <c r="AD61" s="7">
        <f>SUMIFS('Tong_hop_HQNV_2026Q1_2026-06-23'!$L:$L,'Tong_hop_HQNV_2026Q1_2026-06-23'!$B:$B, "="&amp;'CHECK_DT-BT'!A61, 'Tong_hop_HQNV_2026Q1_2026-06-23'!$A:$A, "="&amp;$AD$2)</f>
        <v>912772800</v>
      </c>
      <c r="AE61" s="7">
        <f>SUMIFS('Tong_hop_HQNV_2026Q1_2026-06-23'!$L:$L,'Tong_hop_HQNV_2026Q1_2026-06-23'!$B:$B, "="&amp;'CHECK_DT-BT'!A61, 'Tong_hop_HQNV_2026Q1_2026-06-23'!$A:$A, "="&amp;$AE$2)</f>
        <v>900000000</v>
      </c>
      <c r="AF61" s="7">
        <f>SUMIFS('Tong_hop_HQNV_2026Q1_2026-06-23'!$L:$L,'Tong_hop_HQNV_2026Q1_2026-06-23'!$B:$B, "="&amp;'CHECK_DT-BT'!A61, 'Tong_hop_HQNV_2026Q1_2026-06-23'!$A:$A, "="&amp;$AF$2)</f>
        <v>0</v>
      </c>
      <c r="AG61" s="7">
        <f>SUMIFS('Tong_hop_HQNV_2026Q1_2026-06-23'!$L:$L,'Tong_hop_HQNV_2026Q1_2026-06-23'!$B:$B, "="&amp;'CHECK_DT-BT'!A61, 'Tong_hop_HQNV_2026Q1_2026-06-23'!$A:$A, "="&amp;$AG$2)</f>
        <v>0</v>
      </c>
      <c r="AH61" s="7">
        <f>SUMIFS('Tong_hop_HQNV_2026Q1_2026-06-23'!$L:$L,'Tong_hop_HQNV_2026Q1_2026-06-23'!$B:$B, "="&amp;'CHECK_DT-BT'!A61, 'Tong_hop_HQNV_2026Q1_2026-06-23'!$A:$A, "="&amp;$AH$2)</f>
        <v>0</v>
      </c>
      <c r="AI61" s="7">
        <f>SUMIFS('Tong_hop_HQNV_2026Q1_2026-06-23'!$L:$L,'Tong_hop_HQNV_2026Q1_2026-06-23'!$B:$B, "="&amp;'CHECK_DT-BT'!A61, 'Tong_hop_HQNV_2026Q1_2026-06-23'!$A:$A, "="&amp;$AI$2)</f>
        <v>0</v>
      </c>
      <c r="AJ61" s="7">
        <f t="shared" si="6"/>
        <v>10655269753</v>
      </c>
      <c r="AK61" s="7">
        <f t="shared" si="7"/>
        <v>1944384337</v>
      </c>
      <c r="AL61" s="7">
        <f>SUMIFS('HQ1'!$D:$D,'HQ1'!$A:$A, "="&amp;'CHECK_DT-BT'!C61, 'HQ1'!$B:$B, "Total")</f>
        <v>10655269753</v>
      </c>
      <c r="AM61" s="7">
        <f>SUMIFS('HQ2'!$J:$J,'HQ2'!$A:$A, "="&amp;'CHECK_DT-BT'!C61, 'HQ2'!$B:$B, "Total")</f>
        <v>1944384337</v>
      </c>
      <c r="AN61" s="24">
        <f t="shared" si="8"/>
        <v>0</v>
      </c>
      <c r="AO61" s="24">
        <f t="shared" si="9"/>
        <v>0</v>
      </c>
    </row>
    <row r="62" spans="1:41" x14ac:dyDescent="0.25">
      <c r="A62" s="9" t="s">
        <v>342</v>
      </c>
      <c r="B62" t="s">
        <v>200</v>
      </c>
      <c r="C62" t="s">
        <v>102</v>
      </c>
      <c r="D62" s="7">
        <f>SUMIFS('Tong_hop_HQNV_2026Q1_2026-06-23'!$K:$K,'Tong_hop_HQNV_2026Q1_2026-06-23'!$A:$A,"="&amp;'CHECK_DT-BT'!$D$2,'Tong_hop_HQNV_2026Q1_2026-06-23'!$B:$B, "="&amp;'CHECK_DT-BT'!A62)</f>
        <v>3145320945</v>
      </c>
      <c r="E62" s="7">
        <f>SUMIFS('Tong_hop_HQNV_2026Q1_2026-06-23'!$K:$K,'Tong_hop_HQNV_2026Q1_2026-06-23'!$A:$A,"="&amp;'CHECK_DT-BT'!$E$2,'Tong_hop_HQNV_2026Q1_2026-06-23'!$B:$B, "="&amp;'CHECK_DT-BT'!A62)</f>
        <v>5910000</v>
      </c>
      <c r="F62" s="7">
        <f>SUMIFS('Tong_hop_HQNV_2026Q1_2026-06-23'!$K:$K,'Tong_hop_HQNV_2026Q1_2026-06-23'!$A:$A,"="&amp;'CHECK_DT-BT'!$F$2,'Tong_hop_HQNV_2026Q1_2026-06-23'!$B:$B, "="&amp;'CHECK_DT-BT'!A62)</f>
        <v>2863841054</v>
      </c>
      <c r="G62" s="7">
        <f>SUMIFS('Tong_hop_HQNV_2026Q1_2026-06-23'!$K:$K,'Tong_hop_HQNV_2026Q1_2026-06-23'!$A:$A,"="&amp;'CHECK_DT-BT'!$G$2,'Tong_hop_HQNV_2026Q1_2026-06-23'!$B:$B, "="&amp;'CHECK_DT-BT'!A62)</f>
        <v>551207502</v>
      </c>
      <c r="H62" s="7">
        <f>SUMIFS('Tong_hop_HQNV_2026Q1_2026-06-23'!$K:$K,'Tong_hop_HQNV_2026Q1_2026-06-23'!$A:$A,"="&amp;$H$2,'Tong_hop_HQNV_2026Q1_2026-06-23'!$B:$B, "="&amp;'CHECK_DT-BT'!A62)</f>
        <v>856590238</v>
      </c>
      <c r="I62" s="7">
        <f>SUMIFS('Tong_hop_HQNV_2026Q1_2026-06-23'!$K:$K,'Tong_hop_HQNV_2026Q1_2026-06-23'!$A:$A,"="&amp;$I$2,'Tong_hop_HQNV_2026Q1_2026-06-23'!$B:$B, "="&amp;'CHECK_DT-BT'!A62)</f>
        <v>0</v>
      </c>
      <c r="J62" s="7">
        <f>SUMIFS('Tong_hop_HQNV_2026Q1_2026-06-23'!$K:$K,'Tong_hop_HQNV_2026Q1_2026-06-23'!$A:$A,"="&amp;$J$2,'Tong_hop_HQNV_2026Q1_2026-06-23'!$B:$B, "="&amp;'CHECK_DT-BT'!A62)</f>
        <v>0</v>
      </c>
      <c r="K62" s="7">
        <f>SUMIFS('Tong_hop_HQNV_2026Q1_2026-06-23'!$K:$K,'Tong_hop_HQNV_2026Q1_2026-06-23'!$A:$A,"="&amp;$K$2,'Tong_hop_HQNV_2026Q1_2026-06-23'!$B:$B, "="&amp;'CHECK_DT-BT'!A62)</f>
        <v>41400000</v>
      </c>
      <c r="L62" s="7">
        <f>SUMIFS('Tong_hop_HQNV_2026Q1_2026-06-23'!$K:$K,'Tong_hop_HQNV_2026Q1_2026-06-23'!$A:$A,"="&amp;$L$2,'Tong_hop_HQNV_2026Q1_2026-06-23'!$B:$B, "="&amp;'CHECK_DT-BT'!A62)</f>
        <v>774078222</v>
      </c>
      <c r="M62" s="7">
        <f>SUMIFS('Tong_hop_HQNV_2026Q1_2026-06-23'!$K:$K,'Tong_hop_HQNV_2026Q1_2026-06-23'!$A:$A,"="&amp;$M$2,'Tong_hop_HQNV_2026Q1_2026-06-23'!$B:$B, "="&amp;'CHECK_DT-BT'!A62)</f>
        <v>32050000</v>
      </c>
      <c r="N62" s="7">
        <f>SUMIFS('Tong_hop_HQNV_2026Q1_2026-06-23'!$K:$K,'Tong_hop_HQNV_2026Q1_2026-06-23'!$A:$A,"="&amp;$N$2,'Tong_hop_HQNV_2026Q1_2026-06-23'!$B:$B, "="&amp;'CHECK_DT-BT'!A62)</f>
        <v>0</v>
      </c>
      <c r="O62" s="7">
        <f>SUMIFS('Tong_hop_HQNV_2026Q1_2026-06-23'!$K:$K,'Tong_hop_HQNV_2026Q1_2026-06-23'!$A:$A,"="&amp;$O$2,'Tong_hop_HQNV_2026Q1_2026-06-23'!$B:$B, "="&amp;'CHECK_DT-BT'!A62)</f>
        <v>0</v>
      </c>
      <c r="P62" s="7">
        <f>SUMIFS('Tong_hop_HQNV_2026Q1_2026-06-23'!$K:$K,'Tong_hop_HQNV_2026Q1_2026-06-23'!$A:$A,"="&amp;$P$2,'Tong_hop_HQNV_2026Q1_2026-06-23'!$B:$B, "="&amp;'CHECK_DT-BT'!A62)</f>
        <v>0</v>
      </c>
      <c r="Q62" s="7">
        <f t="shared" si="2"/>
        <v>6566279501</v>
      </c>
      <c r="R62" s="7">
        <f t="shared" si="3"/>
        <v>1704118460</v>
      </c>
      <c r="S62" s="7">
        <f>SUMIFS('HQ1'!$C:$C,'HQ1'!$A:$A, "="&amp;'CHECK_DT-BT'!C62, 'HQ1'!$B:$B, "Total")</f>
        <v>6581739401</v>
      </c>
      <c r="T62" s="7">
        <f>SUMIFS('HQ2'!$C:$C,'HQ2'!$A:$A, "="&amp;'CHECK_DT-BT'!C62, 'HQ2'!$B:$B, "Total")</f>
        <v>1704118460</v>
      </c>
      <c r="U62" s="7">
        <f t="shared" si="4"/>
        <v>-15459900</v>
      </c>
      <c r="V62" s="7">
        <f t="shared" si="5"/>
        <v>0</v>
      </c>
      <c r="W62" s="23">
        <f>SUMIFS('Tong_hop_HQNV_2026Q1_2026-06-23'!$L:$L,'Tong_hop_HQNV_2026Q1_2026-06-23'!$B:$B, "="&amp;'CHECK_DT-BT'!A62, 'Tong_hop_HQNV_2026Q1_2026-06-23'!$A:$A, "="&amp;'CHECK_DT-BT'!$W$2)</f>
        <v>1577031300</v>
      </c>
      <c r="X62" s="7">
        <f>SUMIFS('Tong_hop_HQNV_2026Q1_2026-06-23'!$L:$L,'Tong_hop_HQNV_2026Q1_2026-06-23'!$B:$B, "="&amp;'CHECK_DT-BT'!A62, 'Tong_hop_HQNV_2026Q1_2026-06-23'!$A:$A, "="&amp;'CHECK_DT-BT'!$X$2)</f>
        <v>0</v>
      </c>
      <c r="Y62" s="7">
        <f>SUMIFS('Tong_hop_HQNV_2026Q1_2026-06-23'!$L:$L,'Tong_hop_HQNV_2026Q1_2026-06-23'!$B:$B, "="&amp;'CHECK_DT-BT'!A62, 'Tong_hop_HQNV_2026Q1_2026-06-23'!$A:$A, "="&amp;'CHECK_DT-BT'!$Y$2)</f>
        <v>1074966138</v>
      </c>
      <c r="Z62" s="7">
        <f>SUMIFS('Tong_hop_HQNV_2026Q1_2026-06-23'!$L:$L,'Tong_hop_HQNV_2026Q1_2026-06-23'!$B:$B, "="&amp;'CHECK_DT-BT'!A62, 'Tong_hop_HQNV_2026Q1_2026-06-23'!$A:$A, "="&amp;'CHECK_DT-BT'!$Z$2)</f>
        <v>392820962</v>
      </c>
      <c r="AA62" s="7">
        <f>SUMIFS('Tong_hop_HQNV_2026Q1_2026-06-23'!$L:$L,'Tong_hop_HQNV_2026Q1_2026-06-23'!$B:$B, "="&amp;'CHECK_DT-BT'!A62, 'Tong_hop_HQNV_2026Q1_2026-06-23'!$A:$A, "="&amp;$AA$2)</f>
        <v>12307460</v>
      </c>
      <c r="AB62" s="7">
        <f>SUMIFS('Tong_hop_HQNV_2026Q1_2026-06-23'!$L:$L,'Tong_hop_HQNV_2026Q1_2026-06-23'!$B:$B, "="&amp;'CHECK_DT-BT'!A62, 'Tong_hop_HQNV_2026Q1_2026-06-23'!$A:$A, "="&amp;$AB$2)</f>
        <v>0</v>
      </c>
      <c r="AC62" s="7">
        <f>SUMIFS('Tong_hop_HQNV_2026Q1_2026-06-23'!$L:$L,'Tong_hop_HQNV_2026Q1_2026-06-23'!$B:$B, "="&amp;'CHECK_DT-BT'!A62, 'Tong_hop_HQNV_2026Q1_2026-06-23'!$A:$A, "="&amp;$AC$2)</f>
        <v>0</v>
      </c>
      <c r="AD62" s="7">
        <f>SUMIFS('Tong_hop_HQNV_2026Q1_2026-06-23'!$L:$L,'Tong_hop_HQNV_2026Q1_2026-06-23'!$B:$B, "="&amp;'CHECK_DT-BT'!A62, 'Tong_hop_HQNV_2026Q1_2026-06-23'!$A:$A, "="&amp;$AD$2)</f>
        <v>0</v>
      </c>
      <c r="AE62" s="7">
        <f>SUMIFS('Tong_hop_HQNV_2026Q1_2026-06-23'!$L:$L,'Tong_hop_HQNV_2026Q1_2026-06-23'!$B:$B, "="&amp;'CHECK_DT-BT'!A62, 'Tong_hop_HQNV_2026Q1_2026-06-23'!$A:$A, "="&amp;$AE$2)</f>
        <v>76847958</v>
      </c>
      <c r="AF62" s="7">
        <f>SUMIFS('Tong_hop_HQNV_2026Q1_2026-06-23'!$L:$L,'Tong_hop_HQNV_2026Q1_2026-06-23'!$B:$B, "="&amp;'CHECK_DT-BT'!A62, 'Tong_hop_HQNV_2026Q1_2026-06-23'!$A:$A, "="&amp;$AF$2)</f>
        <v>0</v>
      </c>
      <c r="AG62" s="7">
        <f>SUMIFS('Tong_hop_HQNV_2026Q1_2026-06-23'!$L:$L,'Tong_hop_HQNV_2026Q1_2026-06-23'!$B:$B, "="&amp;'CHECK_DT-BT'!A62, 'Tong_hop_HQNV_2026Q1_2026-06-23'!$A:$A, "="&amp;$AG$2)</f>
        <v>0</v>
      </c>
      <c r="AH62" s="7">
        <f>SUMIFS('Tong_hop_HQNV_2026Q1_2026-06-23'!$L:$L,'Tong_hop_HQNV_2026Q1_2026-06-23'!$B:$B, "="&amp;'CHECK_DT-BT'!A62, 'Tong_hop_HQNV_2026Q1_2026-06-23'!$A:$A, "="&amp;$AH$2)</f>
        <v>0</v>
      </c>
      <c r="AI62" s="7">
        <f>SUMIFS('Tong_hop_HQNV_2026Q1_2026-06-23'!$L:$L,'Tong_hop_HQNV_2026Q1_2026-06-23'!$B:$B, "="&amp;'CHECK_DT-BT'!A62, 'Tong_hop_HQNV_2026Q1_2026-06-23'!$A:$A, "="&amp;$AI$2)</f>
        <v>0</v>
      </c>
      <c r="AJ62" s="7">
        <f t="shared" si="6"/>
        <v>3044818400</v>
      </c>
      <c r="AK62" s="7">
        <f t="shared" si="7"/>
        <v>89155418</v>
      </c>
      <c r="AL62" s="7">
        <f>SUMIFS('HQ1'!$D:$D,'HQ1'!$A:$A, "="&amp;'CHECK_DT-BT'!C62, 'HQ1'!$B:$B, "Total")</f>
        <v>3044818400</v>
      </c>
      <c r="AM62" s="7">
        <f>SUMIFS('HQ2'!$J:$J,'HQ2'!$A:$A, "="&amp;'CHECK_DT-BT'!C62, 'HQ2'!$B:$B, "Total")</f>
        <v>89155418</v>
      </c>
      <c r="AN62" s="24">
        <f t="shared" si="8"/>
        <v>0</v>
      </c>
      <c r="AO62" s="24">
        <f t="shared" si="9"/>
        <v>0</v>
      </c>
    </row>
    <row r="63" spans="1:41" x14ac:dyDescent="0.25">
      <c r="A63" s="9" t="s">
        <v>343</v>
      </c>
      <c r="B63" t="s">
        <v>201</v>
      </c>
      <c r="C63" t="s">
        <v>69</v>
      </c>
      <c r="D63" s="7">
        <f>SUMIFS('Tong_hop_HQNV_2026Q1_2026-06-23'!$K:$K,'Tong_hop_HQNV_2026Q1_2026-06-23'!$A:$A,"="&amp;'CHECK_DT-BT'!$D$2,'Tong_hop_HQNV_2026Q1_2026-06-23'!$B:$B, "="&amp;'CHECK_DT-BT'!A63)</f>
        <v>3746338424</v>
      </c>
      <c r="E63" s="7">
        <f>SUMIFS('Tong_hop_HQNV_2026Q1_2026-06-23'!$K:$K,'Tong_hop_HQNV_2026Q1_2026-06-23'!$A:$A,"="&amp;'CHECK_DT-BT'!$E$2,'Tong_hop_HQNV_2026Q1_2026-06-23'!$B:$B, "="&amp;'CHECK_DT-BT'!A63)</f>
        <v>254849040</v>
      </c>
      <c r="F63" s="7">
        <f>SUMIFS('Tong_hop_HQNV_2026Q1_2026-06-23'!$K:$K,'Tong_hop_HQNV_2026Q1_2026-06-23'!$A:$A,"="&amp;'CHECK_DT-BT'!$F$2,'Tong_hop_HQNV_2026Q1_2026-06-23'!$B:$B, "="&amp;'CHECK_DT-BT'!A63)</f>
        <v>7980630820</v>
      </c>
      <c r="G63" s="7">
        <f>SUMIFS('Tong_hop_HQNV_2026Q1_2026-06-23'!$K:$K,'Tong_hop_HQNV_2026Q1_2026-06-23'!$A:$A,"="&amp;'CHECK_DT-BT'!$G$2,'Tong_hop_HQNV_2026Q1_2026-06-23'!$B:$B, "="&amp;'CHECK_DT-BT'!A63)</f>
        <v>5494585065</v>
      </c>
      <c r="H63" s="7">
        <f>SUMIFS('Tong_hop_HQNV_2026Q1_2026-06-23'!$K:$K,'Tong_hop_HQNV_2026Q1_2026-06-23'!$A:$A,"="&amp;$H$2,'Tong_hop_HQNV_2026Q1_2026-06-23'!$B:$B, "="&amp;'CHECK_DT-BT'!A63)</f>
        <v>549078361</v>
      </c>
      <c r="I63" s="7">
        <f>SUMIFS('Tong_hop_HQNV_2026Q1_2026-06-23'!$K:$K,'Tong_hop_HQNV_2026Q1_2026-06-23'!$A:$A,"="&amp;$I$2,'Tong_hop_HQNV_2026Q1_2026-06-23'!$B:$B, "="&amp;'CHECK_DT-BT'!A63)</f>
        <v>1787286227</v>
      </c>
      <c r="J63" s="7">
        <f>SUMIFS('Tong_hop_HQNV_2026Q1_2026-06-23'!$K:$K,'Tong_hop_HQNV_2026Q1_2026-06-23'!$A:$A,"="&amp;$J$2,'Tong_hop_HQNV_2026Q1_2026-06-23'!$B:$B, "="&amp;'CHECK_DT-BT'!A63)</f>
        <v>534110545</v>
      </c>
      <c r="K63" s="7">
        <f>SUMIFS('Tong_hop_HQNV_2026Q1_2026-06-23'!$K:$K,'Tong_hop_HQNV_2026Q1_2026-06-23'!$A:$A,"="&amp;$K$2,'Tong_hop_HQNV_2026Q1_2026-06-23'!$B:$B, "="&amp;'CHECK_DT-BT'!A63)</f>
        <v>2685888355</v>
      </c>
      <c r="L63" s="7">
        <f>SUMIFS('Tong_hop_HQNV_2026Q1_2026-06-23'!$K:$K,'Tong_hop_HQNV_2026Q1_2026-06-23'!$A:$A,"="&amp;$L$2,'Tong_hop_HQNV_2026Q1_2026-06-23'!$B:$B, "="&amp;'CHECK_DT-BT'!A63)</f>
        <v>1206972668</v>
      </c>
      <c r="M63" s="7">
        <f>SUMIFS('Tong_hop_HQNV_2026Q1_2026-06-23'!$K:$K,'Tong_hop_HQNV_2026Q1_2026-06-23'!$A:$A,"="&amp;$M$2,'Tong_hop_HQNV_2026Q1_2026-06-23'!$B:$B, "="&amp;'CHECK_DT-BT'!A63)</f>
        <v>937970272</v>
      </c>
      <c r="N63" s="7">
        <f>SUMIFS('Tong_hop_HQNV_2026Q1_2026-06-23'!$K:$K,'Tong_hop_HQNV_2026Q1_2026-06-23'!$A:$A,"="&amp;$N$2,'Tong_hop_HQNV_2026Q1_2026-06-23'!$B:$B, "="&amp;'CHECK_DT-BT'!A63)</f>
        <v>65100000</v>
      </c>
      <c r="O63" s="7">
        <f>SUMIFS('Tong_hop_HQNV_2026Q1_2026-06-23'!$K:$K,'Tong_hop_HQNV_2026Q1_2026-06-23'!$A:$A,"="&amp;$O$2,'Tong_hop_HQNV_2026Q1_2026-06-23'!$B:$B, "="&amp;'CHECK_DT-BT'!A63)</f>
        <v>0</v>
      </c>
      <c r="P63" s="7">
        <f>SUMIFS('Tong_hop_HQNV_2026Q1_2026-06-23'!$K:$K,'Tong_hop_HQNV_2026Q1_2026-06-23'!$A:$A,"="&amp;$P$2,'Tong_hop_HQNV_2026Q1_2026-06-23'!$B:$B, "="&amp;'CHECK_DT-BT'!A63)</f>
        <v>0</v>
      </c>
      <c r="Q63" s="7">
        <f t="shared" si="2"/>
        <v>17476403349</v>
      </c>
      <c r="R63" s="7">
        <f t="shared" si="3"/>
        <v>7766406428</v>
      </c>
      <c r="S63" s="7">
        <f>SUMIFS('HQ1'!$C:$C,'HQ1'!$A:$A, "="&amp;'CHECK_DT-BT'!C63, 'HQ1'!$B:$B, "Total")</f>
        <v>17476403349</v>
      </c>
      <c r="T63" s="7">
        <f>SUMIFS('HQ2'!$C:$C,'HQ2'!$A:$A, "="&amp;'CHECK_DT-BT'!C63, 'HQ2'!$B:$B, "Total")</f>
        <v>7766406428</v>
      </c>
      <c r="U63" s="7">
        <f t="shared" si="4"/>
        <v>0</v>
      </c>
      <c r="V63" s="7">
        <f t="shared" si="5"/>
        <v>0</v>
      </c>
      <c r="W63" s="23">
        <f>SUMIFS('Tong_hop_HQNV_2026Q1_2026-06-23'!$L:$L,'Tong_hop_HQNV_2026Q1_2026-06-23'!$B:$B, "="&amp;'CHECK_DT-BT'!A63, 'Tong_hop_HQNV_2026Q1_2026-06-23'!$A:$A, "="&amp;'CHECK_DT-BT'!$W$2)</f>
        <v>1647982600</v>
      </c>
      <c r="X63" s="7">
        <f>SUMIFS('Tong_hop_HQNV_2026Q1_2026-06-23'!$L:$L,'Tong_hop_HQNV_2026Q1_2026-06-23'!$B:$B, "="&amp;'CHECK_DT-BT'!A63, 'Tong_hop_HQNV_2026Q1_2026-06-23'!$A:$A, "="&amp;'CHECK_DT-BT'!$X$2)</f>
        <v>0</v>
      </c>
      <c r="Y63" s="7">
        <f>SUMIFS('Tong_hop_HQNV_2026Q1_2026-06-23'!$L:$L,'Tong_hop_HQNV_2026Q1_2026-06-23'!$B:$B, "="&amp;'CHECK_DT-BT'!A63, 'Tong_hop_HQNV_2026Q1_2026-06-23'!$A:$A, "="&amp;'CHECK_DT-BT'!$Y$2)</f>
        <v>4480035721</v>
      </c>
      <c r="Z63" s="7">
        <f>SUMIFS('Tong_hop_HQNV_2026Q1_2026-06-23'!$L:$L,'Tong_hop_HQNV_2026Q1_2026-06-23'!$B:$B, "="&amp;'CHECK_DT-BT'!A63, 'Tong_hop_HQNV_2026Q1_2026-06-23'!$A:$A, "="&amp;'CHECK_DT-BT'!$Z$2)</f>
        <v>1849145070</v>
      </c>
      <c r="AA63" s="7">
        <f>SUMIFS('Tong_hop_HQNV_2026Q1_2026-06-23'!$L:$L,'Tong_hop_HQNV_2026Q1_2026-06-23'!$B:$B, "="&amp;'CHECK_DT-BT'!A63, 'Tong_hop_HQNV_2026Q1_2026-06-23'!$A:$A, "="&amp;$AA$2)</f>
        <v>210173461</v>
      </c>
      <c r="AB63" s="7">
        <f>SUMIFS('Tong_hop_HQNV_2026Q1_2026-06-23'!$L:$L,'Tong_hop_HQNV_2026Q1_2026-06-23'!$B:$B, "="&amp;'CHECK_DT-BT'!A63, 'Tong_hop_HQNV_2026Q1_2026-06-23'!$A:$A, "="&amp;$AB$2)</f>
        <v>0</v>
      </c>
      <c r="AC63" s="7">
        <f>SUMIFS('Tong_hop_HQNV_2026Q1_2026-06-23'!$L:$L,'Tong_hop_HQNV_2026Q1_2026-06-23'!$B:$B, "="&amp;'CHECK_DT-BT'!A63, 'Tong_hop_HQNV_2026Q1_2026-06-23'!$A:$A, "="&amp;$AC$2)</f>
        <v>0</v>
      </c>
      <c r="AD63" s="7">
        <f>SUMIFS('Tong_hop_HQNV_2026Q1_2026-06-23'!$L:$L,'Tong_hop_HQNV_2026Q1_2026-06-23'!$B:$B, "="&amp;'CHECK_DT-BT'!A63, 'Tong_hop_HQNV_2026Q1_2026-06-23'!$A:$A, "="&amp;$AD$2)</f>
        <v>58200000</v>
      </c>
      <c r="AE63" s="7">
        <f>SUMIFS('Tong_hop_HQNV_2026Q1_2026-06-23'!$L:$L,'Tong_hop_HQNV_2026Q1_2026-06-23'!$B:$B, "="&amp;'CHECK_DT-BT'!A63, 'Tong_hop_HQNV_2026Q1_2026-06-23'!$A:$A, "="&amp;$AE$2)</f>
        <v>0</v>
      </c>
      <c r="AF63" s="7">
        <f>SUMIFS('Tong_hop_HQNV_2026Q1_2026-06-23'!$L:$L,'Tong_hop_HQNV_2026Q1_2026-06-23'!$B:$B, "="&amp;'CHECK_DT-BT'!A63, 'Tong_hop_HQNV_2026Q1_2026-06-23'!$A:$A, "="&amp;$AF$2)</f>
        <v>0</v>
      </c>
      <c r="AG63" s="7">
        <f>SUMIFS('Tong_hop_HQNV_2026Q1_2026-06-23'!$L:$L,'Tong_hop_HQNV_2026Q1_2026-06-23'!$B:$B, "="&amp;'CHECK_DT-BT'!A63, 'Tong_hop_HQNV_2026Q1_2026-06-23'!$A:$A, "="&amp;$AG$2)</f>
        <v>44038323</v>
      </c>
      <c r="AH63" s="7">
        <f>SUMIFS('Tong_hop_HQNV_2026Q1_2026-06-23'!$L:$L,'Tong_hop_HQNV_2026Q1_2026-06-23'!$B:$B, "="&amp;'CHECK_DT-BT'!A63, 'Tong_hop_HQNV_2026Q1_2026-06-23'!$A:$A, "="&amp;$AH$2)</f>
        <v>0</v>
      </c>
      <c r="AI63" s="7">
        <f>SUMIFS('Tong_hop_HQNV_2026Q1_2026-06-23'!$L:$L,'Tong_hop_HQNV_2026Q1_2026-06-23'!$B:$B, "="&amp;'CHECK_DT-BT'!A63, 'Tong_hop_HQNV_2026Q1_2026-06-23'!$A:$A, "="&amp;$AI$2)</f>
        <v>0</v>
      </c>
      <c r="AJ63" s="7">
        <f t="shared" si="6"/>
        <v>7977163391</v>
      </c>
      <c r="AK63" s="7">
        <f t="shared" si="7"/>
        <v>312411784</v>
      </c>
      <c r="AL63" s="7">
        <f>SUMIFS('HQ1'!$D:$D,'HQ1'!$A:$A, "="&amp;'CHECK_DT-BT'!C63, 'HQ1'!$B:$B, "Total")</f>
        <v>7977163391</v>
      </c>
      <c r="AM63" s="7">
        <f>SUMIFS('HQ2'!$J:$J,'HQ2'!$A:$A, "="&amp;'CHECK_DT-BT'!C63, 'HQ2'!$B:$B, "Total")</f>
        <v>312411784</v>
      </c>
      <c r="AN63" s="24">
        <f t="shared" si="8"/>
        <v>0</v>
      </c>
      <c r="AO63" s="24">
        <f t="shared" si="9"/>
        <v>0</v>
      </c>
    </row>
    <row r="64" spans="1:41" x14ac:dyDescent="0.25">
      <c r="A64" s="9" t="s">
        <v>344</v>
      </c>
      <c r="B64" t="s">
        <v>202</v>
      </c>
      <c r="C64" t="s">
        <v>112</v>
      </c>
      <c r="D64" s="7">
        <f>SUMIFS('Tong_hop_HQNV_2026Q1_2026-06-23'!$K:$K,'Tong_hop_HQNV_2026Q1_2026-06-23'!$A:$A,"="&amp;'CHECK_DT-BT'!$D$2,'Tong_hop_HQNV_2026Q1_2026-06-23'!$B:$B, "="&amp;'CHECK_DT-BT'!A64)</f>
        <v>1916427188</v>
      </c>
      <c r="E64" s="7">
        <f>SUMIFS('Tong_hop_HQNV_2026Q1_2026-06-23'!$K:$K,'Tong_hop_HQNV_2026Q1_2026-06-23'!$A:$A,"="&amp;'CHECK_DT-BT'!$E$2,'Tong_hop_HQNV_2026Q1_2026-06-23'!$B:$B, "="&amp;'CHECK_DT-BT'!A64)</f>
        <v>23620500</v>
      </c>
      <c r="F64" s="7">
        <f>SUMIFS('Tong_hop_HQNV_2026Q1_2026-06-23'!$K:$K,'Tong_hop_HQNV_2026Q1_2026-06-23'!$A:$A,"="&amp;'CHECK_DT-BT'!$F$2,'Tong_hop_HQNV_2026Q1_2026-06-23'!$B:$B, "="&amp;'CHECK_DT-BT'!A64)</f>
        <v>8023636193</v>
      </c>
      <c r="G64" s="7">
        <f>SUMIFS('Tong_hop_HQNV_2026Q1_2026-06-23'!$K:$K,'Tong_hop_HQNV_2026Q1_2026-06-23'!$A:$A,"="&amp;'CHECK_DT-BT'!$G$2,'Tong_hop_HQNV_2026Q1_2026-06-23'!$B:$B, "="&amp;'CHECK_DT-BT'!A64)</f>
        <v>1459732384</v>
      </c>
      <c r="H64" s="7">
        <f>SUMIFS('Tong_hop_HQNV_2026Q1_2026-06-23'!$K:$K,'Tong_hop_HQNV_2026Q1_2026-06-23'!$A:$A,"="&amp;$H$2,'Tong_hop_HQNV_2026Q1_2026-06-23'!$B:$B, "="&amp;'CHECK_DT-BT'!A64)</f>
        <v>0</v>
      </c>
      <c r="I64" s="7">
        <f>SUMIFS('Tong_hop_HQNV_2026Q1_2026-06-23'!$K:$K,'Tong_hop_HQNV_2026Q1_2026-06-23'!$A:$A,"="&amp;$I$2,'Tong_hop_HQNV_2026Q1_2026-06-23'!$B:$B, "="&amp;'CHECK_DT-BT'!A64)</f>
        <v>365784591</v>
      </c>
      <c r="J64" s="7">
        <f>SUMIFS('Tong_hop_HQNV_2026Q1_2026-06-23'!$K:$K,'Tong_hop_HQNV_2026Q1_2026-06-23'!$A:$A,"="&amp;$J$2,'Tong_hop_HQNV_2026Q1_2026-06-23'!$B:$B, "="&amp;'CHECK_DT-BT'!A64)</f>
        <v>343020320</v>
      </c>
      <c r="K64" s="7">
        <f>SUMIFS('Tong_hop_HQNV_2026Q1_2026-06-23'!$K:$K,'Tong_hop_HQNV_2026Q1_2026-06-23'!$A:$A,"="&amp;$K$2,'Tong_hop_HQNV_2026Q1_2026-06-23'!$B:$B, "="&amp;'CHECK_DT-BT'!A64)</f>
        <v>59200000</v>
      </c>
      <c r="L64" s="7">
        <f>SUMIFS('Tong_hop_HQNV_2026Q1_2026-06-23'!$K:$K,'Tong_hop_HQNV_2026Q1_2026-06-23'!$A:$A,"="&amp;$L$2,'Tong_hop_HQNV_2026Q1_2026-06-23'!$B:$B, "="&amp;'CHECK_DT-BT'!A64)</f>
        <v>213994649</v>
      </c>
      <c r="M64" s="7">
        <f>SUMIFS('Tong_hop_HQNV_2026Q1_2026-06-23'!$K:$K,'Tong_hop_HQNV_2026Q1_2026-06-23'!$A:$A,"="&amp;$M$2,'Tong_hop_HQNV_2026Q1_2026-06-23'!$B:$B, "="&amp;'CHECK_DT-BT'!A64)</f>
        <v>332331458</v>
      </c>
      <c r="N64" s="7">
        <f>SUMIFS('Tong_hop_HQNV_2026Q1_2026-06-23'!$K:$K,'Tong_hop_HQNV_2026Q1_2026-06-23'!$A:$A,"="&amp;$N$2,'Tong_hop_HQNV_2026Q1_2026-06-23'!$B:$B, "="&amp;'CHECK_DT-BT'!A64)</f>
        <v>0</v>
      </c>
      <c r="O64" s="7">
        <f>SUMIFS('Tong_hop_HQNV_2026Q1_2026-06-23'!$K:$K,'Tong_hop_HQNV_2026Q1_2026-06-23'!$A:$A,"="&amp;$O$2,'Tong_hop_HQNV_2026Q1_2026-06-23'!$B:$B, "="&amp;'CHECK_DT-BT'!A64)</f>
        <v>0</v>
      </c>
      <c r="P64" s="7">
        <f>SUMIFS('Tong_hop_HQNV_2026Q1_2026-06-23'!$K:$K,'Tong_hop_HQNV_2026Q1_2026-06-23'!$A:$A,"="&amp;$P$2,'Tong_hop_HQNV_2026Q1_2026-06-23'!$B:$B, "="&amp;'CHECK_DT-BT'!A64)</f>
        <v>0</v>
      </c>
      <c r="Q64" s="7">
        <f t="shared" si="2"/>
        <v>11423416265</v>
      </c>
      <c r="R64" s="7">
        <f t="shared" si="3"/>
        <v>1314331018</v>
      </c>
      <c r="S64" s="7">
        <f>SUMIFS('HQ1'!$C:$C,'HQ1'!$A:$A, "="&amp;'CHECK_DT-BT'!C64, 'HQ1'!$B:$B, "Total")</f>
        <v>11423416265</v>
      </c>
      <c r="T64" s="7">
        <f>SUMIFS('HQ2'!$C:$C,'HQ2'!$A:$A, "="&amp;'CHECK_DT-BT'!C64, 'HQ2'!$B:$B, "Total")</f>
        <v>1008463283</v>
      </c>
      <c r="U64" s="7">
        <f t="shared" si="4"/>
        <v>0</v>
      </c>
      <c r="V64" s="7">
        <f t="shared" si="5"/>
        <v>305867735</v>
      </c>
      <c r="W64" s="23">
        <f>SUMIFS('Tong_hop_HQNV_2026Q1_2026-06-23'!$L:$L,'Tong_hop_HQNV_2026Q1_2026-06-23'!$B:$B, "="&amp;'CHECK_DT-BT'!A64, 'Tong_hop_HQNV_2026Q1_2026-06-23'!$A:$A, "="&amp;'CHECK_DT-BT'!$W$2)</f>
        <v>1428546670</v>
      </c>
      <c r="X64" s="7">
        <f>SUMIFS('Tong_hop_HQNV_2026Q1_2026-06-23'!$L:$L,'Tong_hop_HQNV_2026Q1_2026-06-23'!$B:$B, "="&amp;'CHECK_DT-BT'!A64, 'Tong_hop_HQNV_2026Q1_2026-06-23'!$A:$A, "="&amp;'CHECK_DT-BT'!$X$2)</f>
        <v>0</v>
      </c>
      <c r="Y64" s="7">
        <f>SUMIFS('Tong_hop_HQNV_2026Q1_2026-06-23'!$L:$L,'Tong_hop_HQNV_2026Q1_2026-06-23'!$B:$B, "="&amp;'CHECK_DT-BT'!A64, 'Tong_hop_HQNV_2026Q1_2026-06-23'!$A:$A, "="&amp;'CHECK_DT-BT'!$Y$2)</f>
        <v>3556043706</v>
      </c>
      <c r="Z64" s="7">
        <f>SUMIFS('Tong_hop_HQNV_2026Q1_2026-06-23'!$L:$L,'Tong_hop_HQNV_2026Q1_2026-06-23'!$B:$B, "="&amp;'CHECK_DT-BT'!A64, 'Tong_hop_HQNV_2026Q1_2026-06-23'!$A:$A, "="&amp;'CHECK_DT-BT'!$Z$2)</f>
        <v>376313274</v>
      </c>
      <c r="AA64" s="7">
        <f>SUMIFS('Tong_hop_HQNV_2026Q1_2026-06-23'!$L:$L,'Tong_hop_HQNV_2026Q1_2026-06-23'!$B:$B, "="&amp;'CHECK_DT-BT'!A64, 'Tong_hop_HQNV_2026Q1_2026-06-23'!$A:$A, "="&amp;$AA$2)</f>
        <v>0</v>
      </c>
      <c r="AB64" s="7">
        <f>SUMIFS('Tong_hop_HQNV_2026Q1_2026-06-23'!$L:$L,'Tong_hop_HQNV_2026Q1_2026-06-23'!$B:$B, "="&amp;'CHECK_DT-BT'!A64, 'Tong_hop_HQNV_2026Q1_2026-06-23'!$A:$A, "="&amp;$AB$2)</f>
        <v>815215082</v>
      </c>
      <c r="AC64" s="7">
        <f>SUMIFS('Tong_hop_HQNV_2026Q1_2026-06-23'!$L:$L,'Tong_hop_HQNV_2026Q1_2026-06-23'!$B:$B, "="&amp;'CHECK_DT-BT'!A64, 'Tong_hop_HQNV_2026Q1_2026-06-23'!$A:$A, "="&amp;$AC$2)</f>
        <v>0</v>
      </c>
      <c r="AD64" s="7">
        <f>SUMIFS('Tong_hop_HQNV_2026Q1_2026-06-23'!$L:$L,'Tong_hop_HQNV_2026Q1_2026-06-23'!$B:$B, "="&amp;'CHECK_DT-BT'!A64, 'Tong_hop_HQNV_2026Q1_2026-06-23'!$A:$A, "="&amp;$AD$2)</f>
        <v>512683000</v>
      </c>
      <c r="AE64" s="7">
        <f>SUMIFS('Tong_hop_HQNV_2026Q1_2026-06-23'!$L:$L,'Tong_hop_HQNV_2026Q1_2026-06-23'!$B:$B, "="&amp;'CHECK_DT-BT'!A64, 'Tong_hop_HQNV_2026Q1_2026-06-23'!$A:$A, "="&amp;$AE$2)</f>
        <v>0</v>
      </c>
      <c r="AF64" s="7">
        <f>SUMIFS('Tong_hop_HQNV_2026Q1_2026-06-23'!$L:$L,'Tong_hop_HQNV_2026Q1_2026-06-23'!$B:$B, "="&amp;'CHECK_DT-BT'!A64, 'Tong_hop_HQNV_2026Q1_2026-06-23'!$A:$A, "="&amp;$AF$2)</f>
        <v>0</v>
      </c>
      <c r="AG64" s="7">
        <f>SUMIFS('Tong_hop_HQNV_2026Q1_2026-06-23'!$L:$L,'Tong_hop_HQNV_2026Q1_2026-06-23'!$B:$B, "="&amp;'CHECK_DT-BT'!A64, 'Tong_hop_HQNV_2026Q1_2026-06-23'!$A:$A, "="&amp;$AG$2)</f>
        <v>0</v>
      </c>
      <c r="AH64" s="7">
        <f>SUMIFS('Tong_hop_HQNV_2026Q1_2026-06-23'!$L:$L,'Tong_hop_HQNV_2026Q1_2026-06-23'!$B:$B, "="&amp;'CHECK_DT-BT'!A64, 'Tong_hop_HQNV_2026Q1_2026-06-23'!$A:$A, "="&amp;$AH$2)</f>
        <v>0</v>
      </c>
      <c r="AI64" s="7">
        <f>SUMIFS('Tong_hop_HQNV_2026Q1_2026-06-23'!$L:$L,'Tong_hop_HQNV_2026Q1_2026-06-23'!$B:$B, "="&amp;'CHECK_DT-BT'!A64, 'Tong_hop_HQNV_2026Q1_2026-06-23'!$A:$A, "="&amp;$AI$2)</f>
        <v>0</v>
      </c>
      <c r="AJ64" s="7">
        <f t="shared" si="6"/>
        <v>5360903650</v>
      </c>
      <c r="AK64" s="7">
        <f t="shared" si="7"/>
        <v>1327898082</v>
      </c>
      <c r="AL64" s="7">
        <f>SUMIFS('HQ1'!$D:$D,'HQ1'!$A:$A, "="&amp;'CHECK_DT-BT'!C64, 'HQ1'!$B:$B, "Total")</f>
        <v>5227617723</v>
      </c>
      <c r="AM64" s="7">
        <f>SUMIFS('HQ2'!$J:$J,'HQ2'!$A:$A, "="&amp;'CHECK_DT-BT'!C64, 'HQ2'!$B:$B, "Total")</f>
        <v>1180883000</v>
      </c>
      <c r="AN64" s="24">
        <f t="shared" si="8"/>
        <v>133285927</v>
      </c>
      <c r="AO64" s="24">
        <f t="shared" si="9"/>
        <v>147015082</v>
      </c>
    </row>
    <row r="65" spans="1:41" x14ac:dyDescent="0.25">
      <c r="A65" s="9" t="s">
        <v>345</v>
      </c>
      <c r="B65" t="s">
        <v>203</v>
      </c>
      <c r="C65" t="s">
        <v>46</v>
      </c>
      <c r="D65" s="7">
        <f>SUMIFS('Tong_hop_HQNV_2026Q1_2026-06-23'!$K:$K,'Tong_hop_HQNV_2026Q1_2026-06-23'!$A:$A,"="&amp;'CHECK_DT-BT'!$D$2,'Tong_hop_HQNV_2026Q1_2026-06-23'!$B:$B, "="&amp;'CHECK_DT-BT'!A65)</f>
        <v>5067283702</v>
      </c>
      <c r="E65" s="7">
        <f>SUMIFS('Tong_hop_HQNV_2026Q1_2026-06-23'!$K:$K,'Tong_hop_HQNV_2026Q1_2026-06-23'!$A:$A,"="&amp;'CHECK_DT-BT'!$E$2,'Tong_hop_HQNV_2026Q1_2026-06-23'!$B:$B, "="&amp;'CHECK_DT-BT'!A65)</f>
        <v>1344565037</v>
      </c>
      <c r="F65" s="7">
        <f>SUMIFS('Tong_hop_HQNV_2026Q1_2026-06-23'!$K:$K,'Tong_hop_HQNV_2026Q1_2026-06-23'!$A:$A,"="&amp;'CHECK_DT-BT'!$F$2,'Tong_hop_HQNV_2026Q1_2026-06-23'!$B:$B, "="&amp;'CHECK_DT-BT'!A65)</f>
        <v>24035896107</v>
      </c>
      <c r="G65" s="7">
        <f>SUMIFS('Tong_hop_HQNV_2026Q1_2026-06-23'!$K:$K,'Tong_hop_HQNV_2026Q1_2026-06-23'!$A:$A,"="&amp;'CHECK_DT-BT'!$G$2,'Tong_hop_HQNV_2026Q1_2026-06-23'!$B:$B, "="&amp;'CHECK_DT-BT'!A65)</f>
        <v>82675815788</v>
      </c>
      <c r="H65" s="7">
        <f>SUMIFS('Tong_hop_HQNV_2026Q1_2026-06-23'!$K:$K,'Tong_hop_HQNV_2026Q1_2026-06-23'!$A:$A,"="&amp;$H$2,'Tong_hop_HQNV_2026Q1_2026-06-23'!$B:$B, "="&amp;'CHECK_DT-BT'!A65)</f>
        <v>22286811440</v>
      </c>
      <c r="I65" s="7">
        <f>SUMIFS('Tong_hop_HQNV_2026Q1_2026-06-23'!$K:$K,'Tong_hop_HQNV_2026Q1_2026-06-23'!$A:$A,"="&amp;$I$2,'Tong_hop_HQNV_2026Q1_2026-06-23'!$B:$B, "="&amp;'CHECK_DT-BT'!A65)</f>
        <v>11091919355</v>
      </c>
      <c r="J65" s="7">
        <f>SUMIFS('Tong_hop_HQNV_2026Q1_2026-06-23'!$K:$K,'Tong_hop_HQNV_2026Q1_2026-06-23'!$A:$A,"="&amp;$J$2,'Tong_hop_HQNV_2026Q1_2026-06-23'!$B:$B, "="&amp;'CHECK_DT-BT'!A65)</f>
        <v>2562545641</v>
      </c>
      <c r="K65" s="7">
        <f>SUMIFS('Tong_hop_HQNV_2026Q1_2026-06-23'!$K:$K,'Tong_hop_HQNV_2026Q1_2026-06-23'!$A:$A,"="&amp;$K$2,'Tong_hop_HQNV_2026Q1_2026-06-23'!$B:$B, "="&amp;'CHECK_DT-BT'!A65)</f>
        <v>1961954335</v>
      </c>
      <c r="L65" s="7">
        <f>SUMIFS('Tong_hop_HQNV_2026Q1_2026-06-23'!$K:$K,'Tong_hop_HQNV_2026Q1_2026-06-23'!$A:$A,"="&amp;$L$2,'Tong_hop_HQNV_2026Q1_2026-06-23'!$B:$B, "="&amp;'CHECK_DT-BT'!A65)</f>
        <v>23535327613</v>
      </c>
      <c r="M65" s="7">
        <f>SUMIFS('Tong_hop_HQNV_2026Q1_2026-06-23'!$K:$K,'Tong_hop_HQNV_2026Q1_2026-06-23'!$A:$A,"="&amp;$M$2,'Tong_hop_HQNV_2026Q1_2026-06-23'!$B:$B, "="&amp;'CHECK_DT-BT'!A65)</f>
        <v>3552949433</v>
      </c>
      <c r="N65" s="7">
        <f>SUMIFS('Tong_hop_HQNV_2026Q1_2026-06-23'!$K:$K,'Tong_hop_HQNV_2026Q1_2026-06-23'!$A:$A,"="&amp;$N$2,'Tong_hop_HQNV_2026Q1_2026-06-23'!$B:$B, "="&amp;'CHECK_DT-BT'!A65)</f>
        <v>7133918677</v>
      </c>
      <c r="O65" s="7">
        <f>SUMIFS('Tong_hop_HQNV_2026Q1_2026-06-23'!$K:$K,'Tong_hop_HQNV_2026Q1_2026-06-23'!$A:$A,"="&amp;$O$2,'Tong_hop_HQNV_2026Q1_2026-06-23'!$B:$B, "="&amp;'CHECK_DT-BT'!A65)</f>
        <v>0</v>
      </c>
      <c r="P65" s="7">
        <f>SUMIFS('Tong_hop_HQNV_2026Q1_2026-06-23'!$K:$K,'Tong_hop_HQNV_2026Q1_2026-06-23'!$A:$A,"="&amp;$P$2,'Tong_hop_HQNV_2026Q1_2026-06-23'!$B:$B, "="&amp;'CHECK_DT-BT'!A65)</f>
        <v>0</v>
      </c>
      <c r="Q65" s="7">
        <f t="shared" si="2"/>
        <v>113123560634</v>
      </c>
      <c r="R65" s="7">
        <f t="shared" si="3"/>
        <v>72125426494</v>
      </c>
      <c r="S65" s="7">
        <f>SUMIFS('HQ1'!$C:$C,'HQ1'!$A:$A, "="&amp;'CHECK_DT-BT'!C65, 'HQ1'!$B:$B, "Total")</f>
        <v>113123560634</v>
      </c>
      <c r="T65" s="7">
        <f>SUMIFS('HQ2'!$C:$C,'HQ2'!$A:$A, "="&amp;'CHECK_DT-BT'!C65, 'HQ2'!$B:$B, "Total")</f>
        <v>72125426494</v>
      </c>
      <c r="U65" s="7">
        <f t="shared" si="4"/>
        <v>0</v>
      </c>
      <c r="V65" s="7">
        <f t="shared" si="5"/>
        <v>0</v>
      </c>
      <c r="W65" s="23">
        <f>SUMIFS('Tong_hop_HQNV_2026Q1_2026-06-23'!$L:$L,'Tong_hop_HQNV_2026Q1_2026-06-23'!$B:$B, "="&amp;'CHECK_DT-BT'!A65, 'Tong_hop_HQNV_2026Q1_2026-06-23'!$A:$A, "="&amp;'CHECK_DT-BT'!$W$2)</f>
        <v>1299041929</v>
      </c>
      <c r="X65" s="7">
        <f>SUMIFS('Tong_hop_HQNV_2026Q1_2026-06-23'!$L:$L,'Tong_hop_HQNV_2026Q1_2026-06-23'!$B:$B, "="&amp;'CHECK_DT-BT'!A65, 'Tong_hop_HQNV_2026Q1_2026-06-23'!$A:$A, "="&amp;'CHECK_DT-BT'!$X$2)</f>
        <v>60501605</v>
      </c>
      <c r="Y65" s="7">
        <f>SUMIFS('Tong_hop_HQNV_2026Q1_2026-06-23'!$L:$L,'Tong_hop_HQNV_2026Q1_2026-06-23'!$B:$B, "="&amp;'CHECK_DT-BT'!A65, 'Tong_hop_HQNV_2026Q1_2026-06-23'!$A:$A, "="&amp;'CHECK_DT-BT'!$Y$2)</f>
        <v>10666287719</v>
      </c>
      <c r="Z65" s="7">
        <f>SUMIFS('Tong_hop_HQNV_2026Q1_2026-06-23'!$L:$L,'Tong_hop_HQNV_2026Q1_2026-06-23'!$B:$B, "="&amp;'CHECK_DT-BT'!A65, 'Tong_hop_HQNV_2026Q1_2026-06-23'!$A:$A, "="&amp;'CHECK_DT-BT'!$Z$2)</f>
        <v>39245869603</v>
      </c>
      <c r="AA65" s="7">
        <f>SUMIFS('Tong_hop_HQNV_2026Q1_2026-06-23'!$L:$L,'Tong_hop_HQNV_2026Q1_2026-06-23'!$B:$B, "="&amp;'CHECK_DT-BT'!A65, 'Tong_hop_HQNV_2026Q1_2026-06-23'!$A:$A, "="&amp;$AA$2)</f>
        <v>5913718324</v>
      </c>
      <c r="AB65" s="7">
        <f>SUMIFS('Tong_hop_HQNV_2026Q1_2026-06-23'!$L:$L,'Tong_hop_HQNV_2026Q1_2026-06-23'!$B:$B, "="&amp;'CHECK_DT-BT'!A65, 'Tong_hop_HQNV_2026Q1_2026-06-23'!$A:$A, "="&amp;$AB$2)</f>
        <v>307257690</v>
      </c>
      <c r="AC65" s="7">
        <f>SUMIFS('Tong_hop_HQNV_2026Q1_2026-06-23'!$L:$L,'Tong_hop_HQNV_2026Q1_2026-06-23'!$B:$B, "="&amp;'CHECK_DT-BT'!A65, 'Tong_hop_HQNV_2026Q1_2026-06-23'!$A:$A, "="&amp;$AC$2)</f>
        <v>242910781</v>
      </c>
      <c r="AD65" s="7">
        <f>SUMIFS('Tong_hop_HQNV_2026Q1_2026-06-23'!$L:$L,'Tong_hop_HQNV_2026Q1_2026-06-23'!$B:$B, "="&amp;'CHECK_DT-BT'!A65, 'Tong_hop_HQNV_2026Q1_2026-06-23'!$A:$A, "="&amp;$AD$2)</f>
        <v>288649666</v>
      </c>
      <c r="AE65" s="7">
        <f>SUMIFS('Tong_hop_HQNV_2026Q1_2026-06-23'!$L:$L,'Tong_hop_HQNV_2026Q1_2026-06-23'!$B:$B, "="&amp;'CHECK_DT-BT'!A65, 'Tong_hop_HQNV_2026Q1_2026-06-23'!$A:$A, "="&amp;$AE$2)</f>
        <v>5022564961</v>
      </c>
      <c r="AF65" s="7">
        <f>SUMIFS('Tong_hop_HQNV_2026Q1_2026-06-23'!$L:$L,'Tong_hop_HQNV_2026Q1_2026-06-23'!$B:$B, "="&amp;'CHECK_DT-BT'!A65, 'Tong_hop_HQNV_2026Q1_2026-06-23'!$A:$A, "="&amp;$AF$2)</f>
        <v>1988253976</v>
      </c>
      <c r="AG65" s="7">
        <f>SUMIFS('Tong_hop_HQNV_2026Q1_2026-06-23'!$L:$L,'Tong_hop_HQNV_2026Q1_2026-06-23'!$B:$B, "="&amp;'CHECK_DT-BT'!A65, 'Tong_hop_HQNV_2026Q1_2026-06-23'!$A:$A, "="&amp;$AG$2)</f>
        <v>-5658255</v>
      </c>
      <c r="AH65" s="7">
        <f>SUMIFS('Tong_hop_HQNV_2026Q1_2026-06-23'!$L:$L,'Tong_hop_HQNV_2026Q1_2026-06-23'!$B:$B, "="&amp;'CHECK_DT-BT'!A65, 'Tong_hop_HQNV_2026Q1_2026-06-23'!$A:$A, "="&amp;$AH$2)</f>
        <v>0</v>
      </c>
      <c r="AI65" s="7">
        <f>SUMIFS('Tong_hop_HQNV_2026Q1_2026-06-23'!$L:$L,'Tong_hop_HQNV_2026Q1_2026-06-23'!$B:$B, "="&amp;'CHECK_DT-BT'!A65, 'Tong_hop_HQNV_2026Q1_2026-06-23'!$A:$A, "="&amp;$AI$2)</f>
        <v>0</v>
      </c>
      <c r="AJ65" s="7">
        <f t="shared" si="6"/>
        <v>51271700856</v>
      </c>
      <c r="AK65" s="7">
        <f t="shared" si="7"/>
        <v>13757697143</v>
      </c>
      <c r="AL65" s="7">
        <f>SUMIFS('HQ1'!$D:$D,'HQ1'!$A:$A, "="&amp;'CHECK_DT-BT'!C65, 'HQ1'!$B:$B, "Total")</f>
        <v>51271700856</v>
      </c>
      <c r="AM65" s="7">
        <f>SUMIFS('HQ2'!$J:$J,'HQ2'!$A:$A, "="&amp;'CHECK_DT-BT'!C65, 'HQ2'!$B:$B, "Total")</f>
        <v>13734562143</v>
      </c>
      <c r="AN65" s="24">
        <f t="shared" si="8"/>
        <v>0</v>
      </c>
      <c r="AO65" s="24">
        <f t="shared" si="9"/>
        <v>23135000</v>
      </c>
    </row>
    <row r="66" spans="1:41" x14ac:dyDescent="0.25">
      <c r="A66" s="9" t="s">
        <v>346</v>
      </c>
      <c r="B66" t="s">
        <v>204</v>
      </c>
      <c r="C66" t="s">
        <v>114</v>
      </c>
      <c r="D66" s="7">
        <f>SUMIFS('Tong_hop_HQNV_2026Q1_2026-06-23'!$K:$K,'Tong_hop_HQNV_2026Q1_2026-06-23'!$A:$A,"="&amp;'CHECK_DT-BT'!$D$2,'Tong_hop_HQNV_2026Q1_2026-06-23'!$B:$B, "="&amp;'CHECK_DT-BT'!A66)</f>
        <v>1163675060</v>
      </c>
      <c r="E66" s="7">
        <f>SUMIFS('Tong_hop_HQNV_2026Q1_2026-06-23'!$K:$K,'Tong_hop_HQNV_2026Q1_2026-06-23'!$A:$A,"="&amp;'CHECK_DT-BT'!$E$2,'Tong_hop_HQNV_2026Q1_2026-06-23'!$B:$B, "="&amp;'CHECK_DT-BT'!A66)</f>
        <v>15698700</v>
      </c>
      <c r="F66" s="7">
        <f>SUMIFS('Tong_hop_HQNV_2026Q1_2026-06-23'!$K:$K,'Tong_hop_HQNV_2026Q1_2026-06-23'!$A:$A,"="&amp;'CHECK_DT-BT'!$F$2,'Tong_hop_HQNV_2026Q1_2026-06-23'!$B:$B, "="&amp;'CHECK_DT-BT'!A66)</f>
        <v>2738078035</v>
      </c>
      <c r="G66" s="7">
        <f>SUMIFS('Tong_hop_HQNV_2026Q1_2026-06-23'!$K:$K,'Tong_hop_HQNV_2026Q1_2026-06-23'!$A:$A,"="&amp;'CHECK_DT-BT'!$G$2,'Tong_hop_HQNV_2026Q1_2026-06-23'!$B:$B, "="&amp;'CHECK_DT-BT'!A66)</f>
        <v>682475310</v>
      </c>
      <c r="H66" s="7">
        <f>SUMIFS('Tong_hop_HQNV_2026Q1_2026-06-23'!$K:$K,'Tong_hop_HQNV_2026Q1_2026-06-23'!$A:$A,"="&amp;$H$2,'Tong_hop_HQNV_2026Q1_2026-06-23'!$B:$B, "="&amp;'CHECK_DT-BT'!A66)</f>
        <v>0</v>
      </c>
      <c r="I66" s="7">
        <f>SUMIFS('Tong_hop_HQNV_2026Q1_2026-06-23'!$K:$K,'Tong_hop_HQNV_2026Q1_2026-06-23'!$A:$A,"="&amp;$I$2,'Tong_hop_HQNV_2026Q1_2026-06-23'!$B:$B, "="&amp;'CHECK_DT-BT'!A66)</f>
        <v>0</v>
      </c>
      <c r="J66" s="7">
        <f>SUMIFS('Tong_hop_HQNV_2026Q1_2026-06-23'!$K:$K,'Tong_hop_HQNV_2026Q1_2026-06-23'!$A:$A,"="&amp;$J$2,'Tong_hop_HQNV_2026Q1_2026-06-23'!$B:$B, "="&amp;'CHECK_DT-BT'!A66)</f>
        <v>0</v>
      </c>
      <c r="K66" s="7">
        <f>SUMIFS('Tong_hop_HQNV_2026Q1_2026-06-23'!$K:$K,'Tong_hop_HQNV_2026Q1_2026-06-23'!$A:$A,"="&amp;$K$2,'Tong_hop_HQNV_2026Q1_2026-06-23'!$B:$B, "="&amp;'CHECK_DT-BT'!A66)</f>
        <v>38940075</v>
      </c>
      <c r="L66" s="7">
        <f>SUMIFS('Tong_hop_HQNV_2026Q1_2026-06-23'!$K:$K,'Tong_hop_HQNV_2026Q1_2026-06-23'!$A:$A,"="&amp;$L$2,'Tong_hop_HQNV_2026Q1_2026-06-23'!$B:$B, "="&amp;'CHECK_DT-BT'!A66)</f>
        <v>862063265</v>
      </c>
      <c r="M66" s="7">
        <f>SUMIFS('Tong_hop_HQNV_2026Q1_2026-06-23'!$K:$K,'Tong_hop_HQNV_2026Q1_2026-06-23'!$A:$A,"="&amp;$M$2,'Tong_hop_HQNV_2026Q1_2026-06-23'!$B:$B, "="&amp;'CHECK_DT-BT'!A66)</f>
        <v>61033636</v>
      </c>
      <c r="N66" s="7">
        <f>SUMIFS('Tong_hop_HQNV_2026Q1_2026-06-23'!$K:$K,'Tong_hop_HQNV_2026Q1_2026-06-23'!$A:$A,"="&amp;$N$2,'Tong_hop_HQNV_2026Q1_2026-06-23'!$B:$B, "="&amp;'CHECK_DT-BT'!A66)</f>
        <v>59509091</v>
      </c>
      <c r="O66" s="7">
        <f>SUMIFS('Tong_hop_HQNV_2026Q1_2026-06-23'!$K:$K,'Tong_hop_HQNV_2026Q1_2026-06-23'!$A:$A,"="&amp;$O$2,'Tong_hop_HQNV_2026Q1_2026-06-23'!$B:$B, "="&amp;'CHECK_DT-BT'!A66)</f>
        <v>0</v>
      </c>
      <c r="P66" s="7">
        <f>SUMIFS('Tong_hop_HQNV_2026Q1_2026-06-23'!$K:$K,'Tong_hop_HQNV_2026Q1_2026-06-23'!$A:$A,"="&amp;$P$2,'Tong_hop_HQNV_2026Q1_2026-06-23'!$B:$B, "="&amp;'CHECK_DT-BT'!A66)</f>
        <v>0</v>
      </c>
      <c r="Q66" s="7">
        <f t="shared" si="2"/>
        <v>4599927105</v>
      </c>
      <c r="R66" s="7">
        <f t="shared" si="3"/>
        <v>1021546067</v>
      </c>
      <c r="S66" s="7">
        <f>SUMIFS('HQ1'!$C:$C,'HQ1'!$A:$A, "="&amp;'CHECK_DT-BT'!C66, 'HQ1'!$B:$B, "Total")</f>
        <v>4599927105</v>
      </c>
      <c r="T66" s="7">
        <f>SUMIFS('HQ2'!$C:$C,'HQ2'!$A:$A, "="&amp;'CHECK_DT-BT'!C66, 'HQ2'!$B:$B, "Total")</f>
        <v>1021546067</v>
      </c>
      <c r="U66" s="7">
        <f t="shared" si="4"/>
        <v>0</v>
      </c>
      <c r="V66" s="7">
        <f t="shared" si="5"/>
        <v>0</v>
      </c>
      <c r="W66" s="23">
        <f>SUMIFS('Tong_hop_HQNV_2026Q1_2026-06-23'!$L:$L,'Tong_hop_HQNV_2026Q1_2026-06-23'!$B:$B, "="&amp;'CHECK_DT-BT'!A66, 'Tong_hop_HQNV_2026Q1_2026-06-23'!$A:$A, "="&amp;'CHECK_DT-BT'!$W$2)</f>
        <v>1926670751</v>
      </c>
      <c r="X66" s="7">
        <f>SUMIFS('Tong_hop_HQNV_2026Q1_2026-06-23'!$L:$L,'Tong_hop_HQNV_2026Q1_2026-06-23'!$B:$B, "="&amp;'CHECK_DT-BT'!A66, 'Tong_hop_HQNV_2026Q1_2026-06-23'!$A:$A, "="&amp;'CHECK_DT-BT'!$X$2)</f>
        <v>0</v>
      </c>
      <c r="Y66" s="7">
        <f>SUMIFS('Tong_hop_HQNV_2026Q1_2026-06-23'!$L:$L,'Tong_hop_HQNV_2026Q1_2026-06-23'!$B:$B, "="&amp;'CHECK_DT-BT'!A66, 'Tong_hop_HQNV_2026Q1_2026-06-23'!$A:$A, "="&amp;'CHECK_DT-BT'!$Y$2)</f>
        <v>1079234884</v>
      </c>
      <c r="Z66" s="7">
        <f>SUMIFS('Tong_hop_HQNV_2026Q1_2026-06-23'!$L:$L,'Tong_hop_HQNV_2026Q1_2026-06-23'!$B:$B, "="&amp;'CHECK_DT-BT'!A66, 'Tong_hop_HQNV_2026Q1_2026-06-23'!$A:$A, "="&amp;'CHECK_DT-BT'!$Z$2)</f>
        <v>213904143</v>
      </c>
      <c r="AA66" s="7">
        <f>SUMIFS('Tong_hop_HQNV_2026Q1_2026-06-23'!$L:$L,'Tong_hop_HQNV_2026Q1_2026-06-23'!$B:$B, "="&amp;'CHECK_DT-BT'!A66, 'Tong_hop_HQNV_2026Q1_2026-06-23'!$A:$A, "="&amp;$AA$2)</f>
        <v>0</v>
      </c>
      <c r="AB66" s="7">
        <f>SUMIFS('Tong_hop_HQNV_2026Q1_2026-06-23'!$L:$L,'Tong_hop_HQNV_2026Q1_2026-06-23'!$B:$B, "="&amp;'CHECK_DT-BT'!A66, 'Tong_hop_HQNV_2026Q1_2026-06-23'!$A:$A, "="&amp;$AB$2)</f>
        <v>0</v>
      </c>
      <c r="AC66" s="7">
        <f>SUMIFS('Tong_hop_HQNV_2026Q1_2026-06-23'!$L:$L,'Tong_hop_HQNV_2026Q1_2026-06-23'!$B:$B, "="&amp;'CHECK_DT-BT'!A66, 'Tong_hop_HQNV_2026Q1_2026-06-23'!$A:$A, "="&amp;$AC$2)</f>
        <v>0</v>
      </c>
      <c r="AD66" s="7">
        <f>SUMIFS('Tong_hop_HQNV_2026Q1_2026-06-23'!$L:$L,'Tong_hop_HQNV_2026Q1_2026-06-23'!$B:$B, "="&amp;'CHECK_DT-BT'!A66, 'Tong_hop_HQNV_2026Q1_2026-06-23'!$A:$A, "="&amp;$AD$2)</f>
        <v>0</v>
      </c>
      <c r="AE66" s="7">
        <f>SUMIFS('Tong_hop_HQNV_2026Q1_2026-06-23'!$L:$L,'Tong_hop_HQNV_2026Q1_2026-06-23'!$B:$B, "="&amp;'CHECK_DT-BT'!A66, 'Tong_hop_HQNV_2026Q1_2026-06-23'!$A:$A, "="&amp;$AE$2)</f>
        <v>0</v>
      </c>
      <c r="AF66" s="7">
        <f>SUMIFS('Tong_hop_HQNV_2026Q1_2026-06-23'!$L:$L,'Tong_hop_HQNV_2026Q1_2026-06-23'!$B:$B, "="&amp;'CHECK_DT-BT'!A66, 'Tong_hop_HQNV_2026Q1_2026-06-23'!$A:$A, "="&amp;$AF$2)</f>
        <v>110685000</v>
      </c>
      <c r="AG66" s="7">
        <f>SUMIFS('Tong_hop_HQNV_2026Q1_2026-06-23'!$L:$L,'Tong_hop_HQNV_2026Q1_2026-06-23'!$B:$B, "="&amp;'CHECK_DT-BT'!A66, 'Tong_hop_HQNV_2026Q1_2026-06-23'!$A:$A, "="&amp;$AG$2)</f>
        <v>0</v>
      </c>
      <c r="AH66" s="7">
        <f>SUMIFS('Tong_hop_HQNV_2026Q1_2026-06-23'!$L:$L,'Tong_hop_HQNV_2026Q1_2026-06-23'!$B:$B, "="&amp;'CHECK_DT-BT'!A66, 'Tong_hop_HQNV_2026Q1_2026-06-23'!$A:$A, "="&amp;$AH$2)</f>
        <v>0</v>
      </c>
      <c r="AI66" s="7">
        <f>SUMIFS('Tong_hop_HQNV_2026Q1_2026-06-23'!$L:$L,'Tong_hop_HQNV_2026Q1_2026-06-23'!$B:$B, "="&amp;'CHECK_DT-BT'!A66, 'Tong_hop_HQNV_2026Q1_2026-06-23'!$A:$A, "="&amp;$AI$2)</f>
        <v>0</v>
      </c>
      <c r="AJ66" s="7">
        <f t="shared" si="6"/>
        <v>3219809778</v>
      </c>
      <c r="AK66" s="7">
        <f t="shared" si="7"/>
        <v>110685000</v>
      </c>
      <c r="AL66" s="7">
        <f>SUMIFS('HQ1'!$D:$D,'HQ1'!$A:$A, "="&amp;'CHECK_DT-BT'!C66, 'HQ1'!$B:$B, "Total")</f>
        <v>3219809778</v>
      </c>
      <c r="AM66" s="7">
        <f>SUMIFS('HQ2'!$J:$J,'HQ2'!$A:$A, "="&amp;'CHECK_DT-BT'!C66, 'HQ2'!$B:$B, "Total")</f>
        <v>110685000</v>
      </c>
      <c r="AN66" s="24">
        <f t="shared" si="8"/>
        <v>0</v>
      </c>
      <c r="AO66" s="24">
        <f t="shared" si="9"/>
        <v>0</v>
      </c>
    </row>
    <row r="67" spans="1:41" x14ac:dyDescent="0.25">
      <c r="A67" s="9" t="s">
        <v>347</v>
      </c>
      <c r="B67" t="s">
        <v>205</v>
      </c>
      <c r="C67" t="s">
        <v>107</v>
      </c>
      <c r="D67" s="7">
        <f>SUMIFS('Tong_hop_HQNV_2026Q1_2026-06-23'!$K:$K,'Tong_hop_HQNV_2026Q1_2026-06-23'!$A:$A,"="&amp;'CHECK_DT-BT'!$D$2,'Tong_hop_HQNV_2026Q1_2026-06-23'!$B:$B, "="&amp;'CHECK_DT-BT'!A67)</f>
        <v>1603986023</v>
      </c>
      <c r="E67" s="7">
        <f>SUMIFS('Tong_hop_HQNV_2026Q1_2026-06-23'!$K:$K,'Tong_hop_HQNV_2026Q1_2026-06-23'!$A:$A,"="&amp;'CHECK_DT-BT'!$E$2,'Tong_hop_HQNV_2026Q1_2026-06-23'!$B:$B, "="&amp;'CHECK_DT-BT'!A67)</f>
        <v>11559000</v>
      </c>
      <c r="F67" s="7">
        <f>SUMIFS('Tong_hop_HQNV_2026Q1_2026-06-23'!$K:$K,'Tong_hop_HQNV_2026Q1_2026-06-23'!$A:$A,"="&amp;'CHECK_DT-BT'!$F$2,'Tong_hop_HQNV_2026Q1_2026-06-23'!$B:$B, "="&amp;'CHECK_DT-BT'!A67)</f>
        <v>6568454367</v>
      </c>
      <c r="G67" s="7">
        <f>SUMIFS('Tong_hop_HQNV_2026Q1_2026-06-23'!$K:$K,'Tong_hop_HQNV_2026Q1_2026-06-23'!$A:$A,"="&amp;'CHECK_DT-BT'!$G$2,'Tong_hop_HQNV_2026Q1_2026-06-23'!$B:$B, "="&amp;'CHECK_DT-BT'!A67)</f>
        <v>302386595</v>
      </c>
      <c r="H67" s="7">
        <f>SUMIFS('Tong_hop_HQNV_2026Q1_2026-06-23'!$K:$K,'Tong_hop_HQNV_2026Q1_2026-06-23'!$A:$A,"="&amp;$H$2,'Tong_hop_HQNV_2026Q1_2026-06-23'!$B:$B, "="&amp;'CHECK_DT-BT'!A67)</f>
        <v>0</v>
      </c>
      <c r="I67" s="7">
        <f>SUMIFS('Tong_hop_HQNV_2026Q1_2026-06-23'!$K:$K,'Tong_hop_HQNV_2026Q1_2026-06-23'!$A:$A,"="&amp;$I$2,'Tong_hop_HQNV_2026Q1_2026-06-23'!$B:$B, "="&amp;'CHECK_DT-BT'!A67)</f>
        <v>0</v>
      </c>
      <c r="J67" s="7">
        <f>SUMIFS('Tong_hop_HQNV_2026Q1_2026-06-23'!$K:$K,'Tong_hop_HQNV_2026Q1_2026-06-23'!$A:$A,"="&amp;$J$2,'Tong_hop_HQNV_2026Q1_2026-06-23'!$B:$B, "="&amp;'CHECK_DT-BT'!A67)</f>
        <v>0</v>
      </c>
      <c r="K67" s="7">
        <f>SUMIFS('Tong_hop_HQNV_2026Q1_2026-06-23'!$K:$K,'Tong_hop_HQNV_2026Q1_2026-06-23'!$A:$A,"="&amp;$K$2,'Tong_hop_HQNV_2026Q1_2026-06-23'!$B:$B, "="&amp;'CHECK_DT-BT'!A67)</f>
        <v>0</v>
      </c>
      <c r="L67" s="7">
        <f>SUMIFS('Tong_hop_HQNV_2026Q1_2026-06-23'!$K:$K,'Tong_hop_HQNV_2026Q1_2026-06-23'!$A:$A,"="&amp;$L$2,'Tong_hop_HQNV_2026Q1_2026-06-23'!$B:$B, "="&amp;'CHECK_DT-BT'!A67)</f>
        <v>178148805</v>
      </c>
      <c r="M67" s="7">
        <f>SUMIFS('Tong_hop_HQNV_2026Q1_2026-06-23'!$K:$K,'Tong_hop_HQNV_2026Q1_2026-06-23'!$A:$A,"="&amp;$M$2,'Tong_hop_HQNV_2026Q1_2026-06-23'!$B:$B, "="&amp;'CHECK_DT-BT'!A67)</f>
        <v>1189570000</v>
      </c>
      <c r="N67" s="7">
        <f>SUMIFS('Tong_hop_HQNV_2026Q1_2026-06-23'!$K:$K,'Tong_hop_HQNV_2026Q1_2026-06-23'!$A:$A,"="&amp;$N$2,'Tong_hop_HQNV_2026Q1_2026-06-23'!$B:$B, "="&amp;'CHECK_DT-BT'!A67)</f>
        <v>0</v>
      </c>
      <c r="O67" s="7">
        <f>SUMIFS('Tong_hop_HQNV_2026Q1_2026-06-23'!$K:$K,'Tong_hop_HQNV_2026Q1_2026-06-23'!$A:$A,"="&amp;$O$2,'Tong_hop_HQNV_2026Q1_2026-06-23'!$B:$B, "="&amp;'CHECK_DT-BT'!A67)</f>
        <v>0</v>
      </c>
      <c r="P67" s="7">
        <f>SUMIFS('Tong_hop_HQNV_2026Q1_2026-06-23'!$K:$K,'Tong_hop_HQNV_2026Q1_2026-06-23'!$A:$A,"="&amp;$P$2,'Tong_hop_HQNV_2026Q1_2026-06-23'!$B:$B, "="&amp;'CHECK_DT-BT'!A67)</f>
        <v>0</v>
      </c>
      <c r="Q67" s="7">
        <f t="shared" si="2"/>
        <v>8486385985</v>
      </c>
      <c r="R67" s="7">
        <f t="shared" si="3"/>
        <v>1367718805</v>
      </c>
      <c r="S67" s="7">
        <f>SUMIFS('HQ1'!$C:$C,'HQ1'!$A:$A, "="&amp;'CHECK_DT-BT'!C67, 'HQ1'!$B:$B, "Total")</f>
        <v>8484479985</v>
      </c>
      <c r="T67" s="7">
        <f>SUMIFS('HQ2'!$C:$C,'HQ2'!$A:$A, "="&amp;'CHECK_DT-BT'!C67, 'HQ2'!$B:$B, "Total")</f>
        <v>1367718805</v>
      </c>
      <c r="U67" s="7">
        <f t="shared" si="4"/>
        <v>1906000</v>
      </c>
      <c r="V67" s="7">
        <f t="shared" si="5"/>
        <v>0</v>
      </c>
      <c r="W67" s="23">
        <f>SUMIFS('Tong_hop_HQNV_2026Q1_2026-06-23'!$L:$L,'Tong_hop_HQNV_2026Q1_2026-06-23'!$B:$B, "="&amp;'CHECK_DT-BT'!A67, 'Tong_hop_HQNV_2026Q1_2026-06-23'!$A:$A, "="&amp;'CHECK_DT-BT'!$W$2)</f>
        <v>1071437000</v>
      </c>
      <c r="X67" s="7">
        <f>SUMIFS('Tong_hop_HQNV_2026Q1_2026-06-23'!$L:$L,'Tong_hop_HQNV_2026Q1_2026-06-23'!$B:$B, "="&amp;'CHECK_DT-BT'!A67, 'Tong_hop_HQNV_2026Q1_2026-06-23'!$A:$A, "="&amp;'CHECK_DT-BT'!$X$2)</f>
        <v>0</v>
      </c>
      <c r="Y67" s="7">
        <f>SUMIFS('Tong_hop_HQNV_2026Q1_2026-06-23'!$L:$L,'Tong_hop_HQNV_2026Q1_2026-06-23'!$B:$B, "="&amp;'CHECK_DT-BT'!A67, 'Tong_hop_HQNV_2026Q1_2026-06-23'!$A:$A, "="&amp;'CHECK_DT-BT'!$Y$2)</f>
        <v>1316512794</v>
      </c>
      <c r="Z67" s="7">
        <f>SUMIFS('Tong_hop_HQNV_2026Q1_2026-06-23'!$L:$L,'Tong_hop_HQNV_2026Q1_2026-06-23'!$B:$B, "="&amp;'CHECK_DT-BT'!A67, 'Tong_hop_HQNV_2026Q1_2026-06-23'!$A:$A, "="&amp;'CHECK_DT-BT'!$Z$2)</f>
        <v>85298433</v>
      </c>
      <c r="AA67" s="7">
        <f>SUMIFS('Tong_hop_HQNV_2026Q1_2026-06-23'!$L:$L,'Tong_hop_HQNV_2026Q1_2026-06-23'!$B:$B, "="&amp;'CHECK_DT-BT'!A67, 'Tong_hop_HQNV_2026Q1_2026-06-23'!$A:$A, "="&amp;$AA$2)</f>
        <v>0</v>
      </c>
      <c r="AB67" s="7">
        <f>SUMIFS('Tong_hop_HQNV_2026Q1_2026-06-23'!$L:$L,'Tong_hop_HQNV_2026Q1_2026-06-23'!$B:$B, "="&amp;'CHECK_DT-BT'!A67, 'Tong_hop_HQNV_2026Q1_2026-06-23'!$A:$A, "="&amp;$AB$2)</f>
        <v>0</v>
      </c>
      <c r="AC67" s="7">
        <f>SUMIFS('Tong_hop_HQNV_2026Q1_2026-06-23'!$L:$L,'Tong_hop_HQNV_2026Q1_2026-06-23'!$B:$B, "="&amp;'CHECK_DT-BT'!A67, 'Tong_hop_HQNV_2026Q1_2026-06-23'!$A:$A, "="&amp;$AC$2)</f>
        <v>0</v>
      </c>
      <c r="AD67" s="7">
        <f>SUMIFS('Tong_hop_HQNV_2026Q1_2026-06-23'!$L:$L,'Tong_hop_HQNV_2026Q1_2026-06-23'!$B:$B, "="&amp;'CHECK_DT-BT'!A67, 'Tong_hop_HQNV_2026Q1_2026-06-23'!$A:$A, "="&amp;$AD$2)</f>
        <v>0</v>
      </c>
      <c r="AE67" s="7">
        <f>SUMIFS('Tong_hop_HQNV_2026Q1_2026-06-23'!$L:$L,'Tong_hop_HQNV_2026Q1_2026-06-23'!$B:$B, "="&amp;'CHECK_DT-BT'!A67, 'Tong_hop_HQNV_2026Q1_2026-06-23'!$A:$A, "="&amp;$AE$2)</f>
        <v>0</v>
      </c>
      <c r="AF67" s="7">
        <f>SUMIFS('Tong_hop_HQNV_2026Q1_2026-06-23'!$L:$L,'Tong_hop_HQNV_2026Q1_2026-06-23'!$B:$B, "="&amp;'CHECK_DT-BT'!A67, 'Tong_hop_HQNV_2026Q1_2026-06-23'!$A:$A, "="&amp;$AF$2)</f>
        <v>0</v>
      </c>
      <c r="AG67" s="7">
        <f>SUMIFS('Tong_hop_HQNV_2026Q1_2026-06-23'!$L:$L,'Tong_hop_HQNV_2026Q1_2026-06-23'!$B:$B, "="&amp;'CHECK_DT-BT'!A67, 'Tong_hop_HQNV_2026Q1_2026-06-23'!$A:$A, "="&amp;$AG$2)</f>
        <v>3200000</v>
      </c>
      <c r="AH67" s="7">
        <f>SUMIFS('Tong_hop_HQNV_2026Q1_2026-06-23'!$L:$L,'Tong_hop_HQNV_2026Q1_2026-06-23'!$B:$B, "="&amp;'CHECK_DT-BT'!A67, 'Tong_hop_HQNV_2026Q1_2026-06-23'!$A:$A, "="&amp;$AH$2)</f>
        <v>0</v>
      </c>
      <c r="AI67" s="7">
        <f>SUMIFS('Tong_hop_HQNV_2026Q1_2026-06-23'!$L:$L,'Tong_hop_HQNV_2026Q1_2026-06-23'!$B:$B, "="&amp;'CHECK_DT-BT'!A67, 'Tong_hop_HQNV_2026Q1_2026-06-23'!$A:$A, "="&amp;$AI$2)</f>
        <v>0</v>
      </c>
      <c r="AJ67" s="7">
        <f t="shared" si="6"/>
        <v>2473248227</v>
      </c>
      <c r="AK67" s="7">
        <f t="shared" si="7"/>
        <v>3200000</v>
      </c>
      <c r="AL67" s="7">
        <f>SUMIFS('HQ1'!$D:$D,'HQ1'!$A:$A, "="&amp;'CHECK_DT-BT'!C67, 'HQ1'!$B:$B, "Total")</f>
        <v>2473248227</v>
      </c>
      <c r="AM67" s="7">
        <f>SUMIFS('HQ2'!$J:$J,'HQ2'!$A:$A, "="&amp;'CHECK_DT-BT'!C67, 'HQ2'!$B:$B, "Total")</f>
        <v>3200000</v>
      </c>
      <c r="AN67" s="24">
        <f t="shared" si="8"/>
        <v>0</v>
      </c>
      <c r="AO67" s="24">
        <f t="shared" si="9"/>
        <v>0</v>
      </c>
    </row>
    <row r="68" spans="1:41" x14ac:dyDescent="0.25">
      <c r="A68" s="9" t="s">
        <v>348</v>
      </c>
      <c r="B68" t="s">
        <v>206</v>
      </c>
      <c r="C68" t="s">
        <v>90</v>
      </c>
      <c r="D68" s="7">
        <f>SUMIFS('Tong_hop_HQNV_2026Q1_2026-06-23'!$K:$K,'Tong_hop_HQNV_2026Q1_2026-06-23'!$A:$A,"="&amp;'CHECK_DT-BT'!$D$2,'Tong_hop_HQNV_2026Q1_2026-06-23'!$B:$B, "="&amp;'CHECK_DT-BT'!A68)</f>
        <v>7814487340</v>
      </c>
      <c r="E68" s="7">
        <f>SUMIFS('Tong_hop_HQNV_2026Q1_2026-06-23'!$K:$K,'Tong_hop_HQNV_2026Q1_2026-06-23'!$A:$A,"="&amp;'CHECK_DT-BT'!$E$2,'Tong_hop_HQNV_2026Q1_2026-06-23'!$B:$B, "="&amp;'CHECK_DT-BT'!A68)</f>
        <v>54952500</v>
      </c>
      <c r="F68" s="7">
        <f>SUMIFS('Tong_hop_HQNV_2026Q1_2026-06-23'!$K:$K,'Tong_hop_HQNV_2026Q1_2026-06-23'!$A:$A,"="&amp;'CHECK_DT-BT'!$F$2,'Tong_hop_HQNV_2026Q1_2026-06-23'!$B:$B, "="&amp;'CHECK_DT-BT'!A68)</f>
        <v>2427433905</v>
      </c>
      <c r="G68" s="7">
        <f>SUMIFS('Tong_hop_HQNV_2026Q1_2026-06-23'!$K:$K,'Tong_hop_HQNV_2026Q1_2026-06-23'!$A:$A,"="&amp;'CHECK_DT-BT'!$G$2,'Tong_hop_HQNV_2026Q1_2026-06-23'!$B:$B, "="&amp;'CHECK_DT-BT'!A68)</f>
        <v>2398509294</v>
      </c>
      <c r="H68" s="7">
        <f>SUMIFS('Tong_hop_HQNV_2026Q1_2026-06-23'!$K:$K,'Tong_hop_HQNV_2026Q1_2026-06-23'!$A:$A,"="&amp;$H$2,'Tong_hop_HQNV_2026Q1_2026-06-23'!$B:$B, "="&amp;'CHECK_DT-BT'!A68)</f>
        <v>8149773</v>
      </c>
      <c r="I68" s="7">
        <f>SUMIFS('Tong_hop_HQNV_2026Q1_2026-06-23'!$K:$K,'Tong_hop_HQNV_2026Q1_2026-06-23'!$A:$A,"="&amp;$I$2,'Tong_hop_HQNV_2026Q1_2026-06-23'!$B:$B, "="&amp;'CHECK_DT-BT'!A68)</f>
        <v>0</v>
      </c>
      <c r="J68" s="7">
        <f>SUMIFS('Tong_hop_HQNV_2026Q1_2026-06-23'!$K:$K,'Tong_hop_HQNV_2026Q1_2026-06-23'!$A:$A,"="&amp;$J$2,'Tong_hop_HQNV_2026Q1_2026-06-23'!$B:$B, "="&amp;'CHECK_DT-BT'!A68)</f>
        <v>0</v>
      </c>
      <c r="K68" s="7">
        <f>SUMIFS('Tong_hop_HQNV_2026Q1_2026-06-23'!$K:$K,'Tong_hop_HQNV_2026Q1_2026-06-23'!$A:$A,"="&amp;$K$2,'Tong_hop_HQNV_2026Q1_2026-06-23'!$B:$B, "="&amp;'CHECK_DT-BT'!A68)</f>
        <v>0</v>
      </c>
      <c r="L68" s="7">
        <f>SUMIFS('Tong_hop_HQNV_2026Q1_2026-06-23'!$K:$K,'Tong_hop_HQNV_2026Q1_2026-06-23'!$A:$A,"="&amp;$L$2,'Tong_hop_HQNV_2026Q1_2026-06-23'!$B:$B, "="&amp;'CHECK_DT-BT'!A68)</f>
        <v>232912715</v>
      </c>
      <c r="M68" s="7">
        <f>SUMIFS('Tong_hop_HQNV_2026Q1_2026-06-23'!$K:$K,'Tong_hop_HQNV_2026Q1_2026-06-23'!$A:$A,"="&amp;$M$2,'Tong_hop_HQNV_2026Q1_2026-06-23'!$B:$B, "="&amp;'CHECK_DT-BT'!A68)</f>
        <v>2849648861</v>
      </c>
      <c r="N68" s="7">
        <f>SUMIFS('Tong_hop_HQNV_2026Q1_2026-06-23'!$K:$K,'Tong_hop_HQNV_2026Q1_2026-06-23'!$A:$A,"="&amp;$N$2,'Tong_hop_HQNV_2026Q1_2026-06-23'!$B:$B, "="&amp;'CHECK_DT-BT'!A68)</f>
        <v>5900000</v>
      </c>
      <c r="O68" s="7">
        <f>SUMIFS('Tong_hop_HQNV_2026Q1_2026-06-23'!$K:$K,'Tong_hop_HQNV_2026Q1_2026-06-23'!$A:$A,"="&amp;$O$2,'Tong_hop_HQNV_2026Q1_2026-06-23'!$B:$B, "="&amp;'CHECK_DT-BT'!A68)</f>
        <v>0</v>
      </c>
      <c r="P68" s="7">
        <f>SUMIFS('Tong_hop_HQNV_2026Q1_2026-06-23'!$K:$K,'Tong_hop_HQNV_2026Q1_2026-06-23'!$A:$A,"="&amp;$P$2,'Tong_hop_HQNV_2026Q1_2026-06-23'!$B:$B, "="&amp;'CHECK_DT-BT'!A68)</f>
        <v>0</v>
      </c>
      <c r="Q68" s="7">
        <f t="shared" si="2"/>
        <v>12695383039</v>
      </c>
      <c r="R68" s="7">
        <f t="shared" si="3"/>
        <v>3096611349</v>
      </c>
      <c r="S68" s="7">
        <f>SUMIFS('HQ1'!$C:$C,'HQ1'!$A:$A, "="&amp;'CHECK_DT-BT'!C68, 'HQ1'!$B:$B, "Total")</f>
        <v>12695383039</v>
      </c>
      <c r="T68" s="7">
        <f>SUMIFS('HQ2'!$C:$C,'HQ2'!$A:$A, "="&amp;'CHECK_DT-BT'!C68, 'HQ2'!$B:$B, "Total")</f>
        <v>3096611349</v>
      </c>
      <c r="U68" s="7">
        <f t="shared" si="4"/>
        <v>0</v>
      </c>
      <c r="V68" s="7">
        <f t="shared" si="5"/>
        <v>0</v>
      </c>
      <c r="W68" s="23">
        <f>SUMIFS('Tong_hop_HQNV_2026Q1_2026-06-23'!$L:$L,'Tong_hop_HQNV_2026Q1_2026-06-23'!$B:$B, "="&amp;'CHECK_DT-BT'!A68, 'Tong_hop_HQNV_2026Q1_2026-06-23'!$A:$A, "="&amp;'CHECK_DT-BT'!$W$2)</f>
        <v>6191721860</v>
      </c>
      <c r="X68" s="7">
        <f>SUMIFS('Tong_hop_HQNV_2026Q1_2026-06-23'!$L:$L,'Tong_hop_HQNV_2026Q1_2026-06-23'!$B:$B, "="&amp;'CHECK_DT-BT'!A68, 'Tong_hop_HQNV_2026Q1_2026-06-23'!$A:$A, "="&amp;'CHECK_DT-BT'!$X$2)</f>
        <v>1500000</v>
      </c>
      <c r="Y68" s="7">
        <f>SUMIFS('Tong_hop_HQNV_2026Q1_2026-06-23'!$L:$L,'Tong_hop_HQNV_2026Q1_2026-06-23'!$B:$B, "="&amp;'CHECK_DT-BT'!A68, 'Tong_hop_HQNV_2026Q1_2026-06-23'!$A:$A, "="&amp;'CHECK_DT-BT'!$Y$2)</f>
        <v>1010940449</v>
      </c>
      <c r="Z68" s="7">
        <f>SUMIFS('Tong_hop_HQNV_2026Q1_2026-06-23'!$L:$L,'Tong_hop_HQNV_2026Q1_2026-06-23'!$B:$B, "="&amp;'CHECK_DT-BT'!A68, 'Tong_hop_HQNV_2026Q1_2026-06-23'!$A:$A, "="&amp;'CHECK_DT-BT'!$Z$2)</f>
        <v>1267778125</v>
      </c>
      <c r="AA68" s="7">
        <f>SUMIFS('Tong_hop_HQNV_2026Q1_2026-06-23'!$L:$L,'Tong_hop_HQNV_2026Q1_2026-06-23'!$B:$B, "="&amp;'CHECK_DT-BT'!A68, 'Tong_hop_HQNV_2026Q1_2026-06-23'!$A:$A, "="&amp;$AA$2)</f>
        <v>0</v>
      </c>
      <c r="AB68" s="7">
        <f>SUMIFS('Tong_hop_HQNV_2026Q1_2026-06-23'!$L:$L,'Tong_hop_HQNV_2026Q1_2026-06-23'!$B:$B, "="&amp;'CHECK_DT-BT'!A68, 'Tong_hop_HQNV_2026Q1_2026-06-23'!$A:$A, "="&amp;$AB$2)</f>
        <v>0</v>
      </c>
      <c r="AC68" s="7">
        <f>SUMIFS('Tong_hop_HQNV_2026Q1_2026-06-23'!$L:$L,'Tong_hop_HQNV_2026Q1_2026-06-23'!$B:$B, "="&amp;'CHECK_DT-BT'!A68, 'Tong_hop_HQNV_2026Q1_2026-06-23'!$A:$A, "="&amp;$AC$2)</f>
        <v>0</v>
      </c>
      <c r="AD68" s="7">
        <f>SUMIFS('Tong_hop_HQNV_2026Q1_2026-06-23'!$L:$L,'Tong_hop_HQNV_2026Q1_2026-06-23'!$B:$B, "="&amp;'CHECK_DT-BT'!A68, 'Tong_hop_HQNV_2026Q1_2026-06-23'!$A:$A, "="&amp;$AD$2)</f>
        <v>0</v>
      </c>
      <c r="AE68" s="7">
        <f>SUMIFS('Tong_hop_HQNV_2026Q1_2026-06-23'!$L:$L,'Tong_hop_HQNV_2026Q1_2026-06-23'!$B:$B, "="&amp;'CHECK_DT-BT'!A68, 'Tong_hop_HQNV_2026Q1_2026-06-23'!$A:$A, "="&amp;$AE$2)</f>
        <v>0</v>
      </c>
      <c r="AF68" s="7">
        <f>SUMIFS('Tong_hop_HQNV_2026Q1_2026-06-23'!$L:$L,'Tong_hop_HQNV_2026Q1_2026-06-23'!$B:$B, "="&amp;'CHECK_DT-BT'!A68, 'Tong_hop_HQNV_2026Q1_2026-06-23'!$A:$A, "="&amp;$AF$2)</f>
        <v>0</v>
      </c>
      <c r="AG68" s="7">
        <f>SUMIFS('Tong_hop_HQNV_2026Q1_2026-06-23'!$L:$L,'Tong_hop_HQNV_2026Q1_2026-06-23'!$B:$B, "="&amp;'CHECK_DT-BT'!A68, 'Tong_hop_HQNV_2026Q1_2026-06-23'!$A:$A, "="&amp;$AG$2)</f>
        <v>5000000</v>
      </c>
      <c r="AH68" s="7">
        <f>SUMIFS('Tong_hop_HQNV_2026Q1_2026-06-23'!$L:$L,'Tong_hop_HQNV_2026Q1_2026-06-23'!$B:$B, "="&amp;'CHECK_DT-BT'!A68, 'Tong_hop_HQNV_2026Q1_2026-06-23'!$A:$A, "="&amp;$AH$2)</f>
        <v>0</v>
      </c>
      <c r="AI68" s="7">
        <f>SUMIFS('Tong_hop_HQNV_2026Q1_2026-06-23'!$L:$L,'Tong_hop_HQNV_2026Q1_2026-06-23'!$B:$B, "="&amp;'CHECK_DT-BT'!A68, 'Tong_hop_HQNV_2026Q1_2026-06-23'!$A:$A, "="&amp;$AI$2)</f>
        <v>0</v>
      </c>
      <c r="AJ68" s="7">
        <f t="shared" si="6"/>
        <v>8471940434</v>
      </c>
      <c r="AK68" s="7">
        <f t="shared" si="7"/>
        <v>5000000</v>
      </c>
      <c r="AL68" s="7">
        <f>SUMIFS('HQ1'!$D:$D,'HQ1'!$A:$A, "="&amp;'CHECK_DT-BT'!C68, 'HQ1'!$B:$B, "Total")</f>
        <v>8471940434</v>
      </c>
      <c r="AM68" s="7">
        <f>SUMIFS('HQ2'!$J:$J,'HQ2'!$A:$A, "="&amp;'CHECK_DT-BT'!C68, 'HQ2'!$B:$B, "Total")</f>
        <v>5000000</v>
      </c>
      <c r="AN68" s="24">
        <f t="shared" si="8"/>
        <v>0</v>
      </c>
      <c r="AO68" s="24">
        <f t="shared" si="9"/>
        <v>0</v>
      </c>
    </row>
    <row r="69" spans="1:41" x14ac:dyDescent="0.25">
      <c r="A69" s="9" t="s">
        <v>349</v>
      </c>
      <c r="B69" t="s">
        <v>207</v>
      </c>
      <c r="C69" t="s">
        <v>96</v>
      </c>
      <c r="D69" s="7">
        <f>SUMIFS('Tong_hop_HQNV_2026Q1_2026-06-23'!$K:$K,'Tong_hop_HQNV_2026Q1_2026-06-23'!$A:$A,"="&amp;'CHECK_DT-BT'!$D$2,'Tong_hop_HQNV_2026Q1_2026-06-23'!$B:$B, "="&amp;'CHECK_DT-BT'!A69)</f>
        <v>1124466600</v>
      </c>
      <c r="E69" s="7">
        <f>SUMIFS('Tong_hop_HQNV_2026Q1_2026-06-23'!$K:$K,'Tong_hop_HQNV_2026Q1_2026-06-23'!$A:$A,"="&amp;'CHECK_DT-BT'!$E$2,'Tong_hop_HQNV_2026Q1_2026-06-23'!$B:$B, "="&amp;'CHECK_DT-BT'!A69)</f>
        <v>6231000</v>
      </c>
      <c r="F69" s="7">
        <f>SUMIFS('Tong_hop_HQNV_2026Q1_2026-06-23'!$K:$K,'Tong_hop_HQNV_2026Q1_2026-06-23'!$A:$A,"="&amp;'CHECK_DT-BT'!$F$2,'Tong_hop_HQNV_2026Q1_2026-06-23'!$B:$B, "="&amp;'CHECK_DT-BT'!A69)</f>
        <v>3613290312</v>
      </c>
      <c r="G69" s="7">
        <f>SUMIFS('Tong_hop_HQNV_2026Q1_2026-06-23'!$K:$K,'Tong_hop_HQNV_2026Q1_2026-06-23'!$A:$A,"="&amp;'CHECK_DT-BT'!$G$2,'Tong_hop_HQNV_2026Q1_2026-06-23'!$B:$B, "="&amp;'CHECK_DT-BT'!A69)</f>
        <v>773020088</v>
      </c>
      <c r="H69" s="7">
        <f>SUMIFS('Tong_hop_HQNV_2026Q1_2026-06-23'!$K:$K,'Tong_hop_HQNV_2026Q1_2026-06-23'!$A:$A,"="&amp;$H$2,'Tong_hop_HQNV_2026Q1_2026-06-23'!$B:$B, "="&amp;'CHECK_DT-BT'!A69)</f>
        <v>63707577</v>
      </c>
      <c r="I69" s="7">
        <f>SUMIFS('Tong_hop_HQNV_2026Q1_2026-06-23'!$K:$K,'Tong_hop_HQNV_2026Q1_2026-06-23'!$A:$A,"="&amp;$I$2,'Tong_hop_HQNV_2026Q1_2026-06-23'!$B:$B, "="&amp;'CHECK_DT-BT'!A69)</f>
        <v>0</v>
      </c>
      <c r="J69" s="7">
        <f>SUMIFS('Tong_hop_HQNV_2026Q1_2026-06-23'!$K:$K,'Tong_hop_HQNV_2026Q1_2026-06-23'!$A:$A,"="&amp;$J$2,'Tong_hop_HQNV_2026Q1_2026-06-23'!$B:$B, "="&amp;'CHECK_DT-BT'!A69)</f>
        <v>0</v>
      </c>
      <c r="K69" s="7">
        <f>SUMIFS('Tong_hop_HQNV_2026Q1_2026-06-23'!$K:$K,'Tong_hop_HQNV_2026Q1_2026-06-23'!$A:$A,"="&amp;$K$2,'Tong_hop_HQNV_2026Q1_2026-06-23'!$B:$B, "="&amp;'CHECK_DT-BT'!A69)</f>
        <v>0</v>
      </c>
      <c r="L69" s="7">
        <f>SUMIFS('Tong_hop_HQNV_2026Q1_2026-06-23'!$K:$K,'Tong_hop_HQNV_2026Q1_2026-06-23'!$A:$A,"="&amp;$L$2,'Tong_hop_HQNV_2026Q1_2026-06-23'!$B:$B, "="&amp;'CHECK_DT-BT'!A69)</f>
        <v>2140869054</v>
      </c>
      <c r="M69" s="7">
        <f>SUMIFS('Tong_hop_HQNV_2026Q1_2026-06-23'!$K:$K,'Tong_hop_HQNV_2026Q1_2026-06-23'!$A:$A,"="&amp;$M$2,'Tong_hop_HQNV_2026Q1_2026-06-23'!$B:$B, "="&amp;'CHECK_DT-BT'!A69)</f>
        <v>76328533</v>
      </c>
      <c r="N69" s="7">
        <f>SUMIFS('Tong_hop_HQNV_2026Q1_2026-06-23'!$K:$K,'Tong_hop_HQNV_2026Q1_2026-06-23'!$A:$A,"="&amp;$N$2,'Tong_hop_HQNV_2026Q1_2026-06-23'!$B:$B, "="&amp;'CHECK_DT-BT'!A69)</f>
        <v>88627970</v>
      </c>
      <c r="O69" s="7">
        <f>SUMIFS('Tong_hop_HQNV_2026Q1_2026-06-23'!$K:$K,'Tong_hop_HQNV_2026Q1_2026-06-23'!$A:$A,"="&amp;$O$2,'Tong_hop_HQNV_2026Q1_2026-06-23'!$B:$B, "="&amp;'CHECK_DT-BT'!A69)</f>
        <v>0</v>
      </c>
      <c r="P69" s="7">
        <f>SUMIFS('Tong_hop_HQNV_2026Q1_2026-06-23'!$K:$K,'Tong_hop_HQNV_2026Q1_2026-06-23'!$A:$A,"="&amp;$P$2,'Tong_hop_HQNV_2026Q1_2026-06-23'!$B:$B, "="&amp;'CHECK_DT-BT'!A69)</f>
        <v>0</v>
      </c>
      <c r="Q69" s="7">
        <f t="shared" ref="Q69:Q113" si="10">SUM(D69:G69)</f>
        <v>5517008000</v>
      </c>
      <c r="R69" s="7">
        <f t="shared" ref="R69:R113" si="11">SUM(H69:N69)</f>
        <v>2369533134</v>
      </c>
      <c r="S69" s="7">
        <f>SUMIFS('HQ1'!$C:$C,'HQ1'!$A:$A, "="&amp;'CHECK_DT-BT'!C69, 'HQ1'!$B:$B, "Total")</f>
        <v>5526939400</v>
      </c>
      <c r="T69" s="7">
        <f>SUMIFS('HQ2'!$C:$C,'HQ2'!$A:$A, "="&amp;'CHECK_DT-BT'!C69, 'HQ2'!$B:$B, "Total")</f>
        <v>2369533134</v>
      </c>
      <c r="U69" s="7">
        <f t="shared" ref="U69:U113" si="12">Q69-S69</f>
        <v>-9931400</v>
      </c>
      <c r="V69" s="7">
        <f t="shared" ref="V69:V113" si="13">R69-T69</f>
        <v>0</v>
      </c>
      <c r="W69" s="23">
        <f>SUMIFS('Tong_hop_HQNV_2026Q1_2026-06-23'!$L:$L,'Tong_hop_HQNV_2026Q1_2026-06-23'!$B:$B, "="&amp;'CHECK_DT-BT'!A69, 'Tong_hop_HQNV_2026Q1_2026-06-23'!$A:$A, "="&amp;'CHECK_DT-BT'!$W$2)</f>
        <v>1832714900</v>
      </c>
      <c r="X69" s="7">
        <f>SUMIFS('Tong_hop_HQNV_2026Q1_2026-06-23'!$L:$L,'Tong_hop_HQNV_2026Q1_2026-06-23'!$B:$B, "="&amp;'CHECK_DT-BT'!A69, 'Tong_hop_HQNV_2026Q1_2026-06-23'!$A:$A, "="&amp;'CHECK_DT-BT'!$X$2)</f>
        <v>0</v>
      </c>
      <c r="Y69" s="7">
        <f>SUMIFS('Tong_hop_HQNV_2026Q1_2026-06-23'!$L:$L,'Tong_hop_HQNV_2026Q1_2026-06-23'!$B:$B, "="&amp;'CHECK_DT-BT'!A69, 'Tong_hop_HQNV_2026Q1_2026-06-23'!$A:$A, "="&amp;'CHECK_DT-BT'!$Y$2)</f>
        <v>1990694683</v>
      </c>
      <c r="Z69" s="7">
        <f>SUMIFS('Tong_hop_HQNV_2026Q1_2026-06-23'!$L:$L,'Tong_hop_HQNV_2026Q1_2026-06-23'!$B:$B, "="&amp;'CHECK_DT-BT'!A69, 'Tong_hop_HQNV_2026Q1_2026-06-23'!$A:$A, "="&amp;'CHECK_DT-BT'!$Z$2)</f>
        <v>2813222977</v>
      </c>
      <c r="AA69" s="7">
        <f>SUMIFS('Tong_hop_HQNV_2026Q1_2026-06-23'!$L:$L,'Tong_hop_HQNV_2026Q1_2026-06-23'!$B:$B, "="&amp;'CHECK_DT-BT'!A69, 'Tong_hop_HQNV_2026Q1_2026-06-23'!$A:$A, "="&amp;$AA$2)</f>
        <v>0</v>
      </c>
      <c r="AB69" s="7">
        <f>SUMIFS('Tong_hop_HQNV_2026Q1_2026-06-23'!$L:$L,'Tong_hop_HQNV_2026Q1_2026-06-23'!$B:$B, "="&amp;'CHECK_DT-BT'!A69, 'Tong_hop_HQNV_2026Q1_2026-06-23'!$A:$A, "="&amp;$AB$2)</f>
        <v>0</v>
      </c>
      <c r="AC69" s="7">
        <f>SUMIFS('Tong_hop_HQNV_2026Q1_2026-06-23'!$L:$L,'Tong_hop_HQNV_2026Q1_2026-06-23'!$B:$B, "="&amp;'CHECK_DT-BT'!A69, 'Tong_hop_HQNV_2026Q1_2026-06-23'!$A:$A, "="&amp;$AC$2)</f>
        <v>0</v>
      </c>
      <c r="AD69" s="7">
        <f>SUMIFS('Tong_hop_HQNV_2026Q1_2026-06-23'!$L:$L,'Tong_hop_HQNV_2026Q1_2026-06-23'!$B:$B, "="&amp;'CHECK_DT-BT'!A69, 'Tong_hop_HQNV_2026Q1_2026-06-23'!$A:$A, "="&amp;$AD$2)</f>
        <v>0</v>
      </c>
      <c r="AE69" s="7">
        <f>SUMIFS('Tong_hop_HQNV_2026Q1_2026-06-23'!$L:$L,'Tong_hop_HQNV_2026Q1_2026-06-23'!$B:$B, "="&amp;'CHECK_DT-BT'!A69, 'Tong_hop_HQNV_2026Q1_2026-06-23'!$A:$A, "="&amp;$AE$2)</f>
        <v>0</v>
      </c>
      <c r="AF69" s="7">
        <f>SUMIFS('Tong_hop_HQNV_2026Q1_2026-06-23'!$L:$L,'Tong_hop_HQNV_2026Q1_2026-06-23'!$B:$B, "="&amp;'CHECK_DT-BT'!A69, 'Tong_hop_HQNV_2026Q1_2026-06-23'!$A:$A, "="&amp;$AF$2)</f>
        <v>0</v>
      </c>
      <c r="AG69" s="7">
        <f>SUMIFS('Tong_hop_HQNV_2026Q1_2026-06-23'!$L:$L,'Tong_hop_HQNV_2026Q1_2026-06-23'!$B:$B, "="&amp;'CHECK_DT-BT'!A69, 'Tong_hop_HQNV_2026Q1_2026-06-23'!$A:$A, "="&amp;$AG$2)</f>
        <v>0</v>
      </c>
      <c r="AH69" s="7">
        <f>SUMIFS('Tong_hop_HQNV_2026Q1_2026-06-23'!$L:$L,'Tong_hop_HQNV_2026Q1_2026-06-23'!$B:$B, "="&amp;'CHECK_DT-BT'!A69, 'Tong_hop_HQNV_2026Q1_2026-06-23'!$A:$A, "="&amp;$AH$2)</f>
        <v>0</v>
      </c>
      <c r="AI69" s="7">
        <f>SUMIFS('Tong_hop_HQNV_2026Q1_2026-06-23'!$L:$L,'Tong_hop_HQNV_2026Q1_2026-06-23'!$B:$B, "="&amp;'CHECK_DT-BT'!A69, 'Tong_hop_HQNV_2026Q1_2026-06-23'!$A:$A, "="&amp;$AI$2)</f>
        <v>0</v>
      </c>
      <c r="AJ69" s="7">
        <f t="shared" ref="AJ69:AJ113" si="14">SUM(W69:Z69)</f>
        <v>6636632560</v>
      </c>
      <c r="AK69" s="7">
        <f t="shared" ref="AK69:AK113" si="15">SUM(AA69:AG69)</f>
        <v>0</v>
      </c>
      <c r="AL69" s="7">
        <f>SUMIFS('HQ1'!$D:$D,'HQ1'!$A:$A, "="&amp;'CHECK_DT-BT'!C69, 'HQ1'!$B:$B, "Total")</f>
        <v>6633268924</v>
      </c>
      <c r="AM69" s="7">
        <f>SUMIFS('HQ2'!$J:$J,'HQ2'!$A:$A, "="&amp;'CHECK_DT-BT'!C69, 'HQ2'!$B:$B, "Total")</f>
        <v>0</v>
      </c>
      <c r="AN69" s="24">
        <f t="shared" ref="AN69:AN113" si="16">AJ69-AL69</f>
        <v>3363636</v>
      </c>
      <c r="AO69" s="24">
        <f t="shared" ref="AO69:AO113" si="17">AK69-AM69</f>
        <v>0</v>
      </c>
    </row>
    <row r="70" spans="1:41" x14ac:dyDescent="0.25">
      <c r="A70" s="9" t="s">
        <v>350</v>
      </c>
      <c r="B70" t="s">
        <v>208</v>
      </c>
      <c r="C70" t="s">
        <v>108</v>
      </c>
      <c r="D70" s="7">
        <f>SUMIFS('Tong_hop_HQNV_2026Q1_2026-06-23'!$K:$K,'Tong_hop_HQNV_2026Q1_2026-06-23'!$A:$A,"="&amp;'CHECK_DT-BT'!$D$2,'Tong_hop_HQNV_2026Q1_2026-06-23'!$B:$B, "="&amp;'CHECK_DT-BT'!A70)</f>
        <v>6736502350</v>
      </c>
      <c r="E70" s="7">
        <f>SUMIFS('Tong_hop_HQNV_2026Q1_2026-06-23'!$K:$K,'Tong_hop_HQNV_2026Q1_2026-06-23'!$A:$A,"="&amp;'CHECK_DT-BT'!$E$2,'Tong_hop_HQNV_2026Q1_2026-06-23'!$B:$B, "="&amp;'CHECK_DT-BT'!A70)</f>
        <v>9023800</v>
      </c>
      <c r="F70" s="7">
        <f>SUMIFS('Tong_hop_HQNV_2026Q1_2026-06-23'!$K:$K,'Tong_hop_HQNV_2026Q1_2026-06-23'!$A:$A,"="&amp;'CHECK_DT-BT'!$F$2,'Tong_hop_HQNV_2026Q1_2026-06-23'!$B:$B, "="&amp;'CHECK_DT-BT'!A70)</f>
        <v>1910827559</v>
      </c>
      <c r="G70" s="7">
        <f>SUMIFS('Tong_hop_HQNV_2026Q1_2026-06-23'!$K:$K,'Tong_hop_HQNV_2026Q1_2026-06-23'!$A:$A,"="&amp;'CHECK_DT-BT'!$G$2,'Tong_hop_HQNV_2026Q1_2026-06-23'!$B:$B, "="&amp;'CHECK_DT-BT'!A70)</f>
        <v>753545880</v>
      </c>
      <c r="H70" s="7">
        <f>SUMIFS('Tong_hop_HQNV_2026Q1_2026-06-23'!$K:$K,'Tong_hop_HQNV_2026Q1_2026-06-23'!$A:$A,"="&amp;$H$2,'Tong_hop_HQNV_2026Q1_2026-06-23'!$B:$B, "="&amp;'CHECK_DT-BT'!A70)</f>
        <v>7218609</v>
      </c>
      <c r="I70" s="7">
        <f>SUMIFS('Tong_hop_HQNV_2026Q1_2026-06-23'!$K:$K,'Tong_hop_HQNV_2026Q1_2026-06-23'!$A:$A,"="&amp;$I$2,'Tong_hop_HQNV_2026Q1_2026-06-23'!$B:$B, "="&amp;'CHECK_DT-BT'!A70)</f>
        <v>0</v>
      </c>
      <c r="J70" s="7">
        <f>SUMIFS('Tong_hop_HQNV_2026Q1_2026-06-23'!$K:$K,'Tong_hop_HQNV_2026Q1_2026-06-23'!$A:$A,"="&amp;$J$2,'Tong_hop_HQNV_2026Q1_2026-06-23'!$B:$B, "="&amp;'CHECK_DT-BT'!A70)</f>
        <v>94500000</v>
      </c>
      <c r="K70" s="7">
        <f>SUMIFS('Tong_hop_HQNV_2026Q1_2026-06-23'!$K:$K,'Tong_hop_HQNV_2026Q1_2026-06-23'!$A:$A,"="&amp;$K$2,'Tong_hop_HQNV_2026Q1_2026-06-23'!$B:$B, "="&amp;'CHECK_DT-BT'!A70)</f>
        <v>0</v>
      </c>
      <c r="L70" s="7">
        <f>SUMIFS('Tong_hop_HQNV_2026Q1_2026-06-23'!$K:$K,'Tong_hop_HQNV_2026Q1_2026-06-23'!$A:$A,"="&amp;$L$2,'Tong_hop_HQNV_2026Q1_2026-06-23'!$B:$B, "="&amp;'CHECK_DT-BT'!A70)</f>
        <v>871087074</v>
      </c>
      <c r="M70" s="7">
        <f>SUMIFS('Tong_hop_HQNV_2026Q1_2026-06-23'!$K:$K,'Tong_hop_HQNV_2026Q1_2026-06-23'!$A:$A,"="&amp;$M$2,'Tong_hop_HQNV_2026Q1_2026-06-23'!$B:$B, "="&amp;'CHECK_DT-BT'!A70)</f>
        <v>294481560</v>
      </c>
      <c r="N70" s="7">
        <f>SUMIFS('Tong_hop_HQNV_2026Q1_2026-06-23'!$K:$K,'Tong_hop_HQNV_2026Q1_2026-06-23'!$A:$A,"="&amp;$N$2,'Tong_hop_HQNV_2026Q1_2026-06-23'!$B:$B, "="&amp;'CHECK_DT-BT'!A70)</f>
        <v>259089886</v>
      </c>
      <c r="O70" s="7">
        <f>SUMIFS('Tong_hop_HQNV_2026Q1_2026-06-23'!$K:$K,'Tong_hop_HQNV_2026Q1_2026-06-23'!$A:$A,"="&amp;$O$2,'Tong_hop_HQNV_2026Q1_2026-06-23'!$B:$B, "="&amp;'CHECK_DT-BT'!A70)</f>
        <v>0</v>
      </c>
      <c r="P70" s="7">
        <f>SUMIFS('Tong_hop_HQNV_2026Q1_2026-06-23'!$K:$K,'Tong_hop_HQNV_2026Q1_2026-06-23'!$A:$A,"="&amp;$P$2,'Tong_hop_HQNV_2026Q1_2026-06-23'!$B:$B, "="&amp;'CHECK_DT-BT'!A70)</f>
        <v>0</v>
      </c>
      <c r="Q70" s="7">
        <f t="shared" si="10"/>
        <v>9409899589</v>
      </c>
      <c r="R70" s="7">
        <f t="shared" si="11"/>
        <v>1526377129</v>
      </c>
      <c r="S70" s="7">
        <f>SUMIFS('HQ1'!$C:$C,'HQ1'!$A:$A, "="&amp;'CHECK_DT-BT'!C70, 'HQ1'!$B:$B, "Total")</f>
        <v>9409899589</v>
      </c>
      <c r="T70" s="7">
        <f>SUMIFS('HQ2'!$C:$C,'HQ2'!$A:$A, "="&amp;'CHECK_DT-BT'!C70, 'HQ2'!$B:$B, "Total")</f>
        <v>1526377129</v>
      </c>
      <c r="U70" s="7">
        <f t="shared" si="12"/>
        <v>0</v>
      </c>
      <c r="V70" s="7">
        <f t="shared" si="13"/>
        <v>0</v>
      </c>
      <c r="W70" s="23">
        <f>SUMIFS('Tong_hop_HQNV_2026Q1_2026-06-23'!$L:$L,'Tong_hop_HQNV_2026Q1_2026-06-23'!$B:$B, "="&amp;'CHECK_DT-BT'!A70, 'Tong_hop_HQNV_2026Q1_2026-06-23'!$A:$A, "="&amp;'CHECK_DT-BT'!$W$2)</f>
        <v>5388601913</v>
      </c>
      <c r="X70" s="7">
        <f>SUMIFS('Tong_hop_HQNV_2026Q1_2026-06-23'!$L:$L,'Tong_hop_HQNV_2026Q1_2026-06-23'!$B:$B, "="&amp;'CHECK_DT-BT'!A70, 'Tong_hop_HQNV_2026Q1_2026-06-23'!$A:$A, "="&amp;'CHECK_DT-BT'!$X$2)</f>
        <v>50000000</v>
      </c>
      <c r="Y70" s="7">
        <f>SUMIFS('Tong_hop_HQNV_2026Q1_2026-06-23'!$L:$L,'Tong_hop_HQNV_2026Q1_2026-06-23'!$B:$B, "="&amp;'CHECK_DT-BT'!A70, 'Tong_hop_HQNV_2026Q1_2026-06-23'!$A:$A, "="&amp;'CHECK_DT-BT'!$Y$2)</f>
        <v>517856924</v>
      </c>
      <c r="Z70" s="7">
        <f>SUMIFS('Tong_hop_HQNV_2026Q1_2026-06-23'!$L:$L,'Tong_hop_HQNV_2026Q1_2026-06-23'!$B:$B, "="&amp;'CHECK_DT-BT'!A70, 'Tong_hop_HQNV_2026Q1_2026-06-23'!$A:$A, "="&amp;'CHECK_DT-BT'!$Z$2)</f>
        <v>115400924</v>
      </c>
      <c r="AA70" s="7">
        <f>SUMIFS('Tong_hop_HQNV_2026Q1_2026-06-23'!$L:$L,'Tong_hop_HQNV_2026Q1_2026-06-23'!$B:$B, "="&amp;'CHECK_DT-BT'!A70, 'Tong_hop_HQNV_2026Q1_2026-06-23'!$A:$A, "="&amp;$AA$2)</f>
        <v>9600000</v>
      </c>
      <c r="AB70" s="7">
        <f>SUMIFS('Tong_hop_HQNV_2026Q1_2026-06-23'!$L:$L,'Tong_hop_HQNV_2026Q1_2026-06-23'!$B:$B, "="&amp;'CHECK_DT-BT'!A70, 'Tong_hop_HQNV_2026Q1_2026-06-23'!$A:$A, "="&amp;$AB$2)</f>
        <v>38769800</v>
      </c>
      <c r="AC70" s="7">
        <f>SUMIFS('Tong_hop_HQNV_2026Q1_2026-06-23'!$L:$L,'Tong_hop_HQNV_2026Q1_2026-06-23'!$B:$B, "="&amp;'CHECK_DT-BT'!A70, 'Tong_hop_HQNV_2026Q1_2026-06-23'!$A:$A, "="&amp;$AC$2)</f>
        <v>0</v>
      </c>
      <c r="AD70" s="7">
        <f>SUMIFS('Tong_hop_HQNV_2026Q1_2026-06-23'!$L:$L,'Tong_hop_HQNV_2026Q1_2026-06-23'!$B:$B, "="&amp;'CHECK_DT-BT'!A70, 'Tong_hop_HQNV_2026Q1_2026-06-23'!$A:$A, "="&amp;$AD$2)</f>
        <v>0</v>
      </c>
      <c r="AE70" s="7">
        <f>SUMIFS('Tong_hop_HQNV_2026Q1_2026-06-23'!$L:$L,'Tong_hop_HQNV_2026Q1_2026-06-23'!$B:$B, "="&amp;'CHECK_DT-BT'!A70, 'Tong_hop_HQNV_2026Q1_2026-06-23'!$A:$A, "="&amp;$AE$2)</f>
        <v>1240000000</v>
      </c>
      <c r="AF70" s="7">
        <f>SUMIFS('Tong_hop_HQNV_2026Q1_2026-06-23'!$L:$L,'Tong_hop_HQNV_2026Q1_2026-06-23'!$B:$B, "="&amp;'CHECK_DT-BT'!A70, 'Tong_hop_HQNV_2026Q1_2026-06-23'!$A:$A, "="&amp;$AF$2)</f>
        <v>0</v>
      </c>
      <c r="AG70" s="7">
        <f>SUMIFS('Tong_hop_HQNV_2026Q1_2026-06-23'!$L:$L,'Tong_hop_HQNV_2026Q1_2026-06-23'!$B:$B, "="&amp;'CHECK_DT-BT'!A70, 'Tong_hop_HQNV_2026Q1_2026-06-23'!$A:$A, "="&amp;$AG$2)</f>
        <v>0</v>
      </c>
      <c r="AH70" s="7">
        <f>SUMIFS('Tong_hop_HQNV_2026Q1_2026-06-23'!$L:$L,'Tong_hop_HQNV_2026Q1_2026-06-23'!$B:$B, "="&amp;'CHECK_DT-BT'!A70, 'Tong_hop_HQNV_2026Q1_2026-06-23'!$A:$A, "="&amp;$AH$2)</f>
        <v>0</v>
      </c>
      <c r="AI70" s="7">
        <f>SUMIFS('Tong_hop_HQNV_2026Q1_2026-06-23'!$L:$L,'Tong_hop_HQNV_2026Q1_2026-06-23'!$B:$B, "="&amp;'CHECK_DT-BT'!A70, 'Tong_hop_HQNV_2026Q1_2026-06-23'!$A:$A, "="&amp;$AI$2)</f>
        <v>0</v>
      </c>
      <c r="AJ70" s="7">
        <f t="shared" si="14"/>
        <v>6071859761</v>
      </c>
      <c r="AK70" s="7">
        <f t="shared" si="15"/>
        <v>1288369800</v>
      </c>
      <c r="AL70" s="7">
        <f>SUMIFS('HQ1'!$D:$D,'HQ1'!$A:$A, "="&amp;'CHECK_DT-BT'!C70, 'HQ1'!$B:$B, "Total")</f>
        <v>6071859761</v>
      </c>
      <c r="AM70" s="7">
        <f>SUMIFS('HQ2'!$J:$J,'HQ2'!$A:$A, "="&amp;'CHECK_DT-BT'!C70, 'HQ2'!$B:$B, "Total")</f>
        <v>1288369800</v>
      </c>
      <c r="AN70" s="24">
        <f t="shared" si="16"/>
        <v>0</v>
      </c>
      <c r="AO70" s="24">
        <f t="shared" si="17"/>
        <v>0</v>
      </c>
    </row>
    <row r="71" spans="1:41" x14ac:dyDescent="0.25">
      <c r="A71" s="9" t="s">
        <v>351</v>
      </c>
      <c r="B71" t="s">
        <v>209</v>
      </c>
      <c r="C71" t="s">
        <v>98</v>
      </c>
      <c r="D71" s="7">
        <f>SUMIFS('Tong_hop_HQNV_2026Q1_2026-06-23'!$K:$K,'Tong_hop_HQNV_2026Q1_2026-06-23'!$A:$A,"="&amp;'CHECK_DT-BT'!$D$2,'Tong_hop_HQNV_2026Q1_2026-06-23'!$B:$B, "="&amp;'CHECK_DT-BT'!A71)</f>
        <v>4218137100</v>
      </c>
      <c r="E71" s="7">
        <f>SUMIFS('Tong_hop_HQNV_2026Q1_2026-06-23'!$K:$K,'Tong_hop_HQNV_2026Q1_2026-06-23'!$A:$A,"="&amp;'CHECK_DT-BT'!$E$2,'Tong_hop_HQNV_2026Q1_2026-06-23'!$B:$B, "="&amp;'CHECK_DT-BT'!A71)</f>
        <v>35172600</v>
      </c>
      <c r="F71" s="7">
        <f>SUMIFS('Tong_hop_HQNV_2026Q1_2026-06-23'!$K:$K,'Tong_hop_HQNV_2026Q1_2026-06-23'!$A:$A,"="&amp;'CHECK_DT-BT'!$F$2,'Tong_hop_HQNV_2026Q1_2026-06-23'!$B:$B, "="&amp;'CHECK_DT-BT'!A71)</f>
        <v>5399477120</v>
      </c>
      <c r="G71" s="7">
        <f>SUMIFS('Tong_hop_HQNV_2026Q1_2026-06-23'!$K:$K,'Tong_hop_HQNV_2026Q1_2026-06-23'!$A:$A,"="&amp;'CHECK_DT-BT'!$G$2,'Tong_hop_HQNV_2026Q1_2026-06-23'!$B:$B, "="&amp;'CHECK_DT-BT'!A71)</f>
        <v>978217802</v>
      </c>
      <c r="H71" s="7">
        <f>SUMIFS('Tong_hop_HQNV_2026Q1_2026-06-23'!$K:$K,'Tong_hop_HQNV_2026Q1_2026-06-23'!$A:$A,"="&amp;$H$2,'Tong_hop_HQNV_2026Q1_2026-06-23'!$B:$B, "="&amp;'CHECK_DT-BT'!A71)</f>
        <v>769731243</v>
      </c>
      <c r="I71" s="7">
        <f>SUMIFS('Tong_hop_HQNV_2026Q1_2026-06-23'!$K:$K,'Tong_hop_HQNV_2026Q1_2026-06-23'!$A:$A,"="&amp;$I$2,'Tong_hop_HQNV_2026Q1_2026-06-23'!$B:$B, "="&amp;'CHECK_DT-BT'!A71)</f>
        <v>0</v>
      </c>
      <c r="J71" s="7">
        <f>SUMIFS('Tong_hop_HQNV_2026Q1_2026-06-23'!$K:$K,'Tong_hop_HQNV_2026Q1_2026-06-23'!$A:$A,"="&amp;$J$2,'Tong_hop_HQNV_2026Q1_2026-06-23'!$B:$B, "="&amp;'CHECK_DT-BT'!A71)</f>
        <v>0</v>
      </c>
      <c r="K71" s="7">
        <f>SUMIFS('Tong_hop_HQNV_2026Q1_2026-06-23'!$K:$K,'Tong_hop_HQNV_2026Q1_2026-06-23'!$A:$A,"="&amp;$K$2,'Tong_hop_HQNV_2026Q1_2026-06-23'!$B:$B, "="&amp;'CHECK_DT-BT'!A71)</f>
        <v>0</v>
      </c>
      <c r="L71" s="7">
        <f>SUMIFS('Tong_hop_HQNV_2026Q1_2026-06-23'!$K:$K,'Tong_hop_HQNV_2026Q1_2026-06-23'!$A:$A,"="&amp;$L$2,'Tong_hop_HQNV_2026Q1_2026-06-23'!$B:$B, "="&amp;'CHECK_DT-BT'!A71)</f>
        <v>342971449</v>
      </c>
      <c r="M71" s="7">
        <f>SUMIFS('Tong_hop_HQNV_2026Q1_2026-06-23'!$K:$K,'Tong_hop_HQNV_2026Q1_2026-06-23'!$A:$A,"="&amp;$M$2,'Tong_hop_HQNV_2026Q1_2026-06-23'!$B:$B, "="&amp;'CHECK_DT-BT'!A71)</f>
        <v>856169787</v>
      </c>
      <c r="N71" s="7">
        <f>SUMIFS('Tong_hop_HQNV_2026Q1_2026-06-23'!$K:$K,'Tong_hop_HQNV_2026Q1_2026-06-23'!$A:$A,"="&amp;$N$2,'Tong_hop_HQNV_2026Q1_2026-06-23'!$B:$B, "="&amp;'CHECK_DT-BT'!A71)</f>
        <v>86363639</v>
      </c>
      <c r="O71" s="7">
        <f>SUMIFS('Tong_hop_HQNV_2026Q1_2026-06-23'!$K:$K,'Tong_hop_HQNV_2026Q1_2026-06-23'!$A:$A,"="&amp;$O$2,'Tong_hop_HQNV_2026Q1_2026-06-23'!$B:$B, "="&amp;'CHECK_DT-BT'!A71)</f>
        <v>0</v>
      </c>
      <c r="P71" s="7">
        <f>SUMIFS('Tong_hop_HQNV_2026Q1_2026-06-23'!$K:$K,'Tong_hop_HQNV_2026Q1_2026-06-23'!$A:$A,"="&amp;$P$2,'Tong_hop_HQNV_2026Q1_2026-06-23'!$B:$B, "="&amp;'CHECK_DT-BT'!A71)</f>
        <v>0</v>
      </c>
      <c r="Q71" s="7">
        <f t="shared" si="10"/>
        <v>10631004622</v>
      </c>
      <c r="R71" s="7">
        <f t="shared" si="11"/>
        <v>2055236118</v>
      </c>
      <c r="S71" s="7">
        <f>SUMIFS('HQ1'!$C:$C,'HQ1'!$A:$A, "="&amp;'CHECK_DT-BT'!C71, 'HQ1'!$B:$B, "Total")</f>
        <v>10631004622</v>
      </c>
      <c r="T71" s="7">
        <f>SUMIFS('HQ2'!$C:$C,'HQ2'!$A:$A, "="&amp;'CHECK_DT-BT'!C71, 'HQ2'!$B:$B, "Total")</f>
        <v>2055236118</v>
      </c>
      <c r="U71" s="7">
        <f t="shared" si="12"/>
        <v>0</v>
      </c>
      <c r="V71" s="7">
        <f t="shared" si="13"/>
        <v>0</v>
      </c>
      <c r="W71" s="23">
        <f>SUMIFS('Tong_hop_HQNV_2026Q1_2026-06-23'!$L:$L,'Tong_hop_HQNV_2026Q1_2026-06-23'!$B:$B, "="&amp;'CHECK_DT-BT'!A71, 'Tong_hop_HQNV_2026Q1_2026-06-23'!$A:$A, "="&amp;'CHECK_DT-BT'!$W$2)</f>
        <v>3010321143</v>
      </c>
      <c r="X71" s="7">
        <f>SUMIFS('Tong_hop_HQNV_2026Q1_2026-06-23'!$L:$L,'Tong_hop_HQNV_2026Q1_2026-06-23'!$B:$B, "="&amp;'CHECK_DT-BT'!A71, 'Tong_hop_HQNV_2026Q1_2026-06-23'!$A:$A, "="&amp;'CHECK_DT-BT'!$X$2)</f>
        <v>0</v>
      </c>
      <c r="Y71" s="7">
        <f>SUMIFS('Tong_hop_HQNV_2026Q1_2026-06-23'!$L:$L,'Tong_hop_HQNV_2026Q1_2026-06-23'!$B:$B, "="&amp;'CHECK_DT-BT'!A71, 'Tong_hop_HQNV_2026Q1_2026-06-23'!$A:$A, "="&amp;'CHECK_DT-BT'!$Y$2)</f>
        <v>6737003929</v>
      </c>
      <c r="Z71" s="7">
        <f>SUMIFS('Tong_hop_HQNV_2026Q1_2026-06-23'!$L:$L,'Tong_hop_HQNV_2026Q1_2026-06-23'!$B:$B, "="&amp;'CHECK_DT-BT'!A71, 'Tong_hop_HQNV_2026Q1_2026-06-23'!$A:$A, "="&amp;'CHECK_DT-BT'!$Z$2)</f>
        <v>252176041</v>
      </c>
      <c r="AA71" s="7">
        <f>SUMIFS('Tong_hop_HQNV_2026Q1_2026-06-23'!$L:$L,'Tong_hop_HQNV_2026Q1_2026-06-23'!$B:$B, "="&amp;'CHECK_DT-BT'!A71, 'Tong_hop_HQNV_2026Q1_2026-06-23'!$A:$A, "="&amp;$AA$2)</f>
        <v>77467780</v>
      </c>
      <c r="AB71" s="7">
        <f>SUMIFS('Tong_hop_HQNV_2026Q1_2026-06-23'!$L:$L,'Tong_hop_HQNV_2026Q1_2026-06-23'!$B:$B, "="&amp;'CHECK_DT-BT'!A71, 'Tong_hop_HQNV_2026Q1_2026-06-23'!$A:$A, "="&amp;$AB$2)</f>
        <v>0</v>
      </c>
      <c r="AC71" s="7">
        <f>SUMIFS('Tong_hop_HQNV_2026Q1_2026-06-23'!$L:$L,'Tong_hop_HQNV_2026Q1_2026-06-23'!$B:$B, "="&amp;'CHECK_DT-BT'!A71, 'Tong_hop_HQNV_2026Q1_2026-06-23'!$A:$A, "="&amp;$AC$2)</f>
        <v>0</v>
      </c>
      <c r="AD71" s="7">
        <f>SUMIFS('Tong_hop_HQNV_2026Q1_2026-06-23'!$L:$L,'Tong_hop_HQNV_2026Q1_2026-06-23'!$B:$B, "="&amp;'CHECK_DT-BT'!A71, 'Tong_hop_HQNV_2026Q1_2026-06-23'!$A:$A, "="&amp;$AD$2)</f>
        <v>0</v>
      </c>
      <c r="AE71" s="7">
        <f>SUMIFS('Tong_hop_HQNV_2026Q1_2026-06-23'!$L:$L,'Tong_hop_HQNV_2026Q1_2026-06-23'!$B:$B, "="&amp;'CHECK_DT-BT'!A71, 'Tong_hop_HQNV_2026Q1_2026-06-23'!$A:$A, "="&amp;$AE$2)</f>
        <v>4370000000</v>
      </c>
      <c r="AF71" s="7">
        <f>SUMIFS('Tong_hop_HQNV_2026Q1_2026-06-23'!$L:$L,'Tong_hop_HQNV_2026Q1_2026-06-23'!$B:$B, "="&amp;'CHECK_DT-BT'!A71, 'Tong_hop_HQNV_2026Q1_2026-06-23'!$A:$A, "="&amp;$AF$2)</f>
        <v>0</v>
      </c>
      <c r="AG71" s="7">
        <f>SUMIFS('Tong_hop_HQNV_2026Q1_2026-06-23'!$L:$L,'Tong_hop_HQNV_2026Q1_2026-06-23'!$B:$B, "="&amp;'CHECK_DT-BT'!A71, 'Tong_hop_HQNV_2026Q1_2026-06-23'!$A:$A, "="&amp;$AG$2)</f>
        <v>33070000</v>
      </c>
      <c r="AH71" s="7">
        <f>SUMIFS('Tong_hop_HQNV_2026Q1_2026-06-23'!$L:$L,'Tong_hop_HQNV_2026Q1_2026-06-23'!$B:$B, "="&amp;'CHECK_DT-BT'!A71, 'Tong_hop_HQNV_2026Q1_2026-06-23'!$A:$A, "="&amp;$AH$2)</f>
        <v>0</v>
      </c>
      <c r="AI71" s="7">
        <f>SUMIFS('Tong_hop_HQNV_2026Q1_2026-06-23'!$L:$L,'Tong_hop_HQNV_2026Q1_2026-06-23'!$B:$B, "="&amp;'CHECK_DT-BT'!A71, 'Tong_hop_HQNV_2026Q1_2026-06-23'!$A:$A, "="&amp;$AI$2)</f>
        <v>0</v>
      </c>
      <c r="AJ71" s="7">
        <f t="shared" si="14"/>
        <v>9999501113</v>
      </c>
      <c r="AK71" s="7">
        <f t="shared" si="15"/>
        <v>4480537780</v>
      </c>
      <c r="AL71" s="7">
        <f>SUMIFS('HQ1'!$D:$D,'HQ1'!$A:$A, "="&amp;'CHECK_DT-BT'!C71, 'HQ1'!$B:$B, "Total")</f>
        <v>9999501113</v>
      </c>
      <c r="AM71" s="7">
        <f>SUMIFS('HQ2'!$J:$J,'HQ2'!$A:$A, "="&amp;'CHECK_DT-BT'!C71, 'HQ2'!$B:$B, "Total")</f>
        <v>4480537780</v>
      </c>
      <c r="AN71" s="24">
        <f t="shared" si="16"/>
        <v>0</v>
      </c>
      <c r="AO71" s="24">
        <f t="shared" si="17"/>
        <v>0</v>
      </c>
    </row>
    <row r="72" spans="1:41" x14ac:dyDescent="0.25">
      <c r="A72" s="9" t="s">
        <v>352</v>
      </c>
      <c r="B72" t="s">
        <v>210</v>
      </c>
      <c r="C72" t="s">
        <v>58</v>
      </c>
      <c r="D72" s="7">
        <f>SUMIFS('Tong_hop_HQNV_2026Q1_2026-06-23'!$K:$K,'Tong_hop_HQNV_2026Q1_2026-06-23'!$A:$A,"="&amp;'CHECK_DT-BT'!$D$2,'Tong_hop_HQNV_2026Q1_2026-06-23'!$B:$B, "="&amp;'CHECK_DT-BT'!A72)</f>
        <v>1143293282</v>
      </c>
      <c r="E72" s="7">
        <f>SUMIFS('Tong_hop_HQNV_2026Q1_2026-06-23'!$K:$K,'Tong_hop_HQNV_2026Q1_2026-06-23'!$A:$A,"="&amp;'CHECK_DT-BT'!$E$2,'Tong_hop_HQNV_2026Q1_2026-06-23'!$B:$B, "="&amp;'CHECK_DT-BT'!A72)</f>
        <v>463007150</v>
      </c>
      <c r="F72" s="7">
        <f>SUMIFS('Tong_hop_HQNV_2026Q1_2026-06-23'!$K:$K,'Tong_hop_HQNV_2026Q1_2026-06-23'!$A:$A,"="&amp;'CHECK_DT-BT'!$F$2,'Tong_hop_HQNV_2026Q1_2026-06-23'!$B:$B, "="&amp;'CHECK_DT-BT'!A72)</f>
        <v>12129958280</v>
      </c>
      <c r="G72" s="7">
        <f>SUMIFS('Tong_hop_HQNV_2026Q1_2026-06-23'!$K:$K,'Tong_hop_HQNV_2026Q1_2026-06-23'!$A:$A,"="&amp;'CHECK_DT-BT'!$G$2,'Tong_hop_HQNV_2026Q1_2026-06-23'!$B:$B, "="&amp;'CHECK_DT-BT'!A72)</f>
        <v>12877553142</v>
      </c>
      <c r="H72" s="7">
        <f>SUMIFS('Tong_hop_HQNV_2026Q1_2026-06-23'!$K:$K,'Tong_hop_HQNV_2026Q1_2026-06-23'!$A:$A,"="&amp;$H$2,'Tong_hop_HQNV_2026Q1_2026-06-23'!$B:$B, "="&amp;'CHECK_DT-BT'!A72)</f>
        <v>803180946</v>
      </c>
      <c r="I72" s="7">
        <f>SUMIFS('Tong_hop_HQNV_2026Q1_2026-06-23'!$K:$K,'Tong_hop_HQNV_2026Q1_2026-06-23'!$A:$A,"="&amp;$I$2,'Tong_hop_HQNV_2026Q1_2026-06-23'!$B:$B, "="&amp;'CHECK_DT-BT'!A72)</f>
        <v>1233192344</v>
      </c>
      <c r="J72" s="7">
        <f>SUMIFS('Tong_hop_HQNV_2026Q1_2026-06-23'!$K:$K,'Tong_hop_HQNV_2026Q1_2026-06-23'!$A:$A,"="&amp;$J$2,'Tong_hop_HQNV_2026Q1_2026-06-23'!$B:$B, "="&amp;'CHECK_DT-BT'!A72)</f>
        <v>1086762102</v>
      </c>
      <c r="K72" s="7">
        <f>SUMIFS('Tong_hop_HQNV_2026Q1_2026-06-23'!$K:$K,'Tong_hop_HQNV_2026Q1_2026-06-23'!$A:$A,"="&amp;$K$2,'Tong_hop_HQNV_2026Q1_2026-06-23'!$B:$B, "="&amp;'CHECK_DT-BT'!A72)</f>
        <v>0</v>
      </c>
      <c r="L72" s="7">
        <f>SUMIFS('Tong_hop_HQNV_2026Q1_2026-06-23'!$K:$K,'Tong_hop_HQNV_2026Q1_2026-06-23'!$A:$A,"="&amp;$L$2,'Tong_hop_HQNV_2026Q1_2026-06-23'!$B:$B, "="&amp;'CHECK_DT-BT'!A72)</f>
        <v>7974867596</v>
      </c>
      <c r="M72" s="7">
        <f>SUMIFS('Tong_hop_HQNV_2026Q1_2026-06-23'!$K:$K,'Tong_hop_HQNV_2026Q1_2026-06-23'!$A:$A,"="&amp;$M$2,'Tong_hop_HQNV_2026Q1_2026-06-23'!$B:$B, "="&amp;'CHECK_DT-BT'!A72)</f>
        <v>3262818102</v>
      </c>
      <c r="N72" s="7">
        <f>SUMIFS('Tong_hop_HQNV_2026Q1_2026-06-23'!$K:$K,'Tong_hop_HQNV_2026Q1_2026-06-23'!$A:$A,"="&amp;$N$2,'Tong_hop_HQNV_2026Q1_2026-06-23'!$B:$B, "="&amp;'CHECK_DT-BT'!A72)</f>
        <v>163508688</v>
      </c>
      <c r="O72" s="7">
        <f>SUMIFS('Tong_hop_HQNV_2026Q1_2026-06-23'!$K:$K,'Tong_hop_HQNV_2026Q1_2026-06-23'!$A:$A,"="&amp;$O$2,'Tong_hop_HQNV_2026Q1_2026-06-23'!$B:$B, "="&amp;'CHECK_DT-BT'!A72)</f>
        <v>0</v>
      </c>
      <c r="P72" s="7">
        <f>SUMIFS('Tong_hop_HQNV_2026Q1_2026-06-23'!$K:$K,'Tong_hop_HQNV_2026Q1_2026-06-23'!$A:$A,"="&amp;$P$2,'Tong_hop_HQNV_2026Q1_2026-06-23'!$B:$B, "="&amp;'CHECK_DT-BT'!A72)</f>
        <v>0</v>
      </c>
      <c r="Q72" s="7">
        <f t="shared" si="10"/>
        <v>26613811854</v>
      </c>
      <c r="R72" s="7">
        <f t="shared" si="11"/>
        <v>14524329778</v>
      </c>
      <c r="S72" s="7">
        <f>SUMIFS('HQ1'!$C:$C,'HQ1'!$A:$A, "="&amp;'CHECK_DT-BT'!C72, 'HQ1'!$B:$B, "Total")</f>
        <v>26152465236</v>
      </c>
      <c r="T72" s="7">
        <f>SUMIFS('HQ2'!$C:$C,'HQ2'!$A:$A, "="&amp;'CHECK_DT-BT'!C72, 'HQ2'!$B:$B, "Total")</f>
        <v>14985676396</v>
      </c>
      <c r="U72" s="7">
        <f t="shared" si="12"/>
        <v>461346618</v>
      </c>
      <c r="V72" s="7">
        <f t="shared" si="13"/>
        <v>-461346618</v>
      </c>
      <c r="W72" s="23">
        <f>SUMIFS('Tong_hop_HQNV_2026Q1_2026-06-23'!$L:$L,'Tong_hop_HQNV_2026Q1_2026-06-23'!$B:$B, "="&amp;'CHECK_DT-BT'!A72, 'Tong_hop_HQNV_2026Q1_2026-06-23'!$A:$A, "="&amp;'CHECK_DT-BT'!$W$2)</f>
        <v>731147000</v>
      </c>
      <c r="X72" s="7">
        <f>SUMIFS('Tong_hop_HQNV_2026Q1_2026-06-23'!$L:$L,'Tong_hop_HQNV_2026Q1_2026-06-23'!$B:$B, "="&amp;'CHECK_DT-BT'!A72, 'Tong_hop_HQNV_2026Q1_2026-06-23'!$A:$A, "="&amp;'CHECK_DT-BT'!$X$2)</f>
        <v>1163775296</v>
      </c>
      <c r="Y72" s="7">
        <f>SUMIFS('Tong_hop_HQNV_2026Q1_2026-06-23'!$L:$L,'Tong_hop_HQNV_2026Q1_2026-06-23'!$B:$B, "="&amp;'CHECK_DT-BT'!A72, 'Tong_hop_HQNV_2026Q1_2026-06-23'!$A:$A, "="&amp;'CHECK_DT-BT'!$Y$2)</f>
        <v>8536444336</v>
      </c>
      <c r="Z72" s="7">
        <f>SUMIFS('Tong_hop_HQNV_2026Q1_2026-06-23'!$L:$L,'Tong_hop_HQNV_2026Q1_2026-06-23'!$B:$B, "="&amp;'CHECK_DT-BT'!A72, 'Tong_hop_HQNV_2026Q1_2026-06-23'!$A:$A, "="&amp;'CHECK_DT-BT'!$Z$2)</f>
        <v>6017789217</v>
      </c>
      <c r="AA72" s="7">
        <f>SUMIFS('Tong_hop_HQNV_2026Q1_2026-06-23'!$L:$L,'Tong_hop_HQNV_2026Q1_2026-06-23'!$B:$B, "="&amp;'CHECK_DT-BT'!A72, 'Tong_hop_HQNV_2026Q1_2026-06-23'!$A:$A, "="&amp;$AA$2)</f>
        <v>307117773</v>
      </c>
      <c r="AB72" s="7">
        <f>SUMIFS('Tong_hop_HQNV_2026Q1_2026-06-23'!$L:$L,'Tong_hop_HQNV_2026Q1_2026-06-23'!$B:$B, "="&amp;'CHECK_DT-BT'!A72, 'Tong_hop_HQNV_2026Q1_2026-06-23'!$A:$A, "="&amp;$AB$2)</f>
        <v>0</v>
      </c>
      <c r="AC72" s="7">
        <f>SUMIFS('Tong_hop_HQNV_2026Q1_2026-06-23'!$L:$L,'Tong_hop_HQNV_2026Q1_2026-06-23'!$B:$B, "="&amp;'CHECK_DT-BT'!A72, 'Tong_hop_HQNV_2026Q1_2026-06-23'!$A:$A, "="&amp;$AC$2)</f>
        <v>0</v>
      </c>
      <c r="AD72" s="7">
        <f>SUMIFS('Tong_hop_HQNV_2026Q1_2026-06-23'!$L:$L,'Tong_hop_HQNV_2026Q1_2026-06-23'!$B:$B, "="&amp;'CHECK_DT-BT'!A72, 'Tong_hop_HQNV_2026Q1_2026-06-23'!$A:$A, "="&amp;$AD$2)</f>
        <v>0</v>
      </c>
      <c r="AE72" s="7">
        <f>SUMIFS('Tong_hop_HQNV_2026Q1_2026-06-23'!$L:$L,'Tong_hop_HQNV_2026Q1_2026-06-23'!$B:$B, "="&amp;'CHECK_DT-BT'!A72, 'Tong_hop_HQNV_2026Q1_2026-06-23'!$A:$A, "="&amp;$AE$2)</f>
        <v>764974277</v>
      </c>
      <c r="AF72" s="7">
        <f>SUMIFS('Tong_hop_HQNV_2026Q1_2026-06-23'!$L:$L,'Tong_hop_HQNV_2026Q1_2026-06-23'!$B:$B, "="&amp;'CHECK_DT-BT'!A72, 'Tong_hop_HQNV_2026Q1_2026-06-23'!$A:$A, "="&amp;$AF$2)</f>
        <v>5610000</v>
      </c>
      <c r="AG72" s="7">
        <f>SUMIFS('Tong_hop_HQNV_2026Q1_2026-06-23'!$L:$L,'Tong_hop_HQNV_2026Q1_2026-06-23'!$B:$B, "="&amp;'CHECK_DT-BT'!A72, 'Tong_hop_HQNV_2026Q1_2026-06-23'!$A:$A, "="&amp;$AG$2)</f>
        <v>0</v>
      </c>
      <c r="AH72" s="7">
        <f>SUMIFS('Tong_hop_HQNV_2026Q1_2026-06-23'!$L:$L,'Tong_hop_HQNV_2026Q1_2026-06-23'!$B:$B, "="&amp;'CHECK_DT-BT'!A72, 'Tong_hop_HQNV_2026Q1_2026-06-23'!$A:$A, "="&amp;$AH$2)</f>
        <v>0</v>
      </c>
      <c r="AI72" s="7">
        <f>SUMIFS('Tong_hop_HQNV_2026Q1_2026-06-23'!$L:$L,'Tong_hop_HQNV_2026Q1_2026-06-23'!$B:$B, "="&amp;'CHECK_DT-BT'!A72, 'Tong_hop_HQNV_2026Q1_2026-06-23'!$A:$A, "="&amp;$AI$2)</f>
        <v>0</v>
      </c>
      <c r="AJ72" s="7">
        <f t="shared" si="14"/>
        <v>16449155849</v>
      </c>
      <c r="AK72" s="7">
        <f t="shared" si="15"/>
        <v>1077702050</v>
      </c>
      <c r="AL72" s="7">
        <f>SUMIFS('HQ1'!$D:$D,'HQ1'!$A:$A, "="&amp;'CHECK_DT-BT'!C72, 'HQ1'!$B:$B, "Total")</f>
        <v>16449155849</v>
      </c>
      <c r="AM72" s="7">
        <f>SUMIFS('HQ2'!$J:$J,'HQ2'!$A:$A, "="&amp;'CHECK_DT-BT'!C72, 'HQ2'!$B:$B, "Total")</f>
        <v>1074239506</v>
      </c>
      <c r="AN72" s="24">
        <f t="shared" si="16"/>
        <v>0</v>
      </c>
      <c r="AO72" s="24">
        <f t="shared" si="17"/>
        <v>3462544</v>
      </c>
    </row>
    <row r="73" spans="1:41" x14ac:dyDescent="0.25">
      <c r="A73" s="9" t="s">
        <v>353</v>
      </c>
      <c r="B73" t="s">
        <v>211</v>
      </c>
      <c r="C73" t="s">
        <v>97</v>
      </c>
      <c r="D73" s="7">
        <f>SUMIFS('Tong_hop_HQNV_2026Q1_2026-06-23'!$K:$K,'Tong_hop_HQNV_2026Q1_2026-06-23'!$A:$A,"="&amp;'CHECK_DT-BT'!$D$2,'Tong_hop_HQNV_2026Q1_2026-06-23'!$B:$B, "="&amp;'CHECK_DT-BT'!A73)</f>
        <v>3517306077</v>
      </c>
      <c r="E73" s="7">
        <f>SUMIFS('Tong_hop_HQNV_2026Q1_2026-06-23'!$K:$K,'Tong_hop_HQNV_2026Q1_2026-06-23'!$A:$A,"="&amp;'CHECK_DT-BT'!$E$2,'Tong_hop_HQNV_2026Q1_2026-06-23'!$B:$B, "="&amp;'CHECK_DT-BT'!A73)</f>
        <v>19682900</v>
      </c>
      <c r="F73" s="7">
        <f>SUMIFS('Tong_hop_HQNV_2026Q1_2026-06-23'!$K:$K,'Tong_hop_HQNV_2026Q1_2026-06-23'!$A:$A,"="&amp;'CHECK_DT-BT'!$F$2,'Tong_hop_HQNV_2026Q1_2026-06-23'!$B:$B, "="&amp;'CHECK_DT-BT'!A73)</f>
        <v>5016010720</v>
      </c>
      <c r="G73" s="7">
        <f>SUMIFS('Tong_hop_HQNV_2026Q1_2026-06-23'!$K:$K,'Tong_hop_HQNV_2026Q1_2026-06-23'!$A:$A,"="&amp;'CHECK_DT-BT'!$G$2,'Tong_hop_HQNV_2026Q1_2026-06-23'!$B:$B, "="&amp;'CHECK_DT-BT'!A73)</f>
        <v>409181300</v>
      </c>
      <c r="H73" s="7">
        <f>SUMIFS('Tong_hop_HQNV_2026Q1_2026-06-23'!$K:$K,'Tong_hop_HQNV_2026Q1_2026-06-23'!$A:$A,"="&amp;$H$2,'Tong_hop_HQNV_2026Q1_2026-06-23'!$B:$B, "="&amp;'CHECK_DT-BT'!A73)</f>
        <v>0</v>
      </c>
      <c r="I73" s="7">
        <f>SUMIFS('Tong_hop_HQNV_2026Q1_2026-06-23'!$K:$K,'Tong_hop_HQNV_2026Q1_2026-06-23'!$A:$A,"="&amp;$I$2,'Tong_hop_HQNV_2026Q1_2026-06-23'!$B:$B, "="&amp;'CHECK_DT-BT'!A73)</f>
        <v>1329255158</v>
      </c>
      <c r="J73" s="7">
        <f>SUMIFS('Tong_hop_HQNV_2026Q1_2026-06-23'!$K:$K,'Tong_hop_HQNV_2026Q1_2026-06-23'!$A:$A,"="&amp;$J$2,'Tong_hop_HQNV_2026Q1_2026-06-23'!$B:$B, "="&amp;'CHECK_DT-BT'!A73)</f>
        <v>530493749</v>
      </c>
      <c r="K73" s="7">
        <f>SUMIFS('Tong_hop_HQNV_2026Q1_2026-06-23'!$K:$K,'Tong_hop_HQNV_2026Q1_2026-06-23'!$A:$A,"="&amp;$K$2,'Tong_hop_HQNV_2026Q1_2026-06-23'!$B:$B, "="&amp;'CHECK_DT-BT'!A73)</f>
        <v>95454546</v>
      </c>
      <c r="L73" s="7">
        <f>SUMIFS('Tong_hop_HQNV_2026Q1_2026-06-23'!$K:$K,'Tong_hop_HQNV_2026Q1_2026-06-23'!$A:$A,"="&amp;$L$2,'Tong_hop_HQNV_2026Q1_2026-06-23'!$B:$B, "="&amp;'CHECK_DT-BT'!A73)</f>
        <v>863578146</v>
      </c>
      <c r="M73" s="7">
        <f>SUMIFS('Tong_hop_HQNV_2026Q1_2026-06-23'!$K:$K,'Tong_hop_HQNV_2026Q1_2026-06-23'!$A:$A,"="&amp;$M$2,'Tong_hop_HQNV_2026Q1_2026-06-23'!$B:$B, "="&amp;'CHECK_DT-BT'!A73)</f>
        <v>307104175</v>
      </c>
      <c r="N73" s="7">
        <f>SUMIFS('Tong_hop_HQNV_2026Q1_2026-06-23'!$K:$K,'Tong_hop_HQNV_2026Q1_2026-06-23'!$A:$A,"="&amp;$N$2,'Tong_hop_HQNV_2026Q1_2026-06-23'!$B:$B, "="&amp;'CHECK_DT-BT'!A73)</f>
        <v>21000000</v>
      </c>
      <c r="O73" s="7">
        <f>SUMIFS('Tong_hop_HQNV_2026Q1_2026-06-23'!$K:$K,'Tong_hop_HQNV_2026Q1_2026-06-23'!$A:$A,"="&amp;$O$2,'Tong_hop_HQNV_2026Q1_2026-06-23'!$B:$B, "="&amp;'CHECK_DT-BT'!A73)</f>
        <v>0</v>
      </c>
      <c r="P73" s="7">
        <f>SUMIFS('Tong_hop_HQNV_2026Q1_2026-06-23'!$K:$K,'Tong_hop_HQNV_2026Q1_2026-06-23'!$A:$A,"="&amp;$P$2,'Tong_hop_HQNV_2026Q1_2026-06-23'!$B:$B, "="&amp;'CHECK_DT-BT'!A73)</f>
        <v>0</v>
      </c>
      <c r="Q73" s="7">
        <f t="shared" si="10"/>
        <v>8962180997</v>
      </c>
      <c r="R73" s="7">
        <f t="shared" si="11"/>
        <v>3146885774</v>
      </c>
      <c r="S73" s="7">
        <f>SUMIFS('HQ1'!$C:$C,'HQ1'!$A:$A, "="&amp;'CHECK_DT-BT'!C73, 'HQ1'!$B:$B, "Total")</f>
        <v>8962180997</v>
      </c>
      <c r="T73" s="7">
        <f>SUMIFS('HQ2'!$C:$C,'HQ2'!$A:$A, "="&amp;'CHECK_DT-BT'!C73, 'HQ2'!$B:$B, "Total")</f>
        <v>3146885774</v>
      </c>
      <c r="U73" s="7">
        <f t="shared" si="12"/>
        <v>0</v>
      </c>
      <c r="V73" s="7">
        <f t="shared" si="13"/>
        <v>0</v>
      </c>
      <c r="W73" s="23">
        <f>SUMIFS('Tong_hop_HQNV_2026Q1_2026-06-23'!$L:$L,'Tong_hop_HQNV_2026Q1_2026-06-23'!$B:$B, "="&amp;'CHECK_DT-BT'!A73, 'Tong_hop_HQNV_2026Q1_2026-06-23'!$A:$A, "="&amp;'CHECK_DT-BT'!$W$2)</f>
        <v>2795106000</v>
      </c>
      <c r="X73" s="7">
        <f>SUMIFS('Tong_hop_HQNV_2026Q1_2026-06-23'!$L:$L,'Tong_hop_HQNV_2026Q1_2026-06-23'!$B:$B, "="&amp;'CHECK_DT-BT'!A73, 'Tong_hop_HQNV_2026Q1_2026-06-23'!$A:$A, "="&amp;'CHECK_DT-BT'!$X$2)</f>
        <v>0</v>
      </c>
      <c r="Y73" s="7">
        <f>SUMIFS('Tong_hop_HQNV_2026Q1_2026-06-23'!$L:$L,'Tong_hop_HQNV_2026Q1_2026-06-23'!$B:$B, "="&amp;'CHECK_DT-BT'!A73, 'Tong_hop_HQNV_2026Q1_2026-06-23'!$A:$A, "="&amp;'CHECK_DT-BT'!$Y$2)</f>
        <v>2002002982</v>
      </c>
      <c r="Z73" s="7">
        <f>SUMIFS('Tong_hop_HQNV_2026Q1_2026-06-23'!$L:$L,'Tong_hop_HQNV_2026Q1_2026-06-23'!$B:$B, "="&amp;'CHECK_DT-BT'!A73, 'Tong_hop_HQNV_2026Q1_2026-06-23'!$A:$A, "="&amp;'CHECK_DT-BT'!$Z$2)</f>
        <v>119394839</v>
      </c>
      <c r="AA73" s="7">
        <f>SUMIFS('Tong_hop_HQNV_2026Q1_2026-06-23'!$L:$L,'Tong_hop_HQNV_2026Q1_2026-06-23'!$B:$B, "="&amp;'CHECK_DT-BT'!A73, 'Tong_hop_HQNV_2026Q1_2026-06-23'!$A:$A, "="&amp;$AA$2)</f>
        <v>0</v>
      </c>
      <c r="AB73" s="7">
        <f>SUMIFS('Tong_hop_HQNV_2026Q1_2026-06-23'!$L:$L,'Tong_hop_HQNV_2026Q1_2026-06-23'!$B:$B, "="&amp;'CHECK_DT-BT'!A73, 'Tong_hop_HQNV_2026Q1_2026-06-23'!$A:$A, "="&amp;$AB$2)</f>
        <v>25486590</v>
      </c>
      <c r="AC73" s="7">
        <f>SUMIFS('Tong_hop_HQNV_2026Q1_2026-06-23'!$L:$L,'Tong_hop_HQNV_2026Q1_2026-06-23'!$B:$B, "="&amp;'CHECK_DT-BT'!A73, 'Tong_hop_HQNV_2026Q1_2026-06-23'!$A:$A, "="&amp;$AC$2)</f>
        <v>0</v>
      </c>
      <c r="AD73" s="7">
        <f>SUMIFS('Tong_hop_HQNV_2026Q1_2026-06-23'!$L:$L,'Tong_hop_HQNV_2026Q1_2026-06-23'!$B:$B, "="&amp;'CHECK_DT-BT'!A73, 'Tong_hop_HQNV_2026Q1_2026-06-23'!$A:$A, "="&amp;$AD$2)</f>
        <v>0</v>
      </c>
      <c r="AE73" s="7">
        <f>SUMIFS('Tong_hop_HQNV_2026Q1_2026-06-23'!$L:$L,'Tong_hop_HQNV_2026Q1_2026-06-23'!$B:$B, "="&amp;'CHECK_DT-BT'!A73, 'Tong_hop_HQNV_2026Q1_2026-06-23'!$A:$A, "="&amp;$AE$2)</f>
        <v>0</v>
      </c>
      <c r="AF73" s="7">
        <f>SUMIFS('Tong_hop_HQNV_2026Q1_2026-06-23'!$L:$L,'Tong_hop_HQNV_2026Q1_2026-06-23'!$B:$B, "="&amp;'CHECK_DT-BT'!A73, 'Tong_hop_HQNV_2026Q1_2026-06-23'!$A:$A, "="&amp;$AF$2)</f>
        <v>0</v>
      </c>
      <c r="AG73" s="7">
        <f>SUMIFS('Tong_hop_HQNV_2026Q1_2026-06-23'!$L:$L,'Tong_hop_HQNV_2026Q1_2026-06-23'!$B:$B, "="&amp;'CHECK_DT-BT'!A73, 'Tong_hop_HQNV_2026Q1_2026-06-23'!$A:$A, "="&amp;$AG$2)</f>
        <v>0</v>
      </c>
      <c r="AH73" s="7">
        <f>SUMIFS('Tong_hop_HQNV_2026Q1_2026-06-23'!$L:$L,'Tong_hop_HQNV_2026Q1_2026-06-23'!$B:$B, "="&amp;'CHECK_DT-BT'!A73, 'Tong_hop_HQNV_2026Q1_2026-06-23'!$A:$A, "="&amp;$AH$2)</f>
        <v>0</v>
      </c>
      <c r="AI73" s="7">
        <f>SUMIFS('Tong_hop_HQNV_2026Q1_2026-06-23'!$L:$L,'Tong_hop_HQNV_2026Q1_2026-06-23'!$B:$B, "="&amp;'CHECK_DT-BT'!A73, 'Tong_hop_HQNV_2026Q1_2026-06-23'!$A:$A, "="&amp;$AI$2)</f>
        <v>0</v>
      </c>
      <c r="AJ73" s="7">
        <f t="shared" si="14"/>
        <v>4916503821</v>
      </c>
      <c r="AK73" s="7">
        <f t="shared" si="15"/>
        <v>25486590</v>
      </c>
      <c r="AL73" s="7">
        <f>SUMIFS('HQ1'!$D:$D,'HQ1'!$A:$A, "="&amp;'CHECK_DT-BT'!C73, 'HQ1'!$B:$B, "Total")</f>
        <v>4916503821</v>
      </c>
      <c r="AM73" s="7">
        <f>SUMIFS('HQ2'!$J:$J,'HQ2'!$A:$A, "="&amp;'CHECK_DT-BT'!C73, 'HQ2'!$B:$B, "Total")</f>
        <v>25486590</v>
      </c>
      <c r="AN73" s="24">
        <f t="shared" si="16"/>
        <v>0</v>
      </c>
      <c r="AO73" s="24">
        <f t="shared" si="17"/>
        <v>0</v>
      </c>
    </row>
    <row r="74" spans="1:41" x14ac:dyDescent="0.25">
      <c r="A74" s="9" t="s">
        <v>354</v>
      </c>
      <c r="B74" t="s">
        <v>212</v>
      </c>
      <c r="C74" t="s">
        <v>51</v>
      </c>
      <c r="D74" s="7">
        <f>SUMIFS('Tong_hop_HQNV_2026Q1_2026-06-23'!$K:$K,'Tong_hop_HQNV_2026Q1_2026-06-23'!$A:$A,"="&amp;'CHECK_DT-BT'!$D$2,'Tong_hop_HQNV_2026Q1_2026-06-23'!$B:$B, "="&amp;'CHECK_DT-BT'!A74)</f>
        <v>1972162099</v>
      </c>
      <c r="E74" s="7">
        <f>SUMIFS('Tong_hop_HQNV_2026Q1_2026-06-23'!$K:$K,'Tong_hop_HQNV_2026Q1_2026-06-23'!$A:$A,"="&amp;'CHECK_DT-BT'!$E$2,'Tong_hop_HQNV_2026Q1_2026-06-23'!$B:$B, "="&amp;'CHECK_DT-BT'!A74)</f>
        <v>945665265</v>
      </c>
      <c r="F74" s="7">
        <f>SUMIFS('Tong_hop_HQNV_2026Q1_2026-06-23'!$K:$K,'Tong_hop_HQNV_2026Q1_2026-06-23'!$A:$A,"="&amp;'CHECK_DT-BT'!$F$2,'Tong_hop_HQNV_2026Q1_2026-06-23'!$B:$B, "="&amp;'CHECK_DT-BT'!A74)</f>
        <v>14635242048</v>
      </c>
      <c r="G74" s="7">
        <f>SUMIFS('Tong_hop_HQNV_2026Q1_2026-06-23'!$K:$K,'Tong_hop_HQNV_2026Q1_2026-06-23'!$A:$A,"="&amp;'CHECK_DT-BT'!$G$2,'Tong_hop_HQNV_2026Q1_2026-06-23'!$B:$B, "="&amp;'CHECK_DT-BT'!A74)</f>
        <v>42211297445</v>
      </c>
      <c r="H74" s="7">
        <f>SUMIFS('Tong_hop_HQNV_2026Q1_2026-06-23'!$K:$K,'Tong_hop_HQNV_2026Q1_2026-06-23'!$A:$A,"="&amp;$H$2,'Tong_hop_HQNV_2026Q1_2026-06-23'!$B:$B, "="&amp;'CHECK_DT-BT'!A74)</f>
        <v>5242002145</v>
      </c>
      <c r="I74" s="7">
        <f>SUMIFS('Tong_hop_HQNV_2026Q1_2026-06-23'!$K:$K,'Tong_hop_HQNV_2026Q1_2026-06-23'!$A:$A,"="&amp;$I$2,'Tong_hop_HQNV_2026Q1_2026-06-23'!$B:$B, "="&amp;'CHECK_DT-BT'!A74)</f>
        <v>8712036705</v>
      </c>
      <c r="J74" s="7">
        <f>SUMIFS('Tong_hop_HQNV_2026Q1_2026-06-23'!$K:$K,'Tong_hop_HQNV_2026Q1_2026-06-23'!$A:$A,"="&amp;$J$2,'Tong_hop_HQNV_2026Q1_2026-06-23'!$B:$B, "="&amp;'CHECK_DT-BT'!A74)</f>
        <v>3088467662</v>
      </c>
      <c r="K74" s="7">
        <f>SUMIFS('Tong_hop_HQNV_2026Q1_2026-06-23'!$K:$K,'Tong_hop_HQNV_2026Q1_2026-06-23'!$A:$A,"="&amp;$K$2,'Tong_hop_HQNV_2026Q1_2026-06-23'!$B:$B, "="&amp;'CHECK_DT-BT'!A74)</f>
        <v>744911619</v>
      </c>
      <c r="L74" s="7">
        <f>SUMIFS('Tong_hop_HQNV_2026Q1_2026-06-23'!$K:$K,'Tong_hop_HQNV_2026Q1_2026-06-23'!$A:$A,"="&amp;$L$2,'Tong_hop_HQNV_2026Q1_2026-06-23'!$B:$B, "="&amp;'CHECK_DT-BT'!A74)</f>
        <v>8885872378</v>
      </c>
      <c r="M74" s="7">
        <f>SUMIFS('Tong_hop_HQNV_2026Q1_2026-06-23'!$K:$K,'Tong_hop_HQNV_2026Q1_2026-06-23'!$A:$A,"="&amp;$M$2,'Tong_hop_HQNV_2026Q1_2026-06-23'!$B:$B, "="&amp;'CHECK_DT-BT'!A74)</f>
        <v>2420019864</v>
      </c>
      <c r="N74" s="7">
        <f>SUMIFS('Tong_hop_HQNV_2026Q1_2026-06-23'!$K:$K,'Tong_hop_HQNV_2026Q1_2026-06-23'!$A:$A,"="&amp;$N$2,'Tong_hop_HQNV_2026Q1_2026-06-23'!$B:$B, "="&amp;'CHECK_DT-BT'!A74)</f>
        <v>836791851</v>
      </c>
      <c r="O74" s="7">
        <f>SUMIFS('Tong_hop_HQNV_2026Q1_2026-06-23'!$K:$K,'Tong_hop_HQNV_2026Q1_2026-06-23'!$A:$A,"="&amp;$O$2,'Tong_hop_HQNV_2026Q1_2026-06-23'!$B:$B, "="&amp;'CHECK_DT-BT'!A74)</f>
        <v>0</v>
      </c>
      <c r="P74" s="7">
        <f>SUMIFS('Tong_hop_HQNV_2026Q1_2026-06-23'!$K:$K,'Tong_hop_HQNV_2026Q1_2026-06-23'!$A:$A,"="&amp;$P$2,'Tong_hop_HQNV_2026Q1_2026-06-23'!$B:$B, "="&amp;'CHECK_DT-BT'!A74)</f>
        <v>0</v>
      </c>
      <c r="Q74" s="7">
        <f t="shared" si="10"/>
        <v>59764366857</v>
      </c>
      <c r="R74" s="7">
        <f t="shared" si="11"/>
        <v>29930102224</v>
      </c>
      <c r="S74" s="7">
        <f>SUMIFS('HQ1'!$C:$C,'HQ1'!$A:$A, "="&amp;'CHECK_DT-BT'!C74, 'HQ1'!$B:$B, "Total")</f>
        <v>59764646857</v>
      </c>
      <c r="T74" s="7">
        <f>SUMIFS('HQ2'!$C:$C,'HQ2'!$A:$A, "="&amp;'CHECK_DT-BT'!C74, 'HQ2'!$B:$B, "Total")</f>
        <v>29930102224</v>
      </c>
      <c r="U74" s="7">
        <f t="shared" si="12"/>
        <v>-280000</v>
      </c>
      <c r="V74" s="7">
        <f t="shared" si="13"/>
        <v>0</v>
      </c>
      <c r="W74" s="23">
        <f>SUMIFS('Tong_hop_HQNV_2026Q1_2026-06-23'!$L:$L,'Tong_hop_HQNV_2026Q1_2026-06-23'!$B:$B, "="&amp;'CHECK_DT-BT'!A74, 'Tong_hop_HQNV_2026Q1_2026-06-23'!$A:$A, "="&amp;'CHECK_DT-BT'!$W$2)</f>
        <v>128877882</v>
      </c>
      <c r="X74" s="7">
        <f>SUMIFS('Tong_hop_HQNV_2026Q1_2026-06-23'!$L:$L,'Tong_hop_HQNV_2026Q1_2026-06-23'!$B:$B, "="&amp;'CHECK_DT-BT'!A74, 'Tong_hop_HQNV_2026Q1_2026-06-23'!$A:$A, "="&amp;'CHECK_DT-BT'!$X$2)</f>
        <v>124678214</v>
      </c>
      <c r="Y74" s="7">
        <f>SUMIFS('Tong_hop_HQNV_2026Q1_2026-06-23'!$L:$L,'Tong_hop_HQNV_2026Q1_2026-06-23'!$B:$B, "="&amp;'CHECK_DT-BT'!A74, 'Tong_hop_HQNV_2026Q1_2026-06-23'!$A:$A, "="&amp;'CHECK_DT-BT'!$Y$2)</f>
        <v>6897086279</v>
      </c>
      <c r="Z74" s="7">
        <f>SUMIFS('Tong_hop_HQNV_2026Q1_2026-06-23'!$L:$L,'Tong_hop_HQNV_2026Q1_2026-06-23'!$B:$B, "="&amp;'CHECK_DT-BT'!A74, 'Tong_hop_HQNV_2026Q1_2026-06-23'!$A:$A, "="&amp;'CHECK_DT-BT'!$Z$2)</f>
        <v>17138888707</v>
      </c>
      <c r="AA74" s="7">
        <f>SUMIFS('Tong_hop_HQNV_2026Q1_2026-06-23'!$L:$L,'Tong_hop_HQNV_2026Q1_2026-06-23'!$B:$B, "="&amp;'CHECK_DT-BT'!A74, 'Tong_hop_HQNV_2026Q1_2026-06-23'!$A:$A, "="&amp;$AA$2)</f>
        <v>432845669</v>
      </c>
      <c r="AB74" s="7">
        <f>SUMIFS('Tong_hop_HQNV_2026Q1_2026-06-23'!$L:$L,'Tong_hop_HQNV_2026Q1_2026-06-23'!$B:$B, "="&amp;'CHECK_DT-BT'!A74, 'Tong_hop_HQNV_2026Q1_2026-06-23'!$A:$A, "="&amp;$AB$2)</f>
        <v>645806840</v>
      </c>
      <c r="AC74" s="7">
        <f>SUMIFS('Tong_hop_HQNV_2026Q1_2026-06-23'!$L:$L,'Tong_hop_HQNV_2026Q1_2026-06-23'!$B:$B, "="&amp;'CHECK_DT-BT'!A74, 'Tong_hop_HQNV_2026Q1_2026-06-23'!$A:$A, "="&amp;$AC$2)</f>
        <v>0</v>
      </c>
      <c r="AD74" s="7">
        <f>SUMIFS('Tong_hop_HQNV_2026Q1_2026-06-23'!$L:$L,'Tong_hop_HQNV_2026Q1_2026-06-23'!$B:$B, "="&amp;'CHECK_DT-BT'!A74, 'Tong_hop_HQNV_2026Q1_2026-06-23'!$A:$A, "="&amp;$AD$2)</f>
        <v>0</v>
      </c>
      <c r="AE74" s="7">
        <f>SUMIFS('Tong_hop_HQNV_2026Q1_2026-06-23'!$L:$L,'Tong_hop_HQNV_2026Q1_2026-06-23'!$B:$B, "="&amp;'CHECK_DT-BT'!A74, 'Tong_hop_HQNV_2026Q1_2026-06-23'!$A:$A, "="&amp;$AE$2)</f>
        <v>8168033003</v>
      </c>
      <c r="AF74" s="7">
        <f>SUMIFS('Tong_hop_HQNV_2026Q1_2026-06-23'!$L:$L,'Tong_hop_HQNV_2026Q1_2026-06-23'!$B:$B, "="&amp;'CHECK_DT-BT'!A74, 'Tong_hop_HQNV_2026Q1_2026-06-23'!$A:$A, "="&amp;$AF$2)</f>
        <v>17987068</v>
      </c>
      <c r="AG74" s="7">
        <f>SUMIFS('Tong_hop_HQNV_2026Q1_2026-06-23'!$L:$L,'Tong_hop_HQNV_2026Q1_2026-06-23'!$B:$B, "="&amp;'CHECK_DT-BT'!A74, 'Tong_hop_HQNV_2026Q1_2026-06-23'!$A:$A, "="&amp;$AG$2)</f>
        <v>7992607</v>
      </c>
      <c r="AH74" s="7">
        <f>SUMIFS('Tong_hop_HQNV_2026Q1_2026-06-23'!$L:$L,'Tong_hop_HQNV_2026Q1_2026-06-23'!$B:$B, "="&amp;'CHECK_DT-BT'!A74, 'Tong_hop_HQNV_2026Q1_2026-06-23'!$A:$A, "="&amp;$AH$2)</f>
        <v>0</v>
      </c>
      <c r="AI74" s="7">
        <f>SUMIFS('Tong_hop_HQNV_2026Q1_2026-06-23'!$L:$L,'Tong_hop_HQNV_2026Q1_2026-06-23'!$B:$B, "="&amp;'CHECK_DT-BT'!A74, 'Tong_hop_HQNV_2026Q1_2026-06-23'!$A:$A, "="&amp;$AI$2)</f>
        <v>0</v>
      </c>
      <c r="AJ74" s="7">
        <f t="shared" si="14"/>
        <v>24289531082</v>
      </c>
      <c r="AK74" s="7">
        <f t="shared" si="15"/>
        <v>9272665187</v>
      </c>
      <c r="AL74" s="7">
        <f>SUMIFS('HQ1'!$D:$D,'HQ1'!$A:$A, "="&amp;'CHECK_DT-BT'!C74, 'HQ1'!$B:$B, "Total")</f>
        <v>24289531082</v>
      </c>
      <c r="AM74" s="7">
        <f>SUMIFS('HQ2'!$J:$J,'HQ2'!$A:$A, "="&amp;'CHECK_DT-BT'!C74, 'HQ2'!$B:$B, "Total")</f>
        <v>9272665187</v>
      </c>
      <c r="AN74" s="24">
        <f t="shared" si="16"/>
        <v>0</v>
      </c>
      <c r="AO74" s="24">
        <f t="shared" si="17"/>
        <v>0</v>
      </c>
    </row>
    <row r="75" spans="1:41" x14ac:dyDescent="0.25">
      <c r="A75" s="9" t="s">
        <v>355</v>
      </c>
      <c r="B75" t="s">
        <v>213</v>
      </c>
      <c r="C75" t="s">
        <v>109</v>
      </c>
      <c r="D75" s="7">
        <f>SUMIFS('Tong_hop_HQNV_2026Q1_2026-06-23'!$K:$K,'Tong_hop_HQNV_2026Q1_2026-06-23'!$A:$A,"="&amp;'CHECK_DT-BT'!$D$2,'Tong_hop_HQNV_2026Q1_2026-06-23'!$B:$B, "="&amp;'CHECK_DT-BT'!A75)</f>
        <v>3237376471</v>
      </c>
      <c r="E75" s="7">
        <f>SUMIFS('Tong_hop_HQNV_2026Q1_2026-06-23'!$K:$K,'Tong_hop_HQNV_2026Q1_2026-06-23'!$A:$A,"="&amp;'CHECK_DT-BT'!$E$2,'Tong_hop_HQNV_2026Q1_2026-06-23'!$B:$B, "="&amp;'CHECK_DT-BT'!A75)</f>
        <v>71911765</v>
      </c>
      <c r="F75" s="7">
        <f>SUMIFS('Tong_hop_HQNV_2026Q1_2026-06-23'!$K:$K,'Tong_hop_HQNV_2026Q1_2026-06-23'!$A:$A,"="&amp;'CHECK_DT-BT'!$F$2,'Tong_hop_HQNV_2026Q1_2026-06-23'!$B:$B, "="&amp;'CHECK_DT-BT'!A75)</f>
        <v>4834695247</v>
      </c>
      <c r="G75" s="7">
        <f>SUMIFS('Tong_hop_HQNV_2026Q1_2026-06-23'!$K:$K,'Tong_hop_HQNV_2026Q1_2026-06-23'!$A:$A,"="&amp;'CHECK_DT-BT'!$G$2,'Tong_hop_HQNV_2026Q1_2026-06-23'!$B:$B, "="&amp;'CHECK_DT-BT'!A75)</f>
        <v>2686227105</v>
      </c>
      <c r="H75" s="7">
        <f>SUMIFS('Tong_hop_HQNV_2026Q1_2026-06-23'!$K:$K,'Tong_hop_HQNV_2026Q1_2026-06-23'!$A:$A,"="&amp;$H$2,'Tong_hop_HQNV_2026Q1_2026-06-23'!$B:$B, "="&amp;'CHECK_DT-BT'!A75)</f>
        <v>176161679</v>
      </c>
      <c r="I75" s="7">
        <f>SUMIFS('Tong_hop_HQNV_2026Q1_2026-06-23'!$K:$K,'Tong_hop_HQNV_2026Q1_2026-06-23'!$A:$A,"="&amp;$I$2,'Tong_hop_HQNV_2026Q1_2026-06-23'!$B:$B, "="&amp;'CHECK_DT-BT'!A75)</f>
        <v>0</v>
      </c>
      <c r="J75" s="7">
        <f>SUMIFS('Tong_hop_HQNV_2026Q1_2026-06-23'!$K:$K,'Tong_hop_HQNV_2026Q1_2026-06-23'!$A:$A,"="&amp;$J$2,'Tong_hop_HQNV_2026Q1_2026-06-23'!$B:$B, "="&amp;'CHECK_DT-BT'!A75)</f>
        <v>0</v>
      </c>
      <c r="K75" s="7">
        <f>SUMIFS('Tong_hop_HQNV_2026Q1_2026-06-23'!$K:$K,'Tong_hop_HQNV_2026Q1_2026-06-23'!$A:$A,"="&amp;$K$2,'Tong_hop_HQNV_2026Q1_2026-06-23'!$B:$B, "="&amp;'CHECK_DT-BT'!A75)</f>
        <v>320325503</v>
      </c>
      <c r="L75" s="7">
        <f>SUMIFS('Tong_hop_HQNV_2026Q1_2026-06-23'!$K:$K,'Tong_hop_HQNV_2026Q1_2026-06-23'!$A:$A,"="&amp;$L$2,'Tong_hop_HQNV_2026Q1_2026-06-23'!$B:$B, "="&amp;'CHECK_DT-BT'!A75)</f>
        <v>677968982</v>
      </c>
      <c r="M75" s="7">
        <f>SUMIFS('Tong_hop_HQNV_2026Q1_2026-06-23'!$K:$K,'Tong_hop_HQNV_2026Q1_2026-06-23'!$A:$A,"="&amp;$M$2,'Tong_hop_HQNV_2026Q1_2026-06-23'!$B:$B, "="&amp;'CHECK_DT-BT'!A75)</f>
        <v>26048999</v>
      </c>
      <c r="N75" s="7">
        <f>SUMIFS('Tong_hop_HQNV_2026Q1_2026-06-23'!$K:$K,'Tong_hop_HQNV_2026Q1_2026-06-23'!$A:$A,"="&amp;$N$2,'Tong_hop_HQNV_2026Q1_2026-06-23'!$B:$B, "="&amp;'CHECK_DT-BT'!A75)</f>
        <v>2000000</v>
      </c>
      <c r="O75" s="7">
        <f>SUMIFS('Tong_hop_HQNV_2026Q1_2026-06-23'!$K:$K,'Tong_hop_HQNV_2026Q1_2026-06-23'!$A:$A,"="&amp;$O$2,'Tong_hop_HQNV_2026Q1_2026-06-23'!$B:$B, "="&amp;'CHECK_DT-BT'!A75)</f>
        <v>0</v>
      </c>
      <c r="P75" s="7">
        <f>SUMIFS('Tong_hop_HQNV_2026Q1_2026-06-23'!$K:$K,'Tong_hop_HQNV_2026Q1_2026-06-23'!$A:$A,"="&amp;$P$2,'Tong_hop_HQNV_2026Q1_2026-06-23'!$B:$B, "="&amp;'CHECK_DT-BT'!A75)</f>
        <v>0</v>
      </c>
      <c r="Q75" s="7">
        <f t="shared" si="10"/>
        <v>10830210588</v>
      </c>
      <c r="R75" s="7">
        <f t="shared" si="11"/>
        <v>1202505163</v>
      </c>
      <c r="S75" s="7">
        <f>SUMIFS('HQ1'!$C:$C,'HQ1'!$A:$A, "="&amp;'CHECK_DT-BT'!C75, 'HQ1'!$B:$B, "Total")</f>
        <v>10830210588</v>
      </c>
      <c r="T75" s="7">
        <f>SUMIFS('HQ2'!$C:$C,'HQ2'!$A:$A, "="&amp;'CHECK_DT-BT'!C75, 'HQ2'!$B:$B, "Total")</f>
        <v>1202505163</v>
      </c>
      <c r="U75" s="7">
        <f t="shared" si="12"/>
        <v>0</v>
      </c>
      <c r="V75" s="7">
        <f t="shared" si="13"/>
        <v>0</v>
      </c>
      <c r="W75" s="23">
        <f>SUMIFS('Tong_hop_HQNV_2026Q1_2026-06-23'!$L:$L,'Tong_hop_HQNV_2026Q1_2026-06-23'!$B:$B, "="&amp;'CHECK_DT-BT'!A75, 'Tong_hop_HQNV_2026Q1_2026-06-23'!$A:$A, "="&amp;'CHECK_DT-BT'!$W$2)</f>
        <v>2027793873</v>
      </c>
      <c r="X75" s="7">
        <f>SUMIFS('Tong_hop_HQNV_2026Q1_2026-06-23'!$L:$L,'Tong_hop_HQNV_2026Q1_2026-06-23'!$B:$B, "="&amp;'CHECK_DT-BT'!A75, 'Tong_hop_HQNV_2026Q1_2026-06-23'!$A:$A, "="&amp;'CHECK_DT-BT'!$X$2)</f>
        <v>4044536</v>
      </c>
      <c r="Y75" s="7">
        <f>SUMIFS('Tong_hop_HQNV_2026Q1_2026-06-23'!$L:$L,'Tong_hop_HQNV_2026Q1_2026-06-23'!$B:$B, "="&amp;'CHECK_DT-BT'!A75, 'Tong_hop_HQNV_2026Q1_2026-06-23'!$A:$A, "="&amp;'CHECK_DT-BT'!$Y$2)</f>
        <v>2901333897</v>
      </c>
      <c r="Z75" s="7">
        <f>SUMIFS('Tong_hop_HQNV_2026Q1_2026-06-23'!$L:$L,'Tong_hop_HQNV_2026Q1_2026-06-23'!$B:$B, "="&amp;'CHECK_DT-BT'!A75, 'Tong_hop_HQNV_2026Q1_2026-06-23'!$A:$A, "="&amp;'CHECK_DT-BT'!$Z$2)</f>
        <v>938683435</v>
      </c>
      <c r="AA75" s="7">
        <f>SUMIFS('Tong_hop_HQNV_2026Q1_2026-06-23'!$L:$L,'Tong_hop_HQNV_2026Q1_2026-06-23'!$B:$B, "="&amp;'CHECK_DT-BT'!A75, 'Tong_hop_HQNV_2026Q1_2026-06-23'!$A:$A, "="&amp;$AA$2)</f>
        <v>0</v>
      </c>
      <c r="AB75" s="7">
        <f>SUMIFS('Tong_hop_HQNV_2026Q1_2026-06-23'!$L:$L,'Tong_hop_HQNV_2026Q1_2026-06-23'!$B:$B, "="&amp;'CHECK_DT-BT'!A75, 'Tong_hop_HQNV_2026Q1_2026-06-23'!$A:$A, "="&amp;$AB$2)</f>
        <v>0</v>
      </c>
      <c r="AC75" s="7">
        <f>SUMIFS('Tong_hop_HQNV_2026Q1_2026-06-23'!$L:$L,'Tong_hop_HQNV_2026Q1_2026-06-23'!$B:$B, "="&amp;'CHECK_DT-BT'!A75, 'Tong_hop_HQNV_2026Q1_2026-06-23'!$A:$A, "="&amp;$AC$2)</f>
        <v>0</v>
      </c>
      <c r="AD75" s="7">
        <f>SUMIFS('Tong_hop_HQNV_2026Q1_2026-06-23'!$L:$L,'Tong_hop_HQNV_2026Q1_2026-06-23'!$B:$B, "="&amp;'CHECK_DT-BT'!A75, 'Tong_hop_HQNV_2026Q1_2026-06-23'!$A:$A, "="&amp;$AD$2)</f>
        <v>-91046000</v>
      </c>
      <c r="AE75" s="7">
        <f>SUMIFS('Tong_hop_HQNV_2026Q1_2026-06-23'!$L:$L,'Tong_hop_HQNV_2026Q1_2026-06-23'!$B:$B, "="&amp;'CHECK_DT-BT'!A75, 'Tong_hop_HQNV_2026Q1_2026-06-23'!$A:$A, "="&amp;$AE$2)</f>
        <v>13550000</v>
      </c>
      <c r="AF75" s="7">
        <f>SUMIFS('Tong_hop_HQNV_2026Q1_2026-06-23'!$L:$L,'Tong_hop_HQNV_2026Q1_2026-06-23'!$B:$B, "="&amp;'CHECK_DT-BT'!A75, 'Tong_hop_HQNV_2026Q1_2026-06-23'!$A:$A, "="&amp;$AF$2)</f>
        <v>246241655</v>
      </c>
      <c r="AG75" s="7">
        <f>SUMIFS('Tong_hop_HQNV_2026Q1_2026-06-23'!$L:$L,'Tong_hop_HQNV_2026Q1_2026-06-23'!$B:$B, "="&amp;'CHECK_DT-BT'!A75, 'Tong_hop_HQNV_2026Q1_2026-06-23'!$A:$A, "="&amp;$AG$2)</f>
        <v>0</v>
      </c>
      <c r="AH75" s="7">
        <f>SUMIFS('Tong_hop_HQNV_2026Q1_2026-06-23'!$L:$L,'Tong_hop_HQNV_2026Q1_2026-06-23'!$B:$B, "="&amp;'CHECK_DT-BT'!A75, 'Tong_hop_HQNV_2026Q1_2026-06-23'!$A:$A, "="&amp;$AH$2)</f>
        <v>0</v>
      </c>
      <c r="AI75" s="7">
        <f>SUMIFS('Tong_hop_HQNV_2026Q1_2026-06-23'!$L:$L,'Tong_hop_HQNV_2026Q1_2026-06-23'!$B:$B, "="&amp;'CHECK_DT-BT'!A75, 'Tong_hop_HQNV_2026Q1_2026-06-23'!$A:$A, "="&amp;$AI$2)</f>
        <v>0</v>
      </c>
      <c r="AJ75" s="7">
        <f t="shared" si="14"/>
        <v>5871855741</v>
      </c>
      <c r="AK75" s="7">
        <f t="shared" si="15"/>
        <v>168745655</v>
      </c>
      <c r="AL75" s="7">
        <f>SUMIFS('HQ1'!$D:$D,'HQ1'!$A:$A, "="&amp;'CHECK_DT-BT'!C75, 'HQ1'!$B:$B, "Total")</f>
        <v>5871855741</v>
      </c>
      <c r="AM75" s="7">
        <f>SUMIFS('HQ2'!$J:$J,'HQ2'!$A:$A, "="&amp;'CHECK_DT-BT'!C75, 'HQ2'!$B:$B, "Total")</f>
        <v>168745655</v>
      </c>
      <c r="AN75" s="24">
        <f t="shared" si="16"/>
        <v>0</v>
      </c>
      <c r="AO75" s="24">
        <f t="shared" si="17"/>
        <v>0</v>
      </c>
    </row>
    <row r="76" spans="1:41" x14ac:dyDescent="0.25">
      <c r="A76" s="9" t="s">
        <v>356</v>
      </c>
      <c r="B76" t="s">
        <v>214</v>
      </c>
      <c r="C76" t="s">
        <v>80</v>
      </c>
      <c r="D76" s="7">
        <f>SUMIFS('Tong_hop_HQNV_2026Q1_2026-06-23'!$K:$K,'Tong_hop_HQNV_2026Q1_2026-06-23'!$A:$A,"="&amp;'CHECK_DT-BT'!$D$2,'Tong_hop_HQNV_2026Q1_2026-06-23'!$B:$B, "="&amp;'CHECK_DT-BT'!A76)</f>
        <v>2192254162</v>
      </c>
      <c r="E76" s="7">
        <f>SUMIFS('Tong_hop_HQNV_2026Q1_2026-06-23'!$K:$K,'Tong_hop_HQNV_2026Q1_2026-06-23'!$A:$A,"="&amp;'CHECK_DT-BT'!$E$2,'Tong_hop_HQNV_2026Q1_2026-06-23'!$B:$B, "="&amp;'CHECK_DT-BT'!A76)</f>
        <v>59082800</v>
      </c>
      <c r="F76" s="7">
        <f>SUMIFS('Tong_hop_HQNV_2026Q1_2026-06-23'!$K:$K,'Tong_hop_HQNV_2026Q1_2026-06-23'!$A:$A,"="&amp;'CHECK_DT-BT'!$F$2,'Tong_hop_HQNV_2026Q1_2026-06-23'!$B:$B, "="&amp;'CHECK_DT-BT'!A76)</f>
        <v>3434242487</v>
      </c>
      <c r="G76" s="7">
        <f>SUMIFS('Tong_hop_HQNV_2026Q1_2026-06-23'!$K:$K,'Tong_hop_HQNV_2026Q1_2026-06-23'!$A:$A,"="&amp;'CHECK_DT-BT'!$G$2,'Tong_hop_HQNV_2026Q1_2026-06-23'!$B:$B, "="&amp;'CHECK_DT-BT'!A76)</f>
        <v>972074710</v>
      </c>
      <c r="H76" s="7">
        <f>SUMIFS('Tong_hop_HQNV_2026Q1_2026-06-23'!$K:$K,'Tong_hop_HQNV_2026Q1_2026-06-23'!$A:$A,"="&amp;$H$2,'Tong_hop_HQNV_2026Q1_2026-06-23'!$B:$B, "="&amp;'CHECK_DT-BT'!A76)</f>
        <v>691466051</v>
      </c>
      <c r="I76" s="7">
        <f>SUMIFS('Tong_hop_HQNV_2026Q1_2026-06-23'!$K:$K,'Tong_hop_HQNV_2026Q1_2026-06-23'!$A:$A,"="&amp;$I$2,'Tong_hop_HQNV_2026Q1_2026-06-23'!$B:$B, "="&amp;'CHECK_DT-BT'!A76)</f>
        <v>0</v>
      </c>
      <c r="J76" s="7">
        <f>SUMIFS('Tong_hop_HQNV_2026Q1_2026-06-23'!$K:$K,'Tong_hop_HQNV_2026Q1_2026-06-23'!$A:$A,"="&amp;$J$2,'Tong_hop_HQNV_2026Q1_2026-06-23'!$B:$B, "="&amp;'CHECK_DT-BT'!A76)</f>
        <v>0</v>
      </c>
      <c r="K76" s="7">
        <f>SUMIFS('Tong_hop_HQNV_2026Q1_2026-06-23'!$K:$K,'Tong_hop_HQNV_2026Q1_2026-06-23'!$A:$A,"="&amp;$K$2,'Tong_hop_HQNV_2026Q1_2026-06-23'!$B:$B, "="&amp;'CHECK_DT-BT'!A76)</f>
        <v>1414176833</v>
      </c>
      <c r="L76" s="7">
        <f>SUMIFS('Tong_hop_HQNV_2026Q1_2026-06-23'!$K:$K,'Tong_hop_HQNV_2026Q1_2026-06-23'!$A:$A,"="&amp;$L$2,'Tong_hop_HQNV_2026Q1_2026-06-23'!$B:$B, "="&amp;'CHECK_DT-BT'!A76)</f>
        <v>1331108739</v>
      </c>
      <c r="M76" s="7">
        <f>SUMIFS('Tong_hop_HQNV_2026Q1_2026-06-23'!$K:$K,'Tong_hop_HQNV_2026Q1_2026-06-23'!$A:$A,"="&amp;$M$2,'Tong_hop_HQNV_2026Q1_2026-06-23'!$B:$B, "="&amp;'CHECK_DT-BT'!A76)</f>
        <v>355177019</v>
      </c>
      <c r="N76" s="7">
        <f>SUMIFS('Tong_hop_HQNV_2026Q1_2026-06-23'!$K:$K,'Tong_hop_HQNV_2026Q1_2026-06-23'!$A:$A,"="&amp;$N$2,'Tong_hop_HQNV_2026Q1_2026-06-23'!$B:$B, "="&amp;'CHECK_DT-BT'!A76)</f>
        <v>0</v>
      </c>
      <c r="O76" s="7">
        <f>SUMIFS('Tong_hop_HQNV_2026Q1_2026-06-23'!$K:$K,'Tong_hop_HQNV_2026Q1_2026-06-23'!$A:$A,"="&amp;$O$2,'Tong_hop_HQNV_2026Q1_2026-06-23'!$B:$B, "="&amp;'CHECK_DT-BT'!A76)</f>
        <v>0</v>
      </c>
      <c r="P76" s="7">
        <f>SUMIFS('Tong_hop_HQNV_2026Q1_2026-06-23'!$K:$K,'Tong_hop_HQNV_2026Q1_2026-06-23'!$A:$A,"="&amp;$P$2,'Tong_hop_HQNV_2026Q1_2026-06-23'!$B:$B, "="&amp;'CHECK_DT-BT'!A76)</f>
        <v>0</v>
      </c>
      <c r="Q76" s="7">
        <f t="shared" si="10"/>
        <v>6657654159</v>
      </c>
      <c r="R76" s="7">
        <f t="shared" si="11"/>
        <v>3791928642</v>
      </c>
      <c r="S76" s="7">
        <f>SUMIFS('HQ1'!$C:$C,'HQ1'!$A:$A, "="&amp;'CHECK_DT-BT'!C76, 'HQ1'!$B:$B, "Total")</f>
        <v>6657654159</v>
      </c>
      <c r="T76" s="7">
        <f>SUMIFS('HQ2'!$C:$C,'HQ2'!$A:$A, "="&amp;'CHECK_DT-BT'!C76, 'HQ2'!$B:$B, "Total")</f>
        <v>3791928642</v>
      </c>
      <c r="U76" s="7">
        <f t="shared" si="12"/>
        <v>0</v>
      </c>
      <c r="V76" s="7">
        <f t="shared" si="13"/>
        <v>0</v>
      </c>
      <c r="W76" s="23">
        <f>SUMIFS('Tong_hop_HQNV_2026Q1_2026-06-23'!$L:$L,'Tong_hop_HQNV_2026Q1_2026-06-23'!$B:$B, "="&amp;'CHECK_DT-BT'!A76, 'Tong_hop_HQNV_2026Q1_2026-06-23'!$A:$A, "="&amp;'CHECK_DT-BT'!$W$2)</f>
        <v>4239324600</v>
      </c>
      <c r="X76" s="7">
        <f>SUMIFS('Tong_hop_HQNV_2026Q1_2026-06-23'!$L:$L,'Tong_hop_HQNV_2026Q1_2026-06-23'!$B:$B, "="&amp;'CHECK_DT-BT'!A76, 'Tong_hop_HQNV_2026Q1_2026-06-23'!$A:$A, "="&amp;'CHECK_DT-BT'!$X$2)</f>
        <v>0</v>
      </c>
      <c r="Y76" s="7">
        <f>SUMIFS('Tong_hop_HQNV_2026Q1_2026-06-23'!$L:$L,'Tong_hop_HQNV_2026Q1_2026-06-23'!$B:$B, "="&amp;'CHECK_DT-BT'!A76, 'Tong_hop_HQNV_2026Q1_2026-06-23'!$A:$A, "="&amp;'CHECK_DT-BT'!$Y$2)</f>
        <v>1122375046</v>
      </c>
      <c r="Z76" s="7">
        <f>SUMIFS('Tong_hop_HQNV_2026Q1_2026-06-23'!$L:$L,'Tong_hop_HQNV_2026Q1_2026-06-23'!$B:$B, "="&amp;'CHECK_DT-BT'!A76, 'Tong_hop_HQNV_2026Q1_2026-06-23'!$A:$A, "="&amp;'CHECK_DT-BT'!$Z$2)</f>
        <v>123319141</v>
      </c>
      <c r="AA76" s="7">
        <f>SUMIFS('Tong_hop_HQNV_2026Q1_2026-06-23'!$L:$L,'Tong_hop_HQNV_2026Q1_2026-06-23'!$B:$B, "="&amp;'CHECK_DT-BT'!A76, 'Tong_hop_HQNV_2026Q1_2026-06-23'!$A:$A, "="&amp;$AA$2)</f>
        <v>0</v>
      </c>
      <c r="AB76" s="7">
        <f>SUMIFS('Tong_hop_HQNV_2026Q1_2026-06-23'!$L:$L,'Tong_hop_HQNV_2026Q1_2026-06-23'!$B:$B, "="&amp;'CHECK_DT-BT'!A76, 'Tong_hop_HQNV_2026Q1_2026-06-23'!$A:$A, "="&amp;$AB$2)</f>
        <v>0</v>
      </c>
      <c r="AC76" s="7">
        <f>SUMIFS('Tong_hop_HQNV_2026Q1_2026-06-23'!$L:$L,'Tong_hop_HQNV_2026Q1_2026-06-23'!$B:$B, "="&amp;'CHECK_DT-BT'!A76, 'Tong_hop_HQNV_2026Q1_2026-06-23'!$A:$A, "="&amp;$AC$2)</f>
        <v>0</v>
      </c>
      <c r="AD76" s="7">
        <f>SUMIFS('Tong_hop_HQNV_2026Q1_2026-06-23'!$L:$L,'Tong_hop_HQNV_2026Q1_2026-06-23'!$B:$B, "="&amp;'CHECK_DT-BT'!A76, 'Tong_hop_HQNV_2026Q1_2026-06-23'!$A:$A, "="&amp;$AD$2)</f>
        <v>720859379</v>
      </c>
      <c r="AE76" s="7">
        <f>SUMIFS('Tong_hop_HQNV_2026Q1_2026-06-23'!$L:$L,'Tong_hop_HQNV_2026Q1_2026-06-23'!$B:$B, "="&amp;'CHECK_DT-BT'!A76, 'Tong_hop_HQNV_2026Q1_2026-06-23'!$A:$A, "="&amp;$AE$2)</f>
        <v>0</v>
      </c>
      <c r="AF76" s="7">
        <f>SUMIFS('Tong_hop_HQNV_2026Q1_2026-06-23'!$L:$L,'Tong_hop_HQNV_2026Q1_2026-06-23'!$B:$B, "="&amp;'CHECK_DT-BT'!A76, 'Tong_hop_HQNV_2026Q1_2026-06-23'!$A:$A, "="&amp;$AF$2)</f>
        <v>0</v>
      </c>
      <c r="AG76" s="7">
        <f>SUMIFS('Tong_hop_HQNV_2026Q1_2026-06-23'!$L:$L,'Tong_hop_HQNV_2026Q1_2026-06-23'!$B:$B, "="&amp;'CHECK_DT-BT'!A76, 'Tong_hop_HQNV_2026Q1_2026-06-23'!$A:$A, "="&amp;$AG$2)</f>
        <v>0</v>
      </c>
      <c r="AH76" s="7">
        <f>SUMIFS('Tong_hop_HQNV_2026Q1_2026-06-23'!$L:$L,'Tong_hop_HQNV_2026Q1_2026-06-23'!$B:$B, "="&amp;'CHECK_DT-BT'!A76, 'Tong_hop_HQNV_2026Q1_2026-06-23'!$A:$A, "="&amp;$AH$2)</f>
        <v>0</v>
      </c>
      <c r="AI76" s="7">
        <f>SUMIFS('Tong_hop_HQNV_2026Q1_2026-06-23'!$L:$L,'Tong_hop_HQNV_2026Q1_2026-06-23'!$B:$B, "="&amp;'CHECK_DT-BT'!A76, 'Tong_hop_HQNV_2026Q1_2026-06-23'!$A:$A, "="&amp;$AI$2)</f>
        <v>0</v>
      </c>
      <c r="AJ76" s="7">
        <f t="shared" si="14"/>
        <v>5485018787</v>
      </c>
      <c r="AK76" s="7">
        <f t="shared" si="15"/>
        <v>720859379</v>
      </c>
      <c r="AL76" s="7">
        <f>SUMIFS('HQ1'!$D:$D,'HQ1'!$A:$A, "="&amp;'CHECK_DT-BT'!C76, 'HQ1'!$B:$B, "Total")</f>
        <v>5485018787</v>
      </c>
      <c r="AM76" s="7">
        <f>SUMIFS('HQ2'!$J:$J,'HQ2'!$A:$A, "="&amp;'CHECK_DT-BT'!C76, 'HQ2'!$B:$B, "Total")</f>
        <v>720859379</v>
      </c>
      <c r="AN76" s="24">
        <f t="shared" si="16"/>
        <v>0</v>
      </c>
      <c r="AO76" s="24">
        <f t="shared" si="17"/>
        <v>0</v>
      </c>
    </row>
    <row r="77" spans="1:41" x14ac:dyDescent="0.25">
      <c r="A77" s="9" t="s">
        <v>357</v>
      </c>
      <c r="B77" t="s">
        <v>215</v>
      </c>
      <c r="C77" t="s">
        <v>99</v>
      </c>
      <c r="D77" s="7">
        <f>SUMIFS('Tong_hop_HQNV_2026Q1_2026-06-23'!$K:$K,'Tong_hop_HQNV_2026Q1_2026-06-23'!$A:$A,"="&amp;'CHECK_DT-BT'!$D$2,'Tong_hop_HQNV_2026Q1_2026-06-23'!$B:$B, "="&amp;'CHECK_DT-BT'!A77)</f>
        <v>437691650</v>
      </c>
      <c r="E77" s="7">
        <f>SUMIFS('Tong_hop_HQNV_2026Q1_2026-06-23'!$K:$K,'Tong_hop_HQNV_2026Q1_2026-06-23'!$A:$A,"="&amp;'CHECK_DT-BT'!$E$2,'Tong_hop_HQNV_2026Q1_2026-06-23'!$B:$B, "="&amp;'CHECK_DT-BT'!A77)</f>
        <v>42701500</v>
      </c>
      <c r="F77" s="7">
        <f>SUMIFS('Tong_hop_HQNV_2026Q1_2026-06-23'!$K:$K,'Tong_hop_HQNV_2026Q1_2026-06-23'!$A:$A,"="&amp;'CHECK_DT-BT'!$F$2,'Tong_hop_HQNV_2026Q1_2026-06-23'!$B:$B, "="&amp;'CHECK_DT-BT'!A77)</f>
        <v>3147149837</v>
      </c>
      <c r="G77" s="7">
        <f>SUMIFS('Tong_hop_HQNV_2026Q1_2026-06-23'!$K:$K,'Tong_hop_HQNV_2026Q1_2026-06-23'!$A:$A,"="&amp;'CHECK_DT-BT'!$G$2,'Tong_hop_HQNV_2026Q1_2026-06-23'!$B:$B, "="&amp;'CHECK_DT-BT'!A77)</f>
        <v>1356708050</v>
      </c>
      <c r="H77" s="7">
        <f>SUMIFS('Tong_hop_HQNV_2026Q1_2026-06-23'!$K:$K,'Tong_hop_HQNV_2026Q1_2026-06-23'!$A:$A,"="&amp;$H$2,'Tong_hop_HQNV_2026Q1_2026-06-23'!$B:$B, "="&amp;'CHECK_DT-BT'!A77)</f>
        <v>0</v>
      </c>
      <c r="I77" s="7">
        <f>SUMIFS('Tong_hop_HQNV_2026Q1_2026-06-23'!$K:$K,'Tong_hop_HQNV_2026Q1_2026-06-23'!$A:$A,"="&amp;$I$2,'Tong_hop_HQNV_2026Q1_2026-06-23'!$B:$B, "="&amp;'CHECK_DT-BT'!A77)</f>
        <v>0</v>
      </c>
      <c r="J77" s="7">
        <f>SUMIFS('Tong_hop_HQNV_2026Q1_2026-06-23'!$K:$K,'Tong_hop_HQNV_2026Q1_2026-06-23'!$A:$A,"="&amp;$J$2,'Tong_hop_HQNV_2026Q1_2026-06-23'!$B:$B, "="&amp;'CHECK_DT-BT'!A77)</f>
        <v>0</v>
      </c>
      <c r="K77" s="7">
        <f>SUMIFS('Tong_hop_HQNV_2026Q1_2026-06-23'!$K:$K,'Tong_hop_HQNV_2026Q1_2026-06-23'!$A:$A,"="&amp;$K$2,'Tong_hop_HQNV_2026Q1_2026-06-23'!$B:$B, "="&amp;'CHECK_DT-BT'!A77)</f>
        <v>711507734</v>
      </c>
      <c r="L77" s="7">
        <f>SUMIFS('Tong_hop_HQNV_2026Q1_2026-06-23'!$K:$K,'Tong_hop_HQNV_2026Q1_2026-06-23'!$A:$A,"="&amp;$L$2,'Tong_hop_HQNV_2026Q1_2026-06-23'!$B:$B, "="&amp;'CHECK_DT-BT'!A77)</f>
        <v>635614428</v>
      </c>
      <c r="M77" s="7">
        <f>SUMIFS('Tong_hop_HQNV_2026Q1_2026-06-23'!$K:$K,'Tong_hop_HQNV_2026Q1_2026-06-23'!$A:$A,"="&amp;$M$2,'Tong_hop_HQNV_2026Q1_2026-06-23'!$B:$B, "="&amp;'CHECK_DT-BT'!A77)</f>
        <v>454305982</v>
      </c>
      <c r="N77" s="7">
        <f>SUMIFS('Tong_hop_HQNV_2026Q1_2026-06-23'!$K:$K,'Tong_hop_HQNV_2026Q1_2026-06-23'!$A:$A,"="&amp;$N$2,'Tong_hop_HQNV_2026Q1_2026-06-23'!$B:$B, "="&amp;'CHECK_DT-BT'!A77)</f>
        <v>0</v>
      </c>
      <c r="O77" s="7">
        <f>SUMIFS('Tong_hop_HQNV_2026Q1_2026-06-23'!$K:$K,'Tong_hop_HQNV_2026Q1_2026-06-23'!$A:$A,"="&amp;$O$2,'Tong_hop_HQNV_2026Q1_2026-06-23'!$B:$B, "="&amp;'CHECK_DT-BT'!A77)</f>
        <v>0</v>
      </c>
      <c r="P77" s="7">
        <f>SUMIFS('Tong_hop_HQNV_2026Q1_2026-06-23'!$K:$K,'Tong_hop_HQNV_2026Q1_2026-06-23'!$A:$A,"="&amp;$P$2,'Tong_hop_HQNV_2026Q1_2026-06-23'!$B:$B, "="&amp;'CHECK_DT-BT'!A77)</f>
        <v>0</v>
      </c>
      <c r="Q77" s="7">
        <f t="shared" si="10"/>
        <v>4984251037</v>
      </c>
      <c r="R77" s="7">
        <f t="shared" si="11"/>
        <v>1801428144</v>
      </c>
      <c r="S77" s="7">
        <f>SUMIFS('HQ1'!$C:$C,'HQ1'!$A:$A, "="&amp;'CHECK_DT-BT'!C77, 'HQ1'!$B:$B, "Total")</f>
        <v>4983645037</v>
      </c>
      <c r="T77" s="7">
        <f>SUMIFS('HQ2'!$C:$C,'HQ2'!$A:$A, "="&amp;'CHECK_DT-BT'!C77, 'HQ2'!$B:$B, "Total")</f>
        <v>1801428144</v>
      </c>
      <c r="U77" s="7">
        <f t="shared" si="12"/>
        <v>606000</v>
      </c>
      <c r="V77" s="7">
        <f t="shared" si="13"/>
        <v>0</v>
      </c>
      <c r="W77" s="23">
        <f>SUMIFS('Tong_hop_HQNV_2026Q1_2026-06-23'!$L:$L,'Tong_hop_HQNV_2026Q1_2026-06-23'!$B:$B, "="&amp;'CHECK_DT-BT'!A77, 'Tong_hop_HQNV_2026Q1_2026-06-23'!$A:$A, "="&amp;'CHECK_DT-BT'!$W$2)</f>
        <v>731029000</v>
      </c>
      <c r="X77" s="7">
        <f>SUMIFS('Tong_hop_HQNV_2026Q1_2026-06-23'!$L:$L,'Tong_hop_HQNV_2026Q1_2026-06-23'!$B:$B, "="&amp;'CHECK_DT-BT'!A77, 'Tong_hop_HQNV_2026Q1_2026-06-23'!$A:$A, "="&amp;'CHECK_DT-BT'!$X$2)</f>
        <v>0</v>
      </c>
      <c r="Y77" s="7">
        <f>SUMIFS('Tong_hop_HQNV_2026Q1_2026-06-23'!$L:$L,'Tong_hop_HQNV_2026Q1_2026-06-23'!$B:$B, "="&amp;'CHECK_DT-BT'!A77, 'Tong_hop_HQNV_2026Q1_2026-06-23'!$A:$A, "="&amp;'CHECK_DT-BT'!$Y$2)</f>
        <v>1471997938</v>
      </c>
      <c r="Z77" s="7">
        <f>SUMIFS('Tong_hop_HQNV_2026Q1_2026-06-23'!$L:$L,'Tong_hop_HQNV_2026Q1_2026-06-23'!$B:$B, "="&amp;'CHECK_DT-BT'!A77, 'Tong_hop_HQNV_2026Q1_2026-06-23'!$A:$A, "="&amp;'CHECK_DT-BT'!$Z$2)</f>
        <v>90459265</v>
      </c>
      <c r="AA77" s="7">
        <f>SUMIFS('Tong_hop_HQNV_2026Q1_2026-06-23'!$L:$L,'Tong_hop_HQNV_2026Q1_2026-06-23'!$B:$B, "="&amp;'CHECK_DT-BT'!A77, 'Tong_hop_HQNV_2026Q1_2026-06-23'!$A:$A, "="&amp;$AA$2)</f>
        <v>0</v>
      </c>
      <c r="AB77" s="7">
        <f>SUMIFS('Tong_hop_HQNV_2026Q1_2026-06-23'!$L:$L,'Tong_hop_HQNV_2026Q1_2026-06-23'!$B:$B, "="&amp;'CHECK_DT-BT'!A77, 'Tong_hop_HQNV_2026Q1_2026-06-23'!$A:$A, "="&amp;$AB$2)</f>
        <v>0</v>
      </c>
      <c r="AC77" s="7">
        <f>SUMIFS('Tong_hop_HQNV_2026Q1_2026-06-23'!$L:$L,'Tong_hop_HQNV_2026Q1_2026-06-23'!$B:$B, "="&amp;'CHECK_DT-BT'!A77, 'Tong_hop_HQNV_2026Q1_2026-06-23'!$A:$A, "="&amp;$AC$2)</f>
        <v>0</v>
      </c>
      <c r="AD77" s="7">
        <f>SUMIFS('Tong_hop_HQNV_2026Q1_2026-06-23'!$L:$L,'Tong_hop_HQNV_2026Q1_2026-06-23'!$B:$B, "="&amp;'CHECK_DT-BT'!A77, 'Tong_hop_HQNV_2026Q1_2026-06-23'!$A:$A, "="&amp;$AD$2)</f>
        <v>9000000</v>
      </c>
      <c r="AE77" s="7">
        <f>SUMIFS('Tong_hop_HQNV_2026Q1_2026-06-23'!$L:$L,'Tong_hop_HQNV_2026Q1_2026-06-23'!$B:$B, "="&amp;'CHECK_DT-BT'!A77, 'Tong_hop_HQNV_2026Q1_2026-06-23'!$A:$A, "="&amp;$AE$2)</f>
        <v>0</v>
      </c>
      <c r="AF77" s="7">
        <f>SUMIFS('Tong_hop_HQNV_2026Q1_2026-06-23'!$L:$L,'Tong_hop_HQNV_2026Q1_2026-06-23'!$B:$B, "="&amp;'CHECK_DT-BT'!A77, 'Tong_hop_HQNV_2026Q1_2026-06-23'!$A:$A, "="&amp;$AF$2)</f>
        <v>0</v>
      </c>
      <c r="AG77" s="7">
        <f>SUMIFS('Tong_hop_HQNV_2026Q1_2026-06-23'!$L:$L,'Tong_hop_HQNV_2026Q1_2026-06-23'!$B:$B, "="&amp;'CHECK_DT-BT'!A77, 'Tong_hop_HQNV_2026Q1_2026-06-23'!$A:$A, "="&amp;$AG$2)</f>
        <v>0</v>
      </c>
      <c r="AH77" s="7">
        <f>SUMIFS('Tong_hop_HQNV_2026Q1_2026-06-23'!$L:$L,'Tong_hop_HQNV_2026Q1_2026-06-23'!$B:$B, "="&amp;'CHECK_DT-BT'!A77, 'Tong_hop_HQNV_2026Q1_2026-06-23'!$A:$A, "="&amp;$AH$2)</f>
        <v>0</v>
      </c>
      <c r="AI77" s="7">
        <f>SUMIFS('Tong_hop_HQNV_2026Q1_2026-06-23'!$L:$L,'Tong_hop_HQNV_2026Q1_2026-06-23'!$B:$B, "="&amp;'CHECK_DT-BT'!A77, 'Tong_hop_HQNV_2026Q1_2026-06-23'!$A:$A, "="&amp;$AI$2)</f>
        <v>0</v>
      </c>
      <c r="AJ77" s="7">
        <f t="shared" si="14"/>
        <v>2293486203</v>
      </c>
      <c r="AK77" s="7">
        <f t="shared" si="15"/>
        <v>9000000</v>
      </c>
      <c r="AL77" s="7">
        <f>SUMIFS('HQ1'!$D:$D,'HQ1'!$A:$A, "="&amp;'CHECK_DT-BT'!C77, 'HQ1'!$B:$B, "Total")</f>
        <v>2293486203</v>
      </c>
      <c r="AM77" s="7">
        <f>SUMIFS('HQ2'!$J:$J,'HQ2'!$A:$A, "="&amp;'CHECK_DT-BT'!C77, 'HQ2'!$B:$B, "Total")</f>
        <v>9000000</v>
      </c>
      <c r="AN77" s="24">
        <f t="shared" si="16"/>
        <v>0</v>
      </c>
      <c r="AO77" s="24">
        <f t="shared" si="17"/>
        <v>0</v>
      </c>
    </row>
    <row r="78" spans="1:41" x14ac:dyDescent="0.25">
      <c r="A78" s="9" t="s">
        <v>358</v>
      </c>
      <c r="B78" t="s">
        <v>216</v>
      </c>
      <c r="C78" t="s">
        <v>66</v>
      </c>
      <c r="D78" s="7">
        <f>SUMIFS('Tong_hop_HQNV_2026Q1_2026-06-23'!$K:$K,'Tong_hop_HQNV_2026Q1_2026-06-23'!$A:$A,"="&amp;'CHECK_DT-BT'!$D$2,'Tong_hop_HQNV_2026Q1_2026-06-23'!$B:$B, "="&amp;'CHECK_DT-BT'!A78)</f>
        <v>4307165996</v>
      </c>
      <c r="E78" s="7">
        <f>SUMIFS('Tong_hop_HQNV_2026Q1_2026-06-23'!$K:$K,'Tong_hop_HQNV_2026Q1_2026-06-23'!$A:$A,"="&amp;'CHECK_DT-BT'!$E$2,'Tong_hop_HQNV_2026Q1_2026-06-23'!$B:$B, "="&amp;'CHECK_DT-BT'!A78)</f>
        <v>753234396</v>
      </c>
      <c r="F78" s="7">
        <f>SUMIFS('Tong_hop_HQNV_2026Q1_2026-06-23'!$K:$K,'Tong_hop_HQNV_2026Q1_2026-06-23'!$A:$A,"="&amp;'CHECK_DT-BT'!$F$2,'Tong_hop_HQNV_2026Q1_2026-06-23'!$B:$B, "="&amp;'CHECK_DT-BT'!A78)</f>
        <v>5677768890</v>
      </c>
      <c r="G78" s="7">
        <f>SUMIFS('Tong_hop_HQNV_2026Q1_2026-06-23'!$K:$K,'Tong_hop_HQNV_2026Q1_2026-06-23'!$A:$A,"="&amp;'CHECK_DT-BT'!$G$2,'Tong_hop_HQNV_2026Q1_2026-06-23'!$B:$B, "="&amp;'CHECK_DT-BT'!A78)</f>
        <v>7662063881</v>
      </c>
      <c r="H78" s="7">
        <f>SUMIFS('Tong_hop_HQNV_2026Q1_2026-06-23'!$K:$K,'Tong_hop_HQNV_2026Q1_2026-06-23'!$A:$A,"="&amp;$H$2,'Tong_hop_HQNV_2026Q1_2026-06-23'!$B:$B, "="&amp;'CHECK_DT-BT'!A78)</f>
        <v>210167932</v>
      </c>
      <c r="I78" s="7">
        <f>SUMIFS('Tong_hop_HQNV_2026Q1_2026-06-23'!$K:$K,'Tong_hop_HQNV_2026Q1_2026-06-23'!$A:$A,"="&amp;$I$2,'Tong_hop_HQNV_2026Q1_2026-06-23'!$B:$B, "="&amp;'CHECK_DT-BT'!A78)</f>
        <v>441818184</v>
      </c>
      <c r="J78" s="7">
        <f>SUMIFS('Tong_hop_HQNV_2026Q1_2026-06-23'!$K:$K,'Tong_hop_HQNV_2026Q1_2026-06-23'!$A:$A,"="&amp;$J$2,'Tong_hop_HQNV_2026Q1_2026-06-23'!$B:$B, "="&amp;'CHECK_DT-BT'!A78)</f>
        <v>1736146939</v>
      </c>
      <c r="K78" s="7">
        <f>SUMIFS('Tong_hop_HQNV_2026Q1_2026-06-23'!$K:$K,'Tong_hop_HQNV_2026Q1_2026-06-23'!$A:$A,"="&amp;$K$2,'Tong_hop_HQNV_2026Q1_2026-06-23'!$B:$B, "="&amp;'CHECK_DT-BT'!A78)</f>
        <v>0</v>
      </c>
      <c r="L78" s="7">
        <f>SUMIFS('Tong_hop_HQNV_2026Q1_2026-06-23'!$K:$K,'Tong_hop_HQNV_2026Q1_2026-06-23'!$A:$A,"="&amp;$L$2,'Tong_hop_HQNV_2026Q1_2026-06-23'!$B:$B, "="&amp;'CHECK_DT-BT'!A78)</f>
        <v>4227294113</v>
      </c>
      <c r="M78" s="7">
        <f>SUMIFS('Tong_hop_HQNV_2026Q1_2026-06-23'!$K:$K,'Tong_hop_HQNV_2026Q1_2026-06-23'!$A:$A,"="&amp;$M$2,'Tong_hop_HQNV_2026Q1_2026-06-23'!$B:$B, "="&amp;'CHECK_DT-BT'!A78)</f>
        <v>3327655073</v>
      </c>
      <c r="N78" s="7">
        <f>SUMIFS('Tong_hop_HQNV_2026Q1_2026-06-23'!$K:$K,'Tong_hop_HQNV_2026Q1_2026-06-23'!$A:$A,"="&amp;$N$2,'Tong_hop_HQNV_2026Q1_2026-06-23'!$B:$B, "="&amp;'CHECK_DT-BT'!A78)</f>
        <v>62244592</v>
      </c>
      <c r="O78" s="7">
        <f>SUMIFS('Tong_hop_HQNV_2026Q1_2026-06-23'!$K:$K,'Tong_hop_HQNV_2026Q1_2026-06-23'!$A:$A,"="&amp;$O$2,'Tong_hop_HQNV_2026Q1_2026-06-23'!$B:$B, "="&amp;'CHECK_DT-BT'!A78)</f>
        <v>0</v>
      </c>
      <c r="P78" s="7">
        <f>SUMIFS('Tong_hop_HQNV_2026Q1_2026-06-23'!$K:$K,'Tong_hop_HQNV_2026Q1_2026-06-23'!$A:$A,"="&amp;$P$2,'Tong_hop_HQNV_2026Q1_2026-06-23'!$B:$B, "="&amp;'CHECK_DT-BT'!A78)</f>
        <v>0</v>
      </c>
      <c r="Q78" s="7">
        <f t="shared" si="10"/>
        <v>18400233163</v>
      </c>
      <c r="R78" s="7">
        <f t="shared" si="11"/>
        <v>10005326833</v>
      </c>
      <c r="S78" s="7">
        <f>SUMIFS('HQ1'!$C:$C,'HQ1'!$A:$A, "="&amp;'CHECK_DT-BT'!C78, 'HQ1'!$B:$B, "Total")</f>
        <v>18400233163</v>
      </c>
      <c r="T78" s="7">
        <f>SUMIFS('HQ2'!$C:$C,'HQ2'!$A:$A, "="&amp;'CHECK_DT-BT'!C78, 'HQ2'!$B:$B, "Total")</f>
        <v>10005326833</v>
      </c>
      <c r="U78" s="7">
        <f t="shared" si="12"/>
        <v>0</v>
      </c>
      <c r="V78" s="7">
        <f t="shared" si="13"/>
        <v>0</v>
      </c>
      <c r="W78" s="23">
        <f>SUMIFS('Tong_hop_HQNV_2026Q1_2026-06-23'!$L:$L,'Tong_hop_HQNV_2026Q1_2026-06-23'!$B:$B, "="&amp;'CHECK_DT-BT'!A78, 'Tong_hop_HQNV_2026Q1_2026-06-23'!$A:$A, "="&amp;'CHECK_DT-BT'!$W$2)</f>
        <v>1728141383</v>
      </c>
      <c r="X78" s="7">
        <f>SUMIFS('Tong_hop_HQNV_2026Q1_2026-06-23'!$L:$L,'Tong_hop_HQNV_2026Q1_2026-06-23'!$B:$B, "="&amp;'CHECK_DT-BT'!A78, 'Tong_hop_HQNV_2026Q1_2026-06-23'!$A:$A, "="&amp;'CHECK_DT-BT'!$X$2)</f>
        <v>0</v>
      </c>
      <c r="Y78" s="7">
        <f>SUMIFS('Tong_hop_HQNV_2026Q1_2026-06-23'!$L:$L,'Tong_hop_HQNV_2026Q1_2026-06-23'!$B:$B, "="&amp;'CHECK_DT-BT'!A78, 'Tong_hop_HQNV_2026Q1_2026-06-23'!$A:$A, "="&amp;'CHECK_DT-BT'!$Y$2)</f>
        <v>4212671883</v>
      </c>
      <c r="Z78" s="7">
        <f>SUMIFS('Tong_hop_HQNV_2026Q1_2026-06-23'!$L:$L,'Tong_hop_HQNV_2026Q1_2026-06-23'!$B:$B, "="&amp;'CHECK_DT-BT'!A78, 'Tong_hop_HQNV_2026Q1_2026-06-23'!$A:$A, "="&amp;'CHECK_DT-BT'!$Z$2)</f>
        <v>2195234045</v>
      </c>
      <c r="AA78" s="7">
        <f>SUMIFS('Tong_hop_HQNV_2026Q1_2026-06-23'!$L:$L,'Tong_hop_HQNV_2026Q1_2026-06-23'!$B:$B, "="&amp;'CHECK_DT-BT'!A78, 'Tong_hop_HQNV_2026Q1_2026-06-23'!$A:$A, "="&amp;$AA$2)</f>
        <v>51363155</v>
      </c>
      <c r="AB78" s="7">
        <f>SUMIFS('Tong_hop_HQNV_2026Q1_2026-06-23'!$L:$L,'Tong_hop_HQNV_2026Q1_2026-06-23'!$B:$B, "="&amp;'CHECK_DT-BT'!A78, 'Tong_hop_HQNV_2026Q1_2026-06-23'!$A:$A, "="&amp;$AB$2)</f>
        <v>0</v>
      </c>
      <c r="AC78" s="7">
        <f>SUMIFS('Tong_hop_HQNV_2026Q1_2026-06-23'!$L:$L,'Tong_hop_HQNV_2026Q1_2026-06-23'!$B:$B, "="&amp;'CHECK_DT-BT'!A78, 'Tong_hop_HQNV_2026Q1_2026-06-23'!$A:$A, "="&amp;$AC$2)</f>
        <v>0</v>
      </c>
      <c r="AD78" s="7">
        <f>SUMIFS('Tong_hop_HQNV_2026Q1_2026-06-23'!$L:$L,'Tong_hop_HQNV_2026Q1_2026-06-23'!$B:$B, "="&amp;'CHECK_DT-BT'!A78, 'Tong_hop_HQNV_2026Q1_2026-06-23'!$A:$A, "="&amp;$AD$2)</f>
        <v>0</v>
      </c>
      <c r="AE78" s="7">
        <f>SUMIFS('Tong_hop_HQNV_2026Q1_2026-06-23'!$L:$L,'Tong_hop_HQNV_2026Q1_2026-06-23'!$B:$B, "="&amp;'CHECK_DT-BT'!A78, 'Tong_hop_HQNV_2026Q1_2026-06-23'!$A:$A, "="&amp;$AE$2)</f>
        <v>92745466</v>
      </c>
      <c r="AF78" s="7">
        <f>SUMIFS('Tong_hop_HQNV_2026Q1_2026-06-23'!$L:$L,'Tong_hop_HQNV_2026Q1_2026-06-23'!$B:$B, "="&amp;'CHECK_DT-BT'!A78, 'Tong_hop_HQNV_2026Q1_2026-06-23'!$A:$A, "="&amp;$AF$2)</f>
        <v>0</v>
      </c>
      <c r="AG78" s="7">
        <f>SUMIFS('Tong_hop_HQNV_2026Q1_2026-06-23'!$L:$L,'Tong_hop_HQNV_2026Q1_2026-06-23'!$B:$B, "="&amp;'CHECK_DT-BT'!A78, 'Tong_hop_HQNV_2026Q1_2026-06-23'!$A:$A, "="&amp;$AG$2)</f>
        <v>0</v>
      </c>
      <c r="AH78" s="7">
        <f>SUMIFS('Tong_hop_HQNV_2026Q1_2026-06-23'!$L:$L,'Tong_hop_HQNV_2026Q1_2026-06-23'!$B:$B, "="&amp;'CHECK_DT-BT'!A78, 'Tong_hop_HQNV_2026Q1_2026-06-23'!$A:$A, "="&amp;$AH$2)</f>
        <v>0</v>
      </c>
      <c r="AI78" s="7">
        <f>SUMIFS('Tong_hop_HQNV_2026Q1_2026-06-23'!$L:$L,'Tong_hop_HQNV_2026Q1_2026-06-23'!$B:$B, "="&amp;'CHECK_DT-BT'!A78, 'Tong_hop_HQNV_2026Q1_2026-06-23'!$A:$A, "="&amp;$AI$2)</f>
        <v>0</v>
      </c>
      <c r="AJ78" s="7">
        <f t="shared" si="14"/>
        <v>8136047311</v>
      </c>
      <c r="AK78" s="7">
        <f t="shared" si="15"/>
        <v>144108621</v>
      </c>
      <c r="AL78" s="7">
        <f>SUMIFS('HQ1'!$D:$D,'HQ1'!$A:$A, "="&amp;'CHECK_DT-BT'!C78, 'HQ1'!$B:$B, "Total")</f>
        <v>8136047311</v>
      </c>
      <c r="AM78" s="7">
        <f>SUMIFS('HQ2'!$J:$J,'HQ2'!$A:$A, "="&amp;'CHECK_DT-BT'!C78, 'HQ2'!$B:$B, "Total")</f>
        <v>144108621</v>
      </c>
      <c r="AN78" s="24">
        <f t="shared" si="16"/>
        <v>0</v>
      </c>
      <c r="AO78" s="24">
        <f t="shared" si="17"/>
        <v>0</v>
      </c>
    </row>
    <row r="79" spans="1:41" x14ac:dyDescent="0.25">
      <c r="A79" s="9" t="s">
        <v>359</v>
      </c>
      <c r="B79" t="s">
        <v>217</v>
      </c>
      <c r="C79" t="s">
        <v>116</v>
      </c>
      <c r="D79" s="7">
        <f>SUMIFS('Tong_hop_HQNV_2026Q1_2026-06-23'!$K:$K,'Tong_hop_HQNV_2026Q1_2026-06-23'!$A:$A,"="&amp;'CHECK_DT-BT'!$D$2,'Tong_hop_HQNV_2026Q1_2026-06-23'!$B:$B, "="&amp;'CHECK_DT-BT'!A79)</f>
        <v>2451140900</v>
      </c>
      <c r="E79" s="7">
        <f>SUMIFS('Tong_hop_HQNV_2026Q1_2026-06-23'!$K:$K,'Tong_hop_HQNV_2026Q1_2026-06-23'!$A:$A,"="&amp;'CHECK_DT-BT'!$E$2,'Tong_hop_HQNV_2026Q1_2026-06-23'!$B:$B, "="&amp;'CHECK_DT-BT'!A79)</f>
        <v>5550000</v>
      </c>
      <c r="F79" s="7">
        <f>SUMIFS('Tong_hop_HQNV_2026Q1_2026-06-23'!$K:$K,'Tong_hop_HQNV_2026Q1_2026-06-23'!$A:$A,"="&amp;'CHECK_DT-BT'!$F$2,'Tong_hop_HQNV_2026Q1_2026-06-23'!$B:$B, "="&amp;'CHECK_DT-BT'!A79)</f>
        <v>2054058575</v>
      </c>
      <c r="G79" s="7">
        <f>SUMIFS('Tong_hop_HQNV_2026Q1_2026-06-23'!$K:$K,'Tong_hop_HQNV_2026Q1_2026-06-23'!$A:$A,"="&amp;'CHECK_DT-BT'!$G$2,'Tong_hop_HQNV_2026Q1_2026-06-23'!$B:$B, "="&amp;'CHECK_DT-BT'!A79)</f>
        <v>344029705</v>
      </c>
      <c r="H79" s="7">
        <f>SUMIFS('Tong_hop_HQNV_2026Q1_2026-06-23'!$K:$K,'Tong_hop_HQNV_2026Q1_2026-06-23'!$A:$A,"="&amp;$H$2,'Tong_hop_HQNV_2026Q1_2026-06-23'!$B:$B, "="&amp;'CHECK_DT-BT'!A79)</f>
        <v>0</v>
      </c>
      <c r="I79" s="7">
        <f>SUMIFS('Tong_hop_HQNV_2026Q1_2026-06-23'!$K:$K,'Tong_hop_HQNV_2026Q1_2026-06-23'!$A:$A,"="&amp;$I$2,'Tong_hop_HQNV_2026Q1_2026-06-23'!$B:$B, "="&amp;'CHECK_DT-BT'!A79)</f>
        <v>0</v>
      </c>
      <c r="J79" s="7">
        <f>SUMIFS('Tong_hop_HQNV_2026Q1_2026-06-23'!$K:$K,'Tong_hop_HQNV_2026Q1_2026-06-23'!$A:$A,"="&amp;$J$2,'Tong_hop_HQNV_2026Q1_2026-06-23'!$B:$B, "="&amp;'CHECK_DT-BT'!A79)</f>
        <v>0</v>
      </c>
      <c r="K79" s="7">
        <f>SUMIFS('Tong_hop_HQNV_2026Q1_2026-06-23'!$K:$K,'Tong_hop_HQNV_2026Q1_2026-06-23'!$A:$A,"="&amp;$K$2,'Tong_hop_HQNV_2026Q1_2026-06-23'!$B:$B, "="&amp;'CHECK_DT-BT'!A79)</f>
        <v>2100000</v>
      </c>
      <c r="L79" s="7">
        <f>SUMIFS('Tong_hop_HQNV_2026Q1_2026-06-23'!$K:$K,'Tong_hop_HQNV_2026Q1_2026-06-23'!$A:$A,"="&amp;$L$2,'Tong_hop_HQNV_2026Q1_2026-06-23'!$B:$B, "="&amp;'CHECK_DT-BT'!A79)</f>
        <v>608153177</v>
      </c>
      <c r="M79" s="7">
        <f>SUMIFS('Tong_hop_HQNV_2026Q1_2026-06-23'!$K:$K,'Tong_hop_HQNV_2026Q1_2026-06-23'!$A:$A,"="&amp;$M$2,'Tong_hop_HQNV_2026Q1_2026-06-23'!$B:$B, "="&amp;'CHECK_DT-BT'!A79)</f>
        <v>271523120</v>
      </c>
      <c r="N79" s="7">
        <f>SUMIFS('Tong_hop_HQNV_2026Q1_2026-06-23'!$K:$K,'Tong_hop_HQNV_2026Q1_2026-06-23'!$A:$A,"="&amp;$N$2,'Tong_hop_HQNV_2026Q1_2026-06-23'!$B:$B, "="&amp;'CHECK_DT-BT'!A79)</f>
        <v>0</v>
      </c>
      <c r="O79" s="7">
        <f>SUMIFS('Tong_hop_HQNV_2026Q1_2026-06-23'!$K:$K,'Tong_hop_HQNV_2026Q1_2026-06-23'!$A:$A,"="&amp;$O$2,'Tong_hop_HQNV_2026Q1_2026-06-23'!$B:$B, "="&amp;'CHECK_DT-BT'!A79)</f>
        <v>0</v>
      </c>
      <c r="P79" s="7">
        <f>SUMIFS('Tong_hop_HQNV_2026Q1_2026-06-23'!$K:$K,'Tong_hop_HQNV_2026Q1_2026-06-23'!$A:$A,"="&amp;$P$2,'Tong_hop_HQNV_2026Q1_2026-06-23'!$B:$B, "="&amp;'CHECK_DT-BT'!A79)</f>
        <v>0</v>
      </c>
      <c r="Q79" s="7">
        <f t="shared" si="10"/>
        <v>4854779180</v>
      </c>
      <c r="R79" s="7">
        <f t="shared" si="11"/>
        <v>881776297</v>
      </c>
      <c r="S79" s="7">
        <f>SUMIFS('HQ1'!$C:$C,'HQ1'!$A:$A, "="&amp;'CHECK_DT-BT'!C79, 'HQ1'!$B:$B, "Total")</f>
        <v>4854779180</v>
      </c>
      <c r="T79" s="7">
        <f>SUMIFS('HQ2'!$C:$C,'HQ2'!$A:$A, "="&amp;'CHECK_DT-BT'!C79, 'HQ2'!$B:$B, "Total")</f>
        <v>881776297</v>
      </c>
      <c r="U79" s="7">
        <f t="shared" si="12"/>
        <v>0</v>
      </c>
      <c r="V79" s="7">
        <f t="shared" si="13"/>
        <v>0</v>
      </c>
      <c r="W79" s="23">
        <f>SUMIFS('Tong_hop_HQNV_2026Q1_2026-06-23'!$L:$L,'Tong_hop_HQNV_2026Q1_2026-06-23'!$B:$B, "="&amp;'CHECK_DT-BT'!A79, 'Tong_hop_HQNV_2026Q1_2026-06-23'!$A:$A, "="&amp;'CHECK_DT-BT'!$W$2)</f>
        <v>1959093954</v>
      </c>
      <c r="X79" s="7">
        <f>SUMIFS('Tong_hop_HQNV_2026Q1_2026-06-23'!$L:$L,'Tong_hop_HQNV_2026Q1_2026-06-23'!$B:$B, "="&amp;'CHECK_DT-BT'!A79, 'Tong_hop_HQNV_2026Q1_2026-06-23'!$A:$A, "="&amp;'CHECK_DT-BT'!$X$2)</f>
        <v>0</v>
      </c>
      <c r="Y79" s="7">
        <f>SUMIFS('Tong_hop_HQNV_2026Q1_2026-06-23'!$L:$L,'Tong_hop_HQNV_2026Q1_2026-06-23'!$B:$B, "="&amp;'CHECK_DT-BT'!A79, 'Tong_hop_HQNV_2026Q1_2026-06-23'!$A:$A, "="&amp;'CHECK_DT-BT'!$Y$2)</f>
        <v>156201109</v>
      </c>
      <c r="Z79" s="7">
        <f>SUMIFS('Tong_hop_HQNV_2026Q1_2026-06-23'!$L:$L,'Tong_hop_HQNV_2026Q1_2026-06-23'!$B:$B, "="&amp;'CHECK_DT-BT'!A79, 'Tong_hop_HQNV_2026Q1_2026-06-23'!$A:$A, "="&amp;'CHECK_DT-BT'!$Z$2)</f>
        <v>75386242</v>
      </c>
      <c r="AA79" s="7">
        <f>SUMIFS('Tong_hop_HQNV_2026Q1_2026-06-23'!$L:$L,'Tong_hop_HQNV_2026Q1_2026-06-23'!$B:$B, "="&amp;'CHECK_DT-BT'!A79, 'Tong_hop_HQNV_2026Q1_2026-06-23'!$A:$A, "="&amp;$AA$2)</f>
        <v>0</v>
      </c>
      <c r="AB79" s="7">
        <f>SUMIFS('Tong_hop_HQNV_2026Q1_2026-06-23'!$L:$L,'Tong_hop_HQNV_2026Q1_2026-06-23'!$B:$B, "="&amp;'CHECK_DT-BT'!A79, 'Tong_hop_HQNV_2026Q1_2026-06-23'!$A:$A, "="&amp;$AB$2)</f>
        <v>0</v>
      </c>
      <c r="AC79" s="7">
        <f>SUMIFS('Tong_hop_HQNV_2026Q1_2026-06-23'!$L:$L,'Tong_hop_HQNV_2026Q1_2026-06-23'!$B:$B, "="&amp;'CHECK_DT-BT'!A79, 'Tong_hop_HQNV_2026Q1_2026-06-23'!$A:$A, "="&amp;$AC$2)</f>
        <v>0</v>
      </c>
      <c r="AD79" s="7">
        <f>SUMIFS('Tong_hop_HQNV_2026Q1_2026-06-23'!$L:$L,'Tong_hop_HQNV_2026Q1_2026-06-23'!$B:$B, "="&amp;'CHECK_DT-BT'!A79, 'Tong_hop_HQNV_2026Q1_2026-06-23'!$A:$A, "="&amp;$AD$2)</f>
        <v>0</v>
      </c>
      <c r="AE79" s="7">
        <f>SUMIFS('Tong_hop_HQNV_2026Q1_2026-06-23'!$L:$L,'Tong_hop_HQNV_2026Q1_2026-06-23'!$B:$B, "="&amp;'CHECK_DT-BT'!A79, 'Tong_hop_HQNV_2026Q1_2026-06-23'!$A:$A, "="&amp;$AE$2)</f>
        <v>0</v>
      </c>
      <c r="AF79" s="7">
        <f>SUMIFS('Tong_hop_HQNV_2026Q1_2026-06-23'!$L:$L,'Tong_hop_HQNV_2026Q1_2026-06-23'!$B:$B, "="&amp;'CHECK_DT-BT'!A79, 'Tong_hop_HQNV_2026Q1_2026-06-23'!$A:$A, "="&amp;$AF$2)</f>
        <v>0</v>
      </c>
      <c r="AG79" s="7">
        <f>SUMIFS('Tong_hop_HQNV_2026Q1_2026-06-23'!$L:$L,'Tong_hop_HQNV_2026Q1_2026-06-23'!$B:$B, "="&amp;'CHECK_DT-BT'!A79, 'Tong_hop_HQNV_2026Q1_2026-06-23'!$A:$A, "="&amp;$AG$2)</f>
        <v>0</v>
      </c>
      <c r="AH79" s="7">
        <f>SUMIFS('Tong_hop_HQNV_2026Q1_2026-06-23'!$L:$L,'Tong_hop_HQNV_2026Q1_2026-06-23'!$B:$B, "="&amp;'CHECK_DT-BT'!A79, 'Tong_hop_HQNV_2026Q1_2026-06-23'!$A:$A, "="&amp;$AH$2)</f>
        <v>0</v>
      </c>
      <c r="AI79" s="7">
        <f>SUMIFS('Tong_hop_HQNV_2026Q1_2026-06-23'!$L:$L,'Tong_hop_HQNV_2026Q1_2026-06-23'!$B:$B, "="&amp;'CHECK_DT-BT'!A79, 'Tong_hop_HQNV_2026Q1_2026-06-23'!$A:$A, "="&amp;$AI$2)</f>
        <v>0</v>
      </c>
      <c r="AJ79" s="7">
        <f t="shared" si="14"/>
        <v>2190681305</v>
      </c>
      <c r="AK79" s="7">
        <f t="shared" si="15"/>
        <v>0</v>
      </c>
      <c r="AL79" s="7">
        <f>SUMIFS('HQ1'!$D:$D,'HQ1'!$A:$A, "="&amp;'CHECK_DT-BT'!C79, 'HQ1'!$B:$B, "Total")</f>
        <v>2190681305</v>
      </c>
      <c r="AM79" s="7">
        <f>SUMIFS('HQ2'!$J:$J,'HQ2'!$A:$A, "="&amp;'CHECK_DT-BT'!C79, 'HQ2'!$B:$B, "Total")</f>
        <v>0</v>
      </c>
      <c r="AN79" s="24">
        <f t="shared" si="16"/>
        <v>0</v>
      </c>
      <c r="AO79" s="24">
        <f t="shared" si="17"/>
        <v>0</v>
      </c>
    </row>
    <row r="80" spans="1:41" x14ac:dyDescent="0.25">
      <c r="A80" s="9" t="s">
        <v>360</v>
      </c>
      <c r="B80" t="s">
        <v>218</v>
      </c>
      <c r="C80" t="s">
        <v>86</v>
      </c>
      <c r="D80" s="7">
        <f>SUMIFS('Tong_hop_HQNV_2026Q1_2026-06-23'!$K:$K,'Tong_hop_HQNV_2026Q1_2026-06-23'!$A:$A,"="&amp;'CHECK_DT-BT'!$D$2,'Tong_hop_HQNV_2026Q1_2026-06-23'!$B:$B, "="&amp;'CHECK_DT-BT'!A80)</f>
        <v>1364467106</v>
      </c>
      <c r="E80" s="7">
        <f>SUMIFS('Tong_hop_HQNV_2026Q1_2026-06-23'!$K:$K,'Tong_hop_HQNV_2026Q1_2026-06-23'!$A:$A,"="&amp;'CHECK_DT-BT'!$E$2,'Tong_hop_HQNV_2026Q1_2026-06-23'!$B:$B, "="&amp;'CHECK_DT-BT'!A80)</f>
        <v>19242300</v>
      </c>
      <c r="F80" s="7">
        <f>SUMIFS('Tong_hop_HQNV_2026Q1_2026-06-23'!$K:$K,'Tong_hop_HQNV_2026Q1_2026-06-23'!$A:$A,"="&amp;'CHECK_DT-BT'!$F$2,'Tong_hop_HQNV_2026Q1_2026-06-23'!$B:$B, "="&amp;'CHECK_DT-BT'!A80)</f>
        <v>3846640405</v>
      </c>
      <c r="G80" s="7">
        <f>SUMIFS('Tong_hop_HQNV_2026Q1_2026-06-23'!$K:$K,'Tong_hop_HQNV_2026Q1_2026-06-23'!$A:$A,"="&amp;'CHECK_DT-BT'!$G$2,'Tong_hop_HQNV_2026Q1_2026-06-23'!$B:$B, "="&amp;'CHECK_DT-BT'!A80)</f>
        <v>1402443390</v>
      </c>
      <c r="H80" s="7">
        <f>SUMIFS('Tong_hop_HQNV_2026Q1_2026-06-23'!$K:$K,'Tong_hop_HQNV_2026Q1_2026-06-23'!$A:$A,"="&amp;$H$2,'Tong_hop_HQNV_2026Q1_2026-06-23'!$B:$B, "="&amp;'CHECK_DT-BT'!A80)</f>
        <v>307719672</v>
      </c>
      <c r="I80" s="7">
        <f>SUMIFS('Tong_hop_HQNV_2026Q1_2026-06-23'!$K:$K,'Tong_hop_HQNV_2026Q1_2026-06-23'!$A:$A,"="&amp;$I$2,'Tong_hop_HQNV_2026Q1_2026-06-23'!$B:$B, "="&amp;'CHECK_DT-BT'!A80)</f>
        <v>0</v>
      </c>
      <c r="J80" s="7">
        <f>SUMIFS('Tong_hop_HQNV_2026Q1_2026-06-23'!$K:$K,'Tong_hop_HQNV_2026Q1_2026-06-23'!$A:$A,"="&amp;$J$2,'Tong_hop_HQNV_2026Q1_2026-06-23'!$B:$B, "="&amp;'CHECK_DT-BT'!A80)</f>
        <v>0</v>
      </c>
      <c r="K80" s="7">
        <f>SUMIFS('Tong_hop_HQNV_2026Q1_2026-06-23'!$K:$K,'Tong_hop_HQNV_2026Q1_2026-06-23'!$A:$A,"="&amp;$K$2,'Tong_hop_HQNV_2026Q1_2026-06-23'!$B:$B, "="&amp;'CHECK_DT-BT'!A80)</f>
        <v>280493364</v>
      </c>
      <c r="L80" s="7">
        <f>SUMIFS('Tong_hop_HQNV_2026Q1_2026-06-23'!$K:$K,'Tong_hop_HQNV_2026Q1_2026-06-23'!$A:$A,"="&amp;$L$2,'Tong_hop_HQNV_2026Q1_2026-06-23'!$B:$B, "="&amp;'CHECK_DT-BT'!A80)</f>
        <v>2190965471</v>
      </c>
      <c r="M80" s="7">
        <f>SUMIFS('Tong_hop_HQNV_2026Q1_2026-06-23'!$K:$K,'Tong_hop_HQNV_2026Q1_2026-06-23'!$A:$A,"="&amp;$M$2,'Tong_hop_HQNV_2026Q1_2026-06-23'!$B:$B, "="&amp;'CHECK_DT-BT'!A80)</f>
        <v>288854053</v>
      </c>
      <c r="N80" s="7">
        <f>SUMIFS('Tong_hop_HQNV_2026Q1_2026-06-23'!$K:$K,'Tong_hop_HQNV_2026Q1_2026-06-23'!$A:$A,"="&amp;$N$2,'Tong_hop_HQNV_2026Q1_2026-06-23'!$B:$B, "="&amp;'CHECK_DT-BT'!A80)</f>
        <v>36401818</v>
      </c>
      <c r="O80" s="7">
        <f>SUMIFS('Tong_hop_HQNV_2026Q1_2026-06-23'!$K:$K,'Tong_hop_HQNV_2026Q1_2026-06-23'!$A:$A,"="&amp;$O$2,'Tong_hop_HQNV_2026Q1_2026-06-23'!$B:$B, "="&amp;'CHECK_DT-BT'!A80)</f>
        <v>0</v>
      </c>
      <c r="P80" s="7">
        <f>SUMIFS('Tong_hop_HQNV_2026Q1_2026-06-23'!$K:$K,'Tong_hop_HQNV_2026Q1_2026-06-23'!$A:$A,"="&amp;$P$2,'Tong_hop_HQNV_2026Q1_2026-06-23'!$B:$B, "="&amp;'CHECK_DT-BT'!A80)</f>
        <v>0</v>
      </c>
      <c r="Q80" s="7">
        <f t="shared" si="10"/>
        <v>6632793201</v>
      </c>
      <c r="R80" s="7">
        <f t="shared" si="11"/>
        <v>3104434378</v>
      </c>
      <c r="S80" s="7">
        <f>SUMIFS('HQ1'!$C:$C,'HQ1'!$A:$A, "="&amp;'CHECK_DT-BT'!C80, 'HQ1'!$B:$B, "Total")</f>
        <v>6632793201</v>
      </c>
      <c r="T80" s="7">
        <f>SUMIFS('HQ2'!$C:$C,'HQ2'!$A:$A, "="&amp;'CHECK_DT-BT'!C80, 'HQ2'!$B:$B, "Total")</f>
        <v>3104434378</v>
      </c>
      <c r="U80" s="7">
        <f t="shared" si="12"/>
        <v>0</v>
      </c>
      <c r="V80" s="7">
        <f t="shared" si="13"/>
        <v>0</v>
      </c>
      <c r="W80" s="23">
        <f>SUMIFS('Tong_hop_HQNV_2026Q1_2026-06-23'!$L:$L,'Tong_hop_HQNV_2026Q1_2026-06-23'!$B:$B, "="&amp;'CHECK_DT-BT'!A80, 'Tong_hop_HQNV_2026Q1_2026-06-23'!$A:$A, "="&amp;'CHECK_DT-BT'!$W$2)</f>
        <v>3262052000</v>
      </c>
      <c r="X80" s="7">
        <f>SUMIFS('Tong_hop_HQNV_2026Q1_2026-06-23'!$L:$L,'Tong_hop_HQNV_2026Q1_2026-06-23'!$B:$B, "="&amp;'CHECK_DT-BT'!A80, 'Tong_hop_HQNV_2026Q1_2026-06-23'!$A:$A, "="&amp;'CHECK_DT-BT'!$X$2)</f>
        <v>0</v>
      </c>
      <c r="Y80" s="7">
        <f>SUMIFS('Tong_hop_HQNV_2026Q1_2026-06-23'!$L:$L,'Tong_hop_HQNV_2026Q1_2026-06-23'!$B:$B, "="&amp;'CHECK_DT-BT'!A80, 'Tong_hop_HQNV_2026Q1_2026-06-23'!$A:$A, "="&amp;'CHECK_DT-BT'!$Y$2)</f>
        <v>1550539877</v>
      </c>
      <c r="Z80" s="7">
        <f>SUMIFS('Tong_hop_HQNV_2026Q1_2026-06-23'!$L:$L,'Tong_hop_HQNV_2026Q1_2026-06-23'!$B:$B, "="&amp;'CHECK_DT-BT'!A80, 'Tong_hop_HQNV_2026Q1_2026-06-23'!$A:$A, "="&amp;'CHECK_DT-BT'!$Z$2)</f>
        <v>525316533</v>
      </c>
      <c r="AA80" s="7">
        <f>SUMIFS('Tong_hop_HQNV_2026Q1_2026-06-23'!$L:$L,'Tong_hop_HQNV_2026Q1_2026-06-23'!$B:$B, "="&amp;'CHECK_DT-BT'!A80, 'Tong_hop_HQNV_2026Q1_2026-06-23'!$A:$A, "="&amp;$AA$2)</f>
        <v>35090600</v>
      </c>
      <c r="AB80" s="7">
        <f>SUMIFS('Tong_hop_HQNV_2026Q1_2026-06-23'!$L:$L,'Tong_hop_HQNV_2026Q1_2026-06-23'!$B:$B, "="&amp;'CHECK_DT-BT'!A80, 'Tong_hop_HQNV_2026Q1_2026-06-23'!$A:$A, "="&amp;$AB$2)</f>
        <v>0</v>
      </c>
      <c r="AC80" s="7">
        <f>SUMIFS('Tong_hop_HQNV_2026Q1_2026-06-23'!$L:$L,'Tong_hop_HQNV_2026Q1_2026-06-23'!$B:$B, "="&amp;'CHECK_DT-BT'!A80, 'Tong_hop_HQNV_2026Q1_2026-06-23'!$A:$A, "="&amp;$AC$2)</f>
        <v>0</v>
      </c>
      <c r="AD80" s="7">
        <f>SUMIFS('Tong_hop_HQNV_2026Q1_2026-06-23'!$L:$L,'Tong_hop_HQNV_2026Q1_2026-06-23'!$B:$B, "="&amp;'CHECK_DT-BT'!A80, 'Tong_hop_HQNV_2026Q1_2026-06-23'!$A:$A, "="&amp;$AD$2)</f>
        <v>50645519</v>
      </c>
      <c r="AE80" s="7">
        <f>SUMIFS('Tong_hop_HQNV_2026Q1_2026-06-23'!$L:$L,'Tong_hop_HQNV_2026Q1_2026-06-23'!$B:$B, "="&amp;'CHECK_DT-BT'!A80, 'Tong_hop_HQNV_2026Q1_2026-06-23'!$A:$A, "="&amp;$AE$2)</f>
        <v>0</v>
      </c>
      <c r="AF80" s="7">
        <f>SUMIFS('Tong_hop_HQNV_2026Q1_2026-06-23'!$L:$L,'Tong_hop_HQNV_2026Q1_2026-06-23'!$B:$B, "="&amp;'CHECK_DT-BT'!A80, 'Tong_hop_HQNV_2026Q1_2026-06-23'!$A:$A, "="&amp;$AF$2)</f>
        <v>0</v>
      </c>
      <c r="AG80" s="7">
        <f>SUMIFS('Tong_hop_HQNV_2026Q1_2026-06-23'!$L:$L,'Tong_hop_HQNV_2026Q1_2026-06-23'!$B:$B, "="&amp;'CHECK_DT-BT'!A80, 'Tong_hop_HQNV_2026Q1_2026-06-23'!$A:$A, "="&amp;$AG$2)</f>
        <v>0</v>
      </c>
      <c r="AH80" s="7">
        <f>SUMIFS('Tong_hop_HQNV_2026Q1_2026-06-23'!$L:$L,'Tong_hop_HQNV_2026Q1_2026-06-23'!$B:$B, "="&amp;'CHECK_DT-BT'!A80, 'Tong_hop_HQNV_2026Q1_2026-06-23'!$A:$A, "="&amp;$AH$2)</f>
        <v>0</v>
      </c>
      <c r="AI80" s="7">
        <f>SUMIFS('Tong_hop_HQNV_2026Q1_2026-06-23'!$L:$L,'Tong_hop_HQNV_2026Q1_2026-06-23'!$B:$B, "="&amp;'CHECK_DT-BT'!A80, 'Tong_hop_HQNV_2026Q1_2026-06-23'!$A:$A, "="&amp;$AI$2)</f>
        <v>0</v>
      </c>
      <c r="AJ80" s="7">
        <f t="shared" si="14"/>
        <v>5337908410</v>
      </c>
      <c r="AK80" s="7">
        <f t="shared" si="15"/>
        <v>85736119</v>
      </c>
      <c r="AL80" s="7">
        <f>SUMIFS('HQ1'!$D:$D,'HQ1'!$A:$A, "="&amp;'CHECK_DT-BT'!C80, 'HQ1'!$B:$B, "Total")</f>
        <v>5337908410</v>
      </c>
      <c r="AM80" s="7">
        <f>SUMIFS('HQ2'!$J:$J,'HQ2'!$A:$A, "="&amp;'CHECK_DT-BT'!C80, 'HQ2'!$B:$B, "Total")</f>
        <v>85736119</v>
      </c>
      <c r="AN80" s="24">
        <f t="shared" si="16"/>
        <v>0</v>
      </c>
      <c r="AO80" s="24">
        <f t="shared" si="17"/>
        <v>0</v>
      </c>
    </row>
    <row r="81" spans="1:41" x14ac:dyDescent="0.25">
      <c r="A81" s="9" t="s">
        <v>361</v>
      </c>
      <c r="B81" t="s">
        <v>219</v>
      </c>
      <c r="C81" t="s">
        <v>85</v>
      </c>
      <c r="D81" s="7">
        <f>SUMIFS('Tong_hop_HQNV_2026Q1_2026-06-23'!$K:$K,'Tong_hop_HQNV_2026Q1_2026-06-23'!$A:$A,"="&amp;'CHECK_DT-BT'!$D$2,'Tong_hop_HQNV_2026Q1_2026-06-23'!$B:$B, "="&amp;'CHECK_DT-BT'!A81)</f>
        <v>3836121865</v>
      </c>
      <c r="E81" s="7">
        <f>SUMIFS('Tong_hop_HQNV_2026Q1_2026-06-23'!$K:$K,'Tong_hop_HQNV_2026Q1_2026-06-23'!$A:$A,"="&amp;'CHECK_DT-BT'!$E$2,'Tong_hop_HQNV_2026Q1_2026-06-23'!$B:$B, "="&amp;'CHECK_DT-BT'!A81)</f>
        <v>55692400</v>
      </c>
      <c r="F81" s="7">
        <f>SUMIFS('Tong_hop_HQNV_2026Q1_2026-06-23'!$K:$K,'Tong_hop_HQNV_2026Q1_2026-06-23'!$A:$A,"="&amp;'CHECK_DT-BT'!$F$2,'Tong_hop_HQNV_2026Q1_2026-06-23'!$B:$B, "="&amp;'CHECK_DT-BT'!A81)</f>
        <v>2337341258</v>
      </c>
      <c r="G81" s="7">
        <f>SUMIFS('Tong_hop_HQNV_2026Q1_2026-06-23'!$K:$K,'Tong_hop_HQNV_2026Q1_2026-06-23'!$A:$A,"="&amp;'CHECK_DT-BT'!$G$2,'Tong_hop_HQNV_2026Q1_2026-06-23'!$B:$B, "="&amp;'CHECK_DT-BT'!A81)</f>
        <v>2716688805</v>
      </c>
      <c r="H81" s="7">
        <f>SUMIFS('Tong_hop_HQNV_2026Q1_2026-06-23'!$K:$K,'Tong_hop_HQNV_2026Q1_2026-06-23'!$A:$A,"="&amp;$H$2,'Tong_hop_HQNV_2026Q1_2026-06-23'!$B:$B, "="&amp;'CHECK_DT-BT'!A81)</f>
        <v>186522983</v>
      </c>
      <c r="I81" s="7">
        <f>SUMIFS('Tong_hop_HQNV_2026Q1_2026-06-23'!$K:$K,'Tong_hop_HQNV_2026Q1_2026-06-23'!$A:$A,"="&amp;$I$2,'Tong_hop_HQNV_2026Q1_2026-06-23'!$B:$B, "="&amp;'CHECK_DT-BT'!A81)</f>
        <v>0</v>
      </c>
      <c r="J81" s="7">
        <f>SUMIFS('Tong_hop_HQNV_2026Q1_2026-06-23'!$K:$K,'Tong_hop_HQNV_2026Q1_2026-06-23'!$A:$A,"="&amp;$J$2,'Tong_hop_HQNV_2026Q1_2026-06-23'!$B:$B, "="&amp;'CHECK_DT-BT'!A81)</f>
        <v>0</v>
      </c>
      <c r="K81" s="7">
        <f>SUMIFS('Tong_hop_HQNV_2026Q1_2026-06-23'!$K:$K,'Tong_hop_HQNV_2026Q1_2026-06-23'!$A:$A,"="&amp;$K$2,'Tong_hop_HQNV_2026Q1_2026-06-23'!$B:$B, "="&amp;'CHECK_DT-BT'!A81)</f>
        <v>39600000</v>
      </c>
      <c r="L81" s="7">
        <f>SUMIFS('Tong_hop_HQNV_2026Q1_2026-06-23'!$K:$K,'Tong_hop_HQNV_2026Q1_2026-06-23'!$A:$A,"="&amp;$L$2,'Tong_hop_HQNV_2026Q1_2026-06-23'!$B:$B, "="&amp;'CHECK_DT-BT'!A81)</f>
        <v>2775981020</v>
      </c>
      <c r="M81" s="7">
        <f>SUMIFS('Tong_hop_HQNV_2026Q1_2026-06-23'!$K:$K,'Tong_hop_HQNV_2026Q1_2026-06-23'!$A:$A,"="&amp;$M$2,'Tong_hop_HQNV_2026Q1_2026-06-23'!$B:$B, "="&amp;'CHECK_DT-BT'!A81)</f>
        <v>205208267</v>
      </c>
      <c r="N81" s="7">
        <f>SUMIFS('Tong_hop_HQNV_2026Q1_2026-06-23'!$K:$K,'Tong_hop_HQNV_2026Q1_2026-06-23'!$A:$A,"="&amp;$N$2,'Tong_hop_HQNV_2026Q1_2026-06-23'!$B:$B, "="&amp;'CHECK_DT-BT'!A81)</f>
        <v>183000000</v>
      </c>
      <c r="O81" s="7">
        <f>SUMIFS('Tong_hop_HQNV_2026Q1_2026-06-23'!$K:$K,'Tong_hop_HQNV_2026Q1_2026-06-23'!$A:$A,"="&amp;$O$2,'Tong_hop_HQNV_2026Q1_2026-06-23'!$B:$B, "="&amp;'CHECK_DT-BT'!A81)</f>
        <v>0</v>
      </c>
      <c r="P81" s="7">
        <f>SUMIFS('Tong_hop_HQNV_2026Q1_2026-06-23'!$K:$K,'Tong_hop_HQNV_2026Q1_2026-06-23'!$A:$A,"="&amp;$P$2,'Tong_hop_HQNV_2026Q1_2026-06-23'!$B:$B, "="&amp;'CHECK_DT-BT'!A81)</f>
        <v>0</v>
      </c>
      <c r="Q81" s="7">
        <f t="shared" si="10"/>
        <v>8945844328</v>
      </c>
      <c r="R81" s="7">
        <f t="shared" si="11"/>
        <v>3390312270</v>
      </c>
      <c r="S81" s="7">
        <f>SUMIFS('HQ1'!$C:$C,'HQ1'!$A:$A, "="&amp;'CHECK_DT-BT'!C81, 'HQ1'!$B:$B, "Total")</f>
        <v>8945844328</v>
      </c>
      <c r="T81" s="7">
        <f>SUMIFS('HQ2'!$C:$C,'HQ2'!$A:$A, "="&amp;'CHECK_DT-BT'!C81, 'HQ2'!$B:$B, "Total")</f>
        <v>3390312270</v>
      </c>
      <c r="U81" s="7">
        <f t="shared" si="12"/>
        <v>0</v>
      </c>
      <c r="V81" s="7">
        <f t="shared" si="13"/>
        <v>0</v>
      </c>
      <c r="W81" s="23">
        <f>SUMIFS('Tong_hop_HQNV_2026Q1_2026-06-23'!$L:$L,'Tong_hop_HQNV_2026Q1_2026-06-23'!$B:$B, "="&amp;'CHECK_DT-BT'!A81, 'Tong_hop_HQNV_2026Q1_2026-06-23'!$A:$A, "="&amp;'CHECK_DT-BT'!$W$2)</f>
        <v>2259772407</v>
      </c>
      <c r="X81" s="7">
        <f>SUMIFS('Tong_hop_HQNV_2026Q1_2026-06-23'!$L:$L,'Tong_hop_HQNV_2026Q1_2026-06-23'!$B:$B, "="&amp;'CHECK_DT-BT'!A81, 'Tong_hop_HQNV_2026Q1_2026-06-23'!$A:$A, "="&amp;'CHECK_DT-BT'!$X$2)</f>
        <v>0</v>
      </c>
      <c r="Y81" s="7">
        <f>SUMIFS('Tong_hop_HQNV_2026Q1_2026-06-23'!$L:$L,'Tong_hop_HQNV_2026Q1_2026-06-23'!$B:$B, "="&amp;'CHECK_DT-BT'!A81, 'Tong_hop_HQNV_2026Q1_2026-06-23'!$A:$A, "="&amp;'CHECK_DT-BT'!$Y$2)</f>
        <v>569970628</v>
      </c>
      <c r="Z81" s="7">
        <f>SUMIFS('Tong_hop_HQNV_2026Q1_2026-06-23'!$L:$L,'Tong_hop_HQNV_2026Q1_2026-06-23'!$B:$B, "="&amp;'CHECK_DT-BT'!A81, 'Tong_hop_HQNV_2026Q1_2026-06-23'!$A:$A, "="&amp;'CHECK_DT-BT'!$Z$2)</f>
        <v>766381418</v>
      </c>
      <c r="AA81" s="7">
        <f>SUMIFS('Tong_hop_HQNV_2026Q1_2026-06-23'!$L:$L,'Tong_hop_HQNV_2026Q1_2026-06-23'!$B:$B, "="&amp;'CHECK_DT-BT'!A81, 'Tong_hop_HQNV_2026Q1_2026-06-23'!$A:$A, "="&amp;$AA$2)</f>
        <v>0</v>
      </c>
      <c r="AB81" s="7">
        <f>SUMIFS('Tong_hop_HQNV_2026Q1_2026-06-23'!$L:$L,'Tong_hop_HQNV_2026Q1_2026-06-23'!$B:$B, "="&amp;'CHECK_DT-BT'!A81, 'Tong_hop_HQNV_2026Q1_2026-06-23'!$A:$A, "="&amp;$AB$2)</f>
        <v>0</v>
      </c>
      <c r="AC81" s="7">
        <f>SUMIFS('Tong_hop_HQNV_2026Q1_2026-06-23'!$L:$L,'Tong_hop_HQNV_2026Q1_2026-06-23'!$B:$B, "="&amp;'CHECK_DT-BT'!A81, 'Tong_hop_HQNV_2026Q1_2026-06-23'!$A:$A, "="&amp;$AC$2)</f>
        <v>0</v>
      </c>
      <c r="AD81" s="7">
        <f>SUMIFS('Tong_hop_HQNV_2026Q1_2026-06-23'!$L:$L,'Tong_hop_HQNV_2026Q1_2026-06-23'!$B:$B, "="&amp;'CHECK_DT-BT'!A81, 'Tong_hop_HQNV_2026Q1_2026-06-23'!$A:$A, "="&amp;$AD$2)</f>
        <v>0</v>
      </c>
      <c r="AE81" s="7">
        <f>SUMIFS('Tong_hop_HQNV_2026Q1_2026-06-23'!$L:$L,'Tong_hop_HQNV_2026Q1_2026-06-23'!$B:$B, "="&amp;'CHECK_DT-BT'!A81, 'Tong_hop_HQNV_2026Q1_2026-06-23'!$A:$A, "="&amp;$AE$2)</f>
        <v>0</v>
      </c>
      <c r="AF81" s="7">
        <f>SUMIFS('Tong_hop_HQNV_2026Q1_2026-06-23'!$L:$L,'Tong_hop_HQNV_2026Q1_2026-06-23'!$B:$B, "="&amp;'CHECK_DT-BT'!A81, 'Tong_hop_HQNV_2026Q1_2026-06-23'!$A:$A, "="&amp;$AF$2)</f>
        <v>0</v>
      </c>
      <c r="AG81" s="7">
        <f>SUMIFS('Tong_hop_HQNV_2026Q1_2026-06-23'!$L:$L,'Tong_hop_HQNV_2026Q1_2026-06-23'!$B:$B, "="&amp;'CHECK_DT-BT'!A81, 'Tong_hop_HQNV_2026Q1_2026-06-23'!$A:$A, "="&amp;$AG$2)</f>
        <v>0</v>
      </c>
      <c r="AH81" s="7">
        <f>SUMIFS('Tong_hop_HQNV_2026Q1_2026-06-23'!$L:$L,'Tong_hop_HQNV_2026Q1_2026-06-23'!$B:$B, "="&amp;'CHECK_DT-BT'!A81, 'Tong_hop_HQNV_2026Q1_2026-06-23'!$A:$A, "="&amp;$AH$2)</f>
        <v>0</v>
      </c>
      <c r="AI81" s="7">
        <f>SUMIFS('Tong_hop_HQNV_2026Q1_2026-06-23'!$L:$L,'Tong_hop_HQNV_2026Q1_2026-06-23'!$B:$B, "="&amp;'CHECK_DT-BT'!A81, 'Tong_hop_HQNV_2026Q1_2026-06-23'!$A:$A, "="&amp;$AI$2)</f>
        <v>0</v>
      </c>
      <c r="AJ81" s="7">
        <f t="shared" si="14"/>
        <v>3596124453</v>
      </c>
      <c r="AK81" s="7">
        <f t="shared" si="15"/>
        <v>0</v>
      </c>
      <c r="AL81" s="7">
        <f>SUMIFS('HQ1'!$D:$D,'HQ1'!$A:$A, "="&amp;'CHECK_DT-BT'!C81, 'HQ1'!$B:$B, "Total")</f>
        <v>3596124453</v>
      </c>
      <c r="AM81" s="7">
        <f>SUMIFS('HQ2'!$J:$J,'HQ2'!$A:$A, "="&amp;'CHECK_DT-BT'!C81, 'HQ2'!$B:$B, "Total")</f>
        <v>0</v>
      </c>
      <c r="AN81" s="24">
        <f t="shared" si="16"/>
        <v>0</v>
      </c>
      <c r="AO81" s="24">
        <f t="shared" si="17"/>
        <v>0</v>
      </c>
    </row>
    <row r="82" spans="1:41" x14ac:dyDescent="0.25">
      <c r="A82" s="9" t="s">
        <v>362</v>
      </c>
      <c r="B82" t="s">
        <v>220</v>
      </c>
      <c r="C82" t="s">
        <v>129</v>
      </c>
      <c r="D82" s="7">
        <f>SUMIFS('Tong_hop_HQNV_2026Q1_2026-06-23'!$K:$K,'Tong_hop_HQNV_2026Q1_2026-06-23'!$A:$A,"="&amp;'CHECK_DT-BT'!$D$2,'Tong_hop_HQNV_2026Q1_2026-06-23'!$B:$B, "="&amp;'CHECK_DT-BT'!A82)</f>
        <v>1488547865</v>
      </c>
      <c r="E82" s="7">
        <f>SUMIFS('Tong_hop_HQNV_2026Q1_2026-06-23'!$K:$K,'Tong_hop_HQNV_2026Q1_2026-06-23'!$A:$A,"="&amp;'CHECK_DT-BT'!$E$2,'Tong_hop_HQNV_2026Q1_2026-06-23'!$B:$B, "="&amp;'CHECK_DT-BT'!A82)</f>
        <v>49529025</v>
      </c>
      <c r="F82" s="7">
        <f>SUMIFS('Tong_hop_HQNV_2026Q1_2026-06-23'!$K:$K,'Tong_hop_HQNV_2026Q1_2026-06-23'!$A:$A,"="&amp;'CHECK_DT-BT'!$F$2,'Tong_hop_HQNV_2026Q1_2026-06-23'!$B:$B, "="&amp;'CHECK_DT-BT'!A82)</f>
        <v>1819003363</v>
      </c>
      <c r="G82" s="7">
        <f>SUMIFS('Tong_hop_HQNV_2026Q1_2026-06-23'!$K:$K,'Tong_hop_HQNV_2026Q1_2026-06-23'!$A:$A,"="&amp;'CHECK_DT-BT'!$G$2,'Tong_hop_HQNV_2026Q1_2026-06-23'!$B:$B, "="&amp;'CHECK_DT-BT'!A82)</f>
        <v>106144300</v>
      </c>
      <c r="H82" s="7">
        <f>SUMIFS('Tong_hop_HQNV_2026Q1_2026-06-23'!$K:$K,'Tong_hop_HQNV_2026Q1_2026-06-23'!$A:$A,"="&amp;$H$2,'Tong_hop_HQNV_2026Q1_2026-06-23'!$B:$B, "="&amp;'CHECK_DT-BT'!A82)</f>
        <v>0</v>
      </c>
      <c r="I82" s="7">
        <f>SUMIFS('Tong_hop_HQNV_2026Q1_2026-06-23'!$K:$K,'Tong_hop_HQNV_2026Q1_2026-06-23'!$A:$A,"="&amp;$I$2,'Tong_hop_HQNV_2026Q1_2026-06-23'!$B:$B, "="&amp;'CHECK_DT-BT'!A82)</f>
        <v>0</v>
      </c>
      <c r="J82" s="7">
        <f>SUMIFS('Tong_hop_HQNV_2026Q1_2026-06-23'!$K:$K,'Tong_hop_HQNV_2026Q1_2026-06-23'!$A:$A,"="&amp;$J$2,'Tong_hop_HQNV_2026Q1_2026-06-23'!$B:$B, "="&amp;'CHECK_DT-BT'!A82)</f>
        <v>0</v>
      </c>
      <c r="K82" s="7">
        <f>SUMIFS('Tong_hop_HQNV_2026Q1_2026-06-23'!$K:$K,'Tong_hop_HQNV_2026Q1_2026-06-23'!$A:$A,"="&amp;$K$2,'Tong_hop_HQNV_2026Q1_2026-06-23'!$B:$B, "="&amp;'CHECK_DT-BT'!A82)</f>
        <v>0</v>
      </c>
      <c r="L82" s="7">
        <f>SUMIFS('Tong_hop_HQNV_2026Q1_2026-06-23'!$K:$K,'Tong_hop_HQNV_2026Q1_2026-06-23'!$A:$A,"="&amp;$L$2,'Tong_hop_HQNV_2026Q1_2026-06-23'!$B:$B, "="&amp;'CHECK_DT-BT'!A82)</f>
        <v>24274579</v>
      </c>
      <c r="M82" s="7">
        <f>SUMIFS('Tong_hop_HQNV_2026Q1_2026-06-23'!$K:$K,'Tong_hop_HQNV_2026Q1_2026-06-23'!$A:$A,"="&amp;$M$2,'Tong_hop_HQNV_2026Q1_2026-06-23'!$B:$B, "="&amp;'CHECK_DT-BT'!A82)</f>
        <v>20838182</v>
      </c>
      <c r="N82" s="7">
        <f>SUMIFS('Tong_hop_HQNV_2026Q1_2026-06-23'!$K:$K,'Tong_hop_HQNV_2026Q1_2026-06-23'!$A:$A,"="&amp;$N$2,'Tong_hop_HQNV_2026Q1_2026-06-23'!$B:$B, "="&amp;'CHECK_DT-BT'!A82)</f>
        <v>0</v>
      </c>
      <c r="O82" s="7">
        <f>SUMIFS('Tong_hop_HQNV_2026Q1_2026-06-23'!$K:$K,'Tong_hop_HQNV_2026Q1_2026-06-23'!$A:$A,"="&amp;$O$2,'Tong_hop_HQNV_2026Q1_2026-06-23'!$B:$B, "="&amp;'CHECK_DT-BT'!A82)</f>
        <v>0</v>
      </c>
      <c r="P82" s="7">
        <f>SUMIFS('Tong_hop_HQNV_2026Q1_2026-06-23'!$K:$K,'Tong_hop_HQNV_2026Q1_2026-06-23'!$A:$A,"="&amp;$P$2,'Tong_hop_HQNV_2026Q1_2026-06-23'!$B:$B, "="&amp;'CHECK_DT-BT'!A82)</f>
        <v>0</v>
      </c>
      <c r="Q82" s="7">
        <f t="shared" si="10"/>
        <v>3463224553</v>
      </c>
      <c r="R82" s="7">
        <f t="shared" si="11"/>
        <v>45112761</v>
      </c>
      <c r="S82" s="7">
        <f>SUMIFS('HQ1'!$C:$C,'HQ1'!$A:$A, "="&amp;'CHECK_DT-BT'!C82, 'HQ1'!$B:$B, "Total")</f>
        <v>3463224553</v>
      </c>
      <c r="T82" s="7">
        <f>SUMIFS('HQ2'!$C:$C,'HQ2'!$A:$A, "="&amp;'CHECK_DT-BT'!C82, 'HQ2'!$B:$B, "Total")</f>
        <v>45112761</v>
      </c>
      <c r="U82" s="7">
        <f t="shared" si="12"/>
        <v>0</v>
      </c>
      <c r="V82" s="7">
        <f t="shared" si="13"/>
        <v>0</v>
      </c>
      <c r="W82" s="23">
        <f>SUMIFS('Tong_hop_HQNV_2026Q1_2026-06-23'!$L:$L,'Tong_hop_HQNV_2026Q1_2026-06-23'!$B:$B, "="&amp;'CHECK_DT-BT'!A82, 'Tong_hop_HQNV_2026Q1_2026-06-23'!$A:$A, "="&amp;'CHECK_DT-BT'!$W$2)</f>
        <v>1471665828</v>
      </c>
      <c r="X82" s="7">
        <f>SUMIFS('Tong_hop_HQNV_2026Q1_2026-06-23'!$L:$L,'Tong_hop_HQNV_2026Q1_2026-06-23'!$B:$B, "="&amp;'CHECK_DT-BT'!A82, 'Tong_hop_HQNV_2026Q1_2026-06-23'!$A:$A, "="&amp;'CHECK_DT-BT'!$X$2)</f>
        <v>0</v>
      </c>
      <c r="Y82" s="7">
        <f>SUMIFS('Tong_hop_HQNV_2026Q1_2026-06-23'!$L:$L,'Tong_hop_HQNV_2026Q1_2026-06-23'!$B:$B, "="&amp;'CHECK_DT-BT'!A82, 'Tong_hop_HQNV_2026Q1_2026-06-23'!$A:$A, "="&amp;'CHECK_DT-BT'!$Y$2)</f>
        <v>204850883</v>
      </c>
      <c r="Z82" s="7">
        <f>SUMIFS('Tong_hop_HQNV_2026Q1_2026-06-23'!$L:$L,'Tong_hop_HQNV_2026Q1_2026-06-23'!$B:$B, "="&amp;'CHECK_DT-BT'!A82, 'Tong_hop_HQNV_2026Q1_2026-06-23'!$A:$A, "="&amp;'CHECK_DT-BT'!$Z$2)</f>
        <v>57569944</v>
      </c>
      <c r="AA82" s="7">
        <f>SUMIFS('Tong_hop_HQNV_2026Q1_2026-06-23'!$L:$L,'Tong_hop_HQNV_2026Q1_2026-06-23'!$B:$B, "="&amp;'CHECK_DT-BT'!A82, 'Tong_hop_HQNV_2026Q1_2026-06-23'!$A:$A, "="&amp;$AA$2)</f>
        <v>0</v>
      </c>
      <c r="AB82" s="7">
        <f>SUMIFS('Tong_hop_HQNV_2026Q1_2026-06-23'!$L:$L,'Tong_hop_HQNV_2026Q1_2026-06-23'!$B:$B, "="&amp;'CHECK_DT-BT'!A82, 'Tong_hop_HQNV_2026Q1_2026-06-23'!$A:$A, "="&amp;$AB$2)</f>
        <v>0</v>
      </c>
      <c r="AC82" s="7">
        <f>SUMIFS('Tong_hop_HQNV_2026Q1_2026-06-23'!$L:$L,'Tong_hop_HQNV_2026Q1_2026-06-23'!$B:$B, "="&amp;'CHECK_DT-BT'!A82, 'Tong_hop_HQNV_2026Q1_2026-06-23'!$A:$A, "="&amp;$AC$2)</f>
        <v>0</v>
      </c>
      <c r="AD82" s="7">
        <f>SUMIFS('Tong_hop_HQNV_2026Q1_2026-06-23'!$L:$L,'Tong_hop_HQNV_2026Q1_2026-06-23'!$B:$B, "="&amp;'CHECK_DT-BT'!A82, 'Tong_hop_HQNV_2026Q1_2026-06-23'!$A:$A, "="&amp;$AD$2)</f>
        <v>0</v>
      </c>
      <c r="AE82" s="7">
        <f>SUMIFS('Tong_hop_HQNV_2026Q1_2026-06-23'!$L:$L,'Tong_hop_HQNV_2026Q1_2026-06-23'!$B:$B, "="&amp;'CHECK_DT-BT'!A82, 'Tong_hop_HQNV_2026Q1_2026-06-23'!$A:$A, "="&amp;$AE$2)</f>
        <v>0</v>
      </c>
      <c r="AF82" s="7">
        <f>SUMIFS('Tong_hop_HQNV_2026Q1_2026-06-23'!$L:$L,'Tong_hop_HQNV_2026Q1_2026-06-23'!$B:$B, "="&amp;'CHECK_DT-BT'!A82, 'Tong_hop_HQNV_2026Q1_2026-06-23'!$A:$A, "="&amp;$AF$2)</f>
        <v>0</v>
      </c>
      <c r="AG82" s="7">
        <f>SUMIFS('Tong_hop_HQNV_2026Q1_2026-06-23'!$L:$L,'Tong_hop_HQNV_2026Q1_2026-06-23'!$B:$B, "="&amp;'CHECK_DT-BT'!A82, 'Tong_hop_HQNV_2026Q1_2026-06-23'!$A:$A, "="&amp;$AG$2)</f>
        <v>2400000</v>
      </c>
      <c r="AH82" s="7">
        <f>SUMIFS('Tong_hop_HQNV_2026Q1_2026-06-23'!$L:$L,'Tong_hop_HQNV_2026Q1_2026-06-23'!$B:$B, "="&amp;'CHECK_DT-BT'!A82, 'Tong_hop_HQNV_2026Q1_2026-06-23'!$A:$A, "="&amp;$AH$2)</f>
        <v>0</v>
      </c>
      <c r="AI82" s="7">
        <f>SUMIFS('Tong_hop_HQNV_2026Q1_2026-06-23'!$L:$L,'Tong_hop_HQNV_2026Q1_2026-06-23'!$B:$B, "="&amp;'CHECK_DT-BT'!A82, 'Tong_hop_HQNV_2026Q1_2026-06-23'!$A:$A, "="&amp;$AI$2)</f>
        <v>0</v>
      </c>
      <c r="AJ82" s="7">
        <f t="shared" si="14"/>
        <v>1734086655</v>
      </c>
      <c r="AK82" s="7">
        <f t="shared" si="15"/>
        <v>2400000</v>
      </c>
      <c r="AL82" s="7">
        <f>SUMIFS('HQ1'!$D:$D,'HQ1'!$A:$A, "="&amp;'CHECK_DT-BT'!C82, 'HQ1'!$B:$B, "Total")</f>
        <v>1730904837</v>
      </c>
      <c r="AM82" s="7">
        <f>SUMIFS('HQ2'!$J:$J,'HQ2'!$A:$A, "="&amp;'CHECK_DT-BT'!C82, 'HQ2'!$B:$B, "Total")</f>
        <v>2400000</v>
      </c>
      <c r="AN82" s="24">
        <f t="shared" si="16"/>
        <v>3181818</v>
      </c>
      <c r="AO82" s="24">
        <f t="shared" si="17"/>
        <v>0</v>
      </c>
    </row>
    <row r="83" spans="1:41" x14ac:dyDescent="0.25">
      <c r="A83" s="9" t="s">
        <v>233</v>
      </c>
      <c r="B83" t="str">
        <f>VLOOKUP(A83,[1]Sheet1!$A$82:$B$94,2,FALSE)</f>
        <v>Trụ sở chính</v>
      </c>
      <c r="C83" t="str">
        <f>B83</f>
        <v>Trụ sở chính</v>
      </c>
      <c r="D83" s="7">
        <f>SUMIFS('Tong_hop_HQNV_2026Q1_2026-06-23'!$K:$K,'Tong_hop_HQNV_2026Q1_2026-06-23'!$A:$A,"="&amp;'CHECK_DT-BT'!$D$2,'Tong_hop_HQNV_2026Q1_2026-06-23'!$B:$B, "="&amp;'CHECK_DT-BT'!A83)</f>
        <v>0</v>
      </c>
      <c r="E83" s="7">
        <f>SUMIFS('Tong_hop_HQNV_2026Q1_2026-06-23'!$K:$K,'Tong_hop_HQNV_2026Q1_2026-06-23'!$A:$A,"="&amp;'CHECK_DT-BT'!$E$2,'Tong_hop_HQNV_2026Q1_2026-06-23'!$B:$B, "="&amp;'CHECK_DT-BT'!A83)</f>
        <v>0</v>
      </c>
      <c r="F83" s="7">
        <f>SUMIFS('Tong_hop_HQNV_2026Q1_2026-06-23'!$K:$K,'Tong_hop_HQNV_2026Q1_2026-06-23'!$A:$A,"="&amp;'CHECK_DT-BT'!$F$2,'Tong_hop_HQNV_2026Q1_2026-06-23'!$B:$B, "="&amp;'CHECK_DT-BT'!A83)</f>
        <v>0</v>
      </c>
      <c r="G83" s="7">
        <f>SUMIFS('Tong_hop_HQNV_2026Q1_2026-06-23'!$K:$K,'Tong_hop_HQNV_2026Q1_2026-06-23'!$A:$A,"="&amp;'CHECK_DT-BT'!$G$2,'Tong_hop_HQNV_2026Q1_2026-06-23'!$B:$B, "="&amp;'CHECK_DT-BT'!A83)</f>
        <v>0</v>
      </c>
      <c r="H83" s="7">
        <f>SUMIFS('Tong_hop_HQNV_2026Q1_2026-06-23'!$K:$K,'Tong_hop_HQNV_2026Q1_2026-06-23'!$A:$A,"="&amp;$H$2,'Tong_hop_HQNV_2026Q1_2026-06-23'!$B:$B, "="&amp;'CHECK_DT-BT'!A83)</f>
        <v>0</v>
      </c>
      <c r="I83" s="7">
        <f>SUMIFS('Tong_hop_HQNV_2026Q1_2026-06-23'!$K:$K,'Tong_hop_HQNV_2026Q1_2026-06-23'!$A:$A,"="&amp;$I$2,'Tong_hop_HQNV_2026Q1_2026-06-23'!$B:$B, "="&amp;'CHECK_DT-BT'!A83)</f>
        <v>0</v>
      </c>
      <c r="J83" s="7">
        <f>SUMIFS('Tong_hop_HQNV_2026Q1_2026-06-23'!$K:$K,'Tong_hop_HQNV_2026Q1_2026-06-23'!$A:$A,"="&amp;$J$2,'Tong_hop_HQNV_2026Q1_2026-06-23'!$B:$B, "="&amp;'CHECK_DT-BT'!A83)</f>
        <v>0</v>
      </c>
      <c r="K83" s="7">
        <f>SUMIFS('Tong_hop_HQNV_2026Q1_2026-06-23'!$K:$K,'Tong_hop_HQNV_2026Q1_2026-06-23'!$A:$A,"="&amp;$K$2,'Tong_hop_HQNV_2026Q1_2026-06-23'!$B:$B, "="&amp;'CHECK_DT-BT'!A83)</f>
        <v>0</v>
      </c>
      <c r="L83" s="7">
        <f>SUMIFS('Tong_hop_HQNV_2026Q1_2026-06-23'!$K:$K,'Tong_hop_HQNV_2026Q1_2026-06-23'!$A:$A,"="&amp;$L$2,'Tong_hop_HQNV_2026Q1_2026-06-23'!$B:$B, "="&amp;'CHECK_DT-BT'!A83)</f>
        <v>0</v>
      </c>
      <c r="M83" s="7">
        <f>SUMIFS('Tong_hop_HQNV_2026Q1_2026-06-23'!$K:$K,'Tong_hop_HQNV_2026Q1_2026-06-23'!$A:$A,"="&amp;$M$2,'Tong_hop_HQNV_2026Q1_2026-06-23'!$B:$B, "="&amp;'CHECK_DT-BT'!A83)</f>
        <v>0</v>
      </c>
      <c r="N83" s="7">
        <f>SUMIFS('Tong_hop_HQNV_2026Q1_2026-06-23'!$K:$K,'Tong_hop_HQNV_2026Q1_2026-06-23'!$A:$A,"="&amp;$N$2,'Tong_hop_HQNV_2026Q1_2026-06-23'!$B:$B, "="&amp;'CHECK_DT-BT'!A83)</f>
        <v>0</v>
      </c>
      <c r="O83" s="7">
        <f>SUMIFS('Tong_hop_HQNV_2026Q1_2026-06-23'!$K:$K,'Tong_hop_HQNV_2026Q1_2026-06-23'!$A:$A,"="&amp;$O$2,'Tong_hop_HQNV_2026Q1_2026-06-23'!$B:$B, "="&amp;'CHECK_DT-BT'!A83)</f>
        <v>736808700</v>
      </c>
      <c r="P83" s="7">
        <f>SUMIFS('Tong_hop_HQNV_2026Q1_2026-06-23'!$K:$K,'Tong_hop_HQNV_2026Q1_2026-06-23'!$A:$A,"="&amp;$P$2,'Tong_hop_HQNV_2026Q1_2026-06-23'!$B:$B, "="&amp;'CHECK_DT-BT'!A83)</f>
        <v>0</v>
      </c>
      <c r="Q83" s="7">
        <f t="shared" si="10"/>
        <v>0</v>
      </c>
      <c r="R83" s="7">
        <f t="shared" si="11"/>
        <v>0</v>
      </c>
      <c r="S83" s="7">
        <f>SUMIFS('HQ1'!$C:$C,'HQ1'!$A:$A, "="&amp;'CHECK_DT-BT'!C83, 'HQ1'!$B:$B, "Total")</f>
        <v>0</v>
      </c>
      <c r="T83" s="7">
        <f>SUMIFS('HQ2'!$C:$C,'HQ2'!$A:$A, "="&amp;'CHECK_DT-BT'!C83, 'HQ2'!$B:$B, "Total")</f>
        <v>0</v>
      </c>
      <c r="U83" s="7">
        <f t="shared" si="12"/>
        <v>0</v>
      </c>
      <c r="V83" s="7">
        <f t="shared" si="13"/>
        <v>0</v>
      </c>
      <c r="W83" s="23">
        <f>SUMIFS('Tong_hop_HQNV_2026Q1_2026-06-23'!$L:$L,'Tong_hop_HQNV_2026Q1_2026-06-23'!$B:$B, "="&amp;'CHECK_DT-BT'!A83, 'Tong_hop_HQNV_2026Q1_2026-06-23'!$A:$A, "="&amp;'CHECK_DT-BT'!$W$2)</f>
        <v>0</v>
      </c>
      <c r="X83" s="7">
        <f>SUMIFS('Tong_hop_HQNV_2026Q1_2026-06-23'!$L:$L,'Tong_hop_HQNV_2026Q1_2026-06-23'!$B:$B, "="&amp;'CHECK_DT-BT'!A83, 'Tong_hop_HQNV_2026Q1_2026-06-23'!$A:$A, "="&amp;'CHECK_DT-BT'!$X$2)</f>
        <v>0</v>
      </c>
      <c r="Y83" s="7">
        <f>SUMIFS('Tong_hop_HQNV_2026Q1_2026-06-23'!$L:$L,'Tong_hop_HQNV_2026Q1_2026-06-23'!$B:$B, "="&amp;'CHECK_DT-BT'!A83, 'Tong_hop_HQNV_2026Q1_2026-06-23'!$A:$A, "="&amp;'CHECK_DT-BT'!$Y$2)</f>
        <v>0</v>
      </c>
      <c r="Z83" s="7">
        <f>SUMIFS('Tong_hop_HQNV_2026Q1_2026-06-23'!$L:$L,'Tong_hop_HQNV_2026Q1_2026-06-23'!$B:$B, "="&amp;'CHECK_DT-BT'!A83, 'Tong_hop_HQNV_2026Q1_2026-06-23'!$A:$A, "="&amp;'CHECK_DT-BT'!$Z$2)</f>
        <v>0</v>
      </c>
      <c r="AA83" s="7">
        <f>SUMIFS('Tong_hop_HQNV_2026Q1_2026-06-23'!$L:$L,'Tong_hop_HQNV_2026Q1_2026-06-23'!$B:$B, "="&amp;'CHECK_DT-BT'!A83, 'Tong_hop_HQNV_2026Q1_2026-06-23'!$A:$A, "="&amp;$AA$2)</f>
        <v>0</v>
      </c>
      <c r="AB83" s="7">
        <f>SUMIFS('Tong_hop_HQNV_2026Q1_2026-06-23'!$L:$L,'Tong_hop_HQNV_2026Q1_2026-06-23'!$B:$B, "="&amp;'CHECK_DT-BT'!A83, 'Tong_hop_HQNV_2026Q1_2026-06-23'!$A:$A, "="&amp;$AB$2)</f>
        <v>0</v>
      </c>
      <c r="AC83" s="7">
        <f>SUMIFS('Tong_hop_HQNV_2026Q1_2026-06-23'!$L:$L,'Tong_hop_HQNV_2026Q1_2026-06-23'!$B:$B, "="&amp;'CHECK_DT-BT'!A83, 'Tong_hop_HQNV_2026Q1_2026-06-23'!$A:$A, "="&amp;$AC$2)</f>
        <v>0</v>
      </c>
      <c r="AD83" s="7">
        <f>SUMIFS('Tong_hop_HQNV_2026Q1_2026-06-23'!$L:$L,'Tong_hop_HQNV_2026Q1_2026-06-23'!$B:$B, "="&amp;'CHECK_DT-BT'!A83, 'Tong_hop_HQNV_2026Q1_2026-06-23'!$A:$A, "="&amp;$AD$2)</f>
        <v>0</v>
      </c>
      <c r="AE83" s="7">
        <f>SUMIFS('Tong_hop_HQNV_2026Q1_2026-06-23'!$L:$L,'Tong_hop_HQNV_2026Q1_2026-06-23'!$B:$B, "="&amp;'CHECK_DT-BT'!A83, 'Tong_hop_HQNV_2026Q1_2026-06-23'!$A:$A, "="&amp;$AE$2)</f>
        <v>0</v>
      </c>
      <c r="AF83" s="7">
        <f>SUMIFS('Tong_hop_HQNV_2026Q1_2026-06-23'!$L:$L,'Tong_hop_HQNV_2026Q1_2026-06-23'!$B:$B, "="&amp;'CHECK_DT-BT'!A83, 'Tong_hop_HQNV_2026Q1_2026-06-23'!$A:$A, "="&amp;$AF$2)</f>
        <v>0</v>
      </c>
      <c r="AG83" s="7">
        <f>SUMIFS('Tong_hop_HQNV_2026Q1_2026-06-23'!$L:$L,'Tong_hop_HQNV_2026Q1_2026-06-23'!$B:$B, "="&amp;'CHECK_DT-BT'!A83, 'Tong_hop_HQNV_2026Q1_2026-06-23'!$A:$A, "="&amp;$AG$2)</f>
        <v>0</v>
      </c>
      <c r="AH83" s="7">
        <f>SUMIFS('Tong_hop_HQNV_2026Q1_2026-06-23'!$L:$L,'Tong_hop_HQNV_2026Q1_2026-06-23'!$B:$B, "="&amp;'CHECK_DT-BT'!A83, 'Tong_hop_HQNV_2026Q1_2026-06-23'!$A:$A, "="&amp;$AH$2)</f>
        <v>0</v>
      </c>
      <c r="AI83" s="7">
        <f>SUMIFS('Tong_hop_HQNV_2026Q1_2026-06-23'!$L:$L,'Tong_hop_HQNV_2026Q1_2026-06-23'!$B:$B, "="&amp;'CHECK_DT-BT'!A83, 'Tong_hop_HQNV_2026Q1_2026-06-23'!$A:$A, "="&amp;$AI$2)</f>
        <v>0</v>
      </c>
      <c r="AJ83" s="7">
        <f t="shared" si="14"/>
        <v>0</v>
      </c>
      <c r="AK83" s="7">
        <f t="shared" si="15"/>
        <v>0</v>
      </c>
      <c r="AL83" s="7">
        <f>SUMIFS('HQ1'!$D:$D,'HQ1'!$A:$A, "="&amp;'CHECK_DT-BT'!C83, 'HQ1'!$B:$B, "Total")</f>
        <v>0</v>
      </c>
      <c r="AM83" s="7">
        <f>SUMIFS('HQ2'!$J:$J,'HQ2'!$A:$A, "="&amp;'CHECK_DT-BT'!C83, 'HQ2'!$B:$B, "Total")</f>
        <v>0</v>
      </c>
      <c r="AN83" s="24">
        <f t="shared" si="16"/>
        <v>0</v>
      </c>
      <c r="AO83" s="24">
        <f t="shared" si="17"/>
        <v>0</v>
      </c>
    </row>
    <row r="84" spans="1:41" x14ac:dyDescent="0.25">
      <c r="A84" s="9" t="s">
        <v>229</v>
      </c>
      <c r="B84" s="98" t="s">
        <v>115</v>
      </c>
      <c r="C84" s="98" t="s">
        <v>115</v>
      </c>
      <c r="D84" s="7">
        <f>SUMIFS('Tong_hop_HQNV_2026Q1_2026-06-23'!$K:$K,'Tong_hop_HQNV_2026Q1_2026-06-23'!$A:$A,"="&amp;'CHECK_DT-BT'!$D$2,'Tong_hop_HQNV_2026Q1_2026-06-23'!$B:$B, "="&amp;'CHECK_DT-BT'!A84)</f>
        <v>2002318061</v>
      </c>
      <c r="E84" s="7">
        <f>SUMIFS('Tong_hop_HQNV_2026Q1_2026-06-23'!$K:$K,'Tong_hop_HQNV_2026Q1_2026-06-23'!$A:$A,"="&amp;'CHECK_DT-BT'!$E$2,'Tong_hop_HQNV_2026Q1_2026-06-23'!$B:$B, "="&amp;'CHECK_DT-BT'!A84)</f>
        <v>14147840510</v>
      </c>
      <c r="F84" s="7">
        <f>SUMIFS('Tong_hop_HQNV_2026Q1_2026-06-23'!$K:$K,'Tong_hop_HQNV_2026Q1_2026-06-23'!$A:$A,"="&amp;'CHECK_DT-BT'!$F$2,'Tong_hop_HQNV_2026Q1_2026-06-23'!$B:$B, "="&amp;'CHECK_DT-BT'!A84)</f>
        <v>642418696</v>
      </c>
      <c r="G84" s="7">
        <f>SUMIFS('Tong_hop_HQNV_2026Q1_2026-06-23'!$K:$K,'Tong_hop_HQNV_2026Q1_2026-06-23'!$A:$A,"="&amp;'CHECK_DT-BT'!$G$2,'Tong_hop_HQNV_2026Q1_2026-06-23'!$B:$B, "="&amp;'CHECK_DT-BT'!A84)</f>
        <v>1720303035</v>
      </c>
      <c r="H84" s="7">
        <f>SUMIFS('Tong_hop_HQNV_2026Q1_2026-06-23'!$K:$K,'Tong_hop_HQNV_2026Q1_2026-06-23'!$A:$A,"="&amp;$H$2,'Tong_hop_HQNV_2026Q1_2026-06-23'!$B:$B, "="&amp;'CHECK_DT-BT'!A84)</f>
        <v>0</v>
      </c>
      <c r="I84" s="7">
        <f>SUMIFS('Tong_hop_HQNV_2026Q1_2026-06-23'!$K:$K,'Tong_hop_HQNV_2026Q1_2026-06-23'!$A:$A,"="&amp;$I$2,'Tong_hop_HQNV_2026Q1_2026-06-23'!$B:$B, "="&amp;'CHECK_DT-BT'!A84)</f>
        <v>0</v>
      </c>
      <c r="J84" s="7">
        <f>SUMIFS('Tong_hop_HQNV_2026Q1_2026-06-23'!$K:$K,'Tong_hop_HQNV_2026Q1_2026-06-23'!$A:$A,"="&amp;$J$2,'Tong_hop_HQNV_2026Q1_2026-06-23'!$B:$B, "="&amp;'CHECK_DT-BT'!A84)</f>
        <v>0</v>
      </c>
      <c r="K84" s="7">
        <f>SUMIFS('Tong_hop_HQNV_2026Q1_2026-06-23'!$K:$K,'Tong_hop_HQNV_2026Q1_2026-06-23'!$A:$A,"="&amp;$K$2,'Tong_hop_HQNV_2026Q1_2026-06-23'!$B:$B, "="&amp;'CHECK_DT-BT'!A84)</f>
        <v>0</v>
      </c>
      <c r="L84" s="7">
        <f>SUMIFS('Tong_hop_HQNV_2026Q1_2026-06-23'!$K:$K,'Tong_hop_HQNV_2026Q1_2026-06-23'!$A:$A,"="&amp;$L$2,'Tong_hop_HQNV_2026Q1_2026-06-23'!$B:$B, "="&amp;'CHECK_DT-BT'!A84)</f>
        <v>1093211591</v>
      </c>
      <c r="M84" s="7">
        <f>SUMIFS('Tong_hop_HQNV_2026Q1_2026-06-23'!$K:$K,'Tong_hop_HQNV_2026Q1_2026-06-23'!$A:$A,"="&amp;$M$2,'Tong_hop_HQNV_2026Q1_2026-06-23'!$B:$B, "="&amp;'CHECK_DT-BT'!A84)</f>
        <v>0</v>
      </c>
      <c r="N84" s="7">
        <f>SUMIFS('Tong_hop_HQNV_2026Q1_2026-06-23'!$K:$K,'Tong_hop_HQNV_2026Q1_2026-06-23'!$A:$A,"="&amp;$N$2,'Tong_hop_HQNV_2026Q1_2026-06-23'!$B:$B, "="&amp;'CHECK_DT-BT'!A84)</f>
        <v>0</v>
      </c>
      <c r="O84" s="7">
        <f>SUMIFS('Tong_hop_HQNV_2026Q1_2026-06-23'!$K:$K,'Tong_hop_HQNV_2026Q1_2026-06-23'!$A:$A,"="&amp;$O$2,'Tong_hop_HQNV_2026Q1_2026-06-23'!$B:$B, "="&amp;'CHECK_DT-BT'!A84)</f>
        <v>0</v>
      </c>
      <c r="P84" s="7">
        <f>SUMIFS('Tong_hop_HQNV_2026Q1_2026-06-23'!$K:$K,'Tong_hop_HQNV_2026Q1_2026-06-23'!$A:$A,"="&amp;$P$2,'Tong_hop_HQNV_2026Q1_2026-06-23'!$B:$B, "="&amp;'CHECK_DT-BT'!A84)</f>
        <v>0</v>
      </c>
      <c r="Q84" s="7">
        <f t="shared" ref="Q84:Q92" si="18">SUM(D84:G84)</f>
        <v>18512880302</v>
      </c>
      <c r="R84" s="7">
        <f t="shared" ref="R84:R92" si="19">SUM(H84:N84)</f>
        <v>1093211591</v>
      </c>
      <c r="S84" s="7">
        <f>SUMIFS('HQ1'!$C:$C,'HQ1'!$A:$A, "="&amp;'CHECK_DT-BT'!C84, 'HQ1'!$B:$B, "Total")</f>
        <v>18512880302</v>
      </c>
      <c r="T84" s="7">
        <f>SUMIFS('HQ2'!$C:$C,'HQ2'!$A:$A, "="&amp;'CHECK_DT-BT'!C84, 'HQ2'!$B:$B, "Total")</f>
        <v>1093211591</v>
      </c>
      <c r="U84" s="7">
        <f t="shared" ref="U84:U92" si="20">Q84-S84</f>
        <v>0</v>
      </c>
      <c r="V84" s="7">
        <f t="shared" ref="V84:V92" si="21">R84-T84</f>
        <v>0</v>
      </c>
      <c r="W84" s="23">
        <f>SUMIFS('Tong_hop_HQNV_2026Q1_2026-06-23'!$L:$L,'Tong_hop_HQNV_2026Q1_2026-06-23'!$B:$B, "="&amp;'CHECK_DT-BT'!A84, 'Tong_hop_HQNV_2026Q1_2026-06-23'!$A:$A, "="&amp;'CHECK_DT-BT'!$W$2)</f>
        <v>5320000</v>
      </c>
      <c r="X84" s="7">
        <f>SUMIFS('Tong_hop_HQNV_2026Q1_2026-06-23'!$L:$L,'Tong_hop_HQNV_2026Q1_2026-06-23'!$B:$B, "="&amp;'CHECK_DT-BT'!A84, 'Tong_hop_HQNV_2026Q1_2026-06-23'!$A:$A, "="&amp;'CHECK_DT-BT'!$X$2)</f>
        <v>2878712325</v>
      </c>
      <c r="Y84" s="7">
        <f>SUMIFS('Tong_hop_HQNV_2026Q1_2026-06-23'!$L:$L,'Tong_hop_HQNV_2026Q1_2026-06-23'!$B:$B, "="&amp;'CHECK_DT-BT'!A84, 'Tong_hop_HQNV_2026Q1_2026-06-23'!$A:$A, "="&amp;'CHECK_DT-BT'!$Y$2)</f>
        <v>572163315</v>
      </c>
      <c r="Z84" s="7">
        <f>SUMIFS('Tong_hop_HQNV_2026Q1_2026-06-23'!$L:$L,'Tong_hop_HQNV_2026Q1_2026-06-23'!$B:$B, "="&amp;'CHECK_DT-BT'!A84, 'Tong_hop_HQNV_2026Q1_2026-06-23'!$A:$A, "="&amp;'CHECK_DT-BT'!$Z$2)</f>
        <v>714710876</v>
      </c>
      <c r="AA84" s="7">
        <f>SUMIFS('Tong_hop_HQNV_2026Q1_2026-06-23'!$L:$L,'Tong_hop_HQNV_2026Q1_2026-06-23'!$B:$B, "="&amp;'CHECK_DT-BT'!A84, 'Tong_hop_HQNV_2026Q1_2026-06-23'!$A:$A, "="&amp;$AA$2)</f>
        <v>0</v>
      </c>
      <c r="AB84" s="7">
        <f>SUMIFS('Tong_hop_HQNV_2026Q1_2026-06-23'!$L:$L,'Tong_hop_HQNV_2026Q1_2026-06-23'!$B:$B, "="&amp;'CHECK_DT-BT'!A84, 'Tong_hop_HQNV_2026Q1_2026-06-23'!$A:$A, "="&amp;$AB$2)</f>
        <v>0</v>
      </c>
      <c r="AC84" s="7">
        <f>SUMIFS('Tong_hop_HQNV_2026Q1_2026-06-23'!$L:$L,'Tong_hop_HQNV_2026Q1_2026-06-23'!$B:$B, "="&amp;'CHECK_DT-BT'!A84, 'Tong_hop_HQNV_2026Q1_2026-06-23'!$A:$A, "="&amp;$AC$2)</f>
        <v>0</v>
      </c>
      <c r="AD84" s="7">
        <f>SUMIFS('Tong_hop_HQNV_2026Q1_2026-06-23'!$L:$L,'Tong_hop_HQNV_2026Q1_2026-06-23'!$B:$B, "="&amp;'CHECK_DT-BT'!A84, 'Tong_hop_HQNV_2026Q1_2026-06-23'!$A:$A, "="&amp;$AD$2)</f>
        <v>0</v>
      </c>
      <c r="AE84" s="7">
        <f>SUMIFS('Tong_hop_HQNV_2026Q1_2026-06-23'!$L:$L,'Tong_hop_HQNV_2026Q1_2026-06-23'!$B:$B, "="&amp;'CHECK_DT-BT'!A84, 'Tong_hop_HQNV_2026Q1_2026-06-23'!$A:$A, "="&amp;$AE$2)</f>
        <v>34432903</v>
      </c>
      <c r="AF84" s="7">
        <f>SUMIFS('Tong_hop_HQNV_2026Q1_2026-06-23'!$L:$L,'Tong_hop_HQNV_2026Q1_2026-06-23'!$B:$B, "="&amp;'CHECK_DT-BT'!A84, 'Tong_hop_HQNV_2026Q1_2026-06-23'!$A:$A, "="&amp;$AF$2)</f>
        <v>0</v>
      </c>
      <c r="AG84" s="7">
        <f>SUMIFS('Tong_hop_HQNV_2026Q1_2026-06-23'!$L:$L,'Tong_hop_HQNV_2026Q1_2026-06-23'!$B:$B, "="&amp;'CHECK_DT-BT'!A84, 'Tong_hop_HQNV_2026Q1_2026-06-23'!$A:$A, "="&amp;$AG$2)</f>
        <v>0</v>
      </c>
      <c r="AH84" s="7">
        <f>SUMIFS('Tong_hop_HQNV_2026Q1_2026-06-23'!$L:$L,'Tong_hop_HQNV_2026Q1_2026-06-23'!$B:$B, "="&amp;'CHECK_DT-BT'!A84, 'Tong_hop_HQNV_2026Q1_2026-06-23'!$A:$A, "="&amp;$AH$2)</f>
        <v>0</v>
      </c>
      <c r="AI84" s="7">
        <f>SUMIFS('Tong_hop_HQNV_2026Q1_2026-06-23'!$L:$L,'Tong_hop_HQNV_2026Q1_2026-06-23'!$B:$B, "="&amp;'CHECK_DT-BT'!A84, 'Tong_hop_HQNV_2026Q1_2026-06-23'!$A:$A, "="&amp;$AI$2)</f>
        <v>0</v>
      </c>
      <c r="AJ84" s="7">
        <f t="shared" ref="AJ84:AJ92" si="22">SUM(W84:Z84)</f>
        <v>4170906516</v>
      </c>
      <c r="AK84" s="7">
        <f t="shared" ref="AK84:AK92" si="23">SUM(AA84:AG84)</f>
        <v>34432903</v>
      </c>
      <c r="AL84" s="7">
        <f>SUMIFS('HQ1'!$D:$D,'HQ1'!$A:$A, "="&amp;'CHECK_DT-BT'!C84, 'HQ1'!$B:$B, "Total")</f>
        <v>4170906516</v>
      </c>
      <c r="AM84" s="7">
        <f>SUMIFS('HQ2'!$J:$J,'HQ2'!$A:$A, "="&amp;'CHECK_DT-BT'!C84, 'HQ2'!$B:$B, "Total")</f>
        <v>34432903</v>
      </c>
      <c r="AN84" s="24">
        <f t="shared" ref="AN84:AN92" si="24">AJ84-AL84</f>
        <v>0</v>
      </c>
      <c r="AO84" s="24">
        <f t="shared" ref="AO84:AO92" si="25">AK84-AM84</f>
        <v>0</v>
      </c>
    </row>
    <row r="85" spans="1:41" x14ac:dyDescent="0.25">
      <c r="A85" s="9" t="s">
        <v>227</v>
      </c>
      <c r="B85" s="93" t="s">
        <v>423</v>
      </c>
      <c r="C85" s="93" t="s">
        <v>423</v>
      </c>
      <c r="D85" s="7">
        <f>SUMIFS('Tong_hop_HQNV_2026Q1_2026-06-23'!$K:$K,'Tong_hop_HQNV_2026Q1_2026-06-23'!$A:$A,"="&amp;'CHECK_DT-BT'!$D$2,'Tong_hop_HQNV_2026Q1_2026-06-23'!$B:$B, "="&amp;'CHECK_DT-BT'!A85)</f>
        <v>234507080</v>
      </c>
      <c r="E85" s="7">
        <f>SUMIFS('Tong_hop_HQNV_2026Q1_2026-06-23'!$K:$K,'Tong_hop_HQNV_2026Q1_2026-06-23'!$A:$A,"="&amp;'CHECK_DT-BT'!$E$2,'Tong_hop_HQNV_2026Q1_2026-06-23'!$B:$B, "="&amp;'CHECK_DT-BT'!A85)</f>
        <v>223236000</v>
      </c>
      <c r="F85" s="7">
        <f>SUMIFS('Tong_hop_HQNV_2026Q1_2026-06-23'!$K:$K,'Tong_hop_HQNV_2026Q1_2026-06-23'!$A:$A,"="&amp;'CHECK_DT-BT'!$F$2,'Tong_hop_HQNV_2026Q1_2026-06-23'!$B:$B, "="&amp;'CHECK_DT-BT'!A85)</f>
        <v>30778478</v>
      </c>
      <c r="G85" s="7">
        <f>SUMIFS('Tong_hop_HQNV_2026Q1_2026-06-23'!$K:$K,'Tong_hop_HQNV_2026Q1_2026-06-23'!$A:$A,"="&amp;'CHECK_DT-BT'!$G$2,'Tong_hop_HQNV_2026Q1_2026-06-23'!$B:$B, "="&amp;'CHECK_DT-BT'!A85)</f>
        <v>5107233837</v>
      </c>
      <c r="H85" s="7">
        <f>SUMIFS('Tong_hop_HQNV_2026Q1_2026-06-23'!$K:$K,'Tong_hop_HQNV_2026Q1_2026-06-23'!$A:$A,"="&amp;$H$2,'Tong_hop_HQNV_2026Q1_2026-06-23'!$B:$B, "="&amp;'CHECK_DT-BT'!A85)</f>
        <v>23129113607</v>
      </c>
      <c r="I85" s="7">
        <f>SUMIFS('Tong_hop_HQNV_2026Q1_2026-06-23'!$K:$K,'Tong_hop_HQNV_2026Q1_2026-06-23'!$A:$A,"="&amp;$I$2,'Tong_hop_HQNV_2026Q1_2026-06-23'!$B:$B, "="&amp;'CHECK_DT-BT'!A85)</f>
        <v>0</v>
      </c>
      <c r="J85" s="7">
        <f>SUMIFS('Tong_hop_HQNV_2026Q1_2026-06-23'!$K:$K,'Tong_hop_HQNV_2026Q1_2026-06-23'!$A:$A,"="&amp;$J$2,'Tong_hop_HQNV_2026Q1_2026-06-23'!$B:$B, "="&amp;'CHECK_DT-BT'!A85)</f>
        <v>0</v>
      </c>
      <c r="K85" s="7">
        <f>SUMIFS('Tong_hop_HQNV_2026Q1_2026-06-23'!$K:$K,'Tong_hop_HQNV_2026Q1_2026-06-23'!$A:$A,"="&amp;$K$2,'Tong_hop_HQNV_2026Q1_2026-06-23'!$B:$B, "="&amp;'CHECK_DT-BT'!A85)</f>
        <v>8439686660</v>
      </c>
      <c r="L85" s="7">
        <f>SUMIFS('Tong_hop_HQNV_2026Q1_2026-06-23'!$K:$K,'Tong_hop_HQNV_2026Q1_2026-06-23'!$A:$A,"="&amp;$L$2,'Tong_hop_HQNV_2026Q1_2026-06-23'!$B:$B, "="&amp;'CHECK_DT-BT'!A85)</f>
        <v>268852880968</v>
      </c>
      <c r="M85" s="7">
        <f>SUMIFS('Tong_hop_HQNV_2026Q1_2026-06-23'!$K:$K,'Tong_hop_HQNV_2026Q1_2026-06-23'!$A:$A,"="&amp;$M$2,'Tong_hop_HQNV_2026Q1_2026-06-23'!$B:$B, "="&amp;'CHECK_DT-BT'!A85)</f>
        <v>18765299634</v>
      </c>
      <c r="N85" s="7">
        <f>SUMIFS('Tong_hop_HQNV_2026Q1_2026-06-23'!$K:$K,'Tong_hop_HQNV_2026Q1_2026-06-23'!$A:$A,"="&amp;$N$2,'Tong_hop_HQNV_2026Q1_2026-06-23'!$B:$B, "="&amp;'CHECK_DT-BT'!A85)</f>
        <v>63306610479</v>
      </c>
      <c r="O85" s="7">
        <f>SUMIFS('Tong_hop_HQNV_2026Q1_2026-06-23'!$K:$K,'Tong_hop_HQNV_2026Q1_2026-06-23'!$A:$A,"="&amp;$O$2,'Tong_hop_HQNV_2026Q1_2026-06-23'!$B:$B, "="&amp;'CHECK_DT-BT'!A85)</f>
        <v>0</v>
      </c>
      <c r="P85" s="7">
        <f>SUMIFS('Tong_hop_HQNV_2026Q1_2026-06-23'!$K:$K,'Tong_hop_HQNV_2026Q1_2026-06-23'!$A:$A,"="&amp;$P$2,'Tong_hop_HQNV_2026Q1_2026-06-23'!$B:$B, "="&amp;'CHECK_DT-BT'!A85)</f>
        <v>0</v>
      </c>
      <c r="Q85" s="7">
        <f t="shared" si="18"/>
        <v>5595755395</v>
      </c>
      <c r="R85" s="7">
        <f t="shared" si="19"/>
        <v>382493591348</v>
      </c>
      <c r="S85" s="7">
        <f>SUMIFS('HQ1'!$C:$C,'HQ1'!$A:$A, "="&amp;'CHECK_DT-BT'!C85, 'HQ1'!$B:$B, "Total")</f>
        <v>5526210114</v>
      </c>
      <c r="T85" s="7">
        <f>SUMIFS('HQ2'!$C:$C,'HQ2'!$A:$A, "="&amp;'CHECK_DT-BT'!C85, 'HQ2'!$B:$B, "Total")</f>
        <v>339858738533</v>
      </c>
      <c r="U85" s="7">
        <f t="shared" si="20"/>
        <v>69545281</v>
      </c>
      <c r="V85" s="7">
        <f t="shared" si="21"/>
        <v>42634852815</v>
      </c>
      <c r="W85" s="23">
        <f>SUMIFS('Tong_hop_HQNV_2026Q1_2026-06-23'!$L:$L,'Tong_hop_HQNV_2026Q1_2026-06-23'!$B:$B, "="&amp;'CHECK_DT-BT'!A85, 'Tong_hop_HQNV_2026Q1_2026-06-23'!$A:$A, "="&amp;'CHECK_DT-BT'!$W$2)</f>
        <v>57794008</v>
      </c>
      <c r="X85" s="7">
        <f>SUMIFS('Tong_hop_HQNV_2026Q1_2026-06-23'!$L:$L,'Tong_hop_HQNV_2026Q1_2026-06-23'!$B:$B, "="&amp;'CHECK_DT-BT'!A85, 'Tong_hop_HQNV_2026Q1_2026-06-23'!$A:$A, "="&amp;'CHECK_DT-BT'!$X$2)</f>
        <v>0</v>
      </c>
      <c r="Y85" s="7">
        <f>SUMIFS('Tong_hop_HQNV_2026Q1_2026-06-23'!$L:$L,'Tong_hop_HQNV_2026Q1_2026-06-23'!$B:$B, "="&amp;'CHECK_DT-BT'!A85, 'Tong_hop_HQNV_2026Q1_2026-06-23'!$A:$A, "="&amp;'CHECK_DT-BT'!$Y$2)</f>
        <v>0</v>
      </c>
      <c r="Z85" s="7">
        <f>SUMIFS('Tong_hop_HQNV_2026Q1_2026-06-23'!$L:$L,'Tong_hop_HQNV_2026Q1_2026-06-23'!$B:$B, "="&amp;'CHECK_DT-BT'!A85, 'Tong_hop_HQNV_2026Q1_2026-06-23'!$A:$A, "="&amp;'CHECK_DT-BT'!$Z$2)</f>
        <v>2581056163</v>
      </c>
      <c r="AA85" s="7">
        <f>SUMIFS('Tong_hop_HQNV_2026Q1_2026-06-23'!$L:$L,'Tong_hop_HQNV_2026Q1_2026-06-23'!$B:$B, "="&amp;'CHECK_DT-BT'!A85, 'Tong_hop_HQNV_2026Q1_2026-06-23'!$A:$A, "="&amp;$AA$2)</f>
        <v>69828979638</v>
      </c>
      <c r="AB85" s="7">
        <f>SUMIFS('Tong_hop_HQNV_2026Q1_2026-06-23'!$L:$L,'Tong_hop_HQNV_2026Q1_2026-06-23'!$B:$B, "="&amp;'CHECK_DT-BT'!A85, 'Tong_hop_HQNV_2026Q1_2026-06-23'!$A:$A, "="&amp;$AB$2)</f>
        <v>0</v>
      </c>
      <c r="AC85" s="7">
        <f>SUMIFS('Tong_hop_HQNV_2026Q1_2026-06-23'!$L:$L,'Tong_hop_HQNV_2026Q1_2026-06-23'!$B:$B, "="&amp;'CHECK_DT-BT'!A85, 'Tong_hop_HQNV_2026Q1_2026-06-23'!$A:$A, "="&amp;$AC$2)</f>
        <v>0</v>
      </c>
      <c r="AD85" s="7">
        <f>SUMIFS('Tong_hop_HQNV_2026Q1_2026-06-23'!$L:$L,'Tong_hop_HQNV_2026Q1_2026-06-23'!$B:$B, "="&amp;'CHECK_DT-BT'!A85, 'Tong_hop_HQNV_2026Q1_2026-06-23'!$A:$A, "="&amp;$AD$2)</f>
        <v>0</v>
      </c>
      <c r="AE85" s="7">
        <f>SUMIFS('Tong_hop_HQNV_2026Q1_2026-06-23'!$L:$L,'Tong_hop_HQNV_2026Q1_2026-06-23'!$B:$B, "="&amp;'CHECK_DT-BT'!A85, 'Tong_hop_HQNV_2026Q1_2026-06-23'!$A:$A, "="&amp;$AE$2)</f>
        <v>5928810255</v>
      </c>
      <c r="AF85" s="7">
        <f>SUMIFS('Tong_hop_HQNV_2026Q1_2026-06-23'!$L:$L,'Tong_hop_HQNV_2026Q1_2026-06-23'!$B:$B, "="&amp;'CHECK_DT-BT'!A85, 'Tong_hop_HQNV_2026Q1_2026-06-23'!$A:$A, "="&amp;$AF$2)</f>
        <v>5174014718</v>
      </c>
      <c r="AG85" s="7">
        <f>SUMIFS('Tong_hop_HQNV_2026Q1_2026-06-23'!$L:$L,'Tong_hop_HQNV_2026Q1_2026-06-23'!$B:$B, "="&amp;'CHECK_DT-BT'!A85, 'Tong_hop_HQNV_2026Q1_2026-06-23'!$A:$A, "="&amp;$AG$2)</f>
        <v>91397591</v>
      </c>
      <c r="AH85" s="7">
        <f>SUMIFS('Tong_hop_HQNV_2026Q1_2026-06-23'!$L:$L,'Tong_hop_HQNV_2026Q1_2026-06-23'!$B:$B, "="&amp;'CHECK_DT-BT'!A85, 'Tong_hop_HQNV_2026Q1_2026-06-23'!$A:$A, "="&amp;$AH$2)</f>
        <v>0</v>
      </c>
      <c r="AI85" s="7">
        <f>SUMIFS('Tong_hop_HQNV_2026Q1_2026-06-23'!$L:$L,'Tong_hop_HQNV_2026Q1_2026-06-23'!$B:$B, "="&amp;'CHECK_DT-BT'!A85, 'Tong_hop_HQNV_2026Q1_2026-06-23'!$A:$A, "="&amp;$AI$2)</f>
        <v>0</v>
      </c>
      <c r="AJ85" s="7">
        <f t="shared" si="22"/>
        <v>2638850171</v>
      </c>
      <c r="AK85" s="7">
        <f t="shared" si="23"/>
        <v>81023202202</v>
      </c>
      <c r="AL85" s="7">
        <f>SUMIFS('HQ1'!$D:$D,'HQ1'!$A:$A, "="&amp;'CHECK_DT-BT'!C85, 'HQ1'!$B:$B, "Total")</f>
        <v>0</v>
      </c>
      <c r="AM85" s="7">
        <f>SUMIFS('HQ2'!$J:$J,'HQ2'!$A:$A, "="&amp;'CHECK_DT-BT'!C85, 'HQ2'!$B:$B, "Total")</f>
        <v>0</v>
      </c>
      <c r="AN85" s="24">
        <f t="shared" si="24"/>
        <v>2638850171</v>
      </c>
      <c r="AO85" s="24">
        <f t="shared" si="25"/>
        <v>81023202202</v>
      </c>
    </row>
    <row r="86" spans="1:41" x14ac:dyDescent="0.25">
      <c r="A86" s="9"/>
      <c r="B86" s="93" t="s">
        <v>424</v>
      </c>
      <c r="C86" s="93" t="s">
        <v>424</v>
      </c>
      <c r="D86" s="7">
        <f>SUMIFS('Tong_hop_HQNV_2026Q1_2026-06-23'!$K:$K,'Tong_hop_HQNV_2026Q1_2026-06-23'!$A:$A,"="&amp;'CHECK_DT-BT'!$D$2,'Tong_hop_HQNV_2026Q1_2026-06-23'!$B:$B, "="&amp;'CHECK_DT-BT'!A86)</f>
        <v>0</v>
      </c>
      <c r="E86" s="7">
        <f>SUMIFS('Tong_hop_HQNV_2026Q1_2026-06-23'!$K:$K,'Tong_hop_HQNV_2026Q1_2026-06-23'!$A:$A,"="&amp;'CHECK_DT-BT'!$E$2,'Tong_hop_HQNV_2026Q1_2026-06-23'!$B:$B, "="&amp;'CHECK_DT-BT'!A86)</f>
        <v>0</v>
      </c>
      <c r="F86" s="7">
        <f>SUMIFS('Tong_hop_HQNV_2026Q1_2026-06-23'!$K:$K,'Tong_hop_HQNV_2026Q1_2026-06-23'!$A:$A,"="&amp;'CHECK_DT-BT'!$F$2,'Tong_hop_HQNV_2026Q1_2026-06-23'!$B:$B, "="&amp;'CHECK_DT-BT'!A86)</f>
        <v>0</v>
      </c>
      <c r="G86" s="7">
        <f>SUMIFS('Tong_hop_HQNV_2026Q1_2026-06-23'!$K:$K,'Tong_hop_HQNV_2026Q1_2026-06-23'!$A:$A,"="&amp;'CHECK_DT-BT'!$G$2,'Tong_hop_HQNV_2026Q1_2026-06-23'!$B:$B, "="&amp;'CHECK_DT-BT'!A86)</f>
        <v>0</v>
      </c>
      <c r="H86" s="7">
        <f>SUMIFS('Tong_hop_HQNV_2026Q1_2026-06-23'!$K:$K,'Tong_hop_HQNV_2026Q1_2026-06-23'!$A:$A,"="&amp;$H$2,'Tong_hop_HQNV_2026Q1_2026-06-23'!$B:$B, "="&amp;'CHECK_DT-BT'!A86)</f>
        <v>0</v>
      </c>
      <c r="I86" s="7">
        <f>SUMIFS('Tong_hop_HQNV_2026Q1_2026-06-23'!$K:$K,'Tong_hop_HQNV_2026Q1_2026-06-23'!$A:$A,"="&amp;$I$2,'Tong_hop_HQNV_2026Q1_2026-06-23'!$B:$B, "="&amp;'CHECK_DT-BT'!A86)</f>
        <v>0</v>
      </c>
      <c r="J86" s="7">
        <f>SUMIFS('Tong_hop_HQNV_2026Q1_2026-06-23'!$K:$K,'Tong_hop_HQNV_2026Q1_2026-06-23'!$A:$A,"="&amp;$J$2,'Tong_hop_HQNV_2026Q1_2026-06-23'!$B:$B, "="&amp;'CHECK_DT-BT'!A86)</f>
        <v>0</v>
      </c>
      <c r="K86" s="7">
        <f>SUMIFS('Tong_hop_HQNV_2026Q1_2026-06-23'!$K:$K,'Tong_hop_HQNV_2026Q1_2026-06-23'!$A:$A,"="&amp;$K$2,'Tong_hop_HQNV_2026Q1_2026-06-23'!$B:$B, "="&amp;'CHECK_DT-BT'!A86)</f>
        <v>0</v>
      </c>
      <c r="L86" s="7">
        <f>SUMIFS('Tong_hop_HQNV_2026Q1_2026-06-23'!$K:$K,'Tong_hop_HQNV_2026Q1_2026-06-23'!$A:$A,"="&amp;$L$2,'Tong_hop_HQNV_2026Q1_2026-06-23'!$B:$B, "="&amp;'CHECK_DT-BT'!A86)</f>
        <v>0</v>
      </c>
      <c r="M86" s="7">
        <f>SUMIFS('Tong_hop_HQNV_2026Q1_2026-06-23'!$K:$K,'Tong_hop_HQNV_2026Q1_2026-06-23'!$A:$A,"="&amp;$M$2,'Tong_hop_HQNV_2026Q1_2026-06-23'!$B:$B, "="&amp;'CHECK_DT-BT'!A86)</f>
        <v>0</v>
      </c>
      <c r="N86" s="7">
        <f>SUMIFS('Tong_hop_HQNV_2026Q1_2026-06-23'!$K:$K,'Tong_hop_HQNV_2026Q1_2026-06-23'!$A:$A,"="&amp;$N$2,'Tong_hop_HQNV_2026Q1_2026-06-23'!$B:$B, "="&amp;'CHECK_DT-BT'!A86)</f>
        <v>0</v>
      </c>
      <c r="O86" s="7">
        <f>SUMIFS('Tong_hop_HQNV_2026Q1_2026-06-23'!$K:$K,'Tong_hop_HQNV_2026Q1_2026-06-23'!$A:$A,"="&amp;$O$2,'Tong_hop_HQNV_2026Q1_2026-06-23'!$B:$B, "="&amp;'CHECK_DT-BT'!A86)</f>
        <v>0</v>
      </c>
      <c r="P86" s="7">
        <f>SUMIFS('Tong_hop_HQNV_2026Q1_2026-06-23'!$K:$K,'Tong_hop_HQNV_2026Q1_2026-06-23'!$A:$A,"="&amp;$P$2,'Tong_hop_HQNV_2026Q1_2026-06-23'!$B:$B, "="&amp;'CHECK_DT-BT'!A86)</f>
        <v>0</v>
      </c>
      <c r="Q86" s="7">
        <f t="shared" si="18"/>
        <v>0</v>
      </c>
      <c r="R86" s="7">
        <f t="shared" si="19"/>
        <v>0</v>
      </c>
      <c r="S86" s="7">
        <f>SUMIFS('HQ1'!$C:$C,'HQ1'!$A:$A, "="&amp;'CHECK_DT-BT'!C86, 'HQ1'!$B:$B, "Total")</f>
        <v>69545281</v>
      </c>
      <c r="T86" s="7">
        <f>SUMIFS('HQ2'!$C:$C,'HQ2'!$A:$A, "="&amp;'CHECK_DT-BT'!C86, 'HQ2'!$B:$B, "Total")</f>
        <v>42634852815</v>
      </c>
      <c r="U86" s="7">
        <f t="shared" si="20"/>
        <v>-69545281</v>
      </c>
      <c r="V86" s="7">
        <f t="shared" si="21"/>
        <v>-42634852815</v>
      </c>
      <c r="W86" s="23">
        <f>SUMIFS('Tong_hop_HQNV_2026Q1_2026-06-23'!$L:$L,'Tong_hop_HQNV_2026Q1_2026-06-23'!$B:$B, "="&amp;'CHECK_DT-BT'!A86, 'Tong_hop_HQNV_2026Q1_2026-06-23'!$A:$A, "="&amp;'CHECK_DT-BT'!$W$2)</f>
        <v>0</v>
      </c>
      <c r="X86" s="7">
        <f>SUMIFS('Tong_hop_HQNV_2026Q1_2026-06-23'!$L:$L,'Tong_hop_HQNV_2026Q1_2026-06-23'!$B:$B, "="&amp;'CHECK_DT-BT'!A86, 'Tong_hop_HQNV_2026Q1_2026-06-23'!$A:$A, "="&amp;'CHECK_DT-BT'!$X$2)</f>
        <v>0</v>
      </c>
      <c r="Y86" s="7">
        <f>SUMIFS('Tong_hop_HQNV_2026Q1_2026-06-23'!$L:$L,'Tong_hop_HQNV_2026Q1_2026-06-23'!$B:$B, "="&amp;'CHECK_DT-BT'!A86, 'Tong_hop_HQNV_2026Q1_2026-06-23'!$A:$A, "="&amp;'CHECK_DT-BT'!$Y$2)</f>
        <v>0</v>
      </c>
      <c r="Z86" s="7">
        <f>SUMIFS('Tong_hop_HQNV_2026Q1_2026-06-23'!$L:$L,'Tong_hop_HQNV_2026Q1_2026-06-23'!$B:$B, "="&amp;'CHECK_DT-BT'!A86, 'Tong_hop_HQNV_2026Q1_2026-06-23'!$A:$A, "="&amp;'CHECK_DT-BT'!$Z$2)</f>
        <v>0</v>
      </c>
      <c r="AA86" s="7">
        <f>SUMIFS('Tong_hop_HQNV_2026Q1_2026-06-23'!$L:$L,'Tong_hop_HQNV_2026Q1_2026-06-23'!$B:$B, "="&amp;'CHECK_DT-BT'!A86, 'Tong_hop_HQNV_2026Q1_2026-06-23'!$A:$A, "="&amp;$AA$2)</f>
        <v>0</v>
      </c>
      <c r="AB86" s="7">
        <f>SUMIFS('Tong_hop_HQNV_2026Q1_2026-06-23'!$L:$L,'Tong_hop_HQNV_2026Q1_2026-06-23'!$B:$B, "="&amp;'CHECK_DT-BT'!A86, 'Tong_hop_HQNV_2026Q1_2026-06-23'!$A:$A, "="&amp;$AB$2)</f>
        <v>0</v>
      </c>
      <c r="AC86" s="7">
        <f>SUMIFS('Tong_hop_HQNV_2026Q1_2026-06-23'!$L:$L,'Tong_hop_HQNV_2026Q1_2026-06-23'!$B:$B, "="&amp;'CHECK_DT-BT'!A86, 'Tong_hop_HQNV_2026Q1_2026-06-23'!$A:$A, "="&amp;$AC$2)</f>
        <v>0</v>
      </c>
      <c r="AD86" s="7">
        <f>SUMIFS('Tong_hop_HQNV_2026Q1_2026-06-23'!$L:$L,'Tong_hop_HQNV_2026Q1_2026-06-23'!$B:$B, "="&amp;'CHECK_DT-BT'!A86, 'Tong_hop_HQNV_2026Q1_2026-06-23'!$A:$A, "="&amp;$AD$2)</f>
        <v>0</v>
      </c>
      <c r="AE86" s="7">
        <f>SUMIFS('Tong_hop_HQNV_2026Q1_2026-06-23'!$L:$L,'Tong_hop_HQNV_2026Q1_2026-06-23'!$B:$B, "="&amp;'CHECK_DT-BT'!A86, 'Tong_hop_HQNV_2026Q1_2026-06-23'!$A:$A, "="&amp;$AE$2)</f>
        <v>0</v>
      </c>
      <c r="AF86" s="7">
        <f>SUMIFS('Tong_hop_HQNV_2026Q1_2026-06-23'!$L:$L,'Tong_hop_HQNV_2026Q1_2026-06-23'!$B:$B, "="&amp;'CHECK_DT-BT'!A86, 'Tong_hop_HQNV_2026Q1_2026-06-23'!$A:$A, "="&amp;$AF$2)</f>
        <v>0</v>
      </c>
      <c r="AG86" s="7">
        <f>SUMIFS('Tong_hop_HQNV_2026Q1_2026-06-23'!$L:$L,'Tong_hop_HQNV_2026Q1_2026-06-23'!$B:$B, "="&amp;'CHECK_DT-BT'!A86, 'Tong_hop_HQNV_2026Q1_2026-06-23'!$A:$A, "="&amp;$AG$2)</f>
        <v>0</v>
      </c>
      <c r="AH86" s="7">
        <f>SUMIFS('Tong_hop_HQNV_2026Q1_2026-06-23'!$L:$L,'Tong_hop_HQNV_2026Q1_2026-06-23'!$B:$B, "="&amp;'CHECK_DT-BT'!A86, 'Tong_hop_HQNV_2026Q1_2026-06-23'!$A:$A, "="&amp;$AH$2)</f>
        <v>0</v>
      </c>
      <c r="AI86" s="7">
        <f>SUMIFS('Tong_hop_HQNV_2026Q1_2026-06-23'!$L:$L,'Tong_hop_HQNV_2026Q1_2026-06-23'!$B:$B, "="&amp;'CHECK_DT-BT'!A86, 'Tong_hop_HQNV_2026Q1_2026-06-23'!$A:$A, "="&amp;$AI$2)</f>
        <v>0</v>
      </c>
      <c r="AJ86" s="7">
        <f t="shared" si="22"/>
        <v>0</v>
      </c>
      <c r="AK86" s="7">
        <f t="shared" si="23"/>
        <v>0</v>
      </c>
      <c r="AL86" s="7">
        <f>SUMIFS('HQ1'!$D:$D,'HQ1'!$A:$A, "="&amp;'CHECK_DT-BT'!C86, 'HQ1'!$B:$B, "Total")</f>
        <v>2638850171</v>
      </c>
      <c r="AM86" s="7">
        <f>SUMIFS('HQ2'!$J:$J,'HQ2'!$A:$A, "="&amp;'CHECK_DT-BT'!C86, 'HQ2'!$B:$B, "Total")</f>
        <v>81017838566</v>
      </c>
      <c r="AN86" s="24">
        <f t="shared" si="24"/>
        <v>-2638850171</v>
      </c>
      <c r="AO86" s="24">
        <f t="shared" si="25"/>
        <v>-81017838566</v>
      </c>
    </row>
    <row r="87" spans="1:41" x14ac:dyDescent="0.25">
      <c r="A87" s="9" t="s">
        <v>230</v>
      </c>
      <c r="B87" s="93" t="s">
        <v>130</v>
      </c>
      <c r="C87" s="93" t="s">
        <v>130</v>
      </c>
      <c r="D87" s="7">
        <f>SUMIFS('Tong_hop_HQNV_2026Q1_2026-06-23'!$K:$K,'Tong_hop_HQNV_2026Q1_2026-06-23'!$A:$A,"="&amp;'CHECK_DT-BT'!$D$2,'Tong_hop_HQNV_2026Q1_2026-06-23'!$B:$B, "="&amp;'CHECK_DT-BT'!A87)</f>
        <v>3238181764</v>
      </c>
      <c r="E87" s="7">
        <f>SUMIFS('Tong_hop_HQNV_2026Q1_2026-06-23'!$K:$K,'Tong_hop_HQNV_2026Q1_2026-06-23'!$A:$A,"="&amp;'CHECK_DT-BT'!$E$2,'Tong_hop_HQNV_2026Q1_2026-06-23'!$B:$B, "="&amp;'CHECK_DT-BT'!A87)</f>
        <v>108231145</v>
      </c>
      <c r="F87" s="7">
        <f>SUMIFS('Tong_hop_HQNV_2026Q1_2026-06-23'!$K:$K,'Tong_hop_HQNV_2026Q1_2026-06-23'!$A:$A,"="&amp;'CHECK_DT-BT'!$F$2,'Tong_hop_HQNV_2026Q1_2026-06-23'!$B:$B, "="&amp;'CHECK_DT-BT'!A87)</f>
        <v>0</v>
      </c>
      <c r="G87" s="7">
        <f>SUMIFS('Tong_hop_HQNV_2026Q1_2026-06-23'!$K:$K,'Tong_hop_HQNV_2026Q1_2026-06-23'!$A:$A,"="&amp;'CHECK_DT-BT'!$G$2,'Tong_hop_HQNV_2026Q1_2026-06-23'!$B:$B, "="&amp;'CHECK_DT-BT'!A87)</f>
        <v>485984163553</v>
      </c>
      <c r="H87" s="7">
        <f>SUMIFS('Tong_hop_HQNV_2026Q1_2026-06-23'!$K:$K,'Tong_hop_HQNV_2026Q1_2026-06-23'!$A:$A,"="&amp;$H$2,'Tong_hop_HQNV_2026Q1_2026-06-23'!$B:$B, "="&amp;'CHECK_DT-BT'!A87)</f>
        <v>0</v>
      </c>
      <c r="I87" s="7">
        <f>SUMIFS('Tong_hop_HQNV_2026Q1_2026-06-23'!$K:$K,'Tong_hop_HQNV_2026Q1_2026-06-23'!$A:$A,"="&amp;$I$2,'Tong_hop_HQNV_2026Q1_2026-06-23'!$B:$B, "="&amp;'CHECK_DT-BT'!A87)</f>
        <v>0</v>
      </c>
      <c r="J87" s="7">
        <f>SUMIFS('Tong_hop_HQNV_2026Q1_2026-06-23'!$K:$K,'Tong_hop_HQNV_2026Q1_2026-06-23'!$A:$A,"="&amp;$J$2,'Tong_hop_HQNV_2026Q1_2026-06-23'!$B:$B, "="&amp;'CHECK_DT-BT'!A87)</f>
        <v>0</v>
      </c>
      <c r="K87" s="7">
        <f>SUMIFS('Tong_hop_HQNV_2026Q1_2026-06-23'!$K:$K,'Tong_hop_HQNV_2026Q1_2026-06-23'!$A:$A,"="&amp;$K$2,'Tong_hop_HQNV_2026Q1_2026-06-23'!$B:$B, "="&amp;'CHECK_DT-BT'!A87)</f>
        <v>0</v>
      </c>
      <c r="L87" s="7">
        <f>SUMIFS('Tong_hop_HQNV_2026Q1_2026-06-23'!$K:$K,'Tong_hop_HQNV_2026Q1_2026-06-23'!$A:$A,"="&amp;$L$2,'Tong_hop_HQNV_2026Q1_2026-06-23'!$B:$B, "="&amp;'CHECK_DT-BT'!A87)</f>
        <v>0</v>
      </c>
      <c r="M87" s="7">
        <f>SUMIFS('Tong_hop_HQNV_2026Q1_2026-06-23'!$K:$K,'Tong_hop_HQNV_2026Q1_2026-06-23'!$A:$A,"="&amp;$M$2,'Tong_hop_HQNV_2026Q1_2026-06-23'!$B:$B, "="&amp;'CHECK_DT-BT'!A87)</f>
        <v>0</v>
      </c>
      <c r="N87" s="7">
        <f>SUMIFS('Tong_hop_HQNV_2026Q1_2026-06-23'!$K:$K,'Tong_hop_HQNV_2026Q1_2026-06-23'!$A:$A,"="&amp;$N$2,'Tong_hop_HQNV_2026Q1_2026-06-23'!$B:$B, "="&amp;'CHECK_DT-BT'!A87)</f>
        <v>3813093</v>
      </c>
      <c r="O87" s="7">
        <f>SUMIFS('Tong_hop_HQNV_2026Q1_2026-06-23'!$K:$K,'Tong_hop_HQNV_2026Q1_2026-06-23'!$A:$A,"="&amp;$O$2,'Tong_hop_HQNV_2026Q1_2026-06-23'!$B:$B, "="&amp;'CHECK_DT-BT'!A87)</f>
        <v>0</v>
      </c>
      <c r="P87" s="7">
        <f>SUMIFS('Tong_hop_HQNV_2026Q1_2026-06-23'!$K:$K,'Tong_hop_HQNV_2026Q1_2026-06-23'!$A:$A,"="&amp;$P$2,'Tong_hop_HQNV_2026Q1_2026-06-23'!$B:$B, "="&amp;'CHECK_DT-BT'!A87)</f>
        <v>0</v>
      </c>
      <c r="Q87" s="7">
        <f t="shared" si="18"/>
        <v>489330576462</v>
      </c>
      <c r="R87" s="7">
        <f t="shared" si="19"/>
        <v>3813093</v>
      </c>
      <c r="S87" s="7">
        <f>SUMIFS('HQ1'!$C:$C,'HQ1'!$A:$A, "="&amp;'CHECK_DT-BT'!C87, 'HQ1'!$B:$B, "Total")</f>
        <v>489327179462</v>
      </c>
      <c r="T87" s="7">
        <f>SUMIFS('HQ2'!$C:$C,'HQ2'!$A:$A, "="&amp;'CHECK_DT-BT'!C87, 'HQ2'!$B:$B, "Total")</f>
        <v>3813093</v>
      </c>
      <c r="U87" s="7">
        <f t="shared" si="20"/>
        <v>3397000</v>
      </c>
      <c r="V87" s="7">
        <f t="shared" si="21"/>
        <v>0</v>
      </c>
      <c r="W87" s="23">
        <f>SUMIFS('Tong_hop_HQNV_2026Q1_2026-06-23'!$L:$L,'Tong_hop_HQNV_2026Q1_2026-06-23'!$B:$B, "="&amp;'CHECK_DT-BT'!A87, 'Tong_hop_HQNV_2026Q1_2026-06-23'!$A:$A, "="&amp;'CHECK_DT-BT'!$W$2)</f>
        <v>716276692</v>
      </c>
      <c r="X87" s="7">
        <f>SUMIFS('Tong_hop_HQNV_2026Q1_2026-06-23'!$L:$L,'Tong_hop_HQNV_2026Q1_2026-06-23'!$B:$B, "="&amp;'CHECK_DT-BT'!A87, 'Tong_hop_HQNV_2026Q1_2026-06-23'!$A:$A, "="&amp;'CHECK_DT-BT'!$X$2)</f>
        <v>0</v>
      </c>
      <c r="Y87" s="7">
        <f>SUMIFS('Tong_hop_HQNV_2026Q1_2026-06-23'!$L:$L,'Tong_hop_HQNV_2026Q1_2026-06-23'!$B:$B, "="&amp;'CHECK_DT-BT'!A87, 'Tong_hop_HQNV_2026Q1_2026-06-23'!$A:$A, "="&amp;'CHECK_DT-BT'!$Y$2)</f>
        <v>0</v>
      </c>
      <c r="Z87" s="7">
        <f>SUMIFS('Tong_hop_HQNV_2026Q1_2026-06-23'!$L:$L,'Tong_hop_HQNV_2026Q1_2026-06-23'!$B:$B, "="&amp;'CHECK_DT-BT'!A87, 'Tong_hop_HQNV_2026Q1_2026-06-23'!$A:$A, "="&amp;'CHECK_DT-BT'!$Z$2)</f>
        <v>137826067230</v>
      </c>
      <c r="AA87" s="7">
        <f>SUMIFS('Tong_hop_HQNV_2026Q1_2026-06-23'!$L:$L,'Tong_hop_HQNV_2026Q1_2026-06-23'!$B:$B, "="&amp;'CHECK_DT-BT'!A87, 'Tong_hop_HQNV_2026Q1_2026-06-23'!$A:$A, "="&amp;$AA$2)</f>
        <v>0</v>
      </c>
      <c r="AB87" s="7">
        <f>SUMIFS('Tong_hop_HQNV_2026Q1_2026-06-23'!$L:$L,'Tong_hop_HQNV_2026Q1_2026-06-23'!$B:$B, "="&amp;'CHECK_DT-BT'!A87, 'Tong_hop_HQNV_2026Q1_2026-06-23'!$A:$A, "="&amp;$AB$2)</f>
        <v>0</v>
      </c>
      <c r="AC87" s="7">
        <f>SUMIFS('Tong_hop_HQNV_2026Q1_2026-06-23'!$L:$L,'Tong_hop_HQNV_2026Q1_2026-06-23'!$B:$B, "="&amp;'CHECK_DT-BT'!A87, 'Tong_hop_HQNV_2026Q1_2026-06-23'!$A:$A, "="&amp;$AC$2)</f>
        <v>0</v>
      </c>
      <c r="AD87" s="7">
        <f>SUMIFS('Tong_hop_HQNV_2026Q1_2026-06-23'!$L:$L,'Tong_hop_HQNV_2026Q1_2026-06-23'!$B:$B, "="&amp;'CHECK_DT-BT'!A87, 'Tong_hop_HQNV_2026Q1_2026-06-23'!$A:$A, "="&amp;$AD$2)</f>
        <v>0</v>
      </c>
      <c r="AE87" s="7">
        <f>SUMIFS('Tong_hop_HQNV_2026Q1_2026-06-23'!$L:$L,'Tong_hop_HQNV_2026Q1_2026-06-23'!$B:$B, "="&amp;'CHECK_DT-BT'!A87, 'Tong_hop_HQNV_2026Q1_2026-06-23'!$A:$A, "="&amp;$AE$2)</f>
        <v>0</v>
      </c>
      <c r="AF87" s="7">
        <f>SUMIFS('Tong_hop_HQNV_2026Q1_2026-06-23'!$L:$L,'Tong_hop_HQNV_2026Q1_2026-06-23'!$B:$B, "="&amp;'CHECK_DT-BT'!A87, 'Tong_hop_HQNV_2026Q1_2026-06-23'!$A:$A, "="&amp;$AF$2)</f>
        <v>0</v>
      </c>
      <c r="AG87" s="7">
        <f>SUMIFS('Tong_hop_HQNV_2026Q1_2026-06-23'!$L:$L,'Tong_hop_HQNV_2026Q1_2026-06-23'!$B:$B, "="&amp;'CHECK_DT-BT'!A87, 'Tong_hop_HQNV_2026Q1_2026-06-23'!$A:$A, "="&amp;$AG$2)</f>
        <v>0</v>
      </c>
      <c r="AH87" s="7">
        <f>SUMIFS('Tong_hop_HQNV_2026Q1_2026-06-23'!$L:$L,'Tong_hop_HQNV_2026Q1_2026-06-23'!$B:$B, "="&amp;'CHECK_DT-BT'!A87, 'Tong_hop_HQNV_2026Q1_2026-06-23'!$A:$A, "="&amp;$AH$2)</f>
        <v>0</v>
      </c>
      <c r="AI87" s="7">
        <f>SUMIFS('Tong_hop_HQNV_2026Q1_2026-06-23'!$L:$L,'Tong_hop_HQNV_2026Q1_2026-06-23'!$B:$B, "="&amp;'CHECK_DT-BT'!A87, 'Tong_hop_HQNV_2026Q1_2026-06-23'!$A:$A, "="&amp;$AI$2)</f>
        <v>0</v>
      </c>
      <c r="AJ87" s="7">
        <f t="shared" si="22"/>
        <v>138542343922</v>
      </c>
      <c r="AK87" s="7">
        <f t="shared" si="23"/>
        <v>0</v>
      </c>
      <c r="AL87" s="7">
        <f>SUMIFS('HQ1'!$D:$D,'HQ1'!$A:$A, "="&amp;'CHECK_DT-BT'!C87, 'HQ1'!$B:$B, "Total")</f>
        <v>138542343922</v>
      </c>
      <c r="AM87" s="7">
        <f>SUMIFS('HQ2'!$J:$J,'HQ2'!$A:$A, "="&amp;'CHECK_DT-BT'!C87, 'HQ2'!$B:$B, "Total")</f>
        <v>0</v>
      </c>
      <c r="AN87" s="24">
        <f t="shared" si="24"/>
        <v>0</v>
      </c>
      <c r="AO87" s="24">
        <f t="shared" si="25"/>
        <v>0</v>
      </c>
    </row>
    <row r="88" spans="1:41" x14ac:dyDescent="0.25">
      <c r="A88" s="9" t="s">
        <v>223</v>
      </c>
      <c r="B88" s="93" t="s">
        <v>55</v>
      </c>
      <c r="C88" s="93" t="s">
        <v>55</v>
      </c>
      <c r="D88" s="7">
        <f>SUMIFS('Tong_hop_HQNV_2026Q1_2026-06-23'!$K:$K,'Tong_hop_HQNV_2026Q1_2026-06-23'!$A:$A,"="&amp;'CHECK_DT-BT'!$D$2,'Tong_hop_HQNV_2026Q1_2026-06-23'!$B:$B, "="&amp;'CHECK_DT-BT'!A88)</f>
        <v>7075450</v>
      </c>
      <c r="E88" s="7">
        <f>SUMIFS('Tong_hop_HQNV_2026Q1_2026-06-23'!$K:$K,'Tong_hop_HQNV_2026Q1_2026-06-23'!$A:$A,"="&amp;'CHECK_DT-BT'!$E$2,'Tong_hop_HQNV_2026Q1_2026-06-23'!$B:$B, "="&amp;'CHECK_DT-BT'!A88)</f>
        <v>4603200</v>
      </c>
      <c r="F88" s="7">
        <f>SUMIFS('Tong_hop_HQNV_2026Q1_2026-06-23'!$K:$K,'Tong_hop_HQNV_2026Q1_2026-06-23'!$A:$A,"="&amp;'CHECK_DT-BT'!$F$2,'Tong_hop_HQNV_2026Q1_2026-06-23'!$B:$B, "="&amp;'CHECK_DT-BT'!A88)</f>
        <v>253297609</v>
      </c>
      <c r="G88" s="7">
        <f>SUMIFS('Tong_hop_HQNV_2026Q1_2026-06-23'!$K:$K,'Tong_hop_HQNV_2026Q1_2026-06-23'!$A:$A,"="&amp;'CHECK_DT-BT'!$G$2,'Tong_hop_HQNV_2026Q1_2026-06-23'!$B:$B, "="&amp;'CHECK_DT-BT'!A88)</f>
        <v>486512843</v>
      </c>
      <c r="H88" s="7">
        <f>SUMIFS('Tong_hop_HQNV_2026Q1_2026-06-23'!$K:$K,'Tong_hop_HQNV_2026Q1_2026-06-23'!$A:$A,"="&amp;$H$2,'Tong_hop_HQNV_2026Q1_2026-06-23'!$B:$B, "="&amp;'CHECK_DT-BT'!A88)</f>
        <v>11752986008</v>
      </c>
      <c r="I88" s="7">
        <f>SUMIFS('Tong_hop_HQNV_2026Q1_2026-06-23'!$K:$K,'Tong_hop_HQNV_2026Q1_2026-06-23'!$A:$A,"="&amp;$I$2,'Tong_hop_HQNV_2026Q1_2026-06-23'!$B:$B, "="&amp;'CHECK_DT-BT'!A88)</f>
        <v>0</v>
      </c>
      <c r="J88" s="7">
        <f>SUMIFS('Tong_hop_HQNV_2026Q1_2026-06-23'!$K:$K,'Tong_hop_HQNV_2026Q1_2026-06-23'!$A:$A,"="&amp;$J$2,'Tong_hop_HQNV_2026Q1_2026-06-23'!$B:$B, "="&amp;'CHECK_DT-BT'!A88)</f>
        <v>219710920</v>
      </c>
      <c r="K88" s="7">
        <f>SUMIFS('Tong_hop_HQNV_2026Q1_2026-06-23'!$K:$K,'Tong_hop_HQNV_2026Q1_2026-06-23'!$A:$A,"="&amp;$K$2,'Tong_hop_HQNV_2026Q1_2026-06-23'!$B:$B, "="&amp;'CHECK_DT-BT'!A88)</f>
        <v>169322972</v>
      </c>
      <c r="L88" s="7">
        <f>SUMIFS('Tong_hop_HQNV_2026Q1_2026-06-23'!$K:$K,'Tong_hop_HQNV_2026Q1_2026-06-23'!$A:$A,"="&amp;$L$2,'Tong_hop_HQNV_2026Q1_2026-06-23'!$B:$B, "="&amp;'CHECK_DT-BT'!A88)</f>
        <v>1189221152</v>
      </c>
      <c r="M88" s="7">
        <f>SUMIFS('Tong_hop_HQNV_2026Q1_2026-06-23'!$K:$K,'Tong_hop_HQNV_2026Q1_2026-06-23'!$A:$A,"="&amp;$M$2,'Tong_hop_HQNV_2026Q1_2026-06-23'!$B:$B, "="&amp;'CHECK_DT-BT'!A88)</f>
        <v>7705517</v>
      </c>
      <c r="N88" s="7">
        <f>SUMIFS('Tong_hop_HQNV_2026Q1_2026-06-23'!$K:$K,'Tong_hop_HQNV_2026Q1_2026-06-23'!$A:$A,"="&amp;$N$2,'Tong_hop_HQNV_2026Q1_2026-06-23'!$B:$B, "="&amp;'CHECK_DT-BT'!A88)</f>
        <v>8000000</v>
      </c>
      <c r="O88" s="7">
        <f>SUMIFS('Tong_hop_HQNV_2026Q1_2026-06-23'!$K:$K,'Tong_hop_HQNV_2026Q1_2026-06-23'!$A:$A,"="&amp;$O$2,'Tong_hop_HQNV_2026Q1_2026-06-23'!$B:$B, "="&amp;'CHECK_DT-BT'!A88)</f>
        <v>0</v>
      </c>
      <c r="P88" s="7">
        <f>SUMIFS('Tong_hop_HQNV_2026Q1_2026-06-23'!$K:$K,'Tong_hop_HQNV_2026Q1_2026-06-23'!$A:$A,"="&amp;$P$2,'Tong_hop_HQNV_2026Q1_2026-06-23'!$B:$B, "="&amp;'CHECK_DT-BT'!A88)</f>
        <v>0</v>
      </c>
      <c r="Q88" s="7">
        <f t="shared" si="18"/>
        <v>751489102</v>
      </c>
      <c r="R88" s="7">
        <f t="shared" si="19"/>
        <v>13346946569</v>
      </c>
      <c r="S88" s="7">
        <f>SUMIFS('HQ1'!$C:$C,'HQ1'!$A:$A, "="&amp;'CHECK_DT-BT'!C88, 'HQ1'!$B:$B, "Total")</f>
        <v>751489102</v>
      </c>
      <c r="T88" s="7">
        <f>SUMIFS('HQ2'!$C:$C,'HQ2'!$A:$A, "="&amp;'CHECK_DT-BT'!C88, 'HQ2'!$B:$B, "Total")</f>
        <v>13346946569</v>
      </c>
      <c r="U88" s="7">
        <f t="shared" si="20"/>
        <v>0</v>
      </c>
      <c r="V88" s="7">
        <f t="shared" si="21"/>
        <v>0</v>
      </c>
      <c r="W88" s="23">
        <f>SUMIFS('Tong_hop_HQNV_2026Q1_2026-06-23'!$L:$L,'Tong_hop_HQNV_2026Q1_2026-06-23'!$B:$B, "="&amp;'CHECK_DT-BT'!A88, 'Tong_hop_HQNV_2026Q1_2026-06-23'!$A:$A, "="&amp;'CHECK_DT-BT'!$W$2)</f>
        <v>0</v>
      </c>
      <c r="X88" s="7">
        <f>SUMIFS('Tong_hop_HQNV_2026Q1_2026-06-23'!$L:$L,'Tong_hop_HQNV_2026Q1_2026-06-23'!$B:$B, "="&amp;'CHECK_DT-BT'!A88, 'Tong_hop_HQNV_2026Q1_2026-06-23'!$A:$A, "="&amp;'CHECK_DT-BT'!$X$2)</f>
        <v>0</v>
      </c>
      <c r="Y88" s="7">
        <f>SUMIFS('Tong_hop_HQNV_2026Q1_2026-06-23'!$L:$L,'Tong_hop_HQNV_2026Q1_2026-06-23'!$B:$B, "="&amp;'CHECK_DT-BT'!A88, 'Tong_hop_HQNV_2026Q1_2026-06-23'!$A:$A, "="&amp;'CHECK_DT-BT'!$Y$2)</f>
        <v>35933452</v>
      </c>
      <c r="Z88" s="7">
        <f>SUMIFS('Tong_hop_HQNV_2026Q1_2026-06-23'!$L:$L,'Tong_hop_HQNV_2026Q1_2026-06-23'!$B:$B, "="&amp;'CHECK_DT-BT'!A88, 'Tong_hop_HQNV_2026Q1_2026-06-23'!$A:$A, "="&amp;'CHECK_DT-BT'!$Z$2)</f>
        <v>1010021779</v>
      </c>
      <c r="AA88" s="7">
        <f>SUMIFS('Tong_hop_HQNV_2026Q1_2026-06-23'!$L:$L,'Tong_hop_HQNV_2026Q1_2026-06-23'!$B:$B, "="&amp;'CHECK_DT-BT'!A88, 'Tong_hop_HQNV_2026Q1_2026-06-23'!$A:$A, "="&amp;$AA$2)</f>
        <v>5631285405</v>
      </c>
      <c r="AB88" s="7">
        <f>SUMIFS('Tong_hop_HQNV_2026Q1_2026-06-23'!$L:$L,'Tong_hop_HQNV_2026Q1_2026-06-23'!$B:$B, "="&amp;'CHECK_DT-BT'!A88, 'Tong_hop_HQNV_2026Q1_2026-06-23'!$A:$A, "="&amp;$AB$2)</f>
        <v>0</v>
      </c>
      <c r="AC88" s="7">
        <f>SUMIFS('Tong_hop_HQNV_2026Q1_2026-06-23'!$L:$L,'Tong_hop_HQNV_2026Q1_2026-06-23'!$B:$B, "="&amp;'CHECK_DT-BT'!A88, 'Tong_hop_HQNV_2026Q1_2026-06-23'!$A:$A, "="&amp;$AC$2)</f>
        <v>0</v>
      </c>
      <c r="AD88" s="7">
        <f>SUMIFS('Tong_hop_HQNV_2026Q1_2026-06-23'!$L:$L,'Tong_hop_HQNV_2026Q1_2026-06-23'!$B:$B, "="&amp;'CHECK_DT-BT'!A88, 'Tong_hop_HQNV_2026Q1_2026-06-23'!$A:$A, "="&amp;$AD$2)</f>
        <v>0</v>
      </c>
      <c r="AE88" s="7">
        <f>SUMIFS('Tong_hop_HQNV_2026Q1_2026-06-23'!$L:$L,'Tong_hop_HQNV_2026Q1_2026-06-23'!$B:$B, "="&amp;'CHECK_DT-BT'!A88, 'Tong_hop_HQNV_2026Q1_2026-06-23'!$A:$A, "="&amp;$AE$2)</f>
        <v>91736306</v>
      </c>
      <c r="AF88" s="7">
        <f>SUMIFS('Tong_hop_HQNV_2026Q1_2026-06-23'!$L:$L,'Tong_hop_HQNV_2026Q1_2026-06-23'!$B:$B, "="&amp;'CHECK_DT-BT'!A88, 'Tong_hop_HQNV_2026Q1_2026-06-23'!$A:$A, "="&amp;$AF$2)</f>
        <v>0</v>
      </c>
      <c r="AG88" s="7">
        <f>SUMIFS('Tong_hop_HQNV_2026Q1_2026-06-23'!$L:$L,'Tong_hop_HQNV_2026Q1_2026-06-23'!$B:$B, "="&amp;'CHECK_DT-BT'!A88, 'Tong_hop_HQNV_2026Q1_2026-06-23'!$A:$A, "="&amp;$AG$2)</f>
        <v>0</v>
      </c>
      <c r="AH88" s="7">
        <f>SUMIFS('Tong_hop_HQNV_2026Q1_2026-06-23'!$L:$L,'Tong_hop_HQNV_2026Q1_2026-06-23'!$B:$B, "="&amp;'CHECK_DT-BT'!A88, 'Tong_hop_HQNV_2026Q1_2026-06-23'!$A:$A, "="&amp;$AH$2)</f>
        <v>0</v>
      </c>
      <c r="AI88" s="7">
        <f>SUMIFS('Tong_hop_HQNV_2026Q1_2026-06-23'!$L:$L,'Tong_hop_HQNV_2026Q1_2026-06-23'!$B:$B, "="&amp;'CHECK_DT-BT'!A88, 'Tong_hop_HQNV_2026Q1_2026-06-23'!$A:$A, "="&amp;$AI$2)</f>
        <v>0</v>
      </c>
      <c r="AJ88" s="7">
        <f t="shared" si="22"/>
        <v>1045955231</v>
      </c>
      <c r="AK88" s="7">
        <f t="shared" si="23"/>
        <v>5723021711</v>
      </c>
      <c r="AL88" s="7">
        <f>SUMIFS('HQ1'!$D:$D,'HQ1'!$A:$A, "="&amp;'CHECK_DT-BT'!C88, 'HQ1'!$B:$B, "Total")</f>
        <v>1045955231</v>
      </c>
      <c r="AM88" s="7">
        <f>SUMIFS('HQ2'!$J:$J,'HQ2'!$A:$A, "="&amp;'CHECK_DT-BT'!C88, 'HQ2'!$B:$B, "Total")</f>
        <v>5677567166</v>
      </c>
      <c r="AN88" s="24">
        <f t="shared" si="24"/>
        <v>0</v>
      </c>
      <c r="AO88" s="24">
        <f t="shared" si="25"/>
        <v>45454545</v>
      </c>
    </row>
    <row r="89" spans="1:41" x14ac:dyDescent="0.25">
      <c r="A89" s="9" t="s">
        <v>234</v>
      </c>
      <c r="B89" s="93" t="s">
        <v>126</v>
      </c>
      <c r="C89" s="93" t="s">
        <v>126</v>
      </c>
      <c r="D89" s="7">
        <f>SUMIFS('Tong_hop_HQNV_2026Q1_2026-06-23'!$K:$K,'Tong_hop_HQNV_2026Q1_2026-06-23'!$A:$A,"="&amp;'CHECK_DT-BT'!$D$2,'Tong_hop_HQNV_2026Q1_2026-06-23'!$B:$B, "="&amp;'CHECK_DT-BT'!A89)</f>
        <v>857289275</v>
      </c>
      <c r="E89" s="7">
        <f>SUMIFS('Tong_hop_HQNV_2026Q1_2026-06-23'!$K:$K,'Tong_hop_HQNV_2026Q1_2026-06-23'!$A:$A,"="&amp;'CHECK_DT-BT'!$E$2,'Tong_hop_HQNV_2026Q1_2026-06-23'!$B:$B, "="&amp;'CHECK_DT-BT'!A89)</f>
        <v>165630349</v>
      </c>
      <c r="F89" s="7">
        <f>SUMIFS('Tong_hop_HQNV_2026Q1_2026-06-23'!$K:$K,'Tong_hop_HQNV_2026Q1_2026-06-23'!$A:$A,"="&amp;'CHECK_DT-BT'!$F$2,'Tong_hop_HQNV_2026Q1_2026-06-23'!$B:$B, "="&amp;'CHECK_DT-BT'!A89)</f>
        <v>1236479525</v>
      </c>
      <c r="G89" s="7">
        <f>SUMIFS('Tong_hop_HQNV_2026Q1_2026-06-23'!$K:$K,'Tong_hop_HQNV_2026Q1_2026-06-23'!$A:$A,"="&amp;'CHECK_DT-BT'!$G$2,'Tong_hop_HQNV_2026Q1_2026-06-23'!$B:$B, "="&amp;'CHECK_DT-BT'!A89)</f>
        <v>166773779807</v>
      </c>
      <c r="H89" s="7">
        <f>SUMIFS('Tong_hop_HQNV_2026Q1_2026-06-23'!$K:$K,'Tong_hop_HQNV_2026Q1_2026-06-23'!$A:$A,"="&amp;$H$2,'Tong_hop_HQNV_2026Q1_2026-06-23'!$B:$B, "="&amp;'CHECK_DT-BT'!A89)</f>
        <v>0</v>
      </c>
      <c r="I89" s="7">
        <f>SUMIFS('Tong_hop_HQNV_2026Q1_2026-06-23'!$K:$K,'Tong_hop_HQNV_2026Q1_2026-06-23'!$A:$A,"="&amp;$I$2,'Tong_hop_HQNV_2026Q1_2026-06-23'!$B:$B, "="&amp;'CHECK_DT-BT'!A89)</f>
        <v>0</v>
      </c>
      <c r="J89" s="7">
        <f>SUMIFS('Tong_hop_HQNV_2026Q1_2026-06-23'!$K:$K,'Tong_hop_HQNV_2026Q1_2026-06-23'!$A:$A,"="&amp;$J$2,'Tong_hop_HQNV_2026Q1_2026-06-23'!$B:$B, "="&amp;'CHECK_DT-BT'!A89)</f>
        <v>0</v>
      </c>
      <c r="K89" s="7">
        <f>SUMIFS('Tong_hop_HQNV_2026Q1_2026-06-23'!$K:$K,'Tong_hop_HQNV_2026Q1_2026-06-23'!$A:$A,"="&amp;$K$2,'Tong_hop_HQNV_2026Q1_2026-06-23'!$B:$B, "="&amp;'CHECK_DT-BT'!A89)</f>
        <v>0</v>
      </c>
      <c r="L89" s="7">
        <f>SUMIFS('Tong_hop_HQNV_2026Q1_2026-06-23'!$K:$K,'Tong_hop_HQNV_2026Q1_2026-06-23'!$A:$A,"="&amp;$L$2,'Tong_hop_HQNV_2026Q1_2026-06-23'!$B:$B, "="&amp;'CHECK_DT-BT'!A89)</f>
        <v>145781401</v>
      </c>
      <c r="M89" s="7">
        <f>SUMIFS('Tong_hop_HQNV_2026Q1_2026-06-23'!$K:$K,'Tong_hop_HQNV_2026Q1_2026-06-23'!$A:$A,"="&amp;$M$2,'Tong_hop_HQNV_2026Q1_2026-06-23'!$B:$B, "="&amp;'CHECK_DT-BT'!A89)</f>
        <v>0</v>
      </c>
      <c r="N89" s="7">
        <f>SUMIFS('Tong_hop_HQNV_2026Q1_2026-06-23'!$K:$K,'Tong_hop_HQNV_2026Q1_2026-06-23'!$A:$A,"="&amp;$N$2,'Tong_hop_HQNV_2026Q1_2026-06-23'!$B:$B, "="&amp;'CHECK_DT-BT'!A89)</f>
        <v>129432329</v>
      </c>
      <c r="O89" s="7">
        <f>SUMIFS('Tong_hop_HQNV_2026Q1_2026-06-23'!$K:$K,'Tong_hop_HQNV_2026Q1_2026-06-23'!$A:$A,"="&amp;$O$2,'Tong_hop_HQNV_2026Q1_2026-06-23'!$B:$B, "="&amp;'CHECK_DT-BT'!A89)</f>
        <v>0</v>
      </c>
      <c r="P89" s="7">
        <f>SUMIFS('Tong_hop_HQNV_2026Q1_2026-06-23'!$K:$K,'Tong_hop_HQNV_2026Q1_2026-06-23'!$A:$A,"="&amp;$P$2,'Tong_hop_HQNV_2026Q1_2026-06-23'!$B:$B, "="&amp;'CHECK_DT-BT'!A89)</f>
        <v>0</v>
      </c>
      <c r="Q89" s="7">
        <f t="shared" si="18"/>
        <v>169033178956</v>
      </c>
      <c r="R89" s="7">
        <f t="shared" si="19"/>
        <v>275213730</v>
      </c>
      <c r="S89" s="7">
        <f>SUMIFS('HQ1'!$C:$C,'HQ1'!$A:$A, "="&amp;'CHECK_DT-BT'!C89, 'HQ1'!$B:$B, "Total")</f>
        <v>168738067865</v>
      </c>
      <c r="T89" s="7">
        <f>SUMIFS('HQ2'!$C:$C,'HQ2'!$A:$A, "="&amp;'CHECK_DT-BT'!C89, 'HQ2'!$B:$B, "Total")</f>
        <v>275213730</v>
      </c>
      <c r="U89" s="7">
        <f t="shared" si="20"/>
        <v>295111091</v>
      </c>
      <c r="V89" s="7">
        <f t="shared" si="21"/>
        <v>0</v>
      </c>
      <c r="W89" s="23">
        <f>SUMIFS('Tong_hop_HQNV_2026Q1_2026-06-23'!$L:$L,'Tong_hop_HQNV_2026Q1_2026-06-23'!$B:$B, "="&amp;'CHECK_DT-BT'!A89, 'Tong_hop_HQNV_2026Q1_2026-06-23'!$A:$A, "="&amp;'CHECK_DT-BT'!$W$2)</f>
        <v>156658400</v>
      </c>
      <c r="X89" s="7">
        <f>SUMIFS('Tong_hop_HQNV_2026Q1_2026-06-23'!$L:$L,'Tong_hop_HQNV_2026Q1_2026-06-23'!$B:$B, "="&amp;'CHECK_DT-BT'!A89, 'Tong_hop_HQNV_2026Q1_2026-06-23'!$A:$A, "="&amp;'CHECK_DT-BT'!$X$2)</f>
        <v>15638844</v>
      </c>
      <c r="Y89" s="7">
        <f>SUMIFS('Tong_hop_HQNV_2026Q1_2026-06-23'!$L:$L,'Tong_hop_HQNV_2026Q1_2026-06-23'!$B:$B, "="&amp;'CHECK_DT-BT'!A89, 'Tong_hop_HQNV_2026Q1_2026-06-23'!$A:$A, "="&amp;'CHECK_DT-BT'!$Y$2)</f>
        <v>81351221</v>
      </c>
      <c r="Z89" s="7">
        <f>SUMIFS('Tong_hop_HQNV_2026Q1_2026-06-23'!$L:$L,'Tong_hop_HQNV_2026Q1_2026-06-23'!$B:$B, "="&amp;'CHECK_DT-BT'!A89, 'Tong_hop_HQNV_2026Q1_2026-06-23'!$A:$A, "="&amp;'CHECK_DT-BT'!$Z$2)</f>
        <v>77872754857</v>
      </c>
      <c r="AA89" s="7">
        <f>SUMIFS('Tong_hop_HQNV_2026Q1_2026-06-23'!$L:$L,'Tong_hop_HQNV_2026Q1_2026-06-23'!$B:$B, "="&amp;'CHECK_DT-BT'!A89, 'Tong_hop_HQNV_2026Q1_2026-06-23'!$A:$A, "="&amp;$AA$2)</f>
        <v>0</v>
      </c>
      <c r="AB89" s="7">
        <f>SUMIFS('Tong_hop_HQNV_2026Q1_2026-06-23'!$L:$L,'Tong_hop_HQNV_2026Q1_2026-06-23'!$B:$B, "="&amp;'CHECK_DT-BT'!A89, 'Tong_hop_HQNV_2026Q1_2026-06-23'!$A:$A, "="&amp;$AB$2)</f>
        <v>0</v>
      </c>
      <c r="AC89" s="7">
        <f>SUMIFS('Tong_hop_HQNV_2026Q1_2026-06-23'!$L:$L,'Tong_hop_HQNV_2026Q1_2026-06-23'!$B:$B, "="&amp;'CHECK_DT-BT'!A89, 'Tong_hop_HQNV_2026Q1_2026-06-23'!$A:$A, "="&amp;$AC$2)</f>
        <v>0</v>
      </c>
      <c r="AD89" s="7">
        <f>SUMIFS('Tong_hop_HQNV_2026Q1_2026-06-23'!$L:$L,'Tong_hop_HQNV_2026Q1_2026-06-23'!$B:$B, "="&amp;'CHECK_DT-BT'!A89, 'Tong_hop_HQNV_2026Q1_2026-06-23'!$A:$A, "="&amp;$AD$2)</f>
        <v>0</v>
      </c>
      <c r="AE89" s="7">
        <f>SUMIFS('Tong_hop_HQNV_2026Q1_2026-06-23'!$L:$L,'Tong_hop_HQNV_2026Q1_2026-06-23'!$B:$B, "="&amp;'CHECK_DT-BT'!A89, 'Tong_hop_HQNV_2026Q1_2026-06-23'!$A:$A, "="&amp;$AE$2)</f>
        <v>0</v>
      </c>
      <c r="AF89" s="7">
        <f>SUMIFS('Tong_hop_HQNV_2026Q1_2026-06-23'!$L:$L,'Tong_hop_HQNV_2026Q1_2026-06-23'!$B:$B, "="&amp;'CHECK_DT-BT'!A89, 'Tong_hop_HQNV_2026Q1_2026-06-23'!$A:$A, "="&amp;$AF$2)</f>
        <v>0</v>
      </c>
      <c r="AG89" s="7">
        <f>SUMIFS('Tong_hop_HQNV_2026Q1_2026-06-23'!$L:$L,'Tong_hop_HQNV_2026Q1_2026-06-23'!$B:$B, "="&amp;'CHECK_DT-BT'!A89, 'Tong_hop_HQNV_2026Q1_2026-06-23'!$A:$A, "="&amp;$AG$2)</f>
        <v>0</v>
      </c>
      <c r="AH89" s="7">
        <f>SUMIFS('Tong_hop_HQNV_2026Q1_2026-06-23'!$L:$L,'Tong_hop_HQNV_2026Q1_2026-06-23'!$B:$B, "="&amp;'CHECK_DT-BT'!A89, 'Tong_hop_HQNV_2026Q1_2026-06-23'!$A:$A, "="&amp;$AH$2)</f>
        <v>0</v>
      </c>
      <c r="AI89" s="7">
        <f>SUMIFS('Tong_hop_HQNV_2026Q1_2026-06-23'!$L:$L,'Tong_hop_HQNV_2026Q1_2026-06-23'!$B:$B, "="&amp;'CHECK_DT-BT'!A89, 'Tong_hop_HQNV_2026Q1_2026-06-23'!$A:$A, "="&amp;$AI$2)</f>
        <v>0</v>
      </c>
      <c r="AJ89" s="7">
        <f t="shared" si="22"/>
        <v>78126403322</v>
      </c>
      <c r="AK89" s="7">
        <f t="shared" si="23"/>
        <v>0</v>
      </c>
      <c r="AL89" s="7">
        <f>SUMIFS('HQ1'!$D:$D,'HQ1'!$A:$A, "="&amp;'CHECK_DT-BT'!C89, 'HQ1'!$B:$B, "Total")</f>
        <v>78126403322</v>
      </c>
      <c r="AM89" s="7">
        <f>SUMIFS('HQ2'!$J:$J,'HQ2'!$A:$A, "="&amp;'CHECK_DT-BT'!C89, 'HQ2'!$B:$B, "Total")</f>
        <v>0</v>
      </c>
      <c r="AN89" s="24">
        <f>AJ89-AL89</f>
        <v>0</v>
      </c>
      <c r="AO89" s="24">
        <f t="shared" si="25"/>
        <v>0</v>
      </c>
    </row>
    <row r="90" spans="1:41" x14ac:dyDescent="0.25">
      <c r="A90" s="9" t="s">
        <v>228</v>
      </c>
      <c r="B90" s="93" t="s">
        <v>50</v>
      </c>
      <c r="C90" s="93" t="s">
        <v>50</v>
      </c>
      <c r="D90" s="7">
        <f>SUMIFS('Tong_hop_HQNV_2026Q1_2026-06-23'!$K:$K,'Tong_hop_HQNV_2026Q1_2026-06-23'!$A:$A,"="&amp;'CHECK_DT-BT'!$D$2,'Tong_hop_HQNV_2026Q1_2026-06-23'!$B:$B, "="&amp;'CHECK_DT-BT'!A90)</f>
        <v>420366344</v>
      </c>
      <c r="E90" s="7">
        <f>SUMIFS('Tong_hop_HQNV_2026Q1_2026-06-23'!$K:$K,'Tong_hop_HQNV_2026Q1_2026-06-23'!$A:$A,"="&amp;'CHECK_DT-BT'!$E$2,'Tong_hop_HQNV_2026Q1_2026-06-23'!$B:$B, "="&amp;'CHECK_DT-BT'!A90)</f>
        <v>11981200</v>
      </c>
      <c r="F90" s="7">
        <f>SUMIFS('Tong_hop_HQNV_2026Q1_2026-06-23'!$K:$K,'Tong_hop_HQNV_2026Q1_2026-06-23'!$A:$A,"="&amp;'CHECK_DT-BT'!$F$2,'Tong_hop_HQNV_2026Q1_2026-06-23'!$B:$B, "="&amp;'CHECK_DT-BT'!A90)</f>
        <v>21334450</v>
      </c>
      <c r="G90" s="7">
        <f>SUMIFS('Tong_hop_HQNV_2026Q1_2026-06-23'!$K:$K,'Tong_hop_HQNV_2026Q1_2026-06-23'!$A:$A,"="&amp;'CHECK_DT-BT'!$G$2,'Tong_hop_HQNV_2026Q1_2026-06-23'!$B:$B, "="&amp;'CHECK_DT-BT'!A90)</f>
        <v>43291300</v>
      </c>
      <c r="H90" s="7">
        <f>SUMIFS('Tong_hop_HQNV_2026Q1_2026-06-23'!$K:$K,'Tong_hop_HQNV_2026Q1_2026-06-23'!$A:$A,"="&amp;$H$2,'Tong_hop_HQNV_2026Q1_2026-06-23'!$B:$B, "="&amp;'CHECK_DT-BT'!A90)</f>
        <v>2427394331</v>
      </c>
      <c r="I90" s="7">
        <f>SUMIFS('Tong_hop_HQNV_2026Q1_2026-06-23'!$K:$K,'Tong_hop_HQNV_2026Q1_2026-06-23'!$A:$A,"="&amp;$I$2,'Tong_hop_HQNV_2026Q1_2026-06-23'!$B:$B, "="&amp;'CHECK_DT-BT'!A90)</f>
        <v>30524312617</v>
      </c>
      <c r="J90" s="7">
        <f>SUMIFS('Tong_hop_HQNV_2026Q1_2026-06-23'!$K:$K,'Tong_hop_HQNV_2026Q1_2026-06-23'!$A:$A,"="&amp;$J$2,'Tong_hop_HQNV_2026Q1_2026-06-23'!$B:$B, "="&amp;'CHECK_DT-BT'!A90)</f>
        <v>15427757185</v>
      </c>
      <c r="K90" s="7">
        <f>SUMIFS('Tong_hop_HQNV_2026Q1_2026-06-23'!$K:$K,'Tong_hop_HQNV_2026Q1_2026-06-23'!$A:$A,"="&amp;$K$2,'Tong_hop_HQNV_2026Q1_2026-06-23'!$B:$B, "="&amp;'CHECK_DT-BT'!A90)</f>
        <v>1622389151</v>
      </c>
      <c r="L90" s="7">
        <f>SUMIFS('Tong_hop_HQNV_2026Q1_2026-06-23'!$K:$K,'Tong_hop_HQNV_2026Q1_2026-06-23'!$A:$A,"="&amp;$L$2,'Tong_hop_HQNV_2026Q1_2026-06-23'!$B:$B, "="&amp;'CHECK_DT-BT'!A90)</f>
        <v>51869379</v>
      </c>
      <c r="M90" s="7">
        <f>SUMIFS('Tong_hop_HQNV_2026Q1_2026-06-23'!$K:$K,'Tong_hop_HQNV_2026Q1_2026-06-23'!$A:$A,"="&amp;$M$2,'Tong_hop_HQNV_2026Q1_2026-06-23'!$B:$B, "="&amp;'CHECK_DT-BT'!A90)</f>
        <v>42302455</v>
      </c>
      <c r="N90" s="7">
        <f>SUMIFS('Tong_hop_HQNV_2026Q1_2026-06-23'!$K:$K,'Tong_hop_HQNV_2026Q1_2026-06-23'!$A:$A,"="&amp;$N$2,'Tong_hop_HQNV_2026Q1_2026-06-23'!$B:$B, "="&amp;'CHECK_DT-BT'!A90)</f>
        <v>485800489</v>
      </c>
      <c r="O90" s="7">
        <f>SUMIFS('Tong_hop_HQNV_2026Q1_2026-06-23'!$K:$K,'Tong_hop_HQNV_2026Q1_2026-06-23'!$A:$A,"="&amp;$O$2,'Tong_hop_HQNV_2026Q1_2026-06-23'!$B:$B, "="&amp;'CHECK_DT-BT'!A90)</f>
        <v>0</v>
      </c>
      <c r="P90" s="7">
        <f>SUMIFS('Tong_hop_HQNV_2026Q1_2026-06-23'!$K:$K,'Tong_hop_HQNV_2026Q1_2026-06-23'!$A:$A,"="&amp;$P$2,'Tong_hop_HQNV_2026Q1_2026-06-23'!$B:$B, "="&amp;'CHECK_DT-BT'!A90)</f>
        <v>0</v>
      </c>
      <c r="Q90" s="7">
        <f t="shared" si="18"/>
        <v>496973294</v>
      </c>
      <c r="R90" s="7">
        <f t="shared" si="19"/>
        <v>50581825607</v>
      </c>
      <c r="S90" s="7">
        <f>SUMIFS('HQ1'!$C:$C,'HQ1'!$A:$A, "="&amp;'CHECK_DT-BT'!C90, 'HQ1'!$B:$B, "Total")</f>
        <v>494684094</v>
      </c>
      <c r="T90" s="7">
        <f>SUMIFS('HQ2'!$C:$C,'HQ2'!$A:$A, "="&amp;'CHECK_DT-BT'!C90, 'HQ2'!$B:$B, "Total")</f>
        <v>40532894644</v>
      </c>
      <c r="U90" s="7">
        <f t="shared" si="20"/>
        <v>2289200</v>
      </c>
      <c r="V90" s="7">
        <f t="shared" si="21"/>
        <v>10048930963</v>
      </c>
      <c r="W90" s="23">
        <f>SUMIFS('Tong_hop_HQNV_2026Q1_2026-06-23'!$L:$L,'Tong_hop_HQNV_2026Q1_2026-06-23'!$B:$B, "="&amp;'CHECK_DT-BT'!A90, 'Tong_hop_HQNV_2026Q1_2026-06-23'!$A:$A, "="&amp;'CHECK_DT-BT'!$W$2)</f>
        <v>0</v>
      </c>
      <c r="X90" s="7">
        <f>SUMIFS('Tong_hop_HQNV_2026Q1_2026-06-23'!$L:$L,'Tong_hop_HQNV_2026Q1_2026-06-23'!$B:$B, "="&amp;'CHECK_DT-BT'!A90, 'Tong_hop_HQNV_2026Q1_2026-06-23'!$A:$A, "="&amp;'CHECK_DT-BT'!$X$2)</f>
        <v>0</v>
      </c>
      <c r="Y90" s="7">
        <f>SUMIFS('Tong_hop_HQNV_2026Q1_2026-06-23'!$L:$L,'Tong_hop_HQNV_2026Q1_2026-06-23'!$B:$B, "="&amp;'CHECK_DT-BT'!A90, 'Tong_hop_HQNV_2026Q1_2026-06-23'!$A:$A, "="&amp;'CHECK_DT-BT'!$Y$2)</f>
        <v>0</v>
      </c>
      <c r="Z90" s="7">
        <f>SUMIFS('Tong_hop_HQNV_2026Q1_2026-06-23'!$L:$L,'Tong_hop_HQNV_2026Q1_2026-06-23'!$B:$B, "="&amp;'CHECK_DT-BT'!A90, 'Tong_hop_HQNV_2026Q1_2026-06-23'!$A:$A, "="&amp;'CHECK_DT-BT'!$Z$2)</f>
        <v>95915134</v>
      </c>
      <c r="AA90" s="7">
        <f>SUMIFS('Tong_hop_HQNV_2026Q1_2026-06-23'!$L:$L,'Tong_hop_HQNV_2026Q1_2026-06-23'!$B:$B, "="&amp;'CHECK_DT-BT'!A90, 'Tong_hop_HQNV_2026Q1_2026-06-23'!$A:$A, "="&amp;$AA$2)</f>
        <v>0</v>
      </c>
      <c r="AB90" s="7">
        <f>SUMIFS('Tong_hop_HQNV_2026Q1_2026-06-23'!$L:$L,'Tong_hop_HQNV_2026Q1_2026-06-23'!$B:$B, "="&amp;'CHECK_DT-BT'!A90, 'Tong_hop_HQNV_2026Q1_2026-06-23'!$A:$A, "="&amp;$AB$2)</f>
        <v>5165112876</v>
      </c>
      <c r="AC90" s="7">
        <f>SUMIFS('Tong_hop_HQNV_2026Q1_2026-06-23'!$L:$L,'Tong_hop_HQNV_2026Q1_2026-06-23'!$B:$B, "="&amp;'CHECK_DT-BT'!A90, 'Tong_hop_HQNV_2026Q1_2026-06-23'!$A:$A, "="&amp;$AC$2)</f>
        <v>2908190971</v>
      </c>
      <c r="AD90" s="7">
        <f>SUMIFS('Tong_hop_HQNV_2026Q1_2026-06-23'!$L:$L,'Tong_hop_HQNV_2026Q1_2026-06-23'!$B:$B, "="&amp;'CHECK_DT-BT'!A90, 'Tong_hop_HQNV_2026Q1_2026-06-23'!$A:$A, "="&amp;$AD$2)</f>
        <v>0</v>
      </c>
      <c r="AE90" s="7">
        <f>SUMIFS('Tong_hop_HQNV_2026Q1_2026-06-23'!$L:$L,'Tong_hop_HQNV_2026Q1_2026-06-23'!$B:$B, "="&amp;'CHECK_DT-BT'!A90, 'Tong_hop_HQNV_2026Q1_2026-06-23'!$A:$A, "="&amp;$AE$2)</f>
        <v>0</v>
      </c>
      <c r="AF90" s="7">
        <f>SUMIFS('Tong_hop_HQNV_2026Q1_2026-06-23'!$L:$L,'Tong_hop_HQNV_2026Q1_2026-06-23'!$B:$B, "="&amp;'CHECK_DT-BT'!A90, 'Tong_hop_HQNV_2026Q1_2026-06-23'!$A:$A, "="&amp;$AF$2)</f>
        <v>404268084</v>
      </c>
      <c r="AG90" s="7">
        <f>SUMIFS('Tong_hop_HQNV_2026Q1_2026-06-23'!$L:$L,'Tong_hop_HQNV_2026Q1_2026-06-23'!$B:$B, "="&amp;'CHECK_DT-BT'!A90, 'Tong_hop_HQNV_2026Q1_2026-06-23'!$A:$A, "="&amp;$AG$2)</f>
        <v>0</v>
      </c>
      <c r="AH90" s="7">
        <f>SUMIFS('Tong_hop_HQNV_2026Q1_2026-06-23'!$L:$L,'Tong_hop_HQNV_2026Q1_2026-06-23'!$B:$B, "="&amp;'CHECK_DT-BT'!A90, 'Tong_hop_HQNV_2026Q1_2026-06-23'!$A:$A, "="&amp;$AH$2)</f>
        <v>0</v>
      </c>
      <c r="AI90" s="7">
        <f>SUMIFS('Tong_hop_HQNV_2026Q1_2026-06-23'!$L:$L,'Tong_hop_HQNV_2026Q1_2026-06-23'!$B:$B, "="&amp;'CHECK_DT-BT'!A90, 'Tong_hop_HQNV_2026Q1_2026-06-23'!$A:$A, "="&amp;$AI$2)</f>
        <v>0</v>
      </c>
      <c r="AJ90" s="7">
        <f t="shared" si="22"/>
        <v>95915134</v>
      </c>
      <c r="AK90" s="7">
        <f t="shared" si="23"/>
        <v>8477571931</v>
      </c>
      <c r="AL90" s="7">
        <f>SUMIFS('HQ1'!$D:$D,'HQ1'!$A:$A, "="&amp;'CHECK_DT-BT'!C90, 'HQ1'!$B:$B, "Total")</f>
        <v>95915134</v>
      </c>
      <c r="AM90" s="7">
        <f>SUMIFS('HQ2'!$J:$J,'HQ2'!$A:$A, "="&amp;'CHECK_DT-BT'!C90, 'HQ2'!$B:$B, "Total")</f>
        <v>8477571931</v>
      </c>
      <c r="AN90" s="24">
        <f t="shared" si="24"/>
        <v>0</v>
      </c>
      <c r="AO90" s="24">
        <f t="shared" si="25"/>
        <v>0</v>
      </c>
    </row>
    <row r="91" spans="1:41" x14ac:dyDescent="0.25">
      <c r="A91" s="9" t="s">
        <v>231</v>
      </c>
      <c r="B91" s="93" t="s">
        <v>56</v>
      </c>
      <c r="C91" s="93" t="s">
        <v>56</v>
      </c>
      <c r="D91" s="7">
        <f>SUMIFS('Tong_hop_HQNV_2026Q1_2026-06-23'!$K:$K,'Tong_hop_HQNV_2026Q1_2026-06-23'!$A:$A,"="&amp;'CHECK_DT-BT'!$D$2,'Tong_hop_HQNV_2026Q1_2026-06-23'!$B:$B, "="&amp;'CHECK_DT-BT'!A91)</f>
        <v>0</v>
      </c>
      <c r="E91" s="7">
        <f>SUMIFS('Tong_hop_HQNV_2026Q1_2026-06-23'!$K:$K,'Tong_hop_HQNV_2026Q1_2026-06-23'!$A:$A,"="&amp;'CHECK_DT-BT'!$E$2,'Tong_hop_HQNV_2026Q1_2026-06-23'!$B:$B, "="&amp;'CHECK_DT-BT'!A91)</f>
        <v>0</v>
      </c>
      <c r="F91" s="7">
        <f>SUMIFS('Tong_hop_HQNV_2026Q1_2026-06-23'!$K:$K,'Tong_hop_HQNV_2026Q1_2026-06-23'!$A:$A,"="&amp;'CHECK_DT-BT'!$F$2,'Tong_hop_HQNV_2026Q1_2026-06-23'!$B:$B, "="&amp;'CHECK_DT-BT'!A91)</f>
        <v>22350000</v>
      </c>
      <c r="G91" s="7">
        <f>SUMIFS('Tong_hop_HQNV_2026Q1_2026-06-23'!$K:$K,'Tong_hop_HQNV_2026Q1_2026-06-23'!$A:$A,"="&amp;'CHECK_DT-BT'!$G$2,'Tong_hop_HQNV_2026Q1_2026-06-23'!$B:$B, "="&amp;'CHECK_DT-BT'!A91)</f>
        <v>0</v>
      </c>
      <c r="H91" s="7">
        <f>SUMIFS('Tong_hop_HQNV_2026Q1_2026-06-23'!$K:$K,'Tong_hop_HQNV_2026Q1_2026-06-23'!$A:$A,"="&amp;$H$2,'Tong_hop_HQNV_2026Q1_2026-06-23'!$B:$B, "="&amp;'CHECK_DT-BT'!A91)</f>
        <v>1111878112</v>
      </c>
      <c r="I91" s="7">
        <f>SUMIFS('Tong_hop_HQNV_2026Q1_2026-06-23'!$K:$K,'Tong_hop_HQNV_2026Q1_2026-06-23'!$A:$A,"="&amp;$I$2,'Tong_hop_HQNV_2026Q1_2026-06-23'!$B:$B, "="&amp;'CHECK_DT-BT'!A91)</f>
        <v>0</v>
      </c>
      <c r="J91" s="7">
        <f>SUMIFS('Tong_hop_HQNV_2026Q1_2026-06-23'!$K:$K,'Tong_hop_HQNV_2026Q1_2026-06-23'!$A:$A,"="&amp;$J$2,'Tong_hop_HQNV_2026Q1_2026-06-23'!$B:$B, "="&amp;'CHECK_DT-BT'!A91)</f>
        <v>0</v>
      </c>
      <c r="K91" s="7">
        <f>SUMIFS('Tong_hop_HQNV_2026Q1_2026-06-23'!$K:$K,'Tong_hop_HQNV_2026Q1_2026-06-23'!$A:$A,"="&amp;$K$2,'Tong_hop_HQNV_2026Q1_2026-06-23'!$B:$B, "="&amp;'CHECK_DT-BT'!A91)</f>
        <v>0</v>
      </c>
      <c r="L91" s="7">
        <f>SUMIFS('Tong_hop_HQNV_2026Q1_2026-06-23'!$K:$K,'Tong_hop_HQNV_2026Q1_2026-06-23'!$A:$A,"="&amp;$L$2,'Tong_hop_HQNV_2026Q1_2026-06-23'!$B:$B, "="&amp;'CHECK_DT-BT'!A91)</f>
        <v>12691412720</v>
      </c>
      <c r="M91" s="7">
        <f>SUMIFS('Tong_hop_HQNV_2026Q1_2026-06-23'!$K:$K,'Tong_hop_HQNV_2026Q1_2026-06-23'!$A:$A,"="&amp;$M$2,'Tong_hop_HQNV_2026Q1_2026-06-23'!$B:$B, "="&amp;'CHECK_DT-BT'!A91)</f>
        <v>1136094335</v>
      </c>
      <c r="N91" s="7">
        <f>SUMIFS('Tong_hop_HQNV_2026Q1_2026-06-23'!$K:$K,'Tong_hop_HQNV_2026Q1_2026-06-23'!$A:$A,"="&amp;$N$2,'Tong_hop_HQNV_2026Q1_2026-06-23'!$B:$B, "="&amp;'CHECK_DT-BT'!A91)</f>
        <v>407272127</v>
      </c>
      <c r="O91" s="7">
        <f>SUMIFS('Tong_hop_HQNV_2026Q1_2026-06-23'!$K:$K,'Tong_hop_HQNV_2026Q1_2026-06-23'!$A:$A,"="&amp;$O$2,'Tong_hop_HQNV_2026Q1_2026-06-23'!$B:$B, "="&amp;'CHECK_DT-BT'!A91)</f>
        <v>0</v>
      </c>
      <c r="P91" s="7">
        <f>SUMIFS('Tong_hop_HQNV_2026Q1_2026-06-23'!$K:$K,'Tong_hop_HQNV_2026Q1_2026-06-23'!$A:$A,"="&amp;$P$2,'Tong_hop_HQNV_2026Q1_2026-06-23'!$B:$B, "="&amp;'CHECK_DT-BT'!A91)</f>
        <v>0</v>
      </c>
      <c r="Q91" s="7">
        <f t="shared" si="18"/>
        <v>22350000</v>
      </c>
      <c r="R91" s="7">
        <f t="shared" si="19"/>
        <v>15346657294</v>
      </c>
      <c r="S91" s="7">
        <f>SUMIFS('HQ1'!$C:$C,'HQ1'!$A:$A, "="&amp;'CHECK_DT-BT'!C91, 'HQ1'!$B:$B, "Total")</f>
        <v>22350000</v>
      </c>
      <c r="T91" s="7">
        <f>SUMIFS('HQ2'!$C:$C,'HQ2'!$A:$A, "="&amp;'CHECK_DT-BT'!C91, 'HQ2'!$B:$B, "Total")</f>
        <v>15346657294</v>
      </c>
      <c r="U91" s="7">
        <f t="shared" si="20"/>
        <v>0</v>
      </c>
      <c r="V91" s="7">
        <f t="shared" si="21"/>
        <v>0</v>
      </c>
      <c r="W91" s="23">
        <f>SUMIFS('Tong_hop_HQNV_2026Q1_2026-06-23'!$L:$L,'Tong_hop_HQNV_2026Q1_2026-06-23'!$B:$B, "="&amp;'CHECK_DT-BT'!A91, 'Tong_hop_HQNV_2026Q1_2026-06-23'!$A:$A, "="&amp;'CHECK_DT-BT'!$W$2)</f>
        <v>0</v>
      </c>
      <c r="X91" s="7">
        <f>SUMIFS('Tong_hop_HQNV_2026Q1_2026-06-23'!$L:$L,'Tong_hop_HQNV_2026Q1_2026-06-23'!$B:$B, "="&amp;'CHECK_DT-BT'!A91, 'Tong_hop_HQNV_2026Q1_2026-06-23'!$A:$A, "="&amp;'CHECK_DT-BT'!$X$2)</f>
        <v>0</v>
      </c>
      <c r="Y91" s="7">
        <f>SUMIFS('Tong_hop_HQNV_2026Q1_2026-06-23'!$L:$L,'Tong_hop_HQNV_2026Q1_2026-06-23'!$B:$B, "="&amp;'CHECK_DT-BT'!A91, 'Tong_hop_HQNV_2026Q1_2026-06-23'!$A:$A, "="&amp;'CHECK_DT-BT'!$Y$2)</f>
        <v>0</v>
      </c>
      <c r="Z91" s="7">
        <f>SUMIFS('Tong_hop_HQNV_2026Q1_2026-06-23'!$L:$L,'Tong_hop_HQNV_2026Q1_2026-06-23'!$B:$B, "="&amp;'CHECK_DT-BT'!A91, 'Tong_hop_HQNV_2026Q1_2026-06-23'!$A:$A, "="&amp;'CHECK_DT-BT'!$Z$2)</f>
        <v>0</v>
      </c>
      <c r="AA91" s="7">
        <f>SUMIFS('Tong_hop_HQNV_2026Q1_2026-06-23'!$L:$L,'Tong_hop_HQNV_2026Q1_2026-06-23'!$B:$B, "="&amp;'CHECK_DT-BT'!A91, 'Tong_hop_HQNV_2026Q1_2026-06-23'!$A:$A, "="&amp;$AA$2)</f>
        <v>0</v>
      </c>
      <c r="AB91" s="7">
        <f>SUMIFS('Tong_hop_HQNV_2026Q1_2026-06-23'!$L:$L,'Tong_hop_HQNV_2026Q1_2026-06-23'!$B:$B, "="&amp;'CHECK_DT-BT'!A91, 'Tong_hop_HQNV_2026Q1_2026-06-23'!$A:$A, "="&amp;$AB$2)</f>
        <v>0</v>
      </c>
      <c r="AC91" s="7">
        <f>SUMIFS('Tong_hop_HQNV_2026Q1_2026-06-23'!$L:$L,'Tong_hop_HQNV_2026Q1_2026-06-23'!$B:$B, "="&amp;'CHECK_DT-BT'!A91, 'Tong_hop_HQNV_2026Q1_2026-06-23'!$A:$A, "="&amp;$AC$2)</f>
        <v>0</v>
      </c>
      <c r="AD91" s="7">
        <f>SUMIFS('Tong_hop_HQNV_2026Q1_2026-06-23'!$L:$L,'Tong_hop_HQNV_2026Q1_2026-06-23'!$B:$B, "="&amp;'CHECK_DT-BT'!A91, 'Tong_hop_HQNV_2026Q1_2026-06-23'!$A:$A, "="&amp;$AD$2)</f>
        <v>0</v>
      </c>
      <c r="AE91" s="7">
        <f>SUMIFS('Tong_hop_HQNV_2026Q1_2026-06-23'!$L:$L,'Tong_hop_HQNV_2026Q1_2026-06-23'!$B:$B, "="&amp;'CHECK_DT-BT'!A91, 'Tong_hop_HQNV_2026Q1_2026-06-23'!$A:$A, "="&amp;$AE$2)</f>
        <v>0</v>
      </c>
      <c r="AF91" s="7">
        <f>SUMIFS('Tong_hop_HQNV_2026Q1_2026-06-23'!$L:$L,'Tong_hop_HQNV_2026Q1_2026-06-23'!$B:$B, "="&amp;'CHECK_DT-BT'!A91, 'Tong_hop_HQNV_2026Q1_2026-06-23'!$A:$A, "="&amp;$AF$2)</f>
        <v>0</v>
      </c>
      <c r="AG91" s="7">
        <f>SUMIFS('Tong_hop_HQNV_2026Q1_2026-06-23'!$L:$L,'Tong_hop_HQNV_2026Q1_2026-06-23'!$B:$B, "="&amp;'CHECK_DT-BT'!A91, 'Tong_hop_HQNV_2026Q1_2026-06-23'!$A:$A, "="&amp;$AG$2)</f>
        <v>0</v>
      </c>
      <c r="AH91" s="7">
        <f>SUMIFS('Tong_hop_HQNV_2026Q1_2026-06-23'!$L:$L,'Tong_hop_HQNV_2026Q1_2026-06-23'!$B:$B, "="&amp;'CHECK_DT-BT'!A91, 'Tong_hop_HQNV_2026Q1_2026-06-23'!$A:$A, "="&amp;$AH$2)</f>
        <v>0</v>
      </c>
      <c r="AI91" s="7">
        <f>SUMIFS('Tong_hop_HQNV_2026Q1_2026-06-23'!$L:$L,'Tong_hop_HQNV_2026Q1_2026-06-23'!$B:$B, "="&amp;'CHECK_DT-BT'!A91, 'Tong_hop_HQNV_2026Q1_2026-06-23'!$A:$A, "="&amp;$AI$2)</f>
        <v>0</v>
      </c>
      <c r="AJ91" s="7">
        <f t="shared" si="22"/>
        <v>0</v>
      </c>
      <c r="AK91" s="7">
        <f t="shared" si="23"/>
        <v>0</v>
      </c>
      <c r="AL91" s="7">
        <f>SUMIFS('HQ1'!$D:$D,'HQ1'!$A:$A, "="&amp;'CHECK_DT-BT'!C91, 'HQ1'!$B:$B, "Total")</f>
        <v>0</v>
      </c>
      <c r="AM91" s="7">
        <f>SUMIFS('HQ2'!$J:$J,'HQ2'!$A:$A, "="&amp;'CHECK_DT-BT'!C91, 'HQ2'!$B:$B, "Total")</f>
        <v>0</v>
      </c>
      <c r="AN91" s="24">
        <f t="shared" si="24"/>
        <v>0</v>
      </c>
      <c r="AO91" s="24">
        <f t="shared" si="25"/>
        <v>0</v>
      </c>
    </row>
    <row r="92" spans="1:41" x14ac:dyDescent="0.25">
      <c r="A92" s="9" t="s">
        <v>225</v>
      </c>
      <c r="B92" s="93" t="s">
        <v>139</v>
      </c>
      <c r="C92" s="93" t="s">
        <v>139</v>
      </c>
      <c r="D92" s="7">
        <f>SUMIFS('Tong_hop_HQNV_2026Q1_2026-06-23'!$K:$K,'Tong_hop_HQNV_2026Q1_2026-06-23'!$A:$A,"="&amp;'CHECK_DT-BT'!$D$2,'Tong_hop_HQNV_2026Q1_2026-06-23'!$B:$B, "="&amp;'CHECK_DT-BT'!A92)</f>
        <v>0</v>
      </c>
      <c r="E92" s="7">
        <f>SUMIFS('Tong_hop_HQNV_2026Q1_2026-06-23'!$K:$K,'Tong_hop_HQNV_2026Q1_2026-06-23'!$A:$A,"="&amp;'CHECK_DT-BT'!$E$2,'Tong_hop_HQNV_2026Q1_2026-06-23'!$B:$B, "="&amp;'CHECK_DT-BT'!A92)</f>
        <v>0</v>
      </c>
      <c r="F92" s="7">
        <f>SUMIFS('Tong_hop_HQNV_2026Q1_2026-06-23'!$K:$K,'Tong_hop_HQNV_2026Q1_2026-06-23'!$A:$A,"="&amp;'CHECK_DT-BT'!$F$2,'Tong_hop_HQNV_2026Q1_2026-06-23'!$B:$B, "="&amp;'CHECK_DT-BT'!A92)</f>
        <v>0</v>
      </c>
      <c r="G92" s="7">
        <f>SUMIFS('Tong_hop_HQNV_2026Q1_2026-06-23'!$K:$K,'Tong_hop_HQNV_2026Q1_2026-06-23'!$A:$A,"="&amp;'CHECK_DT-BT'!$G$2,'Tong_hop_HQNV_2026Q1_2026-06-23'!$B:$B, "="&amp;'CHECK_DT-BT'!A92)</f>
        <v>83568545350</v>
      </c>
      <c r="H92" s="7">
        <f>SUMIFS('Tong_hop_HQNV_2026Q1_2026-06-23'!$K:$K,'Tong_hop_HQNV_2026Q1_2026-06-23'!$A:$A,"="&amp;$H$2,'Tong_hop_HQNV_2026Q1_2026-06-23'!$B:$B, "="&amp;'CHECK_DT-BT'!A92)</f>
        <v>0</v>
      </c>
      <c r="I92" s="7">
        <f>SUMIFS('Tong_hop_HQNV_2026Q1_2026-06-23'!$K:$K,'Tong_hop_HQNV_2026Q1_2026-06-23'!$A:$A,"="&amp;$I$2,'Tong_hop_HQNV_2026Q1_2026-06-23'!$B:$B, "="&amp;'CHECK_DT-BT'!A92)</f>
        <v>0</v>
      </c>
      <c r="J92" s="7">
        <f>SUMIFS('Tong_hop_HQNV_2026Q1_2026-06-23'!$K:$K,'Tong_hop_HQNV_2026Q1_2026-06-23'!$A:$A,"="&amp;$J$2,'Tong_hop_HQNV_2026Q1_2026-06-23'!$B:$B, "="&amp;'CHECK_DT-BT'!A92)</f>
        <v>0</v>
      </c>
      <c r="K92" s="7">
        <f>SUMIFS('Tong_hop_HQNV_2026Q1_2026-06-23'!$K:$K,'Tong_hop_HQNV_2026Q1_2026-06-23'!$A:$A,"="&amp;$K$2,'Tong_hop_HQNV_2026Q1_2026-06-23'!$B:$B, "="&amp;'CHECK_DT-BT'!A92)</f>
        <v>0</v>
      </c>
      <c r="L92" s="7">
        <f>SUMIFS('Tong_hop_HQNV_2026Q1_2026-06-23'!$K:$K,'Tong_hop_HQNV_2026Q1_2026-06-23'!$A:$A,"="&amp;$L$2,'Tong_hop_HQNV_2026Q1_2026-06-23'!$B:$B, "="&amp;'CHECK_DT-BT'!A92)</f>
        <v>0</v>
      </c>
      <c r="M92" s="7">
        <f>SUMIFS('Tong_hop_HQNV_2026Q1_2026-06-23'!$K:$K,'Tong_hop_HQNV_2026Q1_2026-06-23'!$A:$A,"="&amp;$M$2,'Tong_hop_HQNV_2026Q1_2026-06-23'!$B:$B, "="&amp;'CHECK_DT-BT'!A92)</f>
        <v>0</v>
      </c>
      <c r="N92" s="7">
        <f>SUMIFS('Tong_hop_HQNV_2026Q1_2026-06-23'!$K:$K,'Tong_hop_HQNV_2026Q1_2026-06-23'!$A:$A,"="&amp;$N$2,'Tong_hop_HQNV_2026Q1_2026-06-23'!$B:$B, "="&amp;'CHECK_DT-BT'!A92)</f>
        <v>0</v>
      </c>
      <c r="O92" s="7">
        <f>SUMIFS('Tong_hop_HQNV_2026Q1_2026-06-23'!$K:$K,'Tong_hop_HQNV_2026Q1_2026-06-23'!$A:$A,"="&amp;$O$2,'Tong_hop_HQNV_2026Q1_2026-06-23'!$B:$B, "="&amp;'CHECK_DT-BT'!A92)</f>
        <v>0</v>
      </c>
      <c r="P92" s="7">
        <f>SUMIFS('Tong_hop_HQNV_2026Q1_2026-06-23'!$K:$K,'Tong_hop_HQNV_2026Q1_2026-06-23'!$A:$A,"="&amp;$P$2,'Tong_hop_HQNV_2026Q1_2026-06-23'!$B:$B, "="&amp;'CHECK_DT-BT'!A92)</f>
        <v>0</v>
      </c>
      <c r="Q92" s="7">
        <f t="shared" si="18"/>
        <v>83568545350</v>
      </c>
      <c r="R92" s="7">
        <f t="shared" si="19"/>
        <v>0</v>
      </c>
      <c r="S92" s="7">
        <f>SUMIFS('HQ1'!$C:$C,'HQ1'!$A:$A, "="&amp;'CHECK_DT-BT'!C92, 'HQ1'!$B:$B, "Total")</f>
        <v>83568545350</v>
      </c>
      <c r="T92" s="7">
        <f>SUMIFS('HQ2'!$C:$C,'HQ2'!$A:$A, "="&amp;'CHECK_DT-BT'!C92, 'HQ2'!$B:$B, "Total")</f>
        <v>0</v>
      </c>
      <c r="U92" s="7">
        <f t="shared" si="20"/>
        <v>0</v>
      </c>
      <c r="V92" s="7">
        <f t="shared" si="21"/>
        <v>0</v>
      </c>
      <c r="W92" s="23">
        <f>SUMIFS('Tong_hop_HQNV_2026Q1_2026-06-23'!$L:$L,'Tong_hop_HQNV_2026Q1_2026-06-23'!$B:$B, "="&amp;'CHECK_DT-BT'!A92, 'Tong_hop_HQNV_2026Q1_2026-06-23'!$A:$A, "="&amp;'CHECK_DT-BT'!$W$2)</f>
        <v>0</v>
      </c>
      <c r="X92" s="7">
        <f>SUMIFS('Tong_hop_HQNV_2026Q1_2026-06-23'!$L:$L,'Tong_hop_HQNV_2026Q1_2026-06-23'!$B:$B, "="&amp;'CHECK_DT-BT'!A92, 'Tong_hop_HQNV_2026Q1_2026-06-23'!$A:$A, "="&amp;'CHECK_DT-BT'!$X$2)</f>
        <v>0</v>
      </c>
      <c r="Y92" s="7">
        <f>SUMIFS('Tong_hop_HQNV_2026Q1_2026-06-23'!$L:$L,'Tong_hop_HQNV_2026Q1_2026-06-23'!$B:$B, "="&amp;'CHECK_DT-BT'!A92, 'Tong_hop_HQNV_2026Q1_2026-06-23'!$A:$A, "="&amp;'CHECK_DT-BT'!$Y$2)</f>
        <v>0</v>
      </c>
      <c r="Z92" s="7">
        <f>SUMIFS('Tong_hop_HQNV_2026Q1_2026-06-23'!$L:$L,'Tong_hop_HQNV_2026Q1_2026-06-23'!$B:$B, "="&amp;'CHECK_DT-BT'!A92, 'Tong_hop_HQNV_2026Q1_2026-06-23'!$A:$A, "="&amp;'CHECK_DT-BT'!$Z$2)</f>
        <v>26906398361</v>
      </c>
      <c r="AA92" s="7">
        <f>SUMIFS('Tong_hop_HQNV_2026Q1_2026-06-23'!$L:$L,'Tong_hop_HQNV_2026Q1_2026-06-23'!$B:$B, "="&amp;'CHECK_DT-BT'!A92, 'Tong_hop_HQNV_2026Q1_2026-06-23'!$A:$A, "="&amp;$AA$2)</f>
        <v>0</v>
      </c>
      <c r="AB92" s="7">
        <f>SUMIFS('Tong_hop_HQNV_2026Q1_2026-06-23'!$L:$L,'Tong_hop_HQNV_2026Q1_2026-06-23'!$B:$B, "="&amp;'CHECK_DT-BT'!A92, 'Tong_hop_HQNV_2026Q1_2026-06-23'!$A:$A, "="&amp;$AB$2)</f>
        <v>0</v>
      </c>
      <c r="AC92" s="7">
        <f>SUMIFS('Tong_hop_HQNV_2026Q1_2026-06-23'!$L:$L,'Tong_hop_HQNV_2026Q1_2026-06-23'!$B:$B, "="&amp;'CHECK_DT-BT'!A92, 'Tong_hop_HQNV_2026Q1_2026-06-23'!$A:$A, "="&amp;$AC$2)</f>
        <v>0</v>
      </c>
      <c r="AD92" s="7">
        <f>SUMIFS('Tong_hop_HQNV_2026Q1_2026-06-23'!$L:$L,'Tong_hop_HQNV_2026Q1_2026-06-23'!$B:$B, "="&amp;'CHECK_DT-BT'!A92, 'Tong_hop_HQNV_2026Q1_2026-06-23'!$A:$A, "="&amp;$AD$2)</f>
        <v>0</v>
      </c>
      <c r="AE92" s="7">
        <f>SUMIFS('Tong_hop_HQNV_2026Q1_2026-06-23'!$L:$L,'Tong_hop_HQNV_2026Q1_2026-06-23'!$B:$B, "="&amp;'CHECK_DT-BT'!A92, 'Tong_hop_HQNV_2026Q1_2026-06-23'!$A:$A, "="&amp;$AE$2)</f>
        <v>0</v>
      </c>
      <c r="AF92" s="7">
        <f>SUMIFS('Tong_hop_HQNV_2026Q1_2026-06-23'!$L:$L,'Tong_hop_HQNV_2026Q1_2026-06-23'!$B:$B, "="&amp;'CHECK_DT-BT'!A92, 'Tong_hop_HQNV_2026Q1_2026-06-23'!$A:$A, "="&amp;$AF$2)</f>
        <v>0</v>
      </c>
      <c r="AG92" s="7">
        <f>SUMIFS('Tong_hop_HQNV_2026Q1_2026-06-23'!$L:$L,'Tong_hop_HQNV_2026Q1_2026-06-23'!$B:$B, "="&amp;'CHECK_DT-BT'!A92, 'Tong_hop_HQNV_2026Q1_2026-06-23'!$A:$A, "="&amp;$AG$2)</f>
        <v>0</v>
      </c>
      <c r="AH92" s="7">
        <f>SUMIFS('Tong_hop_HQNV_2026Q1_2026-06-23'!$L:$L,'Tong_hop_HQNV_2026Q1_2026-06-23'!$B:$B, "="&amp;'CHECK_DT-BT'!A92, 'Tong_hop_HQNV_2026Q1_2026-06-23'!$A:$A, "="&amp;$AH$2)</f>
        <v>0</v>
      </c>
      <c r="AI92" s="7">
        <f>SUMIFS('Tong_hop_HQNV_2026Q1_2026-06-23'!$L:$L,'Tong_hop_HQNV_2026Q1_2026-06-23'!$B:$B, "="&amp;'CHECK_DT-BT'!A92, 'Tong_hop_HQNV_2026Q1_2026-06-23'!$A:$A, "="&amp;$AI$2)</f>
        <v>0</v>
      </c>
      <c r="AJ92" s="7">
        <f t="shared" si="22"/>
        <v>26906398361</v>
      </c>
      <c r="AK92" s="7">
        <f t="shared" si="23"/>
        <v>0</v>
      </c>
      <c r="AL92" s="7">
        <f>SUMIFS('HQ1'!$D:$D,'HQ1'!$A:$A, "="&amp;'CHECK_DT-BT'!C92, 'HQ1'!$B:$B, "Total")</f>
        <v>26906398361</v>
      </c>
      <c r="AM92" s="7">
        <f>SUMIFS('HQ2'!$J:$J,'HQ2'!$A:$A, "="&amp;'CHECK_DT-BT'!C92, 'HQ2'!$B:$B, "Total")</f>
        <v>0</v>
      </c>
      <c r="AN92" s="24">
        <f t="shared" si="24"/>
        <v>0</v>
      </c>
      <c r="AO92" s="24">
        <f t="shared" si="25"/>
        <v>0</v>
      </c>
    </row>
    <row r="93" spans="1:41" x14ac:dyDescent="0.25">
      <c r="A93" s="9"/>
      <c r="E93" s="7"/>
      <c r="F93" s="7"/>
      <c r="G93" s="7"/>
      <c r="H93" s="7"/>
      <c r="I93" s="7"/>
      <c r="J93" s="7"/>
      <c r="K93" s="7"/>
      <c r="L93" s="7"/>
      <c r="M93" s="7"/>
      <c r="N93" s="7"/>
      <c r="O93" s="7"/>
      <c r="P93" s="7"/>
      <c r="Q93" s="7"/>
      <c r="R93" s="7"/>
      <c r="S93" s="7"/>
      <c r="T93" s="7"/>
      <c r="U93" s="7"/>
      <c r="V93" s="7"/>
      <c r="W93" s="23"/>
      <c r="X93" s="7"/>
      <c r="Y93" s="7"/>
      <c r="Z93" s="7"/>
      <c r="AA93" s="7"/>
      <c r="AB93" s="7"/>
      <c r="AC93" s="7"/>
      <c r="AD93" s="7"/>
      <c r="AE93" s="7"/>
      <c r="AF93" s="7"/>
      <c r="AG93" s="7"/>
      <c r="AH93" s="7"/>
      <c r="AI93" s="7"/>
      <c r="AJ93" s="7"/>
      <c r="AK93" s="7"/>
      <c r="AL93" s="7"/>
      <c r="AM93" s="7"/>
      <c r="AN93" s="24"/>
      <c r="AO93" s="24"/>
    </row>
    <row r="94" spans="1:41" x14ac:dyDescent="0.25">
      <c r="A94" s="9"/>
      <c r="E94" s="7"/>
      <c r="F94" s="7"/>
      <c r="G94" s="7"/>
      <c r="H94" s="7"/>
      <c r="I94" s="7"/>
      <c r="J94" s="7"/>
      <c r="K94" s="7"/>
      <c r="L94" s="7"/>
      <c r="M94" s="7"/>
      <c r="N94" s="7"/>
      <c r="O94" s="7"/>
      <c r="P94" s="7"/>
      <c r="Q94" s="7"/>
      <c r="R94" s="7"/>
      <c r="S94" s="7"/>
      <c r="T94" s="7"/>
      <c r="U94" s="7"/>
      <c r="V94" s="7"/>
      <c r="W94" s="23"/>
      <c r="X94" s="7"/>
      <c r="Y94" s="7"/>
      <c r="Z94" s="7"/>
      <c r="AA94" s="7"/>
      <c r="AB94" s="7"/>
      <c r="AC94" s="7"/>
      <c r="AD94" s="7"/>
      <c r="AE94" s="7"/>
      <c r="AF94" s="7"/>
      <c r="AG94" s="7"/>
      <c r="AH94" s="7"/>
      <c r="AI94" s="7"/>
      <c r="AJ94" s="7"/>
      <c r="AK94" s="7"/>
      <c r="AL94" s="7"/>
      <c r="AM94" s="7"/>
      <c r="AN94" s="24"/>
      <c r="AO94" s="24"/>
    </row>
    <row r="95" spans="1:41" x14ac:dyDescent="0.25">
      <c r="A95" s="9"/>
      <c r="E95" s="7"/>
      <c r="F95" s="7"/>
      <c r="G95" s="7"/>
      <c r="H95" s="7"/>
      <c r="I95" s="7"/>
      <c r="J95" s="7"/>
      <c r="K95" s="7"/>
      <c r="L95" s="7"/>
      <c r="M95" s="7"/>
      <c r="N95" s="7"/>
      <c r="O95" s="7"/>
      <c r="P95" s="7"/>
      <c r="Q95" s="7"/>
      <c r="R95" s="7"/>
      <c r="S95" s="7"/>
      <c r="T95" s="7"/>
      <c r="U95" s="7"/>
      <c r="V95" s="7"/>
      <c r="W95" s="23"/>
      <c r="X95" s="7"/>
      <c r="Y95" s="7"/>
      <c r="Z95" s="7"/>
      <c r="AA95" s="7"/>
      <c r="AB95" s="7"/>
      <c r="AC95" s="7"/>
      <c r="AD95" s="7"/>
      <c r="AE95" s="7"/>
      <c r="AF95" s="7"/>
      <c r="AG95" s="7"/>
      <c r="AH95" s="7"/>
      <c r="AI95" s="7"/>
      <c r="AJ95" s="7"/>
      <c r="AK95" s="7"/>
      <c r="AL95" s="7"/>
      <c r="AM95" s="7"/>
      <c r="AN95" s="24"/>
      <c r="AO95" s="24"/>
    </row>
    <row r="96" spans="1:41" x14ac:dyDescent="0.25">
      <c r="A96" s="9"/>
      <c r="E96" s="7"/>
      <c r="F96" s="7"/>
      <c r="G96" s="7"/>
      <c r="H96" s="7"/>
      <c r="I96" s="7"/>
      <c r="J96" s="7"/>
      <c r="K96" s="7"/>
      <c r="L96" s="7"/>
      <c r="M96" s="7"/>
      <c r="N96" s="7"/>
      <c r="O96" s="7"/>
      <c r="P96" s="7"/>
      <c r="Q96" s="7"/>
      <c r="R96" s="7"/>
      <c r="S96" s="7"/>
      <c r="T96" s="7"/>
      <c r="U96" s="7"/>
      <c r="V96" s="7"/>
      <c r="W96" s="23"/>
      <c r="X96" s="7"/>
      <c r="Y96" s="7"/>
      <c r="Z96" s="7"/>
      <c r="AA96" s="7"/>
      <c r="AB96" s="7"/>
      <c r="AC96" s="7"/>
      <c r="AD96" s="7"/>
      <c r="AE96" s="7"/>
      <c r="AF96" s="7"/>
      <c r="AG96" s="7"/>
      <c r="AH96" s="7"/>
      <c r="AI96" s="7"/>
      <c r="AJ96" s="7"/>
      <c r="AK96" s="7"/>
      <c r="AL96" s="7"/>
      <c r="AM96" s="7"/>
      <c r="AN96" s="24"/>
      <c r="AO96" s="24"/>
    </row>
    <row r="97" spans="1:41" x14ac:dyDescent="0.25">
      <c r="A97" s="9"/>
      <c r="E97" s="7"/>
      <c r="F97" s="7"/>
      <c r="G97" s="7"/>
      <c r="H97" s="7"/>
      <c r="I97" s="7"/>
      <c r="J97" s="7"/>
      <c r="K97" s="7"/>
      <c r="L97" s="7"/>
      <c r="M97" s="7"/>
      <c r="N97" s="7"/>
      <c r="O97" s="7"/>
      <c r="P97" s="7"/>
      <c r="Q97" s="7"/>
      <c r="R97" s="7"/>
      <c r="S97" s="7"/>
      <c r="T97" s="7"/>
      <c r="U97" s="7"/>
      <c r="V97" s="7"/>
      <c r="W97" s="23"/>
      <c r="X97" s="7"/>
      <c r="Y97" s="7"/>
      <c r="Z97" s="7"/>
      <c r="AA97" s="7"/>
      <c r="AB97" s="7"/>
      <c r="AC97" s="7"/>
      <c r="AD97" s="7"/>
      <c r="AE97" s="7"/>
      <c r="AF97" s="7"/>
      <c r="AG97" s="7"/>
      <c r="AH97" s="7"/>
      <c r="AI97" s="7"/>
      <c r="AJ97" s="7"/>
      <c r="AK97" s="7"/>
      <c r="AL97" s="7"/>
      <c r="AM97" s="7"/>
      <c r="AN97" s="24"/>
      <c r="AO97" s="24"/>
    </row>
    <row r="98" spans="1:41" x14ac:dyDescent="0.25">
      <c r="A98" s="9"/>
      <c r="E98" s="7"/>
      <c r="F98" s="7"/>
      <c r="G98" s="7"/>
      <c r="H98" s="7"/>
      <c r="I98" s="7"/>
      <c r="J98" s="7"/>
      <c r="K98" s="7"/>
      <c r="L98" s="7"/>
      <c r="M98" s="7"/>
      <c r="N98" s="7"/>
      <c r="O98" s="7"/>
      <c r="P98" s="7"/>
      <c r="Q98" s="7"/>
      <c r="R98" s="7"/>
      <c r="S98" s="7"/>
      <c r="T98" s="7"/>
      <c r="U98" s="7"/>
      <c r="V98" s="7"/>
      <c r="W98" s="23"/>
      <c r="X98" s="7"/>
      <c r="Y98" s="7"/>
      <c r="Z98" s="7"/>
      <c r="AA98" s="7"/>
      <c r="AB98" s="7"/>
      <c r="AC98" s="7"/>
      <c r="AD98" s="7"/>
      <c r="AE98" s="7"/>
      <c r="AF98" s="7"/>
      <c r="AG98" s="7"/>
      <c r="AH98" s="7"/>
      <c r="AI98" s="7"/>
      <c r="AJ98" s="7"/>
      <c r="AK98" s="7"/>
      <c r="AL98" s="7"/>
      <c r="AM98" s="7"/>
      <c r="AN98" s="24"/>
      <c r="AO98" s="24"/>
    </row>
    <row r="99" spans="1:41" x14ac:dyDescent="0.25">
      <c r="A99" s="9" t="s">
        <v>223</v>
      </c>
      <c r="B99" t="str">
        <f>VLOOKUP(A99,[1]Sheet1!$A$82:$B$94,2,FALSE)</f>
        <v>TSC-Ban KDBH Hàng hóa</v>
      </c>
      <c r="C99" t="str">
        <f>B99</f>
        <v>TSC-Ban KDBH Hàng hóa</v>
      </c>
      <c r="D99" s="7">
        <f>SUMIFS('Tong_hop_HQNV_2026Q1_2026-06-23'!$K:$K,'Tong_hop_HQNV_2026Q1_2026-06-23'!$A:$A,"="&amp;'CHECK_DT-BT'!$D$2,'Tong_hop_HQNV_2026Q1_2026-06-23'!$B:$B, "="&amp;'CHECK_DT-BT'!A99)</f>
        <v>7075450</v>
      </c>
      <c r="E99" s="7">
        <f>SUMIFS('Tong_hop_HQNV_2026Q1_2026-06-23'!$K:$K,'Tong_hop_HQNV_2026Q1_2026-06-23'!$A:$A,"="&amp;'CHECK_DT-BT'!$E$2,'Tong_hop_HQNV_2026Q1_2026-06-23'!$B:$B, "="&amp;'CHECK_DT-BT'!A99)</f>
        <v>4603200</v>
      </c>
      <c r="F99" s="7">
        <f>SUMIFS('Tong_hop_HQNV_2026Q1_2026-06-23'!$K:$K,'Tong_hop_HQNV_2026Q1_2026-06-23'!$A:$A,"="&amp;'CHECK_DT-BT'!$F$2,'Tong_hop_HQNV_2026Q1_2026-06-23'!$B:$B, "="&amp;'CHECK_DT-BT'!A99)</f>
        <v>253297609</v>
      </c>
      <c r="G99" s="7">
        <f>SUMIFS('Tong_hop_HQNV_2026Q1_2026-06-23'!$K:$K,'Tong_hop_HQNV_2026Q1_2026-06-23'!$A:$A,"="&amp;'CHECK_DT-BT'!$G$2,'Tong_hop_HQNV_2026Q1_2026-06-23'!$B:$B, "="&amp;'CHECK_DT-BT'!A99)</f>
        <v>486512843</v>
      </c>
      <c r="H99" s="7">
        <f>SUMIFS('Tong_hop_HQNV_2026Q1_2026-06-23'!$K:$K,'Tong_hop_HQNV_2026Q1_2026-06-23'!$A:$A,"="&amp;$H$2,'Tong_hop_HQNV_2026Q1_2026-06-23'!$B:$B, "="&amp;'CHECK_DT-BT'!A99)</f>
        <v>11752986008</v>
      </c>
      <c r="I99" s="7">
        <f>SUMIFS('Tong_hop_HQNV_2026Q1_2026-06-23'!$K:$K,'Tong_hop_HQNV_2026Q1_2026-06-23'!$A:$A,"="&amp;$I$2,'Tong_hop_HQNV_2026Q1_2026-06-23'!$B:$B, "="&amp;'CHECK_DT-BT'!A99)</f>
        <v>0</v>
      </c>
      <c r="J99" s="7">
        <f>SUMIFS('Tong_hop_HQNV_2026Q1_2026-06-23'!$K:$K,'Tong_hop_HQNV_2026Q1_2026-06-23'!$A:$A,"="&amp;$J$2,'Tong_hop_HQNV_2026Q1_2026-06-23'!$B:$B, "="&amp;'CHECK_DT-BT'!A99)</f>
        <v>219710920</v>
      </c>
      <c r="K99" s="7">
        <f>SUMIFS('Tong_hop_HQNV_2026Q1_2026-06-23'!$K:$K,'Tong_hop_HQNV_2026Q1_2026-06-23'!$A:$A,"="&amp;$K$2,'Tong_hop_HQNV_2026Q1_2026-06-23'!$B:$B, "="&amp;'CHECK_DT-BT'!A99)</f>
        <v>169322972</v>
      </c>
      <c r="L99" s="7">
        <f>SUMIFS('Tong_hop_HQNV_2026Q1_2026-06-23'!$K:$K,'Tong_hop_HQNV_2026Q1_2026-06-23'!$A:$A,"="&amp;$L$2,'Tong_hop_HQNV_2026Q1_2026-06-23'!$B:$B, "="&amp;'CHECK_DT-BT'!A99)</f>
        <v>1189221152</v>
      </c>
      <c r="M99" s="7">
        <f>SUMIFS('Tong_hop_HQNV_2026Q1_2026-06-23'!$K:$K,'Tong_hop_HQNV_2026Q1_2026-06-23'!$A:$A,"="&amp;$M$2,'Tong_hop_HQNV_2026Q1_2026-06-23'!$B:$B, "="&amp;'CHECK_DT-BT'!A99)</f>
        <v>7705517</v>
      </c>
      <c r="N99" s="7">
        <f>SUMIFS('Tong_hop_HQNV_2026Q1_2026-06-23'!$K:$K,'Tong_hop_HQNV_2026Q1_2026-06-23'!$A:$A,"="&amp;$N$2,'Tong_hop_HQNV_2026Q1_2026-06-23'!$B:$B, "="&amp;'CHECK_DT-BT'!A99)</f>
        <v>8000000</v>
      </c>
      <c r="O99" s="7">
        <f>SUMIFS('Tong_hop_HQNV_2026Q1_2026-06-23'!$K:$K,'Tong_hop_HQNV_2026Q1_2026-06-23'!$A:$A,"="&amp;$O$2,'Tong_hop_HQNV_2026Q1_2026-06-23'!$B:$B, "="&amp;'CHECK_DT-BT'!A99)</f>
        <v>0</v>
      </c>
      <c r="P99" s="7">
        <f>SUMIFS('Tong_hop_HQNV_2026Q1_2026-06-23'!$K:$K,'Tong_hop_HQNV_2026Q1_2026-06-23'!$A:$A,"="&amp;$P$2,'Tong_hop_HQNV_2026Q1_2026-06-23'!$B:$B, "="&amp;'CHECK_DT-BT'!A99)</f>
        <v>0</v>
      </c>
      <c r="Q99" s="7">
        <f t="shared" si="10"/>
        <v>751489102</v>
      </c>
      <c r="R99" s="7">
        <f t="shared" si="11"/>
        <v>13346946569</v>
      </c>
      <c r="S99" s="7">
        <f>SUMIFS('HQ1'!$C:$C,'HQ1'!$A:$A, "="&amp;'CHECK_DT-BT'!C99, 'HQ1'!$B:$B, "Total")</f>
        <v>751489102</v>
      </c>
      <c r="T99" s="7">
        <f>SUMIFS('HQ2'!$C:$C,'HQ2'!$A:$A, "="&amp;'CHECK_DT-BT'!C99, 'HQ2'!$B:$B, "Total")</f>
        <v>13346946569</v>
      </c>
      <c r="U99" s="7">
        <f t="shared" si="12"/>
        <v>0</v>
      </c>
      <c r="V99" s="7">
        <f t="shared" si="13"/>
        <v>0</v>
      </c>
      <c r="W99" s="23">
        <f>SUMIFS('Tong_hop_HQNV_2026Q1_2026-06-23'!$L:$L,'Tong_hop_HQNV_2026Q1_2026-06-23'!$B:$B, "="&amp;'CHECK_DT-BT'!A99, 'Tong_hop_HQNV_2026Q1_2026-06-23'!$A:$A, "="&amp;'CHECK_DT-BT'!$W$2)</f>
        <v>0</v>
      </c>
      <c r="X99" s="7">
        <f>SUMIFS('Tong_hop_HQNV_2026Q1_2026-06-23'!$L:$L,'Tong_hop_HQNV_2026Q1_2026-06-23'!$B:$B, "="&amp;'CHECK_DT-BT'!A99, 'Tong_hop_HQNV_2026Q1_2026-06-23'!$A:$A, "="&amp;'CHECK_DT-BT'!$X$2)</f>
        <v>0</v>
      </c>
      <c r="Y99" s="7">
        <f>SUMIFS('Tong_hop_HQNV_2026Q1_2026-06-23'!$L:$L,'Tong_hop_HQNV_2026Q1_2026-06-23'!$B:$B, "="&amp;'CHECK_DT-BT'!A99, 'Tong_hop_HQNV_2026Q1_2026-06-23'!$A:$A, "="&amp;'CHECK_DT-BT'!$Y$2)</f>
        <v>35933452</v>
      </c>
      <c r="Z99" s="7">
        <f>SUMIFS('Tong_hop_HQNV_2026Q1_2026-06-23'!$L:$L,'Tong_hop_HQNV_2026Q1_2026-06-23'!$B:$B, "="&amp;'CHECK_DT-BT'!A99, 'Tong_hop_HQNV_2026Q1_2026-06-23'!$A:$A, "="&amp;'CHECK_DT-BT'!$Z$2)</f>
        <v>1010021779</v>
      </c>
      <c r="AA99" s="7">
        <f>SUMIFS('Tong_hop_HQNV_2026Q1_2026-06-23'!$L:$L,'Tong_hop_HQNV_2026Q1_2026-06-23'!$B:$B, "="&amp;'CHECK_DT-BT'!A99, 'Tong_hop_HQNV_2026Q1_2026-06-23'!$A:$A, "="&amp;$AA$2)</f>
        <v>5631285405</v>
      </c>
      <c r="AB99" s="7">
        <f>SUMIFS('Tong_hop_HQNV_2026Q1_2026-06-23'!$L:$L,'Tong_hop_HQNV_2026Q1_2026-06-23'!$B:$B, "="&amp;'CHECK_DT-BT'!A99, 'Tong_hop_HQNV_2026Q1_2026-06-23'!$A:$A, "="&amp;$AB$2)</f>
        <v>0</v>
      </c>
      <c r="AC99" s="7">
        <f>SUMIFS('Tong_hop_HQNV_2026Q1_2026-06-23'!$L:$L,'Tong_hop_HQNV_2026Q1_2026-06-23'!$B:$B, "="&amp;'CHECK_DT-BT'!A99, 'Tong_hop_HQNV_2026Q1_2026-06-23'!$A:$A, "="&amp;$AC$2)</f>
        <v>0</v>
      </c>
      <c r="AD99" s="7">
        <f>SUMIFS('Tong_hop_HQNV_2026Q1_2026-06-23'!$L:$L,'Tong_hop_HQNV_2026Q1_2026-06-23'!$B:$B, "="&amp;'CHECK_DT-BT'!A99, 'Tong_hop_HQNV_2026Q1_2026-06-23'!$A:$A, "="&amp;$AD$2)</f>
        <v>0</v>
      </c>
      <c r="AE99" s="7">
        <f>SUMIFS('Tong_hop_HQNV_2026Q1_2026-06-23'!$L:$L,'Tong_hop_HQNV_2026Q1_2026-06-23'!$B:$B, "="&amp;'CHECK_DT-BT'!A99, 'Tong_hop_HQNV_2026Q1_2026-06-23'!$A:$A, "="&amp;$AE$2)</f>
        <v>91736306</v>
      </c>
      <c r="AF99" s="7">
        <f>SUMIFS('Tong_hop_HQNV_2026Q1_2026-06-23'!$L:$L,'Tong_hop_HQNV_2026Q1_2026-06-23'!$B:$B, "="&amp;'CHECK_DT-BT'!A99, 'Tong_hop_HQNV_2026Q1_2026-06-23'!$A:$A, "="&amp;$AF$2)</f>
        <v>0</v>
      </c>
      <c r="AG99" s="7">
        <f>SUMIFS('Tong_hop_HQNV_2026Q1_2026-06-23'!$L:$L,'Tong_hop_HQNV_2026Q1_2026-06-23'!$B:$B, "="&amp;'CHECK_DT-BT'!A99, 'Tong_hop_HQNV_2026Q1_2026-06-23'!$A:$A, "="&amp;$AG$2)</f>
        <v>0</v>
      </c>
      <c r="AH99" s="7">
        <f>SUMIFS('Tong_hop_HQNV_2026Q1_2026-06-23'!$L:$L,'Tong_hop_HQNV_2026Q1_2026-06-23'!$B:$B, "="&amp;'CHECK_DT-BT'!A99, 'Tong_hop_HQNV_2026Q1_2026-06-23'!$A:$A, "="&amp;$AH$2)</f>
        <v>0</v>
      </c>
      <c r="AI99" s="7">
        <f>SUMIFS('Tong_hop_HQNV_2026Q1_2026-06-23'!$L:$L,'Tong_hop_HQNV_2026Q1_2026-06-23'!$B:$B, "="&amp;'CHECK_DT-BT'!A99, 'Tong_hop_HQNV_2026Q1_2026-06-23'!$A:$A, "="&amp;$AI$2)</f>
        <v>0</v>
      </c>
      <c r="AJ99" s="7">
        <f t="shared" si="14"/>
        <v>1045955231</v>
      </c>
      <c r="AK99" s="7">
        <f t="shared" si="15"/>
        <v>5723021711</v>
      </c>
      <c r="AL99" s="7">
        <f>SUMIFS('HQ1'!$D:$D,'HQ1'!$A:$A, "="&amp;'CHECK_DT-BT'!C99, 'HQ1'!$B:$B, "Total")</f>
        <v>1045955231</v>
      </c>
      <c r="AM99" s="7">
        <f>SUMIFS('HQ2'!$J:$J,'HQ2'!$A:$A, "="&amp;'CHECK_DT-BT'!C99, 'HQ2'!$B:$B, "Total")</f>
        <v>5677567166</v>
      </c>
      <c r="AN99" s="24">
        <f t="shared" si="16"/>
        <v>0</v>
      </c>
      <c r="AO99" s="24">
        <f t="shared" si="17"/>
        <v>45454545</v>
      </c>
    </row>
    <row r="100" spans="1:41" x14ac:dyDescent="0.25">
      <c r="A100" s="9" t="s">
        <v>234</v>
      </c>
      <c r="B100" t="s">
        <v>239</v>
      </c>
      <c r="C100" t="str">
        <f t="shared" ref="C100:C113" si="26">B100</f>
        <v>TSC-Ban KDBH Phi hàng hải</v>
      </c>
      <c r="D100" s="7">
        <f>SUMIFS('Tong_hop_HQNV_2026Q1_2026-06-23'!$K:$K,'Tong_hop_HQNV_2026Q1_2026-06-23'!$A:$A,"="&amp;'CHECK_DT-BT'!$D$2,'Tong_hop_HQNV_2026Q1_2026-06-23'!$B:$B, "="&amp;'CHECK_DT-BT'!A100)</f>
        <v>857289275</v>
      </c>
      <c r="E100" s="7">
        <f>SUMIFS('Tong_hop_HQNV_2026Q1_2026-06-23'!$K:$K,'Tong_hop_HQNV_2026Q1_2026-06-23'!$A:$A,"="&amp;'CHECK_DT-BT'!$E$2,'Tong_hop_HQNV_2026Q1_2026-06-23'!$B:$B, "="&amp;'CHECK_DT-BT'!A100)</f>
        <v>165630349</v>
      </c>
      <c r="F100" s="7">
        <f>SUMIFS('Tong_hop_HQNV_2026Q1_2026-06-23'!$K:$K,'Tong_hop_HQNV_2026Q1_2026-06-23'!$A:$A,"="&amp;'CHECK_DT-BT'!$F$2,'Tong_hop_HQNV_2026Q1_2026-06-23'!$B:$B, "="&amp;'CHECK_DT-BT'!A100)</f>
        <v>1236479525</v>
      </c>
      <c r="G100" s="7">
        <f>SUMIFS('Tong_hop_HQNV_2026Q1_2026-06-23'!$K:$K,'Tong_hop_HQNV_2026Q1_2026-06-23'!$A:$A,"="&amp;'CHECK_DT-BT'!$G$2,'Tong_hop_HQNV_2026Q1_2026-06-23'!$B:$B, "="&amp;'CHECK_DT-BT'!A100)</f>
        <v>166773779807</v>
      </c>
      <c r="H100" s="7">
        <f>SUMIFS('Tong_hop_HQNV_2026Q1_2026-06-23'!$K:$K,'Tong_hop_HQNV_2026Q1_2026-06-23'!$A:$A,"="&amp;$H$2,'Tong_hop_HQNV_2026Q1_2026-06-23'!$B:$B, "="&amp;'CHECK_DT-BT'!A100)</f>
        <v>0</v>
      </c>
      <c r="I100" s="7">
        <f>SUMIFS('Tong_hop_HQNV_2026Q1_2026-06-23'!$K:$K,'Tong_hop_HQNV_2026Q1_2026-06-23'!$A:$A,"="&amp;$I$2,'Tong_hop_HQNV_2026Q1_2026-06-23'!$B:$B, "="&amp;'CHECK_DT-BT'!A100)</f>
        <v>0</v>
      </c>
      <c r="J100" s="7">
        <f>SUMIFS('Tong_hop_HQNV_2026Q1_2026-06-23'!$K:$K,'Tong_hop_HQNV_2026Q1_2026-06-23'!$A:$A,"="&amp;$J$2,'Tong_hop_HQNV_2026Q1_2026-06-23'!$B:$B, "="&amp;'CHECK_DT-BT'!A100)</f>
        <v>0</v>
      </c>
      <c r="K100" s="7">
        <f>SUMIFS('Tong_hop_HQNV_2026Q1_2026-06-23'!$K:$K,'Tong_hop_HQNV_2026Q1_2026-06-23'!$A:$A,"="&amp;$K$2,'Tong_hop_HQNV_2026Q1_2026-06-23'!$B:$B, "="&amp;'CHECK_DT-BT'!A100)</f>
        <v>0</v>
      </c>
      <c r="L100" s="7">
        <f>SUMIFS('Tong_hop_HQNV_2026Q1_2026-06-23'!$K:$K,'Tong_hop_HQNV_2026Q1_2026-06-23'!$A:$A,"="&amp;$L$2,'Tong_hop_HQNV_2026Q1_2026-06-23'!$B:$B, "="&amp;'CHECK_DT-BT'!A100)</f>
        <v>145781401</v>
      </c>
      <c r="M100" s="7">
        <f>SUMIFS('Tong_hop_HQNV_2026Q1_2026-06-23'!$K:$K,'Tong_hop_HQNV_2026Q1_2026-06-23'!$A:$A,"="&amp;$M$2,'Tong_hop_HQNV_2026Q1_2026-06-23'!$B:$B, "="&amp;'CHECK_DT-BT'!A100)</f>
        <v>0</v>
      </c>
      <c r="N100" s="7">
        <f>SUMIFS('Tong_hop_HQNV_2026Q1_2026-06-23'!$K:$K,'Tong_hop_HQNV_2026Q1_2026-06-23'!$A:$A,"="&amp;$N$2,'Tong_hop_HQNV_2026Q1_2026-06-23'!$B:$B, "="&amp;'CHECK_DT-BT'!A100)</f>
        <v>129432329</v>
      </c>
      <c r="O100" s="7">
        <f>SUMIFS('Tong_hop_HQNV_2026Q1_2026-06-23'!$K:$K,'Tong_hop_HQNV_2026Q1_2026-06-23'!$A:$A,"="&amp;$O$2,'Tong_hop_HQNV_2026Q1_2026-06-23'!$B:$B, "="&amp;'CHECK_DT-BT'!A100)</f>
        <v>0</v>
      </c>
      <c r="P100" s="7">
        <f>SUMIFS('Tong_hop_HQNV_2026Q1_2026-06-23'!$K:$K,'Tong_hop_HQNV_2026Q1_2026-06-23'!$A:$A,"="&amp;$P$2,'Tong_hop_HQNV_2026Q1_2026-06-23'!$B:$B, "="&amp;'CHECK_DT-BT'!A100)</f>
        <v>0</v>
      </c>
      <c r="Q100" s="7">
        <f t="shared" si="10"/>
        <v>169033178956</v>
      </c>
      <c r="R100" s="7">
        <f t="shared" si="11"/>
        <v>275213730</v>
      </c>
      <c r="S100" s="7">
        <f>SUMIFS('HQ1'!$C:$C,'HQ1'!$A:$A, "="&amp;'CHECK_DT-BT'!C100, 'HQ1'!$B:$B, "Total")</f>
        <v>0</v>
      </c>
      <c r="T100" s="7">
        <f>SUMIFS('HQ2'!$C:$C,'HQ2'!$A:$A, "="&amp;'CHECK_DT-BT'!C100, 'HQ2'!$B:$B, "Total")</f>
        <v>0</v>
      </c>
      <c r="U100" s="7">
        <f t="shared" si="12"/>
        <v>169033178956</v>
      </c>
      <c r="V100" s="7">
        <f t="shared" si="13"/>
        <v>275213730</v>
      </c>
      <c r="W100" s="23">
        <f>SUMIFS('Tong_hop_HQNV_2026Q1_2026-06-23'!$L:$L,'Tong_hop_HQNV_2026Q1_2026-06-23'!$B:$B, "="&amp;'CHECK_DT-BT'!A100, 'Tong_hop_HQNV_2026Q1_2026-06-23'!$A:$A, "="&amp;'CHECK_DT-BT'!$W$2)</f>
        <v>156658400</v>
      </c>
      <c r="X100" s="7">
        <f>SUMIFS('Tong_hop_HQNV_2026Q1_2026-06-23'!$L:$L,'Tong_hop_HQNV_2026Q1_2026-06-23'!$B:$B, "="&amp;'CHECK_DT-BT'!A100, 'Tong_hop_HQNV_2026Q1_2026-06-23'!$A:$A, "="&amp;'CHECK_DT-BT'!$X$2)</f>
        <v>15638844</v>
      </c>
      <c r="Y100" s="7">
        <f>SUMIFS('Tong_hop_HQNV_2026Q1_2026-06-23'!$L:$L,'Tong_hop_HQNV_2026Q1_2026-06-23'!$B:$B, "="&amp;'CHECK_DT-BT'!A100, 'Tong_hop_HQNV_2026Q1_2026-06-23'!$A:$A, "="&amp;'CHECK_DT-BT'!$Y$2)</f>
        <v>81351221</v>
      </c>
      <c r="Z100" s="7">
        <f>SUMIFS('Tong_hop_HQNV_2026Q1_2026-06-23'!$L:$L,'Tong_hop_HQNV_2026Q1_2026-06-23'!$B:$B, "="&amp;'CHECK_DT-BT'!A100, 'Tong_hop_HQNV_2026Q1_2026-06-23'!$A:$A, "="&amp;'CHECK_DT-BT'!$Z$2)</f>
        <v>77872754857</v>
      </c>
      <c r="AA100" s="7">
        <f>SUMIFS('Tong_hop_HQNV_2026Q1_2026-06-23'!$L:$L,'Tong_hop_HQNV_2026Q1_2026-06-23'!$B:$B, "="&amp;'CHECK_DT-BT'!A100, 'Tong_hop_HQNV_2026Q1_2026-06-23'!$A:$A, "="&amp;$AA$2)</f>
        <v>0</v>
      </c>
      <c r="AB100" s="7">
        <f>SUMIFS('Tong_hop_HQNV_2026Q1_2026-06-23'!$L:$L,'Tong_hop_HQNV_2026Q1_2026-06-23'!$B:$B, "="&amp;'CHECK_DT-BT'!A100, 'Tong_hop_HQNV_2026Q1_2026-06-23'!$A:$A, "="&amp;$AB$2)</f>
        <v>0</v>
      </c>
      <c r="AC100" s="7">
        <f>SUMIFS('Tong_hop_HQNV_2026Q1_2026-06-23'!$L:$L,'Tong_hop_HQNV_2026Q1_2026-06-23'!$B:$B, "="&amp;'CHECK_DT-BT'!A100, 'Tong_hop_HQNV_2026Q1_2026-06-23'!$A:$A, "="&amp;$AC$2)</f>
        <v>0</v>
      </c>
      <c r="AD100" s="7">
        <f>SUMIFS('Tong_hop_HQNV_2026Q1_2026-06-23'!$L:$L,'Tong_hop_HQNV_2026Q1_2026-06-23'!$B:$B, "="&amp;'CHECK_DT-BT'!A100, 'Tong_hop_HQNV_2026Q1_2026-06-23'!$A:$A, "="&amp;$AD$2)</f>
        <v>0</v>
      </c>
      <c r="AE100" s="7">
        <f>SUMIFS('Tong_hop_HQNV_2026Q1_2026-06-23'!$L:$L,'Tong_hop_HQNV_2026Q1_2026-06-23'!$B:$B, "="&amp;'CHECK_DT-BT'!A100, 'Tong_hop_HQNV_2026Q1_2026-06-23'!$A:$A, "="&amp;$AE$2)</f>
        <v>0</v>
      </c>
      <c r="AF100" s="7">
        <f>SUMIFS('Tong_hop_HQNV_2026Q1_2026-06-23'!$L:$L,'Tong_hop_HQNV_2026Q1_2026-06-23'!$B:$B, "="&amp;'CHECK_DT-BT'!A100, 'Tong_hop_HQNV_2026Q1_2026-06-23'!$A:$A, "="&amp;$AF$2)</f>
        <v>0</v>
      </c>
      <c r="AG100" s="7">
        <f>SUMIFS('Tong_hop_HQNV_2026Q1_2026-06-23'!$L:$L,'Tong_hop_HQNV_2026Q1_2026-06-23'!$B:$B, "="&amp;'CHECK_DT-BT'!A100, 'Tong_hop_HQNV_2026Q1_2026-06-23'!$A:$A, "="&amp;$AG$2)</f>
        <v>0</v>
      </c>
      <c r="AH100" s="7">
        <f>SUMIFS('Tong_hop_HQNV_2026Q1_2026-06-23'!$L:$L,'Tong_hop_HQNV_2026Q1_2026-06-23'!$B:$B, "="&amp;'CHECK_DT-BT'!A100, 'Tong_hop_HQNV_2026Q1_2026-06-23'!$A:$A, "="&amp;$AH$2)</f>
        <v>0</v>
      </c>
      <c r="AI100" s="7">
        <f>SUMIFS('Tong_hop_HQNV_2026Q1_2026-06-23'!$L:$L,'Tong_hop_HQNV_2026Q1_2026-06-23'!$B:$B, "="&amp;'CHECK_DT-BT'!A100, 'Tong_hop_HQNV_2026Q1_2026-06-23'!$A:$A, "="&amp;$AI$2)</f>
        <v>0</v>
      </c>
      <c r="AJ100" s="7">
        <f t="shared" si="14"/>
        <v>78126403322</v>
      </c>
      <c r="AK100" s="7">
        <f t="shared" si="15"/>
        <v>0</v>
      </c>
      <c r="AL100" s="7">
        <f>SUMIFS('HQ1'!$D:$D,'HQ1'!$A:$A, "="&amp;'CHECK_DT-BT'!C100, 'HQ1'!$B:$B, "Total")</f>
        <v>0</v>
      </c>
      <c r="AM100" s="7">
        <f>SUMIFS('HQ2'!$J:$J,'HQ2'!$A:$A, "="&amp;'CHECK_DT-BT'!C100, 'HQ2'!$B:$B, "Total")</f>
        <v>0</v>
      </c>
      <c r="AN100" s="24">
        <f t="shared" si="16"/>
        <v>78126403322</v>
      </c>
      <c r="AO100" s="24">
        <f t="shared" si="17"/>
        <v>0</v>
      </c>
    </row>
    <row r="101" spans="1:41" x14ac:dyDescent="0.25">
      <c r="A101" s="9" t="s">
        <v>226</v>
      </c>
      <c r="B101" t="str">
        <f>VLOOKUP(A101,[1]Sheet1!$A$82:$B$94,2,FALSE)</f>
        <v>TSC-Ban bảo hiểm DKHK</v>
      </c>
      <c r="C101" t="str">
        <f t="shared" si="26"/>
        <v>TSC-Ban bảo hiểm DKHK</v>
      </c>
      <c r="D101" s="7">
        <f>SUMIFS('Tong_hop_HQNV_2026Q1_2026-06-23'!$K:$K,'Tong_hop_HQNV_2026Q1_2026-06-23'!$A:$A,"="&amp;'CHECK_DT-BT'!$D$2,'Tong_hop_HQNV_2026Q1_2026-06-23'!$B:$B, "="&amp;'CHECK_DT-BT'!A101)</f>
        <v>0</v>
      </c>
      <c r="E101" s="7">
        <f>SUMIFS('Tong_hop_HQNV_2026Q1_2026-06-23'!$K:$K,'Tong_hop_HQNV_2026Q1_2026-06-23'!$A:$A,"="&amp;'CHECK_DT-BT'!$E$2,'Tong_hop_HQNV_2026Q1_2026-06-23'!$B:$B, "="&amp;'CHECK_DT-BT'!A101)</f>
        <v>0</v>
      </c>
      <c r="F101" s="7">
        <f>SUMIFS('Tong_hop_HQNV_2026Q1_2026-06-23'!$K:$K,'Tong_hop_HQNV_2026Q1_2026-06-23'!$A:$A,"="&amp;'CHECK_DT-BT'!$F$2,'Tong_hop_HQNV_2026Q1_2026-06-23'!$B:$B, "="&amp;'CHECK_DT-BT'!A101)</f>
        <v>0</v>
      </c>
      <c r="G101" s="7">
        <f>SUMIFS('Tong_hop_HQNV_2026Q1_2026-06-23'!$K:$K,'Tong_hop_HQNV_2026Q1_2026-06-23'!$A:$A,"="&amp;'CHECK_DT-BT'!$G$2,'Tong_hop_HQNV_2026Q1_2026-06-23'!$B:$B, "="&amp;'CHECK_DT-BT'!A101)</f>
        <v>0</v>
      </c>
      <c r="H101" s="7">
        <f>SUMIFS('Tong_hop_HQNV_2026Q1_2026-06-23'!$K:$K,'Tong_hop_HQNV_2026Q1_2026-06-23'!$A:$A,"="&amp;$H$2,'Tong_hop_HQNV_2026Q1_2026-06-23'!$B:$B, "="&amp;'CHECK_DT-BT'!A101)</f>
        <v>0</v>
      </c>
      <c r="I101" s="7">
        <f>SUMIFS('Tong_hop_HQNV_2026Q1_2026-06-23'!$K:$K,'Tong_hop_HQNV_2026Q1_2026-06-23'!$A:$A,"="&amp;$I$2,'Tong_hop_HQNV_2026Q1_2026-06-23'!$B:$B, "="&amp;'CHECK_DT-BT'!A101)</f>
        <v>0</v>
      </c>
      <c r="J101" s="7">
        <f>SUMIFS('Tong_hop_HQNV_2026Q1_2026-06-23'!$K:$K,'Tong_hop_HQNV_2026Q1_2026-06-23'!$A:$A,"="&amp;$J$2,'Tong_hop_HQNV_2026Q1_2026-06-23'!$B:$B, "="&amp;'CHECK_DT-BT'!A101)</f>
        <v>0</v>
      </c>
      <c r="K101" s="7">
        <f>SUMIFS('Tong_hop_HQNV_2026Q1_2026-06-23'!$K:$K,'Tong_hop_HQNV_2026Q1_2026-06-23'!$A:$A,"="&amp;$K$2,'Tong_hop_HQNV_2026Q1_2026-06-23'!$B:$B, "="&amp;'CHECK_DT-BT'!A101)</f>
        <v>0</v>
      </c>
      <c r="L101" s="7">
        <f>SUMIFS('Tong_hop_HQNV_2026Q1_2026-06-23'!$K:$K,'Tong_hop_HQNV_2026Q1_2026-06-23'!$A:$A,"="&amp;$L$2,'Tong_hop_HQNV_2026Q1_2026-06-23'!$B:$B, "="&amp;'CHECK_DT-BT'!A101)</f>
        <v>0</v>
      </c>
      <c r="M101" s="7">
        <f>SUMIFS('Tong_hop_HQNV_2026Q1_2026-06-23'!$K:$K,'Tong_hop_HQNV_2026Q1_2026-06-23'!$A:$A,"="&amp;$M$2,'Tong_hop_HQNV_2026Q1_2026-06-23'!$B:$B, "="&amp;'CHECK_DT-BT'!A101)</f>
        <v>0</v>
      </c>
      <c r="N101" s="7">
        <f>SUMIFS('Tong_hop_HQNV_2026Q1_2026-06-23'!$K:$K,'Tong_hop_HQNV_2026Q1_2026-06-23'!$A:$A,"="&amp;$N$2,'Tong_hop_HQNV_2026Q1_2026-06-23'!$B:$B, "="&amp;'CHECK_DT-BT'!A101)</f>
        <v>0</v>
      </c>
      <c r="O101" s="7">
        <f>SUMIFS('Tong_hop_HQNV_2026Q1_2026-06-23'!$K:$K,'Tong_hop_HQNV_2026Q1_2026-06-23'!$A:$A,"="&amp;$O$2,'Tong_hop_HQNV_2026Q1_2026-06-23'!$B:$B, "="&amp;'CHECK_DT-BT'!A101)</f>
        <v>100153297332</v>
      </c>
      <c r="P101" s="7">
        <f>SUMIFS('Tong_hop_HQNV_2026Q1_2026-06-23'!$K:$K,'Tong_hop_HQNV_2026Q1_2026-06-23'!$A:$A,"="&amp;$P$2,'Tong_hop_HQNV_2026Q1_2026-06-23'!$B:$B, "="&amp;'CHECK_DT-BT'!A101)</f>
        <v>0</v>
      </c>
      <c r="Q101" s="7">
        <f t="shared" si="10"/>
        <v>0</v>
      </c>
      <c r="R101" s="7">
        <f t="shared" si="11"/>
        <v>0</v>
      </c>
      <c r="S101" s="7">
        <f>SUMIFS('HQ1'!$C:$C,'HQ1'!$A:$A, "="&amp;'CHECK_DT-BT'!C101, 'HQ1'!$B:$B, "Total")</f>
        <v>0</v>
      </c>
      <c r="T101" s="7">
        <f>SUMIFS('HQ2'!$C:$C,'HQ2'!$A:$A, "="&amp;'CHECK_DT-BT'!C101, 'HQ2'!$B:$B, "Total")</f>
        <v>0</v>
      </c>
      <c r="U101" s="7">
        <f t="shared" si="12"/>
        <v>0</v>
      </c>
      <c r="V101" s="7">
        <f t="shared" si="13"/>
        <v>0</v>
      </c>
      <c r="W101" s="23">
        <f>SUMIFS('Tong_hop_HQNV_2026Q1_2026-06-23'!$L:$L,'Tong_hop_HQNV_2026Q1_2026-06-23'!$B:$B, "="&amp;'CHECK_DT-BT'!A101, 'Tong_hop_HQNV_2026Q1_2026-06-23'!$A:$A, "="&amp;'CHECK_DT-BT'!$W$2)</f>
        <v>0</v>
      </c>
      <c r="X101" s="7">
        <f>SUMIFS('Tong_hop_HQNV_2026Q1_2026-06-23'!$L:$L,'Tong_hop_HQNV_2026Q1_2026-06-23'!$B:$B, "="&amp;'CHECK_DT-BT'!A101, 'Tong_hop_HQNV_2026Q1_2026-06-23'!$A:$A, "="&amp;'CHECK_DT-BT'!$X$2)</f>
        <v>0</v>
      </c>
      <c r="Y101" s="7">
        <f>SUMIFS('Tong_hop_HQNV_2026Q1_2026-06-23'!$L:$L,'Tong_hop_HQNV_2026Q1_2026-06-23'!$B:$B, "="&amp;'CHECK_DT-BT'!A101, 'Tong_hop_HQNV_2026Q1_2026-06-23'!$A:$A, "="&amp;'CHECK_DT-BT'!$Y$2)</f>
        <v>0</v>
      </c>
      <c r="Z101" s="7">
        <f>SUMIFS('Tong_hop_HQNV_2026Q1_2026-06-23'!$L:$L,'Tong_hop_HQNV_2026Q1_2026-06-23'!$B:$B, "="&amp;'CHECK_DT-BT'!A101, 'Tong_hop_HQNV_2026Q1_2026-06-23'!$A:$A, "="&amp;'CHECK_DT-BT'!$Z$2)</f>
        <v>0</v>
      </c>
      <c r="AA101" s="7">
        <f>SUMIFS('Tong_hop_HQNV_2026Q1_2026-06-23'!$L:$L,'Tong_hop_HQNV_2026Q1_2026-06-23'!$B:$B, "="&amp;'CHECK_DT-BT'!A101, 'Tong_hop_HQNV_2026Q1_2026-06-23'!$A:$A, "="&amp;$AA$2)</f>
        <v>0</v>
      </c>
      <c r="AB101" s="7">
        <f>SUMIFS('Tong_hop_HQNV_2026Q1_2026-06-23'!$L:$L,'Tong_hop_HQNV_2026Q1_2026-06-23'!$B:$B, "="&amp;'CHECK_DT-BT'!A101, 'Tong_hop_HQNV_2026Q1_2026-06-23'!$A:$A, "="&amp;$AB$2)</f>
        <v>0</v>
      </c>
      <c r="AC101" s="7">
        <f>SUMIFS('Tong_hop_HQNV_2026Q1_2026-06-23'!$L:$L,'Tong_hop_HQNV_2026Q1_2026-06-23'!$B:$B, "="&amp;'CHECK_DT-BT'!A101, 'Tong_hop_HQNV_2026Q1_2026-06-23'!$A:$A, "="&amp;$AC$2)</f>
        <v>0</v>
      </c>
      <c r="AD101" s="7">
        <f>SUMIFS('Tong_hop_HQNV_2026Q1_2026-06-23'!$L:$L,'Tong_hop_HQNV_2026Q1_2026-06-23'!$B:$B, "="&amp;'CHECK_DT-BT'!A101, 'Tong_hop_HQNV_2026Q1_2026-06-23'!$A:$A, "="&amp;$AD$2)</f>
        <v>0</v>
      </c>
      <c r="AE101" s="7">
        <f>SUMIFS('Tong_hop_HQNV_2026Q1_2026-06-23'!$L:$L,'Tong_hop_HQNV_2026Q1_2026-06-23'!$B:$B, "="&amp;'CHECK_DT-BT'!A101, 'Tong_hop_HQNV_2026Q1_2026-06-23'!$A:$A, "="&amp;$AE$2)</f>
        <v>0</v>
      </c>
      <c r="AF101" s="7">
        <f>SUMIFS('Tong_hop_HQNV_2026Q1_2026-06-23'!$L:$L,'Tong_hop_HQNV_2026Q1_2026-06-23'!$B:$B, "="&amp;'CHECK_DT-BT'!A101, 'Tong_hop_HQNV_2026Q1_2026-06-23'!$A:$A, "="&amp;$AF$2)</f>
        <v>0</v>
      </c>
      <c r="AG101" s="7">
        <f>SUMIFS('Tong_hop_HQNV_2026Q1_2026-06-23'!$L:$L,'Tong_hop_HQNV_2026Q1_2026-06-23'!$B:$B, "="&amp;'CHECK_DT-BT'!A101, 'Tong_hop_HQNV_2026Q1_2026-06-23'!$A:$A, "="&amp;$AG$2)</f>
        <v>0</v>
      </c>
      <c r="AH101" s="7">
        <f>SUMIFS('Tong_hop_HQNV_2026Q1_2026-06-23'!$L:$L,'Tong_hop_HQNV_2026Q1_2026-06-23'!$B:$B, "="&amp;'CHECK_DT-BT'!A101, 'Tong_hop_HQNV_2026Q1_2026-06-23'!$A:$A, "="&amp;$AH$2)</f>
        <v>10517000840</v>
      </c>
      <c r="AI101" s="7">
        <f>SUMIFS('Tong_hop_HQNV_2026Q1_2026-06-23'!$L:$L,'Tong_hop_HQNV_2026Q1_2026-06-23'!$B:$B, "="&amp;'CHECK_DT-BT'!A101, 'Tong_hop_HQNV_2026Q1_2026-06-23'!$A:$A, "="&amp;$AI$2)</f>
        <v>0</v>
      </c>
      <c r="AJ101" s="7">
        <f t="shared" si="14"/>
        <v>0</v>
      </c>
      <c r="AK101" s="7">
        <f t="shared" si="15"/>
        <v>0</v>
      </c>
      <c r="AL101" s="7">
        <f>SUMIFS('HQ1'!$D:$D,'HQ1'!$A:$A, "="&amp;'CHECK_DT-BT'!C101, 'HQ1'!$B:$B, "Total")</f>
        <v>0</v>
      </c>
      <c r="AM101" s="7">
        <f>SUMIFS('HQ2'!$J:$J,'HQ2'!$A:$A, "="&amp;'CHECK_DT-BT'!C101, 'HQ2'!$B:$B, "Total")</f>
        <v>0</v>
      </c>
      <c r="AN101" s="24">
        <f t="shared" si="16"/>
        <v>0</v>
      </c>
      <c r="AO101" s="24">
        <f t="shared" si="17"/>
        <v>0</v>
      </c>
    </row>
    <row r="102" spans="1:41" x14ac:dyDescent="0.25">
      <c r="A102" s="9" t="s">
        <v>227</v>
      </c>
      <c r="B102" t="str">
        <f>VLOOKUP(A102,[1]Sheet1!$A$82:$B$94,2,FALSE)</f>
        <v>TSC-Ban BH Dự án</v>
      </c>
      <c r="C102" t="str">
        <f t="shared" si="26"/>
        <v>TSC-Ban BH Dự án</v>
      </c>
      <c r="D102" s="7">
        <f>SUMIFS('Tong_hop_HQNV_2026Q1_2026-06-23'!$K:$K,'Tong_hop_HQNV_2026Q1_2026-06-23'!$A:$A,"="&amp;'CHECK_DT-BT'!$D$2,'Tong_hop_HQNV_2026Q1_2026-06-23'!$B:$B, "="&amp;'CHECK_DT-BT'!A102)</f>
        <v>234507080</v>
      </c>
      <c r="E102" s="7">
        <f>SUMIFS('Tong_hop_HQNV_2026Q1_2026-06-23'!$K:$K,'Tong_hop_HQNV_2026Q1_2026-06-23'!$A:$A,"="&amp;'CHECK_DT-BT'!$E$2,'Tong_hop_HQNV_2026Q1_2026-06-23'!$B:$B, "="&amp;'CHECK_DT-BT'!A102)</f>
        <v>223236000</v>
      </c>
      <c r="F102" s="7">
        <f>SUMIFS('Tong_hop_HQNV_2026Q1_2026-06-23'!$K:$K,'Tong_hop_HQNV_2026Q1_2026-06-23'!$A:$A,"="&amp;'CHECK_DT-BT'!$F$2,'Tong_hop_HQNV_2026Q1_2026-06-23'!$B:$B, "="&amp;'CHECK_DT-BT'!A102)</f>
        <v>30778478</v>
      </c>
      <c r="G102" s="7">
        <f>SUMIFS('Tong_hop_HQNV_2026Q1_2026-06-23'!$K:$K,'Tong_hop_HQNV_2026Q1_2026-06-23'!$A:$A,"="&amp;'CHECK_DT-BT'!$G$2,'Tong_hop_HQNV_2026Q1_2026-06-23'!$B:$B, "="&amp;'CHECK_DT-BT'!A102)</f>
        <v>5107233837</v>
      </c>
      <c r="H102" s="7">
        <f>SUMIFS('Tong_hop_HQNV_2026Q1_2026-06-23'!$K:$K,'Tong_hop_HQNV_2026Q1_2026-06-23'!$A:$A,"="&amp;$H$2,'Tong_hop_HQNV_2026Q1_2026-06-23'!$B:$B, "="&amp;'CHECK_DT-BT'!A102)</f>
        <v>23129113607</v>
      </c>
      <c r="I102" s="7">
        <f>SUMIFS('Tong_hop_HQNV_2026Q1_2026-06-23'!$K:$K,'Tong_hop_HQNV_2026Q1_2026-06-23'!$A:$A,"="&amp;$I$2,'Tong_hop_HQNV_2026Q1_2026-06-23'!$B:$B, "="&amp;'CHECK_DT-BT'!A102)</f>
        <v>0</v>
      </c>
      <c r="J102" s="7">
        <f>SUMIFS('Tong_hop_HQNV_2026Q1_2026-06-23'!$K:$K,'Tong_hop_HQNV_2026Q1_2026-06-23'!$A:$A,"="&amp;$J$2,'Tong_hop_HQNV_2026Q1_2026-06-23'!$B:$B, "="&amp;'CHECK_DT-BT'!A102)</f>
        <v>0</v>
      </c>
      <c r="K102" s="7">
        <f>SUMIFS('Tong_hop_HQNV_2026Q1_2026-06-23'!$K:$K,'Tong_hop_HQNV_2026Q1_2026-06-23'!$A:$A,"="&amp;$K$2,'Tong_hop_HQNV_2026Q1_2026-06-23'!$B:$B, "="&amp;'CHECK_DT-BT'!A102)</f>
        <v>8439686660</v>
      </c>
      <c r="L102" s="7">
        <f>SUMIFS('Tong_hop_HQNV_2026Q1_2026-06-23'!$K:$K,'Tong_hop_HQNV_2026Q1_2026-06-23'!$A:$A,"="&amp;$L$2,'Tong_hop_HQNV_2026Q1_2026-06-23'!$B:$B, "="&amp;'CHECK_DT-BT'!A102)</f>
        <v>268852880968</v>
      </c>
      <c r="M102" s="7">
        <f>SUMIFS('Tong_hop_HQNV_2026Q1_2026-06-23'!$K:$K,'Tong_hop_HQNV_2026Q1_2026-06-23'!$A:$A,"="&amp;$M$2,'Tong_hop_HQNV_2026Q1_2026-06-23'!$B:$B, "="&amp;'CHECK_DT-BT'!A102)</f>
        <v>18765299634</v>
      </c>
      <c r="N102" s="7">
        <f>SUMIFS('Tong_hop_HQNV_2026Q1_2026-06-23'!$K:$K,'Tong_hop_HQNV_2026Q1_2026-06-23'!$A:$A,"="&amp;$N$2,'Tong_hop_HQNV_2026Q1_2026-06-23'!$B:$B, "="&amp;'CHECK_DT-BT'!A102)</f>
        <v>63306610479</v>
      </c>
      <c r="O102" s="7">
        <f>SUMIFS('Tong_hop_HQNV_2026Q1_2026-06-23'!$K:$K,'Tong_hop_HQNV_2026Q1_2026-06-23'!$A:$A,"="&amp;$O$2,'Tong_hop_HQNV_2026Q1_2026-06-23'!$B:$B, "="&amp;'CHECK_DT-BT'!A102)</f>
        <v>0</v>
      </c>
      <c r="P102" s="7">
        <f>SUMIFS('Tong_hop_HQNV_2026Q1_2026-06-23'!$K:$K,'Tong_hop_HQNV_2026Q1_2026-06-23'!$A:$A,"="&amp;$P$2,'Tong_hop_HQNV_2026Q1_2026-06-23'!$B:$B, "="&amp;'CHECK_DT-BT'!A102)</f>
        <v>0</v>
      </c>
      <c r="Q102" s="7">
        <f t="shared" si="10"/>
        <v>5595755395</v>
      </c>
      <c r="R102" s="7">
        <f t="shared" si="11"/>
        <v>382493591348</v>
      </c>
      <c r="S102" s="7">
        <f>SUMIFS('HQ1'!$C:$C,'HQ1'!$A:$A, "="&amp;'CHECK_DT-BT'!C102, 'HQ1'!$B:$B, "Total")</f>
        <v>0</v>
      </c>
      <c r="T102" s="7">
        <f>SUMIFS('HQ2'!$C:$C,'HQ2'!$A:$A, "="&amp;'CHECK_DT-BT'!C102, 'HQ2'!$B:$B, "Total")</f>
        <v>0</v>
      </c>
      <c r="U102" s="7">
        <f t="shared" si="12"/>
        <v>5595755395</v>
      </c>
      <c r="V102" s="7">
        <f t="shared" si="13"/>
        <v>382493591348</v>
      </c>
      <c r="W102" s="23">
        <f>SUMIFS('Tong_hop_HQNV_2026Q1_2026-06-23'!$L:$L,'Tong_hop_HQNV_2026Q1_2026-06-23'!$B:$B, "="&amp;'CHECK_DT-BT'!A102, 'Tong_hop_HQNV_2026Q1_2026-06-23'!$A:$A, "="&amp;'CHECK_DT-BT'!$W$2)</f>
        <v>57794008</v>
      </c>
      <c r="X102" s="7">
        <f>SUMIFS('Tong_hop_HQNV_2026Q1_2026-06-23'!$L:$L,'Tong_hop_HQNV_2026Q1_2026-06-23'!$B:$B, "="&amp;'CHECK_DT-BT'!A102, 'Tong_hop_HQNV_2026Q1_2026-06-23'!$A:$A, "="&amp;'CHECK_DT-BT'!$X$2)</f>
        <v>0</v>
      </c>
      <c r="Y102" s="7">
        <f>SUMIFS('Tong_hop_HQNV_2026Q1_2026-06-23'!$L:$L,'Tong_hop_HQNV_2026Q1_2026-06-23'!$B:$B, "="&amp;'CHECK_DT-BT'!A102, 'Tong_hop_HQNV_2026Q1_2026-06-23'!$A:$A, "="&amp;'CHECK_DT-BT'!$Y$2)</f>
        <v>0</v>
      </c>
      <c r="Z102" s="7">
        <f>SUMIFS('Tong_hop_HQNV_2026Q1_2026-06-23'!$L:$L,'Tong_hop_HQNV_2026Q1_2026-06-23'!$B:$B, "="&amp;'CHECK_DT-BT'!A102, 'Tong_hop_HQNV_2026Q1_2026-06-23'!$A:$A, "="&amp;'CHECK_DT-BT'!$Z$2)</f>
        <v>2581056163</v>
      </c>
      <c r="AA102" s="7">
        <f>SUMIFS('Tong_hop_HQNV_2026Q1_2026-06-23'!$L:$L,'Tong_hop_HQNV_2026Q1_2026-06-23'!$B:$B, "="&amp;'CHECK_DT-BT'!A102, 'Tong_hop_HQNV_2026Q1_2026-06-23'!$A:$A, "="&amp;$AA$2)</f>
        <v>69828979638</v>
      </c>
      <c r="AB102" s="7">
        <f>SUMIFS('Tong_hop_HQNV_2026Q1_2026-06-23'!$L:$L,'Tong_hop_HQNV_2026Q1_2026-06-23'!$B:$B, "="&amp;'CHECK_DT-BT'!A102, 'Tong_hop_HQNV_2026Q1_2026-06-23'!$A:$A, "="&amp;$AB$2)</f>
        <v>0</v>
      </c>
      <c r="AC102" s="7">
        <f>SUMIFS('Tong_hop_HQNV_2026Q1_2026-06-23'!$L:$L,'Tong_hop_HQNV_2026Q1_2026-06-23'!$B:$B, "="&amp;'CHECK_DT-BT'!A102, 'Tong_hop_HQNV_2026Q1_2026-06-23'!$A:$A, "="&amp;$AC$2)</f>
        <v>0</v>
      </c>
      <c r="AD102" s="7">
        <f>SUMIFS('Tong_hop_HQNV_2026Q1_2026-06-23'!$L:$L,'Tong_hop_HQNV_2026Q1_2026-06-23'!$B:$B, "="&amp;'CHECK_DT-BT'!A102, 'Tong_hop_HQNV_2026Q1_2026-06-23'!$A:$A, "="&amp;$AD$2)</f>
        <v>0</v>
      </c>
      <c r="AE102" s="7">
        <f>SUMIFS('Tong_hop_HQNV_2026Q1_2026-06-23'!$L:$L,'Tong_hop_HQNV_2026Q1_2026-06-23'!$B:$B, "="&amp;'CHECK_DT-BT'!A102, 'Tong_hop_HQNV_2026Q1_2026-06-23'!$A:$A, "="&amp;$AE$2)</f>
        <v>5928810255</v>
      </c>
      <c r="AF102" s="7">
        <f>SUMIFS('Tong_hop_HQNV_2026Q1_2026-06-23'!$L:$L,'Tong_hop_HQNV_2026Q1_2026-06-23'!$B:$B, "="&amp;'CHECK_DT-BT'!A102, 'Tong_hop_HQNV_2026Q1_2026-06-23'!$A:$A, "="&amp;$AF$2)</f>
        <v>5174014718</v>
      </c>
      <c r="AG102" s="7">
        <f>SUMIFS('Tong_hop_HQNV_2026Q1_2026-06-23'!$L:$L,'Tong_hop_HQNV_2026Q1_2026-06-23'!$B:$B, "="&amp;'CHECK_DT-BT'!A102, 'Tong_hop_HQNV_2026Q1_2026-06-23'!$A:$A, "="&amp;$AG$2)</f>
        <v>91397591</v>
      </c>
      <c r="AH102" s="7">
        <f>SUMIFS('Tong_hop_HQNV_2026Q1_2026-06-23'!$L:$L,'Tong_hop_HQNV_2026Q1_2026-06-23'!$B:$B, "="&amp;'CHECK_DT-BT'!A102, 'Tong_hop_HQNV_2026Q1_2026-06-23'!$A:$A, "="&amp;$AH$2)</f>
        <v>0</v>
      </c>
      <c r="AI102" s="7">
        <f>SUMIFS('Tong_hop_HQNV_2026Q1_2026-06-23'!$L:$L,'Tong_hop_HQNV_2026Q1_2026-06-23'!$B:$B, "="&amp;'CHECK_DT-BT'!A102, 'Tong_hop_HQNV_2026Q1_2026-06-23'!$A:$A, "="&amp;$AI$2)</f>
        <v>0</v>
      </c>
      <c r="AJ102" s="7">
        <f t="shared" si="14"/>
        <v>2638850171</v>
      </c>
      <c r="AK102" s="7">
        <f t="shared" si="15"/>
        <v>81023202202</v>
      </c>
      <c r="AL102" s="7">
        <f>SUMIFS('HQ1'!$D:$D,'HQ1'!$A:$A, "="&amp;'CHECK_DT-BT'!C102, 'HQ1'!$B:$B, "Total")</f>
        <v>0</v>
      </c>
      <c r="AM102" s="7">
        <f>SUMIFS('HQ2'!$J:$J,'HQ2'!$A:$A, "="&amp;'CHECK_DT-BT'!C102, 'HQ2'!$B:$B, "Total")</f>
        <v>0</v>
      </c>
      <c r="AN102" s="24">
        <f t="shared" si="16"/>
        <v>2638850171</v>
      </c>
      <c r="AO102" s="24">
        <f t="shared" si="17"/>
        <v>81023202202</v>
      </c>
    </row>
    <row r="103" spans="1:41" x14ac:dyDescent="0.25">
      <c r="A103" s="9" t="s">
        <v>228</v>
      </c>
      <c r="B103" t="str">
        <f>VLOOKUP(A103,[1]Sheet1!$A$82:$B$94,2,FALSE)</f>
        <v>TSC-Ban KDBH Tàu thủy</v>
      </c>
      <c r="C103" t="str">
        <f t="shared" si="26"/>
        <v>TSC-Ban KDBH Tàu thủy</v>
      </c>
      <c r="D103" s="7">
        <f>SUMIFS('Tong_hop_HQNV_2026Q1_2026-06-23'!$K:$K,'Tong_hop_HQNV_2026Q1_2026-06-23'!$A:$A,"="&amp;'CHECK_DT-BT'!$D$2,'Tong_hop_HQNV_2026Q1_2026-06-23'!$B:$B, "="&amp;'CHECK_DT-BT'!A103)</f>
        <v>420366344</v>
      </c>
      <c r="E103" s="7">
        <f>SUMIFS('Tong_hop_HQNV_2026Q1_2026-06-23'!$K:$K,'Tong_hop_HQNV_2026Q1_2026-06-23'!$A:$A,"="&amp;'CHECK_DT-BT'!$E$2,'Tong_hop_HQNV_2026Q1_2026-06-23'!$B:$B, "="&amp;'CHECK_DT-BT'!A103)</f>
        <v>11981200</v>
      </c>
      <c r="F103" s="7">
        <f>SUMIFS('Tong_hop_HQNV_2026Q1_2026-06-23'!$K:$K,'Tong_hop_HQNV_2026Q1_2026-06-23'!$A:$A,"="&amp;'CHECK_DT-BT'!$F$2,'Tong_hop_HQNV_2026Q1_2026-06-23'!$B:$B, "="&amp;'CHECK_DT-BT'!A103)</f>
        <v>21334450</v>
      </c>
      <c r="G103" s="7">
        <f>SUMIFS('Tong_hop_HQNV_2026Q1_2026-06-23'!$K:$K,'Tong_hop_HQNV_2026Q1_2026-06-23'!$A:$A,"="&amp;'CHECK_DT-BT'!$G$2,'Tong_hop_HQNV_2026Q1_2026-06-23'!$B:$B, "="&amp;'CHECK_DT-BT'!A103)</f>
        <v>43291300</v>
      </c>
      <c r="H103" s="7">
        <f>SUMIFS('Tong_hop_HQNV_2026Q1_2026-06-23'!$K:$K,'Tong_hop_HQNV_2026Q1_2026-06-23'!$A:$A,"="&amp;$H$2,'Tong_hop_HQNV_2026Q1_2026-06-23'!$B:$B, "="&amp;'CHECK_DT-BT'!A103)</f>
        <v>2427394331</v>
      </c>
      <c r="I103" s="7">
        <f>SUMIFS('Tong_hop_HQNV_2026Q1_2026-06-23'!$K:$K,'Tong_hop_HQNV_2026Q1_2026-06-23'!$A:$A,"="&amp;$I$2,'Tong_hop_HQNV_2026Q1_2026-06-23'!$B:$B, "="&amp;'CHECK_DT-BT'!A103)</f>
        <v>30524312617</v>
      </c>
      <c r="J103" s="7">
        <f>SUMIFS('Tong_hop_HQNV_2026Q1_2026-06-23'!$K:$K,'Tong_hop_HQNV_2026Q1_2026-06-23'!$A:$A,"="&amp;$J$2,'Tong_hop_HQNV_2026Q1_2026-06-23'!$B:$B, "="&amp;'CHECK_DT-BT'!A103)</f>
        <v>15427757185</v>
      </c>
      <c r="K103" s="7">
        <f>SUMIFS('Tong_hop_HQNV_2026Q1_2026-06-23'!$K:$K,'Tong_hop_HQNV_2026Q1_2026-06-23'!$A:$A,"="&amp;$K$2,'Tong_hop_HQNV_2026Q1_2026-06-23'!$B:$B, "="&amp;'CHECK_DT-BT'!A103)</f>
        <v>1622389151</v>
      </c>
      <c r="L103" s="7">
        <f>SUMIFS('Tong_hop_HQNV_2026Q1_2026-06-23'!$K:$K,'Tong_hop_HQNV_2026Q1_2026-06-23'!$A:$A,"="&amp;$L$2,'Tong_hop_HQNV_2026Q1_2026-06-23'!$B:$B, "="&amp;'CHECK_DT-BT'!A103)</f>
        <v>51869379</v>
      </c>
      <c r="M103" s="7">
        <f>SUMIFS('Tong_hop_HQNV_2026Q1_2026-06-23'!$K:$K,'Tong_hop_HQNV_2026Q1_2026-06-23'!$A:$A,"="&amp;$M$2,'Tong_hop_HQNV_2026Q1_2026-06-23'!$B:$B, "="&amp;'CHECK_DT-BT'!A103)</f>
        <v>42302455</v>
      </c>
      <c r="N103" s="7">
        <f>SUMIFS('Tong_hop_HQNV_2026Q1_2026-06-23'!$K:$K,'Tong_hop_HQNV_2026Q1_2026-06-23'!$A:$A,"="&amp;$N$2,'Tong_hop_HQNV_2026Q1_2026-06-23'!$B:$B, "="&amp;'CHECK_DT-BT'!A103)</f>
        <v>485800489</v>
      </c>
      <c r="O103" s="7">
        <f>SUMIFS('Tong_hop_HQNV_2026Q1_2026-06-23'!$K:$K,'Tong_hop_HQNV_2026Q1_2026-06-23'!$A:$A,"="&amp;$O$2,'Tong_hop_HQNV_2026Q1_2026-06-23'!$B:$B, "="&amp;'CHECK_DT-BT'!A103)</f>
        <v>0</v>
      </c>
      <c r="P103" s="7">
        <f>SUMIFS('Tong_hop_HQNV_2026Q1_2026-06-23'!$K:$K,'Tong_hop_HQNV_2026Q1_2026-06-23'!$A:$A,"="&amp;$P$2,'Tong_hop_HQNV_2026Q1_2026-06-23'!$B:$B, "="&amp;'CHECK_DT-BT'!A103)</f>
        <v>0</v>
      </c>
      <c r="Q103" s="7">
        <f t="shared" si="10"/>
        <v>496973294</v>
      </c>
      <c r="R103" s="7">
        <f t="shared" si="11"/>
        <v>50581825607</v>
      </c>
      <c r="S103" s="7">
        <f>SUMIFS('HQ1'!$C:$C,'HQ1'!$A:$A, "="&amp;'CHECK_DT-BT'!C103, 'HQ1'!$B:$B, "Total")</f>
        <v>494684094</v>
      </c>
      <c r="T103" s="7">
        <f>SUMIFS('HQ2'!$C:$C,'HQ2'!$A:$A, "="&amp;'CHECK_DT-BT'!C103, 'HQ2'!$B:$B, "Total")</f>
        <v>40532894644</v>
      </c>
      <c r="U103" s="7">
        <f t="shared" si="12"/>
        <v>2289200</v>
      </c>
      <c r="V103" s="7">
        <f t="shared" si="13"/>
        <v>10048930963</v>
      </c>
      <c r="W103" s="23">
        <f>SUMIFS('Tong_hop_HQNV_2026Q1_2026-06-23'!$L:$L,'Tong_hop_HQNV_2026Q1_2026-06-23'!$B:$B, "="&amp;'CHECK_DT-BT'!A103, 'Tong_hop_HQNV_2026Q1_2026-06-23'!$A:$A, "="&amp;'CHECK_DT-BT'!$W$2)</f>
        <v>0</v>
      </c>
      <c r="X103" s="7">
        <f>SUMIFS('Tong_hop_HQNV_2026Q1_2026-06-23'!$L:$L,'Tong_hop_HQNV_2026Q1_2026-06-23'!$B:$B, "="&amp;'CHECK_DT-BT'!A103, 'Tong_hop_HQNV_2026Q1_2026-06-23'!$A:$A, "="&amp;'CHECK_DT-BT'!$X$2)</f>
        <v>0</v>
      </c>
      <c r="Y103" s="7">
        <f>SUMIFS('Tong_hop_HQNV_2026Q1_2026-06-23'!$L:$L,'Tong_hop_HQNV_2026Q1_2026-06-23'!$B:$B, "="&amp;'CHECK_DT-BT'!A103, 'Tong_hop_HQNV_2026Q1_2026-06-23'!$A:$A, "="&amp;'CHECK_DT-BT'!$Y$2)</f>
        <v>0</v>
      </c>
      <c r="Z103" s="7">
        <f>SUMIFS('Tong_hop_HQNV_2026Q1_2026-06-23'!$L:$L,'Tong_hop_HQNV_2026Q1_2026-06-23'!$B:$B, "="&amp;'CHECK_DT-BT'!A103, 'Tong_hop_HQNV_2026Q1_2026-06-23'!$A:$A, "="&amp;'CHECK_DT-BT'!$Z$2)</f>
        <v>95915134</v>
      </c>
      <c r="AA103" s="7">
        <f>SUMIFS('Tong_hop_HQNV_2026Q1_2026-06-23'!$L:$L,'Tong_hop_HQNV_2026Q1_2026-06-23'!$B:$B, "="&amp;'CHECK_DT-BT'!A103, 'Tong_hop_HQNV_2026Q1_2026-06-23'!$A:$A, "="&amp;$AA$2)</f>
        <v>0</v>
      </c>
      <c r="AB103" s="7">
        <f>SUMIFS('Tong_hop_HQNV_2026Q1_2026-06-23'!$L:$L,'Tong_hop_HQNV_2026Q1_2026-06-23'!$B:$B, "="&amp;'CHECK_DT-BT'!A103, 'Tong_hop_HQNV_2026Q1_2026-06-23'!$A:$A, "="&amp;$AB$2)</f>
        <v>5165112876</v>
      </c>
      <c r="AC103" s="7">
        <f>SUMIFS('Tong_hop_HQNV_2026Q1_2026-06-23'!$L:$L,'Tong_hop_HQNV_2026Q1_2026-06-23'!$B:$B, "="&amp;'CHECK_DT-BT'!A103, 'Tong_hop_HQNV_2026Q1_2026-06-23'!$A:$A, "="&amp;$AC$2)</f>
        <v>2908190971</v>
      </c>
      <c r="AD103" s="7">
        <f>SUMIFS('Tong_hop_HQNV_2026Q1_2026-06-23'!$L:$L,'Tong_hop_HQNV_2026Q1_2026-06-23'!$B:$B, "="&amp;'CHECK_DT-BT'!A103, 'Tong_hop_HQNV_2026Q1_2026-06-23'!$A:$A, "="&amp;$AD$2)</f>
        <v>0</v>
      </c>
      <c r="AE103" s="7">
        <f>SUMIFS('Tong_hop_HQNV_2026Q1_2026-06-23'!$L:$L,'Tong_hop_HQNV_2026Q1_2026-06-23'!$B:$B, "="&amp;'CHECK_DT-BT'!A103, 'Tong_hop_HQNV_2026Q1_2026-06-23'!$A:$A, "="&amp;$AE$2)</f>
        <v>0</v>
      </c>
      <c r="AF103" s="7">
        <f>SUMIFS('Tong_hop_HQNV_2026Q1_2026-06-23'!$L:$L,'Tong_hop_HQNV_2026Q1_2026-06-23'!$B:$B, "="&amp;'CHECK_DT-BT'!A103, 'Tong_hop_HQNV_2026Q1_2026-06-23'!$A:$A, "="&amp;$AF$2)</f>
        <v>404268084</v>
      </c>
      <c r="AG103" s="7">
        <f>SUMIFS('Tong_hop_HQNV_2026Q1_2026-06-23'!$L:$L,'Tong_hop_HQNV_2026Q1_2026-06-23'!$B:$B, "="&amp;'CHECK_DT-BT'!A103, 'Tong_hop_HQNV_2026Q1_2026-06-23'!$A:$A, "="&amp;$AG$2)</f>
        <v>0</v>
      </c>
      <c r="AH103" s="7">
        <f>SUMIFS('Tong_hop_HQNV_2026Q1_2026-06-23'!$L:$L,'Tong_hop_HQNV_2026Q1_2026-06-23'!$B:$B, "="&amp;'CHECK_DT-BT'!A103, 'Tong_hop_HQNV_2026Q1_2026-06-23'!$A:$A, "="&amp;$AH$2)</f>
        <v>0</v>
      </c>
      <c r="AI103" s="7">
        <f>SUMIFS('Tong_hop_HQNV_2026Q1_2026-06-23'!$L:$L,'Tong_hop_HQNV_2026Q1_2026-06-23'!$B:$B, "="&amp;'CHECK_DT-BT'!A103, 'Tong_hop_HQNV_2026Q1_2026-06-23'!$A:$A, "="&amp;$AI$2)</f>
        <v>0</v>
      </c>
      <c r="AJ103" s="7">
        <f t="shared" si="14"/>
        <v>95915134</v>
      </c>
      <c r="AK103" s="7">
        <f t="shared" si="15"/>
        <v>8477571931</v>
      </c>
      <c r="AL103" s="7">
        <f>SUMIFS('HQ1'!$D:$D,'HQ1'!$A:$A, "="&amp;'CHECK_DT-BT'!C103, 'HQ1'!$B:$B, "Total")</f>
        <v>95915134</v>
      </c>
      <c r="AM103" s="7">
        <f>SUMIFS('HQ2'!$J:$J,'HQ2'!$A:$A, "="&amp;'CHECK_DT-BT'!C103, 'HQ2'!$B:$B, "Total")</f>
        <v>8477571931</v>
      </c>
      <c r="AN103" s="24">
        <f t="shared" si="16"/>
        <v>0</v>
      </c>
      <c r="AO103" s="24">
        <f t="shared" si="17"/>
        <v>0</v>
      </c>
    </row>
    <row r="104" spans="1:41" x14ac:dyDescent="0.25">
      <c r="A104" s="9" t="s">
        <v>229</v>
      </c>
      <c r="B104" t="str">
        <f>VLOOKUP(A104,[1]Sheet1!$A$82:$B$94,2,FALSE)</f>
        <v>TSC-Ban Bảo hiểm trực tuyến</v>
      </c>
      <c r="C104" t="str">
        <f t="shared" si="26"/>
        <v>TSC-Ban Bảo hiểm trực tuyến</v>
      </c>
      <c r="D104" s="7">
        <f>SUMIFS('Tong_hop_HQNV_2026Q1_2026-06-23'!$K:$K,'Tong_hop_HQNV_2026Q1_2026-06-23'!$A:$A,"="&amp;'CHECK_DT-BT'!$D$2,'Tong_hop_HQNV_2026Q1_2026-06-23'!$B:$B, "="&amp;'CHECK_DT-BT'!A104)</f>
        <v>2002318061</v>
      </c>
      <c r="E104" s="7">
        <f>SUMIFS('Tong_hop_HQNV_2026Q1_2026-06-23'!$K:$K,'Tong_hop_HQNV_2026Q1_2026-06-23'!$A:$A,"="&amp;'CHECK_DT-BT'!$E$2,'Tong_hop_HQNV_2026Q1_2026-06-23'!$B:$B, "="&amp;'CHECK_DT-BT'!A104)</f>
        <v>14147840510</v>
      </c>
      <c r="F104" s="7">
        <f>SUMIFS('Tong_hop_HQNV_2026Q1_2026-06-23'!$K:$K,'Tong_hop_HQNV_2026Q1_2026-06-23'!$A:$A,"="&amp;'CHECK_DT-BT'!$F$2,'Tong_hop_HQNV_2026Q1_2026-06-23'!$B:$B, "="&amp;'CHECK_DT-BT'!A104)</f>
        <v>642418696</v>
      </c>
      <c r="G104" s="7">
        <f>SUMIFS('Tong_hop_HQNV_2026Q1_2026-06-23'!$K:$K,'Tong_hop_HQNV_2026Q1_2026-06-23'!$A:$A,"="&amp;'CHECK_DT-BT'!$G$2,'Tong_hop_HQNV_2026Q1_2026-06-23'!$B:$B, "="&amp;'CHECK_DT-BT'!A104)</f>
        <v>1720303035</v>
      </c>
      <c r="H104" s="7">
        <f>SUMIFS('Tong_hop_HQNV_2026Q1_2026-06-23'!$K:$K,'Tong_hop_HQNV_2026Q1_2026-06-23'!$A:$A,"="&amp;$H$2,'Tong_hop_HQNV_2026Q1_2026-06-23'!$B:$B, "="&amp;'CHECK_DT-BT'!A104)</f>
        <v>0</v>
      </c>
      <c r="I104" s="7">
        <f>SUMIFS('Tong_hop_HQNV_2026Q1_2026-06-23'!$K:$K,'Tong_hop_HQNV_2026Q1_2026-06-23'!$A:$A,"="&amp;$I$2,'Tong_hop_HQNV_2026Q1_2026-06-23'!$B:$B, "="&amp;'CHECK_DT-BT'!A104)</f>
        <v>0</v>
      </c>
      <c r="J104" s="7">
        <f>SUMIFS('Tong_hop_HQNV_2026Q1_2026-06-23'!$K:$K,'Tong_hop_HQNV_2026Q1_2026-06-23'!$A:$A,"="&amp;$J$2,'Tong_hop_HQNV_2026Q1_2026-06-23'!$B:$B, "="&amp;'CHECK_DT-BT'!A104)</f>
        <v>0</v>
      </c>
      <c r="K104" s="7">
        <f>SUMIFS('Tong_hop_HQNV_2026Q1_2026-06-23'!$K:$K,'Tong_hop_HQNV_2026Q1_2026-06-23'!$A:$A,"="&amp;$K$2,'Tong_hop_HQNV_2026Q1_2026-06-23'!$B:$B, "="&amp;'CHECK_DT-BT'!A104)</f>
        <v>0</v>
      </c>
      <c r="L104" s="7">
        <f>SUMIFS('Tong_hop_HQNV_2026Q1_2026-06-23'!$K:$K,'Tong_hop_HQNV_2026Q1_2026-06-23'!$A:$A,"="&amp;$L$2,'Tong_hop_HQNV_2026Q1_2026-06-23'!$B:$B, "="&amp;'CHECK_DT-BT'!A104)</f>
        <v>1093211591</v>
      </c>
      <c r="M104" s="7">
        <f>SUMIFS('Tong_hop_HQNV_2026Q1_2026-06-23'!$K:$K,'Tong_hop_HQNV_2026Q1_2026-06-23'!$A:$A,"="&amp;$M$2,'Tong_hop_HQNV_2026Q1_2026-06-23'!$B:$B, "="&amp;'CHECK_DT-BT'!A104)</f>
        <v>0</v>
      </c>
      <c r="N104" s="7">
        <f>SUMIFS('Tong_hop_HQNV_2026Q1_2026-06-23'!$K:$K,'Tong_hop_HQNV_2026Q1_2026-06-23'!$A:$A,"="&amp;$N$2,'Tong_hop_HQNV_2026Q1_2026-06-23'!$B:$B, "="&amp;'CHECK_DT-BT'!A104)</f>
        <v>0</v>
      </c>
      <c r="O104" s="7">
        <f>SUMIFS('Tong_hop_HQNV_2026Q1_2026-06-23'!$K:$K,'Tong_hop_HQNV_2026Q1_2026-06-23'!$A:$A,"="&amp;$O$2,'Tong_hop_HQNV_2026Q1_2026-06-23'!$B:$B, "="&amp;'CHECK_DT-BT'!A104)</f>
        <v>0</v>
      </c>
      <c r="P104" s="7">
        <f>SUMIFS('Tong_hop_HQNV_2026Q1_2026-06-23'!$K:$K,'Tong_hop_HQNV_2026Q1_2026-06-23'!$A:$A,"="&amp;$P$2,'Tong_hop_HQNV_2026Q1_2026-06-23'!$B:$B, "="&amp;'CHECK_DT-BT'!A104)</f>
        <v>0</v>
      </c>
      <c r="Q104" s="7">
        <f t="shared" si="10"/>
        <v>18512880302</v>
      </c>
      <c r="R104" s="7">
        <f t="shared" si="11"/>
        <v>1093211591</v>
      </c>
      <c r="S104" s="7">
        <f>SUMIFS('HQ1'!$C:$C,'HQ1'!$A:$A, "="&amp;'CHECK_DT-BT'!C104, 'HQ1'!$B:$B, "Total")</f>
        <v>18512880302</v>
      </c>
      <c r="T104" s="7">
        <f>SUMIFS('HQ2'!$C:$C,'HQ2'!$A:$A, "="&amp;'CHECK_DT-BT'!C104, 'HQ2'!$B:$B, "Total")</f>
        <v>1093211591</v>
      </c>
      <c r="U104" s="7">
        <f t="shared" si="12"/>
        <v>0</v>
      </c>
      <c r="V104" s="7">
        <f t="shared" si="13"/>
        <v>0</v>
      </c>
      <c r="W104" s="23">
        <f>SUMIFS('Tong_hop_HQNV_2026Q1_2026-06-23'!$L:$L,'Tong_hop_HQNV_2026Q1_2026-06-23'!$B:$B, "="&amp;'CHECK_DT-BT'!A104, 'Tong_hop_HQNV_2026Q1_2026-06-23'!$A:$A, "="&amp;'CHECK_DT-BT'!$W$2)</f>
        <v>5320000</v>
      </c>
      <c r="X104" s="7">
        <f>SUMIFS('Tong_hop_HQNV_2026Q1_2026-06-23'!$L:$L,'Tong_hop_HQNV_2026Q1_2026-06-23'!$B:$B, "="&amp;'CHECK_DT-BT'!A104, 'Tong_hop_HQNV_2026Q1_2026-06-23'!$A:$A, "="&amp;'CHECK_DT-BT'!$X$2)</f>
        <v>2878712325</v>
      </c>
      <c r="Y104" s="7">
        <f>SUMIFS('Tong_hop_HQNV_2026Q1_2026-06-23'!$L:$L,'Tong_hop_HQNV_2026Q1_2026-06-23'!$B:$B, "="&amp;'CHECK_DT-BT'!A104, 'Tong_hop_HQNV_2026Q1_2026-06-23'!$A:$A, "="&amp;'CHECK_DT-BT'!$Y$2)</f>
        <v>572163315</v>
      </c>
      <c r="Z104" s="7">
        <f>SUMIFS('Tong_hop_HQNV_2026Q1_2026-06-23'!$L:$L,'Tong_hop_HQNV_2026Q1_2026-06-23'!$B:$B, "="&amp;'CHECK_DT-BT'!A104, 'Tong_hop_HQNV_2026Q1_2026-06-23'!$A:$A, "="&amp;'CHECK_DT-BT'!$Z$2)</f>
        <v>714710876</v>
      </c>
      <c r="AA104" s="7">
        <f>SUMIFS('Tong_hop_HQNV_2026Q1_2026-06-23'!$L:$L,'Tong_hop_HQNV_2026Q1_2026-06-23'!$B:$B, "="&amp;'CHECK_DT-BT'!A104, 'Tong_hop_HQNV_2026Q1_2026-06-23'!$A:$A, "="&amp;$AA$2)</f>
        <v>0</v>
      </c>
      <c r="AB104" s="7">
        <f>SUMIFS('Tong_hop_HQNV_2026Q1_2026-06-23'!$L:$L,'Tong_hop_HQNV_2026Q1_2026-06-23'!$B:$B, "="&amp;'CHECK_DT-BT'!A104, 'Tong_hop_HQNV_2026Q1_2026-06-23'!$A:$A, "="&amp;$AB$2)</f>
        <v>0</v>
      </c>
      <c r="AC104" s="7">
        <f>SUMIFS('Tong_hop_HQNV_2026Q1_2026-06-23'!$L:$L,'Tong_hop_HQNV_2026Q1_2026-06-23'!$B:$B, "="&amp;'CHECK_DT-BT'!A104, 'Tong_hop_HQNV_2026Q1_2026-06-23'!$A:$A, "="&amp;$AC$2)</f>
        <v>0</v>
      </c>
      <c r="AD104" s="7">
        <f>SUMIFS('Tong_hop_HQNV_2026Q1_2026-06-23'!$L:$L,'Tong_hop_HQNV_2026Q1_2026-06-23'!$B:$B, "="&amp;'CHECK_DT-BT'!A104, 'Tong_hop_HQNV_2026Q1_2026-06-23'!$A:$A, "="&amp;$AD$2)</f>
        <v>0</v>
      </c>
      <c r="AE104" s="7">
        <f>SUMIFS('Tong_hop_HQNV_2026Q1_2026-06-23'!$L:$L,'Tong_hop_HQNV_2026Q1_2026-06-23'!$B:$B, "="&amp;'CHECK_DT-BT'!A104, 'Tong_hop_HQNV_2026Q1_2026-06-23'!$A:$A, "="&amp;$AE$2)</f>
        <v>34432903</v>
      </c>
      <c r="AF104" s="7">
        <f>SUMIFS('Tong_hop_HQNV_2026Q1_2026-06-23'!$L:$L,'Tong_hop_HQNV_2026Q1_2026-06-23'!$B:$B, "="&amp;'CHECK_DT-BT'!A104, 'Tong_hop_HQNV_2026Q1_2026-06-23'!$A:$A, "="&amp;$AF$2)</f>
        <v>0</v>
      </c>
      <c r="AG104" s="7">
        <f>SUMIFS('Tong_hop_HQNV_2026Q1_2026-06-23'!$L:$L,'Tong_hop_HQNV_2026Q1_2026-06-23'!$B:$B, "="&amp;'CHECK_DT-BT'!A104, 'Tong_hop_HQNV_2026Q1_2026-06-23'!$A:$A, "="&amp;$AG$2)</f>
        <v>0</v>
      </c>
      <c r="AH104" s="7">
        <f>SUMIFS('Tong_hop_HQNV_2026Q1_2026-06-23'!$L:$L,'Tong_hop_HQNV_2026Q1_2026-06-23'!$B:$B, "="&amp;'CHECK_DT-BT'!A104, 'Tong_hop_HQNV_2026Q1_2026-06-23'!$A:$A, "="&amp;$AH$2)</f>
        <v>0</v>
      </c>
      <c r="AI104" s="7">
        <f>SUMIFS('Tong_hop_HQNV_2026Q1_2026-06-23'!$L:$L,'Tong_hop_HQNV_2026Q1_2026-06-23'!$B:$B, "="&amp;'CHECK_DT-BT'!A104, 'Tong_hop_HQNV_2026Q1_2026-06-23'!$A:$A, "="&amp;$AI$2)</f>
        <v>0</v>
      </c>
      <c r="AJ104" s="7">
        <f t="shared" si="14"/>
        <v>4170906516</v>
      </c>
      <c r="AK104" s="7">
        <f t="shared" si="15"/>
        <v>34432903</v>
      </c>
      <c r="AL104" s="7">
        <f>SUMIFS('HQ1'!$D:$D,'HQ1'!$A:$A, "="&amp;'CHECK_DT-BT'!C104, 'HQ1'!$B:$B, "Total")</f>
        <v>4170906516</v>
      </c>
      <c r="AM104" s="7">
        <f>SUMIFS('HQ2'!$J:$J,'HQ2'!$A:$A, "="&amp;'CHECK_DT-BT'!C104, 'HQ2'!$B:$B, "Total")</f>
        <v>34432903</v>
      </c>
      <c r="AN104" s="24">
        <f t="shared" si="16"/>
        <v>0</v>
      </c>
      <c r="AO104" s="24">
        <f t="shared" si="17"/>
        <v>0</v>
      </c>
    </row>
    <row r="105" spans="1:41" x14ac:dyDescent="0.25">
      <c r="A105" s="9" t="s">
        <v>230</v>
      </c>
      <c r="B105" t="str">
        <f>VLOOKUP(A105,[1]Sheet1!$A$82:$B$94,2,FALSE)</f>
        <v>TSC-Ban KD Bảo hiểm sức khỏe</v>
      </c>
      <c r="C105" t="str">
        <f t="shared" si="26"/>
        <v>TSC-Ban KD Bảo hiểm sức khỏe</v>
      </c>
      <c r="D105" s="7">
        <f>SUMIFS('Tong_hop_HQNV_2026Q1_2026-06-23'!$K:$K,'Tong_hop_HQNV_2026Q1_2026-06-23'!$A:$A,"="&amp;'CHECK_DT-BT'!$D$2,'Tong_hop_HQNV_2026Q1_2026-06-23'!$B:$B, "="&amp;'CHECK_DT-BT'!A105)</f>
        <v>3238181764</v>
      </c>
      <c r="E105" s="7">
        <f>SUMIFS('Tong_hop_HQNV_2026Q1_2026-06-23'!$K:$K,'Tong_hop_HQNV_2026Q1_2026-06-23'!$A:$A,"="&amp;'CHECK_DT-BT'!$E$2,'Tong_hop_HQNV_2026Q1_2026-06-23'!$B:$B, "="&amp;'CHECK_DT-BT'!A105)</f>
        <v>108231145</v>
      </c>
      <c r="F105" s="7">
        <f>SUMIFS('Tong_hop_HQNV_2026Q1_2026-06-23'!$K:$K,'Tong_hop_HQNV_2026Q1_2026-06-23'!$A:$A,"="&amp;'CHECK_DT-BT'!$F$2,'Tong_hop_HQNV_2026Q1_2026-06-23'!$B:$B, "="&amp;'CHECK_DT-BT'!A105)</f>
        <v>0</v>
      </c>
      <c r="G105" s="7">
        <f>SUMIFS('Tong_hop_HQNV_2026Q1_2026-06-23'!$K:$K,'Tong_hop_HQNV_2026Q1_2026-06-23'!$A:$A,"="&amp;'CHECK_DT-BT'!$G$2,'Tong_hop_HQNV_2026Q1_2026-06-23'!$B:$B, "="&amp;'CHECK_DT-BT'!A105)</f>
        <v>485984163553</v>
      </c>
      <c r="H105" s="7">
        <f>SUMIFS('Tong_hop_HQNV_2026Q1_2026-06-23'!$K:$K,'Tong_hop_HQNV_2026Q1_2026-06-23'!$A:$A,"="&amp;$H$2,'Tong_hop_HQNV_2026Q1_2026-06-23'!$B:$B, "="&amp;'CHECK_DT-BT'!A105)</f>
        <v>0</v>
      </c>
      <c r="I105" s="7">
        <f>SUMIFS('Tong_hop_HQNV_2026Q1_2026-06-23'!$K:$K,'Tong_hop_HQNV_2026Q1_2026-06-23'!$A:$A,"="&amp;$I$2,'Tong_hop_HQNV_2026Q1_2026-06-23'!$B:$B, "="&amp;'CHECK_DT-BT'!A105)</f>
        <v>0</v>
      </c>
      <c r="J105" s="7">
        <f>SUMIFS('Tong_hop_HQNV_2026Q1_2026-06-23'!$K:$K,'Tong_hop_HQNV_2026Q1_2026-06-23'!$A:$A,"="&amp;$J$2,'Tong_hop_HQNV_2026Q1_2026-06-23'!$B:$B, "="&amp;'CHECK_DT-BT'!A105)</f>
        <v>0</v>
      </c>
      <c r="K105" s="7">
        <f>SUMIFS('Tong_hop_HQNV_2026Q1_2026-06-23'!$K:$K,'Tong_hop_HQNV_2026Q1_2026-06-23'!$A:$A,"="&amp;$K$2,'Tong_hop_HQNV_2026Q1_2026-06-23'!$B:$B, "="&amp;'CHECK_DT-BT'!A105)</f>
        <v>0</v>
      </c>
      <c r="L105" s="7">
        <f>SUMIFS('Tong_hop_HQNV_2026Q1_2026-06-23'!$K:$K,'Tong_hop_HQNV_2026Q1_2026-06-23'!$A:$A,"="&amp;$L$2,'Tong_hop_HQNV_2026Q1_2026-06-23'!$B:$B, "="&amp;'CHECK_DT-BT'!A105)</f>
        <v>0</v>
      </c>
      <c r="M105" s="7">
        <f>SUMIFS('Tong_hop_HQNV_2026Q1_2026-06-23'!$K:$K,'Tong_hop_HQNV_2026Q1_2026-06-23'!$A:$A,"="&amp;$M$2,'Tong_hop_HQNV_2026Q1_2026-06-23'!$B:$B, "="&amp;'CHECK_DT-BT'!A105)</f>
        <v>0</v>
      </c>
      <c r="N105" s="7">
        <f>SUMIFS('Tong_hop_HQNV_2026Q1_2026-06-23'!$K:$K,'Tong_hop_HQNV_2026Q1_2026-06-23'!$A:$A,"="&amp;$N$2,'Tong_hop_HQNV_2026Q1_2026-06-23'!$B:$B, "="&amp;'CHECK_DT-BT'!A105)</f>
        <v>3813093</v>
      </c>
      <c r="O105" s="7">
        <f>SUMIFS('Tong_hop_HQNV_2026Q1_2026-06-23'!$K:$K,'Tong_hop_HQNV_2026Q1_2026-06-23'!$A:$A,"="&amp;$O$2,'Tong_hop_HQNV_2026Q1_2026-06-23'!$B:$B, "="&amp;'CHECK_DT-BT'!A105)</f>
        <v>0</v>
      </c>
      <c r="P105" s="7">
        <f>SUMIFS('Tong_hop_HQNV_2026Q1_2026-06-23'!$K:$K,'Tong_hop_HQNV_2026Q1_2026-06-23'!$A:$A,"="&amp;$P$2,'Tong_hop_HQNV_2026Q1_2026-06-23'!$B:$B, "="&amp;'CHECK_DT-BT'!A105)</f>
        <v>0</v>
      </c>
      <c r="Q105" s="7">
        <f t="shared" si="10"/>
        <v>489330576462</v>
      </c>
      <c r="R105" s="7">
        <f t="shared" si="11"/>
        <v>3813093</v>
      </c>
      <c r="S105" s="7">
        <f>SUMIFS('HQ1'!$C:$C,'HQ1'!$A:$A, "="&amp;'CHECK_DT-BT'!C105, 'HQ1'!$B:$B, "Total")</f>
        <v>489327179462</v>
      </c>
      <c r="T105" s="7">
        <f>SUMIFS('HQ2'!$C:$C,'HQ2'!$A:$A, "="&amp;'CHECK_DT-BT'!C105, 'HQ2'!$B:$B, "Total")</f>
        <v>3813093</v>
      </c>
      <c r="U105" s="7">
        <f t="shared" si="12"/>
        <v>3397000</v>
      </c>
      <c r="V105" s="7">
        <f t="shared" si="13"/>
        <v>0</v>
      </c>
      <c r="W105" s="23">
        <f>SUMIFS('Tong_hop_HQNV_2026Q1_2026-06-23'!$L:$L,'Tong_hop_HQNV_2026Q1_2026-06-23'!$B:$B, "="&amp;'CHECK_DT-BT'!A105, 'Tong_hop_HQNV_2026Q1_2026-06-23'!$A:$A, "="&amp;'CHECK_DT-BT'!$W$2)</f>
        <v>716276692</v>
      </c>
      <c r="X105" s="7">
        <f>SUMIFS('Tong_hop_HQNV_2026Q1_2026-06-23'!$L:$L,'Tong_hop_HQNV_2026Q1_2026-06-23'!$B:$B, "="&amp;'CHECK_DT-BT'!A105, 'Tong_hop_HQNV_2026Q1_2026-06-23'!$A:$A, "="&amp;'CHECK_DT-BT'!$X$2)</f>
        <v>0</v>
      </c>
      <c r="Y105" s="7">
        <f>SUMIFS('Tong_hop_HQNV_2026Q1_2026-06-23'!$L:$L,'Tong_hop_HQNV_2026Q1_2026-06-23'!$B:$B, "="&amp;'CHECK_DT-BT'!A105, 'Tong_hop_HQNV_2026Q1_2026-06-23'!$A:$A, "="&amp;'CHECK_DT-BT'!$Y$2)</f>
        <v>0</v>
      </c>
      <c r="Z105" s="7">
        <f>SUMIFS('Tong_hop_HQNV_2026Q1_2026-06-23'!$L:$L,'Tong_hop_HQNV_2026Q1_2026-06-23'!$B:$B, "="&amp;'CHECK_DT-BT'!A105, 'Tong_hop_HQNV_2026Q1_2026-06-23'!$A:$A, "="&amp;'CHECK_DT-BT'!$Z$2)</f>
        <v>137826067230</v>
      </c>
      <c r="AA105" s="7">
        <f>SUMIFS('Tong_hop_HQNV_2026Q1_2026-06-23'!$L:$L,'Tong_hop_HQNV_2026Q1_2026-06-23'!$B:$B, "="&amp;'CHECK_DT-BT'!A105, 'Tong_hop_HQNV_2026Q1_2026-06-23'!$A:$A, "="&amp;$AA$2)</f>
        <v>0</v>
      </c>
      <c r="AB105" s="7">
        <f>SUMIFS('Tong_hop_HQNV_2026Q1_2026-06-23'!$L:$L,'Tong_hop_HQNV_2026Q1_2026-06-23'!$B:$B, "="&amp;'CHECK_DT-BT'!A105, 'Tong_hop_HQNV_2026Q1_2026-06-23'!$A:$A, "="&amp;$AB$2)</f>
        <v>0</v>
      </c>
      <c r="AC105" s="7">
        <f>SUMIFS('Tong_hop_HQNV_2026Q1_2026-06-23'!$L:$L,'Tong_hop_HQNV_2026Q1_2026-06-23'!$B:$B, "="&amp;'CHECK_DT-BT'!A105, 'Tong_hop_HQNV_2026Q1_2026-06-23'!$A:$A, "="&amp;$AC$2)</f>
        <v>0</v>
      </c>
      <c r="AD105" s="7">
        <f>SUMIFS('Tong_hop_HQNV_2026Q1_2026-06-23'!$L:$L,'Tong_hop_HQNV_2026Q1_2026-06-23'!$B:$B, "="&amp;'CHECK_DT-BT'!A105, 'Tong_hop_HQNV_2026Q1_2026-06-23'!$A:$A, "="&amp;$AD$2)</f>
        <v>0</v>
      </c>
      <c r="AE105" s="7">
        <f>SUMIFS('Tong_hop_HQNV_2026Q1_2026-06-23'!$L:$L,'Tong_hop_HQNV_2026Q1_2026-06-23'!$B:$B, "="&amp;'CHECK_DT-BT'!A105, 'Tong_hop_HQNV_2026Q1_2026-06-23'!$A:$A, "="&amp;$AE$2)</f>
        <v>0</v>
      </c>
      <c r="AF105" s="7">
        <f>SUMIFS('Tong_hop_HQNV_2026Q1_2026-06-23'!$L:$L,'Tong_hop_HQNV_2026Q1_2026-06-23'!$B:$B, "="&amp;'CHECK_DT-BT'!A105, 'Tong_hop_HQNV_2026Q1_2026-06-23'!$A:$A, "="&amp;$AF$2)</f>
        <v>0</v>
      </c>
      <c r="AG105" s="7">
        <f>SUMIFS('Tong_hop_HQNV_2026Q1_2026-06-23'!$L:$L,'Tong_hop_HQNV_2026Q1_2026-06-23'!$B:$B, "="&amp;'CHECK_DT-BT'!A105, 'Tong_hop_HQNV_2026Q1_2026-06-23'!$A:$A, "="&amp;$AG$2)</f>
        <v>0</v>
      </c>
      <c r="AH105" s="7">
        <f>SUMIFS('Tong_hop_HQNV_2026Q1_2026-06-23'!$L:$L,'Tong_hop_HQNV_2026Q1_2026-06-23'!$B:$B, "="&amp;'CHECK_DT-BT'!A105, 'Tong_hop_HQNV_2026Q1_2026-06-23'!$A:$A, "="&amp;$AH$2)</f>
        <v>0</v>
      </c>
      <c r="AI105" s="7">
        <f>SUMIFS('Tong_hop_HQNV_2026Q1_2026-06-23'!$L:$L,'Tong_hop_HQNV_2026Q1_2026-06-23'!$B:$B, "="&amp;'CHECK_DT-BT'!A105, 'Tong_hop_HQNV_2026Q1_2026-06-23'!$A:$A, "="&amp;$AI$2)</f>
        <v>0</v>
      </c>
      <c r="AJ105" s="7">
        <f t="shared" si="14"/>
        <v>138542343922</v>
      </c>
      <c r="AK105" s="7">
        <f t="shared" si="15"/>
        <v>0</v>
      </c>
      <c r="AL105" s="7">
        <f>SUMIFS('HQ1'!$D:$D,'HQ1'!$A:$A, "="&amp;'CHECK_DT-BT'!C105, 'HQ1'!$B:$B, "Total")</f>
        <v>138542343922</v>
      </c>
      <c r="AM105" s="7">
        <f>SUMIFS('HQ2'!$J:$J,'HQ2'!$A:$A, "="&amp;'CHECK_DT-BT'!C105, 'HQ2'!$B:$B, "Total")</f>
        <v>0</v>
      </c>
      <c r="AN105" s="24">
        <f t="shared" si="16"/>
        <v>0</v>
      </c>
      <c r="AO105" s="24">
        <f t="shared" si="17"/>
        <v>0</v>
      </c>
    </row>
    <row r="106" spans="1:41" x14ac:dyDescent="0.25">
      <c r="A106" s="9" t="s">
        <v>231</v>
      </c>
      <c r="B106" t="str">
        <f>VLOOKUP(A106,[1]Sheet1!$A$82:$B$94,2,FALSE)</f>
        <v>TSC-Ban Khách hàng doanh nghiệp</v>
      </c>
      <c r="C106" t="str">
        <f t="shared" si="26"/>
        <v>TSC-Ban Khách hàng doanh nghiệp</v>
      </c>
      <c r="D106" s="7">
        <f>SUMIFS('Tong_hop_HQNV_2026Q1_2026-06-23'!$K:$K,'Tong_hop_HQNV_2026Q1_2026-06-23'!$A:$A,"="&amp;'CHECK_DT-BT'!$D$2,'Tong_hop_HQNV_2026Q1_2026-06-23'!$B:$B, "="&amp;'CHECK_DT-BT'!A106)</f>
        <v>0</v>
      </c>
      <c r="E106" s="7">
        <f>SUMIFS('Tong_hop_HQNV_2026Q1_2026-06-23'!$K:$K,'Tong_hop_HQNV_2026Q1_2026-06-23'!$A:$A,"="&amp;'CHECK_DT-BT'!$E$2,'Tong_hop_HQNV_2026Q1_2026-06-23'!$B:$B, "="&amp;'CHECK_DT-BT'!A106)</f>
        <v>0</v>
      </c>
      <c r="F106" s="7">
        <f>SUMIFS('Tong_hop_HQNV_2026Q1_2026-06-23'!$K:$K,'Tong_hop_HQNV_2026Q1_2026-06-23'!$A:$A,"="&amp;'CHECK_DT-BT'!$F$2,'Tong_hop_HQNV_2026Q1_2026-06-23'!$B:$B, "="&amp;'CHECK_DT-BT'!A106)</f>
        <v>22350000</v>
      </c>
      <c r="G106" s="7">
        <f>SUMIFS('Tong_hop_HQNV_2026Q1_2026-06-23'!$K:$K,'Tong_hop_HQNV_2026Q1_2026-06-23'!$A:$A,"="&amp;'CHECK_DT-BT'!$G$2,'Tong_hop_HQNV_2026Q1_2026-06-23'!$B:$B, "="&amp;'CHECK_DT-BT'!A106)</f>
        <v>0</v>
      </c>
      <c r="H106" s="7">
        <f>SUMIFS('Tong_hop_HQNV_2026Q1_2026-06-23'!$K:$K,'Tong_hop_HQNV_2026Q1_2026-06-23'!$A:$A,"="&amp;$H$2,'Tong_hop_HQNV_2026Q1_2026-06-23'!$B:$B, "="&amp;'CHECK_DT-BT'!A106)</f>
        <v>1111878112</v>
      </c>
      <c r="I106" s="7">
        <f>SUMIFS('Tong_hop_HQNV_2026Q1_2026-06-23'!$K:$K,'Tong_hop_HQNV_2026Q1_2026-06-23'!$A:$A,"="&amp;$I$2,'Tong_hop_HQNV_2026Q1_2026-06-23'!$B:$B, "="&amp;'CHECK_DT-BT'!A106)</f>
        <v>0</v>
      </c>
      <c r="J106" s="7">
        <f>SUMIFS('Tong_hop_HQNV_2026Q1_2026-06-23'!$K:$K,'Tong_hop_HQNV_2026Q1_2026-06-23'!$A:$A,"="&amp;$J$2,'Tong_hop_HQNV_2026Q1_2026-06-23'!$B:$B, "="&amp;'CHECK_DT-BT'!A106)</f>
        <v>0</v>
      </c>
      <c r="K106" s="7">
        <f>SUMIFS('Tong_hop_HQNV_2026Q1_2026-06-23'!$K:$K,'Tong_hop_HQNV_2026Q1_2026-06-23'!$A:$A,"="&amp;$K$2,'Tong_hop_HQNV_2026Q1_2026-06-23'!$B:$B, "="&amp;'CHECK_DT-BT'!A106)</f>
        <v>0</v>
      </c>
      <c r="L106" s="7">
        <f>SUMIFS('Tong_hop_HQNV_2026Q1_2026-06-23'!$K:$K,'Tong_hop_HQNV_2026Q1_2026-06-23'!$A:$A,"="&amp;$L$2,'Tong_hop_HQNV_2026Q1_2026-06-23'!$B:$B, "="&amp;'CHECK_DT-BT'!A106)</f>
        <v>12691412720</v>
      </c>
      <c r="M106" s="7">
        <f>SUMIFS('Tong_hop_HQNV_2026Q1_2026-06-23'!$K:$K,'Tong_hop_HQNV_2026Q1_2026-06-23'!$A:$A,"="&amp;$M$2,'Tong_hop_HQNV_2026Q1_2026-06-23'!$B:$B, "="&amp;'CHECK_DT-BT'!A106)</f>
        <v>1136094335</v>
      </c>
      <c r="N106" s="7">
        <f>SUMIFS('Tong_hop_HQNV_2026Q1_2026-06-23'!$K:$K,'Tong_hop_HQNV_2026Q1_2026-06-23'!$A:$A,"="&amp;$N$2,'Tong_hop_HQNV_2026Q1_2026-06-23'!$B:$B, "="&amp;'CHECK_DT-BT'!A106)</f>
        <v>407272127</v>
      </c>
      <c r="O106" s="7">
        <f>SUMIFS('Tong_hop_HQNV_2026Q1_2026-06-23'!$K:$K,'Tong_hop_HQNV_2026Q1_2026-06-23'!$A:$A,"="&amp;$O$2,'Tong_hop_HQNV_2026Q1_2026-06-23'!$B:$B, "="&amp;'CHECK_DT-BT'!A106)</f>
        <v>0</v>
      </c>
      <c r="P106" s="7">
        <f>SUMIFS('Tong_hop_HQNV_2026Q1_2026-06-23'!$K:$K,'Tong_hop_HQNV_2026Q1_2026-06-23'!$A:$A,"="&amp;$P$2,'Tong_hop_HQNV_2026Q1_2026-06-23'!$B:$B, "="&amp;'CHECK_DT-BT'!A106)</f>
        <v>0</v>
      </c>
      <c r="Q106" s="7">
        <f t="shared" si="10"/>
        <v>22350000</v>
      </c>
      <c r="R106" s="7">
        <f t="shared" si="11"/>
        <v>15346657294</v>
      </c>
      <c r="S106" s="7">
        <f>SUMIFS('HQ1'!$C:$C,'HQ1'!$A:$A, "="&amp;'CHECK_DT-BT'!C106, 'HQ1'!$B:$B, "Total")</f>
        <v>22350000</v>
      </c>
      <c r="T106" s="7">
        <f>SUMIFS('HQ2'!$C:$C,'HQ2'!$A:$A, "="&amp;'CHECK_DT-BT'!C106, 'HQ2'!$B:$B, "Total")</f>
        <v>15346657294</v>
      </c>
      <c r="U106" s="7">
        <f t="shared" si="12"/>
        <v>0</v>
      </c>
      <c r="V106" s="7">
        <f t="shared" si="13"/>
        <v>0</v>
      </c>
      <c r="W106" s="23">
        <f>SUMIFS('Tong_hop_HQNV_2026Q1_2026-06-23'!$L:$L,'Tong_hop_HQNV_2026Q1_2026-06-23'!$B:$B, "="&amp;'CHECK_DT-BT'!A106, 'Tong_hop_HQNV_2026Q1_2026-06-23'!$A:$A, "="&amp;'CHECK_DT-BT'!$W$2)</f>
        <v>0</v>
      </c>
      <c r="X106" s="7">
        <f>SUMIFS('Tong_hop_HQNV_2026Q1_2026-06-23'!$L:$L,'Tong_hop_HQNV_2026Q1_2026-06-23'!$B:$B, "="&amp;'CHECK_DT-BT'!A106, 'Tong_hop_HQNV_2026Q1_2026-06-23'!$A:$A, "="&amp;'CHECK_DT-BT'!$X$2)</f>
        <v>0</v>
      </c>
      <c r="Y106" s="7">
        <f>SUMIFS('Tong_hop_HQNV_2026Q1_2026-06-23'!$L:$L,'Tong_hop_HQNV_2026Q1_2026-06-23'!$B:$B, "="&amp;'CHECK_DT-BT'!A106, 'Tong_hop_HQNV_2026Q1_2026-06-23'!$A:$A, "="&amp;'CHECK_DT-BT'!$Y$2)</f>
        <v>0</v>
      </c>
      <c r="Z106" s="7">
        <f>SUMIFS('Tong_hop_HQNV_2026Q1_2026-06-23'!$L:$L,'Tong_hop_HQNV_2026Q1_2026-06-23'!$B:$B, "="&amp;'CHECK_DT-BT'!A106, 'Tong_hop_HQNV_2026Q1_2026-06-23'!$A:$A, "="&amp;'CHECK_DT-BT'!$Z$2)</f>
        <v>0</v>
      </c>
      <c r="AA106" s="7">
        <f>SUMIFS('Tong_hop_HQNV_2026Q1_2026-06-23'!$L:$L,'Tong_hop_HQNV_2026Q1_2026-06-23'!$B:$B, "="&amp;'CHECK_DT-BT'!A106, 'Tong_hop_HQNV_2026Q1_2026-06-23'!$A:$A, "="&amp;$AA$2)</f>
        <v>0</v>
      </c>
      <c r="AB106" s="7">
        <f>SUMIFS('Tong_hop_HQNV_2026Q1_2026-06-23'!$L:$L,'Tong_hop_HQNV_2026Q1_2026-06-23'!$B:$B, "="&amp;'CHECK_DT-BT'!A106, 'Tong_hop_HQNV_2026Q1_2026-06-23'!$A:$A, "="&amp;$AB$2)</f>
        <v>0</v>
      </c>
      <c r="AC106" s="7">
        <f>SUMIFS('Tong_hop_HQNV_2026Q1_2026-06-23'!$L:$L,'Tong_hop_HQNV_2026Q1_2026-06-23'!$B:$B, "="&amp;'CHECK_DT-BT'!A106, 'Tong_hop_HQNV_2026Q1_2026-06-23'!$A:$A, "="&amp;$AC$2)</f>
        <v>0</v>
      </c>
      <c r="AD106" s="7">
        <f>SUMIFS('Tong_hop_HQNV_2026Q1_2026-06-23'!$L:$L,'Tong_hop_HQNV_2026Q1_2026-06-23'!$B:$B, "="&amp;'CHECK_DT-BT'!A106, 'Tong_hop_HQNV_2026Q1_2026-06-23'!$A:$A, "="&amp;$AD$2)</f>
        <v>0</v>
      </c>
      <c r="AE106" s="7">
        <f>SUMIFS('Tong_hop_HQNV_2026Q1_2026-06-23'!$L:$L,'Tong_hop_HQNV_2026Q1_2026-06-23'!$B:$B, "="&amp;'CHECK_DT-BT'!A106, 'Tong_hop_HQNV_2026Q1_2026-06-23'!$A:$A, "="&amp;$AE$2)</f>
        <v>0</v>
      </c>
      <c r="AF106" s="7">
        <f>SUMIFS('Tong_hop_HQNV_2026Q1_2026-06-23'!$L:$L,'Tong_hop_HQNV_2026Q1_2026-06-23'!$B:$B, "="&amp;'CHECK_DT-BT'!A106, 'Tong_hop_HQNV_2026Q1_2026-06-23'!$A:$A, "="&amp;$AF$2)</f>
        <v>0</v>
      </c>
      <c r="AG106" s="7">
        <f>SUMIFS('Tong_hop_HQNV_2026Q1_2026-06-23'!$L:$L,'Tong_hop_HQNV_2026Q1_2026-06-23'!$B:$B, "="&amp;'CHECK_DT-BT'!A106, 'Tong_hop_HQNV_2026Q1_2026-06-23'!$A:$A, "="&amp;$AG$2)</f>
        <v>0</v>
      </c>
      <c r="AH106" s="7">
        <f>SUMIFS('Tong_hop_HQNV_2026Q1_2026-06-23'!$L:$L,'Tong_hop_HQNV_2026Q1_2026-06-23'!$B:$B, "="&amp;'CHECK_DT-BT'!A106, 'Tong_hop_HQNV_2026Q1_2026-06-23'!$A:$A, "="&amp;$AH$2)</f>
        <v>0</v>
      </c>
      <c r="AI106" s="7">
        <f>SUMIFS('Tong_hop_HQNV_2026Q1_2026-06-23'!$L:$L,'Tong_hop_HQNV_2026Q1_2026-06-23'!$B:$B, "="&amp;'CHECK_DT-BT'!A106, 'Tong_hop_HQNV_2026Q1_2026-06-23'!$A:$A, "="&amp;$AI$2)</f>
        <v>0</v>
      </c>
      <c r="AJ106" s="7">
        <f t="shared" si="14"/>
        <v>0</v>
      </c>
      <c r="AK106" s="7">
        <f t="shared" si="15"/>
        <v>0</v>
      </c>
      <c r="AL106" s="7">
        <f>SUMIFS('HQ1'!$D:$D,'HQ1'!$A:$A, "="&amp;'CHECK_DT-BT'!C106, 'HQ1'!$B:$B, "Total")</f>
        <v>0</v>
      </c>
      <c r="AM106" s="7">
        <f>SUMIFS('HQ2'!$J:$J,'HQ2'!$A:$A, "="&amp;'CHECK_DT-BT'!C106, 'HQ2'!$B:$B, "Total")</f>
        <v>0</v>
      </c>
      <c r="AN106" s="24">
        <f t="shared" si="16"/>
        <v>0</v>
      </c>
      <c r="AO106" s="24">
        <f t="shared" si="17"/>
        <v>0</v>
      </c>
    </row>
    <row r="107" spans="1:41" x14ac:dyDescent="0.25">
      <c r="A107" s="9" t="s">
        <v>232</v>
      </c>
      <c r="B107" t="str">
        <f>VLOOKUP(A107,[1]Sheet1!$A$82:$B$94,2,FALSE)</f>
        <v>TSC-Ban BH Tài sản kỹ thuật</v>
      </c>
      <c r="C107" t="str">
        <f t="shared" si="26"/>
        <v>TSC-Ban BH Tài sản kỹ thuật</v>
      </c>
      <c r="D107" s="7">
        <f>SUMIFS('Tong_hop_HQNV_2026Q1_2026-06-23'!$K:$K,'Tong_hop_HQNV_2026Q1_2026-06-23'!$A:$A,"="&amp;'CHECK_DT-BT'!$D$2,'Tong_hop_HQNV_2026Q1_2026-06-23'!$B:$B, "="&amp;'CHECK_DT-BT'!A107)</f>
        <v>0</v>
      </c>
      <c r="E107" s="7">
        <f>SUMIFS('Tong_hop_HQNV_2026Q1_2026-06-23'!$K:$K,'Tong_hop_HQNV_2026Q1_2026-06-23'!$A:$A,"="&amp;'CHECK_DT-BT'!$E$2,'Tong_hop_HQNV_2026Q1_2026-06-23'!$B:$B, "="&amp;'CHECK_DT-BT'!A107)</f>
        <v>0</v>
      </c>
      <c r="F107" s="7">
        <f>SUMIFS('Tong_hop_HQNV_2026Q1_2026-06-23'!$K:$K,'Tong_hop_HQNV_2026Q1_2026-06-23'!$A:$A,"="&amp;'CHECK_DT-BT'!$F$2,'Tong_hop_HQNV_2026Q1_2026-06-23'!$B:$B, "="&amp;'CHECK_DT-BT'!A107)</f>
        <v>0</v>
      </c>
      <c r="G107" s="7">
        <f>SUMIFS('Tong_hop_HQNV_2026Q1_2026-06-23'!$K:$K,'Tong_hop_HQNV_2026Q1_2026-06-23'!$A:$A,"="&amp;'CHECK_DT-BT'!$G$2,'Tong_hop_HQNV_2026Q1_2026-06-23'!$B:$B, "="&amp;'CHECK_DT-BT'!A107)</f>
        <v>0</v>
      </c>
      <c r="H107" s="7">
        <f>SUMIFS('Tong_hop_HQNV_2026Q1_2026-06-23'!$K:$K,'Tong_hop_HQNV_2026Q1_2026-06-23'!$A:$A,"="&amp;$H$2,'Tong_hop_HQNV_2026Q1_2026-06-23'!$B:$B, "="&amp;'CHECK_DT-BT'!A107)</f>
        <v>0</v>
      </c>
      <c r="I107" s="7">
        <f>SUMIFS('Tong_hop_HQNV_2026Q1_2026-06-23'!$K:$K,'Tong_hop_HQNV_2026Q1_2026-06-23'!$A:$A,"="&amp;$I$2,'Tong_hop_HQNV_2026Q1_2026-06-23'!$B:$B, "="&amp;'CHECK_DT-BT'!A107)</f>
        <v>0</v>
      </c>
      <c r="J107" s="7">
        <f>SUMIFS('Tong_hop_HQNV_2026Q1_2026-06-23'!$K:$K,'Tong_hop_HQNV_2026Q1_2026-06-23'!$A:$A,"="&amp;$J$2,'Tong_hop_HQNV_2026Q1_2026-06-23'!$B:$B, "="&amp;'CHECK_DT-BT'!A107)</f>
        <v>0</v>
      </c>
      <c r="K107" s="7">
        <f>SUMIFS('Tong_hop_HQNV_2026Q1_2026-06-23'!$K:$K,'Tong_hop_HQNV_2026Q1_2026-06-23'!$A:$A,"="&amp;$K$2,'Tong_hop_HQNV_2026Q1_2026-06-23'!$B:$B, "="&amp;'CHECK_DT-BT'!A107)</f>
        <v>0</v>
      </c>
      <c r="L107" s="7">
        <f>SUMIFS('Tong_hop_HQNV_2026Q1_2026-06-23'!$K:$K,'Tong_hop_HQNV_2026Q1_2026-06-23'!$A:$A,"="&amp;$L$2,'Tong_hop_HQNV_2026Q1_2026-06-23'!$B:$B, "="&amp;'CHECK_DT-BT'!A107)</f>
        <v>-1007100926</v>
      </c>
      <c r="M107" s="7">
        <f>SUMIFS('Tong_hop_HQNV_2026Q1_2026-06-23'!$K:$K,'Tong_hop_HQNV_2026Q1_2026-06-23'!$A:$A,"="&amp;$M$2,'Tong_hop_HQNV_2026Q1_2026-06-23'!$B:$B, "="&amp;'CHECK_DT-BT'!A107)</f>
        <v>48336742126</v>
      </c>
      <c r="N107" s="7">
        <f>SUMIFS('Tong_hop_HQNV_2026Q1_2026-06-23'!$K:$K,'Tong_hop_HQNV_2026Q1_2026-06-23'!$A:$A,"="&amp;$N$2,'Tong_hop_HQNV_2026Q1_2026-06-23'!$B:$B, "="&amp;'CHECK_DT-BT'!A107)</f>
        <v>170712000</v>
      </c>
      <c r="O107" s="7">
        <f>SUMIFS('Tong_hop_HQNV_2026Q1_2026-06-23'!$K:$K,'Tong_hop_HQNV_2026Q1_2026-06-23'!$A:$A,"="&amp;$O$2,'Tong_hop_HQNV_2026Q1_2026-06-23'!$B:$B, "="&amp;'CHECK_DT-BT'!A107)</f>
        <v>0</v>
      </c>
      <c r="P107" s="7">
        <f>SUMIFS('Tong_hop_HQNV_2026Q1_2026-06-23'!$K:$K,'Tong_hop_HQNV_2026Q1_2026-06-23'!$A:$A,"="&amp;$P$2,'Tong_hop_HQNV_2026Q1_2026-06-23'!$B:$B, "="&amp;'CHECK_DT-BT'!A107)</f>
        <v>0</v>
      </c>
      <c r="Q107" s="7">
        <f t="shared" si="10"/>
        <v>0</v>
      </c>
      <c r="R107" s="7">
        <f t="shared" si="11"/>
        <v>47500353200</v>
      </c>
      <c r="S107" s="7">
        <f>SUMIFS('HQ1'!$C:$C,'HQ1'!$A:$A, "="&amp;'CHECK_DT-BT'!C107, 'HQ1'!$B:$B, "Total")</f>
        <v>0</v>
      </c>
      <c r="T107" s="7">
        <f>SUMIFS('HQ2'!$C:$C,'HQ2'!$A:$A, "="&amp;'CHECK_DT-BT'!C107, 'HQ2'!$B:$B, "Total")</f>
        <v>46095228250</v>
      </c>
      <c r="U107" s="7">
        <f t="shared" si="12"/>
        <v>0</v>
      </c>
      <c r="V107" s="7">
        <f t="shared" si="13"/>
        <v>1405124950</v>
      </c>
      <c r="W107" s="23">
        <f>SUMIFS('Tong_hop_HQNV_2026Q1_2026-06-23'!$L:$L,'Tong_hop_HQNV_2026Q1_2026-06-23'!$B:$B, "="&amp;'CHECK_DT-BT'!A107, 'Tong_hop_HQNV_2026Q1_2026-06-23'!$A:$A, "="&amp;'CHECK_DT-BT'!$W$2)</f>
        <v>0</v>
      </c>
      <c r="X107" s="7">
        <f>SUMIFS('Tong_hop_HQNV_2026Q1_2026-06-23'!$L:$L,'Tong_hop_HQNV_2026Q1_2026-06-23'!$B:$B, "="&amp;'CHECK_DT-BT'!A107, 'Tong_hop_HQNV_2026Q1_2026-06-23'!$A:$A, "="&amp;'CHECK_DT-BT'!$X$2)</f>
        <v>0</v>
      </c>
      <c r="Y107" s="7">
        <f>SUMIFS('Tong_hop_HQNV_2026Q1_2026-06-23'!$L:$L,'Tong_hop_HQNV_2026Q1_2026-06-23'!$B:$B, "="&amp;'CHECK_DT-BT'!A107, 'Tong_hop_HQNV_2026Q1_2026-06-23'!$A:$A, "="&amp;'CHECK_DT-BT'!$Y$2)</f>
        <v>0</v>
      </c>
      <c r="Z107" s="7">
        <f>SUMIFS('Tong_hop_HQNV_2026Q1_2026-06-23'!$L:$L,'Tong_hop_HQNV_2026Q1_2026-06-23'!$B:$B, "="&amp;'CHECK_DT-BT'!A107, 'Tong_hop_HQNV_2026Q1_2026-06-23'!$A:$A, "="&amp;'CHECK_DT-BT'!$Z$2)</f>
        <v>0</v>
      </c>
      <c r="AA107" s="7">
        <f>SUMIFS('Tong_hop_HQNV_2026Q1_2026-06-23'!$L:$L,'Tong_hop_HQNV_2026Q1_2026-06-23'!$B:$B, "="&amp;'CHECK_DT-BT'!A107, 'Tong_hop_HQNV_2026Q1_2026-06-23'!$A:$A, "="&amp;$AA$2)</f>
        <v>0</v>
      </c>
      <c r="AB107" s="7">
        <f>SUMIFS('Tong_hop_HQNV_2026Q1_2026-06-23'!$L:$L,'Tong_hop_HQNV_2026Q1_2026-06-23'!$B:$B, "="&amp;'CHECK_DT-BT'!A107, 'Tong_hop_HQNV_2026Q1_2026-06-23'!$A:$A, "="&amp;$AB$2)</f>
        <v>0</v>
      </c>
      <c r="AC107" s="7">
        <f>SUMIFS('Tong_hop_HQNV_2026Q1_2026-06-23'!$L:$L,'Tong_hop_HQNV_2026Q1_2026-06-23'!$B:$B, "="&amp;'CHECK_DT-BT'!A107, 'Tong_hop_HQNV_2026Q1_2026-06-23'!$A:$A, "="&amp;$AC$2)</f>
        <v>0</v>
      </c>
      <c r="AD107" s="7">
        <f>SUMIFS('Tong_hop_HQNV_2026Q1_2026-06-23'!$L:$L,'Tong_hop_HQNV_2026Q1_2026-06-23'!$B:$B, "="&amp;'CHECK_DT-BT'!A107, 'Tong_hop_HQNV_2026Q1_2026-06-23'!$A:$A, "="&amp;$AD$2)</f>
        <v>0</v>
      </c>
      <c r="AE107" s="7">
        <f>SUMIFS('Tong_hop_HQNV_2026Q1_2026-06-23'!$L:$L,'Tong_hop_HQNV_2026Q1_2026-06-23'!$B:$B, "="&amp;'CHECK_DT-BT'!A107, 'Tong_hop_HQNV_2026Q1_2026-06-23'!$A:$A, "="&amp;$AE$2)</f>
        <v>0</v>
      </c>
      <c r="AF107" s="7">
        <f>SUMIFS('Tong_hop_HQNV_2026Q1_2026-06-23'!$L:$L,'Tong_hop_HQNV_2026Q1_2026-06-23'!$B:$B, "="&amp;'CHECK_DT-BT'!A107, 'Tong_hop_HQNV_2026Q1_2026-06-23'!$A:$A, "="&amp;$AF$2)</f>
        <v>0</v>
      </c>
      <c r="AG107" s="7">
        <f>SUMIFS('Tong_hop_HQNV_2026Q1_2026-06-23'!$L:$L,'Tong_hop_HQNV_2026Q1_2026-06-23'!$B:$B, "="&amp;'CHECK_DT-BT'!A107, 'Tong_hop_HQNV_2026Q1_2026-06-23'!$A:$A, "="&amp;$AG$2)</f>
        <v>0</v>
      </c>
      <c r="AH107" s="7">
        <f>SUMIFS('Tong_hop_HQNV_2026Q1_2026-06-23'!$L:$L,'Tong_hop_HQNV_2026Q1_2026-06-23'!$B:$B, "="&amp;'CHECK_DT-BT'!A107, 'Tong_hop_HQNV_2026Q1_2026-06-23'!$A:$A, "="&amp;$AH$2)</f>
        <v>0</v>
      </c>
      <c r="AI107" s="7">
        <f>SUMIFS('Tong_hop_HQNV_2026Q1_2026-06-23'!$L:$L,'Tong_hop_HQNV_2026Q1_2026-06-23'!$B:$B, "="&amp;'CHECK_DT-BT'!A107, 'Tong_hop_HQNV_2026Q1_2026-06-23'!$A:$A, "="&amp;$AI$2)</f>
        <v>0</v>
      </c>
      <c r="AJ107" s="7">
        <f t="shared" si="14"/>
        <v>0</v>
      </c>
      <c r="AK107" s="7">
        <f t="shared" si="15"/>
        <v>0</v>
      </c>
      <c r="AL107" s="7">
        <f>SUMIFS('HQ1'!$D:$D,'HQ1'!$A:$A, "="&amp;'CHECK_DT-BT'!C107, 'HQ1'!$B:$B, "Total")</f>
        <v>0</v>
      </c>
      <c r="AM107" s="7">
        <f>SUMIFS('HQ2'!$J:$J,'HQ2'!$A:$A, "="&amp;'CHECK_DT-BT'!C107, 'HQ2'!$B:$B, "Total")</f>
        <v>0</v>
      </c>
      <c r="AN107" s="24">
        <f t="shared" si="16"/>
        <v>0</v>
      </c>
      <c r="AO107" s="24">
        <f t="shared" si="17"/>
        <v>0</v>
      </c>
    </row>
    <row r="108" spans="1:41" x14ac:dyDescent="0.25">
      <c r="A108" s="10" t="s">
        <v>235</v>
      </c>
      <c r="B108" s="8" t="s">
        <v>240</v>
      </c>
      <c r="C108" s="8" t="str">
        <f t="shared" si="26"/>
        <v>TSC-Ban Giải quyết quyền lợi bảo hiểm</v>
      </c>
      <c r="D108" s="7">
        <f>SUMIFS('Tong_hop_HQNV_2026Q1_2026-06-23'!$K:$K,'Tong_hop_HQNV_2026Q1_2026-06-23'!$A:$A,"="&amp;'CHECK_DT-BT'!$D$2,'Tong_hop_HQNV_2026Q1_2026-06-23'!$B:$B, "="&amp;'CHECK_DT-BT'!A108)</f>
        <v>0</v>
      </c>
      <c r="E108" s="7">
        <f>SUMIFS('Tong_hop_HQNV_2026Q1_2026-06-23'!$K:$K,'Tong_hop_HQNV_2026Q1_2026-06-23'!$A:$A,"="&amp;'CHECK_DT-BT'!$E$2,'Tong_hop_HQNV_2026Q1_2026-06-23'!$B:$B, "="&amp;'CHECK_DT-BT'!A108)</f>
        <v>0</v>
      </c>
      <c r="F108" s="7">
        <f>SUMIFS('Tong_hop_HQNV_2026Q1_2026-06-23'!$K:$K,'Tong_hop_HQNV_2026Q1_2026-06-23'!$A:$A,"="&amp;'CHECK_DT-BT'!$F$2,'Tong_hop_HQNV_2026Q1_2026-06-23'!$B:$B, "="&amp;'CHECK_DT-BT'!A108)</f>
        <v>0</v>
      </c>
      <c r="G108" s="7">
        <f>SUMIFS('Tong_hop_HQNV_2026Q1_2026-06-23'!$K:$K,'Tong_hop_HQNV_2026Q1_2026-06-23'!$A:$A,"="&amp;'CHECK_DT-BT'!$G$2,'Tong_hop_HQNV_2026Q1_2026-06-23'!$B:$B, "="&amp;'CHECK_DT-BT'!A108)</f>
        <v>0</v>
      </c>
      <c r="H108" s="7">
        <f>SUMIFS('Tong_hop_HQNV_2026Q1_2026-06-23'!$K:$K,'Tong_hop_HQNV_2026Q1_2026-06-23'!$A:$A,"="&amp;$H$2,'Tong_hop_HQNV_2026Q1_2026-06-23'!$B:$B, "="&amp;'CHECK_DT-BT'!A108)</f>
        <v>0</v>
      </c>
      <c r="I108" s="7">
        <f>SUMIFS('Tong_hop_HQNV_2026Q1_2026-06-23'!$K:$K,'Tong_hop_HQNV_2026Q1_2026-06-23'!$A:$A,"="&amp;$I$2,'Tong_hop_HQNV_2026Q1_2026-06-23'!$B:$B, "="&amp;'CHECK_DT-BT'!A108)</f>
        <v>0</v>
      </c>
      <c r="J108" s="7">
        <f>SUMIFS('Tong_hop_HQNV_2026Q1_2026-06-23'!$K:$K,'Tong_hop_HQNV_2026Q1_2026-06-23'!$A:$A,"="&amp;$J$2,'Tong_hop_HQNV_2026Q1_2026-06-23'!$B:$B, "="&amp;'CHECK_DT-BT'!A108)</f>
        <v>0</v>
      </c>
      <c r="K108" s="7">
        <f>SUMIFS('Tong_hop_HQNV_2026Q1_2026-06-23'!$K:$K,'Tong_hop_HQNV_2026Q1_2026-06-23'!$A:$A,"="&amp;$K$2,'Tong_hop_HQNV_2026Q1_2026-06-23'!$B:$B, "="&amp;'CHECK_DT-BT'!A108)</f>
        <v>0</v>
      </c>
      <c r="L108" s="7">
        <f>SUMIFS('Tong_hop_HQNV_2026Q1_2026-06-23'!$K:$K,'Tong_hop_HQNV_2026Q1_2026-06-23'!$A:$A,"="&amp;$L$2,'Tong_hop_HQNV_2026Q1_2026-06-23'!$B:$B, "="&amp;'CHECK_DT-BT'!A108)</f>
        <v>0</v>
      </c>
      <c r="M108" s="7">
        <f>SUMIFS('Tong_hop_HQNV_2026Q1_2026-06-23'!$K:$K,'Tong_hop_HQNV_2026Q1_2026-06-23'!$A:$A,"="&amp;$M$2,'Tong_hop_HQNV_2026Q1_2026-06-23'!$B:$B, "="&amp;'CHECK_DT-BT'!A108)</f>
        <v>0</v>
      </c>
      <c r="N108" s="7">
        <f>SUMIFS('Tong_hop_HQNV_2026Q1_2026-06-23'!$K:$K,'Tong_hop_HQNV_2026Q1_2026-06-23'!$A:$A,"="&amp;$N$2,'Tong_hop_HQNV_2026Q1_2026-06-23'!$B:$B, "="&amp;'CHECK_DT-BT'!A108)</f>
        <v>0</v>
      </c>
      <c r="O108" s="7">
        <f>SUMIFS('Tong_hop_HQNV_2026Q1_2026-06-23'!$K:$K,'Tong_hop_HQNV_2026Q1_2026-06-23'!$A:$A,"="&amp;$O$2,'Tong_hop_HQNV_2026Q1_2026-06-23'!$B:$B, "="&amp;'CHECK_DT-BT'!A108)</f>
        <v>0</v>
      </c>
      <c r="P108" s="7">
        <f>SUMIFS('Tong_hop_HQNV_2026Q1_2026-06-23'!$K:$K,'Tong_hop_HQNV_2026Q1_2026-06-23'!$A:$A,"="&amp;$P$2,'Tong_hop_HQNV_2026Q1_2026-06-23'!$B:$B, "="&amp;'CHECK_DT-BT'!A108)</f>
        <v>0</v>
      </c>
      <c r="Q108" s="7">
        <f t="shared" si="10"/>
        <v>0</v>
      </c>
      <c r="R108" s="7">
        <f t="shared" si="11"/>
        <v>0</v>
      </c>
      <c r="S108" s="7">
        <f>SUMIFS('HQ1'!$C:$C,'HQ1'!$A:$A, "="&amp;'CHECK_DT-BT'!C108, 'HQ1'!$B:$B, "Total")</f>
        <v>0</v>
      </c>
      <c r="T108" s="7">
        <f>SUMIFS('HQ2'!$C:$C,'HQ2'!$A:$A, "="&amp;'CHECK_DT-BT'!C108, 'HQ2'!$B:$B, "Total")</f>
        <v>0</v>
      </c>
      <c r="U108" s="7">
        <f t="shared" si="12"/>
        <v>0</v>
      </c>
      <c r="V108" s="7">
        <f t="shared" si="13"/>
        <v>0</v>
      </c>
      <c r="W108" s="23">
        <f>SUMIFS('Tong_hop_HQNV_2026Q1_2026-06-23'!$L:$L,'Tong_hop_HQNV_2026Q1_2026-06-23'!$B:$B, "="&amp;'CHECK_DT-BT'!A108, 'Tong_hop_HQNV_2026Q1_2026-06-23'!$A:$A, "="&amp;'CHECK_DT-BT'!$W$2)</f>
        <v>0</v>
      </c>
      <c r="X108" s="7">
        <f>SUMIFS('Tong_hop_HQNV_2026Q1_2026-06-23'!$L:$L,'Tong_hop_HQNV_2026Q1_2026-06-23'!$B:$B, "="&amp;'CHECK_DT-BT'!A108, 'Tong_hop_HQNV_2026Q1_2026-06-23'!$A:$A, "="&amp;'CHECK_DT-BT'!$X$2)</f>
        <v>0</v>
      </c>
      <c r="Y108" s="7">
        <f>SUMIFS('Tong_hop_HQNV_2026Q1_2026-06-23'!$L:$L,'Tong_hop_HQNV_2026Q1_2026-06-23'!$B:$B, "="&amp;'CHECK_DT-BT'!A108, 'Tong_hop_HQNV_2026Q1_2026-06-23'!$A:$A, "="&amp;'CHECK_DT-BT'!$Y$2)</f>
        <v>0</v>
      </c>
      <c r="Z108" s="7">
        <f>SUMIFS('Tong_hop_HQNV_2026Q1_2026-06-23'!$L:$L,'Tong_hop_HQNV_2026Q1_2026-06-23'!$B:$B, "="&amp;'CHECK_DT-BT'!A108, 'Tong_hop_HQNV_2026Q1_2026-06-23'!$A:$A, "="&amp;'CHECK_DT-BT'!$Z$2)</f>
        <v>91857589</v>
      </c>
      <c r="AA108" s="7">
        <f>SUMIFS('Tong_hop_HQNV_2026Q1_2026-06-23'!$L:$L,'Tong_hop_HQNV_2026Q1_2026-06-23'!$B:$B, "="&amp;'CHECK_DT-BT'!A108, 'Tong_hop_HQNV_2026Q1_2026-06-23'!$A:$A, "="&amp;$AA$2)</f>
        <v>0</v>
      </c>
      <c r="AB108" s="7">
        <f>SUMIFS('Tong_hop_HQNV_2026Q1_2026-06-23'!$L:$L,'Tong_hop_HQNV_2026Q1_2026-06-23'!$B:$B, "="&amp;'CHECK_DT-BT'!A108, 'Tong_hop_HQNV_2026Q1_2026-06-23'!$A:$A, "="&amp;$AB$2)</f>
        <v>0</v>
      </c>
      <c r="AC108" s="7">
        <f>SUMIFS('Tong_hop_HQNV_2026Q1_2026-06-23'!$L:$L,'Tong_hop_HQNV_2026Q1_2026-06-23'!$B:$B, "="&amp;'CHECK_DT-BT'!A108, 'Tong_hop_HQNV_2026Q1_2026-06-23'!$A:$A, "="&amp;$AC$2)</f>
        <v>0</v>
      </c>
      <c r="AD108" s="7">
        <f>SUMIFS('Tong_hop_HQNV_2026Q1_2026-06-23'!$L:$L,'Tong_hop_HQNV_2026Q1_2026-06-23'!$B:$B, "="&amp;'CHECK_DT-BT'!A108, 'Tong_hop_HQNV_2026Q1_2026-06-23'!$A:$A, "="&amp;$AD$2)</f>
        <v>0</v>
      </c>
      <c r="AE108" s="7">
        <f>SUMIFS('Tong_hop_HQNV_2026Q1_2026-06-23'!$L:$L,'Tong_hop_HQNV_2026Q1_2026-06-23'!$B:$B, "="&amp;'CHECK_DT-BT'!A108, 'Tong_hop_HQNV_2026Q1_2026-06-23'!$A:$A, "="&amp;$AE$2)</f>
        <v>0</v>
      </c>
      <c r="AF108" s="7">
        <f>SUMIFS('Tong_hop_HQNV_2026Q1_2026-06-23'!$L:$L,'Tong_hop_HQNV_2026Q1_2026-06-23'!$B:$B, "="&amp;'CHECK_DT-BT'!A108, 'Tong_hop_HQNV_2026Q1_2026-06-23'!$A:$A, "="&amp;$AF$2)</f>
        <v>0</v>
      </c>
      <c r="AG108" s="7">
        <f>SUMIFS('Tong_hop_HQNV_2026Q1_2026-06-23'!$L:$L,'Tong_hop_HQNV_2026Q1_2026-06-23'!$B:$B, "="&amp;'CHECK_DT-BT'!A108, 'Tong_hop_HQNV_2026Q1_2026-06-23'!$A:$A, "="&amp;$AG$2)</f>
        <v>0</v>
      </c>
      <c r="AH108" s="7">
        <f>SUMIFS('Tong_hop_HQNV_2026Q1_2026-06-23'!$L:$L,'Tong_hop_HQNV_2026Q1_2026-06-23'!$B:$B, "="&amp;'CHECK_DT-BT'!A108, 'Tong_hop_HQNV_2026Q1_2026-06-23'!$A:$A, "="&amp;$AH$2)</f>
        <v>0</v>
      </c>
      <c r="AI108" s="7">
        <f>SUMIFS('Tong_hop_HQNV_2026Q1_2026-06-23'!$L:$L,'Tong_hop_HQNV_2026Q1_2026-06-23'!$B:$B, "="&amp;'CHECK_DT-BT'!A108, 'Tong_hop_HQNV_2026Q1_2026-06-23'!$A:$A, "="&amp;$AI$2)</f>
        <v>0</v>
      </c>
      <c r="AJ108" s="7">
        <f t="shared" si="14"/>
        <v>91857589</v>
      </c>
      <c r="AK108" s="7">
        <f t="shared" si="15"/>
        <v>0</v>
      </c>
      <c r="AL108" s="7">
        <f>SUMIFS('HQ1'!$D:$D,'HQ1'!$A:$A, "="&amp;'CHECK_DT-BT'!C108, 'HQ1'!$B:$B, "Total")</f>
        <v>0</v>
      </c>
      <c r="AM108" s="7">
        <f>SUMIFS('HQ2'!$J:$J,'HQ2'!$A:$A, "="&amp;'CHECK_DT-BT'!C108, 'HQ2'!$B:$B, "Total")</f>
        <v>0</v>
      </c>
      <c r="AN108" s="24">
        <f t="shared" si="16"/>
        <v>91857589</v>
      </c>
      <c r="AO108" s="24">
        <f t="shared" si="17"/>
        <v>0</v>
      </c>
    </row>
    <row r="109" spans="1:41" x14ac:dyDescent="0.25">
      <c r="A109" s="9" t="s">
        <v>224</v>
      </c>
      <c r="B109" t="str">
        <f>VLOOKUP(A109,[1]Sheet1!$A$82:$B$94,2,FALSE)</f>
        <v>TSC-Ban KDBH Phi hàng hải TSC</v>
      </c>
      <c r="C109" s="13" t="str">
        <f t="shared" si="26"/>
        <v>TSC-Ban KDBH Phi hàng hải TSC</v>
      </c>
      <c r="D109" s="7">
        <f>SUMIFS('Tong_hop_HQNV_2026Q1_2026-06-23'!$K:$K,'Tong_hop_HQNV_2026Q1_2026-06-23'!$A:$A,"="&amp;'CHECK_DT-BT'!$D$2,'Tong_hop_HQNV_2026Q1_2026-06-23'!$B:$B, "="&amp;'CHECK_DT-BT'!A109)</f>
        <v>0</v>
      </c>
      <c r="E109" s="7">
        <f>SUMIFS('Tong_hop_HQNV_2026Q1_2026-06-23'!$K:$K,'Tong_hop_HQNV_2026Q1_2026-06-23'!$A:$A,"="&amp;'CHECK_DT-BT'!$E$2,'Tong_hop_HQNV_2026Q1_2026-06-23'!$B:$B, "="&amp;'CHECK_DT-BT'!A109)</f>
        <v>0</v>
      </c>
      <c r="F109" s="7">
        <f>SUMIFS('Tong_hop_HQNV_2026Q1_2026-06-23'!$K:$K,'Tong_hop_HQNV_2026Q1_2026-06-23'!$A:$A,"="&amp;'CHECK_DT-BT'!$F$2,'Tong_hop_HQNV_2026Q1_2026-06-23'!$B:$B, "="&amp;'CHECK_DT-BT'!A109)</f>
        <v>0</v>
      </c>
      <c r="G109" s="7">
        <f>SUMIFS('Tong_hop_HQNV_2026Q1_2026-06-23'!$K:$K,'Tong_hop_HQNV_2026Q1_2026-06-23'!$A:$A,"="&amp;'CHECK_DT-BT'!$G$2,'Tong_hop_HQNV_2026Q1_2026-06-23'!$B:$B, "="&amp;'CHECK_DT-BT'!A109)</f>
        <v>0</v>
      </c>
      <c r="H109" s="7">
        <f>SUMIFS('Tong_hop_HQNV_2026Q1_2026-06-23'!$K:$K,'Tong_hop_HQNV_2026Q1_2026-06-23'!$A:$A,"="&amp;$H$2,'Tong_hop_HQNV_2026Q1_2026-06-23'!$B:$B, "="&amp;'CHECK_DT-BT'!A109)</f>
        <v>0</v>
      </c>
      <c r="I109" s="7">
        <f>SUMIFS('Tong_hop_HQNV_2026Q1_2026-06-23'!$K:$K,'Tong_hop_HQNV_2026Q1_2026-06-23'!$A:$A,"="&amp;$I$2,'Tong_hop_HQNV_2026Q1_2026-06-23'!$B:$B, "="&amp;'CHECK_DT-BT'!A109)</f>
        <v>0</v>
      </c>
      <c r="J109" s="7">
        <f>SUMIFS('Tong_hop_HQNV_2026Q1_2026-06-23'!$K:$K,'Tong_hop_HQNV_2026Q1_2026-06-23'!$A:$A,"="&amp;$J$2,'Tong_hop_HQNV_2026Q1_2026-06-23'!$B:$B, "="&amp;'CHECK_DT-BT'!A109)</f>
        <v>0</v>
      </c>
      <c r="K109" s="7">
        <f>SUMIFS('Tong_hop_HQNV_2026Q1_2026-06-23'!$K:$K,'Tong_hop_HQNV_2026Q1_2026-06-23'!$A:$A,"="&amp;$K$2,'Tong_hop_HQNV_2026Q1_2026-06-23'!$B:$B, "="&amp;'CHECK_DT-BT'!A109)</f>
        <v>0</v>
      </c>
      <c r="L109" s="7">
        <f>SUMIFS('Tong_hop_HQNV_2026Q1_2026-06-23'!$K:$K,'Tong_hop_HQNV_2026Q1_2026-06-23'!$A:$A,"="&amp;$L$2,'Tong_hop_HQNV_2026Q1_2026-06-23'!$B:$B, "="&amp;'CHECK_DT-BT'!A109)</f>
        <v>0</v>
      </c>
      <c r="M109" s="7">
        <f>SUMIFS('Tong_hop_HQNV_2026Q1_2026-06-23'!$K:$K,'Tong_hop_HQNV_2026Q1_2026-06-23'!$A:$A,"="&amp;$M$2,'Tong_hop_HQNV_2026Q1_2026-06-23'!$B:$B, "="&amp;'CHECK_DT-BT'!A109)</f>
        <v>0</v>
      </c>
      <c r="N109" s="7">
        <f>SUMIFS('Tong_hop_HQNV_2026Q1_2026-06-23'!$K:$K,'Tong_hop_HQNV_2026Q1_2026-06-23'!$A:$A,"="&amp;$N$2,'Tong_hop_HQNV_2026Q1_2026-06-23'!$B:$B, "="&amp;'CHECK_DT-BT'!A109)</f>
        <v>0</v>
      </c>
      <c r="O109" s="7">
        <f>SUMIFS('Tong_hop_HQNV_2026Q1_2026-06-23'!$K:$K,'Tong_hop_HQNV_2026Q1_2026-06-23'!$A:$A,"="&amp;$O$2,'Tong_hop_HQNV_2026Q1_2026-06-23'!$B:$B, "="&amp;'CHECK_DT-BT'!A109)</f>
        <v>0</v>
      </c>
      <c r="P109" s="7">
        <f>SUMIFS('Tong_hop_HQNV_2026Q1_2026-06-23'!$K:$K,'Tong_hop_HQNV_2026Q1_2026-06-23'!$A:$A,"="&amp;$P$2,'Tong_hop_HQNV_2026Q1_2026-06-23'!$B:$B, "="&amp;'CHECK_DT-BT'!A109)</f>
        <v>0</v>
      </c>
      <c r="Q109" s="7">
        <f t="shared" si="10"/>
        <v>0</v>
      </c>
      <c r="R109" s="7">
        <f t="shared" si="11"/>
        <v>0</v>
      </c>
      <c r="S109" s="7">
        <f>SUMIFS('HQ1'!$C:$C,'HQ1'!$A:$A, "="&amp;'CHECK_DT-BT'!C109, 'HQ1'!$B:$B, "Total")</f>
        <v>168738067865</v>
      </c>
      <c r="T109" s="7">
        <f>SUMIFS('HQ2'!$C:$C,'HQ2'!$A:$A, "="&amp;'CHECK_DT-BT'!C109, 'HQ2'!$B:$B, "Total")</f>
        <v>275213730</v>
      </c>
      <c r="U109" s="7">
        <f t="shared" si="12"/>
        <v>-168738067865</v>
      </c>
      <c r="V109" s="7">
        <f t="shared" si="13"/>
        <v>-275213730</v>
      </c>
      <c r="W109" s="23">
        <f>SUMIFS('Tong_hop_HQNV_2026Q1_2026-06-23'!$L:$L,'Tong_hop_HQNV_2026Q1_2026-06-23'!$B:$B, "="&amp;'CHECK_DT-BT'!A109, 'Tong_hop_HQNV_2026Q1_2026-06-23'!$A:$A, "="&amp;'CHECK_DT-BT'!$W$2)</f>
        <v>0</v>
      </c>
      <c r="X109" s="7">
        <f>SUMIFS('Tong_hop_HQNV_2026Q1_2026-06-23'!$L:$L,'Tong_hop_HQNV_2026Q1_2026-06-23'!$B:$B, "="&amp;'CHECK_DT-BT'!A109, 'Tong_hop_HQNV_2026Q1_2026-06-23'!$A:$A, "="&amp;'CHECK_DT-BT'!$X$2)</f>
        <v>0</v>
      </c>
      <c r="Y109" s="7">
        <f>SUMIFS('Tong_hop_HQNV_2026Q1_2026-06-23'!$L:$L,'Tong_hop_HQNV_2026Q1_2026-06-23'!$B:$B, "="&amp;'CHECK_DT-BT'!A109, 'Tong_hop_HQNV_2026Q1_2026-06-23'!$A:$A, "="&amp;'CHECK_DT-BT'!$Y$2)</f>
        <v>0</v>
      </c>
      <c r="Z109" s="7">
        <f>SUMIFS('Tong_hop_HQNV_2026Q1_2026-06-23'!$L:$L,'Tong_hop_HQNV_2026Q1_2026-06-23'!$B:$B, "="&amp;'CHECK_DT-BT'!A109, 'Tong_hop_HQNV_2026Q1_2026-06-23'!$A:$A, "="&amp;'CHECK_DT-BT'!$Z$2)</f>
        <v>0</v>
      </c>
      <c r="AA109" s="7">
        <f>SUMIFS('Tong_hop_HQNV_2026Q1_2026-06-23'!$L:$L,'Tong_hop_HQNV_2026Q1_2026-06-23'!$B:$B, "="&amp;'CHECK_DT-BT'!A109, 'Tong_hop_HQNV_2026Q1_2026-06-23'!$A:$A, "="&amp;$AA$2)</f>
        <v>0</v>
      </c>
      <c r="AB109" s="7">
        <f>SUMIFS('Tong_hop_HQNV_2026Q1_2026-06-23'!$L:$L,'Tong_hop_HQNV_2026Q1_2026-06-23'!$B:$B, "="&amp;'CHECK_DT-BT'!A109, 'Tong_hop_HQNV_2026Q1_2026-06-23'!$A:$A, "="&amp;$AB$2)</f>
        <v>0</v>
      </c>
      <c r="AC109" s="7">
        <f>SUMIFS('Tong_hop_HQNV_2026Q1_2026-06-23'!$L:$L,'Tong_hop_HQNV_2026Q1_2026-06-23'!$B:$B, "="&amp;'CHECK_DT-BT'!A109, 'Tong_hop_HQNV_2026Q1_2026-06-23'!$A:$A, "="&amp;$AC$2)</f>
        <v>0</v>
      </c>
      <c r="AD109" s="7">
        <f>SUMIFS('Tong_hop_HQNV_2026Q1_2026-06-23'!$L:$L,'Tong_hop_HQNV_2026Q1_2026-06-23'!$B:$B, "="&amp;'CHECK_DT-BT'!A109, 'Tong_hop_HQNV_2026Q1_2026-06-23'!$A:$A, "="&amp;$AD$2)</f>
        <v>0</v>
      </c>
      <c r="AE109" s="7">
        <f>SUMIFS('Tong_hop_HQNV_2026Q1_2026-06-23'!$L:$L,'Tong_hop_HQNV_2026Q1_2026-06-23'!$B:$B, "="&amp;'CHECK_DT-BT'!A109, 'Tong_hop_HQNV_2026Q1_2026-06-23'!$A:$A, "="&amp;$AE$2)</f>
        <v>0</v>
      </c>
      <c r="AF109" s="7">
        <f>SUMIFS('Tong_hop_HQNV_2026Q1_2026-06-23'!$L:$L,'Tong_hop_HQNV_2026Q1_2026-06-23'!$B:$B, "="&amp;'CHECK_DT-BT'!A109, 'Tong_hop_HQNV_2026Q1_2026-06-23'!$A:$A, "="&amp;$AF$2)</f>
        <v>0</v>
      </c>
      <c r="AG109" s="7">
        <f>SUMIFS('Tong_hop_HQNV_2026Q1_2026-06-23'!$L:$L,'Tong_hop_HQNV_2026Q1_2026-06-23'!$B:$B, "="&amp;'CHECK_DT-BT'!A109, 'Tong_hop_HQNV_2026Q1_2026-06-23'!$A:$A, "="&amp;$AG$2)</f>
        <v>0</v>
      </c>
      <c r="AH109" s="7">
        <f>SUMIFS('Tong_hop_HQNV_2026Q1_2026-06-23'!$L:$L,'Tong_hop_HQNV_2026Q1_2026-06-23'!$B:$B, "="&amp;'CHECK_DT-BT'!A109, 'Tong_hop_HQNV_2026Q1_2026-06-23'!$A:$A, "="&amp;$AH$2)</f>
        <v>0</v>
      </c>
      <c r="AI109" s="7">
        <f>SUMIFS('Tong_hop_HQNV_2026Q1_2026-06-23'!$L:$L,'Tong_hop_HQNV_2026Q1_2026-06-23'!$B:$B, "="&amp;'CHECK_DT-BT'!A109, 'Tong_hop_HQNV_2026Q1_2026-06-23'!$A:$A, "="&amp;$AI$2)</f>
        <v>0</v>
      </c>
      <c r="AJ109" s="7">
        <f t="shared" si="14"/>
        <v>0</v>
      </c>
      <c r="AK109" s="7">
        <f t="shared" si="15"/>
        <v>0</v>
      </c>
      <c r="AL109" s="7">
        <f>SUMIFS('HQ1'!$D:$D,'HQ1'!$A:$A, "="&amp;'CHECK_DT-BT'!C109, 'HQ1'!$B:$B, "Total")</f>
        <v>78126403322</v>
      </c>
      <c r="AM109" s="7">
        <f>SUMIFS('HQ2'!$J:$J,'HQ2'!$A:$A, "="&amp;'CHECK_DT-BT'!C109, 'HQ2'!$B:$B, "Total")</f>
        <v>0</v>
      </c>
      <c r="AN109" s="24">
        <f t="shared" si="16"/>
        <v>-78126403322</v>
      </c>
      <c r="AO109" s="24">
        <f t="shared" si="17"/>
        <v>0</v>
      </c>
    </row>
    <row r="110" spans="1:41" x14ac:dyDescent="0.25">
      <c r="A110" s="9" t="s">
        <v>225</v>
      </c>
      <c r="B110" t="str">
        <f>VLOOKUP(A110,[1]Sheet1!$A$82:$B$94,2,FALSE)</f>
        <v>TSC-Ban Kinh doanh Phi hàng hải - Phòng Allianz</v>
      </c>
      <c r="C110" s="13" t="str">
        <f t="shared" si="26"/>
        <v>TSC-Ban Kinh doanh Phi hàng hải - Phòng Allianz</v>
      </c>
      <c r="D110" s="7">
        <f>SUMIFS('Tong_hop_HQNV_2026Q1_2026-06-23'!$K:$K,'Tong_hop_HQNV_2026Q1_2026-06-23'!$A:$A,"="&amp;'CHECK_DT-BT'!$D$2,'Tong_hop_HQNV_2026Q1_2026-06-23'!$B:$B, "="&amp;'CHECK_DT-BT'!A110)</f>
        <v>0</v>
      </c>
      <c r="E110" s="7">
        <f>SUMIFS('Tong_hop_HQNV_2026Q1_2026-06-23'!$K:$K,'Tong_hop_HQNV_2026Q1_2026-06-23'!$A:$A,"="&amp;'CHECK_DT-BT'!$E$2,'Tong_hop_HQNV_2026Q1_2026-06-23'!$B:$B, "="&amp;'CHECK_DT-BT'!A110)</f>
        <v>0</v>
      </c>
      <c r="F110" s="7">
        <f>SUMIFS('Tong_hop_HQNV_2026Q1_2026-06-23'!$K:$K,'Tong_hop_HQNV_2026Q1_2026-06-23'!$A:$A,"="&amp;'CHECK_DT-BT'!$F$2,'Tong_hop_HQNV_2026Q1_2026-06-23'!$B:$B, "="&amp;'CHECK_DT-BT'!A110)</f>
        <v>0</v>
      </c>
      <c r="G110" s="7">
        <f>SUMIFS('Tong_hop_HQNV_2026Q1_2026-06-23'!$K:$K,'Tong_hop_HQNV_2026Q1_2026-06-23'!$A:$A,"="&amp;'CHECK_DT-BT'!$G$2,'Tong_hop_HQNV_2026Q1_2026-06-23'!$B:$B, "="&amp;'CHECK_DT-BT'!A110)</f>
        <v>83568545350</v>
      </c>
      <c r="H110" s="7">
        <f>SUMIFS('Tong_hop_HQNV_2026Q1_2026-06-23'!$K:$K,'Tong_hop_HQNV_2026Q1_2026-06-23'!$A:$A,"="&amp;$H$2,'Tong_hop_HQNV_2026Q1_2026-06-23'!$B:$B, "="&amp;'CHECK_DT-BT'!A110)</f>
        <v>0</v>
      </c>
      <c r="I110" s="7">
        <f>SUMIFS('Tong_hop_HQNV_2026Q1_2026-06-23'!$K:$K,'Tong_hop_HQNV_2026Q1_2026-06-23'!$A:$A,"="&amp;$I$2,'Tong_hop_HQNV_2026Q1_2026-06-23'!$B:$B, "="&amp;'CHECK_DT-BT'!A110)</f>
        <v>0</v>
      </c>
      <c r="J110" s="7">
        <f>SUMIFS('Tong_hop_HQNV_2026Q1_2026-06-23'!$K:$K,'Tong_hop_HQNV_2026Q1_2026-06-23'!$A:$A,"="&amp;$J$2,'Tong_hop_HQNV_2026Q1_2026-06-23'!$B:$B, "="&amp;'CHECK_DT-BT'!A110)</f>
        <v>0</v>
      </c>
      <c r="K110" s="7">
        <f>SUMIFS('Tong_hop_HQNV_2026Q1_2026-06-23'!$K:$K,'Tong_hop_HQNV_2026Q1_2026-06-23'!$A:$A,"="&amp;$K$2,'Tong_hop_HQNV_2026Q1_2026-06-23'!$B:$B, "="&amp;'CHECK_DT-BT'!A110)</f>
        <v>0</v>
      </c>
      <c r="L110" s="7">
        <f>SUMIFS('Tong_hop_HQNV_2026Q1_2026-06-23'!$K:$K,'Tong_hop_HQNV_2026Q1_2026-06-23'!$A:$A,"="&amp;$L$2,'Tong_hop_HQNV_2026Q1_2026-06-23'!$B:$B, "="&amp;'CHECK_DT-BT'!A110)</f>
        <v>0</v>
      </c>
      <c r="M110" s="7">
        <f>SUMIFS('Tong_hop_HQNV_2026Q1_2026-06-23'!$K:$K,'Tong_hop_HQNV_2026Q1_2026-06-23'!$A:$A,"="&amp;$M$2,'Tong_hop_HQNV_2026Q1_2026-06-23'!$B:$B, "="&amp;'CHECK_DT-BT'!A110)</f>
        <v>0</v>
      </c>
      <c r="N110" s="7">
        <f>SUMIFS('Tong_hop_HQNV_2026Q1_2026-06-23'!$K:$K,'Tong_hop_HQNV_2026Q1_2026-06-23'!$A:$A,"="&amp;$N$2,'Tong_hop_HQNV_2026Q1_2026-06-23'!$B:$B, "="&amp;'CHECK_DT-BT'!A110)</f>
        <v>0</v>
      </c>
      <c r="O110" s="7">
        <f>SUMIFS('Tong_hop_HQNV_2026Q1_2026-06-23'!$K:$K,'Tong_hop_HQNV_2026Q1_2026-06-23'!$A:$A,"="&amp;$O$2,'Tong_hop_HQNV_2026Q1_2026-06-23'!$B:$B, "="&amp;'CHECK_DT-BT'!A110)</f>
        <v>0</v>
      </c>
      <c r="P110" s="7">
        <f>SUMIFS('Tong_hop_HQNV_2026Q1_2026-06-23'!$K:$K,'Tong_hop_HQNV_2026Q1_2026-06-23'!$A:$A,"="&amp;$P$2,'Tong_hop_HQNV_2026Q1_2026-06-23'!$B:$B, "="&amp;'CHECK_DT-BT'!A110)</f>
        <v>0</v>
      </c>
      <c r="Q110" s="7">
        <f t="shared" si="10"/>
        <v>83568545350</v>
      </c>
      <c r="R110" s="7">
        <f t="shared" si="11"/>
        <v>0</v>
      </c>
      <c r="S110" s="7">
        <f>SUMIFS('HQ1'!$C:$C,'HQ1'!$A:$A, "="&amp;'CHECK_DT-BT'!C110, 'HQ1'!$B:$B, "Total")</f>
        <v>83568545350</v>
      </c>
      <c r="T110" s="7">
        <f>SUMIFS('HQ2'!$C:$C,'HQ2'!$A:$A, "="&amp;'CHECK_DT-BT'!C110, 'HQ2'!$B:$B, "Total")</f>
        <v>0</v>
      </c>
      <c r="U110" s="7">
        <f t="shared" si="12"/>
        <v>0</v>
      </c>
      <c r="V110" s="7">
        <f t="shared" si="13"/>
        <v>0</v>
      </c>
      <c r="W110" s="23">
        <f>SUMIFS('Tong_hop_HQNV_2026Q1_2026-06-23'!$L:$L,'Tong_hop_HQNV_2026Q1_2026-06-23'!$B:$B, "="&amp;'CHECK_DT-BT'!A110, 'Tong_hop_HQNV_2026Q1_2026-06-23'!$A:$A, "="&amp;'CHECK_DT-BT'!$W$2)</f>
        <v>0</v>
      </c>
      <c r="X110" s="7">
        <f>SUMIFS('Tong_hop_HQNV_2026Q1_2026-06-23'!$L:$L,'Tong_hop_HQNV_2026Q1_2026-06-23'!$B:$B, "="&amp;'CHECK_DT-BT'!A110, 'Tong_hop_HQNV_2026Q1_2026-06-23'!$A:$A, "="&amp;'CHECK_DT-BT'!$X$2)</f>
        <v>0</v>
      </c>
      <c r="Y110" s="7">
        <f>SUMIFS('Tong_hop_HQNV_2026Q1_2026-06-23'!$L:$L,'Tong_hop_HQNV_2026Q1_2026-06-23'!$B:$B, "="&amp;'CHECK_DT-BT'!A110, 'Tong_hop_HQNV_2026Q1_2026-06-23'!$A:$A, "="&amp;'CHECK_DT-BT'!$Y$2)</f>
        <v>0</v>
      </c>
      <c r="Z110" s="7">
        <f>SUMIFS('Tong_hop_HQNV_2026Q1_2026-06-23'!$L:$L,'Tong_hop_HQNV_2026Q1_2026-06-23'!$B:$B, "="&amp;'CHECK_DT-BT'!A110, 'Tong_hop_HQNV_2026Q1_2026-06-23'!$A:$A, "="&amp;'CHECK_DT-BT'!$Z$2)</f>
        <v>26906398361</v>
      </c>
      <c r="AA110" s="7">
        <f>SUMIFS('Tong_hop_HQNV_2026Q1_2026-06-23'!$L:$L,'Tong_hop_HQNV_2026Q1_2026-06-23'!$B:$B, "="&amp;'CHECK_DT-BT'!A110, 'Tong_hop_HQNV_2026Q1_2026-06-23'!$A:$A, "="&amp;$AA$2)</f>
        <v>0</v>
      </c>
      <c r="AB110" s="7">
        <f>SUMIFS('Tong_hop_HQNV_2026Q1_2026-06-23'!$L:$L,'Tong_hop_HQNV_2026Q1_2026-06-23'!$B:$B, "="&amp;'CHECK_DT-BT'!A110, 'Tong_hop_HQNV_2026Q1_2026-06-23'!$A:$A, "="&amp;$AB$2)</f>
        <v>0</v>
      </c>
      <c r="AC110" s="7">
        <f>SUMIFS('Tong_hop_HQNV_2026Q1_2026-06-23'!$L:$L,'Tong_hop_HQNV_2026Q1_2026-06-23'!$B:$B, "="&amp;'CHECK_DT-BT'!A110, 'Tong_hop_HQNV_2026Q1_2026-06-23'!$A:$A, "="&amp;$AC$2)</f>
        <v>0</v>
      </c>
      <c r="AD110" s="7">
        <f>SUMIFS('Tong_hop_HQNV_2026Q1_2026-06-23'!$L:$L,'Tong_hop_HQNV_2026Q1_2026-06-23'!$B:$B, "="&amp;'CHECK_DT-BT'!A110, 'Tong_hop_HQNV_2026Q1_2026-06-23'!$A:$A, "="&amp;$AD$2)</f>
        <v>0</v>
      </c>
      <c r="AE110" s="7">
        <f>SUMIFS('Tong_hop_HQNV_2026Q1_2026-06-23'!$L:$L,'Tong_hop_HQNV_2026Q1_2026-06-23'!$B:$B, "="&amp;'CHECK_DT-BT'!A110, 'Tong_hop_HQNV_2026Q1_2026-06-23'!$A:$A, "="&amp;$AE$2)</f>
        <v>0</v>
      </c>
      <c r="AF110" s="7">
        <f>SUMIFS('Tong_hop_HQNV_2026Q1_2026-06-23'!$L:$L,'Tong_hop_HQNV_2026Q1_2026-06-23'!$B:$B, "="&amp;'CHECK_DT-BT'!A110, 'Tong_hop_HQNV_2026Q1_2026-06-23'!$A:$A, "="&amp;$AF$2)</f>
        <v>0</v>
      </c>
      <c r="AG110" s="7">
        <f>SUMIFS('Tong_hop_HQNV_2026Q1_2026-06-23'!$L:$L,'Tong_hop_HQNV_2026Q1_2026-06-23'!$B:$B, "="&amp;'CHECK_DT-BT'!A110, 'Tong_hop_HQNV_2026Q1_2026-06-23'!$A:$A, "="&amp;$AG$2)</f>
        <v>0</v>
      </c>
      <c r="AH110" s="7">
        <f>SUMIFS('Tong_hop_HQNV_2026Q1_2026-06-23'!$L:$L,'Tong_hop_HQNV_2026Q1_2026-06-23'!$B:$B, "="&amp;'CHECK_DT-BT'!A110, 'Tong_hop_HQNV_2026Q1_2026-06-23'!$A:$A, "="&amp;$AH$2)</f>
        <v>0</v>
      </c>
      <c r="AI110" s="7">
        <f>SUMIFS('Tong_hop_HQNV_2026Q1_2026-06-23'!$L:$L,'Tong_hop_HQNV_2026Q1_2026-06-23'!$B:$B, "="&amp;'CHECK_DT-BT'!A110, 'Tong_hop_HQNV_2026Q1_2026-06-23'!$A:$A, "="&amp;$AI$2)</f>
        <v>0</v>
      </c>
      <c r="AJ110" s="7">
        <f t="shared" si="14"/>
        <v>26906398361</v>
      </c>
      <c r="AK110" s="7">
        <f t="shared" si="15"/>
        <v>0</v>
      </c>
      <c r="AL110" s="7">
        <f>SUMIFS('HQ1'!$D:$D,'HQ1'!$A:$A, "="&amp;'CHECK_DT-BT'!C110, 'HQ1'!$B:$B, "Total")</f>
        <v>26906398361</v>
      </c>
      <c r="AM110" s="7">
        <f>SUMIFS('HQ2'!$J:$J,'HQ2'!$A:$A, "="&amp;'CHECK_DT-BT'!C110, 'HQ2'!$B:$B, "Total")</f>
        <v>0</v>
      </c>
      <c r="AN110" s="24">
        <f t="shared" si="16"/>
        <v>0</v>
      </c>
      <c r="AO110" s="24">
        <f t="shared" si="17"/>
        <v>0</v>
      </c>
    </row>
    <row r="111" spans="1:41" x14ac:dyDescent="0.25">
      <c r="A111" s="9" t="s">
        <v>236</v>
      </c>
      <c r="B111" t="s">
        <v>243</v>
      </c>
      <c r="C111" s="13" t="str">
        <f t="shared" si="26"/>
        <v>TSC-Ban BH TSKT - Bộ phận Atradius</v>
      </c>
      <c r="D111" s="7">
        <f>SUMIFS('Tong_hop_HQNV_2026Q1_2026-06-23'!$K:$K,'Tong_hop_HQNV_2026Q1_2026-06-23'!$A:$A,"="&amp;'CHECK_DT-BT'!$D$2,'Tong_hop_HQNV_2026Q1_2026-06-23'!$B:$B, "="&amp;'CHECK_DT-BT'!A111)</f>
        <v>0</v>
      </c>
      <c r="E111" s="7">
        <f>SUMIFS('Tong_hop_HQNV_2026Q1_2026-06-23'!$K:$K,'Tong_hop_HQNV_2026Q1_2026-06-23'!$A:$A,"="&amp;'CHECK_DT-BT'!$E$2,'Tong_hop_HQNV_2026Q1_2026-06-23'!$B:$B, "="&amp;'CHECK_DT-BT'!A111)</f>
        <v>0</v>
      </c>
      <c r="F111" s="7">
        <f>SUMIFS('Tong_hop_HQNV_2026Q1_2026-06-23'!$K:$K,'Tong_hop_HQNV_2026Q1_2026-06-23'!$A:$A,"="&amp;'CHECK_DT-BT'!$F$2,'Tong_hop_HQNV_2026Q1_2026-06-23'!$B:$B, "="&amp;'CHECK_DT-BT'!A111)</f>
        <v>0</v>
      </c>
      <c r="G111" s="7">
        <f>SUMIFS('Tong_hop_HQNV_2026Q1_2026-06-23'!$K:$K,'Tong_hop_HQNV_2026Q1_2026-06-23'!$A:$A,"="&amp;'CHECK_DT-BT'!$G$2,'Tong_hop_HQNV_2026Q1_2026-06-23'!$B:$B, "="&amp;'CHECK_DT-BT'!A111)</f>
        <v>0</v>
      </c>
      <c r="H111" s="7">
        <f>SUMIFS('Tong_hop_HQNV_2026Q1_2026-06-23'!$K:$K,'Tong_hop_HQNV_2026Q1_2026-06-23'!$A:$A,"="&amp;$H$2,'Tong_hop_HQNV_2026Q1_2026-06-23'!$B:$B, "="&amp;'CHECK_DT-BT'!A111)</f>
        <v>0</v>
      </c>
      <c r="I111" s="7">
        <f>SUMIFS('Tong_hop_HQNV_2026Q1_2026-06-23'!$K:$K,'Tong_hop_HQNV_2026Q1_2026-06-23'!$A:$A,"="&amp;$I$2,'Tong_hop_HQNV_2026Q1_2026-06-23'!$B:$B, "="&amp;'CHECK_DT-BT'!A111)</f>
        <v>0</v>
      </c>
      <c r="J111" s="7">
        <f>SUMIFS('Tong_hop_HQNV_2026Q1_2026-06-23'!$K:$K,'Tong_hop_HQNV_2026Q1_2026-06-23'!$A:$A,"="&amp;$J$2,'Tong_hop_HQNV_2026Q1_2026-06-23'!$B:$B, "="&amp;'CHECK_DT-BT'!A111)</f>
        <v>0</v>
      </c>
      <c r="K111" s="7">
        <f>SUMIFS('Tong_hop_HQNV_2026Q1_2026-06-23'!$K:$K,'Tong_hop_HQNV_2026Q1_2026-06-23'!$A:$A,"="&amp;$K$2,'Tong_hop_HQNV_2026Q1_2026-06-23'!$B:$B, "="&amp;'CHECK_DT-BT'!A111)</f>
        <v>0</v>
      </c>
      <c r="L111" s="7">
        <f>SUMIFS('Tong_hop_HQNV_2026Q1_2026-06-23'!$K:$K,'Tong_hop_HQNV_2026Q1_2026-06-23'!$A:$A,"="&amp;$L$2,'Tong_hop_HQNV_2026Q1_2026-06-23'!$B:$B, "="&amp;'CHECK_DT-BT'!A111)</f>
        <v>0</v>
      </c>
      <c r="M111" s="7">
        <f>SUMIFS('Tong_hop_HQNV_2026Q1_2026-06-23'!$K:$K,'Tong_hop_HQNV_2026Q1_2026-06-23'!$A:$A,"="&amp;$M$2,'Tong_hop_HQNV_2026Q1_2026-06-23'!$B:$B, "="&amp;'CHECK_DT-BT'!A111)</f>
        <v>0</v>
      </c>
      <c r="N111" s="7">
        <f>SUMIFS('Tong_hop_HQNV_2026Q1_2026-06-23'!$K:$K,'Tong_hop_HQNV_2026Q1_2026-06-23'!$A:$A,"="&amp;$N$2,'Tong_hop_HQNV_2026Q1_2026-06-23'!$B:$B, "="&amp;'CHECK_DT-BT'!A111)</f>
        <v>14000000</v>
      </c>
      <c r="O111" s="7">
        <f>SUMIFS('Tong_hop_HQNV_2026Q1_2026-06-23'!$K:$K,'Tong_hop_HQNV_2026Q1_2026-06-23'!$A:$A,"="&amp;$O$2,'Tong_hop_HQNV_2026Q1_2026-06-23'!$B:$B, "="&amp;'CHECK_DT-BT'!A111)</f>
        <v>0</v>
      </c>
      <c r="P111" s="7">
        <f>SUMIFS('Tong_hop_HQNV_2026Q1_2026-06-23'!$K:$K,'Tong_hop_HQNV_2026Q1_2026-06-23'!$A:$A,"="&amp;$P$2,'Tong_hop_HQNV_2026Q1_2026-06-23'!$B:$B, "="&amp;'CHECK_DT-BT'!A111)</f>
        <v>0</v>
      </c>
      <c r="Q111" s="7">
        <f t="shared" si="10"/>
        <v>0</v>
      </c>
      <c r="R111" s="7">
        <f t="shared" si="11"/>
        <v>14000000</v>
      </c>
      <c r="S111" s="7">
        <f>SUMIFS('HQ1'!$C:$C,'HQ1'!$A:$A, "="&amp;'CHECK_DT-BT'!C111, 'HQ1'!$B:$B, "Total")</f>
        <v>0</v>
      </c>
      <c r="T111" s="7">
        <f>SUMIFS('HQ2'!$C:$C,'HQ2'!$A:$A, "="&amp;'CHECK_DT-BT'!C111, 'HQ2'!$B:$B, "Total")</f>
        <v>0</v>
      </c>
      <c r="U111" s="7">
        <f t="shared" si="12"/>
        <v>0</v>
      </c>
      <c r="V111" s="7">
        <f t="shared" si="13"/>
        <v>14000000</v>
      </c>
      <c r="W111" s="23">
        <f>SUMIFS('Tong_hop_HQNV_2026Q1_2026-06-23'!$L:$L,'Tong_hop_HQNV_2026Q1_2026-06-23'!$B:$B, "="&amp;'CHECK_DT-BT'!A111, 'Tong_hop_HQNV_2026Q1_2026-06-23'!$A:$A, "="&amp;'CHECK_DT-BT'!$W$2)</f>
        <v>0</v>
      </c>
      <c r="X111" s="7">
        <f>SUMIFS('Tong_hop_HQNV_2026Q1_2026-06-23'!$L:$L,'Tong_hop_HQNV_2026Q1_2026-06-23'!$B:$B, "="&amp;'CHECK_DT-BT'!A111, 'Tong_hop_HQNV_2026Q1_2026-06-23'!$A:$A, "="&amp;'CHECK_DT-BT'!$X$2)</f>
        <v>0</v>
      </c>
      <c r="Y111" s="7">
        <f>SUMIFS('Tong_hop_HQNV_2026Q1_2026-06-23'!$L:$L,'Tong_hop_HQNV_2026Q1_2026-06-23'!$B:$B, "="&amp;'CHECK_DT-BT'!A111, 'Tong_hop_HQNV_2026Q1_2026-06-23'!$A:$A, "="&amp;'CHECK_DT-BT'!$Y$2)</f>
        <v>0</v>
      </c>
      <c r="Z111" s="7">
        <f>SUMIFS('Tong_hop_HQNV_2026Q1_2026-06-23'!$L:$L,'Tong_hop_HQNV_2026Q1_2026-06-23'!$B:$B, "="&amp;'CHECK_DT-BT'!A111, 'Tong_hop_HQNV_2026Q1_2026-06-23'!$A:$A, "="&amp;'CHECK_DT-BT'!$Z$2)</f>
        <v>0</v>
      </c>
      <c r="AA111" s="7">
        <f>SUMIFS('Tong_hop_HQNV_2026Q1_2026-06-23'!$L:$L,'Tong_hop_HQNV_2026Q1_2026-06-23'!$B:$B, "="&amp;'CHECK_DT-BT'!A111, 'Tong_hop_HQNV_2026Q1_2026-06-23'!$A:$A, "="&amp;$AA$2)</f>
        <v>0</v>
      </c>
      <c r="AB111" s="7">
        <f>SUMIFS('Tong_hop_HQNV_2026Q1_2026-06-23'!$L:$L,'Tong_hop_HQNV_2026Q1_2026-06-23'!$B:$B, "="&amp;'CHECK_DT-BT'!A111, 'Tong_hop_HQNV_2026Q1_2026-06-23'!$A:$A, "="&amp;$AB$2)</f>
        <v>0</v>
      </c>
      <c r="AC111" s="7">
        <f>SUMIFS('Tong_hop_HQNV_2026Q1_2026-06-23'!$L:$L,'Tong_hop_HQNV_2026Q1_2026-06-23'!$B:$B, "="&amp;'CHECK_DT-BT'!A111, 'Tong_hop_HQNV_2026Q1_2026-06-23'!$A:$A, "="&amp;$AC$2)</f>
        <v>0</v>
      </c>
      <c r="AD111" s="7">
        <f>SUMIFS('Tong_hop_HQNV_2026Q1_2026-06-23'!$L:$L,'Tong_hop_HQNV_2026Q1_2026-06-23'!$B:$B, "="&amp;'CHECK_DT-BT'!A111, 'Tong_hop_HQNV_2026Q1_2026-06-23'!$A:$A, "="&amp;$AD$2)</f>
        <v>0</v>
      </c>
      <c r="AE111" s="7">
        <f>SUMIFS('Tong_hop_HQNV_2026Q1_2026-06-23'!$L:$L,'Tong_hop_HQNV_2026Q1_2026-06-23'!$B:$B, "="&amp;'CHECK_DT-BT'!A111, 'Tong_hop_HQNV_2026Q1_2026-06-23'!$A:$A, "="&amp;$AE$2)</f>
        <v>0</v>
      </c>
      <c r="AF111" s="7">
        <f>SUMIFS('Tong_hop_HQNV_2026Q1_2026-06-23'!$L:$L,'Tong_hop_HQNV_2026Q1_2026-06-23'!$B:$B, "="&amp;'CHECK_DT-BT'!A111, 'Tong_hop_HQNV_2026Q1_2026-06-23'!$A:$A, "="&amp;$AF$2)</f>
        <v>0</v>
      </c>
      <c r="AG111" s="7">
        <f>SUMIFS('Tong_hop_HQNV_2026Q1_2026-06-23'!$L:$L,'Tong_hop_HQNV_2026Q1_2026-06-23'!$B:$B, "="&amp;'CHECK_DT-BT'!A111, 'Tong_hop_HQNV_2026Q1_2026-06-23'!$A:$A, "="&amp;$AG$2)</f>
        <v>0</v>
      </c>
      <c r="AH111" s="7">
        <f>SUMIFS('Tong_hop_HQNV_2026Q1_2026-06-23'!$L:$L,'Tong_hop_HQNV_2026Q1_2026-06-23'!$B:$B, "="&amp;'CHECK_DT-BT'!A111, 'Tong_hop_HQNV_2026Q1_2026-06-23'!$A:$A, "="&amp;$AH$2)</f>
        <v>0</v>
      </c>
      <c r="AI111" s="7">
        <f>SUMIFS('Tong_hop_HQNV_2026Q1_2026-06-23'!$L:$L,'Tong_hop_HQNV_2026Q1_2026-06-23'!$B:$B, "="&amp;'CHECK_DT-BT'!A111, 'Tong_hop_HQNV_2026Q1_2026-06-23'!$A:$A, "="&amp;$AI$2)</f>
        <v>0</v>
      </c>
      <c r="AJ111" s="7">
        <f t="shared" si="14"/>
        <v>0</v>
      </c>
      <c r="AK111" s="7">
        <f t="shared" si="15"/>
        <v>0</v>
      </c>
      <c r="AL111" s="7">
        <f>SUMIFS('HQ1'!$D:$D,'HQ1'!$A:$A, "="&amp;'CHECK_DT-BT'!C111, 'HQ1'!$B:$B, "Total")</f>
        <v>0</v>
      </c>
      <c r="AM111" s="7">
        <f>SUMIFS('HQ2'!$J:$J,'HQ2'!$A:$A, "="&amp;'CHECK_DT-BT'!C111, 'HQ2'!$B:$B, "Total")</f>
        <v>0</v>
      </c>
      <c r="AN111" s="24">
        <f t="shared" si="16"/>
        <v>0</v>
      </c>
      <c r="AO111" s="24">
        <f t="shared" si="17"/>
        <v>0</v>
      </c>
    </row>
    <row r="112" spans="1:41" x14ac:dyDescent="0.25">
      <c r="A112" s="10" t="s">
        <v>237</v>
      </c>
      <c r="B112" s="8" t="s">
        <v>242</v>
      </c>
      <c r="C112" s="8" t="str">
        <f t="shared" si="26"/>
        <v>TSC-Ban Giải quyết quyền lợi bảo hiểm-HN</v>
      </c>
      <c r="D112" s="7">
        <f>SUMIFS('Tong_hop_HQNV_2026Q1_2026-06-23'!$K:$K,'Tong_hop_HQNV_2026Q1_2026-06-23'!$A:$A,"="&amp;'CHECK_DT-BT'!$D$2,'Tong_hop_HQNV_2026Q1_2026-06-23'!$B:$B, "="&amp;'CHECK_DT-BT'!A112)</f>
        <v>0</v>
      </c>
      <c r="E112" s="7">
        <f>SUMIFS('Tong_hop_HQNV_2026Q1_2026-06-23'!$K:$K,'Tong_hop_HQNV_2026Q1_2026-06-23'!$A:$A,"="&amp;'CHECK_DT-BT'!$E$2,'Tong_hop_HQNV_2026Q1_2026-06-23'!$B:$B, "="&amp;'CHECK_DT-BT'!A112)</f>
        <v>0</v>
      </c>
      <c r="F112" s="7">
        <f>SUMIFS('Tong_hop_HQNV_2026Q1_2026-06-23'!$K:$K,'Tong_hop_HQNV_2026Q1_2026-06-23'!$A:$A,"="&amp;'CHECK_DT-BT'!$F$2,'Tong_hop_HQNV_2026Q1_2026-06-23'!$B:$B, "="&amp;'CHECK_DT-BT'!A112)</f>
        <v>0</v>
      </c>
      <c r="G112" s="7">
        <f>SUMIFS('Tong_hop_HQNV_2026Q1_2026-06-23'!$K:$K,'Tong_hop_HQNV_2026Q1_2026-06-23'!$A:$A,"="&amp;'CHECK_DT-BT'!$G$2,'Tong_hop_HQNV_2026Q1_2026-06-23'!$B:$B, "="&amp;'CHECK_DT-BT'!A112)</f>
        <v>0</v>
      </c>
      <c r="H112" s="7">
        <f>SUMIFS('Tong_hop_HQNV_2026Q1_2026-06-23'!$K:$K,'Tong_hop_HQNV_2026Q1_2026-06-23'!$A:$A,"="&amp;$H$2,'Tong_hop_HQNV_2026Q1_2026-06-23'!$B:$B, "="&amp;'CHECK_DT-BT'!A112)</f>
        <v>0</v>
      </c>
      <c r="I112" s="7">
        <f>SUMIFS('Tong_hop_HQNV_2026Q1_2026-06-23'!$K:$K,'Tong_hop_HQNV_2026Q1_2026-06-23'!$A:$A,"="&amp;$I$2,'Tong_hop_HQNV_2026Q1_2026-06-23'!$B:$B, "="&amp;'CHECK_DT-BT'!A112)</f>
        <v>0</v>
      </c>
      <c r="J112" s="7">
        <f>SUMIFS('Tong_hop_HQNV_2026Q1_2026-06-23'!$K:$K,'Tong_hop_HQNV_2026Q1_2026-06-23'!$A:$A,"="&amp;$J$2,'Tong_hop_HQNV_2026Q1_2026-06-23'!$B:$B, "="&amp;'CHECK_DT-BT'!A112)</f>
        <v>0</v>
      </c>
      <c r="K112" s="7">
        <f>SUMIFS('Tong_hop_HQNV_2026Q1_2026-06-23'!$K:$K,'Tong_hop_HQNV_2026Q1_2026-06-23'!$A:$A,"="&amp;$K$2,'Tong_hop_HQNV_2026Q1_2026-06-23'!$B:$B, "="&amp;'CHECK_DT-BT'!A112)</f>
        <v>0</v>
      </c>
      <c r="L112" s="7">
        <f>SUMIFS('Tong_hop_HQNV_2026Q1_2026-06-23'!$K:$K,'Tong_hop_HQNV_2026Q1_2026-06-23'!$A:$A,"="&amp;$L$2,'Tong_hop_HQNV_2026Q1_2026-06-23'!$B:$B, "="&amp;'CHECK_DT-BT'!A112)</f>
        <v>0</v>
      </c>
      <c r="M112" s="7">
        <f>SUMIFS('Tong_hop_HQNV_2026Q1_2026-06-23'!$K:$K,'Tong_hop_HQNV_2026Q1_2026-06-23'!$A:$A,"="&amp;$M$2,'Tong_hop_HQNV_2026Q1_2026-06-23'!$B:$B, "="&amp;'CHECK_DT-BT'!A112)</f>
        <v>0</v>
      </c>
      <c r="N112" s="7">
        <f>SUMIFS('Tong_hop_HQNV_2026Q1_2026-06-23'!$K:$K,'Tong_hop_HQNV_2026Q1_2026-06-23'!$A:$A,"="&amp;$N$2,'Tong_hop_HQNV_2026Q1_2026-06-23'!$B:$B, "="&amp;'CHECK_DT-BT'!A112)</f>
        <v>0</v>
      </c>
      <c r="O112" s="7">
        <f>SUMIFS('Tong_hop_HQNV_2026Q1_2026-06-23'!$K:$K,'Tong_hop_HQNV_2026Q1_2026-06-23'!$A:$A,"="&amp;$O$2,'Tong_hop_HQNV_2026Q1_2026-06-23'!$B:$B, "="&amp;'CHECK_DT-BT'!A112)</f>
        <v>0</v>
      </c>
      <c r="P112" s="7">
        <f>SUMIFS('Tong_hop_HQNV_2026Q1_2026-06-23'!$K:$K,'Tong_hop_HQNV_2026Q1_2026-06-23'!$A:$A,"="&amp;$P$2,'Tong_hop_HQNV_2026Q1_2026-06-23'!$B:$B, "="&amp;'CHECK_DT-BT'!A112)</f>
        <v>0</v>
      </c>
      <c r="Q112" s="7">
        <f t="shared" si="10"/>
        <v>0</v>
      </c>
      <c r="R112" s="7">
        <f t="shared" si="11"/>
        <v>0</v>
      </c>
      <c r="S112" s="7">
        <f>SUMIFS('HQ1'!$C:$C,'HQ1'!$A:$A, "="&amp;'CHECK_DT-BT'!C112, 'HQ1'!$B:$B, "Total")</f>
        <v>0</v>
      </c>
      <c r="T112" s="7">
        <f>SUMIFS('HQ2'!$C:$C,'HQ2'!$A:$A, "="&amp;'CHECK_DT-BT'!C112, 'HQ2'!$B:$B, "Total")</f>
        <v>0</v>
      </c>
      <c r="U112" s="7">
        <f t="shared" si="12"/>
        <v>0</v>
      </c>
      <c r="V112" s="7">
        <f t="shared" si="13"/>
        <v>0</v>
      </c>
      <c r="W112" s="23">
        <f>SUMIFS('Tong_hop_HQNV_2026Q1_2026-06-23'!$L:$L,'Tong_hop_HQNV_2026Q1_2026-06-23'!$B:$B, "="&amp;'CHECK_DT-BT'!A112, 'Tong_hop_HQNV_2026Q1_2026-06-23'!$A:$A, "="&amp;'CHECK_DT-BT'!$W$2)</f>
        <v>0</v>
      </c>
      <c r="X112" s="7">
        <f>SUMIFS('Tong_hop_HQNV_2026Q1_2026-06-23'!$L:$L,'Tong_hop_HQNV_2026Q1_2026-06-23'!$B:$B, "="&amp;'CHECK_DT-BT'!A112, 'Tong_hop_HQNV_2026Q1_2026-06-23'!$A:$A, "="&amp;'CHECK_DT-BT'!$X$2)</f>
        <v>0</v>
      </c>
      <c r="Y112" s="7">
        <f>SUMIFS('Tong_hop_HQNV_2026Q1_2026-06-23'!$L:$L,'Tong_hop_HQNV_2026Q1_2026-06-23'!$B:$B, "="&amp;'CHECK_DT-BT'!A112, 'Tong_hop_HQNV_2026Q1_2026-06-23'!$A:$A, "="&amp;'CHECK_DT-BT'!$Y$2)</f>
        <v>0</v>
      </c>
      <c r="Z112" s="7">
        <f>SUMIFS('Tong_hop_HQNV_2026Q1_2026-06-23'!$L:$L,'Tong_hop_HQNV_2026Q1_2026-06-23'!$B:$B, "="&amp;'CHECK_DT-BT'!A112, 'Tong_hop_HQNV_2026Q1_2026-06-23'!$A:$A, "="&amp;'CHECK_DT-BT'!$Z$2)</f>
        <v>77993272</v>
      </c>
      <c r="AA112" s="7">
        <f>SUMIFS('Tong_hop_HQNV_2026Q1_2026-06-23'!$L:$L,'Tong_hop_HQNV_2026Q1_2026-06-23'!$B:$B, "="&amp;'CHECK_DT-BT'!A112, 'Tong_hop_HQNV_2026Q1_2026-06-23'!$A:$A, "="&amp;$AA$2)</f>
        <v>0</v>
      </c>
      <c r="AB112" s="7">
        <f>SUMIFS('Tong_hop_HQNV_2026Q1_2026-06-23'!$L:$L,'Tong_hop_HQNV_2026Q1_2026-06-23'!$B:$B, "="&amp;'CHECK_DT-BT'!A112, 'Tong_hop_HQNV_2026Q1_2026-06-23'!$A:$A, "="&amp;$AB$2)</f>
        <v>0</v>
      </c>
      <c r="AC112" s="7">
        <f>SUMIFS('Tong_hop_HQNV_2026Q1_2026-06-23'!$L:$L,'Tong_hop_HQNV_2026Q1_2026-06-23'!$B:$B, "="&amp;'CHECK_DT-BT'!A112, 'Tong_hop_HQNV_2026Q1_2026-06-23'!$A:$A, "="&amp;$AC$2)</f>
        <v>0</v>
      </c>
      <c r="AD112" s="7">
        <f>SUMIFS('Tong_hop_HQNV_2026Q1_2026-06-23'!$L:$L,'Tong_hop_HQNV_2026Q1_2026-06-23'!$B:$B, "="&amp;'CHECK_DT-BT'!A112, 'Tong_hop_HQNV_2026Q1_2026-06-23'!$A:$A, "="&amp;$AD$2)</f>
        <v>0</v>
      </c>
      <c r="AE112" s="7">
        <f>SUMIFS('Tong_hop_HQNV_2026Q1_2026-06-23'!$L:$L,'Tong_hop_HQNV_2026Q1_2026-06-23'!$B:$B, "="&amp;'CHECK_DT-BT'!A112, 'Tong_hop_HQNV_2026Q1_2026-06-23'!$A:$A, "="&amp;$AE$2)</f>
        <v>0</v>
      </c>
      <c r="AF112" s="7">
        <f>SUMIFS('Tong_hop_HQNV_2026Q1_2026-06-23'!$L:$L,'Tong_hop_HQNV_2026Q1_2026-06-23'!$B:$B, "="&amp;'CHECK_DT-BT'!A112, 'Tong_hop_HQNV_2026Q1_2026-06-23'!$A:$A, "="&amp;$AF$2)</f>
        <v>0</v>
      </c>
      <c r="AG112" s="7">
        <f>SUMIFS('Tong_hop_HQNV_2026Q1_2026-06-23'!$L:$L,'Tong_hop_HQNV_2026Q1_2026-06-23'!$B:$B, "="&amp;'CHECK_DT-BT'!A112, 'Tong_hop_HQNV_2026Q1_2026-06-23'!$A:$A, "="&amp;$AG$2)</f>
        <v>0</v>
      </c>
      <c r="AH112" s="7">
        <f>SUMIFS('Tong_hop_HQNV_2026Q1_2026-06-23'!$L:$L,'Tong_hop_HQNV_2026Q1_2026-06-23'!$B:$B, "="&amp;'CHECK_DT-BT'!A112, 'Tong_hop_HQNV_2026Q1_2026-06-23'!$A:$A, "="&amp;$AH$2)</f>
        <v>0</v>
      </c>
      <c r="AI112" s="7">
        <f>SUMIFS('Tong_hop_HQNV_2026Q1_2026-06-23'!$L:$L,'Tong_hop_HQNV_2026Q1_2026-06-23'!$B:$B, "="&amp;'CHECK_DT-BT'!A112, 'Tong_hop_HQNV_2026Q1_2026-06-23'!$A:$A, "="&amp;$AI$2)</f>
        <v>0</v>
      </c>
      <c r="AJ112" s="7">
        <f t="shared" si="14"/>
        <v>77993272</v>
      </c>
      <c r="AK112" s="7">
        <f t="shared" si="15"/>
        <v>0</v>
      </c>
      <c r="AL112" s="7">
        <f>SUMIFS('HQ1'!$D:$D,'HQ1'!$A:$A, "="&amp;'CHECK_DT-BT'!C112, 'HQ1'!$B:$B, "Total")</f>
        <v>0</v>
      </c>
      <c r="AM112" s="7">
        <f>SUMIFS('HQ2'!$J:$J,'HQ2'!$A:$A, "="&amp;'CHECK_DT-BT'!C112, 'HQ2'!$B:$B, "Total")</f>
        <v>0</v>
      </c>
      <c r="AN112" s="24">
        <f t="shared" si="16"/>
        <v>77993272</v>
      </c>
      <c r="AO112" s="24">
        <f t="shared" si="17"/>
        <v>0</v>
      </c>
    </row>
    <row r="113" spans="1:41" x14ac:dyDescent="0.25">
      <c r="A113" s="10" t="s">
        <v>238</v>
      </c>
      <c r="B113" s="8" t="s">
        <v>241</v>
      </c>
      <c r="C113" s="8" t="str">
        <f t="shared" si="26"/>
        <v>TSC-Ban Giải quyết quyền lợi bảo hiểm-HCM</v>
      </c>
      <c r="D113" s="7">
        <f>SUMIFS('Tong_hop_HQNV_2026Q1_2026-06-23'!$K:$K,'Tong_hop_HQNV_2026Q1_2026-06-23'!$A:$A,"="&amp;'CHECK_DT-BT'!$D$2,'Tong_hop_HQNV_2026Q1_2026-06-23'!$B:$B, "="&amp;'CHECK_DT-BT'!A113)</f>
        <v>0</v>
      </c>
      <c r="E113" s="7">
        <f>SUMIFS('Tong_hop_HQNV_2026Q1_2026-06-23'!$K:$K,'Tong_hop_HQNV_2026Q1_2026-06-23'!$A:$A,"="&amp;'CHECK_DT-BT'!$E$2,'Tong_hop_HQNV_2026Q1_2026-06-23'!$B:$B, "="&amp;'CHECK_DT-BT'!A113)</f>
        <v>0</v>
      </c>
      <c r="F113" s="7">
        <f>SUMIFS('Tong_hop_HQNV_2026Q1_2026-06-23'!$K:$K,'Tong_hop_HQNV_2026Q1_2026-06-23'!$A:$A,"="&amp;'CHECK_DT-BT'!$F$2,'Tong_hop_HQNV_2026Q1_2026-06-23'!$B:$B, "="&amp;'CHECK_DT-BT'!A113)</f>
        <v>0</v>
      </c>
      <c r="G113" s="7">
        <f>SUMIFS('Tong_hop_HQNV_2026Q1_2026-06-23'!$K:$K,'Tong_hop_HQNV_2026Q1_2026-06-23'!$A:$A,"="&amp;'CHECK_DT-BT'!$G$2,'Tong_hop_HQNV_2026Q1_2026-06-23'!$B:$B, "="&amp;'CHECK_DT-BT'!A113)</f>
        <v>0</v>
      </c>
      <c r="H113" s="7">
        <f>SUMIFS('Tong_hop_HQNV_2026Q1_2026-06-23'!$K:$K,'Tong_hop_HQNV_2026Q1_2026-06-23'!$A:$A,"="&amp;$H$2,'Tong_hop_HQNV_2026Q1_2026-06-23'!$B:$B, "="&amp;'CHECK_DT-BT'!A113)</f>
        <v>0</v>
      </c>
      <c r="I113" s="7">
        <f>SUMIFS('Tong_hop_HQNV_2026Q1_2026-06-23'!$K:$K,'Tong_hop_HQNV_2026Q1_2026-06-23'!$A:$A,"="&amp;$I$2,'Tong_hop_HQNV_2026Q1_2026-06-23'!$B:$B, "="&amp;'CHECK_DT-BT'!A113)</f>
        <v>0</v>
      </c>
      <c r="J113" s="7">
        <f>SUMIFS('Tong_hop_HQNV_2026Q1_2026-06-23'!$K:$K,'Tong_hop_HQNV_2026Q1_2026-06-23'!$A:$A,"="&amp;$J$2,'Tong_hop_HQNV_2026Q1_2026-06-23'!$B:$B, "="&amp;'CHECK_DT-BT'!A113)</f>
        <v>0</v>
      </c>
      <c r="K113" s="7">
        <f>SUMIFS('Tong_hop_HQNV_2026Q1_2026-06-23'!$K:$K,'Tong_hop_HQNV_2026Q1_2026-06-23'!$A:$A,"="&amp;$K$2,'Tong_hop_HQNV_2026Q1_2026-06-23'!$B:$B, "="&amp;'CHECK_DT-BT'!A113)</f>
        <v>0</v>
      </c>
      <c r="L113" s="7">
        <f>SUMIFS('Tong_hop_HQNV_2026Q1_2026-06-23'!$K:$K,'Tong_hop_HQNV_2026Q1_2026-06-23'!$A:$A,"="&amp;$L$2,'Tong_hop_HQNV_2026Q1_2026-06-23'!$B:$B, "="&amp;'CHECK_DT-BT'!A113)</f>
        <v>0</v>
      </c>
      <c r="M113" s="7">
        <f>SUMIFS('Tong_hop_HQNV_2026Q1_2026-06-23'!$K:$K,'Tong_hop_HQNV_2026Q1_2026-06-23'!$A:$A,"="&amp;$M$2,'Tong_hop_HQNV_2026Q1_2026-06-23'!$B:$B, "="&amp;'CHECK_DT-BT'!A113)</f>
        <v>0</v>
      </c>
      <c r="N113" s="7">
        <f>SUMIFS('Tong_hop_HQNV_2026Q1_2026-06-23'!$K:$K,'Tong_hop_HQNV_2026Q1_2026-06-23'!$A:$A,"="&amp;$N$2,'Tong_hop_HQNV_2026Q1_2026-06-23'!$B:$B, "="&amp;'CHECK_DT-BT'!A113)</f>
        <v>0</v>
      </c>
      <c r="O113" s="7">
        <f>SUMIFS('Tong_hop_HQNV_2026Q1_2026-06-23'!$K:$K,'Tong_hop_HQNV_2026Q1_2026-06-23'!$A:$A,"="&amp;$O$2,'Tong_hop_HQNV_2026Q1_2026-06-23'!$B:$B, "="&amp;'CHECK_DT-BT'!A113)</f>
        <v>0</v>
      </c>
      <c r="P113" s="7">
        <f>SUMIFS('Tong_hop_HQNV_2026Q1_2026-06-23'!$K:$K,'Tong_hop_HQNV_2026Q1_2026-06-23'!$A:$A,"="&amp;$P$2,'Tong_hop_HQNV_2026Q1_2026-06-23'!$B:$B, "="&amp;'CHECK_DT-BT'!A113)</f>
        <v>0</v>
      </c>
      <c r="Q113" s="7">
        <f t="shared" si="10"/>
        <v>0</v>
      </c>
      <c r="R113" s="7">
        <f t="shared" si="11"/>
        <v>0</v>
      </c>
      <c r="S113" s="7">
        <f>SUMIFS('HQ1'!$C:$C,'HQ1'!$A:$A, "="&amp;'CHECK_DT-BT'!C113, 'HQ1'!$B:$B, "Total")</f>
        <v>0</v>
      </c>
      <c r="T113" s="7">
        <f>SUMIFS('HQ2'!$C:$C,'HQ2'!$A:$A, "="&amp;'CHECK_DT-BT'!C113, 'HQ2'!$B:$B, "Total")</f>
        <v>0</v>
      </c>
      <c r="U113" s="7">
        <f t="shared" si="12"/>
        <v>0</v>
      </c>
      <c r="V113" s="7">
        <f t="shared" si="13"/>
        <v>0</v>
      </c>
      <c r="W113" s="23">
        <f>SUMIFS('Tong_hop_HQNV_2026Q1_2026-06-23'!$L:$L,'Tong_hop_HQNV_2026Q1_2026-06-23'!$B:$B, "="&amp;'CHECK_DT-BT'!A113, 'Tong_hop_HQNV_2026Q1_2026-06-23'!$A:$A, "="&amp;'CHECK_DT-BT'!$W$2)</f>
        <v>0</v>
      </c>
      <c r="X113" s="7">
        <f>SUMIFS('Tong_hop_HQNV_2026Q1_2026-06-23'!$L:$L,'Tong_hop_HQNV_2026Q1_2026-06-23'!$B:$B, "="&amp;'CHECK_DT-BT'!A113, 'Tong_hop_HQNV_2026Q1_2026-06-23'!$A:$A, "="&amp;'CHECK_DT-BT'!$X$2)</f>
        <v>0</v>
      </c>
      <c r="Y113" s="7">
        <f>SUMIFS('Tong_hop_HQNV_2026Q1_2026-06-23'!$L:$L,'Tong_hop_HQNV_2026Q1_2026-06-23'!$B:$B, "="&amp;'CHECK_DT-BT'!A113, 'Tong_hop_HQNV_2026Q1_2026-06-23'!$A:$A, "="&amp;'CHECK_DT-BT'!$Y$2)</f>
        <v>0</v>
      </c>
      <c r="Z113" s="7">
        <f>SUMIFS('Tong_hop_HQNV_2026Q1_2026-06-23'!$L:$L,'Tong_hop_HQNV_2026Q1_2026-06-23'!$B:$B, "="&amp;'CHECK_DT-BT'!A113, 'Tong_hop_HQNV_2026Q1_2026-06-23'!$A:$A, "="&amp;'CHECK_DT-BT'!$Z$2)</f>
        <v>5225250</v>
      </c>
      <c r="AA113" s="7">
        <f>SUMIFS('Tong_hop_HQNV_2026Q1_2026-06-23'!$L:$L,'Tong_hop_HQNV_2026Q1_2026-06-23'!$B:$B, "="&amp;'CHECK_DT-BT'!A113, 'Tong_hop_HQNV_2026Q1_2026-06-23'!$A:$A, "="&amp;$AA$2)</f>
        <v>0</v>
      </c>
      <c r="AB113" s="7">
        <f>SUMIFS('Tong_hop_HQNV_2026Q1_2026-06-23'!$L:$L,'Tong_hop_HQNV_2026Q1_2026-06-23'!$B:$B, "="&amp;'CHECK_DT-BT'!A113, 'Tong_hop_HQNV_2026Q1_2026-06-23'!$A:$A, "="&amp;$AB$2)</f>
        <v>0</v>
      </c>
      <c r="AC113" s="7">
        <f>SUMIFS('Tong_hop_HQNV_2026Q1_2026-06-23'!$L:$L,'Tong_hop_HQNV_2026Q1_2026-06-23'!$B:$B, "="&amp;'CHECK_DT-BT'!A113, 'Tong_hop_HQNV_2026Q1_2026-06-23'!$A:$A, "="&amp;$AC$2)</f>
        <v>0</v>
      </c>
      <c r="AD113" s="7">
        <f>SUMIFS('Tong_hop_HQNV_2026Q1_2026-06-23'!$L:$L,'Tong_hop_HQNV_2026Q1_2026-06-23'!$B:$B, "="&amp;'CHECK_DT-BT'!A113, 'Tong_hop_HQNV_2026Q1_2026-06-23'!$A:$A, "="&amp;$AD$2)</f>
        <v>0</v>
      </c>
      <c r="AE113" s="7">
        <f>SUMIFS('Tong_hop_HQNV_2026Q1_2026-06-23'!$L:$L,'Tong_hop_HQNV_2026Q1_2026-06-23'!$B:$B, "="&amp;'CHECK_DT-BT'!A113, 'Tong_hop_HQNV_2026Q1_2026-06-23'!$A:$A, "="&amp;$AE$2)</f>
        <v>0</v>
      </c>
      <c r="AF113" s="7">
        <f>SUMIFS('Tong_hop_HQNV_2026Q1_2026-06-23'!$L:$L,'Tong_hop_HQNV_2026Q1_2026-06-23'!$B:$B, "="&amp;'CHECK_DT-BT'!A113, 'Tong_hop_HQNV_2026Q1_2026-06-23'!$A:$A, "="&amp;$AF$2)</f>
        <v>0</v>
      </c>
      <c r="AG113" s="7">
        <f>SUMIFS('Tong_hop_HQNV_2026Q1_2026-06-23'!$L:$L,'Tong_hop_HQNV_2026Q1_2026-06-23'!$B:$B, "="&amp;'CHECK_DT-BT'!A113, 'Tong_hop_HQNV_2026Q1_2026-06-23'!$A:$A, "="&amp;$AG$2)</f>
        <v>0</v>
      </c>
      <c r="AH113" s="7">
        <f>SUMIFS('Tong_hop_HQNV_2026Q1_2026-06-23'!$L:$L,'Tong_hop_HQNV_2026Q1_2026-06-23'!$B:$B, "="&amp;'CHECK_DT-BT'!A113, 'Tong_hop_HQNV_2026Q1_2026-06-23'!$A:$A, "="&amp;$AH$2)</f>
        <v>0</v>
      </c>
      <c r="AI113" s="7">
        <f>SUMIFS('Tong_hop_HQNV_2026Q1_2026-06-23'!$L:$L,'Tong_hop_HQNV_2026Q1_2026-06-23'!$B:$B, "="&amp;'CHECK_DT-BT'!A113, 'Tong_hop_HQNV_2026Q1_2026-06-23'!$A:$A, "="&amp;$AI$2)</f>
        <v>0</v>
      </c>
      <c r="AJ113" s="7">
        <f t="shared" si="14"/>
        <v>5225250</v>
      </c>
      <c r="AK113" s="7">
        <f t="shared" si="15"/>
        <v>0</v>
      </c>
      <c r="AL113" s="7">
        <f>SUMIFS('HQ1'!$D:$D,'HQ1'!$A:$A, "="&amp;'CHECK_DT-BT'!C113, 'HQ1'!$B:$B, "Total")</f>
        <v>0</v>
      </c>
      <c r="AM113" s="7">
        <f>SUMIFS('HQ2'!$J:$J,'HQ2'!$A:$A, "="&amp;'CHECK_DT-BT'!C113, 'HQ2'!$B:$B, "Total")</f>
        <v>0</v>
      </c>
      <c r="AN113" s="24">
        <f t="shared" si="16"/>
        <v>5225250</v>
      </c>
      <c r="AO113" s="24">
        <f t="shared" si="17"/>
        <v>0</v>
      </c>
    </row>
  </sheetData>
  <mergeCells count="6">
    <mergeCell ref="AN2:AO2"/>
    <mergeCell ref="Q2:R2"/>
    <mergeCell ref="S2:T2"/>
    <mergeCell ref="U2:V2"/>
    <mergeCell ref="AJ2:AK2"/>
    <mergeCell ref="AL2:AM2"/>
  </mergeCells>
  <conditionalFormatting sqref="AN4:AO113">
    <cfRule type="top10" dxfId="0" priority="1" rank="10"/>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workbookViewId="0">
      <pane xSplit="3" ySplit="3" topLeftCell="Z4" activePane="bottomRight" state="frozen"/>
      <selection pane="topRight" activeCell="D1" sqref="D1"/>
      <selection pane="bottomLeft" activeCell="A4" sqref="A4"/>
      <selection pane="bottomRight" activeCell="AE32" sqref="AE32"/>
    </sheetView>
  </sheetViews>
  <sheetFormatPr defaultRowHeight="15" x14ac:dyDescent="0.25"/>
  <cols>
    <col min="2" max="2" width="9.140625" hidden="1" customWidth="1"/>
    <col min="3" max="3" width="33.5703125" customWidth="1"/>
    <col min="4" max="5" width="21" style="7" customWidth="1"/>
    <col min="6" max="6" width="19" style="7" customWidth="1"/>
    <col min="7" max="7" width="15.28515625" bestFit="1" customWidth="1"/>
    <col min="8" max="9" width="15.28515625" customWidth="1"/>
    <col min="10" max="10" width="15.28515625" bestFit="1" customWidth="1"/>
    <col min="11" max="12" width="15.28515625" customWidth="1"/>
    <col min="13" max="13" width="16.28515625" bestFit="1" customWidth="1"/>
    <col min="14" max="38" width="16.28515625" customWidth="1"/>
    <col min="39" max="39" width="15.28515625" style="21" bestFit="1" customWidth="1"/>
    <col min="40" max="40" width="15.28515625" style="28" bestFit="1" customWidth="1"/>
    <col min="41" max="41" width="14.7109375" style="28" customWidth="1"/>
    <col min="42" max="42" width="14.28515625" bestFit="1" customWidth="1"/>
    <col min="43" max="44" width="14.28515625" customWidth="1"/>
    <col min="45" max="45" width="15.28515625" bestFit="1" customWidth="1"/>
    <col min="46" max="47" width="15.28515625" customWidth="1"/>
    <col min="48" max="48" width="16.28515625" bestFit="1" customWidth="1"/>
    <col min="49" max="50" width="16.28515625" customWidth="1"/>
    <col min="51" max="51" width="15.28515625" bestFit="1" customWidth="1"/>
    <col min="52" max="52" width="15.28515625" customWidth="1"/>
    <col min="53" max="53" width="16" bestFit="1" customWidth="1"/>
    <col min="54" max="54" width="15.28515625" bestFit="1" customWidth="1"/>
    <col min="55" max="56" width="15.28515625" customWidth="1"/>
    <col min="57" max="58" width="14.28515625" customWidth="1"/>
    <col min="59" max="59" width="15.28515625" bestFit="1" customWidth="1"/>
    <col min="60" max="61" width="14.28515625" customWidth="1"/>
    <col min="62" max="62" width="16" bestFit="1" customWidth="1"/>
    <col min="63" max="63" width="15.28515625" bestFit="1" customWidth="1"/>
    <col min="64" max="65" width="15.28515625" customWidth="1"/>
    <col min="66" max="66" width="14.28515625" bestFit="1" customWidth="1"/>
    <col min="67" max="67" width="14.28515625" customWidth="1"/>
    <col min="68" max="68" width="15" bestFit="1" customWidth="1"/>
    <col min="69" max="70" width="12.5703125" customWidth="1"/>
    <col min="71" max="71" width="14.28515625" bestFit="1" customWidth="1"/>
    <col min="72" max="72" width="15.28515625" bestFit="1" customWidth="1"/>
    <col min="73" max="73" width="15.140625" bestFit="1" customWidth="1"/>
  </cols>
  <sheetData>
    <row r="1" spans="1:73" x14ac:dyDescent="0.25">
      <c r="D1" s="26" t="s">
        <v>132</v>
      </c>
      <c r="E1" s="26"/>
      <c r="F1" s="26"/>
      <c r="AM1" s="25" t="s">
        <v>133</v>
      </c>
      <c r="AN1" s="27"/>
      <c r="AO1" s="27"/>
    </row>
    <row r="2" spans="1:73" x14ac:dyDescent="0.25">
      <c r="D2" t="s">
        <v>14</v>
      </c>
      <c r="E2"/>
      <c r="F2" s="24">
        <f>SUM(F4:F92)</f>
        <v>69264183</v>
      </c>
      <c r="G2" t="s">
        <v>16</v>
      </c>
      <c r="I2" s="24">
        <f>SUM(I4:I92)</f>
        <v>-35117200</v>
      </c>
      <c r="J2" t="s">
        <v>32</v>
      </c>
      <c r="L2" s="24">
        <f>SUM(L4:L92)</f>
        <v>-4039815790</v>
      </c>
      <c r="M2" t="s">
        <v>33</v>
      </c>
      <c r="N2" s="24"/>
      <c r="O2" s="24">
        <f>SUM(O4:O92)</f>
        <v>-957017475</v>
      </c>
      <c r="P2" t="s">
        <v>18</v>
      </c>
      <c r="R2" s="24">
        <f>SUM(R4:R92)</f>
        <v>-13468854640</v>
      </c>
      <c r="S2" t="s">
        <v>23</v>
      </c>
      <c r="U2" s="24">
        <f>SUM(U4:U92)</f>
        <v>-4088828297</v>
      </c>
      <c r="V2" t="s">
        <v>25</v>
      </c>
      <c r="X2" s="24">
        <f>SUM(X4:X92)</f>
        <v>-1560471252</v>
      </c>
      <c r="Y2" t="s">
        <v>37</v>
      </c>
      <c r="AA2" s="24">
        <f>SUM(AA4:AA92)</f>
        <v>-76602822</v>
      </c>
      <c r="AB2" t="s">
        <v>29</v>
      </c>
      <c r="AD2" s="24">
        <f>SUM(AD4:AD92)</f>
        <v>54101943</v>
      </c>
      <c r="AE2" t="s">
        <v>35</v>
      </c>
      <c r="AG2" s="24">
        <f>SUM(AG4:AG92)</f>
        <v>-4964509418</v>
      </c>
      <c r="AH2" t="s">
        <v>28</v>
      </c>
      <c r="AJ2" s="24">
        <f>SUM(AJ4:AJ92)</f>
        <v>13232506302</v>
      </c>
      <c r="AK2" t="s">
        <v>21</v>
      </c>
      <c r="AL2" t="s">
        <v>38</v>
      </c>
      <c r="AM2" s="21" t="s">
        <v>14</v>
      </c>
      <c r="AO2" s="24">
        <f>SUM(AO4:AO92)</f>
        <v>-90750926</v>
      </c>
      <c r="AP2" t="s">
        <v>16</v>
      </c>
      <c r="AR2" s="24">
        <f>SUM(AR4:AR92)</f>
        <v>-11374033</v>
      </c>
      <c r="AS2" t="s">
        <v>32</v>
      </c>
      <c r="AU2" s="24">
        <f>SUM(AU4:AU92)</f>
        <v>-3223954593</v>
      </c>
      <c r="AV2" t="s">
        <v>33</v>
      </c>
      <c r="AX2" s="24">
        <f>SUM(AX4:AX92)</f>
        <v>-76768293</v>
      </c>
      <c r="AY2" t="s">
        <v>18</v>
      </c>
      <c r="BA2" s="24">
        <f>SUM(BA4:BA92)</f>
        <v>-20995111</v>
      </c>
      <c r="BB2" t="s">
        <v>23</v>
      </c>
      <c r="BD2" s="24">
        <f>SUM(BD4:BD92)</f>
        <v>147015082</v>
      </c>
      <c r="BE2" t="s">
        <v>25</v>
      </c>
      <c r="BG2" s="24">
        <f>SUM(BG4:BG92)</f>
        <v>0</v>
      </c>
      <c r="BH2" t="s">
        <v>37</v>
      </c>
      <c r="BJ2" s="24">
        <f>SUM(BJ4:BJ92)</f>
        <v>0</v>
      </c>
      <c r="BK2" t="s">
        <v>29</v>
      </c>
      <c r="BM2" s="24">
        <f>SUM(BM4:BM92)</f>
        <v>-3199634067</v>
      </c>
      <c r="BN2" t="s">
        <v>35</v>
      </c>
      <c r="BP2" s="24">
        <f>SUM(BP4:BP92)</f>
        <v>0</v>
      </c>
      <c r="BQ2" t="s">
        <v>28</v>
      </c>
      <c r="BS2" s="24">
        <f>SUM(BS4:BS92)</f>
        <v>0</v>
      </c>
      <c r="BT2" t="s">
        <v>21</v>
      </c>
      <c r="BU2" t="s">
        <v>38</v>
      </c>
    </row>
    <row r="3" spans="1:73" s="6" customFormat="1" x14ac:dyDescent="0.25">
      <c r="A3" s="35" t="s">
        <v>140</v>
      </c>
      <c r="C3" s="6" t="s">
        <v>141</v>
      </c>
      <c r="D3" s="18" t="s">
        <v>135</v>
      </c>
      <c r="E3" s="18"/>
      <c r="F3" s="18"/>
      <c r="G3" s="3" t="s">
        <v>136</v>
      </c>
      <c r="H3" s="3"/>
      <c r="I3" s="3"/>
      <c r="J3" s="3" t="s">
        <v>137</v>
      </c>
      <c r="K3" s="3"/>
      <c r="L3" s="3"/>
      <c r="M3" s="3" t="s">
        <v>138</v>
      </c>
      <c r="N3" s="3"/>
      <c r="O3" s="3"/>
      <c r="P3" s="19" t="s">
        <v>270</v>
      </c>
      <c r="Q3" s="19"/>
      <c r="R3" s="19"/>
      <c r="S3" s="16" t="s">
        <v>23</v>
      </c>
      <c r="T3" s="19"/>
      <c r="U3" s="19"/>
      <c r="V3" s="19" t="s">
        <v>273</v>
      </c>
      <c r="W3" s="19"/>
      <c r="X3" s="19"/>
      <c r="Y3" s="19" t="s">
        <v>272</v>
      </c>
      <c r="Z3" s="19"/>
      <c r="AA3" s="19"/>
      <c r="AB3" s="19" t="s">
        <v>268</v>
      </c>
      <c r="AC3" s="19"/>
      <c r="AD3" s="19"/>
      <c r="AE3" s="19" t="s">
        <v>271</v>
      </c>
      <c r="AF3" s="19"/>
      <c r="AG3" s="19"/>
      <c r="AH3" s="19" t="s">
        <v>269</v>
      </c>
      <c r="AI3" s="19"/>
      <c r="AJ3" s="19"/>
      <c r="AK3" s="3"/>
      <c r="AL3" s="20"/>
      <c r="AM3" s="22" t="s">
        <v>135</v>
      </c>
      <c r="AN3" s="3"/>
      <c r="AO3" s="3"/>
      <c r="AP3" s="3" t="s">
        <v>136</v>
      </c>
      <c r="AQ3" s="3"/>
      <c r="AR3" s="3"/>
      <c r="AS3" s="3" t="s">
        <v>137</v>
      </c>
      <c r="AT3" s="3"/>
      <c r="AU3" s="3"/>
      <c r="AV3" s="3" t="s">
        <v>138</v>
      </c>
      <c r="AW3" s="3"/>
      <c r="AX3" s="3"/>
      <c r="AY3" s="19" t="s">
        <v>270</v>
      </c>
      <c r="AZ3" s="19"/>
      <c r="BA3" s="19"/>
      <c r="BB3" s="16" t="s">
        <v>23</v>
      </c>
      <c r="BC3" s="19"/>
      <c r="BD3" s="19"/>
      <c r="BE3" s="19" t="s">
        <v>273</v>
      </c>
      <c r="BF3" s="19"/>
      <c r="BG3" s="19"/>
      <c r="BH3" s="19" t="s">
        <v>272</v>
      </c>
      <c r="BI3" s="19"/>
      <c r="BJ3" s="19"/>
      <c r="BK3" s="19" t="s">
        <v>268</v>
      </c>
      <c r="BL3" s="19"/>
      <c r="BM3" s="19"/>
      <c r="BN3" s="19" t="s">
        <v>271</v>
      </c>
      <c r="BO3" s="19"/>
      <c r="BP3" s="19"/>
      <c r="BQ3" s="19" t="s">
        <v>269</v>
      </c>
      <c r="BR3" s="19"/>
      <c r="BS3" s="19"/>
      <c r="BT3" s="3"/>
      <c r="BU3" s="3"/>
    </row>
    <row r="4" spans="1:73" x14ac:dyDescent="0.25">
      <c r="A4" s="9" t="s">
        <v>284</v>
      </c>
      <c r="B4" t="s">
        <v>142</v>
      </c>
      <c r="C4" t="s">
        <v>82</v>
      </c>
      <c r="D4" s="7">
        <f>SUMIFS('Tong_hop_HQNV_2026Q1_2026-06-23'!$K:$K,'Tong_hop_HQNV_2026Q1_2026-06-23'!$A:$A,"="&amp;'CHECK_DT-BT_chi_tiet'!$D$2,'Tong_hop_HQNV_2026Q1_2026-06-23'!$B:$B, "="&amp;'CHECK_DT-BT_chi_tiet'!A4)</f>
        <v>8390624609</v>
      </c>
      <c r="E4" s="7">
        <f>SUMIFS('HQ1'!$C:$C,'HQ1'!$A:$A, "="&amp;'CHECK_DT-BT_chi_tiet'!C4,'HQ1'!$B:$B, "="&amp;'CHECK_DT-BT_chi_tiet'!$D$3)</f>
        <v>8390624609</v>
      </c>
      <c r="F4" s="7">
        <f>D4-E4</f>
        <v>0</v>
      </c>
      <c r="G4" s="7">
        <f>SUMIFS('Tong_hop_HQNV_2026Q1_2026-06-23'!$K:$K,'Tong_hop_HQNV_2026Q1_2026-06-23'!$A:$A,"="&amp;'CHECK_DT-BT_chi_tiet'!$G$2,'Tong_hop_HQNV_2026Q1_2026-06-23'!$B:$B, "="&amp;'CHECK_DT-BT_chi_tiet'!A4)</f>
        <v>126606400</v>
      </c>
      <c r="H4" s="7">
        <f>SUMIFS('HQ1'!$C:$C,'HQ1'!$A:$A, "="&amp;'CHECK_DT-BT_chi_tiet'!C4,'HQ1'!$B:$B, "="&amp;'CHECK_DT-BT_chi_tiet'!$G$3)</f>
        <v>126606400</v>
      </c>
      <c r="I4" s="7">
        <f>G4-H4</f>
        <v>0</v>
      </c>
      <c r="J4" s="7">
        <f>SUMIFS('Tong_hop_HQNV_2026Q1_2026-06-23'!$K:$K,'Tong_hop_HQNV_2026Q1_2026-06-23'!$A:$A,"="&amp;'CHECK_DT-BT_chi_tiet'!$J$2,'Tong_hop_HQNV_2026Q1_2026-06-23'!$B:$B, "="&amp;'CHECK_DT-BT_chi_tiet'!A4)</f>
        <v>7434905971</v>
      </c>
      <c r="K4" s="7">
        <f>SUMIFS('HQ1'!$C:$C,'HQ1'!$A:$A, "="&amp;'CHECK_DT-BT_chi_tiet'!C4,'HQ1'!$B:$B, "="&amp;'CHECK_DT-BT_chi_tiet'!$J$3)</f>
        <v>7434905971</v>
      </c>
      <c r="L4" s="7">
        <f>J4-K4</f>
        <v>0</v>
      </c>
      <c r="M4" s="7">
        <f>SUMIFS('Tong_hop_HQNV_2026Q1_2026-06-23'!$K:$K,'Tong_hop_HQNV_2026Q1_2026-06-23'!$A:$A,"="&amp;'CHECK_DT-BT_chi_tiet'!$M$2,'Tong_hop_HQNV_2026Q1_2026-06-23'!$B:$B, "="&amp;'CHECK_DT-BT_chi_tiet'!A4)</f>
        <v>2045474650</v>
      </c>
      <c r="N4" s="7">
        <f>SUMIFS('HQ1'!$C:$C,'HQ1'!$A:$A, "="&amp;'CHECK_DT-BT_chi_tiet'!C4,'HQ1'!$B:$B, "="&amp;'CHECK_DT-BT_chi_tiet'!$M$3)</f>
        <v>2045474650</v>
      </c>
      <c r="O4" s="7">
        <f>M4-N4</f>
        <v>0</v>
      </c>
      <c r="P4" s="7">
        <f>SUMIFS('Tong_hop_HQNV_2026Q1_2026-06-23'!$K:$K,'Tong_hop_HQNV_2026Q1_2026-06-23'!$A:$A,"="&amp;$P$2,'Tong_hop_HQNV_2026Q1_2026-06-23'!$B:$B, "="&amp;'CHECK_DT-BT_chi_tiet'!A4)</f>
        <v>336853305</v>
      </c>
      <c r="Q4" s="7">
        <f>SUMIFS('HQ2'!$C:$C,'HQ2'!$A:$A, "="&amp;'CHECK_DT-BT_chi_tiet'!C4,'HQ2'!$B:$B, "="&amp;'CHECK_DT-BT_chi_tiet'!$P$3)</f>
        <v>336853305</v>
      </c>
      <c r="R4" s="7">
        <f>P4-Q4</f>
        <v>0</v>
      </c>
      <c r="S4" s="7">
        <f>SUMIFS('Tong_hop_HQNV_2026Q1_2026-06-23'!$K:$K,'Tong_hop_HQNV_2026Q1_2026-06-23'!$A:$A,"="&amp;$S$2,'Tong_hop_HQNV_2026Q1_2026-06-23'!$B:$B, "="&amp;'CHECK_DT-BT_chi_tiet'!A4)</f>
        <v>0</v>
      </c>
      <c r="T4" s="7">
        <f>SUMIFS('HQ2'!$C:$C,'HQ2'!$A:$A, "="&amp;'CHECK_DT-BT_chi_tiet'!C4,'HQ2'!$B:$B, "="&amp;'CHECK_DT-BT_chi_tiet'!$S$3)</f>
        <v>0</v>
      </c>
      <c r="U4" s="7">
        <f>S4-T4</f>
        <v>0</v>
      </c>
      <c r="V4" s="7">
        <f>SUMIFS('Tong_hop_HQNV_2026Q1_2026-06-23'!$K:$K,'Tong_hop_HQNV_2026Q1_2026-06-23'!$A:$A,"="&amp;$V$2,'Tong_hop_HQNV_2026Q1_2026-06-23'!$B:$B, "="&amp;'CHECK_DT-BT_chi_tiet'!A4)</f>
        <v>0</v>
      </c>
      <c r="W4" s="7">
        <f>SUMIFS('HQ2'!$C:$C,'HQ2'!$A:$A, "="&amp;'CHECK_DT-BT_chi_tiet'!C4,'HQ2'!$B:$B, "="&amp;'CHECK_DT-BT_chi_tiet'!$V$3)</f>
        <v>0</v>
      </c>
      <c r="X4" s="7">
        <f>V4-W4</f>
        <v>0</v>
      </c>
      <c r="Y4" s="7">
        <f>SUMIFS('Tong_hop_HQNV_2026Q1_2026-06-23'!$K:$K,'Tong_hop_HQNV_2026Q1_2026-06-23'!$A:$A,"="&amp;$Y$2,'Tong_hop_HQNV_2026Q1_2026-06-23'!$B:$B, "="&amp;'CHECK_DT-BT_chi_tiet'!A4)</f>
        <v>1241514895</v>
      </c>
      <c r="Z4" s="7">
        <f>SUMIFS('HQ2'!$C:$C,'HQ2'!$A:$A, "="&amp;'CHECK_DT-BT_chi_tiet'!C4,'HQ2'!$B:$B, "="&amp;'CHECK_DT-BT_chi_tiet'!$Y$3)</f>
        <v>1241514895</v>
      </c>
      <c r="AA4" s="7">
        <f>Y4-Z4</f>
        <v>0</v>
      </c>
      <c r="AB4" s="7">
        <f>SUMIFS('Tong_hop_HQNV_2026Q1_2026-06-23'!$K:$K,'Tong_hop_HQNV_2026Q1_2026-06-23'!$A:$A,"="&amp;$AB$2,'Tong_hop_HQNV_2026Q1_2026-06-23'!$B:$B, "="&amp;'CHECK_DT-BT_chi_tiet'!A4)</f>
        <v>1084249857</v>
      </c>
      <c r="AC4" s="7">
        <f>SUMIFS('HQ2'!$C:$C,'HQ2'!$A:$A, "="&amp;'CHECK_DT-BT_chi_tiet'!C4,'HQ2'!$B:$B, "="&amp;'CHECK_DT-BT_chi_tiet'!$AB$3)</f>
        <v>1084249857</v>
      </c>
      <c r="AD4" s="7">
        <f>AB4-AC4</f>
        <v>0</v>
      </c>
      <c r="AE4" s="7">
        <f>SUMIFS('Tong_hop_HQNV_2026Q1_2026-06-23'!$K:$K,'Tong_hop_HQNV_2026Q1_2026-06-23'!$A:$A,"="&amp;$AE$2,'Tong_hop_HQNV_2026Q1_2026-06-23'!$B:$B, "="&amp;'CHECK_DT-BT_chi_tiet'!A4)</f>
        <v>910760929</v>
      </c>
      <c r="AF4" s="7">
        <f>SUMIFS('HQ2'!$C:$C,'HQ2'!$A:$A, "="&amp;'CHECK_DT-BT_chi_tiet'!C4,'HQ2'!$B:$B, "="&amp;'CHECK_DT-BT_chi_tiet'!$AE$3)</f>
        <v>910760929</v>
      </c>
      <c r="AG4" s="7">
        <f>AE4-AF4</f>
        <v>0</v>
      </c>
      <c r="AH4" s="7">
        <f>SUMIFS('Tong_hop_HQNV_2026Q1_2026-06-23'!$K:$K,'Tong_hop_HQNV_2026Q1_2026-06-23'!$A:$A,"="&amp;$AH$2,'Tong_hop_HQNV_2026Q1_2026-06-23'!$B:$B, "="&amp;'CHECK_DT-BT_chi_tiet'!A4)</f>
        <v>67976342</v>
      </c>
      <c r="AI4" s="7">
        <f>SUMIFS('HQ2'!$C:$C,'HQ2'!$A:$A, "="&amp;'CHECK_DT-BT_chi_tiet'!C4,'HQ2'!$B:$B, "="&amp;'CHECK_DT-BT_chi_tiet'!$AH$3)</f>
        <v>67976342</v>
      </c>
      <c r="AJ4" s="7">
        <f>AH4-AI4</f>
        <v>0</v>
      </c>
      <c r="AK4" s="7">
        <f>SUMIFS('Tong_hop_HQNV_2026Q1_2026-06-23'!$K:$K,'Tong_hop_HQNV_2026Q1_2026-06-23'!$A:$A,"="&amp;$AK$2,'Tong_hop_HQNV_2026Q1_2026-06-23'!$B:$B, "="&amp;'CHECK_DT-BT_chi_tiet'!A4)</f>
        <v>0</v>
      </c>
      <c r="AL4" s="7">
        <f>SUMIFS('Tong_hop_HQNV_2026Q1_2026-06-23'!$K:$K,'Tong_hop_HQNV_2026Q1_2026-06-23'!$A:$A,"="&amp;$AL$2,'Tong_hop_HQNV_2026Q1_2026-06-23'!$B:$B, "="&amp;'CHECK_DT-BT_chi_tiet'!A4)</f>
        <v>0</v>
      </c>
      <c r="AM4" s="23">
        <f>SUMIFS('Tong_hop_HQNV_2026Q1_2026-06-23'!$L:$L,'Tong_hop_HQNV_2026Q1_2026-06-23'!$B:$B, "="&amp;'CHECK_DT-BT_chi_tiet'!A4, 'Tong_hop_HQNV_2026Q1_2026-06-23'!$A:$A, "="&amp;'CHECK_DT-BT_chi_tiet'!$AM$2)</f>
        <v>7008590701</v>
      </c>
      <c r="AN4" s="29">
        <f>SUMIFS('HQ1'!$D:$D,'HQ1'!$A:$A, "="&amp;'CHECK_DT-BT_chi_tiet'!C4,'HQ1'!$B:$B,"="&amp;'CHECK_DT-BT_chi_tiet'!$AM$3)</f>
        <v>7008590701</v>
      </c>
      <c r="AO4" s="29">
        <f>AM4-AN4</f>
        <v>0</v>
      </c>
      <c r="AP4" s="7">
        <f>SUMIFS('Tong_hop_HQNV_2026Q1_2026-06-23'!$L:$L,'Tong_hop_HQNV_2026Q1_2026-06-23'!$B:$B, "="&amp;'CHECK_DT-BT_chi_tiet'!A4, 'Tong_hop_HQNV_2026Q1_2026-06-23'!$A:$A, "="&amp;'CHECK_DT-BT_chi_tiet'!$AP$2)</f>
        <v>0</v>
      </c>
      <c r="AQ4" s="29">
        <f>SUMIFS('HQ1'!$D:$D,'HQ1'!$A:$A, "="&amp;'CHECK_DT-BT_chi_tiet'!C4,'HQ1'!$B:$B,"="&amp;'CHECK_DT-BT_chi_tiet'!$AP$3)</f>
        <v>0</v>
      </c>
      <c r="AR4" s="7">
        <f>AP4-AQ4</f>
        <v>0</v>
      </c>
      <c r="AS4" s="7">
        <f>SUMIFS('Tong_hop_HQNV_2026Q1_2026-06-23'!$L:$L,'Tong_hop_HQNV_2026Q1_2026-06-23'!$B:$B, "="&amp;'CHECK_DT-BT_chi_tiet'!A4, 'Tong_hop_HQNV_2026Q1_2026-06-23'!$A:$A, "="&amp;'CHECK_DT-BT_chi_tiet'!$AS$2)</f>
        <v>3491094304</v>
      </c>
      <c r="AT4" s="29">
        <f>SUMIFS('HQ1'!$D:$D,'HQ1'!$A:$A, "="&amp;'CHECK_DT-BT_chi_tiet'!C4,'HQ1'!$B:$B,"="&amp;'CHECK_DT-BT_chi_tiet'!$AS$3)</f>
        <v>3491094304</v>
      </c>
      <c r="AU4" s="7">
        <f>AS4-AT4</f>
        <v>0</v>
      </c>
      <c r="AV4" s="7">
        <f>SUMIFS('Tong_hop_HQNV_2026Q1_2026-06-23'!$L:$L,'Tong_hop_HQNV_2026Q1_2026-06-23'!$B:$B, "="&amp;'CHECK_DT-BT_chi_tiet'!A4, 'Tong_hop_HQNV_2026Q1_2026-06-23'!$A:$A, "="&amp;'CHECK_DT-BT_chi_tiet'!$AV$2)</f>
        <v>103422211</v>
      </c>
      <c r="AW4" s="29">
        <f>SUMIFS('HQ1'!$D:$D,'HQ1'!$A:$A, "="&amp;'CHECK_DT-BT_chi_tiet'!C4,'HQ1'!$B:$B,"="&amp;'CHECK_DT-BT_chi_tiet'!$AV$3)</f>
        <v>103422211</v>
      </c>
      <c r="AX4" s="7">
        <f>AV4-AW4</f>
        <v>0</v>
      </c>
      <c r="AY4" s="7">
        <f>SUMIFS('Tong_hop_HQNV_2026Q1_2026-06-23'!$L:$L,'Tong_hop_HQNV_2026Q1_2026-06-23'!$B:$B, "="&amp;'CHECK_DT-BT_chi_tiet'!A4, 'Tong_hop_HQNV_2026Q1_2026-06-23'!$A:$A, "="&amp;$AY$2)</f>
        <v>0</v>
      </c>
      <c r="AZ4" s="29">
        <f>SUMIFS('HQ2'!$J:$J,'HQ2'!$A:$A, "="&amp;'CHECK_DT-BT_chi_tiet'!C4,'HQ2'!$B:$B,"="&amp;'CHECK_DT-BT_chi_tiet'!$AY$3)</f>
        <v>0</v>
      </c>
      <c r="BA4" s="7">
        <f>AZ4-AY4</f>
        <v>0</v>
      </c>
      <c r="BB4" s="7">
        <f>SUMIFS('Tong_hop_HQNV_2026Q1_2026-06-23'!$L:$L,'Tong_hop_HQNV_2026Q1_2026-06-23'!$B:$B, "="&amp;'CHECK_DT-BT_chi_tiet'!A4, 'Tong_hop_HQNV_2026Q1_2026-06-23'!$A:$A, "="&amp;$BB$2)</f>
        <v>0</v>
      </c>
      <c r="BC4" s="29">
        <f>SUMIFS('HQ2'!$J:$J,'HQ2'!$A:$A, "="&amp;'CHECK_DT-BT_chi_tiet'!C4,'HQ2'!$B:$B,"="&amp;'CHECK_DT-BT_chi_tiet'!$BB$3)</f>
        <v>0</v>
      </c>
      <c r="BD4" s="7">
        <f>BB4-BC4</f>
        <v>0</v>
      </c>
      <c r="BE4" s="7">
        <f>SUMIFS('Tong_hop_HQNV_2026Q1_2026-06-23'!$L:$L,'Tong_hop_HQNV_2026Q1_2026-06-23'!$B:$B, "="&amp;'CHECK_DT-BT_chi_tiet'!A4, 'Tong_hop_HQNV_2026Q1_2026-06-23'!$A:$A, "="&amp;$BE$2)</f>
        <v>0</v>
      </c>
      <c r="BF4" s="29">
        <f>SUMIFS('HQ2'!$J:$J,'HQ2'!$A:$A, "="&amp;'CHECK_DT-BT_chi_tiet'!C4,'HQ2'!$B:$B,"="&amp;'CHECK_DT-BT_chi_tiet'!$BE$3)</f>
        <v>0</v>
      </c>
      <c r="BG4" s="7">
        <f>BE4-BF4</f>
        <v>0</v>
      </c>
      <c r="BH4" s="7">
        <f>SUMIFS('Tong_hop_HQNV_2026Q1_2026-06-23'!$L:$L,'Tong_hop_HQNV_2026Q1_2026-06-23'!$B:$B, "="&amp;'CHECK_DT-BT_chi_tiet'!A4, 'Tong_hop_HQNV_2026Q1_2026-06-23'!$A:$A, "="&amp;$BH$2)</f>
        <v>108855000</v>
      </c>
      <c r="BI4" s="29">
        <f>SUMIFS('HQ2'!$J:$J,'HQ2'!$A:$A, "="&amp;'CHECK_DT-BT_chi_tiet'!C4,'HQ2'!$B:$B,"="&amp;'CHECK_DT-BT_chi_tiet'!$BH$3)</f>
        <v>108855000</v>
      </c>
      <c r="BJ4" s="7">
        <f>BH4-BI4</f>
        <v>0</v>
      </c>
      <c r="BK4" s="7">
        <f>SUMIFS('Tong_hop_HQNV_2026Q1_2026-06-23'!$L:$L,'Tong_hop_HQNV_2026Q1_2026-06-23'!$B:$B, "="&amp;'CHECK_DT-BT_chi_tiet'!A4, 'Tong_hop_HQNV_2026Q1_2026-06-23'!$A:$A, "="&amp;$BK$2)</f>
        <v>48588000</v>
      </c>
      <c r="BL4" s="29">
        <f>SUMIFS('HQ2'!$J:$J,'HQ2'!$A:$A, "="&amp;'CHECK_DT-BT_chi_tiet'!C4,'HQ2'!$B:$B,"="&amp;'CHECK_DT-BT_chi_tiet'!$BK$3)</f>
        <v>48588000</v>
      </c>
      <c r="BM4" s="7">
        <f>BK4-BL4</f>
        <v>0</v>
      </c>
      <c r="BN4" s="7">
        <f>SUMIFS('Tong_hop_HQNV_2026Q1_2026-06-23'!$L:$L,'Tong_hop_HQNV_2026Q1_2026-06-23'!$B:$B, "="&amp;'CHECK_DT-BT_chi_tiet'!A4, 'Tong_hop_HQNV_2026Q1_2026-06-23'!$A:$A, "="&amp;$BN$2)</f>
        <v>0</v>
      </c>
      <c r="BO4" s="29">
        <f>SUMIFS('HQ2'!$J:$J,'HQ2'!$A:$A, "="&amp;'CHECK_DT-BT_chi_tiet'!C4,'HQ2'!$B:$B,"="&amp;'CHECK_DT-BT_chi_tiet'!$BN$3)</f>
        <v>0</v>
      </c>
      <c r="BP4" s="7">
        <f>BN4-BO4</f>
        <v>0</v>
      </c>
      <c r="BQ4" s="7">
        <f>SUMIFS('Tong_hop_HQNV_2026Q1_2026-06-23'!$L:$L,'Tong_hop_HQNV_2026Q1_2026-06-23'!$B:$B, "="&amp;'CHECK_DT-BT_chi_tiet'!A4, 'Tong_hop_HQNV_2026Q1_2026-06-23'!$A:$A, "="&amp;$BQ$2)</f>
        <v>0</v>
      </c>
      <c r="BR4" s="29">
        <f>SUMIFS('HQ2'!$J:$J,'HQ2'!$A:$A, "="&amp;'CHECK_DT-BT_chi_tiet'!C4,'HQ2'!$B:$B,"="&amp;'CHECK_DT-BT_chi_tiet'!$BQ$3)</f>
        <v>0</v>
      </c>
      <c r="BS4" s="7">
        <f>BQ4-BR4</f>
        <v>0</v>
      </c>
      <c r="BT4" s="7">
        <f>SUMIFS('Tong_hop_HQNV_2026Q1_2026-06-23'!$L:$L,'Tong_hop_HQNV_2026Q1_2026-06-23'!$B:$B, "="&amp;'CHECK_DT-BT_chi_tiet'!A4, 'Tong_hop_HQNV_2026Q1_2026-06-23'!$A:$A, "="&amp;$BT$2)</f>
        <v>0</v>
      </c>
      <c r="BU4" s="7">
        <f>SUMIFS('Tong_hop_HQNV_2026Q1_2026-06-23'!$L:$L,'Tong_hop_HQNV_2026Q1_2026-06-23'!$B:$B, "="&amp;'CHECK_DT-BT_chi_tiet'!A4, 'Tong_hop_HQNV_2026Q1_2026-06-23'!$A:$A, "="&amp;$BU$2)</f>
        <v>0</v>
      </c>
    </row>
    <row r="5" spans="1:73" x14ac:dyDescent="0.25">
      <c r="A5" s="9" t="s">
        <v>285</v>
      </c>
      <c r="B5" t="s">
        <v>143</v>
      </c>
      <c r="C5" t="s">
        <v>61</v>
      </c>
      <c r="D5" s="7">
        <f>SUMIFS('Tong_hop_HQNV_2026Q1_2026-06-23'!$K:$K,'Tong_hop_HQNV_2026Q1_2026-06-23'!$A:$A,"="&amp;'CHECK_DT-BT_chi_tiet'!$D$2,'Tong_hop_HQNV_2026Q1_2026-06-23'!$B:$B, "="&amp;'CHECK_DT-BT_chi_tiet'!A5)</f>
        <v>1687239421</v>
      </c>
      <c r="E5" s="7">
        <f>SUMIFS('HQ1'!$C:$C,'HQ1'!$A:$A, "="&amp;'CHECK_DT-BT_chi_tiet'!C5,'HQ1'!$B:$B, "="&amp;'CHECK_DT-BT_chi_tiet'!$D$3)</f>
        <v>1687239421</v>
      </c>
      <c r="F5" s="7">
        <f t="shared" ref="F5:F68" si="0">D5-E5</f>
        <v>0</v>
      </c>
      <c r="G5" s="7">
        <f>SUMIFS('Tong_hop_HQNV_2026Q1_2026-06-23'!$K:$K,'Tong_hop_HQNV_2026Q1_2026-06-23'!$A:$A,"="&amp;'CHECK_DT-BT_chi_tiet'!$G$2,'Tong_hop_HQNV_2026Q1_2026-06-23'!$B:$B, "="&amp;'CHECK_DT-BT_chi_tiet'!A5)</f>
        <v>156914000</v>
      </c>
      <c r="H5" s="7">
        <f>SUMIFS('HQ1'!$C:$C,'HQ1'!$A:$A, "="&amp;'CHECK_DT-BT_chi_tiet'!C5,'HQ1'!$B:$B, "="&amp;'CHECK_DT-BT_chi_tiet'!$G$3)</f>
        <v>156914000</v>
      </c>
      <c r="I5" s="7">
        <f t="shared" ref="I5:I68" si="1">G5-H5</f>
        <v>0</v>
      </c>
      <c r="J5" s="7">
        <f>SUMIFS('Tong_hop_HQNV_2026Q1_2026-06-23'!$K:$K,'Tong_hop_HQNV_2026Q1_2026-06-23'!$A:$A,"="&amp;'CHECK_DT-BT_chi_tiet'!$J$2,'Tong_hop_HQNV_2026Q1_2026-06-23'!$B:$B, "="&amp;'CHECK_DT-BT_chi_tiet'!A5)</f>
        <v>18250604644</v>
      </c>
      <c r="K5" s="7">
        <f>SUMIFS('HQ1'!$C:$C,'HQ1'!$A:$A, "="&amp;'CHECK_DT-BT_chi_tiet'!C5,'HQ1'!$B:$B, "="&amp;'CHECK_DT-BT_chi_tiet'!$J$3)</f>
        <v>18250604644</v>
      </c>
      <c r="L5" s="7">
        <f t="shared" ref="L5:L68" si="2">J5-K5</f>
        <v>0</v>
      </c>
      <c r="M5" s="7">
        <f>SUMIFS('Tong_hop_HQNV_2026Q1_2026-06-23'!$K:$K,'Tong_hop_HQNV_2026Q1_2026-06-23'!$A:$A,"="&amp;'CHECK_DT-BT_chi_tiet'!$M$2,'Tong_hop_HQNV_2026Q1_2026-06-23'!$B:$B, "="&amp;'CHECK_DT-BT_chi_tiet'!A5)</f>
        <v>11838815589</v>
      </c>
      <c r="N5" s="7">
        <f>SUMIFS('HQ1'!$C:$C,'HQ1'!$A:$A, "="&amp;'CHECK_DT-BT_chi_tiet'!C5,'HQ1'!$B:$B, "="&amp;'CHECK_DT-BT_chi_tiet'!$M$3)</f>
        <v>11838815589</v>
      </c>
      <c r="O5" s="7">
        <f t="shared" ref="O5:O68" si="3">M5-N5</f>
        <v>0</v>
      </c>
      <c r="P5" s="7">
        <f>SUMIFS('Tong_hop_HQNV_2026Q1_2026-06-23'!$K:$K,'Tong_hop_HQNV_2026Q1_2026-06-23'!$A:$A,"="&amp;$P$2,'Tong_hop_HQNV_2026Q1_2026-06-23'!$B:$B, "="&amp;'CHECK_DT-BT_chi_tiet'!A5)</f>
        <v>4558057898</v>
      </c>
      <c r="Q5" s="7">
        <f>SUMIFS('HQ2'!$C:$C,'HQ2'!$A:$A, "="&amp;'CHECK_DT-BT_chi_tiet'!C5,'HQ2'!$B:$B, "="&amp;'CHECK_DT-BT_chi_tiet'!$P$3)</f>
        <v>4558057898</v>
      </c>
      <c r="R5" s="7">
        <f t="shared" ref="R5:R68" si="4">P5-Q5</f>
        <v>0</v>
      </c>
      <c r="S5" s="7">
        <f>SUMIFS('Tong_hop_HQNV_2026Q1_2026-06-23'!$K:$K,'Tong_hop_HQNV_2026Q1_2026-06-23'!$A:$A,"="&amp;$S$2,'Tong_hop_HQNV_2026Q1_2026-06-23'!$B:$B, "="&amp;'CHECK_DT-BT_chi_tiet'!A5)</f>
        <v>0</v>
      </c>
      <c r="T5" s="7">
        <f>SUMIFS('HQ2'!$C:$C,'HQ2'!$A:$A, "="&amp;'CHECK_DT-BT_chi_tiet'!C5,'HQ2'!$B:$B, "="&amp;'CHECK_DT-BT_chi_tiet'!$S$3)</f>
        <v>0</v>
      </c>
      <c r="U5" s="7">
        <f t="shared" ref="U5:U68" si="5">S5-T5</f>
        <v>0</v>
      </c>
      <c r="V5" s="7">
        <f>SUMIFS('Tong_hop_HQNV_2026Q1_2026-06-23'!$K:$K,'Tong_hop_HQNV_2026Q1_2026-06-23'!$A:$A,"="&amp;$V$2,'Tong_hop_HQNV_2026Q1_2026-06-23'!$B:$B, "="&amp;'CHECK_DT-BT_chi_tiet'!A5)</f>
        <v>0</v>
      </c>
      <c r="W5" s="7">
        <f>SUMIFS('HQ2'!$C:$C,'HQ2'!$A:$A, "="&amp;'CHECK_DT-BT_chi_tiet'!C5,'HQ2'!$B:$B, "="&amp;'CHECK_DT-BT_chi_tiet'!$V$3)</f>
        <v>0</v>
      </c>
      <c r="X5" s="7">
        <f t="shared" ref="X5:X68" si="6">V5-W5</f>
        <v>0</v>
      </c>
      <c r="Y5" s="7">
        <f>SUMIFS('Tong_hop_HQNV_2026Q1_2026-06-23'!$K:$K,'Tong_hop_HQNV_2026Q1_2026-06-23'!$A:$A,"="&amp;$Y$2,'Tong_hop_HQNV_2026Q1_2026-06-23'!$B:$B, "="&amp;'CHECK_DT-BT_chi_tiet'!A5)</f>
        <v>15958800</v>
      </c>
      <c r="Z5" s="7">
        <f>SUMIFS('HQ2'!$C:$C,'HQ2'!$A:$A, "="&amp;'CHECK_DT-BT_chi_tiet'!C5,'HQ2'!$B:$B, "="&amp;'CHECK_DT-BT_chi_tiet'!$Y$3)</f>
        <v>15958800</v>
      </c>
      <c r="AA5" s="7">
        <f t="shared" ref="AA5:AA68" si="7">Y5-Z5</f>
        <v>0</v>
      </c>
      <c r="AB5" s="7">
        <f>SUMIFS('Tong_hop_HQNV_2026Q1_2026-06-23'!$K:$K,'Tong_hop_HQNV_2026Q1_2026-06-23'!$A:$A,"="&amp;$AB$2,'Tong_hop_HQNV_2026Q1_2026-06-23'!$B:$B, "="&amp;'CHECK_DT-BT_chi_tiet'!A5)</f>
        <v>5466525780</v>
      </c>
      <c r="AC5" s="7">
        <f>SUMIFS('HQ2'!$C:$C,'HQ2'!$A:$A, "="&amp;'CHECK_DT-BT_chi_tiet'!C5,'HQ2'!$B:$B, "="&amp;'CHECK_DT-BT_chi_tiet'!$AB$3)</f>
        <v>5466525780</v>
      </c>
      <c r="AD5" s="7">
        <f t="shared" ref="AD5:AD68" si="8">AB5-AC5</f>
        <v>0</v>
      </c>
      <c r="AE5" s="7">
        <f>SUMIFS('Tong_hop_HQNV_2026Q1_2026-06-23'!$K:$K,'Tong_hop_HQNV_2026Q1_2026-06-23'!$A:$A,"="&amp;$AE$2,'Tong_hop_HQNV_2026Q1_2026-06-23'!$B:$B, "="&amp;'CHECK_DT-BT_chi_tiet'!A5)</f>
        <v>143527066</v>
      </c>
      <c r="AF5" s="7">
        <f>SUMIFS('HQ2'!$C:$C,'HQ2'!$A:$A, "="&amp;'CHECK_DT-BT_chi_tiet'!C5,'HQ2'!$B:$B, "="&amp;'CHECK_DT-BT_chi_tiet'!$AE$3)</f>
        <v>143527066</v>
      </c>
      <c r="AG5" s="7">
        <f t="shared" ref="AG5:AG68" si="9">AE5-AF5</f>
        <v>0</v>
      </c>
      <c r="AH5" s="7">
        <f>SUMIFS('Tong_hop_HQNV_2026Q1_2026-06-23'!$K:$K,'Tong_hop_HQNV_2026Q1_2026-06-23'!$A:$A,"="&amp;$AH$2,'Tong_hop_HQNV_2026Q1_2026-06-23'!$B:$B, "="&amp;'CHECK_DT-BT_chi_tiet'!A5)</f>
        <v>301096664</v>
      </c>
      <c r="AI5" s="7">
        <f>SUMIFS('HQ2'!$C:$C,'HQ2'!$A:$A, "="&amp;'CHECK_DT-BT_chi_tiet'!C5,'HQ2'!$B:$B, "="&amp;'CHECK_DT-BT_chi_tiet'!$AH$3)</f>
        <v>301096664</v>
      </c>
      <c r="AJ5" s="7">
        <f t="shared" ref="AJ5:AJ68" si="10">AH5-AI5</f>
        <v>0</v>
      </c>
      <c r="AK5" s="7">
        <f>SUMIFS('Tong_hop_HQNV_2026Q1_2026-06-23'!$K:$K,'Tong_hop_HQNV_2026Q1_2026-06-23'!$A:$A,"="&amp;$AK$2,'Tong_hop_HQNV_2026Q1_2026-06-23'!$B:$B, "="&amp;'CHECK_DT-BT_chi_tiet'!A5)</f>
        <v>0</v>
      </c>
      <c r="AL5" s="7">
        <f>SUMIFS('Tong_hop_HQNV_2026Q1_2026-06-23'!$K:$K,'Tong_hop_HQNV_2026Q1_2026-06-23'!$A:$A,"="&amp;$AL$2,'Tong_hop_HQNV_2026Q1_2026-06-23'!$B:$B, "="&amp;'CHECK_DT-BT_chi_tiet'!A5)</f>
        <v>0</v>
      </c>
      <c r="AM5" s="23">
        <f>SUMIFS('Tong_hop_HQNV_2026Q1_2026-06-23'!$L:$L,'Tong_hop_HQNV_2026Q1_2026-06-23'!$B:$B, "="&amp;'CHECK_DT-BT_chi_tiet'!A5, 'Tong_hop_HQNV_2026Q1_2026-06-23'!$A:$A, "="&amp;'CHECK_DT-BT_chi_tiet'!$AM$2)</f>
        <v>47545756</v>
      </c>
      <c r="AN5" s="29">
        <f>SUMIFS('HQ1'!$D:$D,'HQ1'!$A:$A, "="&amp;'CHECK_DT-BT_chi_tiet'!C5,'HQ1'!$B:$B,"="&amp;'CHECK_DT-BT_chi_tiet'!$AM$3)</f>
        <v>47545756</v>
      </c>
      <c r="AO5" s="29">
        <f t="shared" ref="AO5:AO68" si="11">AM5-AN5</f>
        <v>0</v>
      </c>
      <c r="AP5" s="7">
        <f>SUMIFS('Tong_hop_HQNV_2026Q1_2026-06-23'!$L:$L,'Tong_hop_HQNV_2026Q1_2026-06-23'!$B:$B, "="&amp;'CHECK_DT-BT_chi_tiet'!A5, 'Tong_hop_HQNV_2026Q1_2026-06-23'!$A:$A, "="&amp;'CHECK_DT-BT_chi_tiet'!$AP$2)</f>
        <v>0</v>
      </c>
      <c r="AQ5" s="29">
        <f>SUMIFS('HQ1'!$D:$D,'HQ1'!$A:$A, "="&amp;'CHECK_DT-BT_chi_tiet'!C5,'HQ1'!$B:$B,"="&amp;'CHECK_DT-BT_chi_tiet'!$AP$3)</f>
        <v>0</v>
      </c>
      <c r="AR5" s="7">
        <f t="shared" ref="AR5:AR68" si="12">AP5-AQ5</f>
        <v>0</v>
      </c>
      <c r="AS5" s="7">
        <f>SUMIFS('Tong_hop_HQNV_2026Q1_2026-06-23'!$L:$L,'Tong_hop_HQNV_2026Q1_2026-06-23'!$B:$B, "="&amp;'CHECK_DT-BT_chi_tiet'!A5, 'Tong_hop_HQNV_2026Q1_2026-06-23'!$A:$A, "="&amp;'CHECK_DT-BT_chi_tiet'!$AS$2)</f>
        <v>7449408983</v>
      </c>
      <c r="AT5" s="29">
        <f>SUMIFS('HQ1'!$D:$D,'HQ1'!$A:$A, "="&amp;'CHECK_DT-BT_chi_tiet'!C5,'HQ1'!$B:$B,"="&amp;'CHECK_DT-BT_chi_tiet'!$AS$3)</f>
        <v>7449408983</v>
      </c>
      <c r="AU5" s="7">
        <f t="shared" ref="AU5:AU68" si="13">AS5-AT5</f>
        <v>0</v>
      </c>
      <c r="AV5" s="7">
        <f>SUMIFS('Tong_hop_HQNV_2026Q1_2026-06-23'!$L:$L,'Tong_hop_HQNV_2026Q1_2026-06-23'!$B:$B, "="&amp;'CHECK_DT-BT_chi_tiet'!A5, 'Tong_hop_HQNV_2026Q1_2026-06-23'!$A:$A, "="&amp;'CHECK_DT-BT_chi_tiet'!$AV$2)</f>
        <v>3597479961</v>
      </c>
      <c r="AW5" s="29">
        <f>SUMIFS('HQ1'!$D:$D,'HQ1'!$A:$A, "="&amp;'CHECK_DT-BT_chi_tiet'!C5,'HQ1'!$B:$B,"="&amp;'CHECK_DT-BT_chi_tiet'!$AV$3)</f>
        <v>3597479961</v>
      </c>
      <c r="AX5" s="7">
        <f t="shared" ref="AX5:AX68" si="14">AV5-AW5</f>
        <v>0</v>
      </c>
      <c r="AY5" s="7">
        <f>SUMIFS('Tong_hop_HQNV_2026Q1_2026-06-23'!$L:$L,'Tong_hop_HQNV_2026Q1_2026-06-23'!$B:$B, "="&amp;'CHECK_DT-BT_chi_tiet'!A5, 'Tong_hop_HQNV_2026Q1_2026-06-23'!$A:$A, "="&amp;$AY$2)</f>
        <v>694504790</v>
      </c>
      <c r="AZ5" s="29">
        <f>SUMIFS('HQ2'!$J:$J,'HQ2'!$A:$A, "="&amp;'CHECK_DT-BT_chi_tiet'!C5,'HQ2'!$B:$B,"="&amp;'CHECK_DT-BT_chi_tiet'!$AY$3)</f>
        <v>694504790</v>
      </c>
      <c r="BA5" s="7">
        <f t="shared" ref="BA5:BA68" si="15">AZ5-AY5</f>
        <v>0</v>
      </c>
      <c r="BB5" s="7">
        <f>SUMIFS('Tong_hop_HQNV_2026Q1_2026-06-23'!$L:$L,'Tong_hop_HQNV_2026Q1_2026-06-23'!$B:$B, "="&amp;'CHECK_DT-BT_chi_tiet'!A5, 'Tong_hop_HQNV_2026Q1_2026-06-23'!$A:$A, "="&amp;$BB$2)</f>
        <v>0</v>
      </c>
      <c r="BC5" s="29">
        <f>SUMIFS('HQ2'!$J:$J,'HQ2'!$A:$A, "="&amp;'CHECK_DT-BT_chi_tiet'!C5,'HQ2'!$B:$B,"="&amp;'CHECK_DT-BT_chi_tiet'!$BB$3)</f>
        <v>0</v>
      </c>
      <c r="BD5" s="7">
        <f t="shared" ref="BD5:BD68" si="16">BB5-BC5</f>
        <v>0</v>
      </c>
      <c r="BE5" s="7">
        <f>SUMIFS('Tong_hop_HQNV_2026Q1_2026-06-23'!$L:$L,'Tong_hop_HQNV_2026Q1_2026-06-23'!$B:$B, "="&amp;'CHECK_DT-BT_chi_tiet'!A5, 'Tong_hop_HQNV_2026Q1_2026-06-23'!$A:$A, "="&amp;$BE$2)</f>
        <v>0</v>
      </c>
      <c r="BF5" s="29">
        <f>SUMIFS('HQ2'!$J:$J,'HQ2'!$A:$A, "="&amp;'CHECK_DT-BT_chi_tiet'!C5,'HQ2'!$B:$B,"="&amp;'CHECK_DT-BT_chi_tiet'!$BE$3)</f>
        <v>0</v>
      </c>
      <c r="BG5" s="7">
        <f t="shared" ref="BG5:BG68" si="17">BE5-BF5</f>
        <v>0</v>
      </c>
      <c r="BH5" s="7">
        <f>SUMIFS('Tong_hop_HQNV_2026Q1_2026-06-23'!$L:$L,'Tong_hop_HQNV_2026Q1_2026-06-23'!$B:$B, "="&amp;'CHECK_DT-BT_chi_tiet'!A5, 'Tong_hop_HQNV_2026Q1_2026-06-23'!$A:$A, "="&amp;$BH$2)</f>
        <v>0</v>
      </c>
      <c r="BI5" s="29">
        <f>SUMIFS('HQ2'!$J:$J,'HQ2'!$A:$A, "="&amp;'CHECK_DT-BT_chi_tiet'!C5,'HQ2'!$B:$B,"="&amp;'CHECK_DT-BT_chi_tiet'!$BH$3)</f>
        <v>0</v>
      </c>
      <c r="BJ5" s="7">
        <f t="shared" ref="BJ5:BJ68" si="18">BH5-BI5</f>
        <v>0</v>
      </c>
      <c r="BK5" s="7">
        <f>SUMIFS('Tong_hop_HQNV_2026Q1_2026-06-23'!$L:$L,'Tong_hop_HQNV_2026Q1_2026-06-23'!$B:$B, "="&amp;'CHECK_DT-BT_chi_tiet'!A5, 'Tong_hop_HQNV_2026Q1_2026-06-23'!$A:$A, "="&amp;$BK$2)</f>
        <v>17500000</v>
      </c>
      <c r="BL5" s="29">
        <f>SUMIFS('HQ2'!$J:$J,'HQ2'!$A:$A, "="&amp;'CHECK_DT-BT_chi_tiet'!C5,'HQ2'!$B:$B,"="&amp;'CHECK_DT-BT_chi_tiet'!$BK$3)</f>
        <v>17500000</v>
      </c>
      <c r="BM5" s="7">
        <f t="shared" ref="BM5:BM68" si="19">BK5-BL5</f>
        <v>0</v>
      </c>
      <c r="BN5" s="7">
        <f>SUMIFS('Tong_hop_HQNV_2026Q1_2026-06-23'!$L:$L,'Tong_hop_HQNV_2026Q1_2026-06-23'!$B:$B, "="&amp;'CHECK_DT-BT_chi_tiet'!A5, 'Tong_hop_HQNV_2026Q1_2026-06-23'!$A:$A, "="&amp;$BN$2)</f>
        <v>0</v>
      </c>
      <c r="BO5" s="29">
        <f>SUMIFS('HQ2'!$J:$J,'HQ2'!$A:$A, "="&amp;'CHECK_DT-BT_chi_tiet'!C5,'HQ2'!$B:$B,"="&amp;'CHECK_DT-BT_chi_tiet'!$BN$3)</f>
        <v>0</v>
      </c>
      <c r="BP5" s="7">
        <f t="shared" ref="BP5:BP68" si="20">BN5-BO5</f>
        <v>0</v>
      </c>
      <c r="BQ5" s="7">
        <f>SUMIFS('Tong_hop_HQNV_2026Q1_2026-06-23'!$L:$L,'Tong_hop_HQNV_2026Q1_2026-06-23'!$B:$B, "="&amp;'CHECK_DT-BT_chi_tiet'!A5, 'Tong_hop_HQNV_2026Q1_2026-06-23'!$A:$A, "="&amp;$BQ$2)</f>
        <v>0</v>
      </c>
      <c r="BR5" s="29">
        <f>SUMIFS('HQ2'!$J:$J,'HQ2'!$A:$A, "="&amp;'CHECK_DT-BT_chi_tiet'!C5,'HQ2'!$B:$B,"="&amp;'CHECK_DT-BT_chi_tiet'!$BQ$3)</f>
        <v>0</v>
      </c>
      <c r="BS5" s="7">
        <f t="shared" ref="BS5:BS68" si="21">BQ5-BR5</f>
        <v>0</v>
      </c>
      <c r="BT5" s="7">
        <f>SUMIFS('Tong_hop_HQNV_2026Q1_2026-06-23'!$L:$L,'Tong_hop_HQNV_2026Q1_2026-06-23'!$B:$B, "="&amp;'CHECK_DT-BT_chi_tiet'!A5, 'Tong_hop_HQNV_2026Q1_2026-06-23'!$A:$A, "="&amp;$BT$2)</f>
        <v>0</v>
      </c>
      <c r="BU5" s="7">
        <f>SUMIFS('Tong_hop_HQNV_2026Q1_2026-06-23'!$L:$L,'Tong_hop_HQNV_2026Q1_2026-06-23'!$B:$B, "="&amp;'CHECK_DT-BT_chi_tiet'!A5, 'Tong_hop_HQNV_2026Q1_2026-06-23'!$A:$A, "="&amp;$BU$2)</f>
        <v>0</v>
      </c>
    </row>
    <row r="6" spans="1:73" x14ac:dyDescent="0.25">
      <c r="A6" s="9" t="s">
        <v>286</v>
      </c>
      <c r="B6" t="s">
        <v>144</v>
      </c>
      <c r="C6" t="s">
        <v>76</v>
      </c>
      <c r="D6" s="7">
        <f>SUMIFS('Tong_hop_HQNV_2026Q1_2026-06-23'!$K:$K,'Tong_hop_HQNV_2026Q1_2026-06-23'!$A:$A,"="&amp;'CHECK_DT-BT_chi_tiet'!$D$2,'Tong_hop_HQNV_2026Q1_2026-06-23'!$B:$B, "="&amp;'CHECK_DT-BT_chi_tiet'!A6)</f>
        <v>1061859078</v>
      </c>
      <c r="E6" s="7">
        <f>SUMIFS('HQ1'!$C:$C,'HQ1'!$A:$A, "="&amp;'CHECK_DT-BT_chi_tiet'!C6,'HQ1'!$B:$B, "="&amp;'CHECK_DT-BT_chi_tiet'!$D$3)</f>
        <v>1061859078</v>
      </c>
      <c r="F6" s="7">
        <f t="shared" si="0"/>
        <v>0</v>
      </c>
      <c r="G6" s="7">
        <f>SUMIFS('Tong_hop_HQNV_2026Q1_2026-06-23'!$K:$K,'Tong_hop_HQNV_2026Q1_2026-06-23'!$A:$A,"="&amp;'CHECK_DT-BT_chi_tiet'!$G$2,'Tong_hop_HQNV_2026Q1_2026-06-23'!$B:$B, "="&amp;'CHECK_DT-BT_chi_tiet'!A6)</f>
        <v>29762150</v>
      </c>
      <c r="H6" s="7">
        <f>SUMIFS('HQ1'!$C:$C,'HQ1'!$A:$A, "="&amp;'CHECK_DT-BT_chi_tiet'!C6,'HQ1'!$B:$B, "="&amp;'CHECK_DT-BT_chi_tiet'!$G$3)</f>
        <v>29762150</v>
      </c>
      <c r="I6" s="7">
        <f t="shared" si="1"/>
        <v>0</v>
      </c>
      <c r="J6" s="7">
        <f>SUMIFS('Tong_hop_HQNV_2026Q1_2026-06-23'!$K:$K,'Tong_hop_HQNV_2026Q1_2026-06-23'!$A:$A,"="&amp;'CHECK_DT-BT_chi_tiet'!$J$2,'Tong_hop_HQNV_2026Q1_2026-06-23'!$B:$B, "="&amp;'CHECK_DT-BT_chi_tiet'!A6)</f>
        <v>1233356071</v>
      </c>
      <c r="K6" s="7">
        <f>SUMIFS('HQ1'!$C:$C,'HQ1'!$A:$A, "="&amp;'CHECK_DT-BT_chi_tiet'!C6,'HQ1'!$B:$B, "="&amp;'CHECK_DT-BT_chi_tiet'!$J$3)</f>
        <v>1233356071</v>
      </c>
      <c r="L6" s="7">
        <f t="shared" si="2"/>
        <v>0</v>
      </c>
      <c r="M6" s="7">
        <f>SUMIFS('Tong_hop_HQNV_2026Q1_2026-06-23'!$K:$K,'Tong_hop_HQNV_2026Q1_2026-06-23'!$A:$A,"="&amp;'CHECK_DT-BT_chi_tiet'!$M$2,'Tong_hop_HQNV_2026Q1_2026-06-23'!$B:$B, "="&amp;'CHECK_DT-BT_chi_tiet'!A6)</f>
        <v>6721709500</v>
      </c>
      <c r="N6" s="7">
        <f>SUMIFS('HQ1'!$C:$C,'HQ1'!$A:$A, "="&amp;'CHECK_DT-BT_chi_tiet'!C6,'HQ1'!$B:$B, "="&amp;'CHECK_DT-BT_chi_tiet'!$M$3)</f>
        <v>6721709500</v>
      </c>
      <c r="O6" s="7">
        <f t="shared" si="3"/>
        <v>0</v>
      </c>
      <c r="P6" s="7">
        <f>SUMIFS('Tong_hop_HQNV_2026Q1_2026-06-23'!$K:$K,'Tong_hop_HQNV_2026Q1_2026-06-23'!$A:$A,"="&amp;$P$2,'Tong_hop_HQNV_2026Q1_2026-06-23'!$B:$B, "="&amp;'CHECK_DT-BT_chi_tiet'!A6)</f>
        <v>2252292953</v>
      </c>
      <c r="Q6" s="7">
        <f>SUMIFS('HQ2'!$C:$C,'HQ2'!$A:$A, "="&amp;'CHECK_DT-BT_chi_tiet'!C6,'HQ2'!$B:$B, "="&amp;'CHECK_DT-BT_chi_tiet'!$P$3)</f>
        <v>2252292953</v>
      </c>
      <c r="R6" s="7">
        <f t="shared" si="4"/>
        <v>0</v>
      </c>
      <c r="S6" s="7">
        <f>SUMIFS('Tong_hop_HQNV_2026Q1_2026-06-23'!$K:$K,'Tong_hop_HQNV_2026Q1_2026-06-23'!$A:$A,"="&amp;$S$2,'Tong_hop_HQNV_2026Q1_2026-06-23'!$B:$B, "="&amp;'CHECK_DT-BT_chi_tiet'!A6)</f>
        <v>2115945560</v>
      </c>
      <c r="T6" s="7">
        <f>SUMIFS('HQ2'!$C:$C,'HQ2'!$A:$A, "="&amp;'CHECK_DT-BT_chi_tiet'!C6,'HQ2'!$B:$B, "="&amp;'CHECK_DT-BT_chi_tiet'!$S$3)</f>
        <v>2115945560</v>
      </c>
      <c r="U6" s="7">
        <f t="shared" si="5"/>
        <v>0</v>
      </c>
      <c r="V6" s="7">
        <f>SUMIFS('Tong_hop_HQNV_2026Q1_2026-06-23'!$K:$K,'Tong_hop_HQNV_2026Q1_2026-06-23'!$A:$A,"="&amp;$V$2,'Tong_hop_HQNV_2026Q1_2026-06-23'!$B:$B, "="&amp;'CHECK_DT-BT_chi_tiet'!A6)</f>
        <v>566746155</v>
      </c>
      <c r="W6" s="7">
        <f>SUMIFS('HQ2'!$C:$C,'HQ2'!$A:$A, "="&amp;'CHECK_DT-BT_chi_tiet'!C6,'HQ2'!$B:$B, "="&amp;'CHECK_DT-BT_chi_tiet'!$V$3)</f>
        <v>566746155</v>
      </c>
      <c r="X6" s="7">
        <f t="shared" si="6"/>
        <v>0</v>
      </c>
      <c r="Y6" s="7">
        <f>SUMIFS('Tong_hop_HQNV_2026Q1_2026-06-23'!$K:$K,'Tong_hop_HQNV_2026Q1_2026-06-23'!$A:$A,"="&amp;$Y$2,'Tong_hop_HQNV_2026Q1_2026-06-23'!$B:$B, "="&amp;'CHECK_DT-BT_chi_tiet'!A6)</f>
        <v>88060500</v>
      </c>
      <c r="Z6" s="7">
        <f>SUMIFS('HQ2'!$C:$C,'HQ2'!$A:$A, "="&amp;'CHECK_DT-BT_chi_tiet'!C6,'HQ2'!$B:$B, "="&amp;'CHECK_DT-BT_chi_tiet'!$Y$3)</f>
        <v>88060500</v>
      </c>
      <c r="AA6" s="7">
        <f t="shared" si="7"/>
        <v>0</v>
      </c>
      <c r="AB6" s="7">
        <f>SUMIFS('Tong_hop_HQNV_2026Q1_2026-06-23'!$K:$K,'Tong_hop_HQNV_2026Q1_2026-06-23'!$A:$A,"="&amp;$AB$2,'Tong_hop_HQNV_2026Q1_2026-06-23'!$B:$B, "="&amp;'CHECK_DT-BT_chi_tiet'!A6)</f>
        <v>1031952554</v>
      </c>
      <c r="AC6" s="7">
        <f>SUMIFS('HQ2'!$C:$C,'HQ2'!$A:$A, "="&amp;'CHECK_DT-BT_chi_tiet'!C6,'HQ2'!$B:$B, "="&amp;'CHECK_DT-BT_chi_tiet'!$AB$3)</f>
        <v>1031952554</v>
      </c>
      <c r="AD6" s="7">
        <f t="shared" si="8"/>
        <v>0</v>
      </c>
      <c r="AE6" s="7">
        <f>SUMIFS('Tong_hop_HQNV_2026Q1_2026-06-23'!$K:$K,'Tong_hop_HQNV_2026Q1_2026-06-23'!$A:$A,"="&amp;$AE$2,'Tong_hop_HQNV_2026Q1_2026-06-23'!$B:$B, "="&amp;'CHECK_DT-BT_chi_tiet'!A6)</f>
        <v>371478516</v>
      </c>
      <c r="AF6" s="7">
        <f>SUMIFS('HQ2'!$C:$C,'HQ2'!$A:$A, "="&amp;'CHECK_DT-BT_chi_tiet'!C6,'HQ2'!$B:$B, "="&amp;'CHECK_DT-BT_chi_tiet'!$AE$3)</f>
        <v>371478516</v>
      </c>
      <c r="AG6" s="7">
        <f t="shared" si="9"/>
        <v>0</v>
      </c>
      <c r="AH6" s="7">
        <f>SUMIFS('Tong_hop_HQNV_2026Q1_2026-06-23'!$K:$K,'Tong_hop_HQNV_2026Q1_2026-06-23'!$A:$A,"="&amp;$AH$2,'Tong_hop_HQNV_2026Q1_2026-06-23'!$B:$B, "="&amp;'CHECK_DT-BT_chi_tiet'!A6)</f>
        <v>31294750</v>
      </c>
      <c r="AI6" s="7">
        <f>SUMIFS('HQ2'!$C:$C,'HQ2'!$A:$A, "="&amp;'CHECK_DT-BT_chi_tiet'!C6,'HQ2'!$B:$B, "="&amp;'CHECK_DT-BT_chi_tiet'!$AH$3)</f>
        <v>31294750</v>
      </c>
      <c r="AJ6" s="7">
        <f t="shared" si="10"/>
        <v>0</v>
      </c>
      <c r="AK6" s="7">
        <f>SUMIFS('Tong_hop_HQNV_2026Q1_2026-06-23'!$K:$K,'Tong_hop_HQNV_2026Q1_2026-06-23'!$A:$A,"="&amp;$AK$2,'Tong_hop_HQNV_2026Q1_2026-06-23'!$B:$B, "="&amp;'CHECK_DT-BT_chi_tiet'!A6)</f>
        <v>0</v>
      </c>
      <c r="AL6" s="7">
        <f>SUMIFS('Tong_hop_HQNV_2026Q1_2026-06-23'!$K:$K,'Tong_hop_HQNV_2026Q1_2026-06-23'!$A:$A,"="&amp;$AL$2,'Tong_hop_HQNV_2026Q1_2026-06-23'!$B:$B, "="&amp;'CHECK_DT-BT_chi_tiet'!A6)</f>
        <v>0</v>
      </c>
      <c r="AM6" s="23">
        <f>SUMIFS('Tong_hop_HQNV_2026Q1_2026-06-23'!$L:$L,'Tong_hop_HQNV_2026Q1_2026-06-23'!$B:$B, "="&amp;'CHECK_DT-BT_chi_tiet'!A6, 'Tong_hop_HQNV_2026Q1_2026-06-23'!$A:$A, "="&amp;'CHECK_DT-BT_chi_tiet'!$AM$2)</f>
        <v>354027335</v>
      </c>
      <c r="AN6" s="29">
        <f>SUMIFS('HQ1'!$D:$D,'HQ1'!$A:$A, "="&amp;'CHECK_DT-BT_chi_tiet'!C6,'HQ1'!$B:$B,"="&amp;'CHECK_DT-BT_chi_tiet'!$AM$3)</f>
        <v>354027335</v>
      </c>
      <c r="AO6" s="29">
        <f t="shared" si="11"/>
        <v>0</v>
      </c>
      <c r="AP6" s="7">
        <f>SUMIFS('Tong_hop_HQNV_2026Q1_2026-06-23'!$L:$L,'Tong_hop_HQNV_2026Q1_2026-06-23'!$B:$B, "="&amp;'CHECK_DT-BT_chi_tiet'!A6, 'Tong_hop_HQNV_2026Q1_2026-06-23'!$A:$A, "="&amp;'CHECK_DT-BT_chi_tiet'!$AP$2)</f>
        <v>13541500</v>
      </c>
      <c r="AQ6" s="29">
        <f>SUMIFS('HQ1'!$D:$D,'HQ1'!$A:$A, "="&amp;'CHECK_DT-BT_chi_tiet'!C6,'HQ1'!$B:$B,"="&amp;'CHECK_DT-BT_chi_tiet'!$AP$3)</f>
        <v>13541500</v>
      </c>
      <c r="AR6" s="7">
        <f t="shared" si="12"/>
        <v>0</v>
      </c>
      <c r="AS6" s="7">
        <f>SUMIFS('Tong_hop_HQNV_2026Q1_2026-06-23'!$L:$L,'Tong_hop_HQNV_2026Q1_2026-06-23'!$B:$B, "="&amp;'CHECK_DT-BT_chi_tiet'!A6, 'Tong_hop_HQNV_2026Q1_2026-06-23'!$A:$A, "="&amp;'CHECK_DT-BT_chi_tiet'!$AS$2)</f>
        <v>453298004</v>
      </c>
      <c r="AT6" s="29">
        <f>SUMIFS('HQ1'!$D:$D,'HQ1'!$A:$A, "="&amp;'CHECK_DT-BT_chi_tiet'!C6,'HQ1'!$B:$B,"="&amp;'CHECK_DT-BT_chi_tiet'!$AS$3)</f>
        <v>453298004</v>
      </c>
      <c r="AU6" s="7">
        <f t="shared" si="13"/>
        <v>0</v>
      </c>
      <c r="AV6" s="7">
        <f>SUMIFS('Tong_hop_HQNV_2026Q1_2026-06-23'!$L:$L,'Tong_hop_HQNV_2026Q1_2026-06-23'!$B:$B, "="&amp;'CHECK_DT-BT_chi_tiet'!A6, 'Tong_hop_HQNV_2026Q1_2026-06-23'!$A:$A, "="&amp;'CHECK_DT-BT_chi_tiet'!$AV$2)</f>
        <v>1454400170</v>
      </c>
      <c r="AW6" s="29">
        <f>SUMIFS('HQ1'!$D:$D,'HQ1'!$A:$A, "="&amp;'CHECK_DT-BT_chi_tiet'!C6,'HQ1'!$B:$B,"="&amp;'CHECK_DT-BT_chi_tiet'!$AV$3)</f>
        <v>1454400170</v>
      </c>
      <c r="AX6" s="7">
        <f t="shared" si="14"/>
        <v>0</v>
      </c>
      <c r="AY6" s="7">
        <f>SUMIFS('Tong_hop_HQNV_2026Q1_2026-06-23'!$L:$L,'Tong_hop_HQNV_2026Q1_2026-06-23'!$B:$B, "="&amp;'CHECK_DT-BT_chi_tiet'!A6, 'Tong_hop_HQNV_2026Q1_2026-06-23'!$A:$A, "="&amp;$AY$2)</f>
        <v>0</v>
      </c>
      <c r="AZ6" s="29">
        <f>SUMIFS('HQ2'!$J:$J,'HQ2'!$A:$A, "="&amp;'CHECK_DT-BT_chi_tiet'!C6,'HQ2'!$B:$B,"="&amp;'CHECK_DT-BT_chi_tiet'!$AY$3)</f>
        <v>0</v>
      </c>
      <c r="BA6" s="7">
        <f t="shared" si="15"/>
        <v>0</v>
      </c>
      <c r="BB6" s="7">
        <f>SUMIFS('Tong_hop_HQNV_2026Q1_2026-06-23'!$L:$L,'Tong_hop_HQNV_2026Q1_2026-06-23'!$B:$B, "="&amp;'CHECK_DT-BT_chi_tiet'!A6, 'Tong_hop_HQNV_2026Q1_2026-06-23'!$A:$A, "="&amp;$BB$2)</f>
        <v>0</v>
      </c>
      <c r="BC6" s="29">
        <f>SUMIFS('HQ2'!$J:$J,'HQ2'!$A:$A, "="&amp;'CHECK_DT-BT_chi_tiet'!C6,'HQ2'!$B:$B,"="&amp;'CHECK_DT-BT_chi_tiet'!$BB$3)</f>
        <v>0</v>
      </c>
      <c r="BD6" s="7">
        <f t="shared" si="16"/>
        <v>0</v>
      </c>
      <c r="BE6" s="7">
        <f>SUMIFS('Tong_hop_HQNV_2026Q1_2026-06-23'!$L:$L,'Tong_hop_HQNV_2026Q1_2026-06-23'!$B:$B, "="&amp;'CHECK_DT-BT_chi_tiet'!A6, 'Tong_hop_HQNV_2026Q1_2026-06-23'!$A:$A, "="&amp;$BE$2)</f>
        <v>0</v>
      </c>
      <c r="BF6" s="29">
        <f>SUMIFS('HQ2'!$J:$J,'HQ2'!$A:$A, "="&amp;'CHECK_DT-BT_chi_tiet'!C6,'HQ2'!$B:$B,"="&amp;'CHECK_DT-BT_chi_tiet'!$BE$3)</f>
        <v>0</v>
      </c>
      <c r="BG6" s="7">
        <f t="shared" si="17"/>
        <v>0</v>
      </c>
      <c r="BH6" s="7">
        <f>SUMIFS('Tong_hop_HQNV_2026Q1_2026-06-23'!$L:$L,'Tong_hop_HQNV_2026Q1_2026-06-23'!$B:$B, "="&amp;'CHECK_DT-BT_chi_tiet'!A6, 'Tong_hop_HQNV_2026Q1_2026-06-23'!$A:$A, "="&amp;$BH$2)</f>
        <v>0</v>
      </c>
      <c r="BI6" s="29">
        <f>SUMIFS('HQ2'!$J:$J,'HQ2'!$A:$A, "="&amp;'CHECK_DT-BT_chi_tiet'!C6,'HQ2'!$B:$B,"="&amp;'CHECK_DT-BT_chi_tiet'!$BH$3)</f>
        <v>0</v>
      </c>
      <c r="BJ6" s="7">
        <f t="shared" si="18"/>
        <v>0</v>
      </c>
      <c r="BK6" s="7">
        <f>SUMIFS('Tong_hop_HQNV_2026Q1_2026-06-23'!$L:$L,'Tong_hop_HQNV_2026Q1_2026-06-23'!$B:$B, "="&amp;'CHECK_DT-BT_chi_tiet'!A6, 'Tong_hop_HQNV_2026Q1_2026-06-23'!$A:$A, "="&amp;$BK$2)</f>
        <v>0</v>
      </c>
      <c r="BL6" s="29">
        <f>SUMIFS('HQ2'!$J:$J,'HQ2'!$A:$A, "="&amp;'CHECK_DT-BT_chi_tiet'!C6,'HQ2'!$B:$B,"="&amp;'CHECK_DT-BT_chi_tiet'!$BK$3)</f>
        <v>0</v>
      </c>
      <c r="BM6" s="7">
        <f t="shared" si="19"/>
        <v>0</v>
      </c>
      <c r="BN6" s="7">
        <f>SUMIFS('Tong_hop_HQNV_2026Q1_2026-06-23'!$L:$L,'Tong_hop_HQNV_2026Q1_2026-06-23'!$B:$B, "="&amp;'CHECK_DT-BT_chi_tiet'!A6, 'Tong_hop_HQNV_2026Q1_2026-06-23'!$A:$A, "="&amp;$BN$2)</f>
        <v>0</v>
      </c>
      <c r="BO6" s="29">
        <f>SUMIFS('HQ2'!$J:$J,'HQ2'!$A:$A, "="&amp;'CHECK_DT-BT_chi_tiet'!C6,'HQ2'!$B:$B,"="&amp;'CHECK_DT-BT_chi_tiet'!$BN$3)</f>
        <v>0</v>
      </c>
      <c r="BP6" s="7">
        <f t="shared" si="20"/>
        <v>0</v>
      </c>
      <c r="BQ6" s="7">
        <f>SUMIFS('Tong_hop_HQNV_2026Q1_2026-06-23'!$L:$L,'Tong_hop_HQNV_2026Q1_2026-06-23'!$B:$B, "="&amp;'CHECK_DT-BT_chi_tiet'!A6, 'Tong_hop_HQNV_2026Q1_2026-06-23'!$A:$A, "="&amp;$BQ$2)</f>
        <v>0</v>
      </c>
      <c r="BR6" s="29">
        <f>SUMIFS('HQ2'!$J:$J,'HQ2'!$A:$A, "="&amp;'CHECK_DT-BT_chi_tiet'!C6,'HQ2'!$B:$B,"="&amp;'CHECK_DT-BT_chi_tiet'!$BQ$3)</f>
        <v>0</v>
      </c>
      <c r="BS6" s="7">
        <f t="shared" si="21"/>
        <v>0</v>
      </c>
      <c r="BT6" s="7">
        <f>SUMIFS('Tong_hop_HQNV_2026Q1_2026-06-23'!$L:$L,'Tong_hop_HQNV_2026Q1_2026-06-23'!$B:$B, "="&amp;'CHECK_DT-BT_chi_tiet'!A6, 'Tong_hop_HQNV_2026Q1_2026-06-23'!$A:$A, "="&amp;$BT$2)</f>
        <v>0</v>
      </c>
      <c r="BU6" s="7">
        <f>SUMIFS('Tong_hop_HQNV_2026Q1_2026-06-23'!$L:$L,'Tong_hop_HQNV_2026Q1_2026-06-23'!$B:$B, "="&amp;'CHECK_DT-BT_chi_tiet'!A6, 'Tong_hop_HQNV_2026Q1_2026-06-23'!$A:$A, "="&amp;$BU$2)</f>
        <v>0</v>
      </c>
    </row>
    <row r="7" spans="1:73" x14ac:dyDescent="0.25">
      <c r="A7" s="9" t="s">
        <v>287</v>
      </c>
      <c r="B7" t="s">
        <v>145</v>
      </c>
      <c r="C7" t="s">
        <v>127</v>
      </c>
      <c r="D7" s="7">
        <f>SUMIFS('Tong_hop_HQNV_2026Q1_2026-06-23'!$K:$K,'Tong_hop_HQNV_2026Q1_2026-06-23'!$A:$A,"="&amp;'CHECK_DT-BT_chi_tiet'!$D$2,'Tong_hop_HQNV_2026Q1_2026-06-23'!$B:$B, "="&amp;'CHECK_DT-BT_chi_tiet'!A7)</f>
        <v>453262400</v>
      </c>
      <c r="E7" s="7">
        <f>SUMIFS('HQ1'!$C:$C,'HQ1'!$A:$A, "="&amp;'CHECK_DT-BT_chi_tiet'!C7,'HQ1'!$B:$B, "="&amp;'CHECK_DT-BT_chi_tiet'!$D$3)</f>
        <v>453262400</v>
      </c>
      <c r="F7" s="7">
        <f t="shared" si="0"/>
        <v>0</v>
      </c>
      <c r="G7" s="7">
        <f>SUMIFS('Tong_hop_HQNV_2026Q1_2026-06-23'!$K:$K,'Tong_hop_HQNV_2026Q1_2026-06-23'!$A:$A,"="&amp;'CHECK_DT-BT_chi_tiet'!$G$2,'Tong_hop_HQNV_2026Q1_2026-06-23'!$B:$B, "="&amp;'CHECK_DT-BT_chi_tiet'!A7)</f>
        <v>18601000</v>
      </c>
      <c r="H7" s="7">
        <f>SUMIFS('HQ1'!$C:$C,'HQ1'!$A:$A, "="&amp;'CHECK_DT-BT_chi_tiet'!C7,'HQ1'!$B:$B, "="&amp;'CHECK_DT-BT_chi_tiet'!$G$3)</f>
        <v>18601000</v>
      </c>
      <c r="I7" s="7">
        <f t="shared" si="1"/>
        <v>0</v>
      </c>
      <c r="J7" s="7">
        <f>SUMIFS('Tong_hop_HQNV_2026Q1_2026-06-23'!$K:$K,'Tong_hop_HQNV_2026Q1_2026-06-23'!$A:$A,"="&amp;'CHECK_DT-BT_chi_tiet'!$J$2,'Tong_hop_HQNV_2026Q1_2026-06-23'!$B:$B, "="&amp;'CHECK_DT-BT_chi_tiet'!A7)</f>
        <v>860684099</v>
      </c>
      <c r="K7" s="7">
        <f>SUMIFS('HQ1'!$C:$C,'HQ1'!$A:$A, "="&amp;'CHECK_DT-BT_chi_tiet'!C7,'HQ1'!$B:$B, "="&amp;'CHECK_DT-BT_chi_tiet'!$J$3)</f>
        <v>860684099</v>
      </c>
      <c r="L7" s="7">
        <f t="shared" si="2"/>
        <v>0</v>
      </c>
      <c r="M7" s="7">
        <f>SUMIFS('Tong_hop_HQNV_2026Q1_2026-06-23'!$K:$K,'Tong_hop_HQNV_2026Q1_2026-06-23'!$A:$A,"="&amp;'CHECK_DT-BT_chi_tiet'!$M$2,'Tong_hop_HQNV_2026Q1_2026-06-23'!$B:$B, "="&amp;'CHECK_DT-BT_chi_tiet'!A7)</f>
        <v>52534000</v>
      </c>
      <c r="N7" s="7">
        <f>SUMIFS('HQ1'!$C:$C,'HQ1'!$A:$A, "="&amp;'CHECK_DT-BT_chi_tiet'!C7,'HQ1'!$B:$B, "="&amp;'CHECK_DT-BT_chi_tiet'!$M$3)</f>
        <v>52534000</v>
      </c>
      <c r="O7" s="7">
        <f t="shared" si="3"/>
        <v>0</v>
      </c>
      <c r="P7" s="7">
        <f>SUMIFS('Tong_hop_HQNV_2026Q1_2026-06-23'!$K:$K,'Tong_hop_HQNV_2026Q1_2026-06-23'!$A:$A,"="&amp;$P$2,'Tong_hop_HQNV_2026Q1_2026-06-23'!$B:$B, "="&amp;'CHECK_DT-BT_chi_tiet'!A7)</f>
        <v>0</v>
      </c>
      <c r="Q7" s="7">
        <f>SUMIFS('HQ2'!$C:$C,'HQ2'!$A:$A, "="&amp;'CHECK_DT-BT_chi_tiet'!C7,'HQ2'!$B:$B, "="&amp;'CHECK_DT-BT_chi_tiet'!$P$3)</f>
        <v>0</v>
      </c>
      <c r="R7" s="7">
        <f t="shared" si="4"/>
        <v>0</v>
      </c>
      <c r="S7" s="7">
        <f>SUMIFS('Tong_hop_HQNV_2026Q1_2026-06-23'!$K:$K,'Tong_hop_HQNV_2026Q1_2026-06-23'!$A:$A,"="&amp;$S$2,'Tong_hop_HQNV_2026Q1_2026-06-23'!$B:$B, "="&amp;'CHECK_DT-BT_chi_tiet'!A7)</f>
        <v>0</v>
      </c>
      <c r="T7" s="7">
        <f>SUMIFS('HQ2'!$C:$C,'HQ2'!$A:$A, "="&amp;'CHECK_DT-BT_chi_tiet'!C7,'HQ2'!$B:$B, "="&amp;'CHECK_DT-BT_chi_tiet'!$S$3)</f>
        <v>0</v>
      </c>
      <c r="U7" s="7">
        <f t="shared" si="5"/>
        <v>0</v>
      </c>
      <c r="V7" s="7">
        <f>SUMIFS('Tong_hop_HQNV_2026Q1_2026-06-23'!$K:$K,'Tong_hop_HQNV_2026Q1_2026-06-23'!$A:$A,"="&amp;$V$2,'Tong_hop_HQNV_2026Q1_2026-06-23'!$B:$B, "="&amp;'CHECK_DT-BT_chi_tiet'!A7)</f>
        <v>0</v>
      </c>
      <c r="W7" s="7">
        <f>SUMIFS('HQ2'!$C:$C,'HQ2'!$A:$A, "="&amp;'CHECK_DT-BT_chi_tiet'!C7,'HQ2'!$B:$B, "="&amp;'CHECK_DT-BT_chi_tiet'!$V$3)</f>
        <v>0</v>
      </c>
      <c r="X7" s="7">
        <f t="shared" si="6"/>
        <v>0</v>
      </c>
      <c r="Y7" s="7">
        <f>SUMIFS('Tong_hop_HQNV_2026Q1_2026-06-23'!$K:$K,'Tong_hop_HQNV_2026Q1_2026-06-23'!$A:$A,"="&amp;$Y$2,'Tong_hop_HQNV_2026Q1_2026-06-23'!$B:$B, "="&amp;'CHECK_DT-BT_chi_tiet'!A7)</f>
        <v>0</v>
      </c>
      <c r="Z7" s="7">
        <f>SUMIFS('HQ2'!$C:$C,'HQ2'!$A:$A, "="&amp;'CHECK_DT-BT_chi_tiet'!C7,'HQ2'!$B:$B, "="&amp;'CHECK_DT-BT_chi_tiet'!$Y$3)</f>
        <v>0</v>
      </c>
      <c r="AA7" s="7">
        <f t="shared" si="7"/>
        <v>0</v>
      </c>
      <c r="AB7" s="7">
        <f>SUMIFS('Tong_hop_HQNV_2026Q1_2026-06-23'!$K:$K,'Tong_hop_HQNV_2026Q1_2026-06-23'!$A:$A,"="&amp;$AB$2,'Tong_hop_HQNV_2026Q1_2026-06-23'!$B:$B, "="&amp;'CHECK_DT-BT_chi_tiet'!A7)</f>
        <v>74868947</v>
      </c>
      <c r="AC7" s="7">
        <f>SUMIFS('HQ2'!$C:$C,'HQ2'!$A:$A, "="&amp;'CHECK_DT-BT_chi_tiet'!C7,'HQ2'!$B:$B, "="&amp;'CHECK_DT-BT_chi_tiet'!$AB$3)</f>
        <v>74868947</v>
      </c>
      <c r="AD7" s="7">
        <f t="shared" si="8"/>
        <v>0</v>
      </c>
      <c r="AE7" s="7">
        <f>SUMIFS('Tong_hop_HQNV_2026Q1_2026-06-23'!$K:$K,'Tong_hop_HQNV_2026Q1_2026-06-23'!$A:$A,"="&amp;$AE$2,'Tong_hop_HQNV_2026Q1_2026-06-23'!$B:$B, "="&amp;'CHECK_DT-BT_chi_tiet'!A7)</f>
        <v>18900000</v>
      </c>
      <c r="AF7" s="7">
        <f>SUMIFS('HQ2'!$C:$C,'HQ2'!$A:$A, "="&amp;'CHECK_DT-BT_chi_tiet'!C7,'HQ2'!$B:$B, "="&amp;'CHECK_DT-BT_chi_tiet'!$AE$3)</f>
        <v>18900000</v>
      </c>
      <c r="AG7" s="7">
        <f t="shared" si="9"/>
        <v>0</v>
      </c>
      <c r="AH7" s="7">
        <f>SUMIFS('Tong_hop_HQNV_2026Q1_2026-06-23'!$K:$K,'Tong_hop_HQNV_2026Q1_2026-06-23'!$A:$A,"="&amp;$AH$2,'Tong_hop_HQNV_2026Q1_2026-06-23'!$B:$B, "="&amp;'CHECK_DT-BT_chi_tiet'!A7)</f>
        <v>0</v>
      </c>
      <c r="AI7" s="7">
        <f>SUMIFS('HQ2'!$C:$C,'HQ2'!$A:$A, "="&amp;'CHECK_DT-BT_chi_tiet'!C7,'HQ2'!$B:$B, "="&amp;'CHECK_DT-BT_chi_tiet'!$AH$3)</f>
        <v>0</v>
      </c>
      <c r="AJ7" s="7">
        <f t="shared" si="10"/>
        <v>0</v>
      </c>
      <c r="AK7" s="7">
        <f>SUMIFS('Tong_hop_HQNV_2026Q1_2026-06-23'!$K:$K,'Tong_hop_HQNV_2026Q1_2026-06-23'!$A:$A,"="&amp;$AK$2,'Tong_hop_HQNV_2026Q1_2026-06-23'!$B:$B, "="&amp;'CHECK_DT-BT_chi_tiet'!A7)</f>
        <v>0</v>
      </c>
      <c r="AL7" s="7">
        <f>SUMIFS('Tong_hop_HQNV_2026Q1_2026-06-23'!$K:$K,'Tong_hop_HQNV_2026Q1_2026-06-23'!$A:$A,"="&amp;$AL$2,'Tong_hop_HQNV_2026Q1_2026-06-23'!$B:$B, "="&amp;'CHECK_DT-BT_chi_tiet'!A7)</f>
        <v>0</v>
      </c>
      <c r="AM7" s="23">
        <f>SUMIFS('Tong_hop_HQNV_2026Q1_2026-06-23'!$L:$L,'Tong_hop_HQNV_2026Q1_2026-06-23'!$B:$B, "="&amp;'CHECK_DT-BT_chi_tiet'!A7, 'Tong_hop_HQNV_2026Q1_2026-06-23'!$A:$A, "="&amp;'CHECK_DT-BT_chi_tiet'!$AM$2)</f>
        <v>451485810</v>
      </c>
      <c r="AN7" s="29">
        <f>SUMIFS('HQ1'!$D:$D,'HQ1'!$A:$A, "="&amp;'CHECK_DT-BT_chi_tiet'!C7,'HQ1'!$B:$B,"="&amp;'CHECK_DT-BT_chi_tiet'!$AM$3)</f>
        <v>451485810</v>
      </c>
      <c r="AO7" s="29">
        <f t="shared" si="11"/>
        <v>0</v>
      </c>
      <c r="AP7" s="7">
        <f>SUMIFS('Tong_hop_HQNV_2026Q1_2026-06-23'!$L:$L,'Tong_hop_HQNV_2026Q1_2026-06-23'!$B:$B, "="&amp;'CHECK_DT-BT_chi_tiet'!A7, 'Tong_hop_HQNV_2026Q1_2026-06-23'!$A:$A, "="&amp;'CHECK_DT-BT_chi_tiet'!$AP$2)</f>
        <v>0</v>
      </c>
      <c r="AQ7" s="29">
        <f>SUMIFS('HQ1'!$D:$D,'HQ1'!$A:$A, "="&amp;'CHECK_DT-BT_chi_tiet'!C7,'HQ1'!$B:$B,"="&amp;'CHECK_DT-BT_chi_tiet'!$AP$3)</f>
        <v>0</v>
      </c>
      <c r="AR7" s="7">
        <f t="shared" si="12"/>
        <v>0</v>
      </c>
      <c r="AS7" s="7">
        <f>SUMIFS('Tong_hop_HQNV_2026Q1_2026-06-23'!$L:$L,'Tong_hop_HQNV_2026Q1_2026-06-23'!$B:$B, "="&amp;'CHECK_DT-BT_chi_tiet'!A7, 'Tong_hop_HQNV_2026Q1_2026-06-23'!$A:$A, "="&amp;'CHECK_DT-BT_chi_tiet'!$AS$2)</f>
        <v>18126707</v>
      </c>
      <c r="AT7" s="29">
        <f>SUMIFS('HQ1'!$D:$D,'HQ1'!$A:$A, "="&amp;'CHECK_DT-BT_chi_tiet'!C7,'HQ1'!$B:$B,"="&amp;'CHECK_DT-BT_chi_tiet'!$AS$3)</f>
        <v>18126707</v>
      </c>
      <c r="AU7" s="7">
        <f t="shared" si="13"/>
        <v>0</v>
      </c>
      <c r="AV7" s="7">
        <f>SUMIFS('Tong_hop_HQNV_2026Q1_2026-06-23'!$L:$L,'Tong_hop_HQNV_2026Q1_2026-06-23'!$B:$B, "="&amp;'CHECK_DT-BT_chi_tiet'!A7, 'Tong_hop_HQNV_2026Q1_2026-06-23'!$A:$A, "="&amp;'CHECK_DT-BT_chi_tiet'!$AV$2)</f>
        <v>0</v>
      </c>
      <c r="AW7" s="29">
        <f>SUMIFS('HQ1'!$D:$D,'HQ1'!$A:$A, "="&amp;'CHECK_DT-BT_chi_tiet'!C7,'HQ1'!$B:$B,"="&amp;'CHECK_DT-BT_chi_tiet'!$AV$3)</f>
        <v>0</v>
      </c>
      <c r="AX7" s="7">
        <f t="shared" si="14"/>
        <v>0</v>
      </c>
      <c r="AY7" s="7">
        <f>SUMIFS('Tong_hop_HQNV_2026Q1_2026-06-23'!$L:$L,'Tong_hop_HQNV_2026Q1_2026-06-23'!$B:$B, "="&amp;'CHECK_DT-BT_chi_tiet'!A7, 'Tong_hop_HQNV_2026Q1_2026-06-23'!$A:$A, "="&amp;$AY$2)</f>
        <v>0</v>
      </c>
      <c r="AZ7" s="29">
        <f>SUMIFS('HQ2'!$J:$J,'HQ2'!$A:$A, "="&amp;'CHECK_DT-BT_chi_tiet'!C7,'HQ2'!$B:$B,"="&amp;'CHECK_DT-BT_chi_tiet'!$AY$3)</f>
        <v>0</v>
      </c>
      <c r="BA7" s="7">
        <f t="shared" si="15"/>
        <v>0</v>
      </c>
      <c r="BB7" s="7">
        <f>SUMIFS('Tong_hop_HQNV_2026Q1_2026-06-23'!$L:$L,'Tong_hop_HQNV_2026Q1_2026-06-23'!$B:$B, "="&amp;'CHECK_DT-BT_chi_tiet'!A7, 'Tong_hop_HQNV_2026Q1_2026-06-23'!$A:$A, "="&amp;$BB$2)</f>
        <v>0</v>
      </c>
      <c r="BC7" s="29">
        <f>SUMIFS('HQ2'!$J:$J,'HQ2'!$A:$A, "="&amp;'CHECK_DT-BT_chi_tiet'!C7,'HQ2'!$B:$B,"="&amp;'CHECK_DT-BT_chi_tiet'!$BB$3)</f>
        <v>0</v>
      </c>
      <c r="BD7" s="7">
        <f t="shared" si="16"/>
        <v>0</v>
      </c>
      <c r="BE7" s="7">
        <f>SUMIFS('Tong_hop_HQNV_2026Q1_2026-06-23'!$L:$L,'Tong_hop_HQNV_2026Q1_2026-06-23'!$B:$B, "="&amp;'CHECK_DT-BT_chi_tiet'!A7, 'Tong_hop_HQNV_2026Q1_2026-06-23'!$A:$A, "="&amp;$BE$2)</f>
        <v>0</v>
      </c>
      <c r="BF7" s="29">
        <f>SUMIFS('HQ2'!$J:$J,'HQ2'!$A:$A, "="&amp;'CHECK_DT-BT_chi_tiet'!C7,'HQ2'!$B:$B,"="&amp;'CHECK_DT-BT_chi_tiet'!$BE$3)</f>
        <v>0</v>
      </c>
      <c r="BG7" s="7">
        <f t="shared" si="17"/>
        <v>0</v>
      </c>
      <c r="BH7" s="7">
        <f>SUMIFS('Tong_hop_HQNV_2026Q1_2026-06-23'!$L:$L,'Tong_hop_HQNV_2026Q1_2026-06-23'!$B:$B, "="&amp;'CHECK_DT-BT_chi_tiet'!A7, 'Tong_hop_HQNV_2026Q1_2026-06-23'!$A:$A, "="&amp;$BH$2)</f>
        <v>0</v>
      </c>
      <c r="BI7" s="29">
        <f>SUMIFS('HQ2'!$J:$J,'HQ2'!$A:$A, "="&amp;'CHECK_DT-BT_chi_tiet'!C7,'HQ2'!$B:$B,"="&amp;'CHECK_DT-BT_chi_tiet'!$BH$3)</f>
        <v>0</v>
      </c>
      <c r="BJ7" s="7">
        <f t="shared" si="18"/>
        <v>0</v>
      </c>
      <c r="BK7" s="7">
        <f>SUMIFS('Tong_hop_HQNV_2026Q1_2026-06-23'!$L:$L,'Tong_hop_HQNV_2026Q1_2026-06-23'!$B:$B, "="&amp;'CHECK_DT-BT_chi_tiet'!A7, 'Tong_hop_HQNV_2026Q1_2026-06-23'!$A:$A, "="&amp;$BK$2)</f>
        <v>0</v>
      </c>
      <c r="BL7" s="29">
        <f>SUMIFS('HQ2'!$J:$J,'HQ2'!$A:$A, "="&amp;'CHECK_DT-BT_chi_tiet'!C7,'HQ2'!$B:$B,"="&amp;'CHECK_DT-BT_chi_tiet'!$BK$3)</f>
        <v>0</v>
      </c>
      <c r="BM7" s="7">
        <f t="shared" si="19"/>
        <v>0</v>
      </c>
      <c r="BN7" s="7">
        <f>SUMIFS('Tong_hop_HQNV_2026Q1_2026-06-23'!$L:$L,'Tong_hop_HQNV_2026Q1_2026-06-23'!$B:$B, "="&amp;'CHECK_DT-BT_chi_tiet'!A7, 'Tong_hop_HQNV_2026Q1_2026-06-23'!$A:$A, "="&amp;$BN$2)</f>
        <v>0</v>
      </c>
      <c r="BO7" s="29">
        <f>SUMIFS('HQ2'!$J:$J,'HQ2'!$A:$A, "="&amp;'CHECK_DT-BT_chi_tiet'!C7,'HQ2'!$B:$B,"="&amp;'CHECK_DT-BT_chi_tiet'!$BN$3)</f>
        <v>0</v>
      </c>
      <c r="BP7" s="7">
        <f t="shared" si="20"/>
        <v>0</v>
      </c>
      <c r="BQ7" s="7">
        <f>SUMIFS('Tong_hop_HQNV_2026Q1_2026-06-23'!$L:$L,'Tong_hop_HQNV_2026Q1_2026-06-23'!$B:$B, "="&amp;'CHECK_DT-BT_chi_tiet'!A7, 'Tong_hop_HQNV_2026Q1_2026-06-23'!$A:$A, "="&amp;$BQ$2)</f>
        <v>1200000</v>
      </c>
      <c r="BR7" s="29">
        <f>SUMIFS('HQ2'!$J:$J,'HQ2'!$A:$A, "="&amp;'CHECK_DT-BT_chi_tiet'!C7,'HQ2'!$B:$B,"="&amp;'CHECK_DT-BT_chi_tiet'!$BQ$3)</f>
        <v>1200000</v>
      </c>
      <c r="BS7" s="7">
        <f t="shared" si="21"/>
        <v>0</v>
      </c>
      <c r="BT7" s="7">
        <f>SUMIFS('Tong_hop_HQNV_2026Q1_2026-06-23'!$L:$L,'Tong_hop_HQNV_2026Q1_2026-06-23'!$B:$B, "="&amp;'CHECK_DT-BT_chi_tiet'!A7, 'Tong_hop_HQNV_2026Q1_2026-06-23'!$A:$A, "="&amp;$BT$2)</f>
        <v>0</v>
      </c>
      <c r="BU7" s="7">
        <f>SUMIFS('Tong_hop_HQNV_2026Q1_2026-06-23'!$L:$L,'Tong_hop_HQNV_2026Q1_2026-06-23'!$B:$B, "="&amp;'CHECK_DT-BT_chi_tiet'!A7, 'Tong_hop_HQNV_2026Q1_2026-06-23'!$A:$A, "="&amp;$BU$2)</f>
        <v>0</v>
      </c>
    </row>
    <row r="8" spans="1:73" x14ac:dyDescent="0.25">
      <c r="A8" s="9" t="s">
        <v>288</v>
      </c>
      <c r="B8" t="s">
        <v>146</v>
      </c>
      <c r="C8" t="s">
        <v>91</v>
      </c>
      <c r="D8" s="7">
        <f>SUMIFS('Tong_hop_HQNV_2026Q1_2026-06-23'!$K:$K,'Tong_hop_HQNV_2026Q1_2026-06-23'!$A:$A,"="&amp;'CHECK_DT-BT_chi_tiet'!$D$2,'Tong_hop_HQNV_2026Q1_2026-06-23'!$B:$B, "="&amp;'CHECK_DT-BT_chi_tiet'!A8)</f>
        <v>6257542029</v>
      </c>
      <c r="E8" s="7">
        <f>SUMIFS('HQ1'!$C:$C,'HQ1'!$A:$A, "="&amp;'CHECK_DT-BT_chi_tiet'!C8,'HQ1'!$B:$B, "="&amp;'CHECK_DT-BT_chi_tiet'!$D$3)</f>
        <v>6257542029</v>
      </c>
      <c r="F8" s="7">
        <f t="shared" si="0"/>
        <v>0</v>
      </c>
      <c r="G8" s="7">
        <f>SUMIFS('Tong_hop_HQNV_2026Q1_2026-06-23'!$K:$K,'Tong_hop_HQNV_2026Q1_2026-06-23'!$A:$A,"="&amp;'CHECK_DT-BT_chi_tiet'!$G$2,'Tong_hop_HQNV_2026Q1_2026-06-23'!$B:$B, "="&amp;'CHECK_DT-BT_chi_tiet'!A8)</f>
        <v>89377700</v>
      </c>
      <c r="H8" s="7">
        <f>SUMIFS('HQ1'!$C:$C,'HQ1'!$A:$A, "="&amp;'CHECK_DT-BT_chi_tiet'!C8,'HQ1'!$B:$B, "="&amp;'CHECK_DT-BT_chi_tiet'!$G$3)</f>
        <v>89377700</v>
      </c>
      <c r="I8" s="7">
        <f t="shared" si="1"/>
        <v>0</v>
      </c>
      <c r="J8" s="7">
        <f>SUMIFS('Tong_hop_HQNV_2026Q1_2026-06-23'!$K:$K,'Tong_hop_HQNV_2026Q1_2026-06-23'!$A:$A,"="&amp;'CHECK_DT-BT_chi_tiet'!$J$2,'Tong_hop_HQNV_2026Q1_2026-06-23'!$B:$B, "="&amp;'CHECK_DT-BT_chi_tiet'!A8)</f>
        <v>7257132209</v>
      </c>
      <c r="K8" s="7">
        <f>SUMIFS('HQ1'!$C:$C,'HQ1'!$A:$A, "="&amp;'CHECK_DT-BT_chi_tiet'!C8,'HQ1'!$B:$B, "="&amp;'CHECK_DT-BT_chi_tiet'!$J$3)</f>
        <v>7257132209</v>
      </c>
      <c r="L8" s="7">
        <f t="shared" si="2"/>
        <v>0</v>
      </c>
      <c r="M8" s="7">
        <f>SUMIFS('Tong_hop_HQNV_2026Q1_2026-06-23'!$K:$K,'Tong_hop_HQNV_2026Q1_2026-06-23'!$A:$A,"="&amp;'CHECK_DT-BT_chi_tiet'!$M$2,'Tong_hop_HQNV_2026Q1_2026-06-23'!$B:$B, "="&amp;'CHECK_DT-BT_chi_tiet'!A8)</f>
        <v>529788964</v>
      </c>
      <c r="N8" s="7">
        <f>SUMIFS('HQ1'!$C:$C,'HQ1'!$A:$A, "="&amp;'CHECK_DT-BT_chi_tiet'!C8,'HQ1'!$B:$B, "="&amp;'CHECK_DT-BT_chi_tiet'!$M$3)</f>
        <v>529788964</v>
      </c>
      <c r="O8" s="7">
        <f t="shared" si="3"/>
        <v>0</v>
      </c>
      <c r="P8" s="7">
        <f>SUMIFS('Tong_hop_HQNV_2026Q1_2026-06-23'!$K:$K,'Tong_hop_HQNV_2026Q1_2026-06-23'!$A:$A,"="&amp;$P$2,'Tong_hop_HQNV_2026Q1_2026-06-23'!$B:$B, "="&amp;'CHECK_DT-BT_chi_tiet'!A8)</f>
        <v>127182287</v>
      </c>
      <c r="Q8" s="7">
        <f>SUMIFS('HQ2'!$C:$C,'HQ2'!$A:$A, "="&amp;'CHECK_DT-BT_chi_tiet'!C8,'HQ2'!$B:$B, "="&amp;'CHECK_DT-BT_chi_tiet'!$P$3)</f>
        <v>127182287</v>
      </c>
      <c r="R8" s="7">
        <f t="shared" si="4"/>
        <v>0</v>
      </c>
      <c r="S8" s="7">
        <f>SUMIFS('Tong_hop_HQNV_2026Q1_2026-06-23'!$K:$K,'Tong_hop_HQNV_2026Q1_2026-06-23'!$A:$A,"="&amp;$S$2,'Tong_hop_HQNV_2026Q1_2026-06-23'!$B:$B, "="&amp;'CHECK_DT-BT_chi_tiet'!A8)</f>
        <v>0</v>
      </c>
      <c r="T8" s="7">
        <f>SUMIFS('HQ2'!$C:$C,'HQ2'!$A:$A, "="&amp;'CHECK_DT-BT_chi_tiet'!C8,'HQ2'!$B:$B, "="&amp;'CHECK_DT-BT_chi_tiet'!$S$3)</f>
        <v>0</v>
      </c>
      <c r="U8" s="7">
        <f t="shared" si="5"/>
        <v>0</v>
      </c>
      <c r="V8" s="7">
        <f>SUMIFS('Tong_hop_HQNV_2026Q1_2026-06-23'!$K:$K,'Tong_hop_HQNV_2026Q1_2026-06-23'!$A:$A,"="&amp;$V$2,'Tong_hop_HQNV_2026Q1_2026-06-23'!$B:$B, "="&amp;'CHECK_DT-BT_chi_tiet'!A8)</f>
        <v>0</v>
      </c>
      <c r="W8" s="7">
        <f>SUMIFS('HQ2'!$C:$C,'HQ2'!$A:$A, "="&amp;'CHECK_DT-BT_chi_tiet'!C8,'HQ2'!$B:$B, "="&amp;'CHECK_DT-BT_chi_tiet'!$V$3)</f>
        <v>0</v>
      </c>
      <c r="X8" s="7">
        <f t="shared" si="6"/>
        <v>0</v>
      </c>
      <c r="Y8" s="7">
        <f>SUMIFS('Tong_hop_HQNV_2026Q1_2026-06-23'!$K:$K,'Tong_hop_HQNV_2026Q1_2026-06-23'!$A:$A,"="&amp;$Y$2,'Tong_hop_HQNV_2026Q1_2026-06-23'!$B:$B, "="&amp;'CHECK_DT-BT_chi_tiet'!A8)</f>
        <v>27750000</v>
      </c>
      <c r="Z8" s="7">
        <f>SUMIFS('HQ2'!$C:$C,'HQ2'!$A:$A, "="&amp;'CHECK_DT-BT_chi_tiet'!C8,'HQ2'!$B:$B, "="&amp;'CHECK_DT-BT_chi_tiet'!$Y$3)</f>
        <v>27750000</v>
      </c>
      <c r="AA8" s="7">
        <f t="shared" si="7"/>
        <v>0</v>
      </c>
      <c r="AB8" s="7">
        <f>SUMIFS('Tong_hop_HQNV_2026Q1_2026-06-23'!$K:$K,'Tong_hop_HQNV_2026Q1_2026-06-23'!$A:$A,"="&amp;$AB$2,'Tong_hop_HQNV_2026Q1_2026-06-23'!$B:$B, "="&amp;'CHECK_DT-BT_chi_tiet'!A8)</f>
        <v>2473807097</v>
      </c>
      <c r="AC8" s="7">
        <f>SUMIFS('HQ2'!$C:$C,'HQ2'!$A:$A, "="&amp;'CHECK_DT-BT_chi_tiet'!C8,'HQ2'!$B:$B, "="&amp;'CHECK_DT-BT_chi_tiet'!$AB$3)</f>
        <v>2473807097</v>
      </c>
      <c r="AD8" s="7">
        <f t="shared" si="8"/>
        <v>0</v>
      </c>
      <c r="AE8" s="7">
        <f>SUMIFS('Tong_hop_HQNV_2026Q1_2026-06-23'!$K:$K,'Tong_hop_HQNV_2026Q1_2026-06-23'!$A:$A,"="&amp;$AE$2,'Tong_hop_HQNV_2026Q1_2026-06-23'!$B:$B, "="&amp;'CHECK_DT-BT_chi_tiet'!A8)</f>
        <v>232978796</v>
      </c>
      <c r="AF8" s="7">
        <f>SUMIFS('HQ2'!$C:$C,'HQ2'!$A:$A, "="&amp;'CHECK_DT-BT_chi_tiet'!C8,'HQ2'!$B:$B, "="&amp;'CHECK_DT-BT_chi_tiet'!$AE$3)</f>
        <v>232978796</v>
      </c>
      <c r="AG8" s="7">
        <f t="shared" si="9"/>
        <v>0</v>
      </c>
      <c r="AH8" s="7">
        <f>SUMIFS('Tong_hop_HQNV_2026Q1_2026-06-23'!$K:$K,'Tong_hop_HQNV_2026Q1_2026-06-23'!$A:$A,"="&amp;$AH$2,'Tong_hop_HQNV_2026Q1_2026-06-23'!$B:$B, "="&amp;'CHECK_DT-BT_chi_tiet'!A8)</f>
        <v>0</v>
      </c>
      <c r="AI8" s="7">
        <f>SUMIFS('HQ2'!$C:$C,'HQ2'!$A:$A, "="&amp;'CHECK_DT-BT_chi_tiet'!C8,'HQ2'!$B:$B, "="&amp;'CHECK_DT-BT_chi_tiet'!$AH$3)</f>
        <v>0</v>
      </c>
      <c r="AJ8" s="7">
        <f t="shared" si="10"/>
        <v>0</v>
      </c>
      <c r="AK8" s="7">
        <f>SUMIFS('Tong_hop_HQNV_2026Q1_2026-06-23'!$K:$K,'Tong_hop_HQNV_2026Q1_2026-06-23'!$A:$A,"="&amp;$AK$2,'Tong_hop_HQNV_2026Q1_2026-06-23'!$B:$B, "="&amp;'CHECK_DT-BT_chi_tiet'!A8)</f>
        <v>0</v>
      </c>
      <c r="AL8" s="7">
        <f>SUMIFS('Tong_hop_HQNV_2026Q1_2026-06-23'!$K:$K,'Tong_hop_HQNV_2026Q1_2026-06-23'!$A:$A,"="&amp;$AL$2,'Tong_hop_HQNV_2026Q1_2026-06-23'!$B:$B, "="&amp;'CHECK_DT-BT_chi_tiet'!A8)</f>
        <v>0</v>
      </c>
      <c r="AM8" s="23">
        <f>SUMIFS('Tong_hop_HQNV_2026Q1_2026-06-23'!$L:$L,'Tong_hop_HQNV_2026Q1_2026-06-23'!$B:$B, "="&amp;'CHECK_DT-BT_chi_tiet'!A8, 'Tong_hop_HQNV_2026Q1_2026-06-23'!$A:$A, "="&amp;'CHECK_DT-BT_chi_tiet'!$AM$2)</f>
        <v>4869786700</v>
      </c>
      <c r="AN8" s="29">
        <f>SUMIFS('HQ1'!$D:$D,'HQ1'!$A:$A, "="&amp;'CHECK_DT-BT_chi_tiet'!C8,'HQ1'!$B:$B,"="&amp;'CHECK_DT-BT_chi_tiet'!$AM$3)</f>
        <v>4869786700</v>
      </c>
      <c r="AO8" s="29">
        <f t="shared" si="11"/>
        <v>0</v>
      </c>
      <c r="AP8" s="7">
        <f>SUMIFS('Tong_hop_HQNV_2026Q1_2026-06-23'!$L:$L,'Tong_hop_HQNV_2026Q1_2026-06-23'!$B:$B, "="&amp;'CHECK_DT-BT_chi_tiet'!A8, 'Tong_hop_HQNV_2026Q1_2026-06-23'!$A:$A, "="&amp;'CHECK_DT-BT_chi_tiet'!$AP$2)</f>
        <v>0</v>
      </c>
      <c r="AQ8" s="29">
        <f>SUMIFS('HQ1'!$D:$D,'HQ1'!$A:$A, "="&amp;'CHECK_DT-BT_chi_tiet'!C8,'HQ1'!$B:$B,"="&amp;'CHECK_DT-BT_chi_tiet'!$AP$3)</f>
        <v>0</v>
      </c>
      <c r="AR8" s="7">
        <f t="shared" si="12"/>
        <v>0</v>
      </c>
      <c r="AS8" s="7">
        <f>SUMIFS('Tong_hop_HQNV_2026Q1_2026-06-23'!$L:$L,'Tong_hop_HQNV_2026Q1_2026-06-23'!$B:$B, "="&amp;'CHECK_DT-BT_chi_tiet'!A8, 'Tong_hop_HQNV_2026Q1_2026-06-23'!$A:$A, "="&amp;'CHECK_DT-BT_chi_tiet'!$AS$2)</f>
        <v>1639551006</v>
      </c>
      <c r="AT8" s="29">
        <f>SUMIFS('HQ1'!$D:$D,'HQ1'!$A:$A, "="&amp;'CHECK_DT-BT_chi_tiet'!C8,'HQ1'!$B:$B,"="&amp;'CHECK_DT-BT_chi_tiet'!$AS$3)</f>
        <v>1639551006</v>
      </c>
      <c r="AU8" s="7">
        <f t="shared" si="13"/>
        <v>0</v>
      </c>
      <c r="AV8" s="7">
        <f>SUMIFS('Tong_hop_HQNV_2026Q1_2026-06-23'!$L:$L,'Tong_hop_HQNV_2026Q1_2026-06-23'!$B:$B, "="&amp;'CHECK_DT-BT_chi_tiet'!A8, 'Tong_hop_HQNV_2026Q1_2026-06-23'!$A:$A, "="&amp;'CHECK_DT-BT_chi_tiet'!$AV$2)</f>
        <v>219822987</v>
      </c>
      <c r="AW8" s="29">
        <f>SUMIFS('HQ1'!$D:$D,'HQ1'!$A:$A, "="&amp;'CHECK_DT-BT_chi_tiet'!C8,'HQ1'!$B:$B,"="&amp;'CHECK_DT-BT_chi_tiet'!$AV$3)</f>
        <v>219822987</v>
      </c>
      <c r="AX8" s="7">
        <f t="shared" si="14"/>
        <v>0</v>
      </c>
      <c r="AY8" s="7">
        <f>SUMIFS('Tong_hop_HQNV_2026Q1_2026-06-23'!$L:$L,'Tong_hop_HQNV_2026Q1_2026-06-23'!$B:$B, "="&amp;'CHECK_DT-BT_chi_tiet'!A8, 'Tong_hop_HQNV_2026Q1_2026-06-23'!$A:$A, "="&amp;$AY$2)</f>
        <v>0</v>
      </c>
      <c r="AZ8" s="29">
        <f>SUMIFS('HQ2'!$J:$J,'HQ2'!$A:$A, "="&amp;'CHECK_DT-BT_chi_tiet'!C8,'HQ2'!$B:$B,"="&amp;'CHECK_DT-BT_chi_tiet'!$AY$3)</f>
        <v>0</v>
      </c>
      <c r="BA8" s="7">
        <f t="shared" si="15"/>
        <v>0</v>
      </c>
      <c r="BB8" s="7">
        <f>SUMIFS('Tong_hop_HQNV_2026Q1_2026-06-23'!$L:$L,'Tong_hop_HQNV_2026Q1_2026-06-23'!$B:$B, "="&amp;'CHECK_DT-BT_chi_tiet'!A8, 'Tong_hop_HQNV_2026Q1_2026-06-23'!$A:$A, "="&amp;$BB$2)</f>
        <v>0</v>
      </c>
      <c r="BC8" s="29">
        <f>SUMIFS('HQ2'!$J:$J,'HQ2'!$A:$A, "="&amp;'CHECK_DT-BT_chi_tiet'!C8,'HQ2'!$B:$B,"="&amp;'CHECK_DT-BT_chi_tiet'!$BB$3)</f>
        <v>0</v>
      </c>
      <c r="BD8" s="7">
        <f t="shared" si="16"/>
        <v>0</v>
      </c>
      <c r="BE8" s="7">
        <f>SUMIFS('Tong_hop_HQNV_2026Q1_2026-06-23'!$L:$L,'Tong_hop_HQNV_2026Q1_2026-06-23'!$B:$B, "="&amp;'CHECK_DT-BT_chi_tiet'!A8, 'Tong_hop_HQNV_2026Q1_2026-06-23'!$A:$A, "="&amp;$BE$2)</f>
        <v>0</v>
      </c>
      <c r="BF8" s="29">
        <f>SUMIFS('HQ2'!$J:$J,'HQ2'!$A:$A, "="&amp;'CHECK_DT-BT_chi_tiet'!C8,'HQ2'!$B:$B,"="&amp;'CHECK_DT-BT_chi_tiet'!$BE$3)</f>
        <v>0</v>
      </c>
      <c r="BG8" s="7">
        <f t="shared" si="17"/>
        <v>0</v>
      </c>
      <c r="BH8" s="7">
        <f>SUMIFS('Tong_hop_HQNV_2026Q1_2026-06-23'!$L:$L,'Tong_hop_HQNV_2026Q1_2026-06-23'!$B:$B, "="&amp;'CHECK_DT-BT_chi_tiet'!A8, 'Tong_hop_HQNV_2026Q1_2026-06-23'!$A:$A, "="&amp;$BH$2)</f>
        <v>0</v>
      </c>
      <c r="BI8" s="29">
        <f>SUMIFS('HQ2'!$J:$J,'HQ2'!$A:$A, "="&amp;'CHECK_DT-BT_chi_tiet'!C8,'HQ2'!$B:$B,"="&amp;'CHECK_DT-BT_chi_tiet'!$BH$3)</f>
        <v>0</v>
      </c>
      <c r="BJ8" s="7">
        <f t="shared" si="18"/>
        <v>0</v>
      </c>
      <c r="BK8" s="7">
        <f>SUMIFS('Tong_hop_HQNV_2026Q1_2026-06-23'!$L:$L,'Tong_hop_HQNV_2026Q1_2026-06-23'!$B:$B, "="&amp;'CHECK_DT-BT_chi_tiet'!A8, 'Tong_hop_HQNV_2026Q1_2026-06-23'!$A:$A, "="&amp;$BK$2)</f>
        <v>0</v>
      </c>
      <c r="BL8" s="29">
        <f>SUMIFS('HQ2'!$J:$J,'HQ2'!$A:$A, "="&amp;'CHECK_DT-BT_chi_tiet'!C8,'HQ2'!$B:$B,"="&amp;'CHECK_DT-BT_chi_tiet'!$BK$3)</f>
        <v>0</v>
      </c>
      <c r="BM8" s="7">
        <f t="shared" si="19"/>
        <v>0</v>
      </c>
      <c r="BN8" s="7">
        <f>SUMIFS('Tong_hop_HQNV_2026Q1_2026-06-23'!$L:$L,'Tong_hop_HQNV_2026Q1_2026-06-23'!$B:$B, "="&amp;'CHECK_DT-BT_chi_tiet'!A8, 'Tong_hop_HQNV_2026Q1_2026-06-23'!$A:$A, "="&amp;$BN$2)</f>
        <v>46949524</v>
      </c>
      <c r="BO8" s="29">
        <f>SUMIFS('HQ2'!$J:$J,'HQ2'!$A:$A, "="&amp;'CHECK_DT-BT_chi_tiet'!C8,'HQ2'!$B:$B,"="&amp;'CHECK_DT-BT_chi_tiet'!$BN$3)</f>
        <v>46949524</v>
      </c>
      <c r="BP8" s="7">
        <f t="shared" si="20"/>
        <v>0</v>
      </c>
      <c r="BQ8" s="7">
        <f>SUMIFS('Tong_hop_HQNV_2026Q1_2026-06-23'!$L:$L,'Tong_hop_HQNV_2026Q1_2026-06-23'!$B:$B, "="&amp;'CHECK_DT-BT_chi_tiet'!A8, 'Tong_hop_HQNV_2026Q1_2026-06-23'!$A:$A, "="&amp;$BQ$2)</f>
        <v>0</v>
      </c>
      <c r="BR8" s="29">
        <f>SUMIFS('HQ2'!$J:$J,'HQ2'!$A:$A, "="&amp;'CHECK_DT-BT_chi_tiet'!C8,'HQ2'!$B:$B,"="&amp;'CHECK_DT-BT_chi_tiet'!$BQ$3)</f>
        <v>0</v>
      </c>
      <c r="BS8" s="7">
        <f t="shared" si="21"/>
        <v>0</v>
      </c>
      <c r="BT8" s="7">
        <f>SUMIFS('Tong_hop_HQNV_2026Q1_2026-06-23'!$L:$L,'Tong_hop_HQNV_2026Q1_2026-06-23'!$B:$B, "="&amp;'CHECK_DT-BT_chi_tiet'!A8, 'Tong_hop_HQNV_2026Q1_2026-06-23'!$A:$A, "="&amp;$BT$2)</f>
        <v>0</v>
      </c>
      <c r="BU8" s="7">
        <f>SUMIFS('Tong_hop_HQNV_2026Q1_2026-06-23'!$L:$L,'Tong_hop_HQNV_2026Q1_2026-06-23'!$B:$B, "="&amp;'CHECK_DT-BT_chi_tiet'!A8, 'Tong_hop_HQNV_2026Q1_2026-06-23'!$A:$A, "="&amp;$BU$2)</f>
        <v>0</v>
      </c>
    </row>
    <row r="9" spans="1:73" x14ac:dyDescent="0.25">
      <c r="A9" s="9" t="s">
        <v>289</v>
      </c>
      <c r="B9" t="s">
        <v>147</v>
      </c>
      <c r="C9" t="s">
        <v>123</v>
      </c>
      <c r="D9" s="7">
        <f>SUMIFS('Tong_hop_HQNV_2026Q1_2026-06-23'!$K:$K,'Tong_hop_HQNV_2026Q1_2026-06-23'!$A:$A,"="&amp;'CHECK_DT-BT_chi_tiet'!$D$2,'Tong_hop_HQNV_2026Q1_2026-06-23'!$B:$B, "="&amp;'CHECK_DT-BT_chi_tiet'!A9)</f>
        <v>593082550</v>
      </c>
      <c r="E9" s="7">
        <f>SUMIFS('HQ1'!$C:$C,'HQ1'!$A:$A, "="&amp;'CHECK_DT-BT_chi_tiet'!C9,'HQ1'!$B:$B, "="&amp;'CHECK_DT-BT_chi_tiet'!$D$3)</f>
        <v>593082550</v>
      </c>
      <c r="F9" s="7">
        <f t="shared" si="0"/>
        <v>0</v>
      </c>
      <c r="G9" s="7">
        <f>SUMIFS('Tong_hop_HQNV_2026Q1_2026-06-23'!$K:$K,'Tong_hop_HQNV_2026Q1_2026-06-23'!$A:$A,"="&amp;'CHECK_DT-BT_chi_tiet'!$G$2,'Tong_hop_HQNV_2026Q1_2026-06-23'!$B:$B, "="&amp;'CHECK_DT-BT_chi_tiet'!A9)</f>
        <v>329586840</v>
      </c>
      <c r="H9" s="7">
        <f>SUMIFS('HQ1'!$C:$C,'HQ1'!$A:$A, "="&amp;'CHECK_DT-BT_chi_tiet'!C9,'HQ1'!$B:$B, "="&amp;'CHECK_DT-BT_chi_tiet'!$G$3)</f>
        <v>329586840</v>
      </c>
      <c r="I9" s="7">
        <f t="shared" si="1"/>
        <v>0</v>
      </c>
      <c r="J9" s="7">
        <f>SUMIFS('Tong_hop_HQNV_2026Q1_2026-06-23'!$K:$K,'Tong_hop_HQNV_2026Q1_2026-06-23'!$A:$A,"="&amp;'CHECK_DT-BT_chi_tiet'!$J$2,'Tong_hop_HQNV_2026Q1_2026-06-23'!$B:$B, "="&amp;'CHECK_DT-BT_chi_tiet'!A9)</f>
        <v>3558196380</v>
      </c>
      <c r="K9" s="7">
        <f>SUMIFS('HQ1'!$C:$C,'HQ1'!$A:$A, "="&amp;'CHECK_DT-BT_chi_tiet'!C9,'HQ1'!$B:$B, "="&amp;'CHECK_DT-BT_chi_tiet'!$J$3)</f>
        <v>3558196380</v>
      </c>
      <c r="L9" s="7">
        <f t="shared" si="2"/>
        <v>0</v>
      </c>
      <c r="M9" s="7">
        <f>SUMIFS('Tong_hop_HQNV_2026Q1_2026-06-23'!$K:$K,'Tong_hop_HQNV_2026Q1_2026-06-23'!$A:$A,"="&amp;'CHECK_DT-BT_chi_tiet'!$M$2,'Tong_hop_HQNV_2026Q1_2026-06-23'!$B:$B, "="&amp;'CHECK_DT-BT_chi_tiet'!A9)</f>
        <v>506810928</v>
      </c>
      <c r="N9" s="7">
        <f>SUMIFS('HQ1'!$C:$C,'HQ1'!$A:$A, "="&amp;'CHECK_DT-BT_chi_tiet'!C9,'HQ1'!$B:$B, "="&amp;'CHECK_DT-BT_chi_tiet'!$M$3)</f>
        <v>506810928</v>
      </c>
      <c r="O9" s="7">
        <f t="shared" si="3"/>
        <v>0</v>
      </c>
      <c r="P9" s="7">
        <f>SUMIFS('Tong_hop_HQNV_2026Q1_2026-06-23'!$K:$K,'Tong_hop_HQNV_2026Q1_2026-06-23'!$A:$A,"="&amp;$P$2,'Tong_hop_HQNV_2026Q1_2026-06-23'!$B:$B, "="&amp;'CHECK_DT-BT_chi_tiet'!A9)</f>
        <v>19599995</v>
      </c>
      <c r="Q9" s="7">
        <f>SUMIFS('HQ2'!$C:$C,'HQ2'!$A:$A, "="&amp;'CHECK_DT-BT_chi_tiet'!C9,'HQ2'!$B:$B, "="&amp;'CHECK_DT-BT_chi_tiet'!$P$3)</f>
        <v>19599995</v>
      </c>
      <c r="R9" s="7">
        <f t="shared" si="4"/>
        <v>0</v>
      </c>
      <c r="S9" s="7">
        <f>SUMIFS('Tong_hop_HQNV_2026Q1_2026-06-23'!$K:$K,'Tong_hop_HQNV_2026Q1_2026-06-23'!$A:$A,"="&amp;$S$2,'Tong_hop_HQNV_2026Q1_2026-06-23'!$B:$B, "="&amp;'CHECK_DT-BT_chi_tiet'!A9)</f>
        <v>0</v>
      </c>
      <c r="T9" s="7">
        <f>SUMIFS('HQ2'!$C:$C,'HQ2'!$A:$A, "="&amp;'CHECK_DT-BT_chi_tiet'!C9,'HQ2'!$B:$B, "="&amp;'CHECK_DT-BT_chi_tiet'!$S$3)</f>
        <v>0</v>
      </c>
      <c r="U9" s="7">
        <f t="shared" si="5"/>
        <v>0</v>
      </c>
      <c r="V9" s="7">
        <f>SUMIFS('Tong_hop_HQNV_2026Q1_2026-06-23'!$K:$K,'Tong_hop_HQNV_2026Q1_2026-06-23'!$A:$A,"="&amp;$V$2,'Tong_hop_HQNV_2026Q1_2026-06-23'!$B:$B, "="&amp;'CHECK_DT-BT_chi_tiet'!A9)</f>
        <v>0</v>
      </c>
      <c r="W9" s="7">
        <f>SUMIFS('HQ2'!$C:$C,'HQ2'!$A:$A, "="&amp;'CHECK_DT-BT_chi_tiet'!C9,'HQ2'!$B:$B, "="&amp;'CHECK_DT-BT_chi_tiet'!$V$3)</f>
        <v>0</v>
      </c>
      <c r="X9" s="7">
        <f t="shared" si="6"/>
        <v>0</v>
      </c>
      <c r="Y9" s="7">
        <f>SUMIFS('Tong_hop_HQNV_2026Q1_2026-06-23'!$K:$K,'Tong_hop_HQNV_2026Q1_2026-06-23'!$A:$A,"="&amp;$Y$2,'Tong_hop_HQNV_2026Q1_2026-06-23'!$B:$B, "="&amp;'CHECK_DT-BT_chi_tiet'!A9)</f>
        <v>54918125</v>
      </c>
      <c r="Z9" s="7">
        <f>SUMIFS('HQ2'!$C:$C,'HQ2'!$A:$A, "="&amp;'CHECK_DT-BT_chi_tiet'!C9,'HQ2'!$B:$B, "="&amp;'CHECK_DT-BT_chi_tiet'!$Y$3)</f>
        <v>54918125</v>
      </c>
      <c r="AA9" s="7">
        <f t="shared" si="7"/>
        <v>0</v>
      </c>
      <c r="AB9" s="7">
        <f>SUMIFS('Tong_hop_HQNV_2026Q1_2026-06-23'!$K:$K,'Tong_hop_HQNV_2026Q1_2026-06-23'!$A:$A,"="&amp;$AB$2,'Tong_hop_HQNV_2026Q1_2026-06-23'!$B:$B, "="&amp;'CHECK_DT-BT_chi_tiet'!A9)</f>
        <v>290131567</v>
      </c>
      <c r="AC9" s="7">
        <f>SUMIFS('HQ2'!$C:$C,'HQ2'!$A:$A, "="&amp;'CHECK_DT-BT_chi_tiet'!C9,'HQ2'!$B:$B, "="&amp;'CHECK_DT-BT_chi_tiet'!$AB$3)</f>
        <v>290131567</v>
      </c>
      <c r="AD9" s="7">
        <f t="shared" si="8"/>
        <v>0</v>
      </c>
      <c r="AE9" s="7">
        <f>SUMIFS('Tong_hop_HQNV_2026Q1_2026-06-23'!$K:$K,'Tong_hop_HQNV_2026Q1_2026-06-23'!$A:$A,"="&amp;$AE$2,'Tong_hop_HQNV_2026Q1_2026-06-23'!$B:$B, "="&amp;'CHECK_DT-BT_chi_tiet'!A9)</f>
        <v>0</v>
      </c>
      <c r="AF9" s="7">
        <f>SUMIFS('HQ2'!$C:$C,'HQ2'!$A:$A, "="&amp;'CHECK_DT-BT_chi_tiet'!C9,'HQ2'!$B:$B, "="&amp;'CHECK_DT-BT_chi_tiet'!$AE$3)</f>
        <v>0</v>
      </c>
      <c r="AG9" s="7">
        <f t="shared" si="9"/>
        <v>0</v>
      </c>
      <c r="AH9" s="7">
        <f>SUMIFS('Tong_hop_HQNV_2026Q1_2026-06-23'!$K:$K,'Tong_hop_HQNV_2026Q1_2026-06-23'!$A:$A,"="&amp;$AH$2,'Tong_hop_HQNV_2026Q1_2026-06-23'!$B:$B, "="&amp;'CHECK_DT-BT_chi_tiet'!A9)</f>
        <v>3000000</v>
      </c>
      <c r="AI9" s="7">
        <f>SUMIFS('HQ2'!$C:$C,'HQ2'!$A:$A, "="&amp;'CHECK_DT-BT_chi_tiet'!C9,'HQ2'!$B:$B, "="&amp;'CHECK_DT-BT_chi_tiet'!$AH$3)</f>
        <v>3000000</v>
      </c>
      <c r="AJ9" s="7">
        <f t="shared" si="10"/>
        <v>0</v>
      </c>
      <c r="AK9" s="7">
        <f>SUMIFS('Tong_hop_HQNV_2026Q1_2026-06-23'!$K:$K,'Tong_hop_HQNV_2026Q1_2026-06-23'!$A:$A,"="&amp;$AK$2,'Tong_hop_HQNV_2026Q1_2026-06-23'!$B:$B, "="&amp;'CHECK_DT-BT_chi_tiet'!A9)</f>
        <v>0</v>
      </c>
      <c r="AL9" s="7">
        <f>SUMIFS('Tong_hop_HQNV_2026Q1_2026-06-23'!$K:$K,'Tong_hop_HQNV_2026Q1_2026-06-23'!$A:$A,"="&amp;$AL$2,'Tong_hop_HQNV_2026Q1_2026-06-23'!$B:$B, "="&amp;'CHECK_DT-BT_chi_tiet'!A9)</f>
        <v>0</v>
      </c>
      <c r="AM9" s="23">
        <f>SUMIFS('Tong_hop_HQNV_2026Q1_2026-06-23'!$L:$L,'Tong_hop_HQNV_2026Q1_2026-06-23'!$B:$B, "="&amp;'CHECK_DT-BT_chi_tiet'!A9, 'Tong_hop_HQNV_2026Q1_2026-06-23'!$A:$A, "="&amp;'CHECK_DT-BT_chi_tiet'!$AM$2)</f>
        <v>734299300</v>
      </c>
      <c r="AN9" s="29">
        <f>SUMIFS('HQ1'!$D:$D,'HQ1'!$A:$A, "="&amp;'CHECK_DT-BT_chi_tiet'!C9,'HQ1'!$B:$B,"="&amp;'CHECK_DT-BT_chi_tiet'!$AM$3)</f>
        <v>734299300</v>
      </c>
      <c r="AO9" s="29">
        <f t="shared" si="11"/>
        <v>0</v>
      </c>
      <c r="AP9" s="7">
        <f>SUMIFS('Tong_hop_HQNV_2026Q1_2026-06-23'!$L:$L,'Tong_hop_HQNV_2026Q1_2026-06-23'!$B:$B, "="&amp;'CHECK_DT-BT_chi_tiet'!A9, 'Tong_hop_HQNV_2026Q1_2026-06-23'!$A:$A, "="&amp;'CHECK_DT-BT_chi_tiet'!$AP$2)</f>
        <v>0</v>
      </c>
      <c r="AQ9" s="29">
        <f>SUMIFS('HQ1'!$D:$D,'HQ1'!$A:$A, "="&amp;'CHECK_DT-BT_chi_tiet'!C9,'HQ1'!$B:$B,"="&amp;'CHECK_DT-BT_chi_tiet'!$AP$3)</f>
        <v>0</v>
      </c>
      <c r="AR9" s="7">
        <f t="shared" si="12"/>
        <v>0</v>
      </c>
      <c r="AS9" s="7">
        <f>SUMIFS('Tong_hop_HQNV_2026Q1_2026-06-23'!$L:$L,'Tong_hop_HQNV_2026Q1_2026-06-23'!$B:$B, "="&amp;'CHECK_DT-BT_chi_tiet'!A9, 'Tong_hop_HQNV_2026Q1_2026-06-23'!$A:$A, "="&amp;'CHECK_DT-BT_chi_tiet'!$AS$2)</f>
        <v>1351470260</v>
      </c>
      <c r="AT9" s="29">
        <f>SUMIFS('HQ1'!$D:$D,'HQ1'!$A:$A, "="&amp;'CHECK_DT-BT_chi_tiet'!C9,'HQ1'!$B:$B,"="&amp;'CHECK_DT-BT_chi_tiet'!$AS$3)</f>
        <v>1351470260</v>
      </c>
      <c r="AU9" s="7">
        <f t="shared" si="13"/>
        <v>0</v>
      </c>
      <c r="AV9" s="7">
        <f>SUMIFS('Tong_hop_HQNV_2026Q1_2026-06-23'!$L:$L,'Tong_hop_HQNV_2026Q1_2026-06-23'!$B:$B, "="&amp;'CHECK_DT-BT_chi_tiet'!A9, 'Tong_hop_HQNV_2026Q1_2026-06-23'!$A:$A, "="&amp;'CHECK_DT-BT_chi_tiet'!$AV$2)</f>
        <v>39018447</v>
      </c>
      <c r="AW9" s="29">
        <f>SUMIFS('HQ1'!$D:$D,'HQ1'!$A:$A, "="&amp;'CHECK_DT-BT_chi_tiet'!C9,'HQ1'!$B:$B,"="&amp;'CHECK_DT-BT_chi_tiet'!$AV$3)</f>
        <v>39018447</v>
      </c>
      <c r="AX9" s="7">
        <f t="shared" si="14"/>
        <v>0</v>
      </c>
      <c r="AY9" s="7">
        <f>SUMIFS('Tong_hop_HQNV_2026Q1_2026-06-23'!$L:$L,'Tong_hop_HQNV_2026Q1_2026-06-23'!$B:$B, "="&amp;'CHECK_DT-BT_chi_tiet'!A9, 'Tong_hop_HQNV_2026Q1_2026-06-23'!$A:$A, "="&amp;$AY$2)</f>
        <v>0</v>
      </c>
      <c r="AZ9" s="29">
        <f>SUMIFS('HQ2'!$J:$J,'HQ2'!$A:$A, "="&amp;'CHECK_DT-BT_chi_tiet'!C9,'HQ2'!$B:$B,"="&amp;'CHECK_DT-BT_chi_tiet'!$AY$3)</f>
        <v>0</v>
      </c>
      <c r="BA9" s="7">
        <f t="shared" si="15"/>
        <v>0</v>
      </c>
      <c r="BB9" s="7">
        <f>SUMIFS('Tong_hop_HQNV_2026Q1_2026-06-23'!$L:$L,'Tong_hop_HQNV_2026Q1_2026-06-23'!$B:$B, "="&amp;'CHECK_DT-BT_chi_tiet'!A9, 'Tong_hop_HQNV_2026Q1_2026-06-23'!$A:$A, "="&amp;$BB$2)</f>
        <v>0</v>
      </c>
      <c r="BC9" s="29">
        <f>SUMIFS('HQ2'!$J:$J,'HQ2'!$A:$A, "="&amp;'CHECK_DT-BT_chi_tiet'!C9,'HQ2'!$B:$B,"="&amp;'CHECK_DT-BT_chi_tiet'!$BB$3)</f>
        <v>0</v>
      </c>
      <c r="BD9" s="7">
        <f t="shared" si="16"/>
        <v>0</v>
      </c>
      <c r="BE9" s="7">
        <f>SUMIFS('Tong_hop_HQNV_2026Q1_2026-06-23'!$L:$L,'Tong_hop_HQNV_2026Q1_2026-06-23'!$B:$B, "="&amp;'CHECK_DT-BT_chi_tiet'!A9, 'Tong_hop_HQNV_2026Q1_2026-06-23'!$A:$A, "="&amp;$BE$2)</f>
        <v>0</v>
      </c>
      <c r="BF9" s="29">
        <f>SUMIFS('HQ2'!$J:$J,'HQ2'!$A:$A, "="&amp;'CHECK_DT-BT_chi_tiet'!C9,'HQ2'!$B:$B,"="&amp;'CHECK_DT-BT_chi_tiet'!$BE$3)</f>
        <v>0</v>
      </c>
      <c r="BG9" s="7">
        <f t="shared" si="17"/>
        <v>0</v>
      </c>
      <c r="BH9" s="7">
        <f>SUMIFS('Tong_hop_HQNV_2026Q1_2026-06-23'!$L:$L,'Tong_hop_HQNV_2026Q1_2026-06-23'!$B:$B, "="&amp;'CHECK_DT-BT_chi_tiet'!A9, 'Tong_hop_HQNV_2026Q1_2026-06-23'!$A:$A, "="&amp;$BH$2)</f>
        <v>0</v>
      </c>
      <c r="BI9" s="29">
        <f>SUMIFS('HQ2'!$J:$J,'HQ2'!$A:$A, "="&amp;'CHECK_DT-BT_chi_tiet'!C9,'HQ2'!$B:$B,"="&amp;'CHECK_DT-BT_chi_tiet'!$BH$3)</f>
        <v>0</v>
      </c>
      <c r="BJ9" s="7">
        <f t="shared" si="18"/>
        <v>0</v>
      </c>
      <c r="BK9" s="7">
        <f>SUMIFS('Tong_hop_HQNV_2026Q1_2026-06-23'!$L:$L,'Tong_hop_HQNV_2026Q1_2026-06-23'!$B:$B, "="&amp;'CHECK_DT-BT_chi_tiet'!A9, 'Tong_hop_HQNV_2026Q1_2026-06-23'!$A:$A, "="&amp;$BK$2)</f>
        <v>113895291</v>
      </c>
      <c r="BL9" s="29">
        <f>SUMIFS('HQ2'!$J:$J,'HQ2'!$A:$A, "="&amp;'CHECK_DT-BT_chi_tiet'!C9,'HQ2'!$B:$B,"="&amp;'CHECK_DT-BT_chi_tiet'!$BK$3)</f>
        <v>113895291</v>
      </c>
      <c r="BM9" s="7">
        <f t="shared" si="19"/>
        <v>0</v>
      </c>
      <c r="BN9" s="7">
        <f>SUMIFS('Tong_hop_HQNV_2026Q1_2026-06-23'!$L:$L,'Tong_hop_HQNV_2026Q1_2026-06-23'!$B:$B, "="&amp;'CHECK_DT-BT_chi_tiet'!A9, 'Tong_hop_HQNV_2026Q1_2026-06-23'!$A:$A, "="&amp;$BN$2)</f>
        <v>0</v>
      </c>
      <c r="BO9" s="29">
        <f>SUMIFS('HQ2'!$J:$J,'HQ2'!$A:$A, "="&amp;'CHECK_DT-BT_chi_tiet'!C9,'HQ2'!$B:$B,"="&amp;'CHECK_DT-BT_chi_tiet'!$BN$3)</f>
        <v>0</v>
      </c>
      <c r="BP9" s="7">
        <f t="shared" si="20"/>
        <v>0</v>
      </c>
      <c r="BQ9" s="7">
        <f>SUMIFS('Tong_hop_HQNV_2026Q1_2026-06-23'!$L:$L,'Tong_hop_HQNV_2026Q1_2026-06-23'!$B:$B, "="&amp;'CHECK_DT-BT_chi_tiet'!A9, 'Tong_hop_HQNV_2026Q1_2026-06-23'!$A:$A, "="&amp;$BQ$2)</f>
        <v>0</v>
      </c>
      <c r="BR9" s="29">
        <f>SUMIFS('HQ2'!$J:$J,'HQ2'!$A:$A, "="&amp;'CHECK_DT-BT_chi_tiet'!C9,'HQ2'!$B:$B,"="&amp;'CHECK_DT-BT_chi_tiet'!$BQ$3)</f>
        <v>0</v>
      </c>
      <c r="BS9" s="7">
        <f t="shared" si="21"/>
        <v>0</v>
      </c>
      <c r="BT9" s="7">
        <f>SUMIFS('Tong_hop_HQNV_2026Q1_2026-06-23'!$L:$L,'Tong_hop_HQNV_2026Q1_2026-06-23'!$B:$B, "="&amp;'CHECK_DT-BT_chi_tiet'!A9, 'Tong_hop_HQNV_2026Q1_2026-06-23'!$A:$A, "="&amp;$BT$2)</f>
        <v>0</v>
      </c>
      <c r="BU9" s="7">
        <f>SUMIFS('Tong_hop_HQNV_2026Q1_2026-06-23'!$L:$L,'Tong_hop_HQNV_2026Q1_2026-06-23'!$B:$B, "="&amp;'CHECK_DT-BT_chi_tiet'!A9, 'Tong_hop_HQNV_2026Q1_2026-06-23'!$A:$A, "="&amp;$BU$2)</f>
        <v>0</v>
      </c>
    </row>
    <row r="10" spans="1:73" x14ac:dyDescent="0.25">
      <c r="A10" s="9" t="s">
        <v>290</v>
      </c>
      <c r="B10" t="s">
        <v>148</v>
      </c>
      <c r="C10" t="s">
        <v>49</v>
      </c>
      <c r="D10" s="7">
        <f>SUMIFS('Tong_hop_HQNV_2026Q1_2026-06-23'!$K:$K,'Tong_hop_HQNV_2026Q1_2026-06-23'!$A:$A,"="&amp;'CHECK_DT-BT_chi_tiet'!$D$2,'Tong_hop_HQNV_2026Q1_2026-06-23'!$B:$B, "="&amp;'CHECK_DT-BT_chi_tiet'!A10)</f>
        <v>2901313612</v>
      </c>
      <c r="E10" s="7">
        <f>SUMIFS('HQ1'!$C:$C,'HQ1'!$A:$A, "="&amp;'CHECK_DT-BT_chi_tiet'!C10,'HQ1'!$B:$B, "="&amp;'CHECK_DT-BT_chi_tiet'!$D$3)</f>
        <v>2901313612</v>
      </c>
      <c r="F10" s="7">
        <f t="shared" si="0"/>
        <v>0</v>
      </c>
      <c r="G10" s="7">
        <f>SUMIFS('Tong_hop_HQNV_2026Q1_2026-06-23'!$K:$K,'Tong_hop_HQNV_2026Q1_2026-06-23'!$A:$A,"="&amp;'CHECK_DT-BT_chi_tiet'!$G$2,'Tong_hop_HQNV_2026Q1_2026-06-23'!$B:$B, "="&amp;'CHECK_DT-BT_chi_tiet'!A10)</f>
        <v>91247000</v>
      </c>
      <c r="H10" s="7">
        <f>SUMIFS('HQ1'!$C:$C,'HQ1'!$A:$A, "="&amp;'CHECK_DT-BT_chi_tiet'!C10,'HQ1'!$B:$B, "="&amp;'CHECK_DT-BT_chi_tiet'!$G$3)</f>
        <v>91247000</v>
      </c>
      <c r="I10" s="7">
        <f t="shared" si="1"/>
        <v>0</v>
      </c>
      <c r="J10" s="7">
        <f>SUMIFS('Tong_hop_HQNV_2026Q1_2026-06-23'!$K:$K,'Tong_hop_HQNV_2026Q1_2026-06-23'!$A:$A,"="&amp;'CHECK_DT-BT_chi_tiet'!$J$2,'Tong_hop_HQNV_2026Q1_2026-06-23'!$B:$B, "="&amp;'CHECK_DT-BT_chi_tiet'!A10)</f>
        <v>7380521197</v>
      </c>
      <c r="K10" s="7">
        <f>SUMIFS('HQ1'!$C:$C,'HQ1'!$A:$A, "="&amp;'CHECK_DT-BT_chi_tiet'!C10,'HQ1'!$B:$B, "="&amp;'CHECK_DT-BT_chi_tiet'!$J$3)</f>
        <v>7380521197</v>
      </c>
      <c r="L10" s="7">
        <f t="shared" si="2"/>
        <v>0</v>
      </c>
      <c r="M10" s="7">
        <f>SUMIFS('Tong_hop_HQNV_2026Q1_2026-06-23'!$K:$K,'Tong_hop_HQNV_2026Q1_2026-06-23'!$A:$A,"="&amp;'CHECK_DT-BT_chi_tiet'!$M$2,'Tong_hop_HQNV_2026Q1_2026-06-23'!$B:$B, "="&amp;'CHECK_DT-BT_chi_tiet'!A10)</f>
        <v>2019730320</v>
      </c>
      <c r="N10" s="7">
        <f>SUMIFS('HQ1'!$C:$C,'HQ1'!$A:$A, "="&amp;'CHECK_DT-BT_chi_tiet'!C10,'HQ1'!$B:$B, "="&amp;'CHECK_DT-BT_chi_tiet'!$M$3)</f>
        <v>2019730320</v>
      </c>
      <c r="O10" s="7">
        <f t="shared" si="3"/>
        <v>0</v>
      </c>
      <c r="P10" s="7">
        <f>SUMIFS('Tong_hop_HQNV_2026Q1_2026-06-23'!$K:$K,'Tong_hop_HQNV_2026Q1_2026-06-23'!$A:$A,"="&amp;$P$2,'Tong_hop_HQNV_2026Q1_2026-06-23'!$B:$B, "="&amp;'CHECK_DT-BT_chi_tiet'!A10)</f>
        <v>595859015</v>
      </c>
      <c r="Q10" s="7">
        <f>SUMIFS('HQ2'!$C:$C,'HQ2'!$A:$A, "="&amp;'CHECK_DT-BT_chi_tiet'!C10,'HQ2'!$B:$B, "="&amp;'CHECK_DT-BT_chi_tiet'!$P$3)</f>
        <v>595859015</v>
      </c>
      <c r="R10" s="7">
        <f t="shared" si="4"/>
        <v>0</v>
      </c>
      <c r="S10" s="7">
        <f>SUMIFS('Tong_hop_HQNV_2026Q1_2026-06-23'!$K:$K,'Tong_hop_HQNV_2026Q1_2026-06-23'!$A:$A,"="&amp;$S$2,'Tong_hop_HQNV_2026Q1_2026-06-23'!$B:$B, "="&amp;'CHECK_DT-BT_chi_tiet'!A10)</f>
        <v>0</v>
      </c>
      <c r="T10" s="7">
        <f>SUMIFS('HQ2'!$C:$C,'HQ2'!$A:$A, "="&amp;'CHECK_DT-BT_chi_tiet'!C10,'HQ2'!$B:$B, "="&amp;'CHECK_DT-BT_chi_tiet'!$S$3)</f>
        <v>0</v>
      </c>
      <c r="U10" s="7">
        <f t="shared" si="5"/>
        <v>0</v>
      </c>
      <c r="V10" s="7">
        <f>SUMIFS('Tong_hop_HQNV_2026Q1_2026-06-23'!$K:$K,'Tong_hop_HQNV_2026Q1_2026-06-23'!$A:$A,"="&amp;$V$2,'Tong_hop_HQNV_2026Q1_2026-06-23'!$B:$B, "="&amp;'CHECK_DT-BT_chi_tiet'!A10)</f>
        <v>0</v>
      </c>
      <c r="W10" s="7">
        <f>SUMIFS('HQ2'!$C:$C,'HQ2'!$A:$A, "="&amp;'CHECK_DT-BT_chi_tiet'!C10,'HQ2'!$B:$B, "="&amp;'CHECK_DT-BT_chi_tiet'!$V$3)</f>
        <v>0</v>
      </c>
      <c r="X10" s="7">
        <f t="shared" si="6"/>
        <v>0</v>
      </c>
      <c r="Y10" s="7">
        <f>SUMIFS('Tong_hop_HQNV_2026Q1_2026-06-23'!$K:$K,'Tong_hop_HQNV_2026Q1_2026-06-23'!$A:$A,"="&amp;$Y$2,'Tong_hop_HQNV_2026Q1_2026-06-23'!$B:$B, "="&amp;'CHECK_DT-BT_chi_tiet'!A10)</f>
        <v>353877767</v>
      </c>
      <c r="Z10" s="7">
        <f>SUMIFS('HQ2'!$C:$C,'HQ2'!$A:$A, "="&amp;'CHECK_DT-BT_chi_tiet'!C10,'HQ2'!$B:$B, "="&amp;'CHECK_DT-BT_chi_tiet'!$Y$3)</f>
        <v>353877767</v>
      </c>
      <c r="AA10" s="7">
        <f t="shared" si="7"/>
        <v>0</v>
      </c>
      <c r="AB10" s="7">
        <f>SUMIFS('Tong_hop_HQNV_2026Q1_2026-06-23'!$K:$K,'Tong_hop_HQNV_2026Q1_2026-06-23'!$A:$A,"="&amp;$AB$2,'Tong_hop_HQNV_2026Q1_2026-06-23'!$B:$B, "="&amp;'CHECK_DT-BT_chi_tiet'!A10)</f>
        <v>24857019668</v>
      </c>
      <c r="AC10" s="7">
        <f>SUMIFS('HQ2'!$C:$C,'HQ2'!$A:$A, "="&amp;'CHECK_DT-BT_chi_tiet'!C10,'HQ2'!$B:$B, "="&amp;'CHECK_DT-BT_chi_tiet'!$AB$3)</f>
        <v>24855746168</v>
      </c>
      <c r="AD10" s="7">
        <f t="shared" si="8"/>
        <v>1273500</v>
      </c>
      <c r="AE10" s="7">
        <f>SUMIFS('Tong_hop_HQNV_2026Q1_2026-06-23'!$K:$K,'Tong_hop_HQNV_2026Q1_2026-06-23'!$A:$A,"="&amp;$AE$2,'Tong_hop_HQNV_2026Q1_2026-06-23'!$B:$B, "="&amp;'CHECK_DT-BT_chi_tiet'!A10)</f>
        <v>671674448</v>
      </c>
      <c r="AF10" s="7">
        <f>SUMIFS('HQ2'!$C:$C,'HQ2'!$A:$A, "="&amp;'CHECK_DT-BT_chi_tiet'!C10,'HQ2'!$B:$B, "="&amp;'CHECK_DT-BT_chi_tiet'!$AE$3)</f>
        <v>671674448</v>
      </c>
      <c r="AG10" s="7">
        <f t="shared" si="9"/>
        <v>0</v>
      </c>
      <c r="AH10" s="7">
        <f>SUMIFS('Tong_hop_HQNV_2026Q1_2026-06-23'!$K:$K,'Tong_hop_HQNV_2026Q1_2026-06-23'!$A:$A,"="&amp;$AH$2,'Tong_hop_HQNV_2026Q1_2026-06-23'!$B:$B, "="&amp;'CHECK_DT-BT_chi_tiet'!A10)</f>
        <v>60260800</v>
      </c>
      <c r="AI10" s="7">
        <f>SUMIFS('HQ2'!$C:$C,'HQ2'!$A:$A, "="&amp;'CHECK_DT-BT_chi_tiet'!C10,'HQ2'!$B:$B, "="&amp;'CHECK_DT-BT_chi_tiet'!$AH$3)</f>
        <v>60260800</v>
      </c>
      <c r="AJ10" s="7">
        <f t="shared" si="10"/>
        <v>0</v>
      </c>
      <c r="AK10" s="7">
        <f>SUMIFS('Tong_hop_HQNV_2026Q1_2026-06-23'!$K:$K,'Tong_hop_HQNV_2026Q1_2026-06-23'!$A:$A,"="&amp;$AK$2,'Tong_hop_HQNV_2026Q1_2026-06-23'!$B:$B, "="&amp;'CHECK_DT-BT_chi_tiet'!A10)</f>
        <v>0</v>
      </c>
      <c r="AL10" s="7">
        <f>SUMIFS('Tong_hop_HQNV_2026Q1_2026-06-23'!$K:$K,'Tong_hop_HQNV_2026Q1_2026-06-23'!$A:$A,"="&amp;$AL$2,'Tong_hop_HQNV_2026Q1_2026-06-23'!$B:$B, "="&amp;'CHECK_DT-BT_chi_tiet'!A10)</f>
        <v>0</v>
      </c>
      <c r="AM10" s="23">
        <f>SUMIFS('Tong_hop_HQNV_2026Q1_2026-06-23'!$L:$L,'Tong_hop_HQNV_2026Q1_2026-06-23'!$B:$B, "="&amp;'CHECK_DT-BT_chi_tiet'!A10, 'Tong_hop_HQNV_2026Q1_2026-06-23'!$A:$A, "="&amp;'CHECK_DT-BT_chi_tiet'!$AM$2)</f>
        <v>4072420811</v>
      </c>
      <c r="AN10" s="29">
        <f>SUMIFS('HQ1'!$D:$D,'HQ1'!$A:$A, "="&amp;'CHECK_DT-BT_chi_tiet'!C10,'HQ1'!$B:$B,"="&amp;'CHECK_DT-BT_chi_tiet'!$AM$3)</f>
        <v>4074020811</v>
      </c>
      <c r="AO10" s="29">
        <f t="shared" si="11"/>
        <v>-1600000</v>
      </c>
      <c r="AP10" s="7">
        <f>SUMIFS('Tong_hop_HQNV_2026Q1_2026-06-23'!$L:$L,'Tong_hop_HQNV_2026Q1_2026-06-23'!$B:$B, "="&amp;'CHECK_DT-BT_chi_tiet'!A10, 'Tong_hop_HQNV_2026Q1_2026-06-23'!$A:$A, "="&amp;'CHECK_DT-BT_chi_tiet'!$AP$2)</f>
        <v>0</v>
      </c>
      <c r="AQ10" s="29">
        <f>SUMIFS('HQ1'!$D:$D,'HQ1'!$A:$A, "="&amp;'CHECK_DT-BT_chi_tiet'!C10,'HQ1'!$B:$B,"="&amp;'CHECK_DT-BT_chi_tiet'!$AP$3)</f>
        <v>0</v>
      </c>
      <c r="AR10" s="7">
        <f t="shared" si="12"/>
        <v>0</v>
      </c>
      <c r="AS10" s="7">
        <f>SUMIFS('Tong_hop_HQNV_2026Q1_2026-06-23'!$L:$L,'Tong_hop_HQNV_2026Q1_2026-06-23'!$B:$B, "="&amp;'CHECK_DT-BT_chi_tiet'!A10, 'Tong_hop_HQNV_2026Q1_2026-06-23'!$A:$A, "="&amp;'CHECK_DT-BT_chi_tiet'!$AS$2)</f>
        <v>3107539082</v>
      </c>
      <c r="AT10" s="29">
        <f>SUMIFS('HQ1'!$D:$D,'HQ1'!$A:$A, "="&amp;'CHECK_DT-BT_chi_tiet'!C10,'HQ1'!$B:$B,"="&amp;'CHECK_DT-BT_chi_tiet'!$AS$3)</f>
        <v>3107539082</v>
      </c>
      <c r="AU10" s="7">
        <f t="shared" si="13"/>
        <v>0</v>
      </c>
      <c r="AV10" s="7">
        <f>SUMIFS('Tong_hop_HQNV_2026Q1_2026-06-23'!$L:$L,'Tong_hop_HQNV_2026Q1_2026-06-23'!$B:$B, "="&amp;'CHECK_DT-BT_chi_tiet'!A10, 'Tong_hop_HQNV_2026Q1_2026-06-23'!$A:$A, "="&amp;'CHECK_DT-BT_chi_tiet'!$AV$2)</f>
        <v>499781379</v>
      </c>
      <c r="AW10" s="29">
        <f>SUMIFS('HQ1'!$D:$D,'HQ1'!$A:$A, "="&amp;'CHECK_DT-BT_chi_tiet'!C10,'HQ1'!$B:$B,"="&amp;'CHECK_DT-BT_chi_tiet'!$AV$3)</f>
        <v>498181379</v>
      </c>
      <c r="AX10" s="7">
        <f t="shared" si="14"/>
        <v>1600000</v>
      </c>
      <c r="AY10" s="7">
        <f>SUMIFS('Tong_hop_HQNV_2026Q1_2026-06-23'!$L:$L,'Tong_hop_HQNV_2026Q1_2026-06-23'!$B:$B, "="&amp;'CHECK_DT-BT_chi_tiet'!A10, 'Tong_hop_HQNV_2026Q1_2026-06-23'!$A:$A, "="&amp;$AY$2)</f>
        <v>124873705</v>
      </c>
      <c r="AZ10" s="29">
        <f>SUMIFS('HQ2'!$J:$J,'HQ2'!$A:$A, "="&amp;'CHECK_DT-BT_chi_tiet'!C10,'HQ2'!$B:$B,"="&amp;'CHECK_DT-BT_chi_tiet'!$AY$3)</f>
        <v>124873705</v>
      </c>
      <c r="BA10" s="7">
        <f t="shared" si="15"/>
        <v>0</v>
      </c>
      <c r="BB10" s="7">
        <f>SUMIFS('Tong_hop_HQNV_2026Q1_2026-06-23'!$L:$L,'Tong_hop_HQNV_2026Q1_2026-06-23'!$B:$B, "="&amp;'CHECK_DT-BT_chi_tiet'!A10, 'Tong_hop_HQNV_2026Q1_2026-06-23'!$A:$A, "="&amp;$BB$2)</f>
        <v>0</v>
      </c>
      <c r="BC10" s="29">
        <f>SUMIFS('HQ2'!$J:$J,'HQ2'!$A:$A, "="&amp;'CHECK_DT-BT_chi_tiet'!C10,'HQ2'!$B:$B,"="&amp;'CHECK_DT-BT_chi_tiet'!$BB$3)</f>
        <v>0</v>
      </c>
      <c r="BD10" s="7">
        <f t="shared" si="16"/>
        <v>0</v>
      </c>
      <c r="BE10" s="7">
        <f>SUMIFS('Tong_hop_HQNV_2026Q1_2026-06-23'!$L:$L,'Tong_hop_HQNV_2026Q1_2026-06-23'!$B:$B, "="&amp;'CHECK_DT-BT_chi_tiet'!A10, 'Tong_hop_HQNV_2026Q1_2026-06-23'!$A:$A, "="&amp;$BE$2)</f>
        <v>0</v>
      </c>
      <c r="BF10" s="29">
        <f>SUMIFS('HQ2'!$J:$J,'HQ2'!$A:$A, "="&amp;'CHECK_DT-BT_chi_tiet'!C10,'HQ2'!$B:$B,"="&amp;'CHECK_DT-BT_chi_tiet'!$BE$3)</f>
        <v>0</v>
      </c>
      <c r="BG10" s="7">
        <f t="shared" si="17"/>
        <v>0</v>
      </c>
      <c r="BH10" s="7">
        <f>SUMIFS('Tong_hop_HQNV_2026Q1_2026-06-23'!$L:$L,'Tong_hop_HQNV_2026Q1_2026-06-23'!$B:$B, "="&amp;'CHECK_DT-BT_chi_tiet'!A10, 'Tong_hop_HQNV_2026Q1_2026-06-23'!$A:$A, "="&amp;$BH$2)</f>
        <v>71470000</v>
      </c>
      <c r="BI10" s="29">
        <f>SUMIFS('HQ2'!$J:$J,'HQ2'!$A:$A, "="&amp;'CHECK_DT-BT_chi_tiet'!C10,'HQ2'!$B:$B,"="&amp;'CHECK_DT-BT_chi_tiet'!$BH$3)</f>
        <v>71470000</v>
      </c>
      <c r="BJ10" s="7">
        <f t="shared" si="18"/>
        <v>0</v>
      </c>
      <c r="BK10" s="7">
        <f>SUMIFS('Tong_hop_HQNV_2026Q1_2026-06-23'!$L:$L,'Tong_hop_HQNV_2026Q1_2026-06-23'!$B:$B, "="&amp;'CHECK_DT-BT_chi_tiet'!A10, 'Tong_hop_HQNV_2026Q1_2026-06-23'!$A:$A, "="&amp;$BK$2)</f>
        <v>0</v>
      </c>
      <c r="BL10" s="29">
        <f>SUMIFS('HQ2'!$J:$J,'HQ2'!$A:$A, "="&amp;'CHECK_DT-BT_chi_tiet'!C10,'HQ2'!$B:$B,"="&amp;'CHECK_DT-BT_chi_tiet'!$BK$3)</f>
        <v>0</v>
      </c>
      <c r="BM10" s="7">
        <f t="shared" si="19"/>
        <v>0</v>
      </c>
      <c r="BN10" s="7">
        <f>SUMIFS('Tong_hop_HQNV_2026Q1_2026-06-23'!$L:$L,'Tong_hop_HQNV_2026Q1_2026-06-23'!$B:$B, "="&amp;'CHECK_DT-BT_chi_tiet'!A10, 'Tong_hop_HQNV_2026Q1_2026-06-23'!$A:$A, "="&amp;$BN$2)</f>
        <v>0</v>
      </c>
      <c r="BO10" s="29">
        <f>SUMIFS('HQ2'!$J:$J,'HQ2'!$A:$A, "="&amp;'CHECK_DT-BT_chi_tiet'!C10,'HQ2'!$B:$B,"="&amp;'CHECK_DT-BT_chi_tiet'!$BN$3)</f>
        <v>0</v>
      </c>
      <c r="BP10" s="7">
        <f t="shared" si="20"/>
        <v>0</v>
      </c>
      <c r="BQ10" s="7">
        <f>SUMIFS('Tong_hop_HQNV_2026Q1_2026-06-23'!$L:$L,'Tong_hop_HQNV_2026Q1_2026-06-23'!$B:$B, "="&amp;'CHECK_DT-BT_chi_tiet'!A10, 'Tong_hop_HQNV_2026Q1_2026-06-23'!$A:$A, "="&amp;$BQ$2)</f>
        <v>0</v>
      </c>
      <c r="BR10" s="29">
        <f>SUMIFS('HQ2'!$J:$J,'HQ2'!$A:$A, "="&amp;'CHECK_DT-BT_chi_tiet'!C10,'HQ2'!$B:$B,"="&amp;'CHECK_DT-BT_chi_tiet'!$BQ$3)</f>
        <v>0</v>
      </c>
      <c r="BS10" s="7">
        <f t="shared" si="21"/>
        <v>0</v>
      </c>
      <c r="BT10" s="7">
        <f>SUMIFS('Tong_hop_HQNV_2026Q1_2026-06-23'!$L:$L,'Tong_hop_HQNV_2026Q1_2026-06-23'!$B:$B, "="&amp;'CHECK_DT-BT_chi_tiet'!A10, 'Tong_hop_HQNV_2026Q1_2026-06-23'!$A:$A, "="&amp;$BT$2)</f>
        <v>0</v>
      </c>
      <c r="BU10" s="7">
        <f>SUMIFS('Tong_hop_HQNV_2026Q1_2026-06-23'!$L:$L,'Tong_hop_HQNV_2026Q1_2026-06-23'!$B:$B, "="&amp;'CHECK_DT-BT_chi_tiet'!A10, 'Tong_hop_HQNV_2026Q1_2026-06-23'!$A:$A, "="&amp;$BU$2)</f>
        <v>0</v>
      </c>
    </row>
    <row r="11" spans="1:73" x14ac:dyDescent="0.25">
      <c r="A11" s="9" t="s">
        <v>291</v>
      </c>
      <c r="B11" t="s">
        <v>149</v>
      </c>
      <c r="C11" t="s">
        <v>79</v>
      </c>
      <c r="D11" s="7">
        <f>SUMIFS('Tong_hop_HQNV_2026Q1_2026-06-23'!$K:$K,'Tong_hop_HQNV_2026Q1_2026-06-23'!$A:$A,"="&amp;'CHECK_DT-BT_chi_tiet'!$D$2,'Tong_hop_HQNV_2026Q1_2026-06-23'!$B:$B, "="&amp;'CHECK_DT-BT_chi_tiet'!A11)</f>
        <v>402535468</v>
      </c>
      <c r="E11" s="7">
        <f>SUMIFS('HQ1'!$C:$C,'HQ1'!$A:$A, "="&amp;'CHECK_DT-BT_chi_tiet'!C11,'HQ1'!$B:$B, "="&amp;'CHECK_DT-BT_chi_tiet'!$D$3)</f>
        <v>402175468</v>
      </c>
      <c r="F11" s="7">
        <f t="shared" si="0"/>
        <v>360000</v>
      </c>
      <c r="G11" s="7">
        <f>SUMIFS('Tong_hop_HQNV_2026Q1_2026-06-23'!$K:$K,'Tong_hop_HQNV_2026Q1_2026-06-23'!$A:$A,"="&amp;'CHECK_DT-BT_chi_tiet'!$G$2,'Tong_hop_HQNV_2026Q1_2026-06-23'!$B:$B, "="&amp;'CHECK_DT-BT_chi_tiet'!A11)</f>
        <v>198955000</v>
      </c>
      <c r="H11" s="7">
        <f>SUMIFS('HQ1'!$C:$C,'HQ1'!$A:$A, "="&amp;'CHECK_DT-BT_chi_tiet'!C11,'HQ1'!$B:$B, "="&amp;'CHECK_DT-BT_chi_tiet'!$G$3)</f>
        <v>198955000</v>
      </c>
      <c r="I11" s="7">
        <f t="shared" si="1"/>
        <v>0</v>
      </c>
      <c r="J11" s="7">
        <f>SUMIFS('Tong_hop_HQNV_2026Q1_2026-06-23'!$K:$K,'Tong_hop_HQNV_2026Q1_2026-06-23'!$A:$A,"="&amp;'CHECK_DT-BT_chi_tiet'!$J$2,'Tong_hop_HQNV_2026Q1_2026-06-23'!$B:$B, "="&amp;'CHECK_DT-BT_chi_tiet'!A11)</f>
        <v>5611667288</v>
      </c>
      <c r="K11" s="7">
        <f>SUMIFS('HQ1'!$C:$C,'HQ1'!$A:$A, "="&amp;'CHECK_DT-BT_chi_tiet'!C11,'HQ1'!$B:$B, "="&amp;'CHECK_DT-BT_chi_tiet'!$J$3)</f>
        <v>5612027288</v>
      </c>
      <c r="L11" s="7">
        <f t="shared" si="2"/>
        <v>-360000</v>
      </c>
      <c r="M11" s="7">
        <f>SUMIFS('Tong_hop_HQNV_2026Q1_2026-06-23'!$K:$K,'Tong_hop_HQNV_2026Q1_2026-06-23'!$A:$A,"="&amp;'CHECK_DT-BT_chi_tiet'!$M$2,'Tong_hop_HQNV_2026Q1_2026-06-23'!$B:$B, "="&amp;'CHECK_DT-BT_chi_tiet'!A11)</f>
        <v>10195076873</v>
      </c>
      <c r="N11" s="7">
        <f>SUMIFS('HQ1'!$C:$C,'HQ1'!$A:$A, "="&amp;'CHECK_DT-BT_chi_tiet'!C11,'HQ1'!$B:$B, "="&amp;'CHECK_DT-BT_chi_tiet'!$M$3)</f>
        <v>10195076873</v>
      </c>
      <c r="O11" s="7">
        <f t="shared" si="3"/>
        <v>0</v>
      </c>
      <c r="P11" s="7">
        <f>SUMIFS('Tong_hop_HQNV_2026Q1_2026-06-23'!$K:$K,'Tong_hop_HQNV_2026Q1_2026-06-23'!$A:$A,"="&amp;$P$2,'Tong_hop_HQNV_2026Q1_2026-06-23'!$B:$B, "="&amp;'CHECK_DT-BT_chi_tiet'!A11)</f>
        <v>1150226034</v>
      </c>
      <c r="Q11" s="7">
        <f>SUMIFS('HQ2'!$C:$C,'HQ2'!$A:$A, "="&amp;'CHECK_DT-BT_chi_tiet'!C11,'HQ2'!$B:$B, "="&amp;'CHECK_DT-BT_chi_tiet'!$P$3)</f>
        <v>1150226034</v>
      </c>
      <c r="R11" s="7">
        <f t="shared" si="4"/>
        <v>0</v>
      </c>
      <c r="S11" s="7">
        <f>SUMIFS('Tong_hop_HQNV_2026Q1_2026-06-23'!$K:$K,'Tong_hop_HQNV_2026Q1_2026-06-23'!$A:$A,"="&amp;$S$2,'Tong_hop_HQNV_2026Q1_2026-06-23'!$B:$B, "="&amp;'CHECK_DT-BT_chi_tiet'!A11)</f>
        <v>0</v>
      </c>
      <c r="T11" s="7">
        <f>SUMIFS('HQ2'!$C:$C,'HQ2'!$A:$A, "="&amp;'CHECK_DT-BT_chi_tiet'!C11,'HQ2'!$B:$B, "="&amp;'CHECK_DT-BT_chi_tiet'!$S$3)</f>
        <v>0</v>
      </c>
      <c r="U11" s="7">
        <f t="shared" si="5"/>
        <v>0</v>
      </c>
      <c r="V11" s="7">
        <f>SUMIFS('Tong_hop_HQNV_2026Q1_2026-06-23'!$K:$K,'Tong_hop_HQNV_2026Q1_2026-06-23'!$A:$A,"="&amp;$V$2,'Tong_hop_HQNV_2026Q1_2026-06-23'!$B:$B, "="&amp;'CHECK_DT-BT_chi_tiet'!A11)</f>
        <v>0</v>
      </c>
      <c r="W11" s="7">
        <f>SUMIFS('HQ2'!$C:$C,'HQ2'!$A:$A, "="&amp;'CHECK_DT-BT_chi_tiet'!C11,'HQ2'!$B:$B, "="&amp;'CHECK_DT-BT_chi_tiet'!$V$3)</f>
        <v>0</v>
      </c>
      <c r="X11" s="7">
        <f t="shared" si="6"/>
        <v>0</v>
      </c>
      <c r="Y11" s="7">
        <f>SUMIFS('Tong_hop_HQNV_2026Q1_2026-06-23'!$K:$K,'Tong_hop_HQNV_2026Q1_2026-06-23'!$A:$A,"="&amp;$Y$2,'Tong_hop_HQNV_2026Q1_2026-06-23'!$B:$B, "="&amp;'CHECK_DT-BT_chi_tiet'!A11)</f>
        <v>0</v>
      </c>
      <c r="Z11" s="7">
        <f>SUMIFS('HQ2'!$C:$C,'HQ2'!$A:$A, "="&amp;'CHECK_DT-BT_chi_tiet'!C11,'HQ2'!$B:$B, "="&amp;'CHECK_DT-BT_chi_tiet'!$Y$3)</f>
        <v>0</v>
      </c>
      <c r="AA11" s="7">
        <f t="shared" si="7"/>
        <v>0</v>
      </c>
      <c r="AB11" s="7">
        <f>SUMIFS('Tong_hop_HQNV_2026Q1_2026-06-23'!$K:$K,'Tong_hop_HQNV_2026Q1_2026-06-23'!$A:$A,"="&amp;$AB$2,'Tong_hop_HQNV_2026Q1_2026-06-23'!$B:$B, "="&amp;'CHECK_DT-BT_chi_tiet'!A11)</f>
        <v>1684586241</v>
      </c>
      <c r="AC11" s="7">
        <f>SUMIFS('HQ2'!$C:$C,'HQ2'!$A:$A, "="&amp;'CHECK_DT-BT_chi_tiet'!C11,'HQ2'!$B:$B, "="&amp;'CHECK_DT-BT_chi_tiet'!$AB$3)</f>
        <v>1684586241</v>
      </c>
      <c r="AD11" s="7">
        <f t="shared" si="8"/>
        <v>0</v>
      </c>
      <c r="AE11" s="7">
        <f>SUMIFS('Tong_hop_HQNV_2026Q1_2026-06-23'!$K:$K,'Tong_hop_HQNV_2026Q1_2026-06-23'!$A:$A,"="&amp;$AE$2,'Tong_hop_HQNV_2026Q1_2026-06-23'!$B:$B, "="&amp;'CHECK_DT-BT_chi_tiet'!A11)</f>
        <v>49318511</v>
      </c>
      <c r="AF11" s="7">
        <f>SUMIFS('HQ2'!$C:$C,'HQ2'!$A:$A, "="&amp;'CHECK_DT-BT_chi_tiet'!C11,'HQ2'!$B:$B, "="&amp;'CHECK_DT-BT_chi_tiet'!$AE$3)</f>
        <v>49318511</v>
      </c>
      <c r="AG11" s="7">
        <f t="shared" si="9"/>
        <v>0</v>
      </c>
      <c r="AH11" s="7">
        <f>SUMIFS('Tong_hop_HQNV_2026Q1_2026-06-23'!$K:$K,'Tong_hop_HQNV_2026Q1_2026-06-23'!$A:$A,"="&amp;$AH$2,'Tong_hop_HQNV_2026Q1_2026-06-23'!$B:$B, "="&amp;'CHECK_DT-BT_chi_tiet'!A11)</f>
        <v>1545173217</v>
      </c>
      <c r="AI11" s="7">
        <f>SUMIFS('HQ2'!$C:$C,'HQ2'!$A:$A, "="&amp;'CHECK_DT-BT_chi_tiet'!C11,'HQ2'!$B:$B, "="&amp;'CHECK_DT-BT_chi_tiet'!$AH$3)</f>
        <v>1545173217</v>
      </c>
      <c r="AJ11" s="7">
        <f t="shared" si="10"/>
        <v>0</v>
      </c>
      <c r="AK11" s="7">
        <f>SUMIFS('Tong_hop_HQNV_2026Q1_2026-06-23'!$K:$K,'Tong_hop_HQNV_2026Q1_2026-06-23'!$A:$A,"="&amp;$AK$2,'Tong_hop_HQNV_2026Q1_2026-06-23'!$B:$B, "="&amp;'CHECK_DT-BT_chi_tiet'!A11)</f>
        <v>0</v>
      </c>
      <c r="AL11" s="7">
        <f>SUMIFS('Tong_hop_HQNV_2026Q1_2026-06-23'!$K:$K,'Tong_hop_HQNV_2026Q1_2026-06-23'!$A:$A,"="&amp;$AL$2,'Tong_hop_HQNV_2026Q1_2026-06-23'!$B:$B, "="&amp;'CHECK_DT-BT_chi_tiet'!A11)</f>
        <v>0</v>
      </c>
      <c r="AM11" s="23">
        <f>SUMIFS('Tong_hop_HQNV_2026Q1_2026-06-23'!$L:$L,'Tong_hop_HQNV_2026Q1_2026-06-23'!$B:$B, "="&amp;'CHECK_DT-BT_chi_tiet'!A11, 'Tong_hop_HQNV_2026Q1_2026-06-23'!$A:$A, "="&amp;'CHECK_DT-BT_chi_tiet'!$AM$2)</f>
        <v>47563774</v>
      </c>
      <c r="AN11" s="29">
        <f>SUMIFS('HQ1'!$D:$D,'HQ1'!$A:$A, "="&amp;'CHECK_DT-BT_chi_tiet'!C11,'HQ1'!$B:$B,"="&amp;'CHECK_DT-BT_chi_tiet'!$AM$3)</f>
        <v>47563774</v>
      </c>
      <c r="AO11" s="29">
        <f t="shared" si="11"/>
        <v>0</v>
      </c>
      <c r="AP11" s="7">
        <f>SUMIFS('Tong_hop_HQNV_2026Q1_2026-06-23'!$L:$L,'Tong_hop_HQNV_2026Q1_2026-06-23'!$B:$B, "="&amp;'CHECK_DT-BT_chi_tiet'!A11, 'Tong_hop_HQNV_2026Q1_2026-06-23'!$A:$A, "="&amp;'CHECK_DT-BT_chi_tiet'!$AP$2)</f>
        <v>1148690</v>
      </c>
      <c r="AQ11" s="29">
        <f>SUMIFS('HQ1'!$D:$D,'HQ1'!$A:$A, "="&amp;'CHECK_DT-BT_chi_tiet'!C11,'HQ1'!$B:$B,"="&amp;'CHECK_DT-BT_chi_tiet'!$AP$3)</f>
        <v>1148690</v>
      </c>
      <c r="AR11" s="7">
        <f t="shared" si="12"/>
        <v>0</v>
      </c>
      <c r="AS11" s="7">
        <f>SUMIFS('Tong_hop_HQNV_2026Q1_2026-06-23'!$L:$L,'Tong_hop_HQNV_2026Q1_2026-06-23'!$B:$B, "="&amp;'CHECK_DT-BT_chi_tiet'!A11, 'Tong_hop_HQNV_2026Q1_2026-06-23'!$A:$A, "="&amp;'CHECK_DT-BT_chi_tiet'!$AS$2)</f>
        <v>2034155612</v>
      </c>
      <c r="AT11" s="29">
        <f>SUMIFS('HQ1'!$D:$D,'HQ1'!$A:$A, "="&amp;'CHECK_DT-BT_chi_tiet'!C11,'HQ1'!$B:$B,"="&amp;'CHECK_DT-BT_chi_tiet'!$AS$3)</f>
        <v>2034155612</v>
      </c>
      <c r="AU11" s="7">
        <f t="shared" si="13"/>
        <v>0</v>
      </c>
      <c r="AV11" s="7">
        <f>SUMIFS('Tong_hop_HQNV_2026Q1_2026-06-23'!$L:$L,'Tong_hop_HQNV_2026Q1_2026-06-23'!$B:$B, "="&amp;'CHECK_DT-BT_chi_tiet'!A11, 'Tong_hop_HQNV_2026Q1_2026-06-23'!$A:$A, "="&amp;'CHECK_DT-BT_chi_tiet'!$AV$2)</f>
        <v>3506068076</v>
      </c>
      <c r="AW11" s="29">
        <f>SUMIFS('HQ1'!$D:$D,'HQ1'!$A:$A, "="&amp;'CHECK_DT-BT_chi_tiet'!C11,'HQ1'!$B:$B,"="&amp;'CHECK_DT-BT_chi_tiet'!$AV$3)</f>
        <v>3506068076</v>
      </c>
      <c r="AX11" s="7">
        <f t="shared" si="14"/>
        <v>0</v>
      </c>
      <c r="AY11" s="7">
        <f>SUMIFS('Tong_hop_HQNV_2026Q1_2026-06-23'!$L:$L,'Tong_hop_HQNV_2026Q1_2026-06-23'!$B:$B, "="&amp;'CHECK_DT-BT_chi_tiet'!A11, 'Tong_hop_HQNV_2026Q1_2026-06-23'!$A:$A, "="&amp;$AY$2)</f>
        <v>613474241</v>
      </c>
      <c r="AZ11" s="29">
        <f>SUMIFS('HQ2'!$J:$J,'HQ2'!$A:$A, "="&amp;'CHECK_DT-BT_chi_tiet'!C11,'HQ2'!$B:$B,"="&amp;'CHECK_DT-BT_chi_tiet'!$AY$3)</f>
        <v>615613730</v>
      </c>
      <c r="BA11" s="7">
        <f t="shared" si="15"/>
        <v>2139489</v>
      </c>
      <c r="BB11" s="7">
        <f>SUMIFS('Tong_hop_HQNV_2026Q1_2026-06-23'!$L:$L,'Tong_hop_HQNV_2026Q1_2026-06-23'!$B:$B, "="&amp;'CHECK_DT-BT_chi_tiet'!A11, 'Tong_hop_HQNV_2026Q1_2026-06-23'!$A:$A, "="&amp;$BB$2)</f>
        <v>0</v>
      </c>
      <c r="BC11" s="29">
        <f>SUMIFS('HQ2'!$J:$J,'HQ2'!$A:$A, "="&amp;'CHECK_DT-BT_chi_tiet'!C11,'HQ2'!$B:$B,"="&amp;'CHECK_DT-BT_chi_tiet'!$BB$3)</f>
        <v>0</v>
      </c>
      <c r="BD11" s="7">
        <f t="shared" si="16"/>
        <v>0</v>
      </c>
      <c r="BE11" s="7">
        <f>SUMIFS('Tong_hop_HQNV_2026Q1_2026-06-23'!$L:$L,'Tong_hop_HQNV_2026Q1_2026-06-23'!$B:$B, "="&amp;'CHECK_DT-BT_chi_tiet'!A11, 'Tong_hop_HQNV_2026Q1_2026-06-23'!$A:$A, "="&amp;$BE$2)</f>
        <v>0</v>
      </c>
      <c r="BF11" s="29">
        <f>SUMIFS('HQ2'!$J:$J,'HQ2'!$A:$A, "="&amp;'CHECK_DT-BT_chi_tiet'!C11,'HQ2'!$B:$B,"="&amp;'CHECK_DT-BT_chi_tiet'!$BE$3)</f>
        <v>0</v>
      </c>
      <c r="BG11" s="7">
        <f t="shared" si="17"/>
        <v>0</v>
      </c>
      <c r="BH11" s="7">
        <f>SUMIFS('Tong_hop_HQNV_2026Q1_2026-06-23'!$L:$L,'Tong_hop_HQNV_2026Q1_2026-06-23'!$B:$B, "="&amp;'CHECK_DT-BT_chi_tiet'!A11, 'Tong_hop_HQNV_2026Q1_2026-06-23'!$A:$A, "="&amp;$BH$2)</f>
        <v>0</v>
      </c>
      <c r="BI11" s="29">
        <f>SUMIFS('HQ2'!$J:$J,'HQ2'!$A:$A, "="&amp;'CHECK_DT-BT_chi_tiet'!C11,'HQ2'!$B:$B,"="&amp;'CHECK_DT-BT_chi_tiet'!$BH$3)</f>
        <v>0</v>
      </c>
      <c r="BJ11" s="7">
        <f t="shared" si="18"/>
        <v>0</v>
      </c>
      <c r="BK11" s="7">
        <f>SUMIFS('Tong_hop_HQNV_2026Q1_2026-06-23'!$L:$L,'Tong_hop_HQNV_2026Q1_2026-06-23'!$B:$B, "="&amp;'CHECK_DT-BT_chi_tiet'!A11, 'Tong_hop_HQNV_2026Q1_2026-06-23'!$A:$A, "="&amp;$BK$2)</f>
        <v>11175406946</v>
      </c>
      <c r="BL11" s="29">
        <f>SUMIFS('HQ2'!$J:$J,'HQ2'!$A:$A, "="&amp;'CHECK_DT-BT_chi_tiet'!C11,'HQ2'!$B:$B,"="&amp;'CHECK_DT-BT_chi_tiet'!$BK$3)</f>
        <v>11175406946</v>
      </c>
      <c r="BM11" s="7">
        <f t="shared" si="19"/>
        <v>0</v>
      </c>
      <c r="BN11" s="7">
        <f>SUMIFS('Tong_hop_HQNV_2026Q1_2026-06-23'!$L:$L,'Tong_hop_HQNV_2026Q1_2026-06-23'!$B:$B, "="&amp;'CHECK_DT-BT_chi_tiet'!A11, 'Tong_hop_HQNV_2026Q1_2026-06-23'!$A:$A, "="&amp;$BN$2)</f>
        <v>194295505</v>
      </c>
      <c r="BO11" s="29">
        <f>SUMIFS('HQ2'!$J:$J,'HQ2'!$A:$A, "="&amp;'CHECK_DT-BT_chi_tiet'!C11,'HQ2'!$B:$B,"="&amp;'CHECK_DT-BT_chi_tiet'!$BN$3)</f>
        <v>194295505</v>
      </c>
      <c r="BP11" s="7">
        <f t="shared" si="20"/>
        <v>0</v>
      </c>
      <c r="BQ11" s="7">
        <f>SUMIFS('Tong_hop_HQNV_2026Q1_2026-06-23'!$L:$L,'Tong_hop_HQNV_2026Q1_2026-06-23'!$B:$B, "="&amp;'CHECK_DT-BT_chi_tiet'!A11, 'Tong_hop_HQNV_2026Q1_2026-06-23'!$A:$A, "="&amp;$BQ$2)</f>
        <v>0</v>
      </c>
      <c r="BR11" s="29">
        <f>SUMIFS('HQ2'!$J:$J,'HQ2'!$A:$A, "="&amp;'CHECK_DT-BT_chi_tiet'!C11,'HQ2'!$B:$B,"="&amp;'CHECK_DT-BT_chi_tiet'!$BQ$3)</f>
        <v>0</v>
      </c>
      <c r="BS11" s="7">
        <f t="shared" si="21"/>
        <v>0</v>
      </c>
      <c r="BT11" s="7">
        <f>SUMIFS('Tong_hop_HQNV_2026Q1_2026-06-23'!$L:$L,'Tong_hop_HQNV_2026Q1_2026-06-23'!$B:$B, "="&amp;'CHECK_DT-BT_chi_tiet'!A11, 'Tong_hop_HQNV_2026Q1_2026-06-23'!$A:$A, "="&amp;$BT$2)</f>
        <v>0</v>
      </c>
      <c r="BU11" s="7">
        <f>SUMIFS('Tong_hop_HQNV_2026Q1_2026-06-23'!$L:$L,'Tong_hop_HQNV_2026Q1_2026-06-23'!$B:$B, "="&amp;'CHECK_DT-BT_chi_tiet'!A11, 'Tong_hop_HQNV_2026Q1_2026-06-23'!$A:$A, "="&amp;$BU$2)</f>
        <v>0</v>
      </c>
    </row>
    <row r="12" spans="1:73" x14ac:dyDescent="0.25">
      <c r="A12" s="9" t="s">
        <v>292</v>
      </c>
      <c r="B12" t="s">
        <v>150</v>
      </c>
      <c r="C12" t="s">
        <v>100</v>
      </c>
      <c r="D12" s="7">
        <f>SUMIFS('Tong_hop_HQNV_2026Q1_2026-06-23'!$K:$K,'Tong_hop_HQNV_2026Q1_2026-06-23'!$A:$A,"="&amp;'CHECK_DT-BT_chi_tiet'!$D$2,'Tong_hop_HQNV_2026Q1_2026-06-23'!$B:$B, "="&amp;'CHECK_DT-BT_chi_tiet'!A12)</f>
        <v>1612036300</v>
      </c>
      <c r="E12" s="7">
        <f>SUMIFS('HQ1'!$C:$C,'HQ1'!$A:$A, "="&amp;'CHECK_DT-BT_chi_tiet'!C12,'HQ1'!$B:$B, "="&amp;'CHECK_DT-BT_chi_tiet'!$D$3)</f>
        <v>1612036300</v>
      </c>
      <c r="F12" s="7">
        <f t="shared" si="0"/>
        <v>0</v>
      </c>
      <c r="G12" s="7">
        <f>SUMIFS('Tong_hop_HQNV_2026Q1_2026-06-23'!$K:$K,'Tong_hop_HQNV_2026Q1_2026-06-23'!$A:$A,"="&amp;'CHECK_DT-BT_chi_tiet'!$G$2,'Tong_hop_HQNV_2026Q1_2026-06-23'!$B:$B, "="&amp;'CHECK_DT-BT_chi_tiet'!A12)</f>
        <v>13748400</v>
      </c>
      <c r="H12" s="7">
        <f>SUMIFS('HQ1'!$C:$C,'HQ1'!$A:$A, "="&amp;'CHECK_DT-BT_chi_tiet'!C12,'HQ1'!$B:$B, "="&amp;'CHECK_DT-BT_chi_tiet'!$G$3)</f>
        <v>13748400</v>
      </c>
      <c r="I12" s="7">
        <f t="shared" si="1"/>
        <v>0</v>
      </c>
      <c r="J12" s="7">
        <f>SUMIFS('Tong_hop_HQNV_2026Q1_2026-06-23'!$K:$K,'Tong_hop_HQNV_2026Q1_2026-06-23'!$A:$A,"="&amp;'CHECK_DT-BT_chi_tiet'!$J$2,'Tong_hop_HQNV_2026Q1_2026-06-23'!$B:$B, "="&amp;'CHECK_DT-BT_chi_tiet'!A12)</f>
        <v>1364810179</v>
      </c>
      <c r="K12" s="7">
        <f>SUMIFS('HQ1'!$C:$C,'HQ1'!$A:$A, "="&amp;'CHECK_DT-BT_chi_tiet'!C12,'HQ1'!$B:$B, "="&amp;'CHECK_DT-BT_chi_tiet'!$J$3)</f>
        <v>1364810179</v>
      </c>
      <c r="L12" s="7">
        <f t="shared" si="2"/>
        <v>0</v>
      </c>
      <c r="M12" s="7">
        <f>SUMIFS('Tong_hop_HQNV_2026Q1_2026-06-23'!$K:$K,'Tong_hop_HQNV_2026Q1_2026-06-23'!$A:$A,"="&amp;'CHECK_DT-BT_chi_tiet'!$M$2,'Tong_hop_HQNV_2026Q1_2026-06-23'!$B:$B, "="&amp;'CHECK_DT-BT_chi_tiet'!A12)</f>
        <v>647120725</v>
      </c>
      <c r="N12" s="7">
        <f>SUMIFS('HQ1'!$C:$C,'HQ1'!$A:$A, "="&amp;'CHECK_DT-BT_chi_tiet'!C12,'HQ1'!$B:$B, "="&amp;'CHECK_DT-BT_chi_tiet'!$M$3)</f>
        <v>647120725</v>
      </c>
      <c r="O12" s="7">
        <f t="shared" si="3"/>
        <v>0</v>
      </c>
      <c r="P12" s="7">
        <f>SUMIFS('Tong_hop_HQNV_2026Q1_2026-06-23'!$K:$K,'Tong_hop_HQNV_2026Q1_2026-06-23'!$A:$A,"="&amp;$P$2,'Tong_hop_HQNV_2026Q1_2026-06-23'!$B:$B, "="&amp;'CHECK_DT-BT_chi_tiet'!A12)</f>
        <v>46796499</v>
      </c>
      <c r="Q12" s="7">
        <f>SUMIFS('HQ2'!$C:$C,'HQ2'!$A:$A, "="&amp;'CHECK_DT-BT_chi_tiet'!C12,'HQ2'!$B:$B, "="&amp;'CHECK_DT-BT_chi_tiet'!$P$3)</f>
        <v>46796499</v>
      </c>
      <c r="R12" s="7">
        <f t="shared" si="4"/>
        <v>0</v>
      </c>
      <c r="S12" s="7">
        <f>SUMIFS('Tong_hop_HQNV_2026Q1_2026-06-23'!$K:$K,'Tong_hop_HQNV_2026Q1_2026-06-23'!$A:$A,"="&amp;$S$2,'Tong_hop_HQNV_2026Q1_2026-06-23'!$B:$B, "="&amp;'CHECK_DT-BT_chi_tiet'!A12)</f>
        <v>0</v>
      </c>
      <c r="T12" s="7">
        <f>SUMIFS('HQ2'!$C:$C,'HQ2'!$A:$A, "="&amp;'CHECK_DT-BT_chi_tiet'!C12,'HQ2'!$B:$B, "="&amp;'CHECK_DT-BT_chi_tiet'!$S$3)</f>
        <v>0</v>
      </c>
      <c r="U12" s="7">
        <f t="shared" si="5"/>
        <v>0</v>
      </c>
      <c r="V12" s="7">
        <f>SUMIFS('Tong_hop_HQNV_2026Q1_2026-06-23'!$K:$K,'Tong_hop_HQNV_2026Q1_2026-06-23'!$A:$A,"="&amp;$V$2,'Tong_hop_HQNV_2026Q1_2026-06-23'!$B:$B, "="&amp;'CHECK_DT-BT_chi_tiet'!A12)</f>
        <v>0</v>
      </c>
      <c r="W12" s="7">
        <f>SUMIFS('HQ2'!$C:$C,'HQ2'!$A:$A, "="&amp;'CHECK_DT-BT_chi_tiet'!C12,'HQ2'!$B:$B, "="&amp;'CHECK_DT-BT_chi_tiet'!$V$3)</f>
        <v>0</v>
      </c>
      <c r="X12" s="7">
        <f t="shared" si="6"/>
        <v>0</v>
      </c>
      <c r="Y12" s="7">
        <f>SUMIFS('Tong_hop_HQNV_2026Q1_2026-06-23'!$K:$K,'Tong_hop_HQNV_2026Q1_2026-06-23'!$A:$A,"="&amp;$Y$2,'Tong_hop_HQNV_2026Q1_2026-06-23'!$B:$B, "="&amp;'CHECK_DT-BT_chi_tiet'!A12)</f>
        <v>726847700</v>
      </c>
      <c r="Z12" s="7">
        <f>SUMIFS('HQ2'!$C:$C,'HQ2'!$A:$A, "="&amp;'CHECK_DT-BT_chi_tiet'!C12,'HQ2'!$B:$B, "="&amp;'CHECK_DT-BT_chi_tiet'!$Y$3)</f>
        <v>726847700</v>
      </c>
      <c r="AA12" s="7">
        <f t="shared" si="7"/>
        <v>0</v>
      </c>
      <c r="AB12" s="7">
        <f>SUMIFS('Tong_hop_HQNV_2026Q1_2026-06-23'!$K:$K,'Tong_hop_HQNV_2026Q1_2026-06-23'!$A:$A,"="&amp;$AB$2,'Tong_hop_HQNV_2026Q1_2026-06-23'!$B:$B, "="&amp;'CHECK_DT-BT_chi_tiet'!A12)</f>
        <v>451888384</v>
      </c>
      <c r="AC12" s="7">
        <f>SUMIFS('HQ2'!$C:$C,'HQ2'!$A:$A, "="&amp;'CHECK_DT-BT_chi_tiet'!C12,'HQ2'!$B:$B, "="&amp;'CHECK_DT-BT_chi_tiet'!$AB$3)</f>
        <v>451888384</v>
      </c>
      <c r="AD12" s="7">
        <f t="shared" si="8"/>
        <v>0</v>
      </c>
      <c r="AE12" s="7">
        <f>SUMIFS('Tong_hop_HQNV_2026Q1_2026-06-23'!$K:$K,'Tong_hop_HQNV_2026Q1_2026-06-23'!$A:$A,"="&amp;$AE$2,'Tong_hop_HQNV_2026Q1_2026-06-23'!$B:$B, "="&amp;'CHECK_DT-BT_chi_tiet'!A12)</f>
        <v>505974961</v>
      </c>
      <c r="AF12" s="7">
        <f>SUMIFS('HQ2'!$C:$C,'HQ2'!$A:$A, "="&amp;'CHECK_DT-BT_chi_tiet'!C12,'HQ2'!$B:$B, "="&amp;'CHECK_DT-BT_chi_tiet'!$AE$3)</f>
        <v>505974961</v>
      </c>
      <c r="AG12" s="7">
        <f t="shared" si="9"/>
        <v>0</v>
      </c>
      <c r="AH12" s="7">
        <f>SUMIFS('Tong_hop_HQNV_2026Q1_2026-06-23'!$K:$K,'Tong_hop_HQNV_2026Q1_2026-06-23'!$A:$A,"="&amp;$AH$2,'Tong_hop_HQNV_2026Q1_2026-06-23'!$B:$B, "="&amp;'CHECK_DT-BT_chi_tiet'!A12)</f>
        <v>0</v>
      </c>
      <c r="AI12" s="7">
        <f>SUMIFS('HQ2'!$C:$C,'HQ2'!$A:$A, "="&amp;'CHECK_DT-BT_chi_tiet'!C12,'HQ2'!$B:$B, "="&amp;'CHECK_DT-BT_chi_tiet'!$AH$3)</f>
        <v>0</v>
      </c>
      <c r="AJ12" s="7">
        <f t="shared" si="10"/>
        <v>0</v>
      </c>
      <c r="AK12" s="7">
        <f>SUMIFS('Tong_hop_HQNV_2026Q1_2026-06-23'!$K:$K,'Tong_hop_HQNV_2026Q1_2026-06-23'!$A:$A,"="&amp;$AK$2,'Tong_hop_HQNV_2026Q1_2026-06-23'!$B:$B, "="&amp;'CHECK_DT-BT_chi_tiet'!A12)</f>
        <v>0</v>
      </c>
      <c r="AL12" s="7">
        <f>SUMIFS('Tong_hop_HQNV_2026Q1_2026-06-23'!$K:$K,'Tong_hop_HQNV_2026Q1_2026-06-23'!$A:$A,"="&amp;$AL$2,'Tong_hop_HQNV_2026Q1_2026-06-23'!$B:$B, "="&amp;'CHECK_DT-BT_chi_tiet'!A12)</f>
        <v>0</v>
      </c>
      <c r="AM12" s="23">
        <f>SUMIFS('Tong_hop_HQNV_2026Q1_2026-06-23'!$L:$L,'Tong_hop_HQNV_2026Q1_2026-06-23'!$B:$B, "="&amp;'CHECK_DT-BT_chi_tiet'!A12, 'Tong_hop_HQNV_2026Q1_2026-06-23'!$A:$A, "="&amp;'CHECK_DT-BT_chi_tiet'!$AM$2)</f>
        <v>4629007000</v>
      </c>
      <c r="AN12" s="29">
        <f>SUMIFS('HQ1'!$D:$D,'HQ1'!$A:$A, "="&amp;'CHECK_DT-BT_chi_tiet'!C12,'HQ1'!$B:$B,"="&amp;'CHECK_DT-BT_chi_tiet'!$AM$3)</f>
        <v>4629007000</v>
      </c>
      <c r="AO12" s="29">
        <f t="shared" si="11"/>
        <v>0</v>
      </c>
      <c r="AP12" s="7">
        <f>SUMIFS('Tong_hop_HQNV_2026Q1_2026-06-23'!$L:$L,'Tong_hop_HQNV_2026Q1_2026-06-23'!$B:$B, "="&amp;'CHECK_DT-BT_chi_tiet'!A12, 'Tong_hop_HQNV_2026Q1_2026-06-23'!$A:$A, "="&amp;'CHECK_DT-BT_chi_tiet'!$AP$2)</f>
        <v>0</v>
      </c>
      <c r="AQ12" s="29">
        <f>SUMIFS('HQ1'!$D:$D,'HQ1'!$A:$A, "="&amp;'CHECK_DT-BT_chi_tiet'!C12,'HQ1'!$B:$B,"="&amp;'CHECK_DT-BT_chi_tiet'!$AP$3)</f>
        <v>0</v>
      </c>
      <c r="AR12" s="7">
        <f t="shared" si="12"/>
        <v>0</v>
      </c>
      <c r="AS12" s="7">
        <f>SUMIFS('Tong_hop_HQNV_2026Q1_2026-06-23'!$L:$L,'Tong_hop_HQNV_2026Q1_2026-06-23'!$B:$B, "="&amp;'CHECK_DT-BT_chi_tiet'!A12, 'Tong_hop_HQNV_2026Q1_2026-06-23'!$A:$A, "="&amp;'CHECK_DT-BT_chi_tiet'!$AS$2)</f>
        <v>358409271</v>
      </c>
      <c r="AT12" s="29">
        <f>SUMIFS('HQ1'!$D:$D,'HQ1'!$A:$A, "="&amp;'CHECK_DT-BT_chi_tiet'!C12,'HQ1'!$B:$B,"="&amp;'CHECK_DT-BT_chi_tiet'!$AS$3)</f>
        <v>358409271</v>
      </c>
      <c r="AU12" s="7">
        <f t="shared" si="13"/>
        <v>0</v>
      </c>
      <c r="AV12" s="7">
        <f>SUMIFS('Tong_hop_HQNV_2026Q1_2026-06-23'!$L:$L,'Tong_hop_HQNV_2026Q1_2026-06-23'!$B:$B, "="&amp;'CHECK_DT-BT_chi_tiet'!A12, 'Tong_hop_HQNV_2026Q1_2026-06-23'!$A:$A, "="&amp;'CHECK_DT-BT_chi_tiet'!$AV$2)</f>
        <v>61720149</v>
      </c>
      <c r="AW12" s="29">
        <f>SUMIFS('HQ1'!$D:$D,'HQ1'!$A:$A, "="&amp;'CHECK_DT-BT_chi_tiet'!C12,'HQ1'!$B:$B,"="&amp;'CHECK_DT-BT_chi_tiet'!$AV$3)</f>
        <v>61720149</v>
      </c>
      <c r="AX12" s="7">
        <f t="shared" si="14"/>
        <v>0</v>
      </c>
      <c r="AY12" s="7">
        <f>SUMIFS('Tong_hop_HQNV_2026Q1_2026-06-23'!$L:$L,'Tong_hop_HQNV_2026Q1_2026-06-23'!$B:$B, "="&amp;'CHECK_DT-BT_chi_tiet'!A12, 'Tong_hop_HQNV_2026Q1_2026-06-23'!$A:$A, "="&amp;$AY$2)</f>
        <v>0</v>
      </c>
      <c r="AZ12" s="29">
        <f>SUMIFS('HQ2'!$J:$J,'HQ2'!$A:$A, "="&amp;'CHECK_DT-BT_chi_tiet'!C12,'HQ2'!$B:$B,"="&amp;'CHECK_DT-BT_chi_tiet'!$AY$3)</f>
        <v>0</v>
      </c>
      <c r="BA12" s="7">
        <f t="shared" si="15"/>
        <v>0</v>
      </c>
      <c r="BB12" s="7">
        <f>SUMIFS('Tong_hop_HQNV_2026Q1_2026-06-23'!$L:$L,'Tong_hop_HQNV_2026Q1_2026-06-23'!$B:$B, "="&amp;'CHECK_DT-BT_chi_tiet'!A12, 'Tong_hop_HQNV_2026Q1_2026-06-23'!$A:$A, "="&amp;$BB$2)</f>
        <v>0</v>
      </c>
      <c r="BC12" s="29">
        <f>SUMIFS('HQ2'!$J:$J,'HQ2'!$A:$A, "="&amp;'CHECK_DT-BT_chi_tiet'!C12,'HQ2'!$B:$B,"="&amp;'CHECK_DT-BT_chi_tiet'!$BB$3)</f>
        <v>0</v>
      </c>
      <c r="BD12" s="7">
        <f t="shared" si="16"/>
        <v>0</v>
      </c>
      <c r="BE12" s="7">
        <f>SUMIFS('Tong_hop_HQNV_2026Q1_2026-06-23'!$L:$L,'Tong_hop_HQNV_2026Q1_2026-06-23'!$B:$B, "="&amp;'CHECK_DT-BT_chi_tiet'!A12, 'Tong_hop_HQNV_2026Q1_2026-06-23'!$A:$A, "="&amp;$BE$2)</f>
        <v>0</v>
      </c>
      <c r="BF12" s="29">
        <f>SUMIFS('HQ2'!$J:$J,'HQ2'!$A:$A, "="&amp;'CHECK_DT-BT_chi_tiet'!C12,'HQ2'!$B:$B,"="&amp;'CHECK_DT-BT_chi_tiet'!$BE$3)</f>
        <v>0</v>
      </c>
      <c r="BG12" s="7">
        <f t="shared" si="17"/>
        <v>0</v>
      </c>
      <c r="BH12" s="7">
        <f>SUMIFS('Tong_hop_HQNV_2026Q1_2026-06-23'!$L:$L,'Tong_hop_HQNV_2026Q1_2026-06-23'!$B:$B, "="&amp;'CHECK_DT-BT_chi_tiet'!A12, 'Tong_hop_HQNV_2026Q1_2026-06-23'!$A:$A, "="&amp;$BH$2)</f>
        <v>82801734</v>
      </c>
      <c r="BI12" s="29">
        <f>SUMIFS('HQ2'!$J:$J,'HQ2'!$A:$A, "="&amp;'CHECK_DT-BT_chi_tiet'!C12,'HQ2'!$B:$B,"="&amp;'CHECK_DT-BT_chi_tiet'!$BH$3)</f>
        <v>82801734</v>
      </c>
      <c r="BJ12" s="7">
        <f t="shared" si="18"/>
        <v>0</v>
      </c>
      <c r="BK12" s="7">
        <f>SUMIFS('Tong_hop_HQNV_2026Q1_2026-06-23'!$L:$L,'Tong_hop_HQNV_2026Q1_2026-06-23'!$B:$B, "="&amp;'CHECK_DT-BT_chi_tiet'!A12, 'Tong_hop_HQNV_2026Q1_2026-06-23'!$A:$A, "="&amp;$BK$2)</f>
        <v>0</v>
      </c>
      <c r="BL12" s="29">
        <f>SUMIFS('HQ2'!$J:$J,'HQ2'!$A:$A, "="&amp;'CHECK_DT-BT_chi_tiet'!C12,'HQ2'!$B:$B,"="&amp;'CHECK_DT-BT_chi_tiet'!$BK$3)</f>
        <v>0</v>
      </c>
      <c r="BM12" s="7">
        <f t="shared" si="19"/>
        <v>0</v>
      </c>
      <c r="BN12" s="7">
        <f>SUMIFS('Tong_hop_HQNV_2026Q1_2026-06-23'!$L:$L,'Tong_hop_HQNV_2026Q1_2026-06-23'!$B:$B, "="&amp;'CHECK_DT-BT_chi_tiet'!A12, 'Tong_hop_HQNV_2026Q1_2026-06-23'!$A:$A, "="&amp;$BN$2)</f>
        <v>0</v>
      </c>
      <c r="BO12" s="29">
        <f>SUMIFS('HQ2'!$J:$J,'HQ2'!$A:$A, "="&amp;'CHECK_DT-BT_chi_tiet'!C12,'HQ2'!$B:$B,"="&amp;'CHECK_DT-BT_chi_tiet'!$BN$3)</f>
        <v>0</v>
      </c>
      <c r="BP12" s="7">
        <f t="shared" si="20"/>
        <v>0</v>
      </c>
      <c r="BQ12" s="7">
        <f>SUMIFS('Tong_hop_HQNV_2026Q1_2026-06-23'!$L:$L,'Tong_hop_HQNV_2026Q1_2026-06-23'!$B:$B, "="&amp;'CHECK_DT-BT_chi_tiet'!A12, 'Tong_hop_HQNV_2026Q1_2026-06-23'!$A:$A, "="&amp;$BQ$2)</f>
        <v>0</v>
      </c>
      <c r="BR12" s="29">
        <f>SUMIFS('HQ2'!$J:$J,'HQ2'!$A:$A, "="&amp;'CHECK_DT-BT_chi_tiet'!C12,'HQ2'!$B:$B,"="&amp;'CHECK_DT-BT_chi_tiet'!$BQ$3)</f>
        <v>0</v>
      </c>
      <c r="BS12" s="7">
        <f t="shared" si="21"/>
        <v>0</v>
      </c>
      <c r="BT12" s="7">
        <f>SUMIFS('Tong_hop_HQNV_2026Q1_2026-06-23'!$L:$L,'Tong_hop_HQNV_2026Q1_2026-06-23'!$B:$B, "="&amp;'CHECK_DT-BT_chi_tiet'!A12, 'Tong_hop_HQNV_2026Q1_2026-06-23'!$A:$A, "="&amp;$BT$2)</f>
        <v>0</v>
      </c>
      <c r="BU12" s="7">
        <f>SUMIFS('Tong_hop_HQNV_2026Q1_2026-06-23'!$L:$L,'Tong_hop_HQNV_2026Q1_2026-06-23'!$B:$B, "="&amp;'CHECK_DT-BT_chi_tiet'!A12, 'Tong_hop_HQNV_2026Q1_2026-06-23'!$A:$A, "="&amp;$BU$2)</f>
        <v>0</v>
      </c>
    </row>
    <row r="13" spans="1:73" x14ac:dyDescent="0.25">
      <c r="A13" s="9" t="s">
        <v>293</v>
      </c>
      <c r="B13" t="s">
        <v>151</v>
      </c>
      <c r="C13" t="s">
        <v>62</v>
      </c>
      <c r="D13" s="7">
        <f>SUMIFS('Tong_hop_HQNV_2026Q1_2026-06-23'!$K:$K,'Tong_hop_HQNV_2026Q1_2026-06-23'!$A:$A,"="&amp;'CHECK_DT-BT_chi_tiet'!$D$2,'Tong_hop_HQNV_2026Q1_2026-06-23'!$B:$B, "="&amp;'CHECK_DT-BT_chi_tiet'!A13)</f>
        <v>6009799673</v>
      </c>
      <c r="E13" s="7">
        <f>SUMIFS('HQ1'!$C:$C,'HQ1'!$A:$A, "="&amp;'CHECK_DT-BT_chi_tiet'!C13,'HQ1'!$B:$B, "="&amp;'CHECK_DT-BT_chi_tiet'!$D$3)</f>
        <v>6009799673</v>
      </c>
      <c r="F13" s="7">
        <f t="shared" si="0"/>
        <v>0</v>
      </c>
      <c r="G13" s="7">
        <f>SUMIFS('Tong_hop_HQNV_2026Q1_2026-06-23'!$K:$K,'Tong_hop_HQNV_2026Q1_2026-06-23'!$A:$A,"="&amp;'CHECK_DT-BT_chi_tiet'!$G$2,'Tong_hop_HQNV_2026Q1_2026-06-23'!$B:$B, "="&amp;'CHECK_DT-BT_chi_tiet'!A13)</f>
        <v>48831400</v>
      </c>
      <c r="H13" s="7">
        <f>SUMIFS('HQ1'!$C:$C,'HQ1'!$A:$A, "="&amp;'CHECK_DT-BT_chi_tiet'!C13,'HQ1'!$B:$B, "="&amp;'CHECK_DT-BT_chi_tiet'!$G$3)</f>
        <v>48831400</v>
      </c>
      <c r="I13" s="7">
        <f t="shared" si="1"/>
        <v>0</v>
      </c>
      <c r="J13" s="7">
        <f>SUMIFS('Tong_hop_HQNV_2026Q1_2026-06-23'!$K:$K,'Tong_hop_HQNV_2026Q1_2026-06-23'!$A:$A,"="&amp;'CHECK_DT-BT_chi_tiet'!$J$2,'Tong_hop_HQNV_2026Q1_2026-06-23'!$B:$B, "="&amp;'CHECK_DT-BT_chi_tiet'!A13)</f>
        <v>6831481128</v>
      </c>
      <c r="K13" s="7">
        <f>SUMIFS('HQ1'!$C:$C,'HQ1'!$A:$A, "="&amp;'CHECK_DT-BT_chi_tiet'!C13,'HQ1'!$B:$B, "="&amp;'CHECK_DT-BT_chi_tiet'!$J$3)</f>
        <v>6831481128</v>
      </c>
      <c r="L13" s="7">
        <f t="shared" si="2"/>
        <v>0</v>
      </c>
      <c r="M13" s="7">
        <f>SUMIFS('Tong_hop_HQNV_2026Q1_2026-06-23'!$K:$K,'Tong_hop_HQNV_2026Q1_2026-06-23'!$A:$A,"="&amp;'CHECK_DT-BT_chi_tiet'!$M$2,'Tong_hop_HQNV_2026Q1_2026-06-23'!$B:$B, "="&amp;'CHECK_DT-BT_chi_tiet'!A13)</f>
        <v>645942650</v>
      </c>
      <c r="N13" s="7">
        <f>SUMIFS('HQ1'!$C:$C,'HQ1'!$A:$A, "="&amp;'CHECK_DT-BT_chi_tiet'!C13,'HQ1'!$B:$B, "="&amp;'CHECK_DT-BT_chi_tiet'!$M$3)</f>
        <v>645942650</v>
      </c>
      <c r="O13" s="7">
        <f t="shared" si="3"/>
        <v>0</v>
      </c>
      <c r="P13" s="7">
        <f>SUMIFS('Tong_hop_HQNV_2026Q1_2026-06-23'!$K:$K,'Tong_hop_HQNV_2026Q1_2026-06-23'!$A:$A,"="&amp;$P$2,'Tong_hop_HQNV_2026Q1_2026-06-23'!$B:$B, "="&amp;'CHECK_DT-BT_chi_tiet'!A13)</f>
        <v>157734664</v>
      </c>
      <c r="Q13" s="7">
        <f>SUMIFS('HQ2'!$C:$C,'HQ2'!$A:$A, "="&amp;'CHECK_DT-BT_chi_tiet'!C13,'HQ2'!$B:$B, "="&amp;'CHECK_DT-BT_chi_tiet'!$P$3)</f>
        <v>157734664</v>
      </c>
      <c r="R13" s="7">
        <f t="shared" si="4"/>
        <v>0</v>
      </c>
      <c r="S13" s="7">
        <f>SUMIFS('Tong_hop_HQNV_2026Q1_2026-06-23'!$K:$K,'Tong_hop_HQNV_2026Q1_2026-06-23'!$A:$A,"="&amp;$S$2,'Tong_hop_HQNV_2026Q1_2026-06-23'!$B:$B, "="&amp;'CHECK_DT-BT_chi_tiet'!A13)</f>
        <v>0</v>
      </c>
      <c r="T13" s="7">
        <f>SUMIFS('HQ2'!$C:$C,'HQ2'!$A:$A, "="&amp;'CHECK_DT-BT_chi_tiet'!C13,'HQ2'!$B:$B, "="&amp;'CHECK_DT-BT_chi_tiet'!$S$3)</f>
        <v>0</v>
      </c>
      <c r="U13" s="7">
        <f t="shared" si="5"/>
        <v>0</v>
      </c>
      <c r="V13" s="7">
        <f>SUMIFS('Tong_hop_HQNV_2026Q1_2026-06-23'!$K:$K,'Tong_hop_HQNV_2026Q1_2026-06-23'!$A:$A,"="&amp;$V$2,'Tong_hop_HQNV_2026Q1_2026-06-23'!$B:$B, "="&amp;'CHECK_DT-BT_chi_tiet'!A13)</f>
        <v>0</v>
      </c>
      <c r="W13" s="7">
        <f>SUMIFS('HQ2'!$C:$C,'HQ2'!$A:$A, "="&amp;'CHECK_DT-BT_chi_tiet'!C13,'HQ2'!$B:$B, "="&amp;'CHECK_DT-BT_chi_tiet'!$V$3)</f>
        <v>0</v>
      </c>
      <c r="X13" s="7">
        <f t="shared" si="6"/>
        <v>0</v>
      </c>
      <c r="Y13" s="7">
        <f>SUMIFS('Tong_hop_HQNV_2026Q1_2026-06-23'!$K:$K,'Tong_hop_HQNV_2026Q1_2026-06-23'!$A:$A,"="&amp;$Y$2,'Tong_hop_HQNV_2026Q1_2026-06-23'!$B:$B, "="&amp;'CHECK_DT-BT_chi_tiet'!A13)</f>
        <v>6437218600</v>
      </c>
      <c r="Z13" s="7">
        <f>SUMIFS('HQ2'!$C:$C,'HQ2'!$A:$A, "="&amp;'CHECK_DT-BT_chi_tiet'!C13,'HQ2'!$B:$B, "="&amp;'CHECK_DT-BT_chi_tiet'!$Y$3)</f>
        <v>6437218600</v>
      </c>
      <c r="AA13" s="7">
        <f t="shared" si="7"/>
        <v>0</v>
      </c>
      <c r="AB13" s="7">
        <f>SUMIFS('Tong_hop_HQNV_2026Q1_2026-06-23'!$K:$K,'Tong_hop_HQNV_2026Q1_2026-06-23'!$A:$A,"="&amp;$AB$2,'Tong_hop_HQNV_2026Q1_2026-06-23'!$B:$B, "="&amp;'CHECK_DT-BT_chi_tiet'!A13)</f>
        <v>1148716450</v>
      </c>
      <c r="AC13" s="7">
        <f>SUMIFS('HQ2'!$C:$C,'HQ2'!$A:$A, "="&amp;'CHECK_DT-BT_chi_tiet'!C13,'HQ2'!$B:$B, "="&amp;'CHECK_DT-BT_chi_tiet'!$AB$3)</f>
        <v>1148716450</v>
      </c>
      <c r="AD13" s="7">
        <f t="shared" si="8"/>
        <v>0</v>
      </c>
      <c r="AE13" s="7">
        <f>SUMIFS('Tong_hop_HQNV_2026Q1_2026-06-23'!$K:$K,'Tong_hop_HQNV_2026Q1_2026-06-23'!$A:$A,"="&amp;$AE$2,'Tong_hop_HQNV_2026Q1_2026-06-23'!$B:$B, "="&amp;'CHECK_DT-BT_chi_tiet'!A13)</f>
        <v>478189010</v>
      </c>
      <c r="AF13" s="7">
        <f>SUMIFS('HQ2'!$C:$C,'HQ2'!$A:$A, "="&amp;'CHECK_DT-BT_chi_tiet'!C13,'HQ2'!$B:$B, "="&amp;'CHECK_DT-BT_chi_tiet'!$AE$3)</f>
        <v>1883313960</v>
      </c>
      <c r="AG13" s="7">
        <f t="shared" si="9"/>
        <v>-1405124950</v>
      </c>
      <c r="AH13" s="7">
        <f>SUMIFS('Tong_hop_HQNV_2026Q1_2026-06-23'!$K:$K,'Tong_hop_HQNV_2026Q1_2026-06-23'!$A:$A,"="&amp;$AH$2,'Tong_hop_HQNV_2026Q1_2026-06-23'!$B:$B, "="&amp;'CHECK_DT-BT_chi_tiet'!A13)</f>
        <v>7500000</v>
      </c>
      <c r="AI13" s="7">
        <f>SUMIFS('HQ2'!$C:$C,'HQ2'!$A:$A, "="&amp;'CHECK_DT-BT_chi_tiet'!C13,'HQ2'!$B:$B, "="&amp;'CHECK_DT-BT_chi_tiet'!$AH$3)</f>
        <v>7500000</v>
      </c>
      <c r="AJ13" s="7">
        <f t="shared" si="10"/>
        <v>0</v>
      </c>
      <c r="AK13" s="7">
        <f>SUMIFS('Tong_hop_HQNV_2026Q1_2026-06-23'!$K:$K,'Tong_hop_HQNV_2026Q1_2026-06-23'!$A:$A,"="&amp;$AK$2,'Tong_hop_HQNV_2026Q1_2026-06-23'!$B:$B, "="&amp;'CHECK_DT-BT_chi_tiet'!A13)</f>
        <v>0</v>
      </c>
      <c r="AL13" s="7">
        <f>SUMIFS('Tong_hop_HQNV_2026Q1_2026-06-23'!$K:$K,'Tong_hop_HQNV_2026Q1_2026-06-23'!$A:$A,"="&amp;$AL$2,'Tong_hop_HQNV_2026Q1_2026-06-23'!$B:$B, "="&amp;'CHECK_DT-BT_chi_tiet'!A13)</f>
        <v>0</v>
      </c>
      <c r="AM13" s="23">
        <f>SUMIFS('Tong_hop_HQNV_2026Q1_2026-06-23'!$L:$L,'Tong_hop_HQNV_2026Q1_2026-06-23'!$B:$B, "="&amp;'CHECK_DT-BT_chi_tiet'!A13, 'Tong_hop_HQNV_2026Q1_2026-06-23'!$A:$A, "="&amp;'CHECK_DT-BT_chi_tiet'!$AM$2)</f>
        <v>2148037400</v>
      </c>
      <c r="AN13" s="29">
        <f>SUMIFS('HQ1'!$D:$D,'HQ1'!$A:$A, "="&amp;'CHECK_DT-BT_chi_tiet'!C13,'HQ1'!$B:$B,"="&amp;'CHECK_DT-BT_chi_tiet'!$AM$3)</f>
        <v>2148037400</v>
      </c>
      <c r="AO13" s="29">
        <f t="shared" si="11"/>
        <v>0</v>
      </c>
      <c r="AP13" s="7">
        <f>SUMIFS('Tong_hop_HQNV_2026Q1_2026-06-23'!$L:$L,'Tong_hop_HQNV_2026Q1_2026-06-23'!$B:$B, "="&amp;'CHECK_DT-BT_chi_tiet'!A13, 'Tong_hop_HQNV_2026Q1_2026-06-23'!$A:$A, "="&amp;'CHECK_DT-BT_chi_tiet'!$AP$2)</f>
        <v>0</v>
      </c>
      <c r="AQ13" s="29">
        <f>SUMIFS('HQ1'!$D:$D,'HQ1'!$A:$A, "="&amp;'CHECK_DT-BT_chi_tiet'!C13,'HQ1'!$B:$B,"="&amp;'CHECK_DT-BT_chi_tiet'!$AP$3)</f>
        <v>0</v>
      </c>
      <c r="AR13" s="7">
        <f t="shared" si="12"/>
        <v>0</v>
      </c>
      <c r="AS13" s="7">
        <f>SUMIFS('Tong_hop_HQNV_2026Q1_2026-06-23'!$L:$L,'Tong_hop_HQNV_2026Q1_2026-06-23'!$B:$B, "="&amp;'CHECK_DT-BT_chi_tiet'!A13, 'Tong_hop_HQNV_2026Q1_2026-06-23'!$A:$A, "="&amp;'CHECK_DT-BT_chi_tiet'!$AS$2)</f>
        <v>4558282915</v>
      </c>
      <c r="AT13" s="29">
        <f>SUMIFS('HQ1'!$D:$D,'HQ1'!$A:$A, "="&amp;'CHECK_DT-BT_chi_tiet'!C13,'HQ1'!$B:$B,"="&amp;'CHECK_DT-BT_chi_tiet'!$AS$3)</f>
        <v>4558282915</v>
      </c>
      <c r="AU13" s="7">
        <f t="shared" si="13"/>
        <v>0</v>
      </c>
      <c r="AV13" s="7">
        <f>SUMIFS('Tong_hop_HQNV_2026Q1_2026-06-23'!$L:$L,'Tong_hop_HQNV_2026Q1_2026-06-23'!$B:$B, "="&amp;'CHECK_DT-BT_chi_tiet'!A13, 'Tong_hop_HQNV_2026Q1_2026-06-23'!$A:$A, "="&amp;'CHECK_DT-BT_chi_tiet'!$AV$2)</f>
        <v>183770191</v>
      </c>
      <c r="AW13" s="29">
        <f>SUMIFS('HQ1'!$D:$D,'HQ1'!$A:$A, "="&amp;'CHECK_DT-BT_chi_tiet'!C13,'HQ1'!$B:$B,"="&amp;'CHECK_DT-BT_chi_tiet'!$AV$3)</f>
        <v>183770191</v>
      </c>
      <c r="AX13" s="7">
        <f t="shared" si="14"/>
        <v>0</v>
      </c>
      <c r="AY13" s="7">
        <f>SUMIFS('Tong_hop_HQNV_2026Q1_2026-06-23'!$L:$L,'Tong_hop_HQNV_2026Q1_2026-06-23'!$B:$B, "="&amp;'CHECK_DT-BT_chi_tiet'!A13, 'Tong_hop_HQNV_2026Q1_2026-06-23'!$A:$A, "="&amp;$AY$2)</f>
        <v>0</v>
      </c>
      <c r="AZ13" s="29">
        <f>SUMIFS('HQ2'!$J:$J,'HQ2'!$A:$A, "="&amp;'CHECK_DT-BT_chi_tiet'!C13,'HQ2'!$B:$B,"="&amp;'CHECK_DT-BT_chi_tiet'!$AY$3)</f>
        <v>0</v>
      </c>
      <c r="BA13" s="7">
        <f t="shared" si="15"/>
        <v>0</v>
      </c>
      <c r="BB13" s="7">
        <f>SUMIFS('Tong_hop_HQNV_2026Q1_2026-06-23'!$L:$L,'Tong_hop_HQNV_2026Q1_2026-06-23'!$B:$B, "="&amp;'CHECK_DT-BT_chi_tiet'!A13, 'Tong_hop_HQNV_2026Q1_2026-06-23'!$A:$A, "="&amp;$BB$2)</f>
        <v>0</v>
      </c>
      <c r="BC13" s="29">
        <f>SUMIFS('HQ2'!$J:$J,'HQ2'!$A:$A, "="&amp;'CHECK_DT-BT_chi_tiet'!C13,'HQ2'!$B:$B,"="&amp;'CHECK_DT-BT_chi_tiet'!$BB$3)</f>
        <v>0</v>
      </c>
      <c r="BD13" s="7">
        <f t="shared" si="16"/>
        <v>0</v>
      </c>
      <c r="BE13" s="7">
        <f>SUMIFS('Tong_hop_HQNV_2026Q1_2026-06-23'!$L:$L,'Tong_hop_HQNV_2026Q1_2026-06-23'!$B:$B, "="&amp;'CHECK_DT-BT_chi_tiet'!A13, 'Tong_hop_HQNV_2026Q1_2026-06-23'!$A:$A, "="&amp;$BE$2)</f>
        <v>0</v>
      </c>
      <c r="BF13" s="29">
        <f>SUMIFS('HQ2'!$J:$J,'HQ2'!$A:$A, "="&amp;'CHECK_DT-BT_chi_tiet'!C13,'HQ2'!$B:$B,"="&amp;'CHECK_DT-BT_chi_tiet'!$BE$3)</f>
        <v>0</v>
      </c>
      <c r="BG13" s="7">
        <f t="shared" si="17"/>
        <v>0</v>
      </c>
      <c r="BH13" s="7">
        <f>SUMIFS('Tong_hop_HQNV_2026Q1_2026-06-23'!$L:$L,'Tong_hop_HQNV_2026Q1_2026-06-23'!$B:$B, "="&amp;'CHECK_DT-BT_chi_tiet'!A13, 'Tong_hop_HQNV_2026Q1_2026-06-23'!$A:$A, "="&amp;$BH$2)</f>
        <v>3820509620</v>
      </c>
      <c r="BI13" s="29">
        <f>SUMIFS('HQ2'!$J:$J,'HQ2'!$A:$A, "="&amp;'CHECK_DT-BT_chi_tiet'!C13,'HQ2'!$B:$B,"="&amp;'CHECK_DT-BT_chi_tiet'!$BH$3)</f>
        <v>3820509620</v>
      </c>
      <c r="BJ13" s="7">
        <f t="shared" si="18"/>
        <v>0</v>
      </c>
      <c r="BK13" s="7">
        <f>SUMIFS('Tong_hop_HQNV_2026Q1_2026-06-23'!$L:$L,'Tong_hop_HQNV_2026Q1_2026-06-23'!$B:$B, "="&amp;'CHECK_DT-BT_chi_tiet'!A13, 'Tong_hop_HQNV_2026Q1_2026-06-23'!$A:$A, "="&amp;$BK$2)</f>
        <v>1691740042</v>
      </c>
      <c r="BL13" s="29">
        <f>SUMIFS('HQ2'!$J:$J,'HQ2'!$A:$A, "="&amp;'CHECK_DT-BT_chi_tiet'!C13,'HQ2'!$B:$B,"="&amp;'CHECK_DT-BT_chi_tiet'!$BK$3)</f>
        <v>1691740042</v>
      </c>
      <c r="BM13" s="7">
        <f t="shared" si="19"/>
        <v>0</v>
      </c>
      <c r="BN13" s="7">
        <f>SUMIFS('Tong_hop_HQNV_2026Q1_2026-06-23'!$L:$L,'Tong_hop_HQNV_2026Q1_2026-06-23'!$B:$B, "="&amp;'CHECK_DT-BT_chi_tiet'!A13, 'Tong_hop_HQNV_2026Q1_2026-06-23'!$A:$A, "="&amp;$BN$2)</f>
        <v>53257680</v>
      </c>
      <c r="BO13" s="29">
        <f>SUMIFS('HQ2'!$J:$J,'HQ2'!$A:$A, "="&amp;'CHECK_DT-BT_chi_tiet'!C13,'HQ2'!$B:$B,"="&amp;'CHECK_DT-BT_chi_tiet'!$BN$3)</f>
        <v>53257680</v>
      </c>
      <c r="BP13" s="7">
        <f t="shared" si="20"/>
        <v>0</v>
      </c>
      <c r="BQ13" s="7">
        <f>SUMIFS('Tong_hop_HQNV_2026Q1_2026-06-23'!$L:$L,'Tong_hop_HQNV_2026Q1_2026-06-23'!$B:$B, "="&amp;'CHECK_DT-BT_chi_tiet'!A13, 'Tong_hop_HQNV_2026Q1_2026-06-23'!$A:$A, "="&amp;$BQ$2)</f>
        <v>0</v>
      </c>
      <c r="BR13" s="29">
        <f>SUMIFS('HQ2'!$J:$J,'HQ2'!$A:$A, "="&amp;'CHECK_DT-BT_chi_tiet'!C13,'HQ2'!$B:$B,"="&amp;'CHECK_DT-BT_chi_tiet'!$BQ$3)</f>
        <v>0</v>
      </c>
      <c r="BS13" s="7">
        <f t="shared" si="21"/>
        <v>0</v>
      </c>
      <c r="BT13" s="7">
        <f>SUMIFS('Tong_hop_HQNV_2026Q1_2026-06-23'!$L:$L,'Tong_hop_HQNV_2026Q1_2026-06-23'!$B:$B, "="&amp;'CHECK_DT-BT_chi_tiet'!A13, 'Tong_hop_HQNV_2026Q1_2026-06-23'!$A:$A, "="&amp;$BT$2)</f>
        <v>0</v>
      </c>
      <c r="BU13" s="7">
        <f>SUMIFS('Tong_hop_HQNV_2026Q1_2026-06-23'!$L:$L,'Tong_hop_HQNV_2026Q1_2026-06-23'!$B:$B, "="&amp;'CHECK_DT-BT_chi_tiet'!A13, 'Tong_hop_HQNV_2026Q1_2026-06-23'!$A:$A, "="&amp;$BU$2)</f>
        <v>0</v>
      </c>
    </row>
    <row r="14" spans="1:73" x14ac:dyDescent="0.25">
      <c r="A14" s="9" t="s">
        <v>294</v>
      </c>
      <c r="B14" t="s">
        <v>152</v>
      </c>
      <c r="C14" t="s">
        <v>54</v>
      </c>
      <c r="D14" s="7">
        <f>SUMIFS('Tong_hop_HQNV_2026Q1_2026-06-23'!$K:$K,'Tong_hop_HQNV_2026Q1_2026-06-23'!$A:$A,"="&amp;'CHECK_DT-BT_chi_tiet'!$D$2,'Tong_hop_HQNV_2026Q1_2026-06-23'!$B:$B, "="&amp;'CHECK_DT-BT_chi_tiet'!A14)</f>
        <v>1857584516</v>
      </c>
      <c r="E14" s="7">
        <f>SUMIFS('HQ1'!$C:$C,'HQ1'!$A:$A, "="&amp;'CHECK_DT-BT_chi_tiet'!C14,'HQ1'!$B:$B, "="&amp;'CHECK_DT-BT_chi_tiet'!$D$3)</f>
        <v>1857584516</v>
      </c>
      <c r="F14" s="7">
        <f t="shared" si="0"/>
        <v>0</v>
      </c>
      <c r="G14" s="7">
        <f>SUMIFS('Tong_hop_HQNV_2026Q1_2026-06-23'!$K:$K,'Tong_hop_HQNV_2026Q1_2026-06-23'!$A:$A,"="&amp;'CHECK_DT-BT_chi_tiet'!$G$2,'Tong_hop_HQNV_2026Q1_2026-06-23'!$B:$B, "="&amp;'CHECK_DT-BT_chi_tiet'!A14)</f>
        <v>55877800</v>
      </c>
      <c r="H14" s="7">
        <f>SUMIFS('HQ1'!$C:$C,'HQ1'!$A:$A, "="&amp;'CHECK_DT-BT_chi_tiet'!C14,'HQ1'!$B:$B, "="&amp;'CHECK_DT-BT_chi_tiet'!$G$3)</f>
        <v>55877800</v>
      </c>
      <c r="I14" s="7">
        <f t="shared" si="1"/>
        <v>0</v>
      </c>
      <c r="J14" s="7">
        <f>SUMIFS('Tong_hop_HQNV_2026Q1_2026-06-23'!$K:$K,'Tong_hop_HQNV_2026Q1_2026-06-23'!$A:$A,"="&amp;'CHECK_DT-BT_chi_tiet'!$J$2,'Tong_hop_HQNV_2026Q1_2026-06-23'!$B:$B, "="&amp;'CHECK_DT-BT_chi_tiet'!A14)</f>
        <v>8926022983</v>
      </c>
      <c r="K14" s="7">
        <f>SUMIFS('HQ1'!$C:$C,'HQ1'!$A:$A, "="&amp;'CHECK_DT-BT_chi_tiet'!C14,'HQ1'!$B:$B, "="&amp;'CHECK_DT-BT_chi_tiet'!$J$3)</f>
        <v>8926022983</v>
      </c>
      <c r="L14" s="7">
        <f t="shared" si="2"/>
        <v>0</v>
      </c>
      <c r="M14" s="7">
        <f>SUMIFS('Tong_hop_HQNV_2026Q1_2026-06-23'!$K:$K,'Tong_hop_HQNV_2026Q1_2026-06-23'!$A:$A,"="&amp;'CHECK_DT-BT_chi_tiet'!$M$2,'Tong_hop_HQNV_2026Q1_2026-06-23'!$B:$B, "="&amp;'CHECK_DT-BT_chi_tiet'!A14)</f>
        <v>3190047407</v>
      </c>
      <c r="N14" s="7">
        <f>SUMIFS('HQ1'!$C:$C,'HQ1'!$A:$A, "="&amp;'CHECK_DT-BT_chi_tiet'!C14,'HQ1'!$B:$B, "="&amp;'CHECK_DT-BT_chi_tiet'!$M$3)</f>
        <v>3190047407</v>
      </c>
      <c r="O14" s="7">
        <f t="shared" si="3"/>
        <v>0</v>
      </c>
      <c r="P14" s="7">
        <f>SUMIFS('Tong_hop_HQNV_2026Q1_2026-06-23'!$K:$K,'Tong_hop_HQNV_2026Q1_2026-06-23'!$A:$A,"="&amp;$P$2,'Tong_hop_HQNV_2026Q1_2026-06-23'!$B:$B, "="&amp;'CHECK_DT-BT_chi_tiet'!A14)</f>
        <v>3533621088</v>
      </c>
      <c r="Q14" s="7">
        <f>SUMIFS('HQ2'!$C:$C,'HQ2'!$A:$A, "="&amp;'CHECK_DT-BT_chi_tiet'!C14,'HQ2'!$B:$B, "="&amp;'CHECK_DT-BT_chi_tiet'!$P$3)</f>
        <v>3533621088</v>
      </c>
      <c r="R14" s="7">
        <f t="shared" si="4"/>
        <v>0</v>
      </c>
      <c r="S14" s="7">
        <f>SUMIFS('Tong_hop_HQNV_2026Q1_2026-06-23'!$K:$K,'Tong_hop_HQNV_2026Q1_2026-06-23'!$A:$A,"="&amp;$S$2,'Tong_hop_HQNV_2026Q1_2026-06-23'!$B:$B, "="&amp;'CHECK_DT-BT_chi_tiet'!A14)</f>
        <v>0</v>
      </c>
      <c r="T14" s="7">
        <f>SUMIFS('HQ2'!$C:$C,'HQ2'!$A:$A, "="&amp;'CHECK_DT-BT_chi_tiet'!C14,'HQ2'!$B:$B, "="&amp;'CHECK_DT-BT_chi_tiet'!$S$3)</f>
        <v>0</v>
      </c>
      <c r="U14" s="7">
        <f t="shared" si="5"/>
        <v>0</v>
      </c>
      <c r="V14" s="7">
        <f>SUMIFS('Tong_hop_HQNV_2026Q1_2026-06-23'!$K:$K,'Tong_hop_HQNV_2026Q1_2026-06-23'!$A:$A,"="&amp;$V$2,'Tong_hop_HQNV_2026Q1_2026-06-23'!$B:$B, "="&amp;'CHECK_DT-BT_chi_tiet'!A14)</f>
        <v>0</v>
      </c>
      <c r="W14" s="7">
        <f>SUMIFS('HQ2'!$C:$C,'HQ2'!$A:$A, "="&amp;'CHECK_DT-BT_chi_tiet'!C14,'HQ2'!$B:$B, "="&amp;'CHECK_DT-BT_chi_tiet'!$V$3)</f>
        <v>0</v>
      </c>
      <c r="X14" s="7">
        <f t="shared" si="6"/>
        <v>0</v>
      </c>
      <c r="Y14" s="7">
        <f>SUMIFS('Tong_hop_HQNV_2026Q1_2026-06-23'!$K:$K,'Tong_hop_HQNV_2026Q1_2026-06-23'!$A:$A,"="&amp;$Y$2,'Tong_hop_HQNV_2026Q1_2026-06-23'!$B:$B, "="&amp;'CHECK_DT-BT_chi_tiet'!A14)</f>
        <v>355409340</v>
      </c>
      <c r="Z14" s="7">
        <f>SUMIFS('HQ2'!$C:$C,'HQ2'!$A:$A, "="&amp;'CHECK_DT-BT_chi_tiet'!C14,'HQ2'!$B:$B, "="&amp;'CHECK_DT-BT_chi_tiet'!$Y$3)</f>
        <v>355409340</v>
      </c>
      <c r="AA14" s="7">
        <f t="shared" si="7"/>
        <v>0</v>
      </c>
      <c r="AB14" s="7">
        <f>SUMIFS('Tong_hop_HQNV_2026Q1_2026-06-23'!$K:$K,'Tong_hop_HQNV_2026Q1_2026-06-23'!$A:$A,"="&amp;$AB$2,'Tong_hop_HQNV_2026Q1_2026-06-23'!$B:$B, "="&amp;'CHECK_DT-BT_chi_tiet'!A14)</f>
        <v>10170000233</v>
      </c>
      <c r="AC14" s="7">
        <f>SUMIFS('HQ2'!$C:$C,'HQ2'!$A:$A, "="&amp;'CHECK_DT-BT_chi_tiet'!C14,'HQ2'!$B:$B, "="&amp;'CHECK_DT-BT_chi_tiet'!$AB$3)</f>
        <v>10170000233</v>
      </c>
      <c r="AD14" s="7">
        <f t="shared" si="8"/>
        <v>0</v>
      </c>
      <c r="AE14" s="7">
        <f>SUMIFS('Tong_hop_HQNV_2026Q1_2026-06-23'!$K:$K,'Tong_hop_HQNV_2026Q1_2026-06-23'!$A:$A,"="&amp;$AE$2,'Tong_hop_HQNV_2026Q1_2026-06-23'!$B:$B, "="&amp;'CHECK_DT-BT_chi_tiet'!A14)</f>
        <v>648975860</v>
      </c>
      <c r="AF14" s="7">
        <f>SUMIFS('HQ2'!$C:$C,'HQ2'!$A:$A, "="&amp;'CHECK_DT-BT_chi_tiet'!C14,'HQ2'!$B:$B, "="&amp;'CHECK_DT-BT_chi_tiet'!$AE$3)</f>
        <v>648975860</v>
      </c>
      <c r="AG14" s="7">
        <f t="shared" si="9"/>
        <v>0</v>
      </c>
      <c r="AH14" s="7">
        <f>SUMIFS('Tong_hop_HQNV_2026Q1_2026-06-23'!$K:$K,'Tong_hop_HQNV_2026Q1_2026-06-23'!$A:$A,"="&amp;$AH$2,'Tong_hop_HQNV_2026Q1_2026-06-23'!$B:$B, "="&amp;'CHECK_DT-BT_chi_tiet'!A14)</f>
        <v>96964890</v>
      </c>
      <c r="AI14" s="7">
        <f>SUMIFS('HQ2'!$C:$C,'HQ2'!$A:$A, "="&amp;'CHECK_DT-BT_chi_tiet'!C14,'HQ2'!$B:$B, "="&amp;'CHECK_DT-BT_chi_tiet'!$AH$3)</f>
        <v>96964890</v>
      </c>
      <c r="AJ14" s="7">
        <f t="shared" si="10"/>
        <v>0</v>
      </c>
      <c r="AK14" s="7">
        <f>SUMIFS('Tong_hop_HQNV_2026Q1_2026-06-23'!$K:$K,'Tong_hop_HQNV_2026Q1_2026-06-23'!$A:$A,"="&amp;$AK$2,'Tong_hop_HQNV_2026Q1_2026-06-23'!$B:$B, "="&amp;'CHECK_DT-BT_chi_tiet'!A14)</f>
        <v>0</v>
      </c>
      <c r="AL14" s="7">
        <f>SUMIFS('Tong_hop_HQNV_2026Q1_2026-06-23'!$K:$K,'Tong_hop_HQNV_2026Q1_2026-06-23'!$A:$A,"="&amp;$AL$2,'Tong_hop_HQNV_2026Q1_2026-06-23'!$B:$B, "="&amp;'CHECK_DT-BT_chi_tiet'!A14)</f>
        <v>0</v>
      </c>
      <c r="AM14" s="23">
        <f>SUMIFS('Tong_hop_HQNV_2026Q1_2026-06-23'!$L:$L,'Tong_hop_HQNV_2026Q1_2026-06-23'!$B:$B, "="&amp;'CHECK_DT-BT_chi_tiet'!A14, 'Tong_hop_HQNV_2026Q1_2026-06-23'!$A:$A, "="&amp;'CHECK_DT-BT_chi_tiet'!$AM$2)</f>
        <v>868850670</v>
      </c>
      <c r="AN14" s="29">
        <f>SUMIFS('HQ1'!$D:$D,'HQ1'!$A:$A, "="&amp;'CHECK_DT-BT_chi_tiet'!C14,'HQ1'!$B:$B,"="&amp;'CHECK_DT-BT_chi_tiet'!$AM$3)</f>
        <v>868850670</v>
      </c>
      <c r="AO14" s="29">
        <f t="shared" si="11"/>
        <v>0</v>
      </c>
      <c r="AP14" s="7">
        <f>SUMIFS('Tong_hop_HQNV_2026Q1_2026-06-23'!$L:$L,'Tong_hop_HQNV_2026Q1_2026-06-23'!$B:$B, "="&amp;'CHECK_DT-BT_chi_tiet'!A14, 'Tong_hop_HQNV_2026Q1_2026-06-23'!$A:$A, "="&amp;'CHECK_DT-BT_chi_tiet'!$AP$2)</f>
        <v>4072800</v>
      </c>
      <c r="AQ14" s="29">
        <f>SUMIFS('HQ1'!$D:$D,'HQ1'!$A:$A, "="&amp;'CHECK_DT-BT_chi_tiet'!C14,'HQ1'!$B:$B,"="&amp;'CHECK_DT-BT_chi_tiet'!$AP$3)</f>
        <v>4072800</v>
      </c>
      <c r="AR14" s="7">
        <f t="shared" si="12"/>
        <v>0</v>
      </c>
      <c r="AS14" s="7">
        <f>SUMIFS('Tong_hop_HQNV_2026Q1_2026-06-23'!$L:$L,'Tong_hop_HQNV_2026Q1_2026-06-23'!$B:$B, "="&amp;'CHECK_DT-BT_chi_tiet'!A14, 'Tong_hop_HQNV_2026Q1_2026-06-23'!$A:$A, "="&amp;'CHECK_DT-BT_chi_tiet'!$AS$2)</f>
        <v>5390570887</v>
      </c>
      <c r="AT14" s="29">
        <f>SUMIFS('HQ1'!$D:$D,'HQ1'!$A:$A, "="&amp;'CHECK_DT-BT_chi_tiet'!C14,'HQ1'!$B:$B,"="&amp;'CHECK_DT-BT_chi_tiet'!$AS$3)</f>
        <v>5390570887</v>
      </c>
      <c r="AU14" s="7">
        <f t="shared" si="13"/>
        <v>0</v>
      </c>
      <c r="AV14" s="7">
        <f>SUMIFS('Tong_hop_HQNV_2026Q1_2026-06-23'!$L:$L,'Tong_hop_HQNV_2026Q1_2026-06-23'!$B:$B, "="&amp;'CHECK_DT-BT_chi_tiet'!A14, 'Tong_hop_HQNV_2026Q1_2026-06-23'!$A:$A, "="&amp;'CHECK_DT-BT_chi_tiet'!$AV$2)</f>
        <v>2520899947</v>
      </c>
      <c r="AW14" s="29">
        <f>SUMIFS('HQ1'!$D:$D,'HQ1'!$A:$A, "="&amp;'CHECK_DT-BT_chi_tiet'!C14,'HQ1'!$B:$B,"="&amp;'CHECK_DT-BT_chi_tiet'!$AV$3)</f>
        <v>2520899947</v>
      </c>
      <c r="AX14" s="7">
        <f t="shared" si="14"/>
        <v>0</v>
      </c>
      <c r="AY14" s="7">
        <f>SUMIFS('Tong_hop_HQNV_2026Q1_2026-06-23'!$L:$L,'Tong_hop_HQNV_2026Q1_2026-06-23'!$B:$B, "="&amp;'CHECK_DT-BT_chi_tiet'!A14, 'Tong_hop_HQNV_2026Q1_2026-06-23'!$A:$A, "="&amp;$AY$2)</f>
        <v>15440443</v>
      </c>
      <c r="AZ14" s="29">
        <f>SUMIFS('HQ2'!$J:$J,'HQ2'!$A:$A, "="&amp;'CHECK_DT-BT_chi_tiet'!C14,'HQ2'!$B:$B,"="&amp;'CHECK_DT-BT_chi_tiet'!$AY$3)</f>
        <v>15440443</v>
      </c>
      <c r="BA14" s="7">
        <f t="shared" si="15"/>
        <v>0</v>
      </c>
      <c r="BB14" s="7">
        <f>SUMIFS('Tong_hop_HQNV_2026Q1_2026-06-23'!$L:$L,'Tong_hop_HQNV_2026Q1_2026-06-23'!$B:$B, "="&amp;'CHECK_DT-BT_chi_tiet'!A14, 'Tong_hop_HQNV_2026Q1_2026-06-23'!$A:$A, "="&amp;$BB$2)</f>
        <v>0</v>
      </c>
      <c r="BC14" s="29">
        <f>SUMIFS('HQ2'!$J:$J,'HQ2'!$A:$A, "="&amp;'CHECK_DT-BT_chi_tiet'!C14,'HQ2'!$B:$B,"="&amp;'CHECK_DT-BT_chi_tiet'!$BB$3)</f>
        <v>0</v>
      </c>
      <c r="BD14" s="7">
        <f t="shared" si="16"/>
        <v>0</v>
      </c>
      <c r="BE14" s="7">
        <f>SUMIFS('Tong_hop_HQNV_2026Q1_2026-06-23'!$L:$L,'Tong_hop_HQNV_2026Q1_2026-06-23'!$B:$B, "="&amp;'CHECK_DT-BT_chi_tiet'!A14, 'Tong_hop_HQNV_2026Q1_2026-06-23'!$A:$A, "="&amp;$BE$2)</f>
        <v>0</v>
      </c>
      <c r="BF14" s="29">
        <f>SUMIFS('HQ2'!$J:$J,'HQ2'!$A:$A, "="&amp;'CHECK_DT-BT_chi_tiet'!C14,'HQ2'!$B:$B,"="&amp;'CHECK_DT-BT_chi_tiet'!$BE$3)</f>
        <v>0</v>
      </c>
      <c r="BG14" s="7">
        <f t="shared" si="17"/>
        <v>0</v>
      </c>
      <c r="BH14" s="7">
        <f>SUMIFS('Tong_hop_HQNV_2026Q1_2026-06-23'!$L:$L,'Tong_hop_HQNV_2026Q1_2026-06-23'!$B:$B, "="&amp;'CHECK_DT-BT_chi_tiet'!A14, 'Tong_hop_HQNV_2026Q1_2026-06-23'!$A:$A, "="&amp;$BH$2)</f>
        <v>0</v>
      </c>
      <c r="BI14" s="29">
        <f>SUMIFS('HQ2'!$J:$J,'HQ2'!$A:$A, "="&amp;'CHECK_DT-BT_chi_tiet'!C14,'HQ2'!$B:$B,"="&amp;'CHECK_DT-BT_chi_tiet'!$BH$3)</f>
        <v>0</v>
      </c>
      <c r="BJ14" s="7">
        <f t="shared" si="18"/>
        <v>0</v>
      </c>
      <c r="BK14" s="7">
        <f>SUMIFS('Tong_hop_HQNV_2026Q1_2026-06-23'!$L:$L,'Tong_hop_HQNV_2026Q1_2026-06-23'!$B:$B, "="&amp;'CHECK_DT-BT_chi_tiet'!A14, 'Tong_hop_HQNV_2026Q1_2026-06-23'!$A:$A, "="&amp;$BK$2)</f>
        <v>87550000</v>
      </c>
      <c r="BL14" s="29">
        <f>SUMIFS('HQ2'!$J:$J,'HQ2'!$A:$A, "="&amp;'CHECK_DT-BT_chi_tiet'!C14,'HQ2'!$B:$B,"="&amp;'CHECK_DT-BT_chi_tiet'!$BK$3)</f>
        <v>87550000</v>
      </c>
      <c r="BM14" s="7">
        <f t="shared" si="19"/>
        <v>0</v>
      </c>
      <c r="BN14" s="7">
        <f>SUMIFS('Tong_hop_HQNV_2026Q1_2026-06-23'!$L:$L,'Tong_hop_HQNV_2026Q1_2026-06-23'!$B:$B, "="&amp;'CHECK_DT-BT_chi_tiet'!A14, 'Tong_hop_HQNV_2026Q1_2026-06-23'!$A:$A, "="&amp;$BN$2)</f>
        <v>0</v>
      </c>
      <c r="BO14" s="29">
        <f>SUMIFS('HQ2'!$J:$J,'HQ2'!$A:$A, "="&amp;'CHECK_DT-BT_chi_tiet'!C14,'HQ2'!$B:$B,"="&amp;'CHECK_DT-BT_chi_tiet'!$BN$3)</f>
        <v>0</v>
      </c>
      <c r="BP14" s="7">
        <f t="shared" si="20"/>
        <v>0</v>
      </c>
      <c r="BQ14" s="7">
        <f>SUMIFS('Tong_hop_HQNV_2026Q1_2026-06-23'!$L:$L,'Tong_hop_HQNV_2026Q1_2026-06-23'!$B:$B, "="&amp;'CHECK_DT-BT_chi_tiet'!A14, 'Tong_hop_HQNV_2026Q1_2026-06-23'!$A:$A, "="&amp;$BQ$2)</f>
        <v>0</v>
      </c>
      <c r="BR14" s="29">
        <f>SUMIFS('HQ2'!$J:$J,'HQ2'!$A:$A, "="&amp;'CHECK_DT-BT_chi_tiet'!C14,'HQ2'!$B:$B,"="&amp;'CHECK_DT-BT_chi_tiet'!$BQ$3)</f>
        <v>0</v>
      </c>
      <c r="BS14" s="7">
        <f t="shared" si="21"/>
        <v>0</v>
      </c>
      <c r="BT14" s="7">
        <f>SUMIFS('Tong_hop_HQNV_2026Q1_2026-06-23'!$L:$L,'Tong_hop_HQNV_2026Q1_2026-06-23'!$B:$B, "="&amp;'CHECK_DT-BT_chi_tiet'!A14, 'Tong_hop_HQNV_2026Q1_2026-06-23'!$A:$A, "="&amp;$BT$2)</f>
        <v>0</v>
      </c>
      <c r="BU14" s="7">
        <f>SUMIFS('Tong_hop_HQNV_2026Q1_2026-06-23'!$L:$L,'Tong_hop_HQNV_2026Q1_2026-06-23'!$B:$B, "="&amp;'CHECK_DT-BT_chi_tiet'!A14, 'Tong_hop_HQNV_2026Q1_2026-06-23'!$A:$A, "="&amp;$BU$2)</f>
        <v>0</v>
      </c>
    </row>
    <row r="15" spans="1:73" x14ac:dyDescent="0.25">
      <c r="A15" s="9" t="s">
        <v>295</v>
      </c>
      <c r="B15" t="s">
        <v>153</v>
      </c>
      <c r="C15" t="s">
        <v>78</v>
      </c>
      <c r="D15" s="7">
        <f>SUMIFS('Tong_hop_HQNV_2026Q1_2026-06-23'!$K:$K,'Tong_hop_HQNV_2026Q1_2026-06-23'!$A:$A,"="&amp;'CHECK_DT-BT_chi_tiet'!$D$2,'Tong_hop_HQNV_2026Q1_2026-06-23'!$B:$B, "="&amp;'CHECK_DT-BT_chi_tiet'!A15)</f>
        <v>1422788000</v>
      </c>
      <c r="E15" s="7">
        <f>SUMIFS('HQ1'!$C:$C,'HQ1'!$A:$A, "="&amp;'CHECK_DT-BT_chi_tiet'!C15,'HQ1'!$B:$B, "="&amp;'CHECK_DT-BT_chi_tiet'!$D$3)</f>
        <v>1422788000</v>
      </c>
      <c r="F15" s="7">
        <f t="shared" si="0"/>
        <v>0</v>
      </c>
      <c r="G15" s="7">
        <f>SUMIFS('Tong_hop_HQNV_2026Q1_2026-06-23'!$K:$K,'Tong_hop_HQNV_2026Q1_2026-06-23'!$A:$A,"="&amp;'CHECK_DT-BT_chi_tiet'!$G$2,'Tong_hop_HQNV_2026Q1_2026-06-23'!$B:$B, "="&amp;'CHECK_DT-BT_chi_tiet'!A15)</f>
        <v>43330000</v>
      </c>
      <c r="H15" s="7">
        <f>SUMIFS('HQ1'!$C:$C,'HQ1'!$A:$A, "="&amp;'CHECK_DT-BT_chi_tiet'!C15,'HQ1'!$B:$B, "="&amp;'CHECK_DT-BT_chi_tiet'!$G$3)</f>
        <v>43330000</v>
      </c>
      <c r="I15" s="7">
        <f t="shared" si="1"/>
        <v>0</v>
      </c>
      <c r="J15" s="7">
        <f>SUMIFS('Tong_hop_HQNV_2026Q1_2026-06-23'!$K:$K,'Tong_hop_HQNV_2026Q1_2026-06-23'!$A:$A,"="&amp;'CHECK_DT-BT_chi_tiet'!$J$2,'Tong_hop_HQNV_2026Q1_2026-06-23'!$B:$B, "="&amp;'CHECK_DT-BT_chi_tiet'!A15)</f>
        <v>6502349157</v>
      </c>
      <c r="K15" s="7">
        <f>SUMIFS('HQ1'!$C:$C,'HQ1'!$A:$A, "="&amp;'CHECK_DT-BT_chi_tiet'!C15,'HQ1'!$B:$B, "="&amp;'CHECK_DT-BT_chi_tiet'!$J$3)</f>
        <v>6502349157</v>
      </c>
      <c r="L15" s="7">
        <f t="shared" si="2"/>
        <v>0</v>
      </c>
      <c r="M15" s="7">
        <f>SUMIFS('Tong_hop_HQNV_2026Q1_2026-06-23'!$K:$K,'Tong_hop_HQNV_2026Q1_2026-06-23'!$A:$A,"="&amp;'CHECK_DT-BT_chi_tiet'!$M$2,'Tong_hop_HQNV_2026Q1_2026-06-23'!$B:$B, "="&amp;'CHECK_DT-BT_chi_tiet'!A15)</f>
        <v>607147990</v>
      </c>
      <c r="N15" s="7">
        <f>SUMIFS('HQ1'!$C:$C,'HQ1'!$A:$A, "="&amp;'CHECK_DT-BT_chi_tiet'!C15,'HQ1'!$B:$B, "="&amp;'CHECK_DT-BT_chi_tiet'!$M$3)</f>
        <v>607147990</v>
      </c>
      <c r="O15" s="7">
        <f t="shared" si="3"/>
        <v>0</v>
      </c>
      <c r="P15" s="7">
        <f>SUMIFS('Tong_hop_HQNV_2026Q1_2026-06-23'!$K:$K,'Tong_hop_HQNV_2026Q1_2026-06-23'!$A:$A,"="&amp;$P$2,'Tong_hop_HQNV_2026Q1_2026-06-23'!$B:$B, "="&amp;'CHECK_DT-BT_chi_tiet'!A15)</f>
        <v>899506868</v>
      </c>
      <c r="Q15" s="7">
        <f>SUMIFS('HQ2'!$C:$C,'HQ2'!$A:$A, "="&amp;'CHECK_DT-BT_chi_tiet'!C15,'HQ2'!$B:$B, "="&amp;'CHECK_DT-BT_chi_tiet'!$P$3)</f>
        <v>899003303</v>
      </c>
      <c r="R15" s="7">
        <f t="shared" si="4"/>
        <v>503565</v>
      </c>
      <c r="S15" s="7">
        <f>SUMIFS('Tong_hop_HQNV_2026Q1_2026-06-23'!$K:$K,'Tong_hop_HQNV_2026Q1_2026-06-23'!$A:$A,"="&amp;$S$2,'Tong_hop_HQNV_2026Q1_2026-06-23'!$B:$B, "="&amp;'CHECK_DT-BT_chi_tiet'!A15)</f>
        <v>0</v>
      </c>
      <c r="T15" s="7">
        <f>SUMIFS('HQ2'!$C:$C,'HQ2'!$A:$A, "="&amp;'CHECK_DT-BT_chi_tiet'!C15,'HQ2'!$B:$B, "="&amp;'CHECK_DT-BT_chi_tiet'!$S$3)</f>
        <v>0</v>
      </c>
      <c r="U15" s="7">
        <f t="shared" si="5"/>
        <v>0</v>
      </c>
      <c r="V15" s="7">
        <f>SUMIFS('Tong_hop_HQNV_2026Q1_2026-06-23'!$K:$K,'Tong_hop_HQNV_2026Q1_2026-06-23'!$A:$A,"="&amp;$V$2,'Tong_hop_HQNV_2026Q1_2026-06-23'!$B:$B, "="&amp;'CHECK_DT-BT_chi_tiet'!A15)</f>
        <v>0</v>
      </c>
      <c r="W15" s="7">
        <f>SUMIFS('HQ2'!$C:$C,'HQ2'!$A:$A, "="&amp;'CHECK_DT-BT_chi_tiet'!C15,'HQ2'!$B:$B, "="&amp;'CHECK_DT-BT_chi_tiet'!$V$3)</f>
        <v>0</v>
      </c>
      <c r="X15" s="7">
        <f t="shared" si="6"/>
        <v>0</v>
      </c>
      <c r="Y15" s="7">
        <f>SUMIFS('Tong_hop_HQNV_2026Q1_2026-06-23'!$K:$K,'Tong_hop_HQNV_2026Q1_2026-06-23'!$A:$A,"="&amp;$Y$2,'Tong_hop_HQNV_2026Q1_2026-06-23'!$B:$B, "="&amp;'CHECK_DT-BT_chi_tiet'!A15)</f>
        <v>699867302</v>
      </c>
      <c r="Z15" s="7">
        <f>SUMIFS('HQ2'!$C:$C,'HQ2'!$A:$A, "="&amp;'CHECK_DT-BT_chi_tiet'!C15,'HQ2'!$B:$B, "="&amp;'CHECK_DT-BT_chi_tiet'!$Y$3)</f>
        <v>699867302</v>
      </c>
      <c r="AA15" s="7">
        <f t="shared" si="7"/>
        <v>0</v>
      </c>
      <c r="AB15" s="7">
        <f>SUMIFS('Tong_hop_HQNV_2026Q1_2026-06-23'!$K:$K,'Tong_hop_HQNV_2026Q1_2026-06-23'!$A:$A,"="&amp;$AB$2,'Tong_hop_HQNV_2026Q1_2026-06-23'!$B:$B, "="&amp;'CHECK_DT-BT_chi_tiet'!A15)</f>
        <v>2678230589</v>
      </c>
      <c r="AC15" s="7">
        <f>SUMIFS('HQ2'!$C:$C,'HQ2'!$A:$A, "="&amp;'CHECK_DT-BT_chi_tiet'!C15,'HQ2'!$B:$B, "="&amp;'CHECK_DT-BT_chi_tiet'!$AB$3)</f>
        <v>2678230589</v>
      </c>
      <c r="AD15" s="7">
        <f t="shared" si="8"/>
        <v>0</v>
      </c>
      <c r="AE15" s="7">
        <f>SUMIFS('Tong_hop_HQNV_2026Q1_2026-06-23'!$K:$K,'Tong_hop_HQNV_2026Q1_2026-06-23'!$A:$A,"="&amp;$AE$2,'Tong_hop_HQNV_2026Q1_2026-06-23'!$B:$B, "="&amp;'CHECK_DT-BT_chi_tiet'!A15)</f>
        <v>421748637</v>
      </c>
      <c r="AF15" s="7">
        <f>SUMIFS('HQ2'!$C:$C,'HQ2'!$A:$A, "="&amp;'CHECK_DT-BT_chi_tiet'!C15,'HQ2'!$B:$B, "="&amp;'CHECK_DT-BT_chi_tiet'!$AE$3)</f>
        <v>421748637</v>
      </c>
      <c r="AG15" s="7">
        <f t="shared" si="9"/>
        <v>0</v>
      </c>
      <c r="AH15" s="7">
        <f>SUMIFS('Tong_hop_HQNV_2026Q1_2026-06-23'!$K:$K,'Tong_hop_HQNV_2026Q1_2026-06-23'!$A:$A,"="&amp;$AH$2,'Tong_hop_HQNV_2026Q1_2026-06-23'!$B:$B, "="&amp;'CHECK_DT-BT_chi_tiet'!A15)</f>
        <v>18982248</v>
      </c>
      <c r="AI15" s="7">
        <f>SUMIFS('HQ2'!$C:$C,'HQ2'!$A:$A, "="&amp;'CHECK_DT-BT_chi_tiet'!C15,'HQ2'!$B:$B, "="&amp;'CHECK_DT-BT_chi_tiet'!$AH$3)</f>
        <v>18982248</v>
      </c>
      <c r="AJ15" s="7">
        <f t="shared" si="10"/>
        <v>0</v>
      </c>
      <c r="AK15" s="7">
        <f>SUMIFS('Tong_hop_HQNV_2026Q1_2026-06-23'!$K:$K,'Tong_hop_HQNV_2026Q1_2026-06-23'!$A:$A,"="&amp;$AK$2,'Tong_hop_HQNV_2026Q1_2026-06-23'!$B:$B, "="&amp;'CHECK_DT-BT_chi_tiet'!A15)</f>
        <v>0</v>
      </c>
      <c r="AL15" s="7">
        <f>SUMIFS('Tong_hop_HQNV_2026Q1_2026-06-23'!$K:$K,'Tong_hop_HQNV_2026Q1_2026-06-23'!$A:$A,"="&amp;$AL$2,'Tong_hop_HQNV_2026Q1_2026-06-23'!$B:$B, "="&amp;'CHECK_DT-BT_chi_tiet'!A15)</f>
        <v>93692960</v>
      </c>
      <c r="AM15" s="23">
        <f>SUMIFS('Tong_hop_HQNV_2026Q1_2026-06-23'!$L:$L,'Tong_hop_HQNV_2026Q1_2026-06-23'!$B:$B, "="&amp;'CHECK_DT-BT_chi_tiet'!A15, 'Tong_hop_HQNV_2026Q1_2026-06-23'!$A:$A, "="&amp;'CHECK_DT-BT_chi_tiet'!$AM$2)</f>
        <v>1161236293</v>
      </c>
      <c r="AN15" s="29">
        <f>SUMIFS('HQ1'!$D:$D,'HQ1'!$A:$A, "="&amp;'CHECK_DT-BT_chi_tiet'!C15,'HQ1'!$B:$B,"="&amp;'CHECK_DT-BT_chi_tiet'!$AM$3)</f>
        <v>1161236293</v>
      </c>
      <c r="AO15" s="29">
        <f t="shared" si="11"/>
        <v>0</v>
      </c>
      <c r="AP15" s="7">
        <f>SUMIFS('Tong_hop_HQNV_2026Q1_2026-06-23'!$L:$L,'Tong_hop_HQNV_2026Q1_2026-06-23'!$B:$B, "="&amp;'CHECK_DT-BT_chi_tiet'!A15, 'Tong_hop_HQNV_2026Q1_2026-06-23'!$A:$A, "="&amp;'CHECK_DT-BT_chi_tiet'!$AP$2)</f>
        <v>0</v>
      </c>
      <c r="AQ15" s="29">
        <f>SUMIFS('HQ1'!$D:$D,'HQ1'!$A:$A, "="&amp;'CHECK_DT-BT_chi_tiet'!C15,'HQ1'!$B:$B,"="&amp;'CHECK_DT-BT_chi_tiet'!$AP$3)</f>
        <v>0</v>
      </c>
      <c r="AR15" s="7">
        <f t="shared" si="12"/>
        <v>0</v>
      </c>
      <c r="AS15" s="7">
        <f>SUMIFS('Tong_hop_HQNV_2026Q1_2026-06-23'!$L:$L,'Tong_hop_HQNV_2026Q1_2026-06-23'!$B:$B, "="&amp;'CHECK_DT-BT_chi_tiet'!A15, 'Tong_hop_HQNV_2026Q1_2026-06-23'!$A:$A, "="&amp;'CHECK_DT-BT_chi_tiet'!$AS$2)</f>
        <v>2509112397</v>
      </c>
      <c r="AT15" s="29">
        <f>SUMIFS('HQ1'!$D:$D,'HQ1'!$A:$A, "="&amp;'CHECK_DT-BT_chi_tiet'!C15,'HQ1'!$B:$B,"="&amp;'CHECK_DT-BT_chi_tiet'!$AS$3)</f>
        <v>2509112397</v>
      </c>
      <c r="AU15" s="7">
        <f t="shared" si="13"/>
        <v>0</v>
      </c>
      <c r="AV15" s="7">
        <f>SUMIFS('Tong_hop_HQNV_2026Q1_2026-06-23'!$L:$L,'Tong_hop_HQNV_2026Q1_2026-06-23'!$B:$B, "="&amp;'CHECK_DT-BT_chi_tiet'!A15, 'Tong_hop_HQNV_2026Q1_2026-06-23'!$A:$A, "="&amp;'CHECK_DT-BT_chi_tiet'!$AV$2)</f>
        <v>531133016</v>
      </c>
      <c r="AW15" s="29">
        <f>SUMIFS('HQ1'!$D:$D,'HQ1'!$A:$A, "="&amp;'CHECK_DT-BT_chi_tiet'!C15,'HQ1'!$B:$B,"="&amp;'CHECK_DT-BT_chi_tiet'!$AV$3)</f>
        <v>531133016</v>
      </c>
      <c r="AX15" s="7">
        <f t="shared" si="14"/>
        <v>0</v>
      </c>
      <c r="AY15" s="7">
        <f>SUMIFS('Tong_hop_HQNV_2026Q1_2026-06-23'!$L:$L,'Tong_hop_HQNV_2026Q1_2026-06-23'!$B:$B, "="&amp;'CHECK_DT-BT_chi_tiet'!A15, 'Tong_hop_HQNV_2026Q1_2026-06-23'!$A:$A, "="&amp;$AY$2)</f>
        <v>0</v>
      </c>
      <c r="AZ15" s="29">
        <f>SUMIFS('HQ2'!$J:$J,'HQ2'!$A:$A, "="&amp;'CHECK_DT-BT_chi_tiet'!C15,'HQ2'!$B:$B,"="&amp;'CHECK_DT-BT_chi_tiet'!$AY$3)</f>
        <v>0</v>
      </c>
      <c r="BA15" s="7">
        <f t="shared" si="15"/>
        <v>0</v>
      </c>
      <c r="BB15" s="7">
        <f>SUMIFS('Tong_hop_HQNV_2026Q1_2026-06-23'!$L:$L,'Tong_hop_HQNV_2026Q1_2026-06-23'!$B:$B, "="&amp;'CHECK_DT-BT_chi_tiet'!A15, 'Tong_hop_HQNV_2026Q1_2026-06-23'!$A:$A, "="&amp;$BB$2)</f>
        <v>0</v>
      </c>
      <c r="BC15" s="29">
        <f>SUMIFS('HQ2'!$J:$J,'HQ2'!$A:$A, "="&amp;'CHECK_DT-BT_chi_tiet'!C15,'HQ2'!$B:$B,"="&amp;'CHECK_DT-BT_chi_tiet'!$BB$3)</f>
        <v>0</v>
      </c>
      <c r="BD15" s="7">
        <f t="shared" si="16"/>
        <v>0</v>
      </c>
      <c r="BE15" s="7">
        <f>SUMIFS('Tong_hop_HQNV_2026Q1_2026-06-23'!$L:$L,'Tong_hop_HQNV_2026Q1_2026-06-23'!$B:$B, "="&amp;'CHECK_DT-BT_chi_tiet'!A15, 'Tong_hop_HQNV_2026Q1_2026-06-23'!$A:$A, "="&amp;$BE$2)</f>
        <v>0</v>
      </c>
      <c r="BF15" s="29">
        <f>SUMIFS('HQ2'!$J:$J,'HQ2'!$A:$A, "="&amp;'CHECK_DT-BT_chi_tiet'!C15,'HQ2'!$B:$B,"="&amp;'CHECK_DT-BT_chi_tiet'!$BE$3)</f>
        <v>0</v>
      </c>
      <c r="BG15" s="7">
        <f t="shared" si="17"/>
        <v>0</v>
      </c>
      <c r="BH15" s="7">
        <f>SUMIFS('Tong_hop_HQNV_2026Q1_2026-06-23'!$L:$L,'Tong_hop_HQNV_2026Q1_2026-06-23'!$B:$B, "="&amp;'CHECK_DT-BT_chi_tiet'!A15, 'Tong_hop_HQNV_2026Q1_2026-06-23'!$A:$A, "="&amp;$BH$2)</f>
        <v>0</v>
      </c>
      <c r="BI15" s="29">
        <f>SUMIFS('HQ2'!$J:$J,'HQ2'!$A:$A, "="&amp;'CHECK_DT-BT_chi_tiet'!C15,'HQ2'!$B:$B,"="&amp;'CHECK_DT-BT_chi_tiet'!$BH$3)</f>
        <v>0</v>
      </c>
      <c r="BJ15" s="7">
        <f t="shared" si="18"/>
        <v>0</v>
      </c>
      <c r="BK15" s="7">
        <f>SUMIFS('Tong_hop_HQNV_2026Q1_2026-06-23'!$L:$L,'Tong_hop_HQNV_2026Q1_2026-06-23'!$B:$B, "="&amp;'CHECK_DT-BT_chi_tiet'!A15, 'Tong_hop_HQNV_2026Q1_2026-06-23'!$A:$A, "="&amp;$BK$2)</f>
        <v>8170781111</v>
      </c>
      <c r="BL15" s="29">
        <f>SUMIFS('HQ2'!$J:$J,'HQ2'!$A:$A, "="&amp;'CHECK_DT-BT_chi_tiet'!C15,'HQ2'!$B:$B,"="&amp;'CHECK_DT-BT_chi_tiet'!$BK$3)</f>
        <v>8170781111</v>
      </c>
      <c r="BM15" s="7">
        <f t="shared" si="19"/>
        <v>0</v>
      </c>
      <c r="BN15" s="7">
        <f>SUMIFS('Tong_hop_HQNV_2026Q1_2026-06-23'!$L:$L,'Tong_hop_HQNV_2026Q1_2026-06-23'!$B:$B, "="&amp;'CHECK_DT-BT_chi_tiet'!A15, 'Tong_hop_HQNV_2026Q1_2026-06-23'!$A:$A, "="&amp;$BN$2)</f>
        <v>0</v>
      </c>
      <c r="BO15" s="29">
        <f>SUMIFS('HQ2'!$J:$J,'HQ2'!$A:$A, "="&amp;'CHECK_DT-BT_chi_tiet'!C15,'HQ2'!$B:$B,"="&amp;'CHECK_DT-BT_chi_tiet'!$BN$3)</f>
        <v>0</v>
      </c>
      <c r="BP15" s="7">
        <f t="shared" si="20"/>
        <v>0</v>
      </c>
      <c r="BQ15" s="7">
        <f>SUMIFS('Tong_hop_HQNV_2026Q1_2026-06-23'!$L:$L,'Tong_hop_HQNV_2026Q1_2026-06-23'!$B:$B, "="&amp;'CHECK_DT-BT_chi_tiet'!A15, 'Tong_hop_HQNV_2026Q1_2026-06-23'!$A:$A, "="&amp;$BQ$2)</f>
        <v>0</v>
      </c>
      <c r="BR15" s="29">
        <f>SUMIFS('HQ2'!$J:$J,'HQ2'!$A:$A, "="&amp;'CHECK_DT-BT_chi_tiet'!C15,'HQ2'!$B:$B,"="&amp;'CHECK_DT-BT_chi_tiet'!$BQ$3)</f>
        <v>0</v>
      </c>
      <c r="BS15" s="7">
        <f t="shared" si="21"/>
        <v>0</v>
      </c>
      <c r="BT15" s="7">
        <f>SUMIFS('Tong_hop_HQNV_2026Q1_2026-06-23'!$L:$L,'Tong_hop_HQNV_2026Q1_2026-06-23'!$B:$B, "="&amp;'CHECK_DT-BT_chi_tiet'!A15, 'Tong_hop_HQNV_2026Q1_2026-06-23'!$A:$A, "="&amp;$BT$2)</f>
        <v>0</v>
      </c>
      <c r="BU15" s="7">
        <f>SUMIFS('Tong_hop_HQNV_2026Q1_2026-06-23'!$L:$L,'Tong_hop_HQNV_2026Q1_2026-06-23'!$B:$B, "="&amp;'CHECK_DT-BT_chi_tiet'!A15, 'Tong_hop_HQNV_2026Q1_2026-06-23'!$A:$A, "="&amp;$BU$2)</f>
        <v>0</v>
      </c>
    </row>
    <row r="16" spans="1:73" x14ac:dyDescent="0.25">
      <c r="A16" s="9" t="s">
        <v>296</v>
      </c>
      <c r="B16" t="s">
        <v>154</v>
      </c>
      <c r="C16" t="s">
        <v>88</v>
      </c>
      <c r="D16" s="7">
        <f>SUMIFS('Tong_hop_HQNV_2026Q1_2026-06-23'!$K:$K,'Tong_hop_HQNV_2026Q1_2026-06-23'!$A:$A,"="&amp;'CHECK_DT-BT_chi_tiet'!$D$2,'Tong_hop_HQNV_2026Q1_2026-06-23'!$B:$B, "="&amp;'CHECK_DT-BT_chi_tiet'!A16)</f>
        <v>4857142900</v>
      </c>
      <c r="E16" s="7">
        <f>SUMIFS('HQ1'!$C:$C,'HQ1'!$A:$A, "="&amp;'CHECK_DT-BT_chi_tiet'!C16,'HQ1'!$B:$B, "="&amp;'CHECK_DT-BT_chi_tiet'!$D$3)</f>
        <v>4857142900</v>
      </c>
      <c r="F16" s="7">
        <f t="shared" si="0"/>
        <v>0</v>
      </c>
      <c r="G16" s="7">
        <f>SUMIFS('Tong_hop_HQNV_2026Q1_2026-06-23'!$K:$K,'Tong_hop_HQNV_2026Q1_2026-06-23'!$A:$A,"="&amp;'CHECK_DT-BT_chi_tiet'!$G$2,'Tong_hop_HQNV_2026Q1_2026-06-23'!$B:$B, "="&amp;'CHECK_DT-BT_chi_tiet'!A16)</f>
        <v>110977500</v>
      </c>
      <c r="H16" s="7">
        <f>SUMIFS('HQ1'!$C:$C,'HQ1'!$A:$A, "="&amp;'CHECK_DT-BT_chi_tiet'!C16,'HQ1'!$B:$B, "="&amp;'CHECK_DT-BT_chi_tiet'!$G$3)</f>
        <v>110977500</v>
      </c>
      <c r="I16" s="7">
        <f t="shared" si="1"/>
        <v>0</v>
      </c>
      <c r="J16" s="7">
        <f>SUMIFS('Tong_hop_HQNV_2026Q1_2026-06-23'!$K:$K,'Tong_hop_HQNV_2026Q1_2026-06-23'!$A:$A,"="&amp;'CHECK_DT-BT_chi_tiet'!$J$2,'Tong_hop_HQNV_2026Q1_2026-06-23'!$B:$B, "="&amp;'CHECK_DT-BT_chi_tiet'!A16)</f>
        <v>7537033112</v>
      </c>
      <c r="K16" s="7">
        <f>SUMIFS('HQ1'!$C:$C,'HQ1'!$A:$A, "="&amp;'CHECK_DT-BT_chi_tiet'!C16,'HQ1'!$B:$B, "="&amp;'CHECK_DT-BT_chi_tiet'!$J$3)</f>
        <v>7537033112</v>
      </c>
      <c r="L16" s="7">
        <f t="shared" si="2"/>
        <v>0</v>
      </c>
      <c r="M16" s="7">
        <f>SUMIFS('Tong_hop_HQNV_2026Q1_2026-06-23'!$K:$K,'Tong_hop_HQNV_2026Q1_2026-06-23'!$A:$A,"="&amp;'CHECK_DT-BT_chi_tiet'!$M$2,'Tong_hop_HQNV_2026Q1_2026-06-23'!$B:$B, "="&amp;'CHECK_DT-BT_chi_tiet'!A16)</f>
        <v>1754650990</v>
      </c>
      <c r="N16" s="7">
        <f>SUMIFS('HQ1'!$C:$C,'HQ1'!$A:$A, "="&amp;'CHECK_DT-BT_chi_tiet'!C16,'HQ1'!$B:$B, "="&amp;'CHECK_DT-BT_chi_tiet'!$M$3)</f>
        <v>1754650990</v>
      </c>
      <c r="O16" s="7">
        <f t="shared" si="3"/>
        <v>0</v>
      </c>
      <c r="P16" s="7">
        <f>SUMIFS('Tong_hop_HQNV_2026Q1_2026-06-23'!$K:$K,'Tong_hop_HQNV_2026Q1_2026-06-23'!$A:$A,"="&amp;$P$2,'Tong_hop_HQNV_2026Q1_2026-06-23'!$B:$B, "="&amp;'CHECK_DT-BT_chi_tiet'!A16)</f>
        <v>36492153</v>
      </c>
      <c r="Q16" s="7">
        <f>SUMIFS('HQ2'!$C:$C,'HQ2'!$A:$A, "="&amp;'CHECK_DT-BT_chi_tiet'!C16,'HQ2'!$B:$B, "="&amp;'CHECK_DT-BT_chi_tiet'!$P$3)</f>
        <v>36492153</v>
      </c>
      <c r="R16" s="7">
        <f t="shared" si="4"/>
        <v>0</v>
      </c>
      <c r="S16" s="7">
        <f>SUMIFS('Tong_hop_HQNV_2026Q1_2026-06-23'!$K:$K,'Tong_hop_HQNV_2026Q1_2026-06-23'!$A:$A,"="&amp;$S$2,'Tong_hop_HQNV_2026Q1_2026-06-23'!$B:$B, "="&amp;'CHECK_DT-BT_chi_tiet'!A16)</f>
        <v>0</v>
      </c>
      <c r="T16" s="7">
        <f>SUMIFS('HQ2'!$C:$C,'HQ2'!$A:$A, "="&amp;'CHECK_DT-BT_chi_tiet'!C16,'HQ2'!$B:$B, "="&amp;'CHECK_DT-BT_chi_tiet'!$S$3)</f>
        <v>0</v>
      </c>
      <c r="U16" s="7">
        <f t="shared" si="5"/>
        <v>0</v>
      </c>
      <c r="V16" s="7">
        <f>SUMIFS('Tong_hop_HQNV_2026Q1_2026-06-23'!$K:$K,'Tong_hop_HQNV_2026Q1_2026-06-23'!$A:$A,"="&amp;$V$2,'Tong_hop_HQNV_2026Q1_2026-06-23'!$B:$B, "="&amp;'CHECK_DT-BT_chi_tiet'!A16)</f>
        <v>0</v>
      </c>
      <c r="W16" s="7">
        <f>SUMIFS('HQ2'!$C:$C,'HQ2'!$A:$A, "="&amp;'CHECK_DT-BT_chi_tiet'!C16,'HQ2'!$B:$B, "="&amp;'CHECK_DT-BT_chi_tiet'!$V$3)</f>
        <v>0</v>
      </c>
      <c r="X16" s="7">
        <f t="shared" si="6"/>
        <v>0</v>
      </c>
      <c r="Y16" s="7">
        <f>SUMIFS('Tong_hop_HQNV_2026Q1_2026-06-23'!$K:$K,'Tong_hop_HQNV_2026Q1_2026-06-23'!$A:$A,"="&amp;$Y$2,'Tong_hop_HQNV_2026Q1_2026-06-23'!$B:$B, "="&amp;'CHECK_DT-BT_chi_tiet'!A16)</f>
        <v>1049150000</v>
      </c>
      <c r="Z16" s="7">
        <f>SUMIFS('HQ2'!$C:$C,'HQ2'!$A:$A, "="&amp;'CHECK_DT-BT_chi_tiet'!C16,'HQ2'!$B:$B, "="&amp;'CHECK_DT-BT_chi_tiet'!$Y$3)</f>
        <v>1049150000</v>
      </c>
      <c r="AA16" s="7">
        <f t="shared" si="7"/>
        <v>0</v>
      </c>
      <c r="AB16" s="7">
        <f>SUMIFS('Tong_hop_HQNV_2026Q1_2026-06-23'!$K:$K,'Tong_hop_HQNV_2026Q1_2026-06-23'!$A:$A,"="&amp;$AB$2,'Tong_hop_HQNV_2026Q1_2026-06-23'!$B:$B, "="&amp;'CHECK_DT-BT_chi_tiet'!A16)</f>
        <v>1629943484</v>
      </c>
      <c r="AC16" s="7">
        <f>SUMIFS('HQ2'!$C:$C,'HQ2'!$A:$A, "="&amp;'CHECK_DT-BT_chi_tiet'!C16,'HQ2'!$B:$B, "="&amp;'CHECK_DT-BT_chi_tiet'!$AB$3)</f>
        <v>1629943484</v>
      </c>
      <c r="AD16" s="7">
        <f t="shared" si="8"/>
        <v>0</v>
      </c>
      <c r="AE16" s="7">
        <f>SUMIFS('Tong_hop_HQNV_2026Q1_2026-06-23'!$K:$K,'Tong_hop_HQNV_2026Q1_2026-06-23'!$A:$A,"="&amp;$AE$2,'Tong_hop_HQNV_2026Q1_2026-06-23'!$B:$B, "="&amp;'CHECK_DT-BT_chi_tiet'!A16)</f>
        <v>96153641</v>
      </c>
      <c r="AF16" s="7">
        <f>SUMIFS('HQ2'!$C:$C,'HQ2'!$A:$A, "="&amp;'CHECK_DT-BT_chi_tiet'!C16,'HQ2'!$B:$B, "="&amp;'CHECK_DT-BT_chi_tiet'!$AE$3)</f>
        <v>96153641</v>
      </c>
      <c r="AG16" s="7">
        <f t="shared" si="9"/>
        <v>0</v>
      </c>
      <c r="AH16" s="7">
        <f>SUMIFS('Tong_hop_HQNV_2026Q1_2026-06-23'!$K:$K,'Tong_hop_HQNV_2026Q1_2026-06-23'!$A:$A,"="&amp;$AH$2,'Tong_hop_HQNV_2026Q1_2026-06-23'!$B:$B, "="&amp;'CHECK_DT-BT_chi_tiet'!A16)</f>
        <v>24038182</v>
      </c>
      <c r="AI16" s="7">
        <f>SUMIFS('HQ2'!$C:$C,'HQ2'!$A:$A, "="&amp;'CHECK_DT-BT_chi_tiet'!C16,'HQ2'!$B:$B, "="&amp;'CHECK_DT-BT_chi_tiet'!$AH$3)</f>
        <v>24038182</v>
      </c>
      <c r="AJ16" s="7">
        <f t="shared" si="10"/>
        <v>0</v>
      </c>
      <c r="AK16" s="7">
        <f>SUMIFS('Tong_hop_HQNV_2026Q1_2026-06-23'!$K:$K,'Tong_hop_HQNV_2026Q1_2026-06-23'!$A:$A,"="&amp;$AK$2,'Tong_hop_HQNV_2026Q1_2026-06-23'!$B:$B, "="&amp;'CHECK_DT-BT_chi_tiet'!A16)</f>
        <v>0</v>
      </c>
      <c r="AL16" s="7">
        <f>SUMIFS('Tong_hop_HQNV_2026Q1_2026-06-23'!$K:$K,'Tong_hop_HQNV_2026Q1_2026-06-23'!$A:$A,"="&amp;$AL$2,'Tong_hop_HQNV_2026Q1_2026-06-23'!$B:$B, "="&amp;'CHECK_DT-BT_chi_tiet'!A16)</f>
        <v>0</v>
      </c>
      <c r="AM16" s="23">
        <f>SUMIFS('Tong_hop_HQNV_2026Q1_2026-06-23'!$L:$L,'Tong_hop_HQNV_2026Q1_2026-06-23'!$B:$B, "="&amp;'CHECK_DT-BT_chi_tiet'!A16, 'Tong_hop_HQNV_2026Q1_2026-06-23'!$A:$A, "="&amp;'CHECK_DT-BT_chi_tiet'!$AM$2)</f>
        <v>6499254500</v>
      </c>
      <c r="AN16" s="29">
        <f>SUMIFS('HQ1'!$D:$D,'HQ1'!$A:$A, "="&amp;'CHECK_DT-BT_chi_tiet'!C16,'HQ1'!$B:$B,"="&amp;'CHECK_DT-BT_chi_tiet'!$AM$3)</f>
        <v>6499254500</v>
      </c>
      <c r="AO16" s="29">
        <f t="shared" si="11"/>
        <v>0</v>
      </c>
      <c r="AP16" s="7">
        <f>SUMIFS('Tong_hop_HQNV_2026Q1_2026-06-23'!$L:$L,'Tong_hop_HQNV_2026Q1_2026-06-23'!$B:$B, "="&amp;'CHECK_DT-BT_chi_tiet'!A16, 'Tong_hop_HQNV_2026Q1_2026-06-23'!$A:$A, "="&amp;'CHECK_DT-BT_chi_tiet'!$AP$2)</f>
        <v>0</v>
      </c>
      <c r="AQ16" s="29">
        <f>SUMIFS('HQ1'!$D:$D,'HQ1'!$A:$A, "="&amp;'CHECK_DT-BT_chi_tiet'!C16,'HQ1'!$B:$B,"="&amp;'CHECK_DT-BT_chi_tiet'!$AP$3)</f>
        <v>0</v>
      </c>
      <c r="AR16" s="7">
        <f t="shared" si="12"/>
        <v>0</v>
      </c>
      <c r="AS16" s="7">
        <f>SUMIFS('Tong_hop_HQNV_2026Q1_2026-06-23'!$L:$L,'Tong_hop_HQNV_2026Q1_2026-06-23'!$B:$B, "="&amp;'CHECK_DT-BT_chi_tiet'!A16, 'Tong_hop_HQNV_2026Q1_2026-06-23'!$A:$A, "="&amp;'CHECK_DT-BT_chi_tiet'!$AS$2)</f>
        <v>3047597238</v>
      </c>
      <c r="AT16" s="29">
        <f>SUMIFS('HQ1'!$D:$D,'HQ1'!$A:$A, "="&amp;'CHECK_DT-BT_chi_tiet'!C16,'HQ1'!$B:$B,"="&amp;'CHECK_DT-BT_chi_tiet'!$AS$3)</f>
        <v>3047597238</v>
      </c>
      <c r="AU16" s="7">
        <f t="shared" si="13"/>
        <v>0</v>
      </c>
      <c r="AV16" s="7">
        <f>SUMIFS('Tong_hop_HQNV_2026Q1_2026-06-23'!$L:$L,'Tong_hop_HQNV_2026Q1_2026-06-23'!$B:$B, "="&amp;'CHECK_DT-BT_chi_tiet'!A16, 'Tong_hop_HQNV_2026Q1_2026-06-23'!$A:$A, "="&amp;'CHECK_DT-BT_chi_tiet'!$AV$2)</f>
        <v>551915489</v>
      </c>
      <c r="AW16" s="29">
        <f>SUMIFS('HQ1'!$D:$D,'HQ1'!$A:$A, "="&amp;'CHECK_DT-BT_chi_tiet'!C16,'HQ1'!$B:$B,"="&amp;'CHECK_DT-BT_chi_tiet'!$AV$3)</f>
        <v>551915489</v>
      </c>
      <c r="AX16" s="7">
        <f t="shared" si="14"/>
        <v>0</v>
      </c>
      <c r="AY16" s="7">
        <f>SUMIFS('Tong_hop_HQNV_2026Q1_2026-06-23'!$L:$L,'Tong_hop_HQNV_2026Q1_2026-06-23'!$B:$B, "="&amp;'CHECK_DT-BT_chi_tiet'!A16, 'Tong_hop_HQNV_2026Q1_2026-06-23'!$A:$A, "="&amp;$AY$2)</f>
        <v>0</v>
      </c>
      <c r="AZ16" s="29">
        <f>SUMIFS('HQ2'!$J:$J,'HQ2'!$A:$A, "="&amp;'CHECK_DT-BT_chi_tiet'!C16,'HQ2'!$B:$B,"="&amp;'CHECK_DT-BT_chi_tiet'!$AY$3)</f>
        <v>0</v>
      </c>
      <c r="BA16" s="7">
        <f t="shared" si="15"/>
        <v>0</v>
      </c>
      <c r="BB16" s="7">
        <f>SUMIFS('Tong_hop_HQNV_2026Q1_2026-06-23'!$L:$L,'Tong_hop_HQNV_2026Q1_2026-06-23'!$B:$B, "="&amp;'CHECK_DT-BT_chi_tiet'!A16, 'Tong_hop_HQNV_2026Q1_2026-06-23'!$A:$A, "="&amp;$BB$2)</f>
        <v>0</v>
      </c>
      <c r="BC16" s="29">
        <f>SUMIFS('HQ2'!$J:$J,'HQ2'!$A:$A, "="&amp;'CHECK_DT-BT_chi_tiet'!C16,'HQ2'!$B:$B,"="&amp;'CHECK_DT-BT_chi_tiet'!$BB$3)</f>
        <v>0</v>
      </c>
      <c r="BD16" s="7">
        <f t="shared" si="16"/>
        <v>0</v>
      </c>
      <c r="BE16" s="7">
        <f>SUMIFS('Tong_hop_HQNV_2026Q1_2026-06-23'!$L:$L,'Tong_hop_HQNV_2026Q1_2026-06-23'!$B:$B, "="&amp;'CHECK_DT-BT_chi_tiet'!A16, 'Tong_hop_HQNV_2026Q1_2026-06-23'!$A:$A, "="&amp;$BE$2)</f>
        <v>0</v>
      </c>
      <c r="BF16" s="29">
        <f>SUMIFS('HQ2'!$J:$J,'HQ2'!$A:$A, "="&amp;'CHECK_DT-BT_chi_tiet'!C16,'HQ2'!$B:$B,"="&amp;'CHECK_DT-BT_chi_tiet'!$BE$3)</f>
        <v>0</v>
      </c>
      <c r="BG16" s="7">
        <f t="shared" si="17"/>
        <v>0</v>
      </c>
      <c r="BH16" s="7">
        <f>SUMIFS('Tong_hop_HQNV_2026Q1_2026-06-23'!$L:$L,'Tong_hop_HQNV_2026Q1_2026-06-23'!$B:$B, "="&amp;'CHECK_DT-BT_chi_tiet'!A16, 'Tong_hop_HQNV_2026Q1_2026-06-23'!$A:$A, "="&amp;$BH$2)</f>
        <v>24375000</v>
      </c>
      <c r="BI16" s="29">
        <f>SUMIFS('HQ2'!$J:$J,'HQ2'!$A:$A, "="&amp;'CHECK_DT-BT_chi_tiet'!C16,'HQ2'!$B:$B,"="&amp;'CHECK_DT-BT_chi_tiet'!$BH$3)</f>
        <v>24375000</v>
      </c>
      <c r="BJ16" s="7">
        <f t="shared" si="18"/>
        <v>0</v>
      </c>
      <c r="BK16" s="7">
        <f>SUMIFS('Tong_hop_HQNV_2026Q1_2026-06-23'!$L:$L,'Tong_hop_HQNV_2026Q1_2026-06-23'!$B:$B, "="&amp;'CHECK_DT-BT_chi_tiet'!A16, 'Tong_hop_HQNV_2026Q1_2026-06-23'!$A:$A, "="&amp;$BK$2)</f>
        <v>0</v>
      </c>
      <c r="BL16" s="29">
        <f>SUMIFS('HQ2'!$J:$J,'HQ2'!$A:$A, "="&amp;'CHECK_DT-BT_chi_tiet'!C16,'HQ2'!$B:$B,"="&amp;'CHECK_DT-BT_chi_tiet'!$BK$3)</f>
        <v>0</v>
      </c>
      <c r="BM16" s="7">
        <f t="shared" si="19"/>
        <v>0</v>
      </c>
      <c r="BN16" s="7">
        <f>SUMIFS('Tong_hop_HQNV_2026Q1_2026-06-23'!$L:$L,'Tong_hop_HQNV_2026Q1_2026-06-23'!$B:$B, "="&amp;'CHECK_DT-BT_chi_tiet'!A16, 'Tong_hop_HQNV_2026Q1_2026-06-23'!$A:$A, "="&amp;$BN$2)</f>
        <v>0</v>
      </c>
      <c r="BO16" s="29">
        <f>SUMIFS('HQ2'!$J:$J,'HQ2'!$A:$A, "="&amp;'CHECK_DT-BT_chi_tiet'!C16,'HQ2'!$B:$B,"="&amp;'CHECK_DT-BT_chi_tiet'!$BN$3)</f>
        <v>0</v>
      </c>
      <c r="BP16" s="7">
        <f t="shared" si="20"/>
        <v>0</v>
      </c>
      <c r="BQ16" s="7">
        <f>SUMIFS('Tong_hop_HQNV_2026Q1_2026-06-23'!$L:$L,'Tong_hop_HQNV_2026Q1_2026-06-23'!$B:$B, "="&amp;'CHECK_DT-BT_chi_tiet'!A16, 'Tong_hop_HQNV_2026Q1_2026-06-23'!$A:$A, "="&amp;$BQ$2)</f>
        <v>0</v>
      </c>
      <c r="BR16" s="29">
        <f>SUMIFS('HQ2'!$J:$J,'HQ2'!$A:$A, "="&amp;'CHECK_DT-BT_chi_tiet'!C16,'HQ2'!$B:$B,"="&amp;'CHECK_DT-BT_chi_tiet'!$BQ$3)</f>
        <v>0</v>
      </c>
      <c r="BS16" s="7">
        <f t="shared" si="21"/>
        <v>0</v>
      </c>
      <c r="BT16" s="7">
        <f>SUMIFS('Tong_hop_HQNV_2026Q1_2026-06-23'!$L:$L,'Tong_hop_HQNV_2026Q1_2026-06-23'!$B:$B, "="&amp;'CHECK_DT-BT_chi_tiet'!A16, 'Tong_hop_HQNV_2026Q1_2026-06-23'!$A:$A, "="&amp;$BT$2)</f>
        <v>0</v>
      </c>
      <c r="BU16" s="7">
        <f>SUMIFS('Tong_hop_HQNV_2026Q1_2026-06-23'!$L:$L,'Tong_hop_HQNV_2026Q1_2026-06-23'!$B:$B, "="&amp;'CHECK_DT-BT_chi_tiet'!A16, 'Tong_hop_HQNV_2026Q1_2026-06-23'!$A:$A, "="&amp;$BU$2)</f>
        <v>0</v>
      </c>
    </row>
    <row r="17" spans="1:73" x14ac:dyDescent="0.25">
      <c r="A17" s="9" t="s">
        <v>297</v>
      </c>
      <c r="B17" t="s">
        <v>155</v>
      </c>
      <c r="C17" t="s">
        <v>106</v>
      </c>
      <c r="D17" s="7">
        <f>SUMIFS('Tong_hop_HQNV_2026Q1_2026-06-23'!$K:$K,'Tong_hop_HQNV_2026Q1_2026-06-23'!$A:$A,"="&amp;'CHECK_DT-BT_chi_tiet'!$D$2,'Tong_hop_HQNV_2026Q1_2026-06-23'!$B:$B, "="&amp;'CHECK_DT-BT_chi_tiet'!A17)</f>
        <v>1263057320</v>
      </c>
      <c r="E17" s="7">
        <f>SUMIFS('HQ1'!$C:$C,'HQ1'!$A:$A, "="&amp;'CHECK_DT-BT_chi_tiet'!C17,'HQ1'!$B:$B, "="&amp;'CHECK_DT-BT_chi_tiet'!$D$3)</f>
        <v>1263057320</v>
      </c>
      <c r="F17" s="7">
        <f t="shared" si="0"/>
        <v>0</v>
      </c>
      <c r="G17" s="7">
        <f>SUMIFS('Tong_hop_HQNV_2026Q1_2026-06-23'!$K:$K,'Tong_hop_HQNV_2026Q1_2026-06-23'!$A:$A,"="&amp;'CHECK_DT-BT_chi_tiet'!$G$2,'Tong_hop_HQNV_2026Q1_2026-06-23'!$B:$B, "="&amp;'CHECK_DT-BT_chi_tiet'!A17)</f>
        <v>1352000</v>
      </c>
      <c r="H17" s="7">
        <f>SUMIFS('HQ1'!$C:$C,'HQ1'!$A:$A, "="&amp;'CHECK_DT-BT_chi_tiet'!C17,'HQ1'!$B:$B, "="&amp;'CHECK_DT-BT_chi_tiet'!$G$3)</f>
        <v>1352000</v>
      </c>
      <c r="I17" s="7">
        <f t="shared" si="1"/>
        <v>0</v>
      </c>
      <c r="J17" s="7">
        <f>SUMIFS('Tong_hop_HQNV_2026Q1_2026-06-23'!$K:$K,'Tong_hop_HQNV_2026Q1_2026-06-23'!$A:$A,"="&amp;'CHECK_DT-BT_chi_tiet'!$J$2,'Tong_hop_HQNV_2026Q1_2026-06-23'!$B:$B, "="&amp;'CHECK_DT-BT_chi_tiet'!A17)</f>
        <v>2900145301</v>
      </c>
      <c r="K17" s="7">
        <f>SUMIFS('HQ1'!$C:$C,'HQ1'!$A:$A, "="&amp;'CHECK_DT-BT_chi_tiet'!C17,'HQ1'!$B:$B, "="&amp;'CHECK_DT-BT_chi_tiet'!$J$3)</f>
        <v>2900145301</v>
      </c>
      <c r="L17" s="7">
        <f t="shared" si="2"/>
        <v>0</v>
      </c>
      <c r="M17" s="7">
        <f>SUMIFS('Tong_hop_HQNV_2026Q1_2026-06-23'!$K:$K,'Tong_hop_HQNV_2026Q1_2026-06-23'!$A:$A,"="&amp;'CHECK_DT-BT_chi_tiet'!$M$2,'Tong_hop_HQNV_2026Q1_2026-06-23'!$B:$B, "="&amp;'CHECK_DT-BT_chi_tiet'!A17)</f>
        <v>817871273</v>
      </c>
      <c r="N17" s="7">
        <f>SUMIFS('HQ1'!$C:$C,'HQ1'!$A:$A, "="&amp;'CHECK_DT-BT_chi_tiet'!C17,'HQ1'!$B:$B, "="&amp;'CHECK_DT-BT_chi_tiet'!$M$3)</f>
        <v>817871273</v>
      </c>
      <c r="O17" s="7">
        <f t="shared" si="3"/>
        <v>0</v>
      </c>
      <c r="P17" s="7">
        <f>SUMIFS('Tong_hop_HQNV_2026Q1_2026-06-23'!$K:$K,'Tong_hop_HQNV_2026Q1_2026-06-23'!$A:$A,"="&amp;$P$2,'Tong_hop_HQNV_2026Q1_2026-06-23'!$B:$B, "="&amp;'CHECK_DT-BT_chi_tiet'!A17)</f>
        <v>413154312</v>
      </c>
      <c r="Q17" s="7">
        <f>SUMIFS('HQ2'!$C:$C,'HQ2'!$A:$A, "="&amp;'CHECK_DT-BT_chi_tiet'!C17,'HQ2'!$B:$B, "="&amp;'CHECK_DT-BT_chi_tiet'!$P$3)</f>
        <v>413154312</v>
      </c>
      <c r="R17" s="7">
        <f t="shared" si="4"/>
        <v>0</v>
      </c>
      <c r="S17" s="7">
        <f>SUMIFS('Tong_hop_HQNV_2026Q1_2026-06-23'!$K:$K,'Tong_hop_HQNV_2026Q1_2026-06-23'!$A:$A,"="&amp;$S$2,'Tong_hop_HQNV_2026Q1_2026-06-23'!$B:$B, "="&amp;'CHECK_DT-BT_chi_tiet'!A17)</f>
        <v>0</v>
      </c>
      <c r="T17" s="7">
        <f>SUMIFS('HQ2'!$C:$C,'HQ2'!$A:$A, "="&amp;'CHECK_DT-BT_chi_tiet'!C17,'HQ2'!$B:$B, "="&amp;'CHECK_DT-BT_chi_tiet'!$S$3)</f>
        <v>0</v>
      </c>
      <c r="U17" s="7">
        <f t="shared" si="5"/>
        <v>0</v>
      </c>
      <c r="V17" s="7">
        <f>SUMIFS('Tong_hop_HQNV_2026Q1_2026-06-23'!$K:$K,'Tong_hop_HQNV_2026Q1_2026-06-23'!$A:$A,"="&amp;$V$2,'Tong_hop_HQNV_2026Q1_2026-06-23'!$B:$B, "="&amp;'CHECK_DT-BT_chi_tiet'!A17)</f>
        <v>0</v>
      </c>
      <c r="W17" s="7">
        <f>SUMIFS('HQ2'!$C:$C,'HQ2'!$A:$A, "="&amp;'CHECK_DT-BT_chi_tiet'!C17,'HQ2'!$B:$B, "="&amp;'CHECK_DT-BT_chi_tiet'!$V$3)</f>
        <v>0</v>
      </c>
      <c r="X17" s="7">
        <f t="shared" si="6"/>
        <v>0</v>
      </c>
      <c r="Y17" s="7">
        <f>SUMIFS('Tong_hop_HQNV_2026Q1_2026-06-23'!$K:$K,'Tong_hop_HQNV_2026Q1_2026-06-23'!$A:$A,"="&amp;$Y$2,'Tong_hop_HQNV_2026Q1_2026-06-23'!$B:$B, "="&amp;'CHECK_DT-BT_chi_tiet'!A17)</f>
        <v>404028934</v>
      </c>
      <c r="Z17" s="7">
        <f>SUMIFS('HQ2'!$C:$C,'HQ2'!$A:$A, "="&amp;'CHECK_DT-BT_chi_tiet'!C17,'HQ2'!$B:$B, "="&amp;'CHECK_DT-BT_chi_tiet'!$Y$3)</f>
        <v>404028934</v>
      </c>
      <c r="AA17" s="7">
        <f t="shared" si="7"/>
        <v>0</v>
      </c>
      <c r="AB17" s="7">
        <f>SUMIFS('Tong_hop_HQNV_2026Q1_2026-06-23'!$K:$K,'Tong_hop_HQNV_2026Q1_2026-06-23'!$A:$A,"="&amp;$AB$2,'Tong_hop_HQNV_2026Q1_2026-06-23'!$B:$B, "="&amp;'CHECK_DT-BT_chi_tiet'!A17)</f>
        <v>369894391</v>
      </c>
      <c r="AC17" s="7">
        <f>SUMIFS('HQ2'!$C:$C,'HQ2'!$A:$A, "="&amp;'CHECK_DT-BT_chi_tiet'!C17,'HQ2'!$B:$B, "="&amp;'CHECK_DT-BT_chi_tiet'!$AB$3)</f>
        <v>369894391</v>
      </c>
      <c r="AD17" s="7">
        <f t="shared" si="8"/>
        <v>0</v>
      </c>
      <c r="AE17" s="7">
        <f>SUMIFS('Tong_hop_HQNV_2026Q1_2026-06-23'!$K:$K,'Tong_hop_HQNV_2026Q1_2026-06-23'!$A:$A,"="&amp;$AE$2,'Tong_hop_HQNV_2026Q1_2026-06-23'!$B:$B, "="&amp;'CHECK_DT-BT_chi_tiet'!A17)</f>
        <v>21768521</v>
      </c>
      <c r="AF17" s="7">
        <f>SUMIFS('HQ2'!$C:$C,'HQ2'!$A:$A, "="&amp;'CHECK_DT-BT_chi_tiet'!C17,'HQ2'!$B:$B, "="&amp;'CHECK_DT-BT_chi_tiet'!$AE$3)</f>
        <v>21768521</v>
      </c>
      <c r="AG17" s="7">
        <f t="shared" si="9"/>
        <v>0</v>
      </c>
      <c r="AH17" s="7">
        <f>SUMIFS('Tong_hop_HQNV_2026Q1_2026-06-23'!$K:$K,'Tong_hop_HQNV_2026Q1_2026-06-23'!$A:$A,"="&amp;$AH$2,'Tong_hop_HQNV_2026Q1_2026-06-23'!$B:$B, "="&amp;'CHECK_DT-BT_chi_tiet'!A17)</f>
        <v>0</v>
      </c>
      <c r="AI17" s="7">
        <f>SUMIFS('HQ2'!$C:$C,'HQ2'!$A:$A, "="&amp;'CHECK_DT-BT_chi_tiet'!C17,'HQ2'!$B:$B, "="&amp;'CHECK_DT-BT_chi_tiet'!$AH$3)</f>
        <v>0</v>
      </c>
      <c r="AJ17" s="7">
        <f t="shared" si="10"/>
        <v>0</v>
      </c>
      <c r="AK17" s="7">
        <f>SUMIFS('Tong_hop_HQNV_2026Q1_2026-06-23'!$K:$K,'Tong_hop_HQNV_2026Q1_2026-06-23'!$A:$A,"="&amp;$AK$2,'Tong_hop_HQNV_2026Q1_2026-06-23'!$B:$B, "="&amp;'CHECK_DT-BT_chi_tiet'!A17)</f>
        <v>0</v>
      </c>
      <c r="AL17" s="7">
        <f>SUMIFS('Tong_hop_HQNV_2026Q1_2026-06-23'!$K:$K,'Tong_hop_HQNV_2026Q1_2026-06-23'!$A:$A,"="&amp;$AL$2,'Tong_hop_HQNV_2026Q1_2026-06-23'!$B:$B, "="&amp;'CHECK_DT-BT_chi_tiet'!A17)</f>
        <v>0</v>
      </c>
      <c r="AM17" s="23">
        <f>SUMIFS('Tong_hop_HQNV_2026Q1_2026-06-23'!$L:$L,'Tong_hop_HQNV_2026Q1_2026-06-23'!$B:$B, "="&amp;'CHECK_DT-BT_chi_tiet'!A17, 'Tong_hop_HQNV_2026Q1_2026-06-23'!$A:$A, "="&amp;'CHECK_DT-BT_chi_tiet'!$AM$2)</f>
        <v>1183759602</v>
      </c>
      <c r="AN17" s="29">
        <f>SUMIFS('HQ1'!$D:$D,'HQ1'!$A:$A, "="&amp;'CHECK_DT-BT_chi_tiet'!C17,'HQ1'!$B:$B,"="&amp;'CHECK_DT-BT_chi_tiet'!$AM$3)</f>
        <v>1183759602</v>
      </c>
      <c r="AO17" s="29">
        <f t="shared" si="11"/>
        <v>0</v>
      </c>
      <c r="AP17" s="7">
        <f>SUMIFS('Tong_hop_HQNV_2026Q1_2026-06-23'!$L:$L,'Tong_hop_HQNV_2026Q1_2026-06-23'!$B:$B, "="&amp;'CHECK_DT-BT_chi_tiet'!A17, 'Tong_hop_HQNV_2026Q1_2026-06-23'!$A:$A, "="&amp;'CHECK_DT-BT_chi_tiet'!$AP$2)</f>
        <v>0</v>
      </c>
      <c r="AQ17" s="29">
        <f>SUMIFS('HQ1'!$D:$D,'HQ1'!$A:$A, "="&amp;'CHECK_DT-BT_chi_tiet'!C17,'HQ1'!$B:$B,"="&amp;'CHECK_DT-BT_chi_tiet'!$AP$3)</f>
        <v>0</v>
      </c>
      <c r="AR17" s="7">
        <f t="shared" si="12"/>
        <v>0</v>
      </c>
      <c r="AS17" s="7">
        <f>SUMIFS('Tong_hop_HQNV_2026Q1_2026-06-23'!$L:$L,'Tong_hop_HQNV_2026Q1_2026-06-23'!$B:$B, "="&amp;'CHECK_DT-BT_chi_tiet'!A17, 'Tong_hop_HQNV_2026Q1_2026-06-23'!$A:$A, "="&amp;'CHECK_DT-BT_chi_tiet'!$AS$2)</f>
        <v>893161298</v>
      </c>
      <c r="AT17" s="29">
        <f>SUMIFS('HQ1'!$D:$D,'HQ1'!$A:$A, "="&amp;'CHECK_DT-BT_chi_tiet'!C17,'HQ1'!$B:$B,"="&amp;'CHECK_DT-BT_chi_tiet'!$AS$3)</f>
        <v>893161298</v>
      </c>
      <c r="AU17" s="7">
        <f t="shared" si="13"/>
        <v>0</v>
      </c>
      <c r="AV17" s="7">
        <f>SUMIFS('Tong_hop_HQNV_2026Q1_2026-06-23'!$L:$L,'Tong_hop_HQNV_2026Q1_2026-06-23'!$B:$B, "="&amp;'CHECK_DT-BT_chi_tiet'!A17, 'Tong_hop_HQNV_2026Q1_2026-06-23'!$A:$A, "="&amp;'CHECK_DT-BT_chi_tiet'!$AV$2)</f>
        <v>249910499</v>
      </c>
      <c r="AW17" s="29">
        <f>SUMIFS('HQ1'!$D:$D,'HQ1'!$A:$A, "="&amp;'CHECK_DT-BT_chi_tiet'!C17,'HQ1'!$B:$B,"="&amp;'CHECK_DT-BT_chi_tiet'!$AV$3)</f>
        <v>249910499</v>
      </c>
      <c r="AX17" s="7">
        <f t="shared" si="14"/>
        <v>0</v>
      </c>
      <c r="AY17" s="7">
        <f>SUMIFS('Tong_hop_HQNV_2026Q1_2026-06-23'!$L:$L,'Tong_hop_HQNV_2026Q1_2026-06-23'!$B:$B, "="&amp;'CHECK_DT-BT_chi_tiet'!A17, 'Tong_hop_HQNV_2026Q1_2026-06-23'!$A:$A, "="&amp;$AY$2)</f>
        <v>0</v>
      </c>
      <c r="AZ17" s="29">
        <f>SUMIFS('HQ2'!$J:$J,'HQ2'!$A:$A, "="&amp;'CHECK_DT-BT_chi_tiet'!C17,'HQ2'!$B:$B,"="&amp;'CHECK_DT-BT_chi_tiet'!$AY$3)</f>
        <v>0</v>
      </c>
      <c r="BA17" s="7">
        <f t="shared" si="15"/>
        <v>0</v>
      </c>
      <c r="BB17" s="7">
        <f>SUMIFS('Tong_hop_HQNV_2026Q1_2026-06-23'!$L:$L,'Tong_hop_HQNV_2026Q1_2026-06-23'!$B:$B, "="&amp;'CHECK_DT-BT_chi_tiet'!A17, 'Tong_hop_HQNV_2026Q1_2026-06-23'!$A:$A, "="&amp;$BB$2)</f>
        <v>0</v>
      </c>
      <c r="BC17" s="29">
        <f>SUMIFS('HQ2'!$J:$J,'HQ2'!$A:$A, "="&amp;'CHECK_DT-BT_chi_tiet'!C17,'HQ2'!$B:$B,"="&amp;'CHECK_DT-BT_chi_tiet'!$BB$3)</f>
        <v>0</v>
      </c>
      <c r="BD17" s="7">
        <f t="shared" si="16"/>
        <v>0</v>
      </c>
      <c r="BE17" s="7">
        <f>SUMIFS('Tong_hop_HQNV_2026Q1_2026-06-23'!$L:$L,'Tong_hop_HQNV_2026Q1_2026-06-23'!$B:$B, "="&amp;'CHECK_DT-BT_chi_tiet'!A17, 'Tong_hop_HQNV_2026Q1_2026-06-23'!$A:$A, "="&amp;$BE$2)</f>
        <v>0</v>
      </c>
      <c r="BF17" s="29">
        <f>SUMIFS('HQ2'!$J:$J,'HQ2'!$A:$A, "="&amp;'CHECK_DT-BT_chi_tiet'!C17,'HQ2'!$B:$B,"="&amp;'CHECK_DT-BT_chi_tiet'!$BE$3)</f>
        <v>0</v>
      </c>
      <c r="BG17" s="7">
        <f t="shared" si="17"/>
        <v>0</v>
      </c>
      <c r="BH17" s="7">
        <f>SUMIFS('Tong_hop_HQNV_2026Q1_2026-06-23'!$L:$L,'Tong_hop_HQNV_2026Q1_2026-06-23'!$B:$B, "="&amp;'CHECK_DT-BT_chi_tiet'!A17, 'Tong_hop_HQNV_2026Q1_2026-06-23'!$A:$A, "="&amp;$BH$2)</f>
        <v>3000000</v>
      </c>
      <c r="BI17" s="29">
        <f>SUMIFS('HQ2'!$J:$J,'HQ2'!$A:$A, "="&amp;'CHECK_DT-BT_chi_tiet'!C17,'HQ2'!$B:$B,"="&amp;'CHECK_DT-BT_chi_tiet'!$BH$3)</f>
        <v>3000000</v>
      </c>
      <c r="BJ17" s="7">
        <f t="shared" si="18"/>
        <v>0</v>
      </c>
      <c r="BK17" s="7">
        <f>SUMIFS('Tong_hop_HQNV_2026Q1_2026-06-23'!$L:$L,'Tong_hop_HQNV_2026Q1_2026-06-23'!$B:$B, "="&amp;'CHECK_DT-BT_chi_tiet'!A17, 'Tong_hop_HQNV_2026Q1_2026-06-23'!$A:$A, "="&amp;$BK$2)</f>
        <v>0</v>
      </c>
      <c r="BL17" s="29">
        <f>SUMIFS('HQ2'!$J:$J,'HQ2'!$A:$A, "="&amp;'CHECK_DT-BT_chi_tiet'!C17,'HQ2'!$B:$B,"="&amp;'CHECK_DT-BT_chi_tiet'!$BK$3)</f>
        <v>0</v>
      </c>
      <c r="BM17" s="7">
        <f t="shared" si="19"/>
        <v>0</v>
      </c>
      <c r="BN17" s="7">
        <f>SUMIFS('Tong_hop_HQNV_2026Q1_2026-06-23'!$L:$L,'Tong_hop_HQNV_2026Q1_2026-06-23'!$B:$B, "="&amp;'CHECK_DT-BT_chi_tiet'!A17, 'Tong_hop_HQNV_2026Q1_2026-06-23'!$A:$A, "="&amp;$BN$2)</f>
        <v>0</v>
      </c>
      <c r="BO17" s="29">
        <f>SUMIFS('HQ2'!$J:$J,'HQ2'!$A:$A, "="&amp;'CHECK_DT-BT_chi_tiet'!C17,'HQ2'!$B:$B,"="&amp;'CHECK_DT-BT_chi_tiet'!$BN$3)</f>
        <v>0</v>
      </c>
      <c r="BP17" s="7">
        <f t="shared" si="20"/>
        <v>0</v>
      </c>
      <c r="BQ17" s="7">
        <f>SUMIFS('Tong_hop_HQNV_2026Q1_2026-06-23'!$L:$L,'Tong_hop_HQNV_2026Q1_2026-06-23'!$B:$B, "="&amp;'CHECK_DT-BT_chi_tiet'!A17, 'Tong_hop_HQNV_2026Q1_2026-06-23'!$A:$A, "="&amp;$BQ$2)</f>
        <v>0</v>
      </c>
      <c r="BR17" s="29">
        <f>SUMIFS('HQ2'!$J:$J,'HQ2'!$A:$A, "="&amp;'CHECK_DT-BT_chi_tiet'!C17,'HQ2'!$B:$B,"="&amp;'CHECK_DT-BT_chi_tiet'!$BQ$3)</f>
        <v>0</v>
      </c>
      <c r="BS17" s="7">
        <f t="shared" si="21"/>
        <v>0</v>
      </c>
      <c r="BT17" s="7">
        <f>SUMIFS('Tong_hop_HQNV_2026Q1_2026-06-23'!$L:$L,'Tong_hop_HQNV_2026Q1_2026-06-23'!$B:$B, "="&amp;'CHECK_DT-BT_chi_tiet'!A17, 'Tong_hop_HQNV_2026Q1_2026-06-23'!$A:$A, "="&amp;$BT$2)</f>
        <v>0</v>
      </c>
      <c r="BU17" s="7">
        <f>SUMIFS('Tong_hop_HQNV_2026Q1_2026-06-23'!$L:$L,'Tong_hop_HQNV_2026Q1_2026-06-23'!$B:$B, "="&amp;'CHECK_DT-BT_chi_tiet'!A17, 'Tong_hop_HQNV_2026Q1_2026-06-23'!$A:$A, "="&amp;$BU$2)</f>
        <v>0</v>
      </c>
    </row>
    <row r="18" spans="1:73" x14ac:dyDescent="0.25">
      <c r="A18" s="9" t="s">
        <v>298</v>
      </c>
      <c r="B18" t="s">
        <v>156</v>
      </c>
      <c r="C18" t="s">
        <v>83</v>
      </c>
      <c r="D18" s="7">
        <f>SUMIFS('Tong_hop_HQNV_2026Q1_2026-06-23'!$K:$K,'Tong_hop_HQNV_2026Q1_2026-06-23'!$A:$A,"="&amp;'CHECK_DT-BT_chi_tiet'!$D$2,'Tong_hop_HQNV_2026Q1_2026-06-23'!$B:$B, "="&amp;'CHECK_DT-BT_chi_tiet'!A18)</f>
        <v>1394803753</v>
      </c>
      <c r="E18" s="7">
        <f>SUMIFS('HQ1'!$C:$C,'HQ1'!$A:$A, "="&amp;'CHECK_DT-BT_chi_tiet'!C18,'HQ1'!$B:$B, "="&amp;'CHECK_DT-BT_chi_tiet'!$D$3)</f>
        <v>1394803753</v>
      </c>
      <c r="F18" s="7">
        <f t="shared" si="0"/>
        <v>0</v>
      </c>
      <c r="G18" s="7">
        <f>SUMIFS('Tong_hop_HQNV_2026Q1_2026-06-23'!$K:$K,'Tong_hop_HQNV_2026Q1_2026-06-23'!$A:$A,"="&amp;'CHECK_DT-BT_chi_tiet'!$G$2,'Tong_hop_HQNV_2026Q1_2026-06-23'!$B:$B, "="&amp;'CHECK_DT-BT_chi_tiet'!A18)</f>
        <v>94598600</v>
      </c>
      <c r="H18" s="7">
        <f>SUMIFS('HQ1'!$C:$C,'HQ1'!$A:$A, "="&amp;'CHECK_DT-BT_chi_tiet'!C18,'HQ1'!$B:$B, "="&amp;'CHECK_DT-BT_chi_tiet'!$G$3)</f>
        <v>94598600</v>
      </c>
      <c r="I18" s="7">
        <f t="shared" si="1"/>
        <v>0</v>
      </c>
      <c r="J18" s="7">
        <f>SUMIFS('Tong_hop_HQNV_2026Q1_2026-06-23'!$K:$K,'Tong_hop_HQNV_2026Q1_2026-06-23'!$A:$A,"="&amp;'CHECK_DT-BT_chi_tiet'!$J$2,'Tong_hop_HQNV_2026Q1_2026-06-23'!$B:$B, "="&amp;'CHECK_DT-BT_chi_tiet'!A18)</f>
        <v>15104557335</v>
      </c>
      <c r="K18" s="7">
        <f>SUMIFS('HQ1'!$C:$C,'HQ1'!$A:$A, "="&amp;'CHECK_DT-BT_chi_tiet'!C18,'HQ1'!$B:$B, "="&amp;'CHECK_DT-BT_chi_tiet'!$J$3)</f>
        <v>15104557335</v>
      </c>
      <c r="L18" s="7">
        <f t="shared" si="2"/>
        <v>0</v>
      </c>
      <c r="M18" s="7">
        <f>SUMIFS('Tong_hop_HQNV_2026Q1_2026-06-23'!$K:$K,'Tong_hop_HQNV_2026Q1_2026-06-23'!$A:$A,"="&amp;'CHECK_DT-BT_chi_tiet'!$M$2,'Tong_hop_HQNV_2026Q1_2026-06-23'!$B:$B, "="&amp;'CHECK_DT-BT_chi_tiet'!A18)</f>
        <v>4874623654</v>
      </c>
      <c r="N18" s="7">
        <f>SUMIFS('HQ1'!$C:$C,'HQ1'!$A:$A, "="&amp;'CHECK_DT-BT_chi_tiet'!C18,'HQ1'!$B:$B, "="&amp;'CHECK_DT-BT_chi_tiet'!$M$3)</f>
        <v>4874623654</v>
      </c>
      <c r="O18" s="7">
        <f t="shared" si="3"/>
        <v>0</v>
      </c>
      <c r="P18" s="7">
        <f>SUMIFS('Tong_hop_HQNV_2026Q1_2026-06-23'!$K:$K,'Tong_hop_HQNV_2026Q1_2026-06-23'!$A:$A,"="&amp;$P$2,'Tong_hop_HQNV_2026Q1_2026-06-23'!$B:$B, "="&amp;'CHECK_DT-BT_chi_tiet'!A18)</f>
        <v>196514590</v>
      </c>
      <c r="Q18" s="7">
        <f>SUMIFS('HQ2'!$C:$C,'HQ2'!$A:$A, "="&amp;'CHECK_DT-BT_chi_tiet'!C18,'HQ2'!$B:$B, "="&amp;'CHECK_DT-BT_chi_tiet'!$P$3)</f>
        <v>196514590</v>
      </c>
      <c r="R18" s="7">
        <f t="shared" si="4"/>
        <v>0</v>
      </c>
      <c r="S18" s="7">
        <f>SUMIFS('Tong_hop_HQNV_2026Q1_2026-06-23'!$K:$K,'Tong_hop_HQNV_2026Q1_2026-06-23'!$A:$A,"="&amp;$S$2,'Tong_hop_HQNV_2026Q1_2026-06-23'!$B:$B, "="&amp;'CHECK_DT-BT_chi_tiet'!A18)</f>
        <v>0</v>
      </c>
      <c r="T18" s="7">
        <f>SUMIFS('HQ2'!$C:$C,'HQ2'!$A:$A, "="&amp;'CHECK_DT-BT_chi_tiet'!C18,'HQ2'!$B:$B, "="&amp;'CHECK_DT-BT_chi_tiet'!$S$3)</f>
        <v>0</v>
      </c>
      <c r="U18" s="7">
        <f t="shared" si="5"/>
        <v>0</v>
      </c>
      <c r="V18" s="7">
        <f>SUMIFS('Tong_hop_HQNV_2026Q1_2026-06-23'!$K:$K,'Tong_hop_HQNV_2026Q1_2026-06-23'!$A:$A,"="&amp;$V$2,'Tong_hop_HQNV_2026Q1_2026-06-23'!$B:$B, "="&amp;'CHECK_DT-BT_chi_tiet'!A18)</f>
        <v>0</v>
      </c>
      <c r="W18" s="7">
        <f>SUMIFS('HQ2'!$C:$C,'HQ2'!$A:$A, "="&amp;'CHECK_DT-BT_chi_tiet'!C18,'HQ2'!$B:$B, "="&amp;'CHECK_DT-BT_chi_tiet'!$V$3)</f>
        <v>0</v>
      </c>
      <c r="X18" s="7">
        <f t="shared" si="6"/>
        <v>0</v>
      </c>
      <c r="Y18" s="7">
        <f>SUMIFS('Tong_hop_HQNV_2026Q1_2026-06-23'!$K:$K,'Tong_hop_HQNV_2026Q1_2026-06-23'!$A:$A,"="&amp;$Y$2,'Tong_hop_HQNV_2026Q1_2026-06-23'!$B:$B, "="&amp;'CHECK_DT-BT_chi_tiet'!A18)</f>
        <v>669903148</v>
      </c>
      <c r="Z18" s="7">
        <f>SUMIFS('HQ2'!$C:$C,'HQ2'!$A:$A, "="&amp;'CHECK_DT-BT_chi_tiet'!C18,'HQ2'!$B:$B, "="&amp;'CHECK_DT-BT_chi_tiet'!$Y$3)</f>
        <v>669903148</v>
      </c>
      <c r="AA18" s="7">
        <f t="shared" si="7"/>
        <v>0</v>
      </c>
      <c r="AB18" s="7">
        <f>SUMIFS('Tong_hop_HQNV_2026Q1_2026-06-23'!$K:$K,'Tong_hop_HQNV_2026Q1_2026-06-23'!$A:$A,"="&amp;$AB$2,'Tong_hop_HQNV_2026Q1_2026-06-23'!$B:$B, "="&amp;'CHECK_DT-BT_chi_tiet'!A18)</f>
        <v>2350120135</v>
      </c>
      <c r="AC18" s="7">
        <f>SUMIFS('HQ2'!$C:$C,'HQ2'!$A:$A, "="&amp;'CHECK_DT-BT_chi_tiet'!C18,'HQ2'!$B:$B, "="&amp;'CHECK_DT-BT_chi_tiet'!$AB$3)</f>
        <v>2350120135</v>
      </c>
      <c r="AD18" s="7">
        <f t="shared" si="8"/>
        <v>0</v>
      </c>
      <c r="AE18" s="7">
        <f>SUMIFS('Tong_hop_HQNV_2026Q1_2026-06-23'!$K:$K,'Tong_hop_HQNV_2026Q1_2026-06-23'!$A:$A,"="&amp;$AE$2,'Tong_hop_HQNV_2026Q1_2026-06-23'!$B:$B, "="&amp;'CHECK_DT-BT_chi_tiet'!A18)</f>
        <v>172927811</v>
      </c>
      <c r="AF18" s="7">
        <f>SUMIFS('HQ2'!$C:$C,'HQ2'!$A:$A, "="&amp;'CHECK_DT-BT_chi_tiet'!C18,'HQ2'!$B:$B, "="&amp;'CHECK_DT-BT_chi_tiet'!$AE$3)</f>
        <v>172927811</v>
      </c>
      <c r="AG18" s="7">
        <f t="shared" si="9"/>
        <v>0</v>
      </c>
      <c r="AH18" s="7">
        <f>SUMIFS('Tong_hop_HQNV_2026Q1_2026-06-23'!$K:$K,'Tong_hop_HQNV_2026Q1_2026-06-23'!$A:$A,"="&amp;$AH$2,'Tong_hop_HQNV_2026Q1_2026-06-23'!$B:$B, "="&amp;'CHECK_DT-BT_chi_tiet'!A18)</f>
        <v>137526364</v>
      </c>
      <c r="AI18" s="7">
        <f>SUMIFS('HQ2'!$C:$C,'HQ2'!$A:$A, "="&amp;'CHECK_DT-BT_chi_tiet'!C18,'HQ2'!$B:$B, "="&amp;'CHECK_DT-BT_chi_tiet'!$AH$3)</f>
        <v>137526364</v>
      </c>
      <c r="AJ18" s="7">
        <f t="shared" si="10"/>
        <v>0</v>
      </c>
      <c r="AK18" s="7">
        <f>SUMIFS('Tong_hop_HQNV_2026Q1_2026-06-23'!$K:$K,'Tong_hop_HQNV_2026Q1_2026-06-23'!$A:$A,"="&amp;$AK$2,'Tong_hop_HQNV_2026Q1_2026-06-23'!$B:$B, "="&amp;'CHECK_DT-BT_chi_tiet'!A18)</f>
        <v>0</v>
      </c>
      <c r="AL18" s="7">
        <f>SUMIFS('Tong_hop_HQNV_2026Q1_2026-06-23'!$K:$K,'Tong_hop_HQNV_2026Q1_2026-06-23'!$A:$A,"="&amp;$AL$2,'Tong_hop_HQNV_2026Q1_2026-06-23'!$B:$B, "="&amp;'CHECK_DT-BT_chi_tiet'!A18)</f>
        <v>0</v>
      </c>
      <c r="AM18" s="23">
        <f>SUMIFS('Tong_hop_HQNV_2026Q1_2026-06-23'!$L:$L,'Tong_hop_HQNV_2026Q1_2026-06-23'!$B:$B, "="&amp;'CHECK_DT-BT_chi_tiet'!A18, 'Tong_hop_HQNV_2026Q1_2026-06-23'!$A:$A, "="&amp;'CHECK_DT-BT_chi_tiet'!$AM$2)</f>
        <v>1750244000</v>
      </c>
      <c r="AN18" s="29">
        <f>SUMIFS('HQ1'!$D:$D,'HQ1'!$A:$A, "="&amp;'CHECK_DT-BT_chi_tiet'!C18,'HQ1'!$B:$B,"="&amp;'CHECK_DT-BT_chi_tiet'!$AM$3)</f>
        <v>1750244000</v>
      </c>
      <c r="AO18" s="29">
        <f t="shared" si="11"/>
        <v>0</v>
      </c>
      <c r="AP18" s="7">
        <f>SUMIFS('Tong_hop_HQNV_2026Q1_2026-06-23'!$L:$L,'Tong_hop_HQNV_2026Q1_2026-06-23'!$B:$B, "="&amp;'CHECK_DT-BT_chi_tiet'!A18, 'Tong_hop_HQNV_2026Q1_2026-06-23'!$A:$A, "="&amp;'CHECK_DT-BT_chi_tiet'!$AP$2)</f>
        <v>0</v>
      </c>
      <c r="AQ18" s="29">
        <f>SUMIFS('HQ1'!$D:$D,'HQ1'!$A:$A, "="&amp;'CHECK_DT-BT_chi_tiet'!C18,'HQ1'!$B:$B,"="&amp;'CHECK_DT-BT_chi_tiet'!$AP$3)</f>
        <v>0</v>
      </c>
      <c r="AR18" s="7">
        <f t="shared" si="12"/>
        <v>0</v>
      </c>
      <c r="AS18" s="7">
        <f>SUMIFS('Tong_hop_HQNV_2026Q1_2026-06-23'!$L:$L,'Tong_hop_HQNV_2026Q1_2026-06-23'!$B:$B, "="&amp;'CHECK_DT-BT_chi_tiet'!A18, 'Tong_hop_HQNV_2026Q1_2026-06-23'!$A:$A, "="&amp;'CHECK_DT-BT_chi_tiet'!$AS$2)</f>
        <v>6794515687</v>
      </c>
      <c r="AT18" s="29">
        <f>SUMIFS('HQ1'!$D:$D,'HQ1'!$A:$A, "="&amp;'CHECK_DT-BT_chi_tiet'!C18,'HQ1'!$B:$B,"="&amp;'CHECK_DT-BT_chi_tiet'!$AS$3)</f>
        <v>6754569624</v>
      </c>
      <c r="AU18" s="7">
        <f t="shared" si="13"/>
        <v>39946063</v>
      </c>
      <c r="AV18" s="7">
        <f>SUMIFS('Tong_hop_HQNV_2026Q1_2026-06-23'!$L:$L,'Tong_hop_HQNV_2026Q1_2026-06-23'!$B:$B, "="&amp;'CHECK_DT-BT_chi_tiet'!A18, 'Tong_hop_HQNV_2026Q1_2026-06-23'!$A:$A, "="&amp;'CHECK_DT-BT_chi_tiet'!$AV$2)</f>
        <v>1107397557</v>
      </c>
      <c r="AW18" s="29">
        <f>SUMIFS('HQ1'!$D:$D,'HQ1'!$A:$A, "="&amp;'CHECK_DT-BT_chi_tiet'!C18,'HQ1'!$B:$B,"="&amp;'CHECK_DT-BT_chi_tiet'!$AV$3)</f>
        <v>1107397557</v>
      </c>
      <c r="AX18" s="7">
        <f t="shared" si="14"/>
        <v>0</v>
      </c>
      <c r="AY18" s="7">
        <f>SUMIFS('Tong_hop_HQNV_2026Q1_2026-06-23'!$L:$L,'Tong_hop_HQNV_2026Q1_2026-06-23'!$B:$B, "="&amp;'CHECK_DT-BT_chi_tiet'!A18, 'Tong_hop_HQNV_2026Q1_2026-06-23'!$A:$A, "="&amp;$AY$2)</f>
        <v>0</v>
      </c>
      <c r="AZ18" s="29">
        <f>SUMIFS('HQ2'!$J:$J,'HQ2'!$A:$A, "="&amp;'CHECK_DT-BT_chi_tiet'!C18,'HQ2'!$B:$B,"="&amp;'CHECK_DT-BT_chi_tiet'!$AY$3)</f>
        <v>0</v>
      </c>
      <c r="BA18" s="7">
        <f t="shared" si="15"/>
        <v>0</v>
      </c>
      <c r="BB18" s="7">
        <f>SUMIFS('Tong_hop_HQNV_2026Q1_2026-06-23'!$L:$L,'Tong_hop_HQNV_2026Q1_2026-06-23'!$B:$B, "="&amp;'CHECK_DT-BT_chi_tiet'!A18, 'Tong_hop_HQNV_2026Q1_2026-06-23'!$A:$A, "="&amp;$BB$2)</f>
        <v>0</v>
      </c>
      <c r="BC18" s="29">
        <f>SUMIFS('HQ2'!$J:$J,'HQ2'!$A:$A, "="&amp;'CHECK_DT-BT_chi_tiet'!C18,'HQ2'!$B:$B,"="&amp;'CHECK_DT-BT_chi_tiet'!$BB$3)</f>
        <v>0</v>
      </c>
      <c r="BD18" s="7">
        <f t="shared" si="16"/>
        <v>0</v>
      </c>
      <c r="BE18" s="7">
        <f>SUMIFS('Tong_hop_HQNV_2026Q1_2026-06-23'!$L:$L,'Tong_hop_HQNV_2026Q1_2026-06-23'!$B:$B, "="&amp;'CHECK_DT-BT_chi_tiet'!A18, 'Tong_hop_HQNV_2026Q1_2026-06-23'!$A:$A, "="&amp;$BE$2)</f>
        <v>0</v>
      </c>
      <c r="BF18" s="29">
        <f>SUMIFS('HQ2'!$J:$J,'HQ2'!$A:$A, "="&amp;'CHECK_DT-BT_chi_tiet'!C18,'HQ2'!$B:$B,"="&amp;'CHECK_DT-BT_chi_tiet'!$BE$3)</f>
        <v>0</v>
      </c>
      <c r="BG18" s="7">
        <f t="shared" si="17"/>
        <v>0</v>
      </c>
      <c r="BH18" s="7">
        <f>SUMIFS('Tong_hop_HQNV_2026Q1_2026-06-23'!$L:$L,'Tong_hop_HQNV_2026Q1_2026-06-23'!$B:$B, "="&amp;'CHECK_DT-BT_chi_tiet'!A18, 'Tong_hop_HQNV_2026Q1_2026-06-23'!$A:$A, "="&amp;$BH$2)</f>
        <v>148309307</v>
      </c>
      <c r="BI18" s="29">
        <f>SUMIFS('HQ2'!$J:$J,'HQ2'!$A:$A, "="&amp;'CHECK_DT-BT_chi_tiet'!C18,'HQ2'!$B:$B,"="&amp;'CHECK_DT-BT_chi_tiet'!$BH$3)</f>
        <v>148309307</v>
      </c>
      <c r="BJ18" s="7">
        <f t="shared" si="18"/>
        <v>0</v>
      </c>
      <c r="BK18" s="7">
        <f>SUMIFS('Tong_hop_HQNV_2026Q1_2026-06-23'!$L:$L,'Tong_hop_HQNV_2026Q1_2026-06-23'!$B:$B, "="&amp;'CHECK_DT-BT_chi_tiet'!A18, 'Tong_hop_HQNV_2026Q1_2026-06-23'!$A:$A, "="&amp;$BK$2)</f>
        <v>108039685</v>
      </c>
      <c r="BL18" s="29">
        <f>SUMIFS('HQ2'!$J:$J,'HQ2'!$A:$A, "="&amp;'CHECK_DT-BT_chi_tiet'!C18,'HQ2'!$B:$B,"="&amp;'CHECK_DT-BT_chi_tiet'!$BK$3)</f>
        <v>108039685</v>
      </c>
      <c r="BM18" s="7">
        <f t="shared" si="19"/>
        <v>0</v>
      </c>
      <c r="BN18" s="7">
        <f>SUMIFS('Tong_hop_HQNV_2026Q1_2026-06-23'!$L:$L,'Tong_hop_HQNV_2026Q1_2026-06-23'!$B:$B, "="&amp;'CHECK_DT-BT_chi_tiet'!A18, 'Tong_hop_HQNV_2026Q1_2026-06-23'!$A:$A, "="&amp;$BN$2)</f>
        <v>17320507</v>
      </c>
      <c r="BO18" s="29">
        <f>SUMIFS('HQ2'!$J:$J,'HQ2'!$A:$A, "="&amp;'CHECK_DT-BT_chi_tiet'!C18,'HQ2'!$B:$B,"="&amp;'CHECK_DT-BT_chi_tiet'!$BN$3)</f>
        <v>17320507</v>
      </c>
      <c r="BP18" s="7">
        <f t="shared" si="20"/>
        <v>0</v>
      </c>
      <c r="BQ18" s="7">
        <f>SUMIFS('Tong_hop_HQNV_2026Q1_2026-06-23'!$L:$L,'Tong_hop_HQNV_2026Q1_2026-06-23'!$B:$B, "="&amp;'CHECK_DT-BT_chi_tiet'!A18, 'Tong_hop_HQNV_2026Q1_2026-06-23'!$A:$A, "="&amp;$BQ$2)</f>
        <v>0</v>
      </c>
      <c r="BR18" s="29">
        <f>SUMIFS('HQ2'!$J:$J,'HQ2'!$A:$A, "="&amp;'CHECK_DT-BT_chi_tiet'!C18,'HQ2'!$B:$B,"="&amp;'CHECK_DT-BT_chi_tiet'!$BQ$3)</f>
        <v>0</v>
      </c>
      <c r="BS18" s="7">
        <f t="shared" si="21"/>
        <v>0</v>
      </c>
      <c r="BT18" s="7">
        <f>SUMIFS('Tong_hop_HQNV_2026Q1_2026-06-23'!$L:$L,'Tong_hop_HQNV_2026Q1_2026-06-23'!$B:$B, "="&amp;'CHECK_DT-BT_chi_tiet'!A18, 'Tong_hop_HQNV_2026Q1_2026-06-23'!$A:$A, "="&amp;$BT$2)</f>
        <v>0</v>
      </c>
      <c r="BU18" s="7">
        <f>SUMIFS('Tong_hop_HQNV_2026Q1_2026-06-23'!$L:$L,'Tong_hop_HQNV_2026Q1_2026-06-23'!$B:$B, "="&amp;'CHECK_DT-BT_chi_tiet'!A18, 'Tong_hop_HQNV_2026Q1_2026-06-23'!$A:$A, "="&amp;$BU$2)</f>
        <v>0</v>
      </c>
    </row>
    <row r="19" spans="1:73" x14ac:dyDescent="0.25">
      <c r="A19" s="9" t="s">
        <v>299</v>
      </c>
      <c r="B19" t="s">
        <v>157</v>
      </c>
      <c r="C19" t="s">
        <v>124</v>
      </c>
      <c r="D19" s="7">
        <f>SUMIFS('Tong_hop_HQNV_2026Q1_2026-06-23'!$K:$K,'Tong_hop_HQNV_2026Q1_2026-06-23'!$A:$A,"="&amp;'CHECK_DT-BT_chi_tiet'!$D$2,'Tong_hop_HQNV_2026Q1_2026-06-23'!$B:$B, "="&amp;'CHECK_DT-BT_chi_tiet'!A19)</f>
        <v>470715300</v>
      </c>
      <c r="E19" s="7">
        <f>SUMIFS('HQ1'!$C:$C,'HQ1'!$A:$A, "="&amp;'CHECK_DT-BT_chi_tiet'!C19,'HQ1'!$B:$B, "="&amp;'CHECK_DT-BT_chi_tiet'!$D$3)</f>
        <v>470715300</v>
      </c>
      <c r="F19" s="7">
        <f t="shared" si="0"/>
        <v>0</v>
      </c>
      <c r="G19" s="7">
        <f>SUMIFS('Tong_hop_HQNV_2026Q1_2026-06-23'!$K:$K,'Tong_hop_HQNV_2026Q1_2026-06-23'!$A:$A,"="&amp;'CHECK_DT-BT_chi_tiet'!$G$2,'Tong_hop_HQNV_2026Q1_2026-06-23'!$B:$B, "="&amp;'CHECK_DT-BT_chi_tiet'!A19)</f>
        <v>257838000</v>
      </c>
      <c r="H19" s="7">
        <f>SUMIFS('HQ1'!$C:$C,'HQ1'!$A:$A, "="&amp;'CHECK_DT-BT_chi_tiet'!C19,'HQ1'!$B:$B, "="&amp;'CHECK_DT-BT_chi_tiet'!$G$3)</f>
        <v>257838000</v>
      </c>
      <c r="I19" s="7">
        <f t="shared" si="1"/>
        <v>0</v>
      </c>
      <c r="J19" s="7">
        <f>SUMIFS('Tong_hop_HQNV_2026Q1_2026-06-23'!$K:$K,'Tong_hop_HQNV_2026Q1_2026-06-23'!$A:$A,"="&amp;'CHECK_DT-BT_chi_tiet'!$J$2,'Tong_hop_HQNV_2026Q1_2026-06-23'!$B:$B, "="&amp;'CHECK_DT-BT_chi_tiet'!A19)</f>
        <v>2214931238</v>
      </c>
      <c r="K19" s="7">
        <f>SUMIFS('HQ1'!$C:$C,'HQ1'!$A:$A, "="&amp;'CHECK_DT-BT_chi_tiet'!C19,'HQ1'!$B:$B, "="&amp;'CHECK_DT-BT_chi_tiet'!$J$3)</f>
        <v>2510042329</v>
      </c>
      <c r="L19" s="7">
        <f t="shared" si="2"/>
        <v>-295111091</v>
      </c>
      <c r="M19" s="7">
        <f>SUMIFS('Tong_hop_HQNV_2026Q1_2026-06-23'!$K:$K,'Tong_hop_HQNV_2026Q1_2026-06-23'!$A:$A,"="&amp;'CHECK_DT-BT_chi_tiet'!$M$2,'Tong_hop_HQNV_2026Q1_2026-06-23'!$B:$B, "="&amp;'CHECK_DT-BT_chi_tiet'!A19)</f>
        <v>84603400</v>
      </c>
      <c r="N19" s="7">
        <f>SUMIFS('HQ1'!$C:$C,'HQ1'!$A:$A, "="&amp;'CHECK_DT-BT_chi_tiet'!C19,'HQ1'!$B:$B, "="&amp;'CHECK_DT-BT_chi_tiet'!$M$3)</f>
        <v>84603400</v>
      </c>
      <c r="O19" s="7">
        <f t="shared" si="3"/>
        <v>0</v>
      </c>
      <c r="P19" s="7">
        <f>SUMIFS('Tong_hop_HQNV_2026Q1_2026-06-23'!$K:$K,'Tong_hop_HQNV_2026Q1_2026-06-23'!$A:$A,"="&amp;$P$2,'Tong_hop_HQNV_2026Q1_2026-06-23'!$B:$B, "="&amp;'CHECK_DT-BT_chi_tiet'!A19)</f>
        <v>0</v>
      </c>
      <c r="Q19" s="7">
        <f>SUMIFS('HQ2'!$C:$C,'HQ2'!$A:$A, "="&amp;'CHECK_DT-BT_chi_tiet'!C19,'HQ2'!$B:$B, "="&amp;'CHECK_DT-BT_chi_tiet'!$P$3)</f>
        <v>0</v>
      </c>
      <c r="R19" s="7">
        <f t="shared" si="4"/>
        <v>0</v>
      </c>
      <c r="S19" s="7">
        <f>SUMIFS('Tong_hop_HQNV_2026Q1_2026-06-23'!$K:$K,'Tong_hop_HQNV_2026Q1_2026-06-23'!$A:$A,"="&amp;$S$2,'Tong_hop_HQNV_2026Q1_2026-06-23'!$B:$B, "="&amp;'CHECK_DT-BT_chi_tiet'!A19)</f>
        <v>0</v>
      </c>
      <c r="T19" s="7">
        <f>SUMIFS('HQ2'!$C:$C,'HQ2'!$A:$A, "="&amp;'CHECK_DT-BT_chi_tiet'!C19,'HQ2'!$B:$B, "="&amp;'CHECK_DT-BT_chi_tiet'!$S$3)</f>
        <v>0</v>
      </c>
      <c r="U19" s="7">
        <f t="shared" si="5"/>
        <v>0</v>
      </c>
      <c r="V19" s="7">
        <f>SUMIFS('Tong_hop_HQNV_2026Q1_2026-06-23'!$K:$K,'Tong_hop_HQNV_2026Q1_2026-06-23'!$A:$A,"="&amp;$V$2,'Tong_hop_HQNV_2026Q1_2026-06-23'!$B:$B, "="&amp;'CHECK_DT-BT_chi_tiet'!A19)</f>
        <v>0</v>
      </c>
      <c r="W19" s="7">
        <f>SUMIFS('HQ2'!$C:$C,'HQ2'!$A:$A, "="&amp;'CHECK_DT-BT_chi_tiet'!C19,'HQ2'!$B:$B, "="&amp;'CHECK_DT-BT_chi_tiet'!$V$3)</f>
        <v>0</v>
      </c>
      <c r="X19" s="7">
        <f t="shared" si="6"/>
        <v>0</v>
      </c>
      <c r="Y19" s="7">
        <f>SUMIFS('Tong_hop_HQNV_2026Q1_2026-06-23'!$K:$K,'Tong_hop_HQNV_2026Q1_2026-06-23'!$A:$A,"="&amp;$Y$2,'Tong_hop_HQNV_2026Q1_2026-06-23'!$B:$B, "="&amp;'CHECK_DT-BT_chi_tiet'!A19)</f>
        <v>0</v>
      </c>
      <c r="Z19" s="7">
        <f>SUMIFS('HQ2'!$C:$C,'HQ2'!$A:$A, "="&amp;'CHECK_DT-BT_chi_tiet'!C19,'HQ2'!$B:$B, "="&amp;'CHECK_DT-BT_chi_tiet'!$Y$3)</f>
        <v>0</v>
      </c>
      <c r="AA19" s="7">
        <f t="shared" si="7"/>
        <v>0</v>
      </c>
      <c r="AB19" s="7">
        <f>SUMIFS('Tong_hop_HQNV_2026Q1_2026-06-23'!$K:$K,'Tong_hop_HQNV_2026Q1_2026-06-23'!$A:$A,"="&amp;$AB$2,'Tong_hop_HQNV_2026Q1_2026-06-23'!$B:$B, "="&amp;'CHECK_DT-BT_chi_tiet'!A19)</f>
        <v>78766249</v>
      </c>
      <c r="AC19" s="7">
        <f>SUMIFS('HQ2'!$C:$C,'HQ2'!$A:$A, "="&amp;'CHECK_DT-BT_chi_tiet'!C19,'HQ2'!$B:$B, "="&amp;'CHECK_DT-BT_chi_tiet'!$AB$3)</f>
        <v>78766249</v>
      </c>
      <c r="AD19" s="7">
        <f t="shared" si="8"/>
        <v>0</v>
      </c>
      <c r="AE19" s="7">
        <f>SUMIFS('Tong_hop_HQNV_2026Q1_2026-06-23'!$K:$K,'Tong_hop_HQNV_2026Q1_2026-06-23'!$A:$A,"="&amp;$AE$2,'Tong_hop_HQNV_2026Q1_2026-06-23'!$B:$B, "="&amp;'CHECK_DT-BT_chi_tiet'!A19)</f>
        <v>236820910</v>
      </c>
      <c r="AF19" s="7">
        <f>SUMIFS('HQ2'!$C:$C,'HQ2'!$A:$A, "="&amp;'CHECK_DT-BT_chi_tiet'!C19,'HQ2'!$B:$B, "="&amp;'CHECK_DT-BT_chi_tiet'!$AE$3)</f>
        <v>236820910</v>
      </c>
      <c r="AG19" s="7">
        <f t="shared" si="9"/>
        <v>0</v>
      </c>
      <c r="AH19" s="7">
        <f>SUMIFS('Tong_hop_HQNV_2026Q1_2026-06-23'!$K:$K,'Tong_hop_HQNV_2026Q1_2026-06-23'!$A:$A,"="&amp;$AH$2,'Tong_hop_HQNV_2026Q1_2026-06-23'!$B:$B, "="&amp;'CHECK_DT-BT_chi_tiet'!A19)</f>
        <v>0</v>
      </c>
      <c r="AI19" s="7">
        <f>SUMIFS('HQ2'!$C:$C,'HQ2'!$A:$A, "="&amp;'CHECK_DT-BT_chi_tiet'!C19,'HQ2'!$B:$B, "="&amp;'CHECK_DT-BT_chi_tiet'!$AH$3)</f>
        <v>0</v>
      </c>
      <c r="AJ19" s="7">
        <f t="shared" si="10"/>
        <v>0</v>
      </c>
      <c r="AK19" s="7">
        <f>SUMIFS('Tong_hop_HQNV_2026Q1_2026-06-23'!$K:$K,'Tong_hop_HQNV_2026Q1_2026-06-23'!$A:$A,"="&amp;$AK$2,'Tong_hop_HQNV_2026Q1_2026-06-23'!$B:$B, "="&amp;'CHECK_DT-BT_chi_tiet'!A19)</f>
        <v>0</v>
      </c>
      <c r="AL19" s="7">
        <f>SUMIFS('Tong_hop_HQNV_2026Q1_2026-06-23'!$K:$K,'Tong_hop_HQNV_2026Q1_2026-06-23'!$A:$A,"="&amp;$AL$2,'Tong_hop_HQNV_2026Q1_2026-06-23'!$B:$B, "="&amp;'CHECK_DT-BT_chi_tiet'!A19)</f>
        <v>0</v>
      </c>
      <c r="AM19" s="23">
        <f>SUMIFS('Tong_hop_HQNV_2026Q1_2026-06-23'!$L:$L,'Tong_hop_HQNV_2026Q1_2026-06-23'!$B:$B, "="&amp;'CHECK_DT-BT_chi_tiet'!A19, 'Tong_hop_HQNV_2026Q1_2026-06-23'!$A:$A, "="&amp;'CHECK_DT-BT_chi_tiet'!$AM$2)</f>
        <v>392870500</v>
      </c>
      <c r="AN19" s="29">
        <f>SUMIFS('HQ1'!$D:$D,'HQ1'!$A:$A, "="&amp;'CHECK_DT-BT_chi_tiet'!C19,'HQ1'!$B:$B,"="&amp;'CHECK_DT-BT_chi_tiet'!$AM$3)</f>
        <v>392870500</v>
      </c>
      <c r="AO19" s="29">
        <f t="shared" si="11"/>
        <v>0</v>
      </c>
      <c r="AP19" s="7">
        <f>SUMIFS('Tong_hop_HQNV_2026Q1_2026-06-23'!$L:$L,'Tong_hop_HQNV_2026Q1_2026-06-23'!$B:$B, "="&amp;'CHECK_DT-BT_chi_tiet'!A19, 'Tong_hop_HQNV_2026Q1_2026-06-23'!$A:$A, "="&amp;'CHECK_DT-BT_chi_tiet'!$AP$2)</f>
        <v>0</v>
      </c>
      <c r="AQ19" s="29">
        <f>SUMIFS('HQ1'!$D:$D,'HQ1'!$A:$A, "="&amp;'CHECK_DT-BT_chi_tiet'!C19,'HQ1'!$B:$B,"="&amp;'CHECK_DT-BT_chi_tiet'!$AP$3)</f>
        <v>0</v>
      </c>
      <c r="AR19" s="7">
        <f t="shared" si="12"/>
        <v>0</v>
      </c>
      <c r="AS19" s="7">
        <f>SUMIFS('Tong_hop_HQNV_2026Q1_2026-06-23'!$L:$L,'Tong_hop_HQNV_2026Q1_2026-06-23'!$B:$B, "="&amp;'CHECK_DT-BT_chi_tiet'!A19, 'Tong_hop_HQNV_2026Q1_2026-06-23'!$A:$A, "="&amp;'CHECK_DT-BT_chi_tiet'!$AS$2)</f>
        <v>308625734</v>
      </c>
      <c r="AT19" s="29">
        <f>SUMIFS('HQ1'!$D:$D,'HQ1'!$A:$A, "="&amp;'CHECK_DT-BT_chi_tiet'!C19,'HQ1'!$B:$B,"="&amp;'CHECK_DT-BT_chi_tiet'!$AS$3)</f>
        <v>308625734</v>
      </c>
      <c r="AU19" s="7">
        <f t="shared" si="13"/>
        <v>0</v>
      </c>
      <c r="AV19" s="7">
        <f>SUMIFS('Tong_hop_HQNV_2026Q1_2026-06-23'!$L:$L,'Tong_hop_HQNV_2026Q1_2026-06-23'!$B:$B, "="&amp;'CHECK_DT-BT_chi_tiet'!A19, 'Tong_hop_HQNV_2026Q1_2026-06-23'!$A:$A, "="&amp;'CHECK_DT-BT_chi_tiet'!$AV$2)</f>
        <v>12839123</v>
      </c>
      <c r="AW19" s="29">
        <f>SUMIFS('HQ1'!$D:$D,'HQ1'!$A:$A, "="&amp;'CHECK_DT-BT_chi_tiet'!C19,'HQ1'!$B:$B,"="&amp;'CHECK_DT-BT_chi_tiet'!$AV$3)</f>
        <v>12839123</v>
      </c>
      <c r="AX19" s="7">
        <f t="shared" si="14"/>
        <v>0</v>
      </c>
      <c r="AY19" s="7">
        <f>SUMIFS('Tong_hop_HQNV_2026Q1_2026-06-23'!$L:$L,'Tong_hop_HQNV_2026Q1_2026-06-23'!$B:$B, "="&amp;'CHECK_DT-BT_chi_tiet'!A19, 'Tong_hop_HQNV_2026Q1_2026-06-23'!$A:$A, "="&amp;$AY$2)</f>
        <v>0</v>
      </c>
      <c r="AZ19" s="29">
        <f>SUMIFS('HQ2'!$J:$J,'HQ2'!$A:$A, "="&amp;'CHECK_DT-BT_chi_tiet'!C19,'HQ2'!$B:$B,"="&amp;'CHECK_DT-BT_chi_tiet'!$AY$3)</f>
        <v>0</v>
      </c>
      <c r="BA19" s="7">
        <f t="shared" si="15"/>
        <v>0</v>
      </c>
      <c r="BB19" s="7">
        <f>SUMIFS('Tong_hop_HQNV_2026Q1_2026-06-23'!$L:$L,'Tong_hop_HQNV_2026Q1_2026-06-23'!$B:$B, "="&amp;'CHECK_DT-BT_chi_tiet'!A19, 'Tong_hop_HQNV_2026Q1_2026-06-23'!$A:$A, "="&amp;$BB$2)</f>
        <v>0</v>
      </c>
      <c r="BC19" s="29">
        <f>SUMIFS('HQ2'!$J:$J,'HQ2'!$A:$A, "="&amp;'CHECK_DT-BT_chi_tiet'!C19,'HQ2'!$B:$B,"="&amp;'CHECK_DT-BT_chi_tiet'!$BB$3)</f>
        <v>0</v>
      </c>
      <c r="BD19" s="7">
        <f t="shared" si="16"/>
        <v>0</v>
      </c>
      <c r="BE19" s="7">
        <f>SUMIFS('Tong_hop_HQNV_2026Q1_2026-06-23'!$L:$L,'Tong_hop_HQNV_2026Q1_2026-06-23'!$B:$B, "="&amp;'CHECK_DT-BT_chi_tiet'!A19, 'Tong_hop_HQNV_2026Q1_2026-06-23'!$A:$A, "="&amp;$BE$2)</f>
        <v>0</v>
      </c>
      <c r="BF19" s="29">
        <f>SUMIFS('HQ2'!$J:$J,'HQ2'!$A:$A, "="&amp;'CHECK_DT-BT_chi_tiet'!C19,'HQ2'!$B:$B,"="&amp;'CHECK_DT-BT_chi_tiet'!$BE$3)</f>
        <v>0</v>
      </c>
      <c r="BG19" s="7">
        <f t="shared" si="17"/>
        <v>0</v>
      </c>
      <c r="BH19" s="7">
        <f>SUMIFS('Tong_hop_HQNV_2026Q1_2026-06-23'!$L:$L,'Tong_hop_HQNV_2026Q1_2026-06-23'!$B:$B, "="&amp;'CHECK_DT-BT_chi_tiet'!A19, 'Tong_hop_HQNV_2026Q1_2026-06-23'!$A:$A, "="&amp;$BH$2)</f>
        <v>0</v>
      </c>
      <c r="BI19" s="29">
        <f>SUMIFS('HQ2'!$J:$J,'HQ2'!$A:$A, "="&amp;'CHECK_DT-BT_chi_tiet'!C19,'HQ2'!$B:$B,"="&amp;'CHECK_DT-BT_chi_tiet'!$BH$3)</f>
        <v>0</v>
      </c>
      <c r="BJ19" s="7">
        <f t="shared" si="18"/>
        <v>0</v>
      </c>
      <c r="BK19" s="7">
        <f>SUMIFS('Tong_hop_HQNV_2026Q1_2026-06-23'!$L:$L,'Tong_hop_HQNV_2026Q1_2026-06-23'!$B:$B, "="&amp;'CHECK_DT-BT_chi_tiet'!A19, 'Tong_hop_HQNV_2026Q1_2026-06-23'!$A:$A, "="&amp;$BK$2)</f>
        <v>0</v>
      </c>
      <c r="BL19" s="29">
        <f>SUMIFS('HQ2'!$J:$J,'HQ2'!$A:$A, "="&amp;'CHECK_DT-BT_chi_tiet'!C19,'HQ2'!$B:$B,"="&amp;'CHECK_DT-BT_chi_tiet'!$BK$3)</f>
        <v>0</v>
      </c>
      <c r="BM19" s="7">
        <f t="shared" si="19"/>
        <v>0</v>
      </c>
      <c r="BN19" s="7">
        <f>SUMIFS('Tong_hop_HQNV_2026Q1_2026-06-23'!$L:$L,'Tong_hop_HQNV_2026Q1_2026-06-23'!$B:$B, "="&amp;'CHECK_DT-BT_chi_tiet'!A19, 'Tong_hop_HQNV_2026Q1_2026-06-23'!$A:$A, "="&amp;$BN$2)</f>
        <v>0</v>
      </c>
      <c r="BO19" s="29">
        <f>SUMIFS('HQ2'!$J:$J,'HQ2'!$A:$A, "="&amp;'CHECK_DT-BT_chi_tiet'!C19,'HQ2'!$B:$B,"="&amp;'CHECK_DT-BT_chi_tiet'!$BN$3)</f>
        <v>0</v>
      </c>
      <c r="BP19" s="7">
        <f t="shared" si="20"/>
        <v>0</v>
      </c>
      <c r="BQ19" s="7">
        <f>SUMIFS('Tong_hop_HQNV_2026Q1_2026-06-23'!$L:$L,'Tong_hop_HQNV_2026Q1_2026-06-23'!$B:$B, "="&amp;'CHECK_DT-BT_chi_tiet'!A19, 'Tong_hop_HQNV_2026Q1_2026-06-23'!$A:$A, "="&amp;$BQ$2)</f>
        <v>0</v>
      </c>
      <c r="BR19" s="29">
        <f>SUMIFS('HQ2'!$J:$J,'HQ2'!$A:$A, "="&amp;'CHECK_DT-BT_chi_tiet'!C19,'HQ2'!$B:$B,"="&amp;'CHECK_DT-BT_chi_tiet'!$BQ$3)</f>
        <v>0</v>
      </c>
      <c r="BS19" s="7">
        <f t="shared" si="21"/>
        <v>0</v>
      </c>
      <c r="BT19" s="7">
        <f>SUMIFS('Tong_hop_HQNV_2026Q1_2026-06-23'!$L:$L,'Tong_hop_HQNV_2026Q1_2026-06-23'!$B:$B, "="&amp;'CHECK_DT-BT_chi_tiet'!A19, 'Tong_hop_HQNV_2026Q1_2026-06-23'!$A:$A, "="&amp;$BT$2)</f>
        <v>0</v>
      </c>
      <c r="BU19" s="7">
        <f>SUMIFS('Tong_hop_HQNV_2026Q1_2026-06-23'!$L:$L,'Tong_hop_HQNV_2026Q1_2026-06-23'!$B:$B, "="&amp;'CHECK_DT-BT_chi_tiet'!A19, 'Tong_hop_HQNV_2026Q1_2026-06-23'!$A:$A, "="&amp;$BU$2)</f>
        <v>0</v>
      </c>
    </row>
    <row r="20" spans="1:73" x14ac:dyDescent="0.25">
      <c r="A20" s="9" t="s">
        <v>300</v>
      </c>
      <c r="B20" t="s">
        <v>158</v>
      </c>
      <c r="C20" t="s">
        <v>59</v>
      </c>
      <c r="D20" s="7">
        <f>SUMIFS('Tong_hop_HQNV_2026Q1_2026-06-23'!$K:$K,'Tong_hop_HQNV_2026Q1_2026-06-23'!$A:$A,"="&amp;'CHECK_DT-BT_chi_tiet'!$D$2,'Tong_hop_HQNV_2026Q1_2026-06-23'!$B:$B, "="&amp;'CHECK_DT-BT_chi_tiet'!A20)</f>
        <v>2264341829</v>
      </c>
      <c r="E20" s="7">
        <f>SUMIFS('HQ1'!$C:$C,'HQ1'!$A:$A, "="&amp;'CHECK_DT-BT_chi_tiet'!C20,'HQ1'!$B:$B, "="&amp;'CHECK_DT-BT_chi_tiet'!$D$3)</f>
        <v>2264341829</v>
      </c>
      <c r="F20" s="7">
        <f t="shared" si="0"/>
        <v>0</v>
      </c>
      <c r="G20" s="7">
        <f>SUMIFS('Tong_hop_HQNV_2026Q1_2026-06-23'!$K:$K,'Tong_hop_HQNV_2026Q1_2026-06-23'!$A:$A,"="&amp;'CHECK_DT-BT_chi_tiet'!$G$2,'Tong_hop_HQNV_2026Q1_2026-06-23'!$B:$B, "="&amp;'CHECK_DT-BT_chi_tiet'!A20)</f>
        <v>768775300</v>
      </c>
      <c r="H20" s="7">
        <f>SUMIFS('HQ1'!$C:$C,'HQ1'!$A:$A, "="&amp;'CHECK_DT-BT_chi_tiet'!C20,'HQ1'!$B:$B, "="&amp;'CHECK_DT-BT_chi_tiet'!$G$3)</f>
        <v>768775300</v>
      </c>
      <c r="I20" s="7">
        <f t="shared" si="1"/>
        <v>0</v>
      </c>
      <c r="J20" s="7">
        <f>SUMIFS('Tong_hop_HQNV_2026Q1_2026-06-23'!$K:$K,'Tong_hop_HQNV_2026Q1_2026-06-23'!$A:$A,"="&amp;'CHECK_DT-BT_chi_tiet'!$J$2,'Tong_hop_HQNV_2026Q1_2026-06-23'!$B:$B, "="&amp;'CHECK_DT-BT_chi_tiet'!A20)</f>
        <v>19826823382</v>
      </c>
      <c r="K20" s="7">
        <f>SUMIFS('HQ1'!$C:$C,'HQ1'!$A:$A, "="&amp;'CHECK_DT-BT_chi_tiet'!C20,'HQ1'!$B:$B, "="&amp;'CHECK_DT-BT_chi_tiet'!$J$3)</f>
        <v>19826823382</v>
      </c>
      <c r="L20" s="7">
        <f t="shared" si="2"/>
        <v>0</v>
      </c>
      <c r="M20" s="7">
        <f>SUMIFS('Tong_hop_HQNV_2026Q1_2026-06-23'!$K:$K,'Tong_hop_HQNV_2026Q1_2026-06-23'!$A:$A,"="&amp;'CHECK_DT-BT_chi_tiet'!$M$2,'Tong_hop_HQNV_2026Q1_2026-06-23'!$B:$B, "="&amp;'CHECK_DT-BT_chi_tiet'!A20)</f>
        <v>30315020952</v>
      </c>
      <c r="N20" s="7">
        <f>SUMIFS('HQ1'!$C:$C,'HQ1'!$A:$A, "="&amp;'CHECK_DT-BT_chi_tiet'!C20,'HQ1'!$B:$B, "="&amp;'CHECK_DT-BT_chi_tiet'!$M$3)</f>
        <v>30315020952</v>
      </c>
      <c r="O20" s="7">
        <f t="shared" si="3"/>
        <v>0</v>
      </c>
      <c r="P20" s="7">
        <f>SUMIFS('Tong_hop_HQNV_2026Q1_2026-06-23'!$K:$K,'Tong_hop_HQNV_2026Q1_2026-06-23'!$A:$A,"="&amp;$P$2,'Tong_hop_HQNV_2026Q1_2026-06-23'!$B:$B, "="&amp;'CHECK_DT-BT_chi_tiet'!A20)</f>
        <v>3519582182</v>
      </c>
      <c r="Q20" s="7">
        <f>SUMIFS('HQ2'!$C:$C,'HQ2'!$A:$A, "="&amp;'CHECK_DT-BT_chi_tiet'!C20,'HQ2'!$B:$B, "="&amp;'CHECK_DT-BT_chi_tiet'!$P$3)</f>
        <v>3519582182</v>
      </c>
      <c r="R20" s="7">
        <f t="shared" si="4"/>
        <v>0</v>
      </c>
      <c r="S20" s="7">
        <f>SUMIFS('Tong_hop_HQNV_2026Q1_2026-06-23'!$K:$K,'Tong_hop_HQNV_2026Q1_2026-06-23'!$A:$A,"="&amp;$S$2,'Tong_hop_HQNV_2026Q1_2026-06-23'!$B:$B, "="&amp;'CHECK_DT-BT_chi_tiet'!A20)</f>
        <v>113806331</v>
      </c>
      <c r="T20" s="7">
        <f>SUMIFS('HQ2'!$C:$C,'HQ2'!$A:$A, "="&amp;'CHECK_DT-BT_chi_tiet'!C20,'HQ2'!$B:$B, "="&amp;'CHECK_DT-BT_chi_tiet'!$S$3)</f>
        <v>113806331</v>
      </c>
      <c r="U20" s="7">
        <f t="shared" si="5"/>
        <v>0</v>
      </c>
      <c r="V20" s="7">
        <f>SUMIFS('Tong_hop_HQNV_2026Q1_2026-06-23'!$K:$K,'Tong_hop_HQNV_2026Q1_2026-06-23'!$A:$A,"="&amp;$V$2,'Tong_hop_HQNV_2026Q1_2026-06-23'!$B:$B, "="&amp;'CHECK_DT-BT_chi_tiet'!A20)</f>
        <v>149210000</v>
      </c>
      <c r="W20" s="7">
        <f>SUMIFS('HQ2'!$C:$C,'HQ2'!$A:$A, "="&amp;'CHECK_DT-BT_chi_tiet'!C20,'HQ2'!$B:$B, "="&amp;'CHECK_DT-BT_chi_tiet'!$V$3)</f>
        <v>149210000</v>
      </c>
      <c r="X20" s="7">
        <f t="shared" si="6"/>
        <v>0</v>
      </c>
      <c r="Y20" s="7">
        <f>SUMIFS('Tong_hop_HQNV_2026Q1_2026-06-23'!$K:$K,'Tong_hop_HQNV_2026Q1_2026-06-23'!$A:$A,"="&amp;$Y$2,'Tong_hop_HQNV_2026Q1_2026-06-23'!$B:$B, "="&amp;'CHECK_DT-BT_chi_tiet'!A20)</f>
        <v>473065060</v>
      </c>
      <c r="Z20" s="7">
        <f>SUMIFS('HQ2'!$C:$C,'HQ2'!$A:$A, "="&amp;'CHECK_DT-BT_chi_tiet'!C20,'HQ2'!$B:$B, "="&amp;'CHECK_DT-BT_chi_tiet'!$Y$3)</f>
        <v>473065060</v>
      </c>
      <c r="AA20" s="7">
        <f t="shared" si="7"/>
        <v>0</v>
      </c>
      <c r="AB20" s="7">
        <f>SUMIFS('Tong_hop_HQNV_2026Q1_2026-06-23'!$K:$K,'Tong_hop_HQNV_2026Q1_2026-06-23'!$A:$A,"="&amp;$AB$2,'Tong_hop_HQNV_2026Q1_2026-06-23'!$B:$B, "="&amp;'CHECK_DT-BT_chi_tiet'!A20)</f>
        <v>6425724644</v>
      </c>
      <c r="AC20" s="7">
        <f>SUMIFS('HQ2'!$C:$C,'HQ2'!$A:$A, "="&amp;'CHECK_DT-BT_chi_tiet'!C20,'HQ2'!$B:$B, "="&amp;'CHECK_DT-BT_chi_tiet'!$AB$3)</f>
        <v>6425724644</v>
      </c>
      <c r="AD20" s="7">
        <f t="shared" si="8"/>
        <v>0</v>
      </c>
      <c r="AE20" s="7">
        <f>SUMIFS('Tong_hop_HQNV_2026Q1_2026-06-23'!$K:$K,'Tong_hop_HQNV_2026Q1_2026-06-23'!$A:$A,"="&amp;$AE$2,'Tong_hop_HQNV_2026Q1_2026-06-23'!$B:$B, "="&amp;'CHECK_DT-BT_chi_tiet'!A20)</f>
        <v>550542431</v>
      </c>
      <c r="AF20" s="7">
        <f>SUMIFS('HQ2'!$C:$C,'HQ2'!$A:$A, "="&amp;'CHECK_DT-BT_chi_tiet'!C20,'HQ2'!$B:$B, "="&amp;'CHECK_DT-BT_chi_tiet'!$AE$3)</f>
        <v>550542431</v>
      </c>
      <c r="AG20" s="7">
        <f t="shared" si="9"/>
        <v>0</v>
      </c>
      <c r="AH20" s="7">
        <f>SUMIFS('Tong_hop_HQNV_2026Q1_2026-06-23'!$K:$K,'Tong_hop_HQNV_2026Q1_2026-06-23'!$A:$A,"="&amp;$AH$2,'Tong_hop_HQNV_2026Q1_2026-06-23'!$B:$B, "="&amp;'CHECK_DT-BT_chi_tiet'!A20)</f>
        <v>461275085</v>
      </c>
      <c r="AI20" s="7">
        <f>SUMIFS('HQ2'!$C:$C,'HQ2'!$A:$A, "="&amp;'CHECK_DT-BT_chi_tiet'!C20,'HQ2'!$B:$B, "="&amp;'CHECK_DT-BT_chi_tiet'!$AH$3)</f>
        <v>461275085</v>
      </c>
      <c r="AJ20" s="7">
        <f t="shared" si="10"/>
        <v>0</v>
      </c>
      <c r="AK20" s="7">
        <f>SUMIFS('Tong_hop_HQNV_2026Q1_2026-06-23'!$K:$K,'Tong_hop_HQNV_2026Q1_2026-06-23'!$A:$A,"="&amp;$AK$2,'Tong_hop_HQNV_2026Q1_2026-06-23'!$B:$B, "="&amp;'CHECK_DT-BT_chi_tiet'!A20)</f>
        <v>0</v>
      </c>
      <c r="AL20" s="7">
        <f>SUMIFS('Tong_hop_HQNV_2026Q1_2026-06-23'!$K:$K,'Tong_hop_HQNV_2026Q1_2026-06-23'!$A:$A,"="&amp;$AL$2,'Tong_hop_HQNV_2026Q1_2026-06-23'!$B:$B, "="&amp;'CHECK_DT-BT_chi_tiet'!A20)</f>
        <v>0</v>
      </c>
      <c r="AM20" s="23">
        <f>SUMIFS('Tong_hop_HQNV_2026Q1_2026-06-23'!$L:$L,'Tong_hop_HQNV_2026Q1_2026-06-23'!$B:$B, "="&amp;'CHECK_DT-BT_chi_tiet'!A20, 'Tong_hop_HQNV_2026Q1_2026-06-23'!$A:$A, "="&amp;'CHECK_DT-BT_chi_tiet'!$AM$2)</f>
        <v>1005872430</v>
      </c>
      <c r="AN20" s="29">
        <f>SUMIFS('HQ1'!$D:$D,'HQ1'!$A:$A, "="&amp;'CHECK_DT-BT_chi_tiet'!C20,'HQ1'!$B:$B,"="&amp;'CHECK_DT-BT_chi_tiet'!$AM$3)</f>
        <v>1005872430</v>
      </c>
      <c r="AO20" s="29">
        <f t="shared" si="11"/>
        <v>0</v>
      </c>
      <c r="AP20" s="7">
        <f>SUMIFS('Tong_hop_HQNV_2026Q1_2026-06-23'!$L:$L,'Tong_hop_HQNV_2026Q1_2026-06-23'!$B:$B, "="&amp;'CHECK_DT-BT_chi_tiet'!A20, 'Tong_hop_HQNV_2026Q1_2026-06-23'!$A:$A, "="&amp;'CHECK_DT-BT_chi_tiet'!$AP$2)</f>
        <v>855416</v>
      </c>
      <c r="AQ20" s="29">
        <f>SUMIFS('HQ1'!$D:$D,'HQ1'!$A:$A, "="&amp;'CHECK_DT-BT_chi_tiet'!C20,'HQ1'!$B:$B,"="&amp;'CHECK_DT-BT_chi_tiet'!$AP$3)</f>
        <v>855416</v>
      </c>
      <c r="AR20" s="7">
        <f t="shared" si="12"/>
        <v>0</v>
      </c>
      <c r="AS20" s="7">
        <f>SUMIFS('Tong_hop_HQNV_2026Q1_2026-06-23'!$L:$L,'Tong_hop_HQNV_2026Q1_2026-06-23'!$B:$B, "="&amp;'CHECK_DT-BT_chi_tiet'!A20, 'Tong_hop_HQNV_2026Q1_2026-06-23'!$A:$A, "="&amp;'CHECK_DT-BT_chi_tiet'!$AS$2)</f>
        <v>7093134493</v>
      </c>
      <c r="AT20" s="29">
        <f>SUMIFS('HQ1'!$D:$D,'HQ1'!$A:$A, "="&amp;'CHECK_DT-BT_chi_tiet'!C20,'HQ1'!$B:$B,"="&amp;'CHECK_DT-BT_chi_tiet'!$AS$3)</f>
        <v>7088067220</v>
      </c>
      <c r="AU20" s="7">
        <f t="shared" si="13"/>
        <v>5067273</v>
      </c>
      <c r="AV20" s="7">
        <f>SUMIFS('Tong_hop_HQNV_2026Q1_2026-06-23'!$L:$L,'Tong_hop_HQNV_2026Q1_2026-06-23'!$B:$B, "="&amp;'CHECK_DT-BT_chi_tiet'!A20, 'Tong_hop_HQNV_2026Q1_2026-06-23'!$A:$A, "="&amp;'CHECK_DT-BT_chi_tiet'!$AV$2)</f>
        <v>11883099084</v>
      </c>
      <c r="AW20" s="29">
        <f>SUMIFS('HQ1'!$D:$D,'HQ1'!$A:$A, "="&amp;'CHECK_DT-BT_chi_tiet'!C20,'HQ1'!$B:$B,"="&amp;'CHECK_DT-BT_chi_tiet'!$AV$3)</f>
        <v>11883099084</v>
      </c>
      <c r="AX20" s="7">
        <f t="shared" si="14"/>
        <v>0</v>
      </c>
      <c r="AY20" s="7">
        <f>SUMIFS('Tong_hop_HQNV_2026Q1_2026-06-23'!$L:$L,'Tong_hop_HQNV_2026Q1_2026-06-23'!$B:$B, "="&amp;'CHECK_DT-BT_chi_tiet'!A20, 'Tong_hop_HQNV_2026Q1_2026-06-23'!$A:$A, "="&amp;$AY$2)</f>
        <v>220428077</v>
      </c>
      <c r="AZ20" s="29">
        <f>SUMIFS('HQ2'!$J:$J,'HQ2'!$A:$A, "="&amp;'CHECK_DT-BT_chi_tiet'!C20,'HQ2'!$B:$B,"="&amp;'CHECK_DT-BT_chi_tiet'!$AY$3)</f>
        <v>220428077</v>
      </c>
      <c r="BA20" s="7">
        <f t="shared" si="15"/>
        <v>0</v>
      </c>
      <c r="BB20" s="7">
        <f>SUMIFS('Tong_hop_HQNV_2026Q1_2026-06-23'!$L:$L,'Tong_hop_HQNV_2026Q1_2026-06-23'!$B:$B, "="&amp;'CHECK_DT-BT_chi_tiet'!A20, 'Tong_hop_HQNV_2026Q1_2026-06-23'!$A:$A, "="&amp;$BB$2)</f>
        <v>0</v>
      </c>
      <c r="BC20" s="29">
        <f>SUMIFS('HQ2'!$J:$J,'HQ2'!$A:$A, "="&amp;'CHECK_DT-BT_chi_tiet'!C20,'HQ2'!$B:$B,"="&amp;'CHECK_DT-BT_chi_tiet'!$BB$3)</f>
        <v>0</v>
      </c>
      <c r="BD20" s="7">
        <f t="shared" si="16"/>
        <v>0</v>
      </c>
      <c r="BE20" s="7">
        <f>SUMIFS('Tong_hop_HQNV_2026Q1_2026-06-23'!$L:$L,'Tong_hop_HQNV_2026Q1_2026-06-23'!$B:$B, "="&amp;'CHECK_DT-BT_chi_tiet'!A20, 'Tong_hop_HQNV_2026Q1_2026-06-23'!$A:$A, "="&amp;$BE$2)</f>
        <v>0</v>
      </c>
      <c r="BF20" s="29">
        <f>SUMIFS('HQ2'!$J:$J,'HQ2'!$A:$A, "="&amp;'CHECK_DT-BT_chi_tiet'!C20,'HQ2'!$B:$B,"="&amp;'CHECK_DT-BT_chi_tiet'!$BE$3)</f>
        <v>0</v>
      </c>
      <c r="BG20" s="7">
        <f t="shared" si="17"/>
        <v>0</v>
      </c>
      <c r="BH20" s="7">
        <f>SUMIFS('Tong_hop_HQNV_2026Q1_2026-06-23'!$L:$L,'Tong_hop_HQNV_2026Q1_2026-06-23'!$B:$B, "="&amp;'CHECK_DT-BT_chi_tiet'!A20, 'Tong_hop_HQNV_2026Q1_2026-06-23'!$A:$A, "="&amp;$BH$2)</f>
        <v>33897747</v>
      </c>
      <c r="BI20" s="29">
        <f>SUMIFS('HQ2'!$J:$J,'HQ2'!$A:$A, "="&amp;'CHECK_DT-BT_chi_tiet'!C20,'HQ2'!$B:$B,"="&amp;'CHECK_DT-BT_chi_tiet'!$BH$3)</f>
        <v>33897747</v>
      </c>
      <c r="BJ20" s="7">
        <f t="shared" si="18"/>
        <v>0</v>
      </c>
      <c r="BK20" s="7">
        <f>SUMIFS('Tong_hop_HQNV_2026Q1_2026-06-23'!$L:$L,'Tong_hop_HQNV_2026Q1_2026-06-23'!$B:$B, "="&amp;'CHECK_DT-BT_chi_tiet'!A20, 'Tong_hop_HQNV_2026Q1_2026-06-23'!$A:$A, "="&amp;$BK$2)</f>
        <v>1073988825</v>
      </c>
      <c r="BL20" s="29">
        <f>SUMIFS('HQ2'!$J:$J,'HQ2'!$A:$A, "="&amp;'CHECK_DT-BT_chi_tiet'!C20,'HQ2'!$B:$B,"="&amp;'CHECK_DT-BT_chi_tiet'!$BK$3)</f>
        <v>1073988825</v>
      </c>
      <c r="BM20" s="7">
        <f t="shared" si="19"/>
        <v>0</v>
      </c>
      <c r="BN20" s="7">
        <f>SUMIFS('Tong_hop_HQNV_2026Q1_2026-06-23'!$L:$L,'Tong_hop_HQNV_2026Q1_2026-06-23'!$B:$B, "="&amp;'CHECK_DT-BT_chi_tiet'!A20, 'Tong_hop_HQNV_2026Q1_2026-06-23'!$A:$A, "="&amp;$BN$2)</f>
        <v>698411577</v>
      </c>
      <c r="BO20" s="29">
        <f>SUMIFS('HQ2'!$J:$J,'HQ2'!$A:$A, "="&amp;'CHECK_DT-BT_chi_tiet'!C20,'HQ2'!$B:$B,"="&amp;'CHECK_DT-BT_chi_tiet'!$BN$3)</f>
        <v>698411577</v>
      </c>
      <c r="BP20" s="7">
        <f t="shared" si="20"/>
        <v>0</v>
      </c>
      <c r="BQ20" s="7">
        <f>SUMIFS('Tong_hop_HQNV_2026Q1_2026-06-23'!$L:$L,'Tong_hop_HQNV_2026Q1_2026-06-23'!$B:$B, "="&amp;'CHECK_DT-BT_chi_tiet'!A20, 'Tong_hop_HQNV_2026Q1_2026-06-23'!$A:$A, "="&amp;$BQ$2)</f>
        <v>15781038</v>
      </c>
      <c r="BR20" s="29">
        <f>SUMIFS('HQ2'!$J:$J,'HQ2'!$A:$A, "="&amp;'CHECK_DT-BT_chi_tiet'!C20,'HQ2'!$B:$B,"="&amp;'CHECK_DT-BT_chi_tiet'!$BQ$3)</f>
        <v>15781038</v>
      </c>
      <c r="BS20" s="7">
        <f t="shared" si="21"/>
        <v>0</v>
      </c>
      <c r="BT20" s="7">
        <f>SUMIFS('Tong_hop_HQNV_2026Q1_2026-06-23'!$L:$L,'Tong_hop_HQNV_2026Q1_2026-06-23'!$B:$B, "="&amp;'CHECK_DT-BT_chi_tiet'!A20, 'Tong_hop_HQNV_2026Q1_2026-06-23'!$A:$A, "="&amp;$BT$2)</f>
        <v>0</v>
      </c>
      <c r="BU20" s="7">
        <f>SUMIFS('Tong_hop_HQNV_2026Q1_2026-06-23'!$L:$L,'Tong_hop_HQNV_2026Q1_2026-06-23'!$B:$B, "="&amp;'CHECK_DT-BT_chi_tiet'!A20, 'Tong_hop_HQNV_2026Q1_2026-06-23'!$A:$A, "="&amp;$BU$2)</f>
        <v>0</v>
      </c>
    </row>
    <row r="21" spans="1:73" x14ac:dyDescent="0.25">
      <c r="A21" s="9" t="s">
        <v>301</v>
      </c>
      <c r="B21" t="s">
        <v>159</v>
      </c>
      <c r="C21" t="s">
        <v>81</v>
      </c>
      <c r="D21" s="7">
        <f>SUMIFS('Tong_hop_HQNV_2026Q1_2026-06-23'!$K:$K,'Tong_hop_HQNV_2026Q1_2026-06-23'!$A:$A,"="&amp;'CHECK_DT-BT_chi_tiet'!$D$2,'Tong_hop_HQNV_2026Q1_2026-06-23'!$B:$B, "="&amp;'CHECK_DT-BT_chi_tiet'!A21)</f>
        <v>3835766917</v>
      </c>
      <c r="E21" s="7">
        <f>SUMIFS('HQ1'!$C:$C,'HQ1'!$A:$A, "="&amp;'CHECK_DT-BT_chi_tiet'!C21,'HQ1'!$B:$B, "="&amp;'CHECK_DT-BT_chi_tiet'!$D$3)</f>
        <v>3835766917</v>
      </c>
      <c r="F21" s="7">
        <f t="shared" si="0"/>
        <v>0</v>
      </c>
      <c r="G21" s="7">
        <f>SUMIFS('Tong_hop_HQNV_2026Q1_2026-06-23'!$K:$K,'Tong_hop_HQNV_2026Q1_2026-06-23'!$A:$A,"="&amp;'CHECK_DT-BT_chi_tiet'!$G$2,'Tong_hop_HQNV_2026Q1_2026-06-23'!$B:$B, "="&amp;'CHECK_DT-BT_chi_tiet'!A21)</f>
        <v>173382500</v>
      </c>
      <c r="H21" s="7">
        <f>SUMIFS('HQ1'!$C:$C,'HQ1'!$A:$A, "="&amp;'CHECK_DT-BT_chi_tiet'!C21,'HQ1'!$B:$B, "="&amp;'CHECK_DT-BT_chi_tiet'!$G$3)</f>
        <v>173382500</v>
      </c>
      <c r="I21" s="7">
        <f t="shared" si="1"/>
        <v>0</v>
      </c>
      <c r="J21" s="7">
        <f>SUMIFS('Tong_hop_HQNV_2026Q1_2026-06-23'!$K:$K,'Tong_hop_HQNV_2026Q1_2026-06-23'!$A:$A,"="&amp;'CHECK_DT-BT_chi_tiet'!$J$2,'Tong_hop_HQNV_2026Q1_2026-06-23'!$B:$B, "="&amp;'CHECK_DT-BT_chi_tiet'!A21)</f>
        <v>11001058588</v>
      </c>
      <c r="K21" s="7">
        <f>SUMIFS('HQ1'!$C:$C,'HQ1'!$A:$A, "="&amp;'CHECK_DT-BT_chi_tiet'!C21,'HQ1'!$B:$B, "="&amp;'CHECK_DT-BT_chi_tiet'!$J$3)</f>
        <v>11001058588</v>
      </c>
      <c r="L21" s="7">
        <f t="shared" si="2"/>
        <v>0</v>
      </c>
      <c r="M21" s="7">
        <f>SUMIFS('Tong_hop_HQNV_2026Q1_2026-06-23'!$K:$K,'Tong_hop_HQNV_2026Q1_2026-06-23'!$A:$A,"="&amp;'CHECK_DT-BT_chi_tiet'!$M$2,'Tong_hop_HQNV_2026Q1_2026-06-23'!$B:$B, "="&amp;'CHECK_DT-BT_chi_tiet'!A21)</f>
        <v>705674525</v>
      </c>
      <c r="N21" s="7">
        <f>SUMIFS('HQ1'!$C:$C,'HQ1'!$A:$A, "="&amp;'CHECK_DT-BT_chi_tiet'!C21,'HQ1'!$B:$B, "="&amp;'CHECK_DT-BT_chi_tiet'!$M$3)</f>
        <v>705674525</v>
      </c>
      <c r="O21" s="7">
        <f t="shared" si="3"/>
        <v>0</v>
      </c>
      <c r="P21" s="7">
        <f>SUMIFS('Tong_hop_HQNV_2026Q1_2026-06-23'!$K:$K,'Tong_hop_HQNV_2026Q1_2026-06-23'!$A:$A,"="&amp;$P$2,'Tong_hop_HQNV_2026Q1_2026-06-23'!$B:$B, "="&amp;'CHECK_DT-BT_chi_tiet'!A21)</f>
        <v>520501237</v>
      </c>
      <c r="Q21" s="7">
        <f>SUMIFS('HQ2'!$C:$C,'HQ2'!$A:$A, "="&amp;'CHECK_DT-BT_chi_tiet'!C21,'HQ2'!$B:$B, "="&amp;'CHECK_DT-BT_chi_tiet'!$P$3)</f>
        <v>520501237</v>
      </c>
      <c r="R21" s="7">
        <f t="shared" si="4"/>
        <v>0</v>
      </c>
      <c r="S21" s="7">
        <f>SUMIFS('Tong_hop_HQNV_2026Q1_2026-06-23'!$K:$K,'Tong_hop_HQNV_2026Q1_2026-06-23'!$A:$A,"="&amp;$S$2,'Tong_hop_HQNV_2026Q1_2026-06-23'!$B:$B, "="&amp;'CHECK_DT-BT_chi_tiet'!A21)</f>
        <v>0</v>
      </c>
      <c r="T21" s="7">
        <f>SUMIFS('HQ2'!$C:$C,'HQ2'!$A:$A, "="&amp;'CHECK_DT-BT_chi_tiet'!C21,'HQ2'!$B:$B, "="&amp;'CHECK_DT-BT_chi_tiet'!$S$3)</f>
        <v>0</v>
      </c>
      <c r="U21" s="7">
        <f t="shared" si="5"/>
        <v>0</v>
      </c>
      <c r="V21" s="7">
        <f>SUMIFS('Tong_hop_HQNV_2026Q1_2026-06-23'!$K:$K,'Tong_hop_HQNV_2026Q1_2026-06-23'!$A:$A,"="&amp;$V$2,'Tong_hop_HQNV_2026Q1_2026-06-23'!$B:$B, "="&amp;'CHECK_DT-BT_chi_tiet'!A21)</f>
        <v>0</v>
      </c>
      <c r="W21" s="7">
        <f>SUMIFS('HQ2'!$C:$C,'HQ2'!$A:$A, "="&amp;'CHECK_DT-BT_chi_tiet'!C21,'HQ2'!$B:$B, "="&amp;'CHECK_DT-BT_chi_tiet'!$V$3)</f>
        <v>0</v>
      </c>
      <c r="X21" s="7">
        <f t="shared" si="6"/>
        <v>0</v>
      </c>
      <c r="Y21" s="7">
        <f>SUMIFS('Tong_hop_HQNV_2026Q1_2026-06-23'!$K:$K,'Tong_hop_HQNV_2026Q1_2026-06-23'!$A:$A,"="&amp;$Y$2,'Tong_hop_HQNV_2026Q1_2026-06-23'!$B:$B, "="&amp;'CHECK_DT-BT_chi_tiet'!A21)</f>
        <v>0</v>
      </c>
      <c r="Z21" s="7">
        <f>SUMIFS('HQ2'!$C:$C,'HQ2'!$A:$A, "="&amp;'CHECK_DT-BT_chi_tiet'!C21,'HQ2'!$B:$B, "="&amp;'CHECK_DT-BT_chi_tiet'!$Y$3)</f>
        <v>0</v>
      </c>
      <c r="AA21" s="7">
        <f t="shared" si="7"/>
        <v>0</v>
      </c>
      <c r="AB21" s="7">
        <f>SUMIFS('Tong_hop_HQNV_2026Q1_2026-06-23'!$K:$K,'Tong_hop_HQNV_2026Q1_2026-06-23'!$A:$A,"="&amp;$AB$2,'Tong_hop_HQNV_2026Q1_2026-06-23'!$B:$B, "="&amp;'CHECK_DT-BT_chi_tiet'!A21)</f>
        <v>2804323614</v>
      </c>
      <c r="AC21" s="7">
        <f>SUMIFS('HQ2'!$C:$C,'HQ2'!$A:$A, "="&amp;'CHECK_DT-BT_chi_tiet'!C21,'HQ2'!$B:$B, "="&amp;'CHECK_DT-BT_chi_tiet'!$AB$3)</f>
        <v>2804323614</v>
      </c>
      <c r="AD21" s="7">
        <f t="shared" si="8"/>
        <v>0</v>
      </c>
      <c r="AE21" s="7">
        <f>SUMIFS('Tong_hop_HQNV_2026Q1_2026-06-23'!$K:$K,'Tong_hop_HQNV_2026Q1_2026-06-23'!$A:$A,"="&amp;$AE$2,'Tong_hop_HQNV_2026Q1_2026-06-23'!$B:$B, "="&amp;'CHECK_DT-BT_chi_tiet'!A21)</f>
        <v>637467482</v>
      </c>
      <c r="AF21" s="7">
        <f>SUMIFS('HQ2'!$C:$C,'HQ2'!$A:$A, "="&amp;'CHECK_DT-BT_chi_tiet'!C21,'HQ2'!$B:$B, "="&amp;'CHECK_DT-BT_chi_tiet'!$AE$3)</f>
        <v>637467482</v>
      </c>
      <c r="AG21" s="7">
        <f t="shared" si="9"/>
        <v>0</v>
      </c>
      <c r="AH21" s="7">
        <f>SUMIFS('Tong_hop_HQNV_2026Q1_2026-06-23'!$K:$K,'Tong_hop_HQNV_2026Q1_2026-06-23'!$A:$A,"="&amp;$AH$2,'Tong_hop_HQNV_2026Q1_2026-06-23'!$B:$B, "="&amp;'CHECK_DT-BT_chi_tiet'!A21)</f>
        <v>10000000</v>
      </c>
      <c r="AI21" s="7">
        <f>SUMIFS('HQ2'!$C:$C,'HQ2'!$A:$A, "="&amp;'CHECK_DT-BT_chi_tiet'!C21,'HQ2'!$B:$B, "="&amp;'CHECK_DT-BT_chi_tiet'!$AH$3)</f>
        <v>10000000</v>
      </c>
      <c r="AJ21" s="7">
        <f t="shared" si="10"/>
        <v>0</v>
      </c>
      <c r="AK21" s="7">
        <f>SUMIFS('Tong_hop_HQNV_2026Q1_2026-06-23'!$K:$K,'Tong_hop_HQNV_2026Q1_2026-06-23'!$A:$A,"="&amp;$AK$2,'Tong_hop_HQNV_2026Q1_2026-06-23'!$B:$B, "="&amp;'CHECK_DT-BT_chi_tiet'!A21)</f>
        <v>0</v>
      </c>
      <c r="AL21" s="7">
        <f>SUMIFS('Tong_hop_HQNV_2026Q1_2026-06-23'!$K:$K,'Tong_hop_HQNV_2026Q1_2026-06-23'!$A:$A,"="&amp;$AL$2,'Tong_hop_HQNV_2026Q1_2026-06-23'!$B:$B, "="&amp;'CHECK_DT-BT_chi_tiet'!A21)</f>
        <v>0</v>
      </c>
      <c r="AM21" s="23">
        <f>SUMIFS('Tong_hop_HQNV_2026Q1_2026-06-23'!$L:$L,'Tong_hop_HQNV_2026Q1_2026-06-23'!$B:$B, "="&amp;'CHECK_DT-BT_chi_tiet'!A21, 'Tong_hop_HQNV_2026Q1_2026-06-23'!$A:$A, "="&amp;'CHECK_DT-BT_chi_tiet'!$AM$2)</f>
        <v>1753747019</v>
      </c>
      <c r="AN21" s="29">
        <f>SUMIFS('HQ1'!$D:$D,'HQ1'!$A:$A, "="&amp;'CHECK_DT-BT_chi_tiet'!C21,'HQ1'!$B:$B,"="&amp;'CHECK_DT-BT_chi_tiet'!$AM$3)</f>
        <v>1753747019</v>
      </c>
      <c r="AO21" s="29">
        <f t="shared" si="11"/>
        <v>0</v>
      </c>
      <c r="AP21" s="7">
        <f>SUMIFS('Tong_hop_HQNV_2026Q1_2026-06-23'!$L:$L,'Tong_hop_HQNV_2026Q1_2026-06-23'!$B:$B, "="&amp;'CHECK_DT-BT_chi_tiet'!A21, 'Tong_hop_HQNV_2026Q1_2026-06-23'!$A:$A, "="&amp;'CHECK_DT-BT_chi_tiet'!$AP$2)</f>
        <v>24893143</v>
      </c>
      <c r="AQ21" s="29">
        <f>SUMIFS('HQ1'!$D:$D,'HQ1'!$A:$A, "="&amp;'CHECK_DT-BT_chi_tiet'!C21,'HQ1'!$B:$B,"="&amp;'CHECK_DT-BT_chi_tiet'!$AP$3)</f>
        <v>24893143</v>
      </c>
      <c r="AR21" s="7">
        <f t="shared" si="12"/>
        <v>0</v>
      </c>
      <c r="AS21" s="7">
        <f>SUMIFS('Tong_hop_HQNV_2026Q1_2026-06-23'!$L:$L,'Tong_hop_HQNV_2026Q1_2026-06-23'!$B:$B, "="&amp;'CHECK_DT-BT_chi_tiet'!A21, 'Tong_hop_HQNV_2026Q1_2026-06-23'!$A:$A, "="&amp;'CHECK_DT-BT_chi_tiet'!$AS$2)</f>
        <v>6241753890</v>
      </c>
      <c r="AT21" s="29">
        <f>SUMIFS('HQ1'!$D:$D,'HQ1'!$A:$A, "="&amp;'CHECK_DT-BT_chi_tiet'!C21,'HQ1'!$B:$B,"="&amp;'CHECK_DT-BT_chi_tiet'!$AS$3)</f>
        <v>6241753890</v>
      </c>
      <c r="AU21" s="7">
        <f t="shared" si="13"/>
        <v>0</v>
      </c>
      <c r="AV21" s="7">
        <f>SUMIFS('Tong_hop_HQNV_2026Q1_2026-06-23'!$L:$L,'Tong_hop_HQNV_2026Q1_2026-06-23'!$B:$B, "="&amp;'CHECK_DT-BT_chi_tiet'!A21, 'Tong_hop_HQNV_2026Q1_2026-06-23'!$A:$A, "="&amp;'CHECK_DT-BT_chi_tiet'!$AV$2)</f>
        <v>206840735</v>
      </c>
      <c r="AW21" s="29">
        <f>SUMIFS('HQ1'!$D:$D,'HQ1'!$A:$A, "="&amp;'CHECK_DT-BT_chi_tiet'!C21,'HQ1'!$B:$B,"="&amp;'CHECK_DT-BT_chi_tiet'!$AV$3)</f>
        <v>206840735</v>
      </c>
      <c r="AX21" s="7">
        <f t="shared" si="14"/>
        <v>0</v>
      </c>
      <c r="AY21" s="7">
        <f>SUMIFS('Tong_hop_HQNV_2026Q1_2026-06-23'!$L:$L,'Tong_hop_HQNV_2026Q1_2026-06-23'!$B:$B, "="&amp;'CHECK_DT-BT_chi_tiet'!A21, 'Tong_hop_HQNV_2026Q1_2026-06-23'!$A:$A, "="&amp;$AY$2)</f>
        <v>0</v>
      </c>
      <c r="AZ21" s="29">
        <f>SUMIFS('HQ2'!$J:$J,'HQ2'!$A:$A, "="&amp;'CHECK_DT-BT_chi_tiet'!C21,'HQ2'!$B:$B,"="&amp;'CHECK_DT-BT_chi_tiet'!$AY$3)</f>
        <v>0</v>
      </c>
      <c r="BA21" s="7">
        <f t="shared" si="15"/>
        <v>0</v>
      </c>
      <c r="BB21" s="7">
        <f>SUMIFS('Tong_hop_HQNV_2026Q1_2026-06-23'!$L:$L,'Tong_hop_HQNV_2026Q1_2026-06-23'!$B:$B, "="&amp;'CHECK_DT-BT_chi_tiet'!A21, 'Tong_hop_HQNV_2026Q1_2026-06-23'!$A:$A, "="&amp;$BB$2)</f>
        <v>0</v>
      </c>
      <c r="BC21" s="29">
        <f>SUMIFS('HQ2'!$J:$J,'HQ2'!$A:$A, "="&amp;'CHECK_DT-BT_chi_tiet'!C21,'HQ2'!$B:$B,"="&amp;'CHECK_DT-BT_chi_tiet'!$BB$3)</f>
        <v>0</v>
      </c>
      <c r="BD21" s="7">
        <f t="shared" si="16"/>
        <v>0</v>
      </c>
      <c r="BE21" s="7">
        <f>SUMIFS('Tong_hop_HQNV_2026Q1_2026-06-23'!$L:$L,'Tong_hop_HQNV_2026Q1_2026-06-23'!$B:$B, "="&amp;'CHECK_DT-BT_chi_tiet'!A21, 'Tong_hop_HQNV_2026Q1_2026-06-23'!$A:$A, "="&amp;$BE$2)</f>
        <v>0</v>
      </c>
      <c r="BF21" s="29">
        <f>SUMIFS('HQ2'!$J:$J,'HQ2'!$A:$A, "="&amp;'CHECK_DT-BT_chi_tiet'!C21,'HQ2'!$B:$B,"="&amp;'CHECK_DT-BT_chi_tiet'!$BE$3)</f>
        <v>0</v>
      </c>
      <c r="BG21" s="7">
        <f t="shared" si="17"/>
        <v>0</v>
      </c>
      <c r="BH21" s="7">
        <f>SUMIFS('Tong_hop_HQNV_2026Q1_2026-06-23'!$L:$L,'Tong_hop_HQNV_2026Q1_2026-06-23'!$B:$B, "="&amp;'CHECK_DT-BT_chi_tiet'!A21, 'Tong_hop_HQNV_2026Q1_2026-06-23'!$A:$A, "="&amp;$BH$2)</f>
        <v>0</v>
      </c>
      <c r="BI21" s="29">
        <f>SUMIFS('HQ2'!$J:$J,'HQ2'!$A:$A, "="&amp;'CHECK_DT-BT_chi_tiet'!C21,'HQ2'!$B:$B,"="&amp;'CHECK_DT-BT_chi_tiet'!$BH$3)</f>
        <v>0</v>
      </c>
      <c r="BJ21" s="7">
        <f t="shared" si="18"/>
        <v>0</v>
      </c>
      <c r="BK21" s="7">
        <f>SUMIFS('Tong_hop_HQNV_2026Q1_2026-06-23'!$L:$L,'Tong_hop_HQNV_2026Q1_2026-06-23'!$B:$B, "="&amp;'CHECK_DT-BT_chi_tiet'!A21, 'Tong_hop_HQNV_2026Q1_2026-06-23'!$A:$A, "="&amp;$BK$2)</f>
        <v>7000000000</v>
      </c>
      <c r="BL21" s="29">
        <f>SUMIFS('HQ2'!$J:$J,'HQ2'!$A:$A, "="&amp;'CHECK_DT-BT_chi_tiet'!C21,'HQ2'!$B:$B,"="&amp;'CHECK_DT-BT_chi_tiet'!$BK$3)</f>
        <v>7000000000</v>
      </c>
      <c r="BM21" s="7">
        <f t="shared" si="19"/>
        <v>0</v>
      </c>
      <c r="BN21" s="7">
        <f>SUMIFS('Tong_hop_HQNV_2026Q1_2026-06-23'!$L:$L,'Tong_hop_HQNV_2026Q1_2026-06-23'!$B:$B, "="&amp;'CHECK_DT-BT_chi_tiet'!A21, 'Tong_hop_HQNV_2026Q1_2026-06-23'!$A:$A, "="&amp;$BN$2)</f>
        <v>0</v>
      </c>
      <c r="BO21" s="29">
        <f>SUMIFS('HQ2'!$J:$J,'HQ2'!$A:$A, "="&amp;'CHECK_DT-BT_chi_tiet'!C21,'HQ2'!$B:$B,"="&amp;'CHECK_DT-BT_chi_tiet'!$BN$3)</f>
        <v>0</v>
      </c>
      <c r="BP21" s="7">
        <f t="shared" si="20"/>
        <v>0</v>
      </c>
      <c r="BQ21" s="7">
        <f>SUMIFS('Tong_hop_HQNV_2026Q1_2026-06-23'!$L:$L,'Tong_hop_HQNV_2026Q1_2026-06-23'!$B:$B, "="&amp;'CHECK_DT-BT_chi_tiet'!A21, 'Tong_hop_HQNV_2026Q1_2026-06-23'!$A:$A, "="&amp;$BQ$2)</f>
        <v>0</v>
      </c>
      <c r="BR21" s="29">
        <f>SUMIFS('HQ2'!$J:$J,'HQ2'!$A:$A, "="&amp;'CHECK_DT-BT_chi_tiet'!C21,'HQ2'!$B:$B,"="&amp;'CHECK_DT-BT_chi_tiet'!$BQ$3)</f>
        <v>0</v>
      </c>
      <c r="BS21" s="7">
        <f t="shared" si="21"/>
        <v>0</v>
      </c>
      <c r="BT21" s="7">
        <f>SUMIFS('Tong_hop_HQNV_2026Q1_2026-06-23'!$L:$L,'Tong_hop_HQNV_2026Q1_2026-06-23'!$B:$B, "="&amp;'CHECK_DT-BT_chi_tiet'!A21, 'Tong_hop_HQNV_2026Q1_2026-06-23'!$A:$A, "="&amp;$BT$2)</f>
        <v>0</v>
      </c>
      <c r="BU21" s="7">
        <f>SUMIFS('Tong_hop_HQNV_2026Q1_2026-06-23'!$L:$L,'Tong_hop_HQNV_2026Q1_2026-06-23'!$B:$B, "="&amp;'CHECK_DT-BT_chi_tiet'!A21, 'Tong_hop_HQNV_2026Q1_2026-06-23'!$A:$A, "="&amp;$BU$2)</f>
        <v>0</v>
      </c>
    </row>
    <row r="22" spans="1:73" x14ac:dyDescent="0.25">
      <c r="A22" s="9" t="s">
        <v>302</v>
      </c>
      <c r="B22" t="s">
        <v>160</v>
      </c>
      <c r="C22" t="s">
        <v>120</v>
      </c>
      <c r="D22" s="7">
        <f>SUMIFS('Tong_hop_HQNV_2026Q1_2026-06-23'!$K:$K,'Tong_hop_HQNV_2026Q1_2026-06-23'!$A:$A,"="&amp;'CHECK_DT-BT_chi_tiet'!$D$2,'Tong_hop_HQNV_2026Q1_2026-06-23'!$B:$B, "="&amp;'CHECK_DT-BT_chi_tiet'!A22)</f>
        <v>1601322000</v>
      </c>
      <c r="E22" s="7">
        <f>SUMIFS('HQ1'!$C:$C,'HQ1'!$A:$A, "="&amp;'CHECK_DT-BT_chi_tiet'!C22,'HQ1'!$B:$B, "="&amp;'CHECK_DT-BT_chi_tiet'!$D$3)</f>
        <v>1601322000</v>
      </c>
      <c r="F22" s="7">
        <f t="shared" si="0"/>
        <v>0</v>
      </c>
      <c r="G22" s="7">
        <f>SUMIFS('Tong_hop_HQNV_2026Q1_2026-06-23'!$K:$K,'Tong_hop_HQNV_2026Q1_2026-06-23'!$A:$A,"="&amp;'CHECK_DT-BT_chi_tiet'!$G$2,'Tong_hop_HQNV_2026Q1_2026-06-23'!$B:$B, "="&amp;'CHECK_DT-BT_chi_tiet'!A22)</f>
        <v>1679000</v>
      </c>
      <c r="H22" s="7">
        <f>SUMIFS('HQ1'!$C:$C,'HQ1'!$A:$A, "="&amp;'CHECK_DT-BT_chi_tiet'!C22,'HQ1'!$B:$B, "="&amp;'CHECK_DT-BT_chi_tiet'!$G$3)</f>
        <v>1679000</v>
      </c>
      <c r="I22" s="7">
        <f t="shared" si="1"/>
        <v>0</v>
      </c>
      <c r="J22" s="7">
        <f>SUMIFS('Tong_hop_HQNV_2026Q1_2026-06-23'!$K:$K,'Tong_hop_HQNV_2026Q1_2026-06-23'!$A:$A,"="&amp;'CHECK_DT-BT_chi_tiet'!$J$2,'Tong_hop_HQNV_2026Q1_2026-06-23'!$B:$B, "="&amp;'CHECK_DT-BT_chi_tiet'!A22)</f>
        <v>2804379783</v>
      </c>
      <c r="K22" s="7">
        <f>SUMIFS('HQ1'!$C:$C,'HQ1'!$A:$A, "="&amp;'CHECK_DT-BT_chi_tiet'!C22,'HQ1'!$B:$B, "="&amp;'CHECK_DT-BT_chi_tiet'!$J$3)</f>
        <v>2804379783</v>
      </c>
      <c r="L22" s="7">
        <f t="shared" si="2"/>
        <v>0</v>
      </c>
      <c r="M22" s="7">
        <f>SUMIFS('Tong_hop_HQNV_2026Q1_2026-06-23'!$K:$K,'Tong_hop_HQNV_2026Q1_2026-06-23'!$A:$A,"="&amp;'CHECK_DT-BT_chi_tiet'!$M$2,'Tong_hop_HQNV_2026Q1_2026-06-23'!$B:$B, "="&amp;'CHECK_DT-BT_chi_tiet'!A22)</f>
        <v>177029000</v>
      </c>
      <c r="N22" s="7">
        <f>SUMIFS('HQ1'!$C:$C,'HQ1'!$A:$A, "="&amp;'CHECK_DT-BT_chi_tiet'!C22,'HQ1'!$B:$B, "="&amp;'CHECK_DT-BT_chi_tiet'!$M$3)</f>
        <v>177029000</v>
      </c>
      <c r="O22" s="7">
        <f t="shared" si="3"/>
        <v>0</v>
      </c>
      <c r="P22" s="7">
        <f>SUMIFS('Tong_hop_HQNV_2026Q1_2026-06-23'!$K:$K,'Tong_hop_HQNV_2026Q1_2026-06-23'!$A:$A,"="&amp;$P$2,'Tong_hop_HQNV_2026Q1_2026-06-23'!$B:$B, "="&amp;'CHECK_DT-BT_chi_tiet'!A22)</f>
        <v>0</v>
      </c>
      <c r="Q22" s="7">
        <f>SUMIFS('HQ2'!$C:$C,'HQ2'!$A:$A, "="&amp;'CHECK_DT-BT_chi_tiet'!C22,'HQ2'!$B:$B, "="&amp;'CHECK_DT-BT_chi_tiet'!$P$3)</f>
        <v>0</v>
      </c>
      <c r="R22" s="7">
        <f t="shared" si="4"/>
        <v>0</v>
      </c>
      <c r="S22" s="7">
        <f>SUMIFS('Tong_hop_HQNV_2026Q1_2026-06-23'!$K:$K,'Tong_hop_HQNV_2026Q1_2026-06-23'!$A:$A,"="&amp;$S$2,'Tong_hop_HQNV_2026Q1_2026-06-23'!$B:$B, "="&amp;'CHECK_DT-BT_chi_tiet'!A22)</f>
        <v>0</v>
      </c>
      <c r="T22" s="7">
        <f>SUMIFS('HQ2'!$C:$C,'HQ2'!$A:$A, "="&amp;'CHECK_DT-BT_chi_tiet'!C22,'HQ2'!$B:$B, "="&amp;'CHECK_DT-BT_chi_tiet'!$S$3)</f>
        <v>0</v>
      </c>
      <c r="U22" s="7">
        <f t="shared" si="5"/>
        <v>0</v>
      </c>
      <c r="V22" s="7">
        <f>SUMIFS('Tong_hop_HQNV_2026Q1_2026-06-23'!$K:$K,'Tong_hop_HQNV_2026Q1_2026-06-23'!$A:$A,"="&amp;$V$2,'Tong_hop_HQNV_2026Q1_2026-06-23'!$B:$B, "="&amp;'CHECK_DT-BT_chi_tiet'!A22)</f>
        <v>0</v>
      </c>
      <c r="W22" s="7">
        <f>SUMIFS('HQ2'!$C:$C,'HQ2'!$A:$A, "="&amp;'CHECK_DT-BT_chi_tiet'!C22,'HQ2'!$B:$B, "="&amp;'CHECK_DT-BT_chi_tiet'!$V$3)</f>
        <v>0</v>
      </c>
      <c r="X22" s="7">
        <f t="shared" si="6"/>
        <v>0</v>
      </c>
      <c r="Y22" s="7">
        <f>SUMIFS('Tong_hop_HQNV_2026Q1_2026-06-23'!$K:$K,'Tong_hop_HQNV_2026Q1_2026-06-23'!$A:$A,"="&amp;$Y$2,'Tong_hop_HQNV_2026Q1_2026-06-23'!$B:$B, "="&amp;'CHECK_DT-BT_chi_tiet'!A22)</f>
        <v>0</v>
      </c>
      <c r="Z22" s="7">
        <f>SUMIFS('HQ2'!$C:$C,'HQ2'!$A:$A, "="&amp;'CHECK_DT-BT_chi_tiet'!C22,'HQ2'!$B:$B, "="&amp;'CHECK_DT-BT_chi_tiet'!$Y$3)</f>
        <v>0</v>
      </c>
      <c r="AA22" s="7">
        <f t="shared" si="7"/>
        <v>0</v>
      </c>
      <c r="AB22" s="7">
        <f>SUMIFS('Tong_hop_HQNV_2026Q1_2026-06-23'!$K:$K,'Tong_hop_HQNV_2026Q1_2026-06-23'!$A:$A,"="&amp;$AB$2,'Tong_hop_HQNV_2026Q1_2026-06-23'!$B:$B, "="&amp;'CHECK_DT-BT_chi_tiet'!A22)</f>
        <v>39074125</v>
      </c>
      <c r="AC22" s="7">
        <f>SUMIFS('HQ2'!$C:$C,'HQ2'!$A:$A, "="&amp;'CHECK_DT-BT_chi_tiet'!C22,'HQ2'!$B:$B, "="&amp;'CHECK_DT-BT_chi_tiet'!$AB$3)</f>
        <v>39074125</v>
      </c>
      <c r="AD22" s="7">
        <f t="shared" si="8"/>
        <v>0</v>
      </c>
      <c r="AE22" s="7">
        <f>SUMIFS('Tong_hop_HQNV_2026Q1_2026-06-23'!$K:$K,'Tong_hop_HQNV_2026Q1_2026-06-23'!$A:$A,"="&amp;$AE$2,'Tong_hop_HQNV_2026Q1_2026-06-23'!$B:$B, "="&amp;'CHECK_DT-BT_chi_tiet'!A22)</f>
        <v>516759637</v>
      </c>
      <c r="AF22" s="7">
        <f>SUMIFS('HQ2'!$C:$C,'HQ2'!$A:$A, "="&amp;'CHECK_DT-BT_chi_tiet'!C22,'HQ2'!$B:$B, "="&amp;'CHECK_DT-BT_chi_tiet'!$AE$3)</f>
        <v>516759637</v>
      </c>
      <c r="AG22" s="7">
        <f t="shared" si="9"/>
        <v>0</v>
      </c>
      <c r="AH22" s="7">
        <f>SUMIFS('Tong_hop_HQNV_2026Q1_2026-06-23'!$K:$K,'Tong_hop_HQNV_2026Q1_2026-06-23'!$A:$A,"="&amp;$AH$2,'Tong_hop_HQNV_2026Q1_2026-06-23'!$B:$B, "="&amp;'CHECK_DT-BT_chi_tiet'!A22)</f>
        <v>0</v>
      </c>
      <c r="AI22" s="7">
        <f>SUMIFS('HQ2'!$C:$C,'HQ2'!$A:$A, "="&amp;'CHECK_DT-BT_chi_tiet'!C22,'HQ2'!$B:$B, "="&amp;'CHECK_DT-BT_chi_tiet'!$AH$3)</f>
        <v>0</v>
      </c>
      <c r="AJ22" s="7">
        <f t="shared" si="10"/>
        <v>0</v>
      </c>
      <c r="AK22" s="7">
        <f>SUMIFS('Tong_hop_HQNV_2026Q1_2026-06-23'!$K:$K,'Tong_hop_HQNV_2026Q1_2026-06-23'!$A:$A,"="&amp;$AK$2,'Tong_hop_HQNV_2026Q1_2026-06-23'!$B:$B, "="&amp;'CHECK_DT-BT_chi_tiet'!A22)</f>
        <v>0</v>
      </c>
      <c r="AL22" s="7">
        <f>SUMIFS('Tong_hop_HQNV_2026Q1_2026-06-23'!$K:$K,'Tong_hop_HQNV_2026Q1_2026-06-23'!$A:$A,"="&amp;$AL$2,'Tong_hop_HQNV_2026Q1_2026-06-23'!$B:$B, "="&amp;'CHECK_DT-BT_chi_tiet'!A22)</f>
        <v>0</v>
      </c>
      <c r="AM22" s="23">
        <f>SUMIFS('Tong_hop_HQNV_2026Q1_2026-06-23'!$L:$L,'Tong_hop_HQNV_2026Q1_2026-06-23'!$B:$B, "="&amp;'CHECK_DT-BT_chi_tiet'!A22, 'Tong_hop_HQNV_2026Q1_2026-06-23'!$A:$A, "="&amp;'CHECK_DT-BT_chi_tiet'!$AM$2)</f>
        <v>783259000</v>
      </c>
      <c r="AN22" s="29">
        <f>SUMIFS('HQ1'!$D:$D,'HQ1'!$A:$A, "="&amp;'CHECK_DT-BT_chi_tiet'!C22,'HQ1'!$B:$B,"="&amp;'CHECK_DT-BT_chi_tiet'!$AM$3)</f>
        <v>783259000</v>
      </c>
      <c r="AO22" s="29">
        <f t="shared" si="11"/>
        <v>0</v>
      </c>
      <c r="AP22" s="7">
        <f>SUMIFS('Tong_hop_HQNV_2026Q1_2026-06-23'!$L:$L,'Tong_hop_HQNV_2026Q1_2026-06-23'!$B:$B, "="&amp;'CHECK_DT-BT_chi_tiet'!A22, 'Tong_hop_HQNV_2026Q1_2026-06-23'!$A:$A, "="&amp;'CHECK_DT-BT_chi_tiet'!$AP$2)</f>
        <v>0</v>
      </c>
      <c r="AQ22" s="29">
        <f>SUMIFS('HQ1'!$D:$D,'HQ1'!$A:$A, "="&amp;'CHECK_DT-BT_chi_tiet'!C22,'HQ1'!$B:$B,"="&amp;'CHECK_DT-BT_chi_tiet'!$AP$3)</f>
        <v>0</v>
      </c>
      <c r="AR22" s="7">
        <f t="shared" si="12"/>
        <v>0</v>
      </c>
      <c r="AS22" s="7">
        <f>SUMIFS('Tong_hop_HQNV_2026Q1_2026-06-23'!$L:$L,'Tong_hop_HQNV_2026Q1_2026-06-23'!$B:$B, "="&amp;'CHECK_DT-BT_chi_tiet'!A22, 'Tong_hop_HQNV_2026Q1_2026-06-23'!$A:$A, "="&amp;'CHECK_DT-BT_chi_tiet'!$AS$2)</f>
        <v>1324984604</v>
      </c>
      <c r="AT22" s="29">
        <f>SUMIFS('HQ1'!$D:$D,'HQ1'!$A:$A, "="&amp;'CHECK_DT-BT_chi_tiet'!C22,'HQ1'!$B:$B,"="&amp;'CHECK_DT-BT_chi_tiet'!$AS$3)</f>
        <v>1324984604</v>
      </c>
      <c r="AU22" s="7">
        <f t="shared" si="13"/>
        <v>0</v>
      </c>
      <c r="AV22" s="7">
        <f>SUMIFS('Tong_hop_HQNV_2026Q1_2026-06-23'!$L:$L,'Tong_hop_HQNV_2026Q1_2026-06-23'!$B:$B, "="&amp;'CHECK_DT-BT_chi_tiet'!A22, 'Tong_hop_HQNV_2026Q1_2026-06-23'!$A:$A, "="&amp;'CHECK_DT-BT_chi_tiet'!$AV$2)</f>
        <v>45125942</v>
      </c>
      <c r="AW22" s="29">
        <f>SUMIFS('HQ1'!$D:$D,'HQ1'!$A:$A, "="&amp;'CHECK_DT-BT_chi_tiet'!C22,'HQ1'!$B:$B,"="&amp;'CHECK_DT-BT_chi_tiet'!$AV$3)</f>
        <v>45125942</v>
      </c>
      <c r="AX22" s="7">
        <f t="shared" si="14"/>
        <v>0</v>
      </c>
      <c r="AY22" s="7">
        <f>SUMIFS('Tong_hop_HQNV_2026Q1_2026-06-23'!$L:$L,'Tong_hop_HQNV_2026Q1_2026-06-23'!$B:$B, "="&amp;'CHECK_DT-BT_chi_tiet'!A22, 'Tong_hop_HQNV_2026Q1_2026-06-23'!$A:$A, "="&amp;$AY$2)</f>
        <v>0</v>
      </c>
      <c r="AZ22" s="29">
        <f>SUMIFS('HQ2'!$J:$J,'HQ2'!$A:$A, "="&amp;'CHECK_DT-BT_chi_tiet'!C22,'HQ2'!$B:$B,"="&amp;'CHECK_DT-BT_chi_tiet'!$AY$3)</f>
        <v>0</v>
      </c>
      <c r="BA22" s="7">
        <f t="shared" si="15"/>
        <v>0</v>
      </c>
      <c r="BB22" s="7">
        <f>SUMIFS('Tong_hop_HQNV_2026Q1_2026-06-23'!$L:$L,'Tong_hop_HQNV_2026Q1_2026-06-23'!$B:$B, "="&amp;'CHECK_DT-BT_chi_tiet'!A22, 'Tong_hop_HQNV_2026Q1_2026-06-23'!$A:$A, "="&amp;$BB$2)</f>
        <v>0</v>
      </c>
      <c r="BC22" s="29">
        <f>SUMIFS('HQ2'!$J:$J,'HQ2'!$A:$A, "="&amp;'CHECK_DT-BT_chi_tiet'!C22,'HQ2'!$B:$B,"="&amp;'CHECK_DT-BT_chi_tiet'!$BB$3)</f>
        <v>0</v>
      </c>
      <c r="BD22" s="7">
        <f t="shared" si="16"/>
        <v>0</v>
      </c>
      <c r="BE22" s="7">
        <f>SUMIFS('Tong_hop_HQNV_2026Q1_2026-06-23'!$L:$L,'Tong_hop_HQNV_2026Q1_2026-06-23'!$B:$B, "="&amp;'CHECK_DT-BT_chi_tiet'!A22, 'Tong_hop_HQNV_2026Q1_2026-06-23'!$A:$A, "="&amp;$BE$2)</f>
        <v>0</v>
      </c>
      <c r="BF22" s="29">
        <f>SUMIFS('HQ2'!$J:$J,'HQ2'!$A:$A, "="&amp;'CHECK_DT-BT_chi_tiet'!C22,'HQ2'!$B:$B,"="&amp;'CHECK_DT-BT_chi_tiet'!$BE$3)</f>
        <v>0</v>
      </c>
      <c r="BG22" s="7">
        <f t="shared" si="17"/>
        <v>0</v>
      </c>
      <c r="BH22" s="7">
        <f>SUMIFS('Tong_hop_HQNV_2026Q1_2026-06-23'!$L:$L,'Tong_hop_HQNV_2026Q1_2026-06-23'!$B:$B, "="&amp;'CHECK_DT-BT_chi_tiet'!A22, 'Tong_hop_HQNV_2026Q1_2026-06-23'!$A:$A, "="&amp;$BH$2)</f>
        <v>0</v>
      </c>
      <c r="BI22" s="29">
        <f>SUMIFS('HQ2'!$J:$J,'HQ2'!$A:$A, "="&amp;'CHECK_DT-BT_chi_tiet'!C22,'HQ2'!$B:$B,"="&amp;'CHECK_DT-BT_chi_tiet'!$BH$3)</f>
        <v>0</v>
      </c>
      <c r="BJ22" s="7">
        <f t="shared" si="18"/>
        <v>0</v>
      </c>
      <c r="BK22" s="7">
        <f>SUMIFS('Tong_hop_HQNV_2026Q1_2026-06-23'!$L:$L,'Tong_hop_HQNV_2026Q1_2026-06-23'!$B:$B, "="&amp;'CHECK_DT-BT_chi_tiet'!A22, 'Tong_hop_HQNV_2026Q1_2026-06-23'!$A:$A, "="&amp;$BK$2)</f>
        <v>0</v>
      </c>
      <c r="BL22" s="29">
        <f>SUMIFS('HQ2'!$J:$J,'HQ2'!$A:$A, "="&amp;'CHECK_DT-BT_chi_tiet'!C22,'HQ2'!$B:$B,"="&amp;'CHECK_DT-BT_chi_tiet'!$BK$3)</f>
        <v>0</v>
      </c>
      <c r="BM22" s="7">
        <f t="shared" si="19"/>
        <v>0</v>
      </c>
      <c r="BN22" s="7">
        <f>SUMIFS('Tong_hop_HQNV_2026Q1_2026-06-23'!$L:$L,'Tong_hop_HQNV_2026Q1_2026-06-23'!$B:$B, "="&amp;'CHECK_DT-BT_chi_tiet'!A22, 'Tong_hop_HQNV_2026Q1_2026-06-23'!$A:$A, "="&amp;$BN$2)</f>
        <v>0</v>
      </c>
      <c r="BO22" s="29">
        <f>SUMIFS('HQ2'!$J:$J,'HQ2'!$A:$A, "="&amp;'CHECK_DT-BT_chi_tiet'!C22,'HQ2'!$B:$B,"="&amp;'CHECK_DT-BT_chi_tiet'!$BN$3)</f>
        <v>0</v>
      </c>
      <c r="BP22" s="7">
        <f t="shared" si="20"/>
        <v>0</v>
      </c>
      <c r="BQ22" s="7">
        <f>SUMIFS('Tong_hop_HQNV_2026Q1_2026-06-23'!$L:$L,'Tong_hop_HQNV_2026Q1_2026-06-23'!$B:$B, "="&amp;'CHECK_DT-BT_chi_tiet'!A22, 'Tong_hop_HQNV_2026Q1_2026-06-23'!$A:$A, "="&amp;$BQ$2)</f>
        <v>0</v>
      </c>
      <c r="BR22" s="29">
        <f>SUMIFS('HQ2'!$J:$J,'HQ2'!$A:$A, "="&amp;'CHECK_DT-BT_chi_tiet'!C22,'HQ2'!$B:$B,"="&amp;'CHECK_DT-BT_chi_tiet'!$BQ$3)</f>
        <v>0</v>
      </c>
      <c r="BS22" s="7">
        <f t="shared" si="21"/>
        <v>0</v>
      </c>
      <c r="BT22" s="7">
        <f>SUMIFS('Tong_hop_HQNV_2026Q1_2026-06-23'!$L:$L,'Tong_hop_HQNV_2026Q1_2026-06-23'!$B:$B, "="&amp;'CHECK_DT-BT_chi_tiet'!A22, 'Tong_hop_HQNV_2026Q1_2026-06-23'!$A:$A, "="&amp;$BT$2)</f>
        <v>0</v>
      </c>
      <c r="BU22" s="7">
        <f>SUMIFS('Tong_hop_HQNV_2026Q1_2026-06-23'!$L:$L,'Tong_hop_HQNV_2026Q1_2026-06-23'!$B:$B, "="&amp;'CHECK_DT-BT_chi_tiet'!A22, 'Tong_hop_HQNV_2026Q1_2026-06-23'!$A:$A, "="&amp;$BU$2)</f>
        <v>0</v>
      </c>
    </row>
    <row r="23" spans="1:73" x14ac:dyDescent="0.25">
      <c r="A23" s="9" t="s">
        <v>303</v>
      </c>
      <c r="B23" t="s">
        <v>161</v>
      </c>
      <c r="C23" t="s">
        <v>111</v>
      </c>
      <c r="D23" s="7">
        <f>SUMIFS('Tong_hop_HQNV_2026Q1_2026-06-23'!$K:$K,'Tong_hop_HQNV_2026Q1_2026-06-23'!$A:$A,"="&amp;'CHECK_DT-BT_chi_tiet'!$D$2,'Tong_hop_HQNV_2026Q1_2026-06-23'!$B:$B, "="&amp;'CHECK_DT-BT_chi_tiet'!A23)</f>
        <v>917215900</v>
      </c>
      <c r="E23" s="7">
        <f>SUMIFS('HQ1'!$C:$C,'HQ1'!$A:$A, "="&amp;'CHECK_DT-BT_chi_tiet'!C23,'HQ1'!$B:$B, "="&amp;'CHECK_DT-BT_chi_tiet'!$D$3)</f>
        <v>917215900</v>
      </c>
      <c r="F23" s="7">
        <f t="shared" si="0"/>
        <v>0</v>
      </c>
      <c r="G23" s="7">
        <f>SUMIFS('Tong_hop_HQNV_2026Q1_2026-06-23'!$K:$K,'Tong_hop_HQNV_2026Q1_2026-06-23'!$A:$A,"="&amp;'CHECK_DT-BT_chi_tiet'!$G$2,'Tong_hop_HQNV_2026Q1_2026-06-23'!$B:$B, "="&amp;'CHECK_DT-BT_chi_tiet'!A23)</f>
        <v>396000</v>
      </c>
      <c r="H23" s="7">
        <f>SUMIFS('HQ1'!$C:$C,'HQ1'!$A:$A, "="&amp;'CHECK_DT-BT_chi_tiet'!C23,'HQ1'!$B:$B, "="&amp;'CHECK_DT-BT_chi_tiet'!$G$3)</f>
        <v>396000</v>
      </c>
      <c r="I23" s="7">
        <f t="shared" si="1"/>
        <v>0</v>
      </c>
      <c r="J23" s="7">
        <f>SUMIFS('Tong_hop_HQNV_2026Q1_2026-06-23'!$K:$K,'Tong_hop_HQNV_2026Q1_2026-06-23'!$A:$A,"="&amp;'CHECK_DT-BT_chi_tiet'!$J$2,'Tong_hop_HQNV_2026Q1_2026-06-23'!$B:$B, "="&amp;'CHECK_DT-BT_chi_tiet'!A23)</f>
        <v>5235631370</v>
      </c>
      <c r="K23" s="7">
        <f>SUMIFS('HQ1'!$C:$C,'HQ1'!$A:$A, "="&amp;'CHECK_DT-BT_chi_tiet'!C23,'HQ1'!$B:$B, "="&amp;'CHECK_DT-BT_chi_tiet'!$J$3)</f>
        <v>5235631370</v>
      </c>
      <c r="L23" s="7">
        <f t="shared" si="2"/>
        <v>0</v>
      </c>
      <c r="M23" s="7">
        <f>SUMIFS('Tong_hop_HQNV_2026Q1_2026-06-23'!$K:$K,'Tong_hop_HQNV_2026Q1_2026-06-23'!$A:$A,"="&amp;'CHECK_DT-BT_chi_tiet'!$M$2,'Tong_hop_HQNV_2026Q1_2026-06-23'!$B:$B, "="&amp;'CHECK_DT-BT_chi_tiet'!A23)</f>
        <v>16654600</v>
      </c>
      <c r="N23" s="7">
        <f>SUMIFS('HQ1'!$C:$C,'HQ1'!$A:$A, "="&amp;'CHECK_DT-BT_chi_tiet'!C23,'HQ1'!$B:$B, "="&amp;'CHECK_DT-BT_chi_tiet'!$M$3)</f>
        <v>16654600</v>
      </c>
      <c r="O23" s="7">
        <f t="shared" si="3"/>
        <v>0</v>
      </c>
      <c r="P23" s="7">
        <f>SUMIFS('Tong_hop_HQNV_2026Q1_2026-06-23'!$K:$K,'Tong_hop_HQNV_2026Q1_2026-06-23'!$A:$A,"="&amp;$P$2,'Tong_hop_HQNV_2026Q1_2026-06-23'!$B:$B, "="&amp;'CHECK_DT-BT_chi_tiet'!A23)</f>
        <v>0</v>
      </c>
      <c r="Q23" s="7">
        <f>SUMIFS('HQ2'!$C:$C,'HQ2'!$A:$A, "="&amp;'CHECK_DT-BT_chi_tiet'!C23,'HQ2'!$B:$B, "="&amp;'CHECK_DT-BT_chi_tiet'!$P$3)</f>
        <v>0</v>
      </c>
      <c r="R23" s="7">
        <f t="shared" si="4"/>
        <v>0</v>
      </c>
      <c r="S23" s="7">
        <f>SUMIFS('Tong_hop_HQNV_2026Q1_2026-06-23'!$K:$K,'Tong_hop_HQNV_2026Q1_2026-06-23'!$A:$A,"="&amp;$S$2,'Tong_hop_HQNV_2026Q1_2026-06-23'!$B:$B, "="&amp;'CHECK_DT-BT_chi_tiet'!A23)</f>
        <v>0</v>
      </c>
      <c r="T23" s="7">
        <f>SUMIFS('HQ2'!$C:$C,'HQ2'!$A:$A, "="&amp;'CHECK_DT-BT_chi_tiet'!C23,'HQ2'!$B:$B, "="&amp;'CHECK_DT-BT_chi_tiet'!$S$3)</f>
        <v>0</v>
      </c>
      <c r="U23" s="7">
        <f t="shared" si="5"/>
        <v>0</v>
      </c>
      <c r="V23" s="7">
        <f>SUMIFS('Tong_hop_HQNV_2026Q1_2026-06-23'!$K:$K,'Tong_hop_HQNV_2026Q1_2026-06-23'!$A:$A,"="&amp;$V$2,'Tong_hop_HQNV_2026Q1_2026-06-23'!$B:$B, "="&amp;'CHECK_DT-BT_chi_tiet'!A23)</f>
        <v>0</v>
      </c>
      <c r="W23" s="7">
        <f>SUMIFS('HQ2'!$C:$C,'HQ2'!$A:$A, "="&amp;'CHECK_DT-BT_chi_tiet'!C23,'HQ2'!$B:$B, "="&amp;'CHECK_DT-BT_chi_tiet'!$V$3)</f>
        <v>0</v>
      </c>
      <c r="X23" s="7">
        <f t="shared" si="6"/>
        <v>0</v>
      </c>
      <c r="Y23" s="7">
        <f>SUMIFS('Tong_hop_HQNV_2026Q1_2026-06-23'!$K:$K,'Tong_hop_HQNV_2026Q1_2026-06-23'!$A:$A,"="&amp;$Y$2,'Tong_hop_HQNV_2026Q1_2026-06-23'!$B:$B, "="&amp;'CHECK_DT-BT_chi_tiet'!A23)</f>
        <v>0</v>
      </c>
      <c r="Z23" s="7">
        <f>SUMIFS('HQ2'!$C:$C,'HQ2'!$A:$A, "="&amp;'CHECK_DT-BT_chi_tiet'!C23,'HQ2'!$B:$B, "="&amp;'CHECK_DT-BT_chi_tiet'!$Y$3)</f>
        <v>0</v>
      </c>
      <c r="AA23" s="7">
        <f t="shared" si="7"/>
        <v>0</v>
      </c>
      <c r="AB23" s="7">
        <f>SUMIFS('Tong_hop_HQNV_2026Q1_2026-06-23'!$K:$K,'Tong_hop_HQNV_2026Q1_2026-06-23'!$A:$A,"="&amp;$AB$2,'Tong_hop_HQNV_2026Q1_2026-06-23'!$B:$B, "="&amp;'CHECK_DT-BT_chi_tiet'!A23)</f>
        <v>579318207</v>
      </c>
      <c r="AC23" s="7">
        <f>SUMIFS('HQ2'!$C:$C,'HQ2'!$A:$A, "="&amp;'CHECK_DT-BT_chi_tiet'!C23,'HQ2'!$B:$B, "="&amp;'CHECK_DT-BT_chi_tiet'!$AB$3)</f>
        <v>579318207</v>
      </c>
      <c r="AD23" s="7">
        <f t="shared" si="8"/>
        <v>0</v>
      </c>
      <c r="AE23" s="7">
        <f>SUMIFS('Tong_hop_HQNV_2026Q1_2026-06-23'!$K:$K,'Tong_hop_HQNV_2026Q1_2026-06-23'!$A:$A,"="&amp;$AE$2,'Tong_hop_HQNV_2026Q1_2026-06-23'!$B:$B, "="&amp;'CHECK_DT-BT_chi_tiet'!A23)</f>
        <v>527612152</v>
      </c>
      <c r="AF23" s="7">
        <f>SUMIFS('HQ2'!$C:$C,'HQ2'!$A:$A, "="&amp;'CHECK_DT-BT_chi_tiet'!C23,'HQ2'!$B:$B, "="&amp;'CHECK_DT-BT_chi_tiet'!$AE$3)</f>
        <v>527612152</v>
      </c>
      <c r="AG23" s="7">
        <f t="shared" si="9"/>
        <v>0</v>
      </c>
      <c r="AH23" s="7">
        <f>SUMIFS('Tong_hop_HQNV_2026Q1_2026-06-23'!$K:$K,'Tong_hop_HQNV_2026Q1_2026-06-23'!$A:$A,"="&amp;$AH$2,'Tong_hop_HQNV_2026Q1_2026-06-23'!$B:$B, "="&amp;'CHECK_DT-BT_chi_tiet'!A23)</f>
        <v>65469091</v>
      </c>
      <c r="AI23" s="7">
        <f>SUMIFS('HQ2'!$C:$C,'HQ2'!$A:$A, "="&amp;'CHECK_DT-BT_chi_tiet'!C23,'HQ2'!$B:$B, "="&amp;'CHECK_DT-BT_chi_tiet'!$AH$3)</f>
        <v>65469091</v>
      </c>
      <c r="AJ23" s="7">
        <f t="shared" si="10"/>
        <v>0</v>
      </c>
      <c r="AK23" s="7">
        <f>SUMIFS('Tong_hop_HQNV_2026Q1_2026-06-23'!$K:$K,'Tong_hop_HQNV_2026Q1_2026-06-23'!$A:$A,"="&amp;$AK$2,'Tong_hop_HQNV_2026Q1_2026-06-23'!$B:$B, "="&amp;'CHECK_DT-BT_chi_tiet'!A23)</f>
        <v>0</v>
      </c>
      <c r="AL23" s="7">
        <f>SUMIFS('Tong_hop_HQNV_2026Q1_2026-06-23'!$K:$K,'Tong_hop_HQNV_2026Q1_2026-06-23'!$A:$A,"="&amp;$AL$2,'Tong_hop_HQNV_2026Q1_2026-06-23'!$B:$B, "="&amp;'CHECK_DT-BT_chi_tiet'!A23)</f>
        <v>0</v>
      </c>
      <c r="AM23" s="23">
        <f>SUMIFS('Tong_hop_HQNV_2026Q1_2026-06-23'!$L:$L,'Tong_hop_HQNV_2026Q1_2026-06-23'!$B:$B, "="&amp;'CHECK_DT-BT_chi_tiet'!A23, 'Tong_hop_HQNV_2026Q1_2026-06-23'!$A:$A, "="&amp;'CHECK_DT-BT_chi_tiet'!$AM$2)</f>
        <v>1376374000</v>
      </c>
      <c r="AN23" s="29">
        <f>SUMIFS('HQ1'!$D:$D,'HQ1'!$A:$A, "="&amp;'CHECK_DT-BT_chi_tiet'!C23,'HQ1'!$B:$B,"="&amp;'CHECK_DT-BT_chi_tiet'!$AM$3)</f>
        <v>1374374000</v>
      </c>
      <c r="AO23" s="29">
        <f t="shared" si="11"/>
        <v>2000000</v>
      </c>
      <c r="AP23" s="7">
        <f>SUMIFS('Tong_hop_HQNV_2026Q1_2026-06-23'!$L:$L,'Tong_hop_HQNV_2026Q1_2026-06-23'!$B:$B, "="&amp;'CHECK_DT-BT_chi_tiet'!A23, 'Tong_hop_HQNV_2026Q1_2026-06-23'!$A:$A, "="&amp;'CHECK_DT-BT_chi_tiet'!$AP$2)</f>
        <v>0</v>
      </c>
      <c r="AQ23" s="29">
        <f>SUMIFS('HQ1'!$D:$D,'HQ1'!$A:$A, "="&amp;'CHECK_DT-BT_chi_tiet'!C23,'HQ1'!$B:$B,"="&amp;'CHECK_DT-BT_chi_tiet'!$AP$3)</f>
        <v>0</v>
      </c>
      <c r="AR23" s="7">
        <f t="shared" si="12"/>
        <v>0</v>
      </c>
      <c r="AS23" s="7">
        <f>SUMIFS('Tong_hop_HQNV_2026Q1_2026-06-23'!$L:$L,'Tong_hop_HQNV_2026Q1_2026-06-23'!$B:$B, "="&amp;'CHECK_DT-BT_chi_tiet'!A23, 'Tong_hop_HQNV_2026Q1_2026-06-23'!$A:$A, "="&amp;'CHECK_DT-BT_chi_tiet'!$AS$2)</f>
        <v>1879771136</v>
      </c>
      <c r="AT23" s="29">
        <f>SUMIFS('HQ1'!$D:$D,'HQ1'!$A:$A, "="&amp;'CHECK_DT-BT_chi_tiet'!C23,'HQ1'!$B:$B,"="&amp;'CHECK_DT-BT_chi_tiet'!$AS$3)</f>
        <v>1879771136</v>
      </c>
      <c r="AU23" s="7">
        <f t="shared" si="13"/>
        <v>0</v>
      </c>
      <c r="AV23" s="7">
        <f>SUMIFS('Tong_hop_HQNV_2026Q1_2026-06-23'!$L:$L,'Tong_hop_HQNV_2026Q1_2026-06-23'!$B:$B, "="&amp;'CHECK_DT-BT_chi_tiet'!A23, 'Tong_hop_HQNV_2026Q1_2026-06-23'!$A:$A, "="&amp;'CHECK_DT-BT_chi_tiet'!$AV$2)</f>
        <v>0</v>
      </c>
      <c r="AW23" s="29">
        <f>SUMIFS('HQ1'!$D:$D,'HQ1'!$A:$A, "="&amp;'CHECK_DT-BT_chi_tiet'!C23,'HQ1'!$B:$B,"="&amp;'CHECK_DT-BT_chi_tiet'!$AV$3)</f>
        <v>2000000</v>
      </c>
      <c r="AX23" s="7">
        <f t="shared" si="14"/>
        <v>-2000000</v>
      </c>
      <c r="AY23" s="7">
        <f>SUMIFS('Tong_hop_HQNV_2026Q1_2026-06-23'!$L:$L,'Tong_hop_HQNV_2026Q1_2026-06-23'!$B:$B, "="&amp;'CHECK_DT-BT_chi_tiet'!A23, 'Tong_hop_HQNV_2026Q1_2026-06-23'!$A:$A, "="&amp;$AY$2)</f>
        <v>0</v>
      </c>
      <c r="AZ23" s="29">
        <f>SUMIFS('HQ2'!$J:$J,'HQ2'!$A:$A, "="&amp;'CHECK_DT-BT_chi_tiet'!C23,'HQ2'!$B:$B,"="&amp;'CHECK_DT-BT_chi_tiet'!$AY$3)</f>
        <v>0</v>
      </c>
      <c r="BA23" s="7">
        <f t="shared" si="15"/>
        <v>0</v>
      </c>
      <c r="BB23" s="7">
        <f>SUMIFS('Tong_hop_HQNV_2026Q1_2026-06-23'!$L:$L,'Tong_hop_HQNV_2026Q1_2026-06-23'!$B:$B, "="&amp;'CHECK_DT-BT_chi_tiet'!A23, 'Tong_hop_HQNV_2026Q1_2026-06-23'!$A:$A, "="&amp;$BB$2)</f>
        <v>0</v>
      </c>
      <c r="BC23" s="29">
        <f>SUMIFS('HQ2'!$J:$J,'HQ2'!$A:$A, "="&amp;'CHECK_DT-BT_chi_tiet'!C23,'HQ2'!$B:$B,"="&amp;'CHECK_DT-BT_chi_tiet'!$BB$3)</f>
        <v>0</v>
      </c>
      <c r="BD23" s="7">
        <f t="shared" si="16"/>
        <v>0</v>
      </c>
      <c r="BE23" s="7">
        <f>SUMIFS('Tong_hop_HQNV_2026Q1_2026-06-23'!$L:$L,'Tong_hop_HQNV_2026Q1_2026-06-23'!$B:$B, "="&amp;'CHECK_DT-BT_chi_tiet'!A23, 'Tong_hop_HQNV_2026Q1_2026-06-23'!$A:$A, "="&amp;$BE$2)</f>
        <v>0</v>
      </c>
      <c r="BF23" s="29">
        <f>SUMIFS('HQ2'!$J:$J,'HQ2'!$A:$A, "="&amp;'CHECK_DT-BT_chi_tiet'!C23,'HQ2'!$B:$B,"="&amp;'CHECK_DT-BT_chi_tiet'!$BE$3)</f>
        <v>0</v>
      </c>
      <c r="BG23" s="7">
        <f t="shared" si="17"/>
        <v>0</v>
      </c>
      <c r="BH23" s="7">
        <f>SUMIFS('Tong_hop_HQNV_2026Q1_2026-06-23'!$L:$L,'Tong_hop_HQNV_2026Q1_2026-06-23'!$B:$B, "="&amp;'CHECK_DT-BT_chi_tiet'!A23, 'Tong_hop_HQNV_2026Q1_2026-06-23'!$A:$A, "="&amp;$BH$2)</f>
        <v>0</v>
      </c>
      <c r="BI23" s="29">
        <f>SUMIFS('HQ2'!$J:$J,'HQ2'!$A:$A, "="&amp;'CHECK_DT-BT_chi_tiet'!C23,'HQ2'!$B:$B,"="&amp;'CHECK_DT-BT_chi_tiet'!$BH$3)</f>
        <v>0</v>
      </c>
      <c r="BJ23" s="7">
        <f t="shared" si="18"/>
        <v>0</v>
      </c>
      <c r="BK23" s="7">
        <f>SUMIFS('Tong_hop_HQNV_2026Q1_2026-06-23'!$L:$L,'Tong_hop_HQNV_2026Q1_2026-06-23'!$B:$B, "="&amp;'CHECK_DT-BT_chi_tiet'!A23, 'Tong_hop_HQNV_2026Q1_2026-06-23'!$A:$A, "="&amp;$BK$2)</f>
        <v>1184871543</v>
      </c>
      <c r="BL23" s="29">
        <f>SUMIFS('HQ2'!$J:$J,'HQ2'!$A:$A, "="&amp;'CHECK_DT-BT_chi_tiet'!C23,'HQ2'!$B:$B,"="&amp;'CHECK_DT-BT_chi_tiet'!$BK$3)</f>
        <v>1184871543</v>
      </c>
      <c r="BM23" s="7">
        <f t="shared" si="19"/>
        <v>0</v>
      </c>
      <c r="BN23" s="7">
        <f>SUMIFS('Tong_hop_HQNV_2026Q1_2026-06-23'!$L:$L,'Tong_hop_HQNV_2026Q1_2026-06-23'!$B:$B, "="&amp;'CHECK_DT-BT_chi_tiet'!A23, 'Tong_hop_HQNV_2026Q1_2026-06-23'!$A:$A, "="&amp;$BN$2)</f>
        <v>0</v>
      </c>
      <c r="BO23" s="29">
        <f>SUMIFS('HQ2'!$J:$J,'HQ2'!$A:$A, "="&amp;'CHECK_DT-BT_chi_tiet'!C23,'HQ2'!$B:$B,"="&amp;'CHECK_DT-BT_chi_tiet'!$BN$3)</f>
        <v>0</v>
      </c>
      <c r="BP23" s="7">
        <f t="shared" si="20"/>
        <v>0</v>
      </c>
      <c r="BQ23" s="7">
        <f>SUMIFS('Tong_hop_HQNV_2026Q1_2026-06-23'!$L:$L,'Tong_hop_HQNV_2026Q1_2026-06-23'!$B:$B, "="&amp;'CHECK_DT-BT_chi_tiet'!A23, 'Tong_hop_HQNV_2026Q1_2026-06-23'!$A:$A, "="&amp;$BQ$2)</f>
        <v>0</v>
      </c>
      <c r="BR23" s="29">
        <f>SUMIFS('HQ2'!$J:$J,'HQ2'!$A:$A, "="&amp;'CHECK_DT-BT_chi_tiet'!C23,'HQ2'!$B:$B,"="&amp;'CHECK_DT-BT_chi_tiet'!$BQ$3)</f>
        <v>0</v>
      </c>
      <c r="BS23" s="7">
        <f t="shared" si="21"/>
        <v>0</v>
      </c>
      <c r="BT23" s="7">
        <f>SUMIFS('Tong_hop_HQNV_2026Q1_2026-06-23'!$L:$L,'Tong_hop_HQNV_2026Q1_2026-06-23'!$B:$B, "="&amp;'CHECK_DT-BT_chi_tiet'!A23, 'Tong_hop_HQNV_2026Q1_2026-06-23'!$A:$A, "="&amp;$BT$2)</f>
        <v>0</v>
      </c>
      <c r="BU23" s="7">
        <f>SUMIFS('Tong_hop_HQNV_2026Q1_2026-06-23'!$L:$L,'Tong_hop_HQNV_2026Q1_2026-06-23'!$B:$B, "="&amp;'CHECK_DT-BT_chi_tiet'!A23, 'Tong_hop_HQNV_2026Q1_2026-06-23'!$A:$A, "="&amp;$BU$2)</f>
        <v>0</v>
      </c>
    </row>
    <row r="24" spans="1:73" x14ac:dyDescent="0.25">
      <c r="A24" s="9" t="s">
        <v>304</v>
      </c>
      <c r="B24" t="s">
        <v>162</v>
      </c>
      <c r="C24" t="s">
        <v>48</v>
      </c>
      <c r="D24" s="7">
        <f>SUMIFS('Tong_hop_HQNV_2026Q1_2026-06-23'!$K:$K,'Tong_hop_HQNV_2026Q1_2026-06-23'!$A:$A,"="&amp;'CHECK_DT-BT_chi_tiet'!$D$2,'Tong_hop_HQNV_2026Q1_2026-06-23'!$B:$B, "="&amp;'CHECK_DT-BT_chi_tiet'!A24)</f>
        <v>170525046</v>
      </c>
      <c r="E24" s="7">
        <f>SUMIFS('HQ1'!$C:$C,'HQ1'!$A:$A, "="&amp;'CHECK_DT-BT_chi_tiet'!C24,'HQ1'!$B:$B, "="&amp;'CHECK_DT-BT_chi_tiet'!$D$3)</f>
        <v>170525046</v>
      </c>
      <c r="F24" s="7">
        <f t="shared" si="0"/>
        <v>0</v>
      </c>
      <c r="G24" s="7">
        <f>SUMIFS('Tong_hop_HQNV_2026Q1_2026-06-23'!$K:$K,'Tong_hop_HQNV_2026Q1_2026-06-23'!$A:$A,"="&amp;'CHECK_DT-BT_chi_tiet'!$G$2,'Tong_hop_HQNV_2026Q1_2026-06-23'!$B:$B, "="&amp;'CHECK_DT-BT_chi_tiet'!A24)</f>
        <v>11450200</v>
      </c>
      <c r="H24" s="7">
        <f>SUMIFS('HQ1'!$C:$C,'HQ1'!$A:$A, "="&amp;'CHECK_DT-BT_chi_tiet'!C24,'HQ1'!$B:$B, "="&amp;'CHECK_DT-BT_chi_tiet'!$G$3)</f>
        <v>11450200</v>
      </c>
      <c r="I24" s="7">
        <f t="shared" si="1"/>
        <v>0</v>
      </c>
      <c r="J24" s="7">
        <f>SUMIFS('Tong_hop_HQNV_2026Q1_2026-06-23'!$K:$K,'Tong_hop_HQNV_2026Q1_2026-06-23'!$A:$A,"="&amp;'CHECK_DT-BT_chi_tiet'!$J$2,'Tong_hop_HQNV_2026Q1_2026-06-23'!$B:$B, "="&amp;'CHECK_DT-BT_chi_tiet'!A24)</f>
        <v>5031585613</v>
      </c>
      <c r="K24" s="7">
        <f>SUMIFS('HQ1'!$C:$C,'HQ1'!$A:$A, "="&amp;'CHECK_DT-BT_chi_tiet'!C24,'HQ1'!$B:$B, "="&amp;'CHECK_DT-BT_chi_tiet'!$J$3)</f>
        <v>5031585613</v>
      </c>
      <c r="L24" s="7">
        <f t="shared" si="2"/>
        <v>0</v>
      </c>
      <c r="M24" s="7">
        <f>SUMIFS('Tong_hop_HQNV_2026Q1_2026-06-23'!$K:$K,'Tong_hop_HQNV_2026Q1_2026-06-23'!$A:$A,"="&amp;'CHECK_DT-BT_chi_tiet'!$M$2,'Tong_hop_HQNV_2026Q1_2026-06-23'!$B:$B, "="&amp;'CHECK_DT-BT_chi_tiet'!A24)</f>
        <v>639921102</v>
      </c>
      <c r="N24" s="7">
        <f>SUMIFS('HQ1'!$C:$C,'HQ1'!$A:$A, "="&amp;'CHECK_DT-BT_chi_tiet'!C24,'HQ1'!$B:$B, "="&amp;'CHECK_DT-BT_chi_tiet'!$M$3)</f>
        <v>639921102</v>
      </c>
      <c r="O24" s="7">
        <f t="shared" si="3"/>
        <v>0</v>
      </c>
      <c r="P24" s="7">
        <f>SUMIFS('Tong_hop_HQNV_2026Q1_2026-06-23'!$K:$K,'Tong_hop_HQNV_2026Q1_2026-06-23'!$A:$A,"="&amp;$P$2,'Tong_hop_HQNV_2026Q1_2026-06-23'!$B:$B, "="&amp;'CHECK_DT-BT_chi_tiet'!A24)</f>
        <v>2335925467</v>
      </c>
      <c r="Q24" s="7">
        <f>SUMIFS('HQ2'!$C:$C,'HQ2'!$A:$A, "="&amp;'CHECK_DT-BT_chi_tiet'!C24,'HQ2'!$B:$B, "="&amp;'CHECK_DT-BT_chi_tiet'!$P$3)</f>
        <v>2335925467</v>
      </c>
      <c r="R24" s="7">
        <f t="shared" si="4"/>
        <v>0</v>
      </c>
      <c r="S24" s="7">
        <f>SUMIFS('Tong_hop_HQNV_2026Q1_2026-06-23'!$K:$K,'Tong_hop_HQNV_2026Q1_2026-06-23'!$A:$A,"="&amp;$S$2,'Tong_hop_HQNV_2026Q1_2026-06-23'!$B:$B, "="&amp;'CHECK_DT-BT_chi_tiet'!A24)</f>
        <v>34140906170</v>
      </c>
      <c r="T24" s="7">
        <f>SUMIFS('HQ2'!$C:$C,'HQ2'!$A:$A, "="&amp;'CHECK_DT-BT_chi_tiet'!C24,'HQ2'!$B:$B, "="&amp;'CHECK_DT-BT_chi_tiet'!$S$3)</f>
        <v>36185320317</v>
      </c>
      <c r="U24" s="7">
        <f t="shared" si="5"/>
        <v>-2044414147</v>
      </c>
      <c r="V24" s="7">
        <f>SUMIFS('Tong_hop_HQNV_2026Q1_2026-06-23'!$K:$K,'Tong_hop_HQNV_2026Q1_2026-06-23'!$A:$A,"="&amp;$V$2,'Tong_hop_HQNV_2026Q1_2026-06-23'!$B:$B, "="&amp;'CHECK_DT-BT_chi_tiet'!A24)</f>
        <v>10320468477</v>
      </c>
      <c r="W24" s="7">
        <f>SUMIFS('HQ2'!$C:$C,'HQ2'!$A:$A, "="&amp;'CHECK_DT-BT_chi_tiet'!C24,'HQ2'!$B:$B, "="&amp;'CHECK_DT-BT_chi_tiet'!$V$3)</f>
        <v>11180926806</v>
      </c>
      <c r="X24" s="7">
        <f t="shared" si="6"/>
        <v>-860458329</v>
      </c>
      <c r="Y24" s="7">
        <f>SUMIFS('Tong_hop_HQNV_2026Q1_2026-06-23'!$K:$K,'Tong_hop_HQNV_2026Q1_2026-06-23'!$A:$A,"="&amp;$Y$2,'Tong_hop_HQNV_2026Q1_2026-06-23'!$B:$B, "="&amp;'CHECK_DT-BT_chi_tiet'!A24)</f>
        <v>109523762</v>
      </c>
      <c r="Z24" s="7">
        <f>SUMIFS('HQ2'!$C:$C,'HQ2'!$A:$A, "="&amp;'CHECK_DT-BT_chi_tiet'!C24,'HQ2'!$B:$B, "="&amp;'CHECK_DT-BT_chi_tiet'!$Y$3)</f>
        <v>109523762</v>
      </c>
      <c r="AA24" s="7">
        <f t="shared" si="7"/>
        <v>0</v>
      </c>
      <c r="AB24" s="7">
        <f>SUMIFS('Tong_hop_HQNV_2026Q1_2026-06-23'!$K:$K,'Tong_hop_HQNV_2026Q1_2026-06-23'!$A:$A,"="&amp;$AB$2,'Tong_hop_HQNV_2026Q1_2026-06-23'!$B:$B, "="&amp;'CHECK_DT-BT_chi_tiet'!A24)</f>
        <v>2662954115</v>
      </c>
      <c r="AC24" s="7">
        <f>SUMIFS('HQ2'!$C:$C,'HQ2'!$A:$A, "="&amp;'CHECK_DT-BT_chi_tiet'!C24,'HQ2'!$B:$B, "="&amp;'CHECK_DT-BT_chi_tiet'!$AB$3)</f>
        <v>2662954115</v>
      </c>
      <c r="AD24" s="7">
        <f t="shared" si="8"/>
        <v>0</v>
      </c>
      <c r="AE24" s="7">
        <f>SUMIFS('Tong_hop_HQNV_2026Q1_2026-06-23'!$K:$K,'Tong_hop_HQNV_2026Q1_2026-06-23'!$A:$A,"="&amp;$AE$2,'Tong_hop_HQNV_2026Q1_2026-06-23'!$B:$B, "="&amp;'CHECK_DT-BT_chi_tiet'!A24)</f>
        <v>923617828</v>
      </c>
      <c r="AF24" s="7">
        <f>SUMIFS('HQ2'!$C:$C,'HQ2'!$A:$A, "="&amp;'CHECK_DT-BT_chi_tiet'!C24,'HQ2'!$B:$B, "="&amp;'CHECK_DT-BT_chi_tiet'!$AE$3)</f>
        <v>923617828</v>
      </c>
      <c r="AG24" s="7">
        <f t="shared" si="9"/>
        <v>0</v>
      </c>
      <c r="AH24" s="7">
        <f>SUMIFS('Tong_hop_HQNV_2026Q1_2026-06-23'!$K:$K,'Tong_hop_HQNV_2026Q1_2026-06-23'!$A:$A,"="&amp;$AH$2,'Tong_hop_HQNV_2026Q1_2026-06-23'!$B:$B, "="&amp;'CHECK_DT-BT_chi_tiet'!A24)</f>
        <v>202000000</v>
      </c>
      <c r="AI24" s="7">
        <f>SUMIFS('HQ2'!$C:$C,'HQ2'!$A:$A, "="&amp;'CHECK_DT-BT_chi_tiet'!C24,'HQ2'!$B:$B, "="&amp;'CHECK_DT-BT_chi_tiet'!$AH$3)</f>
        <v>202000000</v>
      </c>
      <c r="AJ24" s="7">
        <f t="shared" si="10"/>
        <v>0</v>
      </c>
      <c r="AK24" s="7">
        <f>SUMIFS('Tong_hop_HQNV_2026Q1_2026-06-23'!$K:$K,'Tong_hop_HQNV_2026Q1_2026-06-23'!$A:$A,"="&amp;$AK$2,'Tong_hop_HQNV_2026Q1_2026-06-23'!$B:$B, "="&amp;'CHECK_DT-BT_chi_tiet'!A24)</f>
        <v>0</v>
      </c>
      <c r="AL24" s="7">
        <f>SUMIFS('Tong_hop_HQNV_2026Q1_2026-06-23'!$K:$K,'Tong_hop_HQNV_2026Q1_2026-06-23'!$A:$A,"="&amp;$AL$2,'Tong_hop_HQNV_2026Q1_2026-06-23'!$B:$B, "="&amp;'CHECK_DT-BT_chi_tiet'!A24)</f>
        <v>0</v>
      </c>
      <c r="AM24" s="23">
        <f>SUMIFS('Tong_hop_HQNV_2026Q1_2026-06-23'!$L:$L,'Tong_hop_HQNV_2026Q1_2026-06-23'!$B:$B, "="&amp;'CHECK_DT-BT_chi_tiet'!A24, 'Tong_hop_HQNV_2026Q1_2026-06-23'!$A:$A, "="&amp;'CHECK_DT-BT_chi_tiet'!$AM$2)</f>
        <v>56959720</v>
      </c>
      <c r="AN24" s="29">
        <f>SUMIFS('HQ1'!$D:$D,'HQ1'!$A:$A, "="&amp;'CHECK_DT-BT_chi_tiet'!C24,'HQ1'!$B:$B,"="&amp;'CHECK_DT-BT_chi_tiet'!$AM$3)</f>
        <v>56959720</v>
      </c>
      <c r="AO24" s="29">
        <f t="shared" si="11"/>
        <v>0</v>
      </c>
      <c r="AP24" s="7">
        <f>SUMIFS('Tong_hop_HQNV_2026Q1_2026-06-23'!$L:$L,'Tong_hop_HQNV_2026Q1_2026-06-23'!$B:$B, "="&amp;'CHECK_DT-BT_chi_tiet'!A24, 'Tong_hop_HQNV_2026Q1_2026-06-23'!$A:$A, "="&amp;'CHECK_DT-BT_chi_tiet'!$AP$2)</f>
        <v>0</v>
      </c>
      <c r="AQ24" s="29">
        <f>SUMIFS('HQ1'!$D:$D,'HQ1'!$A:$A, "="&amp;'CHECK_DT-BT_chi_tiet'!C24,'HQ1'!$B:$B,"="&amp;'CHECK_DT-BT_chi_tiet'!$AP$3)</f>
        <v>0</v>
      </c>
      <c r="AR24" s="7">
        <f t="shared" si="12"/>
        <v>0</v>
      </c>
      <c r="AS24" s="7">
        <f>SUMIFS('Tong_hop_HQNV_2026Q1_2026-06-23'!$L:$L,'Tong_hop_HQNV_2026Q1_2026-06-23'!$B:$B, "="&amp;'CHECK_DT-BT_chi_tiet'!A24, 'Tong_hop_HQNV_2026Q1_2026-06-23'!$A:$A, "="&amp;'CHECK_DT-BT_chi_tiet'!$AS$2)</f>
        <v>1829602985</v>
      </c>
      <c r="AT24" s="29">
        <f>SUMIFS('HQ1'!$D:$D,'HQ1'!$A:$A, "="&amp;'CHECK_DT-BT_chi_tiet'!C24,'HQ1'!$B:$B,"="&amp;'CHECK_DT-BT_chi_tiet'!$AS$3)</f>
        <v>1829602985</v>
      </c>
      <c r="AU24" s="7">
        <f t="shared" si="13"/>
        <v>0</v>
      </c>
      <c r="AV24" s="7">
        <f>SUMIFS('Tong_hop_HQNV_2026Q1_2026-06-23'!$L:$L,'Tong_hop_HQNV_2026Q1_2026-06-23'!$B:$B, "="&amp;'CHECK_DT-BT_chi_tiet'!A24, 'Tong_hop_HQNV_2026Q1_2026-06-23'!$A:$A, "="&amp;'CHECK_DT-BT_chi_tiet'!$AV$2)</f>
        <v>222241512</v>
      </c>
      <c r="AW24" s="29">
        <f>SUMIFS('HQ1'!$D:$D,'HQ1'!$A:$A, "="&amp;'CHECK_DT-BT_chi_tiet'!C24,'HQ1'!$B:$B,"="&amp;'CHECK_DT-BT_chi_tiet'!$AV$3)</f>
        <v>222241512</v>
      </c>
      <c r="AX24" s="7">
        <f t="shared" si="14"/>
        <v>0</v>
      </c>
      <c r="AY24" s="7">
        <f>SUMIFS('Tong_hop_HQNV_2026Q1_2026-06-23'!$L:$L,'Tong_hop_HQNV_2026Q1_2026-06-23'!$B:$B, "="&amp;'CHECK_DT-BT_chi_tiet'!A24, 'Tong_hop_HQNV_2026Q1_2026-06-23'!$A:$A, "="&amp;$AY$2)</f>
        <v>0</v>
      </c>
      <c r="AZ24" s="29">
        <f>SUMIFS('HQ2'!$J:$J,'HQ2'!$A:$A, "="&amp;'CHECK_DT-BT_chi_tiet'!C24,'HQ2'!$B:$B,"="&amp;'CHECK_DT-BT_chi_tiet'!$AY$3)</f>
        <v>0</v>
      </c>
      <c r="BA24" s="7">
        <f t="shared" si="15"/>
        <v>0</v>
      </c>
      <c r="BB24" s="7">
        <f>SUMIFS('Tong_hop_HQNV_2026Q1_2026-06-23'!$L:$L,'Tong_hop_HQNV_2026Q1_2026-06-23'!$B:$B, "="&amp;'CHECK_DT-BT_chi_tiet'!A24, 'Tong_hop_HQNV_2026Q1_2026-06-23'!$A:$A, "="&amp;$BB$2)</f>
        <v>14426487285</v>
      </c>
      <c r="BC24" s="29">
        <f>SUMIFS('HQ2'!$J:$J,'HQ2'!$A:$A, "="&amp;'CHECK_DT-BT_chi_tiet'!C24,'HQ2'!$B:$B,"="&amp;'CHECK_DT-BT_chi_tiet'!$BB$3)</f>
        <v>14426487285</v>
      </c>
      <c r="BD24" s="7">
        <f t="shared" si="16"/>
        <v>0</v>
      </c>
      <c r="BE24" s="7">
        <f>SUMIFS('Tong_hop_HQNV_2026Q1_2026-06-23'!$L:$L,'Tong_hop_HQNV_2026Q1_2026-06-23'!$B:$B, "="&amp;'CHECK_DT-BT_chi_tiet'!A24, 'Tong_hop_HQNV_2026Q1_2026-06-23'!$A:$A, "="&amp;$BE$2)</f>
        <v>646248343</v>
      </c>
      <c r="BF24" s="29">
        <f>SUMIFS('HQ2'!$J:$J,'HQ2'!$A:$A, "="&amp;'CHECK_DT-BT_chi_tiet'!C24,'HQ2'!$B:$B,"="&amp;'CHECK_DT-BT_chi_tiet'!$BE$3)</f>
        <v>646248343</v>
      </c>
      <c r="BG24" s="7">
        <f t="shared" si="17"/>
        <v>0</v>
      </c>
      <c r="BH24" s="7">
        <f>SUMIFS('Tong_hop_HQNV_2026Q1_2026-06-23'!$L:$L,'Tong_hop_HQNV_2026Q1_2026-06-23'!$B:$B, "="&amp;'CHECK_DT-BT_chi_tiet'!A24, 'Tong_hop_HQNV_2026Q1_2026-06-23'!$A:$A, "="&amp;$BH$2)</f>
        <v>0</v>
      </c>
      <c r="BI24" s="29">
        <f>SUMIFS('HQ2'!$J:$J,'HQ2'!$A:$A, "="&amp;'CHECK_DT-BT_chi_tiet'!C24,'HQ2'!$B:$B,"="&amp;'CHECK_DT-BT_chi_tiet'!$BH$3)</f>
        <v>0</v>
      </c>
      <c r="BJ24" s="7">
        <f t="shared" si="18"/>
        <v>0</v>
      </c>
      <c r="BK24" s="7">
        <f>SUMIFS('Tong_hop_HQNV_2026Q1_2026-06-23'!$L:$L,'Tong_hop_HQNV_2026Q1_2026-06-23'!$B:$B, "="&amp;'CHECK_DT-BT_chi_tiet'!A24, 'Tong_hop_HQNV_2026Q1_2026-06-23'!$A:$A, "="&amp;$BK$2)</f>
        <v>0</v>
      </c>
      <c r="BL24" s="29">
        <f>SUMIFS('HQ2'!$J:$J,'HQ2'!$A:$A, "="&amp;'CHECK_DT-BT_chi_tiet'!C24,'HQ2'!$B:$B,"="&amp;'CHECK_DT-BT_chi_tiet'!$BK$3)</f>
        <v>0</v>
      </c>
      <c r="BM24" s="7">
        <f t="shared" si="19"/>
        <v>0</v>
      </c>
      <c r="BN24" s="7">
        <f>SUMIFS('Tong_hop_HQNV_2026Q1_2026-06-23'!$L:$L,'Tong_hop_HQNV_2026Q1_2026-06-23'!$B:$B, "="&amp;'CHECK_DT-BT_chi_tiet'!A24, 'Tong_hop_HQNV_2026Q1_2026-06-23'!$A:$A, "="&amp;$BN$2)</f>
        <v>271235548</v>
      </c>
      <c r="BO24" s="29">
        <f>SUMIFS('HQ2'!$J:$J,'HQ2'!$A:$A, "="&amp;'CHECK_DT-BT_chi_tiet'!C24,'HQ2'!$B:$B,"="&amp;'CHECK_DT-BT_chi_tiet'!$BN$3)</f>
        <v>271235548</v>
      </c>
      <c r="BP24" s="7">
        <f t="shared" si="20"/>
        <v>0</v>
      </c>
      <c r="BQ24" s="7">
        <f>SUMIFS('Tong_hop_HQNV_2026Q1_2026-06-23'!$L:$L,'Tong_hop_HQNV_2026Q1_2026-06-23'!$B:$B, "="&amp;'CHECK_DT-BT_chi_tiet'!A24, 'Tong_hop_HQNV_2026Q1_2026-06-23'!$A:$A, "="&amp;$BQ$2)</f>
        <v>0</v>
      </c>
      <c r="BR24" s="29">
        <f>SUMIFS('HQ2'!$J:$J,'HQ2'!$A:$A, "="&amp;'CHECK_DT-BT_chi_tiet'!C24,'HQ2'!$B:$B,"="&amp;'CHECK_DT-BT_chi_tiet'!$BQ$3)</f>
        <v>0</v>
      </c>
      <c r="BS24" s="7">
        <f t="shared" si="21"/>
        <v>0</v>
      </c>
      <c r="BT24" s="7">
        <f>SUMIFS('Tong_hop_HQNV_2026Q1_2026-06-23'!$L:$L,'Tong_hop_HQNV_2026Q1_2026-06-23'!$B:$B, "="&amp;'CHECK_DT-BT_chi_tiet'!A24, 'Tong_hop_HQNV_2026Q1_2026-06-23'!$A:$A, "="&amp;$BT$2)</f>
        <v>0</v>
      </c>
      <c r="BU24" s="7">
        <f>SUMIFS('Tong_hop_HQNV_2026Q1_2026-06-23'!$L:$L,'Tong_hop_HQNV_2026Q1_2026-06-23'!$B:$B, "="&amp;'CHECK_DT-BT_chi_tiet'!A24, 'Tong_hop_HQNV_2026Q1_2026-06-23'!$A:$A, "="&amp;$BU$2)</f>
        <v>0</v>
      </c>
    </row>
    <row r="25" spans="1:73" x14ac:dyDescent="0.25">
      <c r="A25" s="9" t="s">
        <v>305</v>
      </c>
      <c r="B25" t="s">
        <v>163</v>
      </c>
      <c r="C25" t="s">
        <v>118</v>
      </c>
      <c r="D25" s="7">
        <f>SUMIFS('Tong_hop_HQNV_2026Q1_2026-06-23'!$K:$K,'Tong_hop_HQNV_2026Q1_2026-06-23'!$A:$A,"="&amp;'CHECK_DT-BT_chi_tiet'!$D$2,'Tong_hop_HQNV_2026Q1_2026-06-23'!$B:$B, "="&amp;'CHECK_DT-BT_chi_tiet'!A25)</f>
        <v>610067694</v>
      </c>
      <c r="E25" s="7">
        <f>SUMIFS('HQ1'!$C:$C,'HQ1'!$A:$A, "="&amp;'CHECK_DT-BT_chi_tiet'!C25,'HQ1'!$B:$B, "="&amp;'CHECK_DT-BT_chi_tiet'!$D$3)</f>
        <v>610067694</v>
      </c>
      <c r="F25" s="7">
        <f t="shared" si="0"/>
        <v>0</v>
      </c>
      <c r="G25" s="7">
        <f>SUMIFS('Tong_hop_HQNV_2026Q1_2026-06-23'!$K:$K,'Tong_hop_HQNV_2026Q1_2026-06-23'!$A:$A,"="&amp;'CHECK_DT-BT_chi_tiet'!$G$2,'Tong_hop_HQNV_2026Q1_2026-06-23'!$B:$B, "="&amp;'CHECK_DT-BT_chi_tiet'!A25)</f>
        <v>13950000</v>
      </c>
      <c r="H25" s="7">
        <f>SUMIFS('HQ1'!$C:$C,'HQ1'!$A:$A, "="&amp;'CHECK_DT-BT_chi_tiet'!C25,'HQ1'!$B:$B, "="&amp;'CHECK_DT-BT_chi_tiet'!$G$3)</f>
        <v>13950000</v>
      </c>
      <c r="I25" s="7">
        <f t="shared" si="1"/>
        <v>0</v>
      </c>
      <c r="J25" s="7">
        <f>SUMIFS('Tong_hop_HQNV_2026Q1_2026-06-23'!$K:$K,'Tong_hop_HQNV_2026Q1_2026-06-23'!$A:$A,"="&amp;'CHECK_DT-BT_chi_tiet'!$J$2,'Tong_hop_HQNV_2026Q1_2026-06-23'!$B:$B, "="&amp;'CHECK_DT-BT_chi_tiet'!A25)</f>
        <v>4638665444</v>
      </c>
      <c r="K25" s="7">
        <f>SUMIFS('HQ1'!$C:$C,'HQ1'!$A:$A, "="&amp;'CHECK_DT-BT_chi_tiet'!C25,'HQ1'!$B:$B, "="&amp;'CHECK_DT-BT_chi_tiet'!$J$3)</f>
        <v>4638665444</v>
      </c>
      <c r="L25" s="7">
        <f t="shared" si="2"/>
        <v>0</v>
      </c>
      <c r="M25" s="7">
        <f>SUMIFS('Tong_hop_HQNV_2026Q1_2026-06-23'!$K:$K,'Tong_hop_HQNV_2026Q1_2026-06-23'!$A:$A,"="&amp;'CHECK_DT-BT_chi_tiet'!$M$2,'Tong_hop_HQNV_2026Q1_2026-06-23'!$B:$B, "="&amp;'CHECK_DT-BT_chi_tiet'!A25)</f>
        <v>889225970</v>
      </c>
      <c r="N25" s="7">
        <f>SUMIFS('HQ1'!$C:$C,'HQ1'!$A:$A, "="&amp;'CHECK_DT-BT_chi_tiet'!C25,'HQ1'!$B:$B, "="&amp;'CHECK_DT-BT_chi_tiet'!$M$3)</f>
        <v>889225970</v>
      </c>
      <c r="O25" s="7">
        <f t="shared" si="3"/>
        <v>0</v>
      </c>
      <c r="P25" s="7">
        <f>SUMIFS('Tong_hop_HQNV_2026Q1_2026-06-23'!$K:$K,'Tong_hop_HQNV_2026Q1_2026-06-23'!$A:$A,"="&amp;$P$2,'Tong_hop_HQNV_2026Q1_2026-06-23'!$B:$B, "="&amp;'CHECK_DT-BT_chi_tiet'!A25)</f>
        <v>111793795</v>
      </c>
      <c r="Q25" s="7">
        <f>SUMIFS('HQ2'!$C:$C,'HQ2'!$A:$A, "="&amp;'CHECK_DT-BT_chi_tiet'!C25,'HQ2'!$B:$B, "="&amp;'CHECK_DT-BT_chi_tiet'!$P$3)</f>
        <v>111793795</v>
      </c>
      <c r="R25" s="7">
        <f t="shared" si="4"/>
        <v>0</v>
      </c>
      <c r="S25" s="7">
        <f>SUMIFS('Tong_hop_HQNV_2026Q1_2026-06-23'!$K:$K,'Tong_hop_HQNV_2026Q1_2026-06-23'!$A:$A,"="&amp;$S$2,'Tong_hop_HQNV_2026Q1_2026-06-23'!$B:$B, "="&amp;'CHECK_DT-BT_chi_tiet'!A25)</f>
        <v>-238187479</v>
      </c>
      <c r="T25" s="7">
        <f>SUMIFS('HQ2'!$C:$C,'HQ2'!$A:$A, "="&amp;'CHECK_DT-BT_chi_tiet'!C25,'HQ2'!$B:$B, "="&amp;'CHECK_DT-BT_chi_tiet'!$S$3)</f>
        <v>-238187479</v>
      </c>
      <c r="U25" s="7">
        <f t="shared" si="5"/>
        <v>0</v>
      </c>
      <c r="V25" s="7">
        <f>SUMIFS('Tong_hop_HQNV_2026Q1_2026-06-23'!$K:$K,'Tong_hop_HQNV_2026Q1_2026-06-23'!$A:$A,"="&amp;$V$2,'Tong_hop_HQNV_2026Q1_2026-06-23'!$B:$B, "="&amp;'CHECK_DT-BT_chi_tiet'!A25)</f>
        <v>0</v>
      </c>
      <c r="W25" s="7">
        <f>SUMIFS('HQ2'!$C:$C,'HQ2'!$A:$A, "="&amp;'CHECK_DT-BT_chi_tiet'!C25,'HQ2'!$B:$B, "="&amp;'CHECK_DT-BT_chi_tiet'!$V$3)</f>
        <v>0</v>
      </c>
      <c r="X25" s="7">
        <f t="shared" si="6"/>
        <v>0</v>
      </c>
      <c r="Y25" s="7">
        <f>SUMIFS('Tong_hop_HQNV_2026Q1_2026-06-23'!$K:$K,'Tong_hop_HQNV_2026Q1_2026-06-23'!$A:$A,"="&amp;$Y$2,'Tong_hop_HQNV_2026Q1_2026-06-23'!$B:$B, "="&amp;'CHECK_DT-BT_chi_tiet'!A25)</f>
        <v>25786000</v>
      </c>
      <c r="Z25" s="7">
        <f>SUMIFS('HQ2'!$C:$C,'HQ2'!$A:$A, "="&amp;'CHECK_DT-BT_chi_tiet'!C25,'HQ2'!$B:$B, "="&amp;'CHECK_DT-BT_chi_tiet'!$Y$3)</f>
        <v>25786000</v>
      </c>
      <c r="AA25" s="7">
        <f t="shared" si="7"/>
        <v>0</v>
      </c>
      <c r="AB25" s="7">
        <f>SUMIFS('Tong_hop_HQNV_2026Q1_2026-06-23'!$K:$K,'Tong_hop_HQNV_2026Q1_2026-06-23'!$A:$A,"="&amp;$AB$2,'Tong_hop_HQNV_2026Q1_2026-06-23'!$B:$B, "="&amp;'CHECK_DT-BT_chi_tiet'!A25)</f>
        <v>335214104</v>
      </c>
      <c r="AC25" s="7">
        <f>SUMIFS('HQ2'!$C:$C,'HQ2'!$A:$A, "="&amp;'CHECK_DT-BT_chi_tiet'!C25,'HQ2'!$B:$B, "="&amp;'CHECK_DT-BT_chi_tiet'!$AB$3)</f>
        <v>335214104</v>
      </c>
      <c r="AD25" s="7">
        <f t="shared" si="8"/>
        <v>0</v>
      </c>
      <c r="AE25" s="7">
        <f>SUMIFS('Tong_hop_HQNV_2026Q1_2026-06-23'!$K:$K,'Tong_hop_HQNV_2026Q1_2026-06-23'!$A:$A,"="&amp;$AE$2,'Tong_hop_HQNV_2026Q1_2026-06-23'!$B:$B, "="&amp;'CHECK_DT-BT_chi_tiet'!A25)</f>
        <v>182463636</v>
      </c>
      <c r="AF25" s="7">
        <f>SUMIFS('HQ2'!$C:$C,'HQ2'!$A:$A, "="&amp;'CHECK_DT-BT_chi_tiet'!C25,'HQ2'!$B:$B, "="&amp;'CHECK_DT-BT_chi_tiet'!$AE$3)</f>
        <v>182463636</v>
      </c>
      <c r="AG25" s="7">
        <f t="shared" si="9"/>
        <v>0</v>
      </c>
      <c r="AH25" s="7">
        <f>SUMIFS('Tong_hop_HQNV_2026Q1_2026-06-23'!$K:$K,'Tong_hop_HQNV_2026Q1_2026-06-23'!$A:$A,"="&amp;$AH$2,'Tong_hop_HQNV_2026Q1_2026-06-23'!$B:$B, "="&amp;'CHECK_DT-BT_chi_tiet'!A25)</f>
        <v>0</v>
      </c>
      <c r="AI25" s="7">
        <f>SUMIFS('HQ2'!$C:$C,'HQ2'!$A:$A, "="&amp;'CHECK_DT-BT_chi_tiet'!C25,'HQ2'!$B:$B, "="&amp;'CHECK_DT-BT_chi_tiet'!$AH$3)</f>
        <v>0</v>
      </c>
      <c r="AJ25" s="7">
        <f t="shared" si="10"/>
        <v>0</v>
      </c>
      <c r="AK25" s="7">
        <f>SUMIFS('Tong_hop_HQNV_2026Q1_2026-06-23'!$K:$K,'Tong_hop_HQNV_2026Q1_2026-06-23'!$A:$A,"="&amp;$AK$2,'Tong_hop_HQNV_2026Q1_2026-06-23'!$B:$B, "="&amp;'CHECK_DT-BT_chi_tiet'!A25)</f>
        <v>0</v>
      </c>
      <c r="AL25" s="7">
        <f>SUMIFS('Tong_hop_HQNV_2026Q1_2026-06-23'!$K:$K,'Tong_hop_HQNV_2026Q1_2026-06-23'!$A:$A,"="&amp;$AL$2,'Tong_hop_HQNV_2026Q1_2026-06-23'!$B:$B, "="&amp;'CHECK_DT-BT_chi_tiet'!A25)</f>
        <v>0</v>
      </c>
      <c r="AM25" s="23">
        <f>SUMIFS('Tong_hop_HQNV_2026Q1_2026-06-23'!$L:$L,'Tong_hop_HQNV_2026Q1_2026-06-23'!$B:$B, "="&amp;'CHECK_DT-BT_chi_tiet'!A25, 'Tong_hop_HQNV_2026Q1_2026-06-23'!$A:$A, "="&amp;'CHECK_DT-BT_chi_tiet'!$AM$2)</f>
        <v>372480000</v>
      </c>
      <c r="AN25" s="29">
        <f>SUMIFS('HQ1'!$D:$D,'HQ1'!$A:$A, "="&amp;'CHECK_DT-BT_chi_tiet'!C25,'HQ1'!$B:$B,"="&amp;'CHECK_DT-BT_chi_tiet'!$AM$3)</f>
        <v>372480000</v>
      </c>
      <c r="AO25" s="29">
        <f t="shared" si="11"/>
        <v>0</v>
      </c>
      <c r="AP25" s="7">
        <f>SUMIFS('Tong_hop_HQNV_2026Q1_2026-06-23'!$L:$L,'Tong_hop_HQNV_2026Q1_2026-06-23'!$B:$B, "="&amp;'CHECK_DT-BT_chi_tiet'!A25, 'Tong_hop_HQNV_2026Q1_2026-06-23'!$A:$A, "="&amp;'CHECK_DT-BT_chi_tiet'!$AP$2)</f>
        <v>0</v>
      </c>
      <c r="AQ25" s="29">
        <f>SUMIFS('HQ1'!$D:$D,'HQ1'!$A:$A, "="&amp;'CHECK_DT-BT_chi_tiet'!C25,'HQ1'!$B:$B,"="&amp;'CHECK_DT-BT_chi_tiet'!$AP$3)</f>
        <v>0</v>
      </c>
      <c r="AR25" s="7">
        <f t="shared" si="12"/>
        <v>0</v>
      </c>
      <c r="AS25" s="7">
        <f>SUMIFS('Tong_hop_HQNV_2026Q1_2026-06-23'!$L:$L,'Tong_hop_HQNV_2026Q1_2026-06-23'!$B:$B, "="&amp;'CHECK_DT-BT_chi_tiet'!A25, 'Tong_hop_HQNV_2026Q1_2026-06-23'!$A:$A, "="&amp;'CHECK_DT-BT_chi_tiet'!$AS$2)</f>
        <v>1246437442</v>
      </c>
      <c r="AT25" s="29">
        <f>SUMIFS('HQ1'!$D:$D,'HQ1'!$A:$A, "="&amp;'CHECK_DT-BT_chi_tiet'!C25,'HQ1'!$B:$B,"="&amp;'CHECK_DT-BT_chi_tiet'!$AS$3)</f>
        <v>1246437442</v>
      </c>
      <c r="AU25" s="7">
        <f t="shared" si="13"/>
        <v>0</v>
      </c>
      <c r="AV25" s="7">
        <f>SUMIFS('Tong_hop_HQNV_2026Q1_2026-06-23'!$L:$L,'Tong_hop_HQNV_2026Q1_2026-06-23'!$B:$B, "="&amp;'CHECK_DT-BT_chi_tiet'!A25, 'Tong_hop_HQNV_2026Q1_2026-06-23'!$A:$A, "="&amp;'CHECK_DT-BT_chi_tiet'!$AV$2)</f>
        <v>267590142</v>
      </c>
      <c r="AW25" s="29">
        <f>SUMIFS('HQ1'!$D:$D,'HQ1'!$A:$A, "="&amp;'CHECK_DT-BT_chi_tiet'!C25,'HQ1'!$B:$B,"="&amp;'CHECK_DT-BT_chi_tiet'!$AV$3)</f>
        <v>267590142</v>
      </c>
      <c r="AX25" s="7">
        <f t="shared" si="14"/>
        <v>0</v>
      </c>
      <c r="AY25" s="7">
        <f>SUMIFS('Tong_hop_HQNV_2026Q1_2026-06-23'!$L:$L,'Tong_hop_HQNV_2026Q1_2026-06-23'!$B:$B, "="&amp;'CHECK_DT-BT_chi_tiet'!A25, 'Tong_hop_HQNV_2026Q1_2026-06-23'!$A:$A, "="&amp;$AY$2)</f>
        <v>0</v>
      </c>
      <c r="AZ25" s="29">
        <f>SUMIFS('HQ2'!$J:$J,'HQ2'!$A:$A, "="&amp;'CHECK_DT-BT_chi_tiet'!C25,'HQ2'!$B:$B,"="&amp;'CHECK_DT-BT_chi_tiet'!$AY$3)</f>
        <v>0</v>
      </c>
      <c r="BA25" s="7">
        <f t="shared" si="15"/>
        <v>0</v>
      </c>
      <c r="BB25" s="7">
        <f>SUMIFS('Tong_hop_HQNV_2026Q1_2026-06-23'!$L:$L,'Tong_hop_HQNV_2026Q1_2026-06-23'!$B:$B, "="&amp;'CHECK_DT-BT_chi_tiet'!A25, 'Tong_hop_HQNV_2026Q1_2026-06-23'!$A:$A, "="&amp;$BB$2)</f>
        <v>0</v>
      </c>
      <c r="BC25" s="29">
        <f>SUMIFS('HQ2'!$J:$J,'HQ2'!$A:$A, "="&amp;'CHECK_DT-BT_chi_tiet'!C25,'HQ2'!$B:$B,"="&amp;'CHECK_DT-BT_chi_tiet'!$BB$3)</f>
        <v>0</v>
      </c>
      <c r="BD25" s="7">
        <f t="shared" si="16"/>
        <v>0</v>
      </c>
      <c r="BE25" s="7">
        <f>SUMIFS('Tong_hop_HQNV_2026Q1_2026-06-23'!$L:$L,'Tong_hop_HQNV_2026Q1_2026-06-23'!$B:$B, "="&amp;'CHECK_DT-BT_chi_tiet'!A25, 'Tong_hop_HQNV_2026Q1_2026-06-23'!$A:$A, "="&amp;$BE$2)</f>
        <v>0</v>
      </c>
      <c r="BF25" s="29">
        <f>SUMIFS('HQ2'!$J:$J,'HQ2'!$A:$A, "="&amp;'CHECK_DT-BT_chi_tiet'!C25,'HQ2'!$B:$B,"="&amp;'CHECK_DT-BT_chi_tiet'!$BE$3)</f>
        <v>0</v>
      </c>
      <c r="BG25" s="7">
        <f t="shared" si="17"/>
        <v>0</v>
      </c>
      <c r="BH25" s="7">
        <f>SUMIFS('Tong_hop_HQNV_2026Q1_2026-06-23'!$L:$L,'Tong_hop_HQNV_2026Q1_2026-06-23'!$B:$B, "="&amp;'CHECK_DT-BT_chi_tiet'!A25, 'Tong_hop_HQNV_2026Q1_2026-06-23'!$A:$A, "="&amp;$BH$2)</f>
        <v>0</v>
      </c>
      <c r="BI25" s="29">
        <f>SUMIFS('HQ2'!$J:$J,'HQ2'!$A:$A, "="&amp;'CHECK_DT-BT_chi_tiet'!C25,'HQ2'!$B:$B,"="&amp;'CHECK_DT-BT_chi_tiet'!$BH$3)</f>
        <v>0</v>
      </c>
      <c r="BJ25" s="7">
        <f t="shared" si="18"/>
        <v>0</v>
      </c>
      <c r="BK25" s="7">
        <f>SUMIFS('Tong_hop_HQNV_2026Q1_2026-06-23'!$L:$L,'Tong_hop_HQNV_2026Q1_2026-06-23'!$B:$B, "="&amp;'CHECK_DT-BT_chi_tiet'!A25, 'Tong_hop_HQNV_2026Q1_2026-06-23'!$A:$A, "="&amp;$BK$2)</f>
        <v>5449151424</v>
      </c>
      <c r="BL25" s="29">
        <f>SUMIFS('HQ2'!$J:$J,'HQ2'!$A:$A, "="&amp;'CHECK_DT-BT_chi_tiet'!C25,'HQ2'!$B:$B,"="&amp;'CHECK_DT-BT_chi_tiet'!$BK$3)</f>
        <v>5449151424</v>
      </c>
      <c r="BM25" s="7">
        <f t="shared" si="19"/>
        <v>0</v>
      </c>
      <c r="BN25" s="7">
        <f>SUMIFS('Tong_hop_HQNV_2026Q1_2026-06-23'!$L:$L,'Tong_hop_HQNV_2026Q1_2026-06-23'!$B:$B, "="&amp;'CHECK_DT-BT_chi_tiet'!A25, 'Tong_hop_HQNV_2026Q1_2026-06-23'!$A:$A, "="&amp;$BN$2)</f>
        <v>0</v>
      </c>
      <c r="BO25" s="29">
        <f>SUMIFS('HQ2'!$J:$J,'HQ2'!$A:$A, "="&amp;'CHECK_DT-BT_chi_tiet'!C25,'HQ2'!$B:$B,"="&amp;'CHECK_DT-BT_chi_tiet'!$BN$3)</f>
        <v>0</v>
      </c>
      <c r="BP25" s="7">
        <f t="shared" si="20"/>
        <v>0</v>
      </c>
      <c r="BQ25" s="7">
        <f>SUMIFS('Tong_hop_HQNV_2026Q1_2026-06-23'!$L:$L,'Tong_hop_HQNV_2026Q1_2026-06-23'!$B:$B, "="&amp;'CHECK_DT-BT_chi_tiet'!A25, 'Tong_hop_HQNV_2026Q1_2026-06-23'!$A:$A, "="&amp;$BQ$2)</f>
        <v>7949000</v>
      </c>
      <c r="BR25" s="29">
        <f>SUMIFS('HQ2'!$J:$J,'HQ2'!$A:$A, "="&amp;'CHECK_DT-BT_chi_tiet'!C25,'HQ2'!$B:$B,"="&amp;'CHECK_DT-BT_chi_tiet'!$BQ$3)</f>
        <v>7949000</v>
      </c>
      <c r="BS25" s="7">
        <f t="shared" si="21"/>
        <v>0</v>
      </c>
      <c r="BT25" s="7">
        <f>SUMIFS('Tong_hop_HQNV_2026Q1_2026-06-23'!$L:$L,'Tong_hop_HQNV_2026Q1_2026-06-23'!$B:$B, "="&amp;'CHECK_DT-BT_chi_tiet'!A25, 'Tong_hop_HQNV_2026Q1_2026-06-23'!$A:$A, "="&amp;$BT$2)</f>
        <v>0</v>
      </c>
      <c r="BU25" s="7">
        <f>SUMIFS('Tong_hop_HQNV_2026Q1_2026-06-23'!$L:$L,'Tong_hop_HQNV_2026Q1_2026-06-23'!$B:$B, "="&amp;'CHECK_DT-BT_chi_tiet'!A25, 'Tong_hop_HQNV_2026Q1_2026-06-23'!$A:$A, "="&amp;$BU$2)</f>
        <v>0</v>
      </c>
    </row>
    <row r="26" spans="1:73" x14ac:dyDescent="0.25">
      <c r="A26" s="9" t="s">
        <v>306</v>
      </c>
      <c r="B26" t="s">
        <v>164</v>
      </c>
      <c r="C26" t="s">
        <v>71</v>
      </c>
      <c r="D26" s="7">
        <f>SUMIFS('Tong_hop_HQNV_2026Q1_2026-06-23'!$K:$K,'Tong_hop_HQNV_2026Q1_2026-06-23'!$A:$A,"="&amp;'CHECK_DT-BT_chi_tiet'!$D$2,'Tong_hop_HQNV_2026Q1_2026-06-23'!$B:$B, "="&amp;'CHECK_DT-BT_chi_tiet'!A26)</f>
        <v>8034762582</v>
      </c>
      <c r="E26" s="7">
        <f>SUMIFS('HQ1'!$C:$C,'HQ1'!$A:$A, "="&amp;'CHECK_DT-BT_chi_tiet'!C26,'HQ1'!$B:$B, "="&amp;'CHECK_DT-BT_chi_tiet'!$D$3)</f>
        <v>8034762582</v>
      </c>
      <c r="F26" s="7">
        <f t="shared" si="0"/>
        <v>0</v>
      </c>
      <c r="G26" s="7">
        <f>SUMIFS('Tong_hop_HQNV_2026Q1_2026-06-23'!$K:$K,'Tong_hop_HQNV_2026Q1_2026-06-23'!$A:$A,"="&amp;'CHECK_DT-BT_chi_tiet'!$G$2,'Tong_hop_HQNV_2026Q1_2026-06-23'!$B:$B, "="&amp;'CHECK_DT-BT_chi_tiet'!A26)</f>
        <v>2287388900</v>
      </c>
      <c r="H26" s="7">
        <f>SUMIFS('HQ1'!$C:$C,'HQ1'!$A:$A, "="&amp;'CHECK_DT-BT_chi_tiet'!C26,'HQ1'!$B:$B, "="&amp;'CHECK_DT-BT_chi_tiet'!$G$3)</f>
        <v>2287388900</v>
      </c>
      <c r="I26" s="7">
        <f t="shared" si="1"/>
        <v>0</v>
      </c>
      <c r="J26" s="7">
        <f>SUMIFS('Tong_hop_HQNV_2026Q1_2026-06-23'!$K:$K,'Tong_hop_HQNV_2026Q1_2026-06-23'!$A:$A,"="&amp;'CHECK_DT-BT_chi_tiet'!$J$2,'Tong_hop_HQNV_2026Q1_2026-06-23'!$B:$B, "="&amp;'CHECK_DT-BT_chi_tiet'!A26)</f>
        <v>15504113612</v>
      </c>
      <c r="K26" s="7">
        <f>SUMIFS('HQ1'!$C:$C,'HQ1'!$A:$A, "="&amp;'CHECK_DT-BT_chi_tiet'!C26,'HQ1'!$B:$B, "="&amp;'CHECK_DT-BT_chi_tiet'!$J$3)</f>
        <v>15504113612</v>
      </c>
      <c r="L26" s="7">
        <f t="shared" si="2"/>
        <v>0</v>
      </c>
      <c r="M26" s="7">
        <f>SUMIFS('Tong_hop_HQNV_2026Q1_2026-06-23'!$K:$K,'Tong_hop_HQNV_2026Q1_2026-06-23'!$A:$A,"="&amp;'CHECK_DT-BT_chi_tiet'!$M$2,'Tong_hop_HQNV_2026Q1_2026-06-23'!$B:$B, "="&amp;'CHECK_DT-BT_chi_tiet'!A26)</f>
        <v>14593489700</v>
      </c>
      <c r="N26" s="7">
        <f>SUMIFS('HQ1'!$C:$C,'HQ1'!$A:$A, "="&amp;'CHECK_DT-BT_chi_tiet'!C26,'HQ1'!$B:$B, "="&amp;'CHECK_DT-BT_chi_tiet'!$M$3)</f>
        <v>14596886700</v>
      </c>
      <c r="O26" s="7">
        <f t="shared" si="3"/>
        <v>-3397000</v>
      </c>
      <c r="P26" s="7">
        <f>SUMIFS('Tong_hop_HQNV_2026Q1_2026-06-23'!$K:$K,'Tong_hop_HQNV_2026Q1_2026-06-23'!$A:$A,"="&amp;$P$2,'Tong_hop_HQNV_2026Q1_2026-06-23'!$B:$B, "="&amp;'CHECK_DT-BT_chi_tiet'!A26)</f>
        <v>195968449</v>
      </c>
      <c r="Q26" s="7">
        <f>SUMIFS('HQ2'!$C:$C,'HQ2'!$A:$A, "="&amp;'CHECK_DT-BT_chi_tiet'!C26,'HQ2'!$B:$B, "="&amp;'CHECK_DT-BT_chi_tiet'!$P$3)</f>
        <v>195968449</v>
      </c>
      <c r="R26" s="7">
        <f t="shared" si="4"/>
        <v>0</v>
      </c>
      <c r="S26" s="7">
        <f>SUMIFS('Tong_hop_HQNV_2026Q1_2026-06-23'!$K:$K,'Tong_hop_HQNV_2026Q1_2026-06-23'!$A:$A,"="&amp;$S$2,'Tong_hop_HQNV_2026Q1_2026-06-23'!$B:$B, "="&amp;'CHECK_DT-BT_chi_tiet'!A26)</f>
        <v>0</v>
      </c>
      <c r="T26" s="7">
        <f>SUMIFS('HQ2'!$C:$C,'HQ2'!$A:$A, "="&amp;'CHECK_DT-BT_chi_tiet'!C26,'HQ2'!$B:$B, "="&amp;'CHECK_DT-BT_chi_tiet'!$S$3)</f>
        <v>0</v>
      </c>
      <c r="U26" s="7">
        <f t="shared" si="5"/>
        <v>0</v>
      </c>
      <c r="V26" s="7">
        <f>SUMIFS('Tong_hop_HQNV_2026Q1_2026-06-23'!$K:$K,'Tong_hop_HQNV_2026Q1_2026-06-23'!$A:$A,"="&amp;$V$2,'Tong_hop_HQNV_2026Q1_2026-06-23'!$B:$B, "="&amp;'CHECK_DT-BT_chi_tiet'!A26)</f>
        <v>0</v>
      </c>
      <c r="W26" s="7">
        <f>SUMIFS('HQ2'!$C:$C,'HQ2'!$A:$A, "="&amp;'CHECK_DT-BT_chi_tiet'!C26,'HQ2'!$B:$B, "="&amp;'CHECK_DT-BT_chi_tiet'!$V$3)</f>
        <v>0</v>
      </c>
      <c r="X26" s="7">
        <f t="shared" si="6"/>
        <v>0</v>
      </c>
      <c r="Y26" s="7">
        <f>SUMIFS('Tong_hop_HQNV_2026Q1_2026-06-23'!$K:$K,'Tong_hop_HQNV_2026Q1_2026-06-23'!$A:$A,"="&amp;$Y$2,'Tong_hop_HQNV_2026Q1_2026-06-23'!$B:$B, "="&amp;'CHECK_DT-BT_chi_tiet'!A26)</f>
        <v>0</v>
      </c>
      <c r="Z26" s="7">
        <f>SUMIFS('HQ2'!$C:$C,'HQ2'!$A:$A, "="&amp;'CHECK_DT-BT_chi_tiet'!C26,'HQ2'!$B:$B, "="&amp;'CHECK_DT-BT_chi_tiet'!$Y$3)</f>
        <v>0</v>
      </c>
      <c r="AA26" s="7">
        <f t="shared" si="7"/>
        <v>0</v>
      </c>
      <c r="AB26" s="7">
        <f>SUMIFS('Tong_hop_HQNV_2026Q1_2026-06-23'!$K:$K,'Tong_hop_HQNV_2026Q1_2026-06-23'!$A:$A,"="&amp;$AB$2,'Tong_hop_HQNV_2026Q1_2026-06-23'!$B:$B, "="&amp;'CHECK_DT-BT_chi_tiet'!A26)</f>
        <v>3643814450</v>
      </c>
      <c r="AC26" s="7">
        <f>SUMIFS('HQ2'!$C:$C,'HQ2'!$A:$A, "="&amp;'CHECK_DT-BT_chi_tiet'!C26,'HQ2'!$B:$B, "="&amp;'CHECK_DT-BT_chi_tiet'!$AB$3)</f>
        <v>3643814450</v>
      </c>
      <c r="AD26" s="7">
        <f t="shared" si="8"/>
        <v>0</v>
      </c>
      <c r="AE26" s="7">
        <f>SUMIFS('Tong_hop_HQNV_2026Q1_2026-06-23'!$K:$K,'Tong_hop_HQNV_2026Q1_2026-06-23'!$A:$A,"="&amp;$AE$2,'Tong_hop_HQNV_2026Q1_2026-06-23'!$B:$B, "="&amp;'CHECK_DT-BT_chi_tiet'!A26)</f>
        <v>2622739408</v>
      </c>
      <c r="AF26" s="7">
        <f>SUMIFS('HQ2'!$C:$C,'HQ2'!$A:$A, "="&amp;'CHECK_DT-BT_chi_tiet'!C26,'HQ2'!$B:$B, "="&amp;'CHECK_DT-BT_chi_tiet'!$AE$3)</f>
        <v>2622739408</v>
      </c>
      <c r="AG26" s="7">
        <f t="shared" si="9"/>
        <v>0</v>
      </c>
      <c r="AH26" s="7">
        <f>SUMIFS('Tong_hop_HQNV_2026Q1_2026-06-23'!$K:$K,'Tong_hop_HQNV_2026Q1_2026-06-23'!$A:$A,"="&amp;$AH$2,'Tong_hop_HQNV_2026Q1_2026-06-23'!$B:$B, "="&amp;'CHECK_DT-BT_chi_tiet'!A26)</f>
        <v>644725965</v>
      </c>
      <c r="AI26" s="7">
        <f>SUMIFS('HQ2'!$C:$C,'HQ2'!$A:$A, "="&amp;'CHECK_DT-BT_chi_tiet'!C26,'HQ2'!$B:$B, "="&amp;'CHECK_DT-BT_chi_tiet'!$AH$3)</f>
        <v>644725965</v>
      </c>
      <c r="AJ26" s="7">
        <f t="shared" si="10"/>
        <v>0</v>
      </c>
      <c r="AK26" s="7">
        <f>SUMIFS('Tong_hop_HQNV_2026Q1_2026-06-23'!$K:$K,'Tong_hop_HQNV_2026Q1_2026-06-23'!$A:$A,"="&amp;$AK$2,'Tong_hop_HQNV_2026Q1_2026-06-23'!$B:$B, "="&amp;'CHECK_DT-BT_chi_tiet'!A26)</f>
        <v>0</v>
      </c>
      <c r="AL26" s="7">
        <f>SUMIFS('Tong_hop_HQNV_2026Q1_2026-06-23'!$K:$K,'Tong_hop_HQNV_2026Q1_2026-06-23'!$A:$A,"="&amp;$AL$2,'Tong_hop_HQNV_2026Q1_2026-06-23'!$B:$B, "="&amp;'CHECK_DT-BT_chi_tiet'!A26)</f>
        <v>0</v>
      </c>
      <c r="AM26" s="23">
        <f>SUMIFS('Tong_hop_HQNV_2026Q1_2026-06-23'!$L:$L,'Tong_hop_HQNV_2026Q1_2026-06-23'!$B:$B, "="&amp;'CHECK_DT-BT_chi_tiet'!A26, 'Tong_hop_HQNV_2026Q1_2026-06-23'!$A:$A, "="&amp;'CHECK_DT-BT_chi_tiet'!$AM$2)</f>
        <v>6268953487</v>
      </c>
      <c r="AN26" s="29">
        <f>SUMIFS('HQ1'!$D:$D,'HQ1'!$A:$A, "="&amp;'CHECK_DT-BT_chi_tiet'!C26,'HQ1'!$B:$B,"="&amp;'CHECK_DT-BT_chi_tiet'!$AM$3)</f>
        <v>6267753487</v>
      </c>
      <c r="AO26" s="29">
        <f t="shared" si="11"/>
        <v>1200000</v>
      </c>
      <c r="AP26" s="7">
        <f>SUMIFS('Tong_hop_HQNV_2026Q1_2026-06-23'!$L:$L,'Tong_hop_HQNV_2026Q1_2026-06-23'!$B:$B, "="&amp;'CHECK_DT-BT_chi_tiet'!A26, 'Tong_hop_HQNV_2026Q1_2026-06-23'!$A:$A, "="&amp;'CHECK_DT-BT_chi_tiet'!$AP$2)</f>
        <v>233001890</v>
      </c>
      <c r="AQ26" s="29">
        <f>SUMIFS('HQ1'!$D:$D,'HQ1'!$A:$A, "="&amp;'CHECK_DT-BT_chi_tiet'!C26,'HQ1'!$B:$B,"="&amp;'CHECK_DT-BT_chi_tiet'!$AP$3)</f>
        <v>233001890</v>
      </c>
      <c r="AR26" s="7">
        <f t="shared" si="12"/>
        <v>0</v>
      </c>
      <c r="AS26" s="7">
        <f>SUMIFS('Tong_hop_HQNV_2026Q1_2026-06-23'!$L:$L,'Tong_hop_HQNV_2026Q1_2026-06-23'!$B:$B, "="&amp;'CHECK_DT-BT_chi_tiet'!A26, 'Tong_hop_HQNV_2026Q1_2026-06-23'!$A:$A, "="&amp;'CHECK_DT-BT_chi_tiet'!$AS$2)</f>
        <v>9429352049</v>
      </c>
      <c r="AT26" s="29">
        <f>SUMIFS('HQ1'!$D:$D,'HQ1'!$A:$A, "="&amp;'CHECK_DT-BT_chi_tiet'!C26,'HQ1'!$B:$B,"="&amp;'CHECK_DT-BT_chi_tiet'!$AS$3)</f>
        <v>9429352049</v>
      </c>
      <c r="AU26" s="7">
        <f t="shared" si="13"/>
        <v>0</v>
      </c>
      <c r="AV26" s="7">
        <f>SUMIFS('Tong_hop_HQNV_2026Q1_2026-06-23'!$L:$L,'Tong_hop_HQNV_2026Q1_2026-06-23'!$B:$B, "="&amp;'CHECK_DT-BT_chi_tiet'!A26, 'Tong_hop_HQNV_2026Q1_2026-06-23'!$A:$A, "="&amp;'CHECK_DT-BT_chi_tiet'!$AV$2)</f>
        <v>13217041531</v>
      </c>
      <c r="AW26" s="29">
        <f>SUMIFS('HQ1'!$D:$D,'HQ1'!$A:$A, "="&amp;'CHECK_DT-BT_chi_tiet'!C26,'HQ1'!$B:$B,"="&amp;'CHECK_DT-BT_chi_tiet'!$AV$3)</f>
        <v>13217041531</v>
      </c>
      <c r="AX26" s="7">
        <f t="shared" si="14"/>
        <v>0</v>
      </c>
      <c r="AY26" s="7">
        <f>SUMIFS('Tong_hop_HQNV_2026Q1_2026-06-23'!$L:$L,'Tong_hop_HQNV_2026Q1_2026-06-23'!$B:$B, "="&amp;'CHECK_DT-BT_chi_tiet'!A26, 'Tong_hop_HQNV_2026Q1_2026-06-23'!$A:$A, "="&amp;$AY$2)</f>
        <v>0</v>
      </c>
      <c r="AZ26" s="29">
        <f>SUMIFS('HQ2'!$J:$J,'HQ2'!$A:$A, "="&amp;'CHECK_DT-BT_chi_tiet'!C26,'HQ2'!$B:$B,"="&amp;'CHECK_DT-BT_chi_tiet'!$AY$3)</f>
        <v>0</v>
      </c>
      <c r="BA26" s="7">
        <f t="shared" si="15"/>
        <v>0</v>
      </c>
      <c r="BB26" s="7">
        <f>SUMIFS('Tong_hop_HQNV_2026Q1_2026-06-23'!$L:$L,'Tong_hop_HQNV_2026Q1_2026-06-23'!$B:$B, "="&amp;'CHECK_DT-BT_chi_tiet'!A26, 'Tong_hop_HQNV_2026Q1_2026-06-23'!$A:$A, "="&amp;$BB$2)</f>
        <v>0</v>
      </c>
      <c r="BC26" s="29">
        <f>SUMIFS('HQ2'!$J:$J,'HQ2'!$A:$A, "="&amp;'CHECK_DT-BT_chi_tiet'!C26,'HQ2'!$B:$B,"="&amp;'CHECK_DT-BT_chi_tiet'!$BB$3)</f>
        <v>0</v>
      </c>
      <c r="BD26" s="7">
        <f t="shared" si="16"/>
        <v>0</v>
      </c>
      <c r="BE26" s="7">
        <f>SUMIFS('Tong_hop_HQNV_2026Q1_2026-06-23'!$L:$L,'Tong_hop_HQNV_2026Q1_2026-06-23'!$B:$B, "="&amp;'CHECK_DT-BT_chi_tiet'!A26, 'Tong_hop_HQNV_2026Q1_2026-06-23'!$A:$A, "="&amp;$BE$2)</f>
        <v>0</v>
      </c>
      <c r="BF26" s="29">
        <f>SUMIFS('HQ2'!$J:$J,'HQ2'!$A:$A, "="&amp;'CHECK_DT-BT_chi_tiet'!C26,'HQ2'!$B:$B,"="&amp;'CHECK_DT-BT_chi_tiet'!$BE$3)</f>
        <v>0</v>
      </c>
      <c r="BG26" s="7">
        <f t="shared" si="17"/>
        <v>0</v>
      </c>
      <c r="BH26" s="7">
        <f>SUMIFS('Tong_hop_HQNV_2026Q1_2026-06-23'!$L:$L,'Tong_hop_HQNV_2026Q1_2026-06-23'!$B:$B, "="&amp;'CHECK_DT-BT_chi_tiet'!A26, 'Tong_hop_HQNV_2026Q1_2026-06-23'!$A:$A, "="&amp;$BH$2)</f>
        <v>0</v>
      </c>
      <c r="BI26" s="29">
        <f>SUMIFS('HQ2'!$J:$J,'HQ2'!$A:$A, "="&amp;'CHECK_DT-BT_chi_tiet'!C26,'HQ2'!$B:$B,"="&amp;'CHECK_DT-BT_chi_tiet'!$BH$3)</f>
        <v>0</v>
      </c>
      <c r="BJ26" s="7">
        <f t="shared" si="18"/>
        <v>0</v>
      </c>
      <c r="BK26" s="7">
        <f>SUMIFS('Tong_hop_HQNV_2026Q1_2026-06-23'!$L:$L,'Tong_hop_HQNV_2026Q1_2026-06-23'!$B:$B, "="&amp;'CHECK_DT-BT_chi_tiet'!A26, 'Tong_hop_HQNV_2026Q1_2026-06-23'!$A:$A, "="&amp;$BK$2)</f>
        <v>2782341210</v>
      </c>
      <c r="BL26" s="29">
        <f>SUMIFS('HQ2'!$J:$J,'HQ2'!$A:$A, "="&amp;'CHECK_DT-BT_chi_tiet'!C26,'HQ2'!$B:$B,"="&amp;'CHECK_DT-BT_chi_tiet'!$BK$3)</f>
        <v>2782204847</v>
      </c>
      <c r="BM26" s="7">
        <f t="shared" si="19"/>
        <v>136363</v>
      </c>
      <c r="BN26" s="7">
        <f>SUMIFS('Tong_hop_HQNV_2026Q1_2026-06-23'!$L:$L,'Tong_hop_HQNV_2026Q1_2026-06-23'!$B:$B, "="&amp;'CHECK_DT-BT_chi_tiet'!A26, 'Tong_hop_HQNV_2026Q1_2026-06-23'!$A:$A, "="&amp;$BN$2)</f>
        <v>0</v>
      </c>
      <c r="BO26" s="29">
        <f>SUMIFS('HQ2'!$J:$J,'HQ2'!$A:$A, "="&amp;'CHECK_DT-BT_chi_tiet'!C26,'HQ2'!$B:$B,"="&amp;'CHECK_DT-BT_chi_tiet'!$BN$3)</f>
        <v>0</v>
      </c>
      <c r="BP26" s="7">
        <f t="shared" si="20"/>
        <v>0</v>
      </c>
      <c r="BQ26" s="7">
        <f>SUMIFS('Tong_hop_HQNV_2026Q1_2026-06-23'!$L:$L,'Tong_hop_HQNV_2026Q1_2026-06-23'!$B:$B, "="&amp;'CHECK_DT-BT_chi_tiet'!A26, 'Tong_hop_HQNV_2026Q1_2026-06-23'!$A:$A, "="&amp;$BQ$2)</f>
        <v>0</v>
      </c>
      <c r="BR26" s="29">
        <f>SUMIFS('HQ2'!$J:$J,'HQ2'!$A:$A, "="&amp;'CHECK_DT-BT_chi_tiet'!C26,'HQ2'!$B:$B,"="&amp;'CHECK_DT-BT_chi_tiet'!$BQ$3)</f>
        <v>0</v>
      </c>
      <c r="BS26" s="7">
        <f t="shared" si="21"/>
        <v>0</v>
      </c>
      <c r="BT26" s="7">
        <f>SUMIFS('Tong_hop_HQNV_2026Q1_2026-06-23'!$L:$L,'Tong_hop_HQNV_2026Q1_2026-06-23'!$B:$B, "="&amp;'CHECK_DT-BT_chi_tiet'!A26, 'Tong_hop_HQNV_2026Q1_2026-06-23'!$A:$A, "="&amp;$BT$2)</f>
        <v>0</v>
      </c>
      <c r="BU26" s="7">
        <f>SUMIFS('Tong_hop_HQNV_2026Q1_2026-06-23'!$L:$L,'Tong_hop_HQNV_2026Q1_2026-06-23'!$B:$B, "="&amp;'CHECK_DT-BT_chi_tiet'!A26, 'Tong_hop_HQNV_2026Q1_2026-06-23'!$A:$A, "="&amp;$BU$2)</f>
        <v>0</v>
      </c>
    </row>
    <row r="27" spans="1:73" x14ac:dyDescent="0.25">
      <c r="A27" s="9" t="s">
        <v>307</v>
      </c>
      <c r="B27" t="s">
        <v>165</v>
      </c>
      <c r="C27" t="s">
        <v>92</v>
      </c>
      <c r="D27" s="7">
        <f>SUMIFS('Tong_hop_HQNV_2026Q1_2026-06-23'!$K:$K,'Tong_hop_HQNV_2026Q1_2026-06-23'!$A:$A,"="&amp;'CHECK_DT-BT_chi_tiet'!$D$2,'Tong_hop_HQNV_2026Q1_2026-06-23'!$B:$B, "="&amp;'CHECK_DT-BT_chi_tiet'!A27)</f>
        <v>1417571439</v>
      </c>
      <c r="E27" s="7">
        <f>SUMIFS('HQ1'!$C:$C,'HQ1'!$A:$A, "="&amp;'CHECK_DT-BT_chi_tiet'!C27,'HQ1'!$B:$B, "="&amp;'CHECK_DT-BT_chi_tiet'!$D$3)</f>
        <v>1417571439</v>
      </c>
      <c r="F27" s="7">
        <f t="shared" si="0"/>
        <v>0</v>
      </c>
      <c r="G27" s="7">
        <f>SUMIFS('Tong_hop_HQNV_2026Q1_2026-06-23'!$K:$K,'Tong_hop_HQNV_2026Q1_2026-06-23'!$A:$A,"="&amp;'CHECK_DT-BT_chi_tiet'!$G$2,'Tong_hop_HQNV_2026Q1_2026-06-23'!$B:$B, "="&amp;'CHECK_DT-BT_chi_tiet'!A27)</f>
        <v>158083300</v>
      </c>
      <c r="H27" s="7">
        <f>SUMIFS('HQ1'!$C:$C,'HQ1'!$A:$A, "="&amp;'CHECK_DT-BT_chi_tiet'!C27,'HQ1'!$B:$B, "="&amp;'CHECK_DT-BT_chi_tiet'!$G$3)</f>
        <v>158083300</v>
      </c>
      <c r="I27" s="7">
        <f t="shared" si="1"/>
        <v>0</v>
      </c>
      <c r="J27" s="7">
        <f>SUMIFS('Tong_hop_HQNV_2026Q1_2026-06-23'!$K:$K,'Tong_hop_HQNV_2026Q1_2026-06-23'!$A:$A,"="&amp;'CHECK_DT-BT_chi_tiet'!$J$2,'Tong_hop_HQNV_2026Q1_2026-06-23'!$B:$B, "="&amp;'CHECK_DT-BT_chi_tiet'!A27)</f>
        <v>4088595214</v>
      </c>
      <c r="K27" s="7">
        <f>SUMIFS('HQ1'!$C:$C,'HQ1'!$A:$A, "="&amp;'CHECK_DT-BT_chi_tiet'!C27,'HQ1'!$B:$B, "="&amp;'CHECK_DT-BT_chi_tiet'!$J$3)</f>
        <v>4088595214</v>
      </c>
      <c r="L27" s="7">
        <f t="shared" si="2"/>
        <v>0</v>
      </c>
      <c r="M27" s="7">
        <f>SUMIFS('Tong_hop_HQNV_2026Q1_2026-06-23'!$K:$K,'Tong_hop_HQNV_2026Q1_2026-06-23'!$A:$A,"="&amp;'CHECK_DT-BT_chi_tiet'!$M$2,'Tong_hop_HQNV_2026Q1_2026-06-23'!$B:$B, "="&amp;'CHECK_DT-BT_chi_tiet'!A27)</f>
        <v>4245468027</v>
      </c>
      <c r="N27" s="7">
        <f>SUMIFS('HQ1'!$C:$C,'HQ1'!$A:$A, "="&amp;'CHECK_DT-BT_chi_tiet'!C27,'HQ1'!$B:$B, "="&amp;'CHECK_DT-BT_chi_tiet'!$M$3)</f>
        <v>4245468027</v>
      </c>
      <c r="O27" s="7">
        <f t="shared" si="3"/>
        <v>0</v>
      </c>
      <c r="P27" s="7">
        <f>SUMIFS('Tong_hop_HQNV_2026Q1_2026-06-23'!$K:$K,'Tong_hop_HQNV_2026Q1_2026-06-23'!$A:$A,"="&amp;$P$2,'Tong_hop_HQNV_2026Q1_2026-06-23'!$B:$B, "="&amp;'CHECK_DT-BT_chi_tiet'!A27)</f>
        <v>418488717</v>
      </c>
      <c r="Q27" s="7">
        <f>SUMIFS('HQ2'!$C:$C,'HQ2'!$A:$A, "="&amp;'CHECK_DT-BT_chi_tiet'!C27,'HQ2'!$B:$B, "="&amp;'CHECK_DT-BT_chi_tiet'!$P$3)</f>
        <v>418488717</v>
      </c>
      <c r="R27" s="7">
        <f t="shared" si="4"/>
        <v>0</v>
      </c>
      <c r="S27" s="7">
        <f>SUMIFS('Tong_hop_HQNV_2026Q1_2026-06-23'!$K:$K,'Tong_hop_HQNV_2026Q1_2026-06-23'!$A:$A,"="&amp;$S$2,'Tong_hop_HQNV_2026Q1_2026-06-23'!$B:$B, "="&amp;'CHECK_DT-BT_chi_tiet'!A27)</f>
        <v>0</v>
      </c>
      <c r="T27" s="7">
        <f>SUMIFS('HQ2'!$C:$C,'HQ2'!$A:$A, "="&amp;'CHECK_DT-BT_chi_tiet'!C27,'HQ2'!$B:$B, "="&amp;'CHECK_DT-BT_chi_tiet'!$S$3)</f>
        <v>0</v>
      </c>
      <c r="U27" s="7">
        <f t="shared" si="5"/>
        <v>0</v>
      </c>
      <c r="V27" s="7">
        <f>SUMIFS('Tong_hop_HQNV_2026Q1_2026-06-23'!$K:$K,'Tong_hop_HQNV_2026Q1_2026-06-23'!$A:$A,"="&amp;$V$2,'Tong_hop_HQNV_2026Q1_2026-06-23'!$B:$B, "="&amp;'CHECK_DT-BT_chi_tiet'!A27)</f>
        <v>0</v>
      </c>
      <c r="W27" s="7">
        <f>SUMIFS('HQ2'!$C:$C,'HQ2'!$A:$A, "="&amp;'CHECK_DT-BT_chi_tiet'!C27,'HQ2'!$B:$B, "="&amp;'CHECK_DT-BT_chi_tiet'!$V$3)</f>
        <v>0</v>
      </c>
      <c r="X27" s="7">
        <f t="shared" si="6"/>
        <v>0</v>
      </c>
      <c r="Y27" s="7">
        <f>SUMIFS('Tong_hop_HQNV_2026Q1_2026-06-23'!$K:$K,'Tong_hop_HQNV_2026Q1_2026-06-23'!$A:$A,"="&amp;$Y$2,'Tong_hop_HQNV_2026Q1_2026-06-23'!$B:$B, "="&amp;'CHECK_DT-BT_chi_tiet'!A27)</f>
        <v>4358000</v>
      </c>
      <c r="Z27" s="7">
        <f>SUMIFS('HQ2'!$C:$C,'HQ2'!$A:$A, "="&amp;'CHECK_DT-BT_chi_tiet'!C27,'HQ2'!$B:$B, "="&amp;'CHECK_DT-BT_chi_tiet'!$Y$3)</f>
        <v>4358000</v>
      </c>
      <c r="AA27" s="7">
        <f t="shared" si="7"/>
        <v>0</v>
      </c>
      <c r="AB27" s="7">
        <f>SUMIFS('Tong_hop_HQNV_2026Q1_2026-06-23'!$K:$K,'Tong_hop_HQNV_2026Q1_2026-06-23'!$A:$A,"="&amp;$AB$2,'Tong_hop_HQNV_2026Q1_2026-06-23'!$B:$B, "="&amp;'CHECK_DT-BT_chi_tiet'!A27)</f>
        <v>2106272404</v>
      </c>
      <c r="AC27" s="7">
        <f>SUMIFS('HQ2'!$C:$C,'HQ2'!$A:$A, "="&amp;'CHECK_DT-BT_chi_tiet'!C27,'HQ2'!$B:$B, "="&amp;'CHECK_DT-BT_chi_tiet'!$AB$3)</f>
        <v>2106272404</v>
      </c>
      <c r="AD27" s="7">
        <f t="shared" si="8"/>
        <v>0</v>
      </c>
      <c r="AE27" s="7">
        <f>SUMIFS('Tong_hop_HQNV_2026Q1_2026-06-23'!$K:$K,'Tong_hop_HQNV_2026Q1_2026-06-23'!$A:$A,"="&amp;$AE$2,'Tong_hop_HQNV_2026Q1_2026-06-23'!$B:$B, "="&amp;'CHECK_DT-BT_chi_tiet'!A27)</f>
        <v>107563993</v>
      </c>
      <c r="AF27" s="7">
        <f>SUMIFS('HQ2'!$C:$C,'HQ2'!$A:$A, "="&amp;'CHECK_DT-BT_chi_tiet'!C27,'HQ2'!$B:$B, "="&amp;'CHECK_DT-BT_chi_tiet'!$AE$3)</f>
        <v>107563993</v>
      </c>
      <c r="AG27" s="7">
        <f t="shared" si="9"/>
        <v>0</v>
      </c>
      <c r="AH27" s="7">
        <f>SUMIFS('Tong_hop_HQNV_2026Q1_2026-06-23'!$K:$K,'Tong_hop_HQNV_2026Q1_2026-06-23'!$A:$A,"="&amp;$AH$2,'Tong_hop_HQNV_2026Q1_2026-06-23'!$B:$B, "="&amp;'CHECK_DT-BT_chi_tiet'!A27)</f>
        <v>41100000</v>
      </c>
      <c r="AI27" s="7">
        <f>SUMIFS('HQ2'!$C:$C,'HQ2'!$A:$A, "="&amp;'CHECK_DT-BT_chi_tiet'!C27,'HQ2'!$B:$B, "="&amp;'CHECK_DT-BT_chi_tiet'!$AH$3)</f>
        <v>41100000</v>
      </c>
      <c r="AJ27" s="7">
        <f t="shared" si="10"/>
        <v>0</v>
      </c>
      <c r="AK27" s="7">
        <f>SUMIFS('Tong_hop_HQNV_2026Q1_2026-06-23'!$K:$K,'Tong_hop_HQNV_2026Q1_2026-06-23'!$A:$A,"="&amp;$AK$2,'Tong_hop_HQNV_2026Q1_2026-06-23'!$B:$B, "="&amp;'CHECK_DT-BT_chi_tiet'!A27)</f>
        <v>0</v>
      </c>
      <c r="AL27" s="7">
        <f>SUMIFS('Tong_hop_HQNV_2026Q1_2026-06-23'!$K:$K,'Tong_hop_HQNV_2026Q1_2026-06-23'!$A:$A,"="&amp;$AL$2,'Tong_hop_HQNV_2026Q1_2026-06-23'!$B:$B, "="&amp;'CHECK_DT-BT_chi_tiet'!A27)</f>
        <v>0</v>
      </c>
      <c r="AM27" s="23">
        <f>SUMIFS('Tong_hop_HQNV_2026Q1_2026-06-23'!$L:$L,'Tong_hop_HQNV_2026Q1_2026-06-23'!$B:$B, "="&amp;'CHECK_DT-BT_chi_tiet'!A27, 'Tong_hop_HQNV_2026Q1_2026-06-23'!$A:$A, "="&amp;'CHECK_DT-BT_chi_tiet'!$AM$2)</f>
        <v>3759718429</v>
      </c>
      <c r="AN27" s="29">
        <f>SUMIFS('HQ1'!$D:$D,'HQ1'!$A:$A, "="&amp;'CHECK_DT-BT_chi_tiet'!C27,'HQ1'!$B:$B,"="&amp;'CHECK_DT-BT_chi_tiet'!$AM$3)</f>
        <v>3759718429</v>
      </c>
      <c r="AO27" s="29">
        <f t="shared" si="11"/>
        <v>0</v>
      </c>
      <c r="AP27" s="7">
        <f>SUMIFS('Tong_hop_HQNV_2026Q1_2026-06-23'!$L:$L,'Tong_hop_HQNV_2026Q1_2026-06-23'!$B:$B, "="&amp;'CHECK_DT-BT_chi_tiet'!A27, 'Tong_hop_HQNV_2026Q1_2026-06-23'!$A:$A, "="&amp;'CHECK_DT-BT_chi_tiet'!$AP$2)</f>
        <v>0</v>
      </c>
      <c r="AQ27" s="29">
        <f>SUMIFS('HQ1'!$D:$D,'HQ1'!$A:$A, "="&amp;'CHECK_DT-BT_chi_tiet'!C27,'HQ1'!$B:$B,"="&amp;'CHECK_DT-BT_chi_tiet'!$AP$3)</f>
        <v>0</v>
      </c>
      <c r="AR27" s="7">
        <f t="shared" si="12"/>
        <v>0</v>
      </c>
      <c r="AS27" s="7">
        <f>SUMIFS('Tong_hop_HQNV_2026Q1_2026-06-23'!$L:$L,'Tong_hop_HQNV_2026Q1_2026-06-23'!$B:$B, "="&amp;'CHECK_DT-BT_chi_tiet'!A27, 'Tong_hop_HQNV_2026Q1_2026-06-23'!$A:$A, "="&amp;'CHECK_DT-BT_chi_tiet'!$AS$2)</f>
        <v>1522138687</v>
      </c>
      <c r="AT27" s="29">
        <f>SUMIFS('HQ1'!$D:$D,'HQ1'!$A:$A, "="&amp;'CHECK_DT-BT_chi_tiet'!C27,'HQ1'!$B:$B,"="&amp;'CHECK_DT-BT_chi_tiet'!$AS$3)</f>
        <v>1522138687</v>
      </c>
      <c r="AU27" s="7">
        <f t="shared" si="13"/>
        <v>0</v>
      </c>
      <c r="AV27" s="7">
        <f>SUMIFS('Tong_hop_HQNV_2026Q1_2026-06-23'!$L:$L,'Tong_hop_HQNV_2026Q1_2026-06-23'!$B:$B, "="&amp;'CHECK_DT-BT_chi_tiet'!A27, 'Tong_hop_HQNV_2026Q1_2026-06-23'!$A:$A, "="&amp;'CHECK_DT-BT_chi_tiet'!$AV$2)</f>
        <v>977836306</v>
      </c>
      <c r="AW27" s="29">
        <f>SUMIFS('HQ1'!$D:$D,'HQ1'!$A:$A, "="&amp;'CHECK_DT-BT_chi_tiet'!C27,'HQ1'!$B:$B,"="&amp;'CHECK_DT-BT_chi_tiet'!$AV$3)</f>
        <v>977836306</v>
      </c>
      <c r="AX27" s="7">
        <f t="shared" si="14"/>
        <v>0</v>
      </c>
      <c r="AY27" s="7">
        <f>SUMIFS('Tong_hop_HQNV_2026Q1_2026-06-23'!$L:$L,'Tong_hop_HQNV_2026Q1_2026-06-23'!$B:$B, "="&amp;'CHECK_DT-BT_chi_tiet'!A27, 'Tong_hop_HQNV_2026Q1_2026-06-23'!$A:$A, "="&amp;$AY$2)</f>
        <v>4343977</v>
      </c>
      <c r="AZ27" s="29">
        <f>SUMIFS('HQ2'!$J:$J,'HQ2'!$A:$A, "="&amp;'CHECK_DT-BT_chi_tiet'!C27,'HQ2'!$B:$B,"="&amp;'CHECK_DT-BT_chi_tiet'!$AY$3)</f>
        <v>4343977</v>
      </c>
      <c r="BA27" s="7">
        <f t="shared" si="15"/>
        <v>0</v>
      </c>
      <c r="BB27" s="7">
        <f>SUMIFS('Tong_hop_HQNV_2026Q1_2026-06-23'!$L:$L,'Tong_hop_HQNV_2026Q1_2026-06-23'!$B:$B, "="&amp;'CHECK_DT-BT_chi_tiet'!A27, 'Tong_hop_HQNV_2026Q1_2026-06-23'!$A:$A, "="&amp;$BB$2)</f>
        <v>0</v>
      </c>
      <c r="BC27" s="29">
        <f>SUMIFS('HQ2'!$J:$J,'HQ2'!$A:$A, "="&amp;'CHECK_DT-BT_chi_tiet'!C27,'HQ2'!$B:$B,"="&amp;'CHECK_DT-BT_chi_tiet'!$BB$3)</f>
        <v>0</v>
      </c>
      <c r="BD27" s="7">
        <f t="shared" si="16"/>
        <v>0</v>
      </c>
      <c r="BE27" s="7">
        <f>SUMIFS('Tong_hop_HQNV_2026Q1_2026-06-23'!$L:$L,'Tong_hop_HQNV_2026Q1_2026-06-23'!$B:$B, "="&amp;'CHECK_DT-BT_chi_tiet'!A27, 'Tong_hop_HQNV_2026Q1_2026-06-23'!$A:$A, "="&amp;$BE$2)</f>
        <v>0</v>
      </c>
      <c r="BF27" s="29">
        <f>SUMIFS('HQ2'!$J:$J,'HQ2'!$A:$A, "="&amp;'CHECK_DT-BT_chi_tiet'!C27,'HQ2'!$B:$B,"="&amp;'CHECK_DT-BT_chi_tiet'!$BE$3)</f>
        <v>0</v>
      </c>
      <c r="BG27" s="7">
        <f t="shared" si="17"/>
        <v>0</v>
      </c>
      <c r="BH27" s="7">
        <f>SUMIFS('Tong_hop_HQNV_2026Q1_2026-06-23'!$L:$L,'Tong_hop_HQNV_2026Q1_2026-06-23'!$B:$B, "="&amp;'CHECK_DT-BT_chi_tiet'!A27, 'Tong_hop_HQNV_2026Q1_2026-06-23'!$A:$A, "="&amp;$BH$2)</f>
        <v>0</v>
      </c>
      <c r="BI27" s="29">
        <f>SUMIFS('HQ2'!$J:$J,'HQ2'!$A:$A, "="&amp;'CHECK_DT-BT_chi_tiet'!C27,'HQ2'!$B:$B,"="&amp;'CHECK_DT-BT_chi_tiet'!$BH$3)</f>
        <v>0</v>
      </c>
      <c r="BJ27" s="7">
        <f t="shared" si="18"/>
        <v>0</v>
      </c>
      <c r="BK27" s="7">
        <f>SUMIFS('Tong_hop_HQNV_2026Q1_2026-06-23'!$L:$L,'Tong_hop_HQNV_2026Q1_2026-06-23'!$B:$B, "="&amp;'CHECK_DT-BT_chi_tiet'!A27, 'Tong_hop_HQNV_2026Q1_2026-06-23'!$A:$A, "="&amp;$BK$2)</f>
        <v>2412959138</v>
      </c>
      <c r="BL27" s="29">
        <f>SUMIFS('HQ2'!$J:$J,'HQ2'!$A:$A, "="&amp;'CHECK_DT-BT_chi_tiet'!C27,'HQ2'!$B:$B,"="&amp;'CHECK_DT-BT_chi_tiet'!$BK$3)</f>
        <v>2412959138</v>
      </c>
      <c r="BM27" s="7">
        <f t="shared" si="19"/>
        <v>0</v>
      </c>
      <c r="BN27" s="7">
        <f>SUMIFS('Tong_hop_HQNV_2026Q1_2026-06-23'!$L:$L,'Tong_hop_HQNV_2026Q1_2026-06-23'!$B:$B, "="&amp;'CHECK_DT-BT_chi_tiet'!A27, 'Tong_hop_HQNV_2026Q1_2026-06-23'!$A:$A, "="&amp;$BN$2)</f>
        <v>0</v>
      </c>
      <c r="BO27" s="29">
        <f>SUMIFS('HQ2'!$J:$J,'HQ2'!$A:$A, "="&amp;'CHECK_DT-BT_chi_tiet'!C27,'HQ2'!$B:$B,"="&amp;'CHECK_DT-BT_chi_tiet'!$BN$3)</f>
        <v>0</v>
      </c>
      <c r="BP27" s="7">
        <f t="shared" si="20"/>
        <v>0</v>
      </c>
      <c r="BQ27" s="7">
        <f>SUMIFS('Tong_hop_HQNV_2026Q1_2026-06-23'!$L:$L,'Tong_hop_HQNV_2026Q1_2026-06-23'!$B:$B, "="&amp;'CHECK_DT-BT_chi_tiet'!A27, 'Tong_hop_HQNV_2026Q1_2026-06-23'!$A:$A, "="&amp;$BQ$2)</f>
        <v>0</v>
      </c>
      <c r="BR27" s="29">
        <f>SUMIFS('HQ2'!$J:$J,'HQ2'!$A:$A, "="&amp;'CHECK_DT-BT_chi_tiet'!C27,'HQ2'!$B:$B,"="&amp;'CHECK_DT-BT_chi_tiet'!$BQ$3)</f>
        <v>0</v>
      </c>
      <c r="BS27" s="7">
        <f t="shared" si="21"/>
        <v>0</v>
      </c>
      <c r="BT27" s="7">
        <f>SUMIFS('Tong_hop_HQNV_2026Q1_2026-06-23'!$L:$L,'Tong_hop_HQNV_2026Q1_2026-06-23'!$B:$B, "="&amp;'CHECK_DT-BT_chi_tiet'!A27, 'Tong_hop_HQNV_2026Q1_2026-06-23'!$A:$A, "="&amp;$BT$2)</f>
        <v>0</v>
      </c>
      <c r="BU27" s="7">
        <f>SUMIFS('Tong_hop_HQNV_2026Q1_2026-06-23'!$L:$L,'Tong_hop_HQNV_2026Q1_2026-06-23'!$B:$B, "="&amp;'CHECK_DT-BT_chi_tiet'!A27, 'Tong_hop_HQNV_2026Q1_2026-06-23'!$A:$A, "="&amp;$BU$2)</f>
        <v>0</v>
      </c>
    </row>
    <row r="28" spans="1:73" x14ac:dyDescent="0.25">
      <c r="A28" s="9" t="s">
        <v>308</v>
      </c>
      <c r="B28" t="s">
        <v>166</v>
      </c>
      <c r="C28" t="s">
        <v>60</v>
      </c>
      <c r="D28" s="7">
        <f>SUMIFS('Tong_hop_HQNV_2026Q1_2026-06-23'!$K:$K,'Tong_hop_HQNV_2026Q1_2026-06-23'!$A:$A,"="&amp;'CHECK_DT-BT_chi_tiet'!$D$2,'Tong_hop_HQNV_2026Q1_2026-06-23'!$B:$B, "="&amp;'CHECK_DT-BT_chi_tiet'!A28)</f>
        <v>2763051761</v>
      </c>
      <c r="E28" s="7">
        <f>SUMIFS('HQ1'!$C:$C,'HQ1'!$A:$A, "="&amp;'CHECK_DT-BT_chi_tiet'!C28,'HQ1'!$B:$B, "="&amp;'CHECK_DT-BT_chi_tiet'!$D$3)</f>
        <v>2763051761</v>
      </c>
      <c r="F28" s="7">
        <f t="shared" si="0"/>
        <v>0</v>
      </c>
      <c r="G28" s="7">
        <f>SUMIFS('Tong_hop_HQNV_2026Q1_2026-06-23'!$K:$K,'Tong_hop_HQNV_2026Q1_2026-06-23'!$A:$A,"="&amp;'CHECK_DT-BT_chi_tiet'!$G$2,'Tong_hop_HQNV_2026Q1_2026-06-23'!$B:$B, "="&amp;'CHECK_DT-BT_chi_tiet'!A28)</f>
        <v>23195500</v>
      </c>
      <c r="H28" s="7">
        <f>SUMIFS('HQ1'!$C:$C,'HQ1'!$A:$A, "="&amp;'CHECK_DT-BT_chi_tiet'!C28,'HQ1'!$B:$B, "="&amp;'CHECK_DT-BT_chi_tiet'!$G$3)</f>
        <v>23195500</v>
      </c>
      <c r="I28" s="7">
        <f t="shared" si="1"/>
        <v>0</v>
      </c>
      <c r="J28" s="7">
        <f>SUMIFS('Tong_hop_HQNV_2026Q1_2026-06-23'!$K:$K,'Tong_hop_HQNV_2026Q1_2026-06-23'!$A:$A,"="&amp;'CHECK_DT-BT_chi_tiet'!$J$2,'Tong_hop_HQNV_2026Q1_2026-06-23'!$B:$B, "="&amp;'CHECK_DT-BT_chi_tiet'!A28)</f>
        <v>5816843307</v>
      </c>
      <c r="K28" s="7">
        <f>SUMIFS('HQ1'!$C:$C,'HQ1'!$A:$A, "="&amp;'CHECK_DT-BT_chi_tiet'!C28,'HQ1'!$B:$B, "="&amp;'CHECK_DT-BT_chi_tiet'!$J$3)</f>
        <v>5816843307</v>
      </c>
      <c r="L28" s="7">
        <f t="shared" si="2"/>
        <v>0</v>
      </c>
      <c r="M28" s="7">
        <f>SUMIFS('Tong_hop_HQNV_2026Q1_2026-06-23'!$K:$K,'Tong_hop_HQNV_2026Q1_2026-06-23'!$A:$A,"="&amp;'CHECK_DT-BT_chi_tiet'!$M$2,'Tong_hop_HQNV_2026Q1_2026-06-23'!$B:$B, "="&amp;'CHECK_DT-BT_chi_tiet'!A28)</f>
        <v>1243248153</v>
      </c>
      <c r="N28" s="7">
        <f>SUMIFS('HQ1'!$C:$C,'HQ1'!$A:$A, "="&amp;'CHECK_DT-BT_chi_tiet'!C28,'HQ1'!$B:$B, "="&amp;'CHECK_DT-BT_chi_tiet'!$M$3)</f>
        <v>1243248153</v>
      </c>
      <c r="O28" s="7">
        <f t="shared" si="3"/>
        <v>0</v>
      </c>
      <c r="P28" s="7">
        <f>SUMIFS('Tong_hop_HQNV_2026Q1_2026-06-23'!$K:$K,'Tong_hop_HQNV_2026Q1_2026-06-23'!$A:$A,"="&amp;$P$2,'Tong_hop_HQNV_2026Q1_2026-06-23'!$B:$B, "="&amp;'CHECK_DT-BT_chi_tiet'!A28)</f>
        <v>3450311011</v>
      </c>
      <c r="Q28" s="7">
        <f>SUMIFS('HQ2'!$C:$C,'HQ2'!$A:$A, "="&amp;'CHECK_DT-BT_chi_tiet'!C28,'HQ2'!$B:$B, "="&amp;'CHECK_DT-BT_chi_tiet'!$P$3)</f>
        <v>3450311011</v>
      </c>
      <c r="R28" s="7">
        <f t="shared" si="4"/>
        <v>0</v>
      </c>
      <c r="S28" s="7">
        <f>SUMIFS('Tong_hop_HQNV_2026Q1_2026-06-23'!$K:$K,'Tong_hop_HQNV_2026Q1_2026-06-23'!$A:$A,"="&amp;$S$2,'Tong_hop_HQNV_2026Q1_2026-06-23'!$B:$B, "="&amp;'CHECK_DT-BT_chi_tiet'!A28)</f>
        <v>0</v>
      </c>
      <c r="T28" s="7">
        <f>SUMIFS('HQ2'!$C:$C,'HQ2'!$A:$A, "="&amp;'CHECK_DT-BT_chi_tiet'!C28,'HQ2'!$B:$B, "="&amp;'CHECK_DT-BT_chi_tiet'!$S$3)</f>
        <v>0</v>
      </c>
      <c r="U28" s="7">
        <f t="shared" si="5"/>
        <v>0</v>
      </c>
      <c r="V28" s="7">
        <f>SUMIFS('Tong_hop_HQNV_2026Q1_2026-06-23'!$K:$K,'Tong_hop_HQNV_2026Q1_2026-06-23'!$A:$A,"="&amp;$V$2,'Tong_hop_HQNV_2026Q1_2026-06-23'!$B:$B, "="&amp;'CHECK_DT-BT_chi_tiet'!A28)</f>
        <v>0</v>
      </c>
      <c r="W28" s="7">
        <f>SUMIFS('HQ2'!$C:$C,'HQ2'!$A:$A, "="&amp;'CHECK_DT-BT_chi_tiet'!C28,'HQ2'!$B:$B, "="&amp;'CHECK_DT-BT_chi_tiet'!$V$3)</f>
        <v>0</v>
      </c>
      <c r="X28" s="7">
        <f t="shared" si="6"/>
        <v>0</v>
      </c>
      <c r="Y28" s="7">
        <f>SUMIFS('Tong_hop_HQNV_2026Q1_2026-06-23'!$K:$K,'Tong_hop_HQNV_2026Q1_2026-06-23'!$A:$A,"="&amp;$Y$2,'Tong_hop_HQNV_2026Q1_2026-06-23'!$B:$B, "="&amp;'CHECK_DT-BT_chi_tiet'!A28)</f>
        <v>703213778</v>
      </c>
      <c r="Z28" s="7">
        <f>SUMIFS('HQ2'!$C:$C,'HQ2'!$A:$A, "="&amp;'CHECK_DT-BT_chi_tiet'!C28,'HQ2'!$B:$B, "="&amp;'CHECK_DT-BT_chi_tiet'!$Y$3)</f>
        <v>703213778</v>
      </c>
      <c r="AA28" s="7">
        <f t="shared" si="7"/>
        <v>0</v>
      </c>
      <c r="AB28" s="7">
        <f>SUMIFS('Tong_hop_HQNV_2026Q1_2026-06-23'!$K:$K,'Tong_hop_HQNV_2026Q1_2026-06-23'!$A:$A,"="&amp;$AB$2,'Tong_hop_HQNV_2026Q1_2026-06-23'!$B:$B, "="&amp;'CHECK_DT-BT_chi_tiet'!A28)</f>
        <v>6678411654</v>
      </c>
      <c r="AC28" s="7">
        <f>SUMIFS('HQ2'!$C:$C,'HQ2'!$A:$A, "="&amp;'CHECK_DT-BT_chi_tiet'!C28,'HQ2'!$B:$B, "="&amp;'CHECK_DT-BT_chi_tiet'!$AB$3)</f>
        <v>6678411654</v>
      </c>
      <c r="AD28" s="7">
        <f t="shared" si="8"/>
        <v>0</v>
      </c>
      <c r="AE28" s="7">
        <f>SUMIFS('Tong_hop_HQNV_2026Q1_2026-06-23'!$K:$K,'Tong_hop_HQNV_2026Q1_2026-06-23'!$A:$A,"="&amp;$AE$2,'Tong_hop_HQNV_2026Q1_2026-06-23'!$B:$B, "="&amp;'CHECK_DT-BT_chi_tiet'!A28)</f>
        <v>63645730</v>
      </c>
      <c r="AF28" s="7">
        <f>SUMIFS('HQ2'!$C:$C,'HQ2'!$A:$A, "="&amp;'CHECK_DT-BT_chi_tiet'!C28,'HQ2'!$B:$B, "="&amp;'CHECK_DT-BT_chi_tiet'!$AE$3)</f>
        <v>63645730</v>
      </c>
      <c r="AG28" s="7">
        <f t="shared" si="9"/>
        <v>0</v>
      </c>
      <c r="AH28" s="7">
        <f>SUMIFS('Tong_hop_HQNV_2026Q1_2026-06-23'!$K:$K,'Tong_hop_HQNV_2026Q1_2026-06-23'!$A:$A,"="&amp;$AH$2,'Tong_hop_HQNV_2026Q1_2026-06-23'!$B:$B, "="&amp;'CHECK_DT-BT_chi_tiet'!A28)</f>
        <v>51450000</v>
      </c>
      <c r="AI28" s="7">
        <f>SUMIFS('HQ2'!$C:$C,'HQ2'!$A:$A, "="&amp;'CHECK_DT-BT_chi_tiet'!C28,'HQ2'!$B:$B, "="&amp;'CHECK_DT-BT_chi_tiet'!$AH$3)</f>
        <v>51450000</v>
      </c>
      <c r="AJ28" s="7">
        <f t="shared" si="10"/>
        <v>0</v>
      </c>
      <c r="AK28" s="7">
        <f>SUMIFS('Tong_hop_HQNV_2026Q1_2026-06-23'!$K:$K,'Tong_hop_HQNV_2026Q1_2026-06-23'!$A:$A,"="&amp;$AK$2,'Tong_hop_HQNV_2026Q1_2026-06-23'!$B:$B, "="&amp;'CHECK_DT-BT_chi_tiet'!A28)</f>
        <v>0</v>
      </c>
      <c r="AL28" s="7">
        <f>SUMIFS('Tong_hop_HQNV_2026Q1_2026-06-23'!$K:$K,'Tong_hop_HQNV_2026Q1_2026-06-23'!$A:$A,"="&amp;$AL$2,'Tong_hop_HQNV_2026Q1_2026-06-23'!$B:$B, "="&amp;'CHECK_DT-BT_chi_tiet'!A28)</f>
        <v>0</v>
      </c>
      <c r="AM28" s="23">
        <f>SUMIFS('Tong_hop_HQNV_2026Q1_2026-06-23'!$L:$L,'Tong_hop_HQNV_2026Q1_2026-06-23'!$B:$B, "="&amp;'CHECK_DT-BT_chi_tiet'!A28, 'Tong_hop_HQNV_2026Q1_2026-06-23'!$A:$A, "="&amp;'CHECK_DT-BT_chi_tiet'!$AM$2)</f>
        <v>8592358940</v>
      </c>
      <c r="AN28" s="29">
        <f>SUMIFS('HQ1'!$D:$D,'HQ1'!$A:$A, "="&amp;'CHECK_DT-BT_chi_tiet'!C28,'HQ1'!$B:$B,"="&amp;'CHECK_DT-BT_chi_tiet'!$AM$3)</f>
        <v>8592358940</v>
      </c>
      <c r="AO28" s="29">
        <f t="shared" si="11"/>
        <v>0</v>
      </c>
      <c r="AP28" s="7">
        <f>SUMIFS('Tong_hop_HQNV_2026Q1_2026-06-23'!$L:$L,'Tong_hop_HQNV_2026Q1_2026-06-23'!$B:$B, "="&amp;'CHECK_DT-BT_chi_tiet'!A28, 'Tong_hop_HQNV_2026Q1_2026-06-23'!$A:$A, "="&amp;'CHECK_DT-BT_chi_tiet'!$AP$2)</f>
        <v>0</v>
      </c>
      <c r="AQ28" s="29">
        <f>SUMIFS('HQ1'!$D:$D,'HQ1'!$A:$A, "="&amp;'CHECK_DT-BT_chi_tiet'!C28,'HQ1'!$B:$B,"="&amp;'CHECK_DT-BT_chi_tiet'!$AP$3)</f>
        <v>0</v>
      </c>
      <c r="AR28" s="7">
        <f t="shared" si="12"/>
        <v>0</v>
      </c>
      <c r="AS28" s="7">
        <f>SUMIFS('Tong_hop_HQNV_2026Q1_2026-06-23'!$L:$L,'Tong_hop_HQNV_2026Q1_2026-06-23'!$B:$B, "="&amp;'CHECK_DT-BT_chi_tiet'!A28, 'Tong_hop_HQNV_2026Q1_2026-06-23'!$A:$A, "="&amp;'CHECK_DT-BT_chi_tiet'!$AS$2)</f>
        <v>1600252975</v>
      </c>
      <c r="AT28" s="29">
        <f>SUMIFS('HQ1'!$D:$D,'HQ1'!$A:$A, "="&amp;'CHECK_DT-BT_chi_tiet'!C28,'HQ1'!$B:$B,"="&amp;'CHECK_DT-BT_chi_tiet'!$AS$3)</f>
        <v>1600252975</v>
      </c>
      <c r="AU28" s="7">
        <f t="shared" si="13"/>
        <v>0</v>
      </c>
      <c r="AV28" s="7">
        <f>SUMIFS('Tong_hop_HQNV_2026Q1_2026-06-23'!$L:$L,'Tong_hop_HQNV_2026Q1_2026-06-23'!$B:$B, "="&amp;'CHECK_DT-BT_chi_tiet'!A28, 'Tong_hop_HQNV_2026Q1_2026-06-23'!$A:$A, "="&amp;'CHECK_DT-BT_chi_tiet'!$AV$2)</f>
        <v>589104430</v>
      </c>
      <c r="AW28" s="29">
        <f>SUMIFS('HQ1'!$D:$D,'HQ1'!$A:$A, "="&amp;'CHECK_DT-BT_chi_tiet'!C28,'HQ1'!$B:$B,"="&amp;'CHECK_DT-BT_chi_tiet'!$AV$3)</f>
        <v>589104430</v>
      </c>
      <c r="AX28" s="7">
        <f t="shared" si="14"/>
        <v>0</v>
      </c>
      <c r="AY28" s="7">
        <f>SUMIFS('Tong_hop_HQNV_2026Q1_2026-06-23'!$L:$L,'Tong_hop_HQNV_2026Q1_2026-06-23'!$B:$B, "="&amp;'CHECK_DT-BT_chi_tiet'!A28, 'Tong_hop_HQNV_2026Q1_2026-06-23'!$A:$A, "="&amp;$AY$2)</f>
        <v>930009750</v>
      </c>
      <c r="AZ28" s="29">
        <f>SUMIFS('HQ2'!$J:$J,'HQ2'!$A:$A, "="&amp;'CHECK_DT-BT_chi_tiet'!C28,'HQ2'!$B:$B,"="&amp;'CHECK_DT-BT_chi_tiet'!$AY$3)</f>
        <v>930009750</v>
      </c>
      <c r="BA28" s="7">
        <f t="shared" si="15"/>
        <v>0</v>
      </c>
      <c r="BB28" s="7">
        <f>SUMIFS('Tong_hop_HQNV_2026Q1_2026-06-23'!$L:$L,'Tong_hop_HQNV_2026Q1_2026-06-23'!$B:$B, "="&amp;'CHECK_DT-BT_chi_tiet'!A28, 'Tong_hop_HQNV_2026Q1_2026-06-23'!$A:$A, "="&amp;$BB$2)</f>
        <v>0</v>
      </c>
      <c r="BC28" s="29">
        <f>SUMIFS('HQ2'!$J:$J,'HQ2'!$A:$A, "="&amp;'CHECK_DT-BT_chi_tiet'!C28,'HQ2'!$B:$B,"="&amp;'CHECK_DT-BT_chi_tiet'!$BB$3)</f>
        <v>0</v>
      </c>
      <c r="BD28" s="7">
        <f t="shared" si="16"/>
        <v>0</v>
      </c>
      <c r="BE28" s="7">
        <f>SUMIFS('Tong_hop_HQNV_2026Q1_2026-06-23'!$L:$L,'Tong_hop_HQNV_2026Q1_2026-06-23'!$B:$B, "="&amp;'CHECK_DT-BT_chi_tiet'!A28, 'Tong_hop_HQNV_2026Q1_2026-06-23'!$A:$A, "="&amp;$BE$2)</f>
        <v>0</v>
      </c>
      <c r="BF28" s="29">
        <f>SUMIFS('HQ2'!$J:$J,'HQ2'!$A:$A, "="&amp;'CHECK_DT-BT_chi_tiet'!C28,'HQ2'!$B:$B,"="&amp;'CHECK_DT-BT_chi_tiet'!$BE$3)</f>
        <v>0</v>
      </c>
      <c r="BG28" s="7">
        <f t="shared" si="17"/>
        <v>0</v>
      </c>
      <c r="BH28" s="7">
        <f>SUMIFS('Tong_hop_HQNV_2026Q1_2026-06-23'!$L:$L,'Tong_hop_HQNV_2026Q1_2026-06-23'!$B:$B, "="&amp;'CHECK_DT-BT_chi_tiet'!A28, 'Tong_hop_HQNV_2026Q1_2026-06-23'!$A:$A, "="&amp;$BH$2)</f>
        <v>163135500</v>
      </c>
      <c r="BI28" s="29">
        <f>SUMIFS('HQ2'!$J:$J,'HQ2'!$A:$A, "="&amp;'CHECK_DT-BT_chi_tiet'!C28,'HQ2'!$B:$B,"="&amp;'CHECK_DT-BT_chi_tiet'!$BH$3)</f>
        <v>163135500</v>
      </c>
      <c r="BJ28" s="7">
        <f t="shared" si="18"/>
        <v>0</v>
      </c>
      <c r="BK28" s="7">
        <f>SUMIFS('Tong_hop_HQNV_2026Q1_2026-06-23'!$L:$L,'Tong_hop_HQNV_2026Q1_2026-06-23'!$B:$B, "="&amp;'CHECK_DT-BT_chi_tiet'!A28, 'Tong_hop_HQNV_2026Q1_2026-06-23'!$A:$A, "="&amp;$BK$2)</f>
        <v>330617870</v>
      </c>
      <c r="BL28" s="29">
        <f>SUMIFS('HQ2'!$J:$J,'HQ2'!$A:$A, "="&amp;'CHECK_DT-BT_chi_tiet'!C28,'HQ2'!$B:$B,"="&amp;'CHECK_DT-BT_chi_tiet'!$BK$3)</f>
        <v>330617870</v>
      </c>
      <c r="BM28" s="7">
        <f t="shared" si="19"/>
        <v>0</v>
      </c>
      <c r="BN28" s="7">
        <f>SUMIFS('Tong_hop_HQNV_2026Q1_2026-06-23'!$L:$L,'Tong_hop_HQNV_2026Q1_2026-06-23'!$B:$B, "="&amp;'CHECK_DT-BT_chi_tiet'!A28, 'Tong_hop_HQNV_2026Q1_2026-06-23'!$A:$A, "="&amp;$BN$2)</f>
        <v>0</v>
      </c>
      <c r="BO28" s="29">
        <f>SUMIFS('HQ2'!$J:$J,'HQ2'!$A:$A, "="&amp;'CHECK_DT-BT_chi_tiet'!C28,'HQ2'!$B:$B,"="&amp;'CHECK_DT-BT_chi_tiet'!$BN$3)</f>
        <v>0</v>
      </c>
      <c r="BP28" s="7">
        <f t="shared" si="20"/>
        <v>0</v>
      </c>
      <c r="BQ28" s="7">
        <f>SUMIFS('Tong_hop_HQNV_2026Q1_2026-06-23'!$L:$L,'Tong_hop_HQNV_2026Q1_2026-06-23'!$B:$B, "="&amp;'CHECK_DT-BT_chi_tiet'!A28, 'Tong_hop_HQNV_2026Q1_2026-06-23'!$A:$A, "="&amp;$BQ$2)</f>
        <v>0</v>
      </c>
      <c r="BR28" s="29">
        <f>SUMIFS('HQ2'!$J:$J,'HQ2'!$A:$A, "="&amp;'CHECK_DT-BT_chi_tiet'!C28,'HQ2'!$B:$B,"="&amp;'CHECK_DT-BT_chi_tiet'!$BQ$3)</f>
        <v>0</v>
      </c>
      <c r="BS28" s="7">
        <f t="shared" si="21"/>
        <v>0</v>
      </c>
      <c r="BT28" s="7">
        <f>SUMIFS('Tong_hop_HQNV_2026Q1_2026-06-23'!$L:$L,'Tong_hop_HQNV_2026Q1_2026-06-23'!$B:$B, "="&amp;'CHECK_DT-BT_chi_tiet'!A28, 'Tong_hop_HQNV_2026Q1_2026-06-23'!$A:$A, "="&amp;$BT$2)</f>
        <v>0</v>
      </c>
      <c r="BU28" s="7">
        <f>SUMIFS('Tong_hop_HQNV_2026Q1_2026-06-23'!$L:$L,'Tong_hop_HQNV_2026Q1_2026-06-23'!$B:$B, "="&amp;'CHECK_DT-BT_chi_tiet'!A28, 'Tong_hop_HQNV_2026Q1_2026-06-23'!$A:$A, "="&amp;$BU$2)</f>
        <v>0</v>
      </c>
    </row>
    <row r="29" spans="1:73" x14ac:dyDescent="0.25">
      <c r="A29" s="9" t="s">
        <v>309</v>
      </c>
      <c r="B29" t="s">
        <v>167</v>
      </c>
      <c r="C29" t="s">
        <v>65</v>
      </c>
      <c r="D29" s="7">
        <f>SUMIFS('Tong_hop_HQNV_2026Q1_2026-06-23'!$K:$K,'Tong_hop_HQNV_2026Q1_2026-06-23'!$A:$A,"="&amp;'CHECK_DT-BT_chi_tiet'!$D$2,'Tong_hop_HQNV_2026Q1_2026-06-23'!$B:$B, "="&amp;'CHECK_DT-BT_chi_tiet'!A29)</f>
        <v>1655116494</v>
      </c>
      <c r="E29" s="7">
        <f>SUMIFS('HQ1'!$C:$C,'HQ1'!$A:$A, "="&amp;'CHECK_DT-BT_chi_tiet'!C29,'HQ1'!$B:$B, "="&amp;'CHECK_DT-BT_chi_tiet'!$D$3)</f>
        <v>1655116494</v>
      </c>
      <c r="F29" s="7">
        <f t="shared" si="0"/>
        <v>0</v>
      </c>
      <c r="G29" s="7">
        <f>SUMIFS('Tong_hop_HQNV_2026Q1_2026-06-23'!$K:$K,'Tong_hop_HQNV_2026Q1_2026-06-23'!$A:$A,"="&amp;'CHECK_DT-BT_chi_tiet'!$G$2,'Tong_hop_HQNV_2026Q1_2026-06-23'!$B:$B, "="&amp;'CHECK_DT-BT_chi_tiet'!A29)</f>
        <v>370221600</v>
      </c>
      <c r="H29" s="7">
        <f>SUMIFS('HQ1'!$C:$C,'HQ1'!$A:$A, "="&amp;'CHECK_DT-BT_chi_tiet'!C29,'HQ1'!$B:$B, "="&amp;'CHECK_DT-BT_chi_tiet'!$G$3)</f>
        <v>370221600</v>
      </c>
      <c r="I29" s="7">
        <f t="shared" si="1"/>
        <v>0</v>
      </c>
      <c r="J29" s="7">
        <f>SUMIFS('Tong_hop_HQNV_2026Q1_2026-06-23'!$K:$K,'Tong_hop_HQNV_2026Q1_2026-06-23'!$A:$A,"="&amp;'CHECK_DT-BT_chi_tiet'!$J$2,'Tong_hop_HQNV_2026Q1_2026-06-23'!$B:$B, "="&amp;'CHECK_DT-BT_chi_tiet'!A29)</f>
        <v>9000574964</v>
      </c>
      <c r="K29" s="7">
        <f>SUMIFS('HQ1'!$C:$C,'HQ1'!$A:$A, "="&amp;'CHECK_DT-BT_chi_tiet'!C29,'HQ1'!$B:$B, "="&amp;'CHECK_DT-BT_chi_tiet'!$J$3)</f>
        <v>9000574964</v>
      </c>
      <c r="L29" s="7">
        <f t="shared" si="2"/>
        <v>0</v>
      </c>
      <c r="M29" s="7">
        <f>SUMIFS('Tong_hop_HQNV_2026Q1_2026-06-23'!$K:$K,'Tong_hop_HQNV_2026Q1_2026-06-23'!$A:$A,"="&amp;'CHECK_DT-BT_chi_tiet'!$M$2,'Tong_hop_HQNV_2026Q1_2026-06-23'!$B:$B, "="&amp;'CHECK_DT-BT_chi_tiet'!A29)</f>
        <v>8257228259</v>
      </c>
      <c r="N29" s="7">
        <f>SUMIFS('HQ1'!$C:$C,'HQ1'!$A:$A, "="&amp;'CHECK_DT-BT_chi_tiet'!C29,'HQ1'!$B:$B, "="&amp;'CHECK_DT-BT_chi_tiet'!$M$3)</f>
        <v>8257228259</v>
      </c>
      <c r="O29" s="7">
        <f t="shared" si="3"/>
        <v>0</v>
      </c>
      <c r="P29" s="7">
        <f>SUMIFS('Tong_hop_HQNV_2026Q1_2026-06-23'!$K:$K,'Tong_hop_HQNV_2026Q1_2026-06-23'!$A:$A,"="&amp;$P$2,'Tong_hop_HQNV_2026Q1_2026-06-23'!$B:$B, "="&amp;'CHECK_DT-BT_chi_tiet'!A29)</f>
        <v>1806980566</v>
      </c>
      <c r="Q29" s="7">
        <f>SUMIFS('HQ2'!$C:$C,'HQ2'!$A:$A, "="&amp;'CHECK_DT-BT_chi_tiet'!C29,'HQ2'!$B:$B, "="&amp;'CHECK_DT-BT_chi_tiet'!$P$3)</f>
        <v>1806980566</v>
      </c>
      <c r="R29" s="7">
        <f t="shared" si="4"/>
        <v>0</v>
      </c>
      <c r="S29" s="7">
        <f>SUMIFS('Tong_hop_HQNV_2026Q1_2026-06-23'!$K:$K,'Tong_hop_HQNV_2026Q1_2026-06-23'!$A:$A,"="&amp;$S$2,'Tong_hop_HQNV_2026Q1_2026-06-23'!$B:$B, "="&amp;'CHECK_DT-BT_chi_tiet'!A29)</f>
        <v>4616017047</v>
      </c>
      <c r="T29" s="7">
        <f>SUMIFS('HQ2'!$C:$C,'HQ2'!$A:$A, "="&amp;'CHECK_DT-BT_chi_tiet'!C29,'HQ2'!$B:$B, "="&amp;'CHECK_DT-BT_chi_tiet'!$S$3)</f>
        <v>4616017047</v>
      </c>
      <c r="U29" s="7">
        <f t="shared" si="5"/>
        <v>0</v>
      </c>
      <c r="V29" s="7">
        <f>SUMIFS('Tong_hop_HQNV_2026Q1_2026-06-23'!$K:$K,'Tong_hop_HQNV_2026Q1_2026-06-23'!$A:$A,"="&amp;$V$2,'Tong_hop_HQNV_2026Q1_2026-06-23'!$B:$B, "="&amp;'CHECK_DT-BT_chi_tiet'!A29)</f>
        <v>1799078374</v>
      </c>
      <c r="W29" s="7">
        <f>SUMIFS('HQ2'!$C:$C,'HQ2'!$A:$A, "="&amp;'CHECK_DT-BT_chi_tiet'!C29,'HQ2'!$B:$B, "="&amp;'CHECK_DT-BT_chi_tiet'!$V$3)</f>
        <v>1799078374</v>
      </c>
      <c r="X29" s="7">
        <f t="shared" si="6"/>
        <v>0</v>
      </c>
      <c r="Y29" s="7">
        <f>SUMIFS('Tong_hop_HQNV_2026Q1_2026-06-23'!$K:$K,'Tong_hop_HQNV_2026Q1_2026-06-23'!$A:$A,"="&amp;$Y$2,'Tong_hop_HQNV_2026Q1_2026-06-23'!$B:$B, "="&amp;'CHECK_DT-BT_chi_tiet'!A29)</f>
        <v>27556194</v>
      </c>
      <c r="Z29" s="7">
        <f>SUMIFS('HQ2'!$C:$C,'HQ2'!$A:$A, "="&amp;'CHECK_DT-BT_chi_tiet'!C29,'HQ2'!$B:$B, "="&amp;'CHECK_DT-BT_chi_tiet'!$Y$3)</f>
        <v>27556194</v>
      </c>
      <c r="AA29" s="7">
        <f t="shared" si="7"/>
        <v>0</v>
      </c>
      <c r="AB29" s="7">
        <f>SUMIFS('Tong_hop_HQNV_2026Q1_2026-06-23'!$K:$K,'Tong_hop_HQNV_2026Q1_2026-06-23'!$A:$A,"="&amp;$AB$2,'Tong_hop_HQNV_2026Q1_2026-06-23'!$B:$B, "="&amp;'CHECK_DT-BT_chi_tiet'!A29)</f>
        <v>2031817121</v>
      </c>
      <c r="AC29" s="7">
        <f>SUMIFS('HQ2'!$C:$C,'HQ2'!$A:$A, "="&amp;'CHECK_DT-BT_chi_tiet'!C29,'HQ2'!$B:$B, "="&amp;'CHECK_DT-BT_chi_tiet'!$AB$3)</f>
        <v>2031817121</v>
      </c>
      <c r="AD29" s="7">
        <f t="shared" si="8"/>
        <v>0</v>
      </c>
      <c r="AE29" s="7">
        <f>SUMIFS('Tong_hop_HQNV_2026Q1_2026-06-23'!$K:$K,'Tong_hop_HQNV_2026Q1_2026-06-23'!$A:$A,"="&amp;$AE$2,'Tong_hop_HQNV_2026Q1_2026-06-23'!$B:$B, "="&amp;'CHECK_DT-BT_chi_tiet'!A29)</f>
        <v>2151474398</v>
      </c>
      <c r="AF29" s="7">
        <f>SUMIFS('HQ2'!$C:$C,'HQ2'!$A:$A, "="&amp;'CHECK_DT-BT_chi_tiet'!C29,'HQ2'!$B:$B, "="&amp;'CHECK_DT-BT_chi_tiet'!$AE$3)</f>
        <v>2151474398</v>
      </c>
      <c r="AG29" s="7">
        <f t="shared" si="9"/>
        <v>0</v>
      </c>
      <c r="AH29" s="7">
        <f>SUMIFS('Tong_hop_HQNV_2026Q1_2026-06-23'!$K:$K,'Tong_hop_HQNV_2026Q1_2026-06-23'!$A:$A,"="&amp;$AH$2,'Tong_hop_HQNV_2026Q1_2026-06-23'!$B:$B, "="&amp;'CHECK_DT-BT_chi_tiet'!A29)</f>
        <v>352428286</v>
      </c>
      <c r="AI29" s="7">
        <f>SUMIFS('HQ2'!$C:$C,'HQ2'!$A:$A, "="&amp;'CHECK_DT-BT_chi_tiet'!C29,'HQ2'!$B:$B, "="&amp;'CHECK_DT-BT_chi_tiet'!$AH$3)</f>
        <v>352428286</v>
      </c>
      <c r="AJ29" s="7">
        <f t="shared" si="10"/>
        <v>0</v>
      </c>
      <c r="AK29" s="7">
        <f>SUMIFS('Tong_hop_HQNV_2026Q1_2026-06-23'!$K:$K,'Tong_hop_HQNV_2026Q1_2026-06-23'!$A:$A,"="&amp;$AK$2,'Tong_hop_HQNV_2026Q1_2026-06-23'!$B:$B, "="&amp;'CHECK_DT-BT_chi_tiet'!A29)</f>
        <v>0</v>
      </c>
      <c r="AL29" s="7">
        <f>SUMIFS('Tong_hop_HQNV_2026Q1_2026-06-23'!$K:$K,'Tong_hop_HQNV_2026Q1_2026-06-23'!$A:$A,"="&amp;$AL$2,'Tong_hop_HQNV_2026Q1_2026-06-23'!$B:$B, "="&amp;'CHECK_DT-BT_chi_tiet'!A29)</f>
        <v>0</v>
      </c>
      <c r="AM29" s="23">
        <f>SUMIFS('Tong_hop_HQNV_2026Q1_2026-06-23'!$L:$L,'Tong_hop_HQNV_2026Q1_2026-06-23'!$B:$B, "="&amp;'CHECK_DT-BT_chi_tiet'!A29, 'Tong_hop_HQNV_2026Q1_2026-06-23'!$A:$A, "="&amp;'CHECK_DT-BT_chi_tiet'!$AM$2)</f>
        <v>192624734</v>
      </c>
      <c r="AN29" s="29">
        <f>SUMIFS('HQ1'!$D:$D,'HQ1'!$A:$A, "="&amp;'CHECK_DT-BT_chi_tiet'!C29,'HQ1'!$B:$B,"="&amp;'CHECK_DT-BT_chi_tiet'!$AM$3)</f>
        <v>192624734</v>
      </c>
      <c r="AO29" s="29">
        <f t="shared" si="11"/>
        <v>0</v>
      </c>
      <c r="AP29" s="7">
        <f>SUMIFS('Tong_hop_HQNV_2026Q1_2026-06-23'!$L:$L,'Tong_hop_HQNV_2026Q1_2026-06-23'!$B:$B, "="&amp;'CHECK_DT-BT_chi_tiet'!A29, 'Tong_hop_HQNV_2026Q1_2026-06-23'!$A:$A, "="&amp;'CHECK_DT-BT_chi_tiet'!$AP$2)</f>
        <v>656634</v>
      </c>
      <c r="AQ29" s="29">
        <f>SUMIFS('HQ1'!$D:$D,'HQ1'!$A:$A, "="&amp;'CHECK_DT-BT_chi_tiet'!C29,'HQ1'!$B:$B,"="&amp;'CHECK_DT-BT_chi_tiet'!$AP$3)</f>
        <v>656634</v>
      </c>
      <c r="AR29" s="7">
        <f t="shared" si="12"/>
        <v>0</v>
      </c>
      <c r="AS29" s="7">
        <f>SUMIFS('Tong_hop_HQNV_2026Q1_2026-06-23'!$L:$L,'Tong_hop_HQNV_2026Q1_2026-06-23'!$B:$B, "="&amp;'CHECK_DT-BT_chi_tiet'!A29, 'Tong_hop_HQNV_2026Q1_2026-06-23'!$A:$A, "="&amp;'CHECK_DT-BT_chi_tiet'!$AS$2)</f>
        <v>4007326988</v>
      </c>
      <c r="AT29" s="29">
        <f>SUMIFS('HQ1'!$D:$D,'HQ1'!$A:$A, "="&amp;'CHECK_DT-BT_chi_tiet'!C29,'HQ1'!$B:$B,"="&amp;'CHECK_DT-BT_chi_tiet'!$AS$3)</f>
        <v>4007326988</v>
      </c>
      <c r="AU29" s="7">
        <f t="shared" si="13"/>
        <v>0</v>
      </c>
      <c r="AV29" s="7">
        <f>SUMIFS('Tong_hop_HQNV_2026Q1_2026-06-23'!$L:$L,'Tong_hop_HQNV_2026Q1_2026-06-23'!$B:$B, "="&amp;'CHECK_DT-BT_chi_tiet'!A29, 'Tong_hop_HQNV_2026Q1_2026-06-23'!$A:$A, "="&amp;'CHECK_DT-BT_chi_tiet'!$AV$2)</f>
        <v>2899062189</v>
      </c>
      <c r="AW29" s="29">
        <f>SUMIFS('HQ1'!$D:$D,'HQ1'!$A:$A, "="&amp;'CHECK_DT-BT_chi_tiet'!C29,'HQ1'!$B:$B,"="&amp;'CHECK_DT-BT_chi_tiet'!$AV$3)</f>
        <v>2899062189</v>
      </c>
      <c r="AX29" s="7">
        <f t="shared" si="14"/>
        <v>0</v>
      </c>
      <c r="AY29" s="7">
        <f>SUMIFS('Tong_hop_HQNV_2026Q1_2026-06-23'!$L:$L,'Tong_hop_HQNV_2026Q1_2026-06-23'!$B:$B, "="&amp;'CHECK_DT-BT_chi_tiet'!A29, 'Tong_hop_HQNV_2026Q1_2026-06-23'!$A:$A, "="&amp;$AY$2)</f>
        <v>205310688</v>
      </c>
      <c r="AZ29" s="29">
        <f>SUMIFS('HQ2'!$J:$J,'HQ2'!$A:$A, "="&amp;'CHECK_DT-BT_chi_tiet'!C29,'HQ2'!$B:$B,"="&amp;'CHECK_DT-BT_chi_tiet'!$AY$3)</f>
        <v>205310688</v>
      </c>
      <c r="BA29" s="7">
        <f t="shared" si="15"/>
        <v>0</v>
      </c>
      <c r="BB29" s="7">
        <f>SUMIFS('Tong_hop_HQNV_2026Q1_2026-06-23'!$L:$L,'Tong_hop_HQNV_2026Q1_2026-06-23'!$B:$B, "="&amp;'CHECK_DT-BT_chi_tiet'!A29, 'Tong_hop_HQNV_2026Q1_2026-06-23'!$A:$A, "="&amp;$BB$2)</f>
        <v>467075957</v>
      </c>
      <c r="BC29" s="29">
        <f>SUMIFS('HQ2'!$J:$J,'HQ2'!$A:$A, "="&amp;'CHECK_DT-BT_chi_tiet'!C29,'HQ2'!$B:$B,"="&amp;'CHECK_DT-BT_chi_tiet'!$BB$3)</f>
        <v>467075957</v>
      </c>
      <c r="BD29" s="7">
        <f t="shared" si="16"/>
        <v>0</v>
      </c>
      <c r="BE29" s="7">
        <f>SUMIFS('Tong_hop_HQNV_2026Q1_2026-06-23'!$L:$L,'Tong_hop_HQNV_2026Q1_2026-06-23'!$B:$B, "="&amp;'CHECK_DT-BT_chi_tiet'!A29, 'Tong_hop_HQNV_2026Q1_2026-06-23'!$A:$A, "="&amp;$BE$2)</f>
        <v>472319000</v>
      </c>
      <c r="BF29" s="29">
        <f>SUMIFS('HQ2'!$J:$J,'HQ2'!$A:$A, "="&amp;'CHECK_DT-BT_chi_tiet'!C29,'HQ2'!$B:$B,"="&amp;'CHECK_DT-BT_chi_tiet'!$BE$3)</f>
        <v>472319000</v>
      </c>
      <c r="BG29" s="7">
        <f t="shared" si="17"/>
        <v>0</v>
      </c>
      <c r="BH29" s="7">
        <f>SUMIFS('Tong_hop_HQNV_2026Q1_2026-06-23'!$L:$L,'Tong_hop_HQNV_2026Q1_2026-06-23'!$B:$B, "="&amp;'CHECK_DT-BT_chi_tiet'!A29, 'Tong_hop_HQNV_2026Q1_2026-06-23'!$A:$A, "="&amp;$BH$2)</f>
        <v>0</v>
      </c>
      <c r="BI29" s="29">
        <f>SUMIFS('HQ2'!$J:$J,'HQ2'!$A:$A, "="&amp;'CHECK_DT-BT_chi_tiet'!C29,'HQ2'!$B:$B,"="&amp;'CHECK_DT-BT_chi_tiet'!$BH$3)</f>
        <v>0</v>
      </c>
      <c r="BJ29" s="7">
        <f t="shared" si="18"/>
        <v>0</v>
      </c>
      <c r="BK29" s="7">
        <f>SUMIFS('Tong_hop_HQNV_2026Q1_2026-06-23'!$L:$L,'Tong_hop_HQNV_2026Q1_2026-06-23'!$B:$B, "="&amp;'CHECK_DT-BT_chi_tiet'!A29, 'Tong_hop_HQNV_2026Q1_2026-06-23'!$A:$A, "="&amp;$BK$2)</f>
        <v>223928230</v>
      </c>
      <c r="BL29" s="29">
        <f>SUMIFS('HQ2'!$J:$J,'HQ2'!$A:$A, "="&amp;'CHECK_DT-BT_chi_tiet'!C29,'HQ2'!$B:$B,"="&amp;'CHECK_DT-BT_chi_tiet'!$BK$3)</f>
        <v>223928230</v>
      </c>
      <c r="BM29" s="7">
        <f t="shared" si="19"/>
        <v>0</v>
      </c>
      <c r="BN29" s="7">
        <f>SUMIFS('Tong_hop_HQNV_2026Q1_2026-06-23'!$L:$L,'Tong_hop_HQNV_2026Q1_2026-06-23'!$B:$B, "="&amp;'CHECK_DT-BT_chi_tiet'!A29, 'Tong_hop_HQNV_2026Q1_2026-06-23'!$A:$A, "="&amp;$BN$2)</f>
        <v>0</v>
      </c>
      <c r="BO29" s="29">
        <f>SUMIFS('HQ2'!$J:$J,'HQ2'!$A:$A, "="&amp;'CHECK_DT-BT_chi_tiet'!C29,'HQ2'!$B:$B,"="&amp;'CHECK_DT-BT_chi_tiet'!$BN$3)</f>
        <v>0</v>
      </c>
      <c r="BP29" s="7">
        <f t="shared" si="20"/>
        <v>0</v>
      </c>
      <c r="BQ29" s="7">
        <f>SUMIFS('Tong_hop_HQNV_2026Q1_2026-06-23'!$L:$L,'Tong_hop_HQNV_2026Q1_2026-06-23'!$B:$B, "="&amp;'CHECK_DT-BT_chi_tiet'!A29, 'Tong_hop_HQNV_2026Q1_2026-06-23'!$A:$A, "="&amp;$BQ$2)</f>
        <v>0</v>
      </c>
      <c r="BR29" s="29">
        <f>SUMIFS('HQ2'!$J:$J,'HQ2'!$A:$A, "="&amp;'CHECK_DT-BT_chi_tiet'!C29,'HQ2'!$B:$B,"="&amp;'CHECK_DT-BT_chi_tiet'!$BQ$3)</f>
        <v>0</v>
      </c>
      <c r="BS29" s="7">
        <f t="shared" si="21"/>
        <v>0</v>
      </c>
      <c r="BT29" s="7">
        <f>SUMIFS('Tong_hop_HQNV_2026Q1_2026-06-23'!$L:$L,'Tong_hop_HQNV_2026Q1_2026-06-23'!$B:$B, "="&amp;'CHECK_DT-BT_chi_tiet'!A29, 'Tong_hop_HQNV_2026Q1_2026-06-23'!$A:$A, "="&amp;$BT$2)</f>
        <v>0</v>
      </c>
      <c r="BU29" s="7">
        <f>SUMIFS('Tong_hop_HQNV_2026Q1_2026-06-23'!$L:$L,'Tong_hop_HQNV_2026Q1_2026-06-23'!$B:$B, "="&amp;'CHECK_DT-BT_chi_tiet'!A29, 'Tong_hop_HQNV_2026Q1_2026-06-23'!$A:$A, "="&amp;$BU$2)</f>
        <v>0</v>
      </c>
    </row>
    <row r="30" spans="1:73" x14ac:dyDescent="0.25">
      <c r="A30" s="9" t="s">
        <v>310</v>
      </c>
      <c r="B30" t="s">
        <v>168</v>
      </c>
      <c r="C30" t="s">
        <v>74</v>
      </c>
      <c r="D30" s="7">
        <f>SUMIFS('Tong_hop_HQNV_2026Q1_2026-06-23'!$K:$K,'Tong_hop_HQNV_2026Q1_2026-06-23'!$A:$A,"="&amp;'CHECK_DT-BT_chi_tiet'!$D$2,'Tong_hop_HQNV_2026Q1_2026-06-23'!$B:$B, "="&amp;'CHECK_DT-BT_chi_tiet'!A30)</f>
        <v>2036742300</v>
      </c>
      <c r="E30" s="7">
        <f>SUMIFS('HQ1'!$C:$C,'HQ1'!$A:$A, "="&amp;'CHECK_DT-BT_chi_tiet'!C30,'HQ1'!$B:$B, "="&amp;'CHECK_DT-BT_chi_tiet'!$D$3)</f>
        <v>2036742300</v>
      </c>
      <c r="F30" s="7">
        <f t="shared" si="0"/>
        <v>0</v>
      </c>
      <c r="G30" s="7">
        <f>SUMIFS('Tong_hop_HQNV_2026Q1_2026-06-23'!$K:$K,'Tong_hop_HQNV_2026Q1_2026-06-23'!$A:$A,"="&amp;'CHECK_DT-BT_chi_tiet'!$G$2,'Tong_hop_HQNV_2026Q1_2026-06-23'!$B:$B, "="&amp;'CHECK_DT-BT_chi_tiet'!A30)</f>
        <v>7253000</v>
      </c>
      <c r="H30" s="7">
        <f>SUMIFS('HQ1'!$C:$C,'HQ1'!$A:$A, "="&amp;'CHECK_DT-BT_chi_tiet'!C30,'HQ1'!$B:$B, "="&amp;'CHECK_DT-BT_chi_tiet'!$G$3)</f>
        <v>7253000</v>
      </c>
      <c r="I30" s="7">
        <f t="shared" si="1"/>
        <v>0</v>
      </c>
      <c r="J30" s="7">
        <f>SUMIFS('Tong_hop_HQNV_2026Q1_2026-06-23'!$K:$K,'Tong_hop_HQNV_2026Q1_2026-06-23'!$A:$A,"="&amp;'CHECK_DT-BT_chi_tiet'!$J$2,'Tong_hop_HQNV_2026Q1_2026-06-23'!$B:$B, "="&amp;'CHECK_DT-BT_chi_tiet'!A30)</f>
        <v>7726883326</v>
      </c>
      <c r="K30" s="7">
        <f>SUMIFS('HQ1'!$C:$C,'HQ1'!$A:$A, "="&amp;'CHECK_DT-BT_chi_tiet'!C30,'HQ1'!$B:$B, "="&amp;'CHECK_DT-BT_chi_tiet'!$J$3)</f>
        <v>7725962053</v>
      </c>
      <c r="L30" s="7">
        <f t="shared" si="2"/>
        <v>921273</v>
      </c>
      <c r="M30" s="7">
        <f>SUMIFS('Tong_hop_HQNV_2026Q1_2026-06-23'!$K:$K,'Tong_hop_HQNV_2026Q1_2026-06-23'!$A:$A,"="&amp;'CHECK_DT-BT_chi_tiet'!$M$2,'Tong_hop_HQNV_2026Q1_2026-06-23'!$B:$B, "="&amp;'CHECK_DT-BT_chi_tiet'!A30)</f>
        <v>2765455471</v>
      </c>
      <c r="N30" s="7">
        <f>SUMIFS('HQ1'!$C:$C,'HQ1'!$A:$A, "="&amp;'CHECK_DT-BT_chi_tiet'!C30,'HQ1'!$B:$B, "="&amp;'CHECK_DT-BT_chi_tiet'!$M$3)</f>
        <v>2765455471</v>
      </c>
      <c r="O30" s="7">
        <f t="shared" si="3"/>
        <v>0</v>
      </c>
      <c r="P30" s="7">
        <f>SUMIFS('Tong_hop_HQNV_2026Q1_2026-06-23'!$K:$K,'Tong_hop_HQNV_2026Q1_2026-06-23'!$A:$A,"="&amp;$P$2,'Tong_hop_HQNV_2026Q1_2026-06-23'!$B:$B, "="&amp;'CHECK_DT-BT_chi_tiet'!A30)</f>
        <v>29982656</v>
      </c>
      <c r="Q30" s="7">
        <f>SUMIFS('HQ2'!$C:$C,'HQ2'!$A:$A, "="&amp;'CHECK_DT-BT_chi_tiet'!C30,'HQ2'!$B:$B, "="&amp;'CHECK_DT-BT_chi_tiet'!$P$3)</f>
        <v>29982656</v>
      </c>
      <c r="R30" s="7">
        <f t="shared" si="4"/>
        <v>0</v>
      </c>
      <c r="S30" s="7">
        <f>SUMIFS('Tong_hop_HQNV_2026Q1_2026-06-23'!$K:$K,'Tong_hop_HQNV_2026Q1_2026-06-23'!$A:$A,"="&amp;$S$2,'Tong_hop_HQNV_2026Q1_2026-06-23'!$B:$B, "="&amp;'CHECK_DT-BT_chi_tiet'!A30)</f>
        <v>0</v>
      </c>
      <c r="T30" s="7">
        <f>SUMIFS('HQ2'!$C:$C,'HQ2'!$A:$A, "="&amp;'CHECK_DT-BT_chi_tiet'!C30,'HQ2'!$B:$B, "="&amp;'CHECK_DT-BT_chi_tiet'!$S$3)</f>
        <v>0</v>
      </c>
      <c r="U30" s="7">
        <f t="shared" si="5"/>
        <v>0</v>
      </c>
      <c r="V30" s="7">
        <f>SUMIFS('Tong_hop_HQNV_2026Q1_2026-06-23'!$K:$K,'Tong_hop_HQNV_2026Q1_2026-06-23'!$A:$A,"="&amp;$V$2,'Tong_hop_HQNV_2026Q1_2026-06-23'!$B:$B, "="&amp;'CHECK_DT-BT_chi_tiet'!A30)</f>
        <v>0</v>
      </c>
      <c r="W30" s="7">
        <f>SUMIFS('HQ2'!$C:$C,'HQ2'!$A:$A, "="&amp;'CHECK_DT-BT_chi_tiet'!C30,'HQ2'!$B:$B, "="&amp;'CHECK_DT-BT_chi_tiet'!$V$3)</f>
        <v>0</v>
      </c>
      <c r="X30" s="7">
        <f t="shared" si="6"/>
        <v>0</v>
      </c>
      <c r="Y30" s="7">
        <f>SUMIFS('Tong_hop_HQNV_2026Q1_2026-06-23'!$K:$K,'Tong_hop_HQNV_2026Q1_2026-06-23'!$A:$A,"="&amp;$Y$2,'Tong_hop_HQNV_2026Q1_2026-06-23'!$B:$B, "="&amp;'CHECK_DT-BT_chi_tiet'!A30)</f>
        <v>20397300</v>
      </c>
      <c r="Z30" s="7">
        <f>SUMIFS('HQ2'!$C:$C,'HQ2'!$A:$A, "="&amp;'CHECK_DT-BT_chi_tiet'!C30,'HQ2'!$B:$B, "="&amp;'CHECK_DT-BT_chi_tiet'!$Y$3)</f>
        <v>20397300</v>
      </c>
      <c r="AA30" s="7">
        <f t="shared" si="7"/>
        <v>0</v>
      </c>
      <c r="AB30" s="7">
        <f>SUMIFS('Tong_hop_HQNV_2026Q1_2026-06-23'!$K:$K,'Tong_hop_HQNV_2026Q1_2026-06-23'!$A:$A,"="&amp;$AB$2,'Tong_hop_HQNV_2026Q1_2026-06-23'!$B:$B, "="&amp;'CHECK_DT-BT_chi_tiet'!A30)</f>
        <v>775522334</v>
      </c>
      <c r="AC30" s="7">
        <f>SUMIFS('HQ2'!$C:$C,'HQ2'!$A:$A, "="&amp;'CHECK_DT-BT_chi_tiet'!C30,'HQ2'!$B:$B, "="&amp;'CHECK_DT-BT_chi_tiet'!$AB$3)</f>
        <v>775522334</v>
      </c>
      <c r="AD30" s="7">
        <f t="shared" si="8"/>
        <v>0</v>
      </c>
      <c r="AE30" s="7">
        <f>SUMIFS('Tong_hop_HQNV_2026Q1_2026-06-23'!$K:$K,'Tong_hop_HQNV_2026Q1_2026-06-23'!$A:$A,"="&amp;$AE$2,'Tong_hop_HQNV_2026Q1_2026-06-23'!$B:$B, "="&amp;'CHECK_DT-BT_chi_tiet'!A30)</f>
        <v>5532198704</v>
      </c>
      <c r="AF30" s="7">
        <f>SUMIFS('HQ2'!$C:$C,'HQ2'!$A:$A, "="&amp;'CHECK_DT-BT_chi_tiet'!C30,'HQ2'!$B:$B, "="&amp;'CHECK_DT-BT_chi_tiet'!$AE$3)</f>
        <v>5532198704</v>
      </c>
      <c r="AG30" s="7">
        <f t="shared" si="9"/>
        <v>0</v>
      </c>
      <c r="AH30" s="7">
        <f>SUMIFS('Tong_hop_HQNV_2026Q1_2026-06-23'!$K:$K,'Tong_hop_HQNV_2026Q1_2026-06-23'!$A:$A,"="&amp;$AH$2,'Tong_hop_HQNV_2026Q1_2026-06-23'!$B:$B, "="&amp;'CHECK_DT-BT_chi_tiet'!A30)</f>
        <v>222033636</v>
      </c>
      <c r="AI30" s="7">
        <f>SUMIFS('HQ2'!$C:$C,'HQ2'!$A:$A, "="&amp;'CHECK_DT-BT_chi_tiet'!C30,'HQ2'!$B:$B, "="&amp;'CHECK_DT-BT_chi_tiet'!$AH$3)</f>
        <v>222033636</v>
      </c>
      <c r="AJ30" s="7">
        <f t="shared" si="10"/>
        <v>0</v>
      </c>
      <c r="AK30" s="7">
        <f>SUMIFS('Tong_hop_HQNV_2026Q1_2026-06-23'!$K:$K,'Tong_hop_HQNV_2026Q1_2026-06-23'!$A:$A,"="&amp;$AK$2,'Tong_hop_HQNV_2026Q1_2026-06-23'!$B:$B, "="&amp;'CHECK_DT-BT_chi_tiet'!A30)</f>
        <v>0</v>
      </c>
      <c r="AL30" s="7">
        <f>SUMIFS('Tong_hop_HQNV_2026Q1_2026-06-23'!$K:$K,'Tong_hop_HQNV_2026Q1_2026-06-23'!$A:$A,"="&amp;$AL$2,'Tong_hop_HQNV_2026Q1_2026-06-23'!$B:$B, "="&amp;'CHECK_DT-BT_chi_tiet'!A30)</f>
        <v>0</v>
      </c>
      <c r="AM30" s="23">
        <f>SUMIFS('Tong_hop_HQNV_2026Q1_2026-06-23'!$L:$L,'Tong_hop_HQNV_2026Q1_2026-06-23'!$B:$B, "="&amp;'CHECK_DT-BT_chi_tiet'!A30, 'Tong_hop_HQNV_2026Q1_2026-06-23'!$A:$A, "="&amp;'CHECK_DT-BT_chi_tiet'!$AM$2)</f>
        <v>928285000</v>
      </c>
      <c r="AN30" s="29">
        <f>SUMIFS('HQ1'!$D:$D,'HQ1'!$A:$A, "="&amp;'CHECK_DT-BT_chi_tiet'!C30,'HQ1'!$B:$B,"="&amp;'CHECK_DT-BT_chi_tiet'!$AM$3)</f>
        <v>928285000</v>
      </c>
      <c r="AO30" s="29">
        <f t="shared" si="11"/>
        <v>0</v>
      </c>
      <c r="AP30" s="7">
        <f>SUMIFS('Tong_hop_HQNV_2026Q1_2026-06-23'!$L:$L,'Tong_hop_HQNV_2026Q1_2026-06-23'!$B:$B, "="&amp;'CHECK_DT-BT_chi_tiet'!A30, 'Tong_hop_HQNV_2026Q1_2026-06-23'!$A:$A, "="&amp;'CHECK_DT-BT_chi_tiet'!$AP$2)</f>
        <v>9892064</v>
      </c>
      <c r="AQ30" s="29">
        <f>SUMIFS('HQ1'!$D:$D,'HQ1'!$A:$A, "="&amp;'CHECK_DT-BT_chi_tiet'!C30,'HQ1'!$B:$B,"="&amp;'CHECK_DT-BT_chi_tiet'!$AP$3)</f>
        <v>9892064</v>
      </c>
      <c r="AR30" s="7">
        <f t="shared" si="12"/>
        <v>0</v>
      </c>
      <c r="AS30" s="7">
        <f>SUMIFS('Tong_hop_HQNV_2026Q1_2026-06-23'!$L:$L,'Tong_hop_HQNV_2026Q1_2026-06-23'!$B:$B, "="&amp;'CHECK_DT-BT_chi_tiet'!A30, 'Tong_hop_HQNV_2026Q1_2026-06-23'!$A:$A, "="&amp;'CHECK_DT-BT_chi_tiet'!$AS$2)</f>
        <v>2565709821</v>
      </c>
      <c r="AT30" s="29">
        <f>SUMIFS('HQ1'!$D:$D,'HQ1'!$A:$A, "="&amp;'CHECK_DT-BT_chi_tiet'!C30,'HQ1'!$B:$B,"="&amp;'CHECK_DT-BT_chi_tiet'!$AS$3)</f>
        <v>2565709821</v>
      </c>
      <c r="AU30" s="7">
        <f t="shared" si="13"/>
        <v>0</v>
      </c>
      <c r="AV30" s="7">
        <f>SUMIFS('Tong_hop_HQNV_2026Q1_2026-06-23'!$L:$L,'Tong_hop_HQNV_2026Q1_2026-06-23'!$B:$B, "="&amp;'CHECK_DT-BT_chi_tiet'!A30, 'Tong_hop_HQNV_2026Q1_2026-06-23'!$A:$A, "="&amp;'CHECK_DT-BT_chi_tiet'!$AV$2)</f>
        <v>1224503974</v>
      </c>
      <c r="AW30" s="29">
        <f>SUMIFS('HQ1'!$D:$D,'HQ1'!$A:$A, "="&amp;'CHECK_DT-BT_chi_tiet'!C30,'HQ1'!$B:$B,"="&amp;'CHECK_DT-BT_chi_tiet'!$AV$3)</f>
        <v>1224503974</v>
      </c>
      <c r="AX30" s="7">
        <f t="shared" si="14"/>
        <v>0</v>
      </c>
      <c r="AY30" s="7">
        <f>SUMIFS('Tong_hop_HQNV_2026Q1_2026-06-23'!$L:$L,'Tong_hop_HQNV_2026Q1_2026-06-23'!$B:$B, "="&amp;'CHECK_DT-BT_chi_tiet'!A30, 'Tong_hop_HQNV_2026Q1_2026-06-23'!$A:$A, "="&amp;$AY$2)</f>
        <v>0</v>
      </c>
      <c r="AZ30" s="29">
        <f>SUMIFS('HQ2'!$J:$J,'HQ2'!$A:$A, "="&amp;'CHECK_DT-BT_chi_tiet'!C30,'HQ2'!$B:$B,"="&amp;'CHECK_DT-BT_chi_tiet'!$AY$3)</f>
        <v>0</v>
      </c>
      <c r="BA30" s="7">
        <f t="shared" si="15"/>
        <v>0</v>
      </c>
      <c r="BB30" s="7">
        <f>SUMIFS('Tong_hop_HQNV_2026Q1_2026-06-23'!$L:$L,'Tong_hop_HQNV_2026Q1_2026-06-23'!$B:$B, "="&amp;'CHECK_DT-BT_chi_tiet'!A30, 'Tong_hop_HQNV_2026Q1_2026-06-23'!$A:$A, "="&amp;$BB$2)</f>
        <v>0</v>
      </c>
      <c r="BC30" s="29">
        <f>SUMIFS('HQ2'!$J:$J,'HQ2'!$A:$A, "="&amp;'CHECK_DT-BT_chi_tiet'!C30,'HQ2'!$B:$B,"="&amp;'CHECK_DT-BT_chi_tiet'!$BB$3)</f>
        <v>0</v>
      </c>
      <c r="BD30" s="7">
        <f t="shared" si="16"/>
        <v>0</v>
      </c>
      <c r="BE30" s="7">
        <f>SUMIFS('Tong_hop_HQNV_2026Q1_2026-06-23'!$L:$L,'Tong_hop_HQNV_2026Q1_2026-06-23'!$B:$B, "="&amp;'CHECK_DT-BT_chi_tiet'!A30, 'Tong_hop_HQNV_2026Q1_2026-06-23'!$A:$A, "="&amp;$BE$2)</f>
        <v>0</v>
      </c>
      <c r="BF30" s="29">
        <f>SUMIFS('HQ2'!$J:$J,'HQ2'!$A:$A, "="&amp;'CHECK_DT-BT_chi_tiet'!C30,'HQ2'!$B:$B,"="&amp;'CHECK_DT-BT_chi_tiet'!$BE$3)</f>
        <v>0</v>
      </c>
      <c r="BG30" s="7">
        <f t="shared" si="17"/>
        <v>0</v>
      </c>
      <c r="BH30" s="7">
        <f>SUMIFS('Tong_hop_HQNV_2026Q1_2026-06-23'!$L:$L,'Tong_hop_HQNV_2026Q1_2026-06-23'!$B:$B, "="&amp;'CHECK_DT-BT_chi_tiet'!A30, 'Tong_hop_HQNV_2026Q1_2026-06-23'!$A:$A, "="&amp;$BH$2)</f>
        <v>0</v>
      </c>
      <c r="BI30" s="29">
        <f>SUMIFS('HQ2'!$J:$J,'HQ2'!$A:$A, "="&amp;'CHECK_DT-BT_chi_tiet'!C30,'HQ2'!$B:$B,"="&amp;'CHECK_DT-BT_chi_tiet'!$BH$3)</f>
        <v>0</v>
      </c>
      <c r="BJ30" s="7">
        <f t="shared" si="18"/>
        <v>0</v>
      </c>
      <c r="BK30" s="7">
        <f>SUMIFS('Tong_hop_HQNV_2026Q1_2026-06-23'!$L:$L,'Tong_hop_HQNV_2026Q1_2026-06-23'!$B:$B, "="&amp;'CHECK_DT-BT_chi_tiet'!A30, 'Tong_hop_HQNV_2026Q1_2026-06-23'!$A:$A, "="&amp;$BK$2)</f>
        <v>1357921778</v>
      </c>
      <c r="BL30" s="29">
        <f>SUMIFS('HQ2'!$J:$J,'HQ2'!$A:$A, "="&amp;'CHECK_DT-BT_chi_tiet'!C30,'HQ2'!$B:$B,"="&amp;'CHECK_DT-BT_chi_tiet'!$BK$3)</f>
        <v>1357921778</v>
      </c>
      <c r="BM30" s="7">
        <f t="shared" si="19"/>
        <v>0</v>
      </c>
      <c r="BN30" s="7">
        <f>SUMIFS('Tong_hop_HQNV_2026Q1_2026-06-23'!$L:$L,'Tong_hop_HQNV_2026Q1_2026-06-23'!$B:$B, "="&amp;'CHECK_DT-BT_chi_tiet'!A30, 'Tong_hop_HQNV_2026Q1_2026-06-23'!$A:$A, "="&amp;$BN$2)</f>
        <v>0</v>
      </c>
      <c r="BO30" s="29">
        <f>SUMIFS('HQ2'!$J:$J,'HQ2'!$A:$A, "="&amp;'CHECK_DT-BT_chi_tiet'!C30,'HQ2'!$B:$B,"="&amp;'CHECK_DT-BT_chi_tiet'!$BN$3)</f>
        <v>0</v>
      </c>
      <c r="BP30" s="7">
        <f t="shared" si="20"/>
        <v>0</v>
      </c>
      <c r="BQ30" s="7">
        <f>SUMIFS('Tong_hop_HQNV_2026Q1_2026-06-23'!$L:$L,'Tong_hop_HQNV_2026Q1_2026-06-23'!$B:$B, "="&amp;'CHECK_DT-BT_chi_tiet'!A30, 'Tong_hop_HQNV_2026Q1_2026-06-23'!$A:$A, "="&amp;$BQ$2)</f>
        <v>0</v>
      </c>
      <c r="BR30" s="29">
        <f>SUMIFS('HQ2'!$J:$J,'HQ2'!$A:$A, "="&amp;'CHECK_DT-BT_chi_tiet'!C30,'HQ2'!$B:$B,"="&amp;'CHECK_DT-BT_chi_tiet'!$BQ$3)</f>
        <v>0</v>
      </c>
      <c r="BS30" s="7">
        <f t="shared" si="21"/>
        <v>0</v>
      </c>
      <c r="BT30" s="7">
        <f>SUMIFS('Tong_hop_HQNV_2026Q1_2026-06-23'!$L:$L,'Tong_hop_HQNV_2026Q1_2026-06-23'!$B:$B, "="&amp;'CHECK_DT-BT_chi_tiet'!A30, 'Tong_hop_HQNV_2026Q1_2026-06-23'!$A:$A, "="&amp;$BT$2)</f>
        <v>0</v>
      </c>
      <c r="BU30" s="7">
        <f>SUMIFS('Tong_hop_HQNV_2026Q1_2026-06-23'!$L:$L,'Tong_hop_HQNV_2026Q1_2026-06-23'!$B:$B, "="&amp;'CHECK_DT-BT_chi_tiet'!A30, 'Tong_hop_HQNV_2026Q1_2026-06-23'!$A:$A, "="&amp;$BU$2)</f>
        <v>0</v>
      </c>
    </row>
    <row r="31" spans="1:73" x14ac:dyDescent="0.25">
      <c r="A31" s="9" t="s">
        <v>311</v>
      </c>
      <c r="B31" t="s">
        <v>169</v>
      </c>
      <c r="C31" t="s">
        <v>119</v>
      </c>
      <c r="D31" s="7">
        <f>SUMIFS('Tong_hop_HQNV_2026Q1_2026-06-23'!$K:$K,'Tong_hop_HQNV_2026Q1_2026-06-23'!$A:$A,"="&amp;'CHECK_DT-BT_chi_tiet'!$D$2,'Tong_hop_HQNV_2026Q1_2026-06-23'!$B:$B, "="&amp;'CHECK_DT-BT_chi_tiet'!A31)</f>
        <v>447352189</v>
      </c>
      <c r="E31" s="7">
        <f>SUMIFS('HQ1'!$C:$C,'HQ1'!$A:$A, "="&amp;'CHECK_DT-BT_chi_tiet'!C31,'HQ1'!$B:$B, "="&amp;'CHECK_DT-BT_chi_tiet'!$D$3)</f>
        <v>447352189</v>
      </c>
      <c r="F31" s="7">
        <f t="shared" si="0"/>
        <v>0</v>
      </c>
      <c r="G31" s="7">
        <f>SUMIFS('Tong_hop_HQNV_2026Q1_2026-06-23'!$K:$K,'Tong_hop_HQNV_2026Q1_2026-06-23'!$A:$A,"="&amp;'CHECK_DT-BT_chi_tiet'!$G$2,'Tong_hop_HQNV_2026Q1_2026-06-23'!$B:$B, "="&amp;'CHECK_DT-BT_chi_tiet'!A31)</f>
        <v>106560000</v>
      </c>
      <c r="H31" s="7">
        <f>SUMIFS('HQ1'!$C:$C,'HQ1'!$A:$A, "="&amp;'CHECK_DT-BT_chi_tiet'!C31,'HQ1'!$B:$B, "="&amp;'CHECK_DT-BT_chi_tiet'!$G$3)</f>
        <v>106560000</v>
      </c>
      <c r="I31" s="7">
        <f t="shared" si="1"/>
        <v>0</v>
      </c>
      <c r="J31" s="7">
        <f>SUMIFS('Tong_hop_HQNV_2026Q1_2026-06-23'!$K:$K,'Tong_hop_HQNV_2026Q1_2026-06-23'!$A:$A,"="&amp;'CHECK_DT-BT_chi_tiet'!$J$2,'Tong_hop_HQNV_2026Q1_2026-06-23'!$B:$B, "="&amp;'CHECK_DT-BT_chi_tiet'!A31)</f>
        <v>4253829555</v>
      </c>
      <c r="K31" s="7">
        <f>SUMIFS('HQ1'!$C:$C,'HQ1'!$A:$A, "="&amp;'CHECK_DT-BT_chi_tiet'!C31,'HQ1'!$B:$B, "="&amp;'CHECK_DT-BT_chi_tiet'!$J$3)</f>
        <v>4253829555</v>
      </c>
      <c r="L31" s="7">
        <f t="shared" si="2"/>
        <v>0</v>
      </c>
      <c r="M31" s="7">
        <f>SUMIFS('Tong_hop_HQNV_2026Q1_2026-06-23'!$K:$K,'Tong_hop_HQNV_2026Q1_2026-06-23'!$A:$A,"="&amp;'CHECK_DT-BT_chi_tiet'!$M$2,'Tong_hop_HQNV_2026Q1_2026-06-23'!$B:$B, "="&amp;'CHECK_DT-BT_chi_tiet'!A31)</f>
        <v>194872816</v>
      </c>
      <c r="N31" s="7">
        <f>SUMIFS('HQ1'!$C:$C,'HQ1'!$A:$A, "="&amp;'CHECK_DT-BT_chi_tiet'!C31,'HQ1'!$B:$B, "="&amp;'CHECK_DT-BT_chi_tiet'!$M$3)</f>
        <v>194872816</v>
      </c>
      <c r="O31" s="7">
        <f t="shared" si="3"/>
        <v>0</v>
      </c>
      <c r="P31" s="7">
        <f>SUMIFS('Tong_hop_HQNV_2026Q1_2026-06-23'!$K:$K,'Tong_hop_HQNV_2026Q1_2026-06-23'!$A:$A,"="&amp;$P$2,'Tong_hop_HQNV_2026Q1_2026-06-23'!$B:$B, "="&amp;'CHECK_DT-BT_chi_tiet'!A31)</f>
        <v>0</v>
      </c>
      <c r="Q31" s="7">
        <f>SUMIFS('HQ2'!$C:$C,'HQ2'!$A:$A, "="&amp;'CHECK_DT-BT_chi_tiet'!C31,'HQ2'!$B:$B, "="&amp;'CHECK_DT-BT_chi_tiet'!$P$3)</f>
        <v>0</v>
      </c>
      <c r="R31" s="7">
        <f t="shared" si="4"/>
        <v>0</v>
      </c>
      <c r="S31" s="7">
        <f>SUMIFS('Tong_hop_HQNV_2026Q1_2026-06-23'!$K:$K,'Tong_hop_HQNV_2026Q1_2026-06-23'!$A:$A,"="&amp;$S$2,'Tong_hop_HQNV_2026Q1_2026-06-23'!$B:$B, "="&amp;'CHECK_DT-BT_chi_tiet'!A31)</f>
        <v>0</v>
      </c>
      <c r="T31" s="7">
        <f>SUMIFS('HQ2'!$C:$C,'HQ2'!$A:$A, "="&amp;'CHECK_DT-BT_chi_tiet'!C31,'HQ2'!$B:$B, "="&amp;'CHECK_DT-BT_chi_tiet'!$S$3)</f>
        <v>0</v>
      </c>
      <c r="U31" s="7">
        <f t="shared" si="5"/>
        <v>0</v>
      </c>
      <c r="V31" s="7">
        <f>SUMIFS('Tong_hop_HQNV_2026Q1_2026-06-23'!$K:$K,'Tong_hop_HQNV_2026Q1_2026-06-23'!$A:$A,"="&amp;$V$2,'Tong_hop_HQNV_2026Q1_2026-06-23'!$B:$B, "="&amp;'CHECK_DT-BT_chi_tiet'!A31)</f>
        <v>0</v>
      </c>
      <c r="W31" s="7">
        <f>SUMIFS('HQ2'!$C:$C,'HQ2'!$A:$A, "="&amp;'CHECK_DT-BT_chi_tiet'!C31,'HQ2'!$B:$B, "="&amp;'CHECK_DT-BT_chi_tiet'!$V$3)</f>
        <v>0</v>
      </c>
      <c r="X31" s="7">
        <f t="shared" si="6"/>
        <v>0</v>
      </c>
      <c r="Y31" s="7">
        <f>SUMIFS('Tong_hop_HQNV_2026Q1_2026-06-23'!$K:$K,'Tong_hop_HQNV_2026Q1_2026-06-23'!$A:$A,"="&amp;$Y$2,'Tong_hop_HQNV_2026Q1_2026-06-23'!$B:$B, "="&amp;'CHECK_DT-BT_chi_tiet'!A31)</f>
        <v>0</v>
      </c>
      <c r="Z31" s="7">
        <f>SUMIFS('HQ2'!$C:$C,'HQ2'!$A:$A, "="&amp;'CHECK_DT-BT_chi_tiet'!C31,'HQ2'!$B:$B, "="&amp;'CHECK_DT-BT_chi_tiet'!$Y$3)</f>
        <v>0</v>
      </c>
      <c r="AA31" s="7">
        <f t="shared" si="7"/>
        <v>0</v>
      </c>
      <c r="AB31" s="7">
        <f>SUMIFS('Tong_hop_HQNV_2026Q1_2026-06-23'!$K:$K,'Tong_hop_HQNV_2026Q1_2026-06-23'!$A:$A,"="&amp;$AB$2,'Tong_hop_HQNV_2026Q1_2026-06-23'!$B:$B, "="&amp;'CHECK_DT-BT_chi_tiet'!A31)</f>
        <v>51981411</v>
      </c>
      <c r="AC31" s="7">
        <f>SUMIFS('HQ2'!$C:$C,'HQ2'!$A:$A, "="&amp;'CHECK_DT-BT_chi_tiet'!C31,'HQ2'!$B:$B, "="&amp;'CHECK_DT-BT_chi_tiet'!$AB$3)</f>
        <v>51981411</v>
      </c>
      <c r="AD31" s="7">
        <f t="shared" si="8"/>
        <v>0</v>
      </c>
      <c r="AE31" s="7">
        <f>SUMIFS('Tong_hop_HQNV_2026Q1_2026-06-23'!$K:$K,'Tong_hop_HQNV_2026Q1_2026-06-23'!$A:$A,"="&amp;$AE$2,'Tong_hop_HQNV_2026Q1_2026-06-23'!$B:$B, "="&amp;'CHECK_DT-BT_chi_tiet'!A31)</f>
        <v>409128464</v>
      </c>
      <c r="AF31" s="7">
        <f>SUMIFS('HQ2'!$C:$C,'HQ2'!$A:$A, "="&amp;'CHECK_DT-BT_chi_tiet'!C31,'HQ2'!$B:$B, "="&amp;'CHECK_DT-BT_chi_tiet'!$AE$3)</f>
        <v>409128464</v>
      </c>
      <c r="AG31" s="7">
        <f t="shared" si="9"/>
        <v>0</v>
      </c>
      <c r="AH31" s="7">
        <f>SUMIFS('Tong_hop_HQNV_2026Q1_2026-06-23'!$K:$K,'Tong_hop_HQNV_2026Q1_2026-06-23'!$A:$A,"="&amp;$AH$2,'Tong_hop_HQNV_2026Q1_2026-06-23'!$B:$B, "="&amp;'CHECK_DT-BT_chi_tiet'!A31)</f>
        <v>0</v>
      </c>
      <c r="AI31" s="7">
        <f>SUMIFS('HQ2'!$C:$C,'HQ2'!$A:$A, "="&amp;'CHECK_DT-BT_chi_tiet'!C31,'HQ2'!$B:$B, "="&amp;'CHECK_DT-BT_chi_tiet'!$AH$3)</f>
        <v>0</v>
      </c>
      <c r="AJ31" s="7">
        <f t="shared" si="10"/>
        <v>0</v>
      </c>
      <c r="AK31" s="7">
        <f>SUMIFS('Tong_hop_HQNV_2026Q1_2026-06-23'!$K:$K,'Tong_hop_HQNV_2026Q1_2026-06-23'!$A:$A,"="&amp;$AK$2,'Tong_hop_HQNV_2026Q1_2026-06-23'!$B:$B, "="&amp;'CHECK_DT-BT_chi_tiet'!A31)</f>
        <v>0</v>
      </c>
      <c r="AL31" s="7">
        <f>SUMIFS('Tong_hop_HQNV_2026Q1_2026-06-23'!$K:$K,'Tong_hop_HQNV_2026Q1_2026-06-23'!$A:$A,"="&amp;$AL$2,'Tong_hop_HQNV_2026Q1_2026-06-23'!$B:$B, "="&amp;'CHECK_DT-BT_chi_tiet'!A31)</f>
        <v>0</v>
      </c>
      <c r="AM31" s="23">
        <f>SUMIFS('Tong_hop_HQNV_2026Q1_2026-06-23'!$L:$L,'Tong_hop_HQNV_2026Q1_2026-06-23'!$B:$B, "="&amp;'CHECK_DT-BT_chi_tiet'!A31, 'Tong_hop_HQNV_2026Q1_2026-06-23'!$A:$A, "="&amp;'CHECK_DT-BT_chi_tiet'!$AM$2)</f>
        <v>241944700</v>
      </c>
      <c r="AN31" s="29">
        <f>SUMIFS('HQ1'!$D:$D,'HQ1'!$A:$A, "="&amp;'CHECK_DT-BT_chi_tiet'!C31,'HQ1'!$B:$B,"="&amp;'CHECK_DT-BT_chi_tiet'!$AM$3)</f>
        <v>241944700</v>
      </c>
      <c r="AO31" s="29">
        <f t="shared" si="11"/>
        <v>0</v>
      </c>
      <c r="AP31" s="7">
        <f>SUMIFS('Tong_hop_HQNV_2026Q1_2026-06-23'!$L:$L,'Tong_hop_HQNV_2026Q1_2026-06-23'!$B:$B, "="&amp;'CHECK_DT-BT_chi_tiet'!A31, 'Tong_hop_HQNV_2026Q1_2026-06-23'!$A:$A, "="&amp;'CHECK_DT-BT_chi_tiet'!$AP$2)</f>
        <v>0</v>
      </c>
      <c r="AQ31" s="29">
        <f>SUMIFS('HQ1'!$D:$D,'HQ1'!$A:$A, "="&amp;'CHECK_DT-BT_chi_tiet'!C31,'HQ1'!$B:$B,"="&amp;'CHECK_DT-BT_chi_tiet'!$AP$3)</f>
        <v>0</v>
      </c>
      <c r="AR31" s="7">
        <f t="shared" si="12"/>
        <v>0</v>
      </c>
      <c r="AS31" s="7">
        <f>SUMIFS('Tong_hop_HQNV_2026Q1_2026-06-23'!$L:$L,'Tong_hop_HQNV_2026Q1_2026-06-23'!$B:$B, "="&amp;'CHECK_DT-BT_chi_tiet'!A31, 'Tong_hop_HQNV_2026Q1_2026-06-23'!$A:$A, "="&amp;'CHECK_DT-BT_chi_tiet'!$AS$2)</f>
        <v>1658751770</v>
      </c>
      <c r="AT31" s="29">
        <f>SUMIFS('HQ1'!$D:$D,'HQ1'!$A:$A, "="&amp;'CHECK_DT-BT_chi_tiet'!C31,'HQ1'!$B:$B,"="&amp;'CHECK_DT-BT_chi_tiet'!$AS$3)</f>
        <v>1658751770</v>
      </c>
      <c r="AU31" s="7">
        <f t="shared" si="13"/>
        <v>0</v>
      </c>
      <c r="AV31" s="7">
        <f>SUMIFS('Tong_hop_HQNV_2026Q1_2026-06-23'!$L:$L,'Tong_hop_HQNV_2026Q1_2026-06-23'!$B:$B, "="&amp;'CHECK_DT-BT_chi_tiet'!A31, 'Tong_hop_HQNV_2026Q1_2026-06-23'!$A:$A, "="&amp;'CHECK_DT-BT_chi_tiet'!$AV$2)</f>
        <v>40543000</v>
      </c>
      <c r="AW31" s="29">
        <f>SUMIFS('HQ1'!$D:$D,'HQ1'!$A:$A, "="&amp;'CHECK_DT-BT_chi_tiet'!C31,'HQ1'!$B:$B,"="&amp;'CHECK_DT-BT_chi_tiet'!$AV$3)</f>
        <v>40543000</v>
      </c>
      <c r="AX31" s="7">
        <f t="shared" si="14"/>
        <v>0</v>
      </c>
      <c r="AY31" s="7">
        <f>SUMIFS('Tong_hop_HQNV_2026Q1_2026-06-23'!$L:$L,'Tong_hop_HQNV_2026Q1_2026-06-23'!$B:$B, "="&amp;'CHECK_DT-BT_chi_tiet'!A31, 'Tong_hop_HQNV_2026Q1_2026-06-23'!$A:$A, "="&amp;$AY$2)</f>
        <v>0</v>
      </c>
      <c r="AZ31" s="29">
        <f>SUMIFS('HQ2'!$J:$J,'HQ2'!$A:$A, "="&amp;'CHECK_DT-BT_chi_tiet'!C31,'HQ2'!$B:$B,"="&amp;'CHECK_DT-BT_chi_tiet'!$AY$3)</f>
        <v>0</v>
      </c>
      <c r="BA31" s="7">
        <f t="shared" si="15"/>
        <v>0</v>
      </c>
      <c r="BB31" s="7">
        <f>SUMIFS('Tong_hop_HQNV_2026Q1_2026-06-23'!$L:$L,'Tong_hop_HQNV_2026Q1_2026-06-23'!$B:$B, "="&amp;'CHECK_DT-BT_chi_tiet'!A31, 'Tong_hop_HQNV_2026Q1_2026-06-23'!$A:$A, "="&amp;$BB$2)</f>
        <v>0</v>
      </c>
      <c r="BC31" s="29">
        <f>SUMIFS('HQ2'!$J:$J,'HQ2'!$A:$A, "="&amp;'CHECK_DT-BT_chi_tiet'!C31,'HQ2'!$B:$B,"="&amp;'CHECK_DT-BT_chi_tiet'!$BB$3)</f>
        <v>0</v>
      </c>
      <c r="BD31" s="7">
        <f t="shared" si="16"/>
        <v>0</v>
      </c>
      <c r="BE31" s="7">
        <f>SUMIFS('Tong_hop_HQNV_2026Q1_2026-06-23'!$L:$L,'Tong_hop_HQNV_2026Q1_2026-06-23'!$B:$B, "="&amp;'CHECK_DT-BT_chi_tiet'!A31, 'Tong_hop_HQNV_2026Q1_2026-06-23'!$A:$A, "="&amp;$BE$2)</f>
        <v>0</v>
      </c>
      <c r="BF31" s="29">
        <f>SUMIFS('HQ2'!$J:$J,'HQ2'!$A:$A, "="&amp;'CHECK_DT-BT_chi_tiet'!C31,'HQ2'!$B:$B,"="&amp;'CHECK_DT-BT_chi_tiet'!$BE$3)</f>
        <v>0</v>
      </c>
      <c r="BG31" s="7">
        <f t="shared" si="17"/>
        <v>0</v>
      </c>
      <c r="BH31" s="7">
        <f>SUMIFS('Tong_hop_HQNV_2026Q1_2026-06-23'!$L:$L,'Tong_hop_HQNV_2026Q1_2026-06-23'!$B:$B, "="&amp;'CHECK_DT-BT_chi_tiet'!A31, 'Tong_hop_HQNV_2026Q1_2026-06-23'!$A:$A, "="&amp;$BH$2)</f>
        <v>0</v>
      </c>
      <c r="BI31" s="29">
        <f>SUMIFS('HQ2'!$J:$J,'HQ2'!$A:$A, "="&amp;'CHECK_DT-BT_chi_tiet'!C31,'HQ2'!$B:$B,"="&amp;'CHECK_DT-BT_chi_tiet'!$BH$3)</f>
        <v>0</v>
      </c>
      <c r="BJ31" s="7">
        <f t="shared" si="18"/>
        <v>0</v>
      </c>
      <c r="BK31" s="7">
        <f>SUMIFS('Tong_hop_HQNV_2026Q1_2026-06-23'!$L:$L,'Tong_hop_HQNV_2026Q1_2026-06-23'!$B:$B, "="&amp;'CHECK_DT-BT_chi_tiet'!A31, 'Tong_hop_HQNV_2026Q1_2026-06-23'!$A:$A, "="&amp;$BK$2)</f>
        <v>0</v>
      </c>
      <c r="BL31" s="29">
        <f>SUMIFS('HQ2'!$J:$J,'HQ2'!$A:$A, "="&amp;'CHECK_DT-BT_chi_tiet'!C31,'HQ2'!$B:$B,"="&amp;'CHECK_DT-BT_chi_tiet'!$BK$3)</f>
        <v>0</v>
      </c>
      <c r="BM31" s="7">
        <f t="shared" si="19"/>
        <v>0</v>
      </c>
      <c r="BN31" s="7">
        <f>SUMIFS('Tong_hop_HQNV_2026Q1_2026-06-23'!$L:$L,'Tong_hop_HQNV_2026Q1_2026-06-23'!$B:$B, "="&amp;'CHECK_DT-BT_chi_tiet'!A31, 'Tong_hop_HQNV_2026Q1_2026-06-23'!$A:$A, "="&amp;$BN$2)</f>
        <v>0</v>
      </c>
      <c r="BO31" s="29">
        <f>SUMIFS('HQ2'!$J:$J,'HQ2'!$A:$A, "="&amp;'CHECK_DT-BT_chi_tiet'!C31,'HQ2'!$B:$B,"="&amp;'CHECK_DT-BT_chi_tiet'!$BN$3)</f>
        <v>0</v>
      </c>
      <c r="BP31" s="7">
        <f t="shared" si="20"/>
        <v>0</v>
      </c>
      <c r="BQ31" s="7">
        <f>SUMIFS('Tong_hop_HQNV_2026Q1_2026-06-23'!$L:$L,'Tong_hop_HQNV_2026Q1_2026-06-23'!$B:$B, "="&amp;'CHECK_DT-BT_chi_tiet'!A31, 'Tong_hop_HQNV_2026Q1_2026-06-23'!$A:$A, "="&amp;$BQ$2)</f>
        <v>0</v>
      </c>
      <c r="BR31" s="29">
        <f>SUMIFS('HQ2'!$J:$J,'HQ2'!$A:$A, "="&amp;'CHECK_DT-BT_chi_tiet'!C31,'HQ2'!$B:$B,"="&amp;'CHECK_DT-BT_chi_tiet'!$BQ$3)</f>
        <v>0</v>
      </c>
      <c r="BS31" s="7">
        <f t="shared" si="21"/>
        <v>0</v>
      </c>
      <c r="BT31" s="7">
        <f>SUMIFS('Tong_hop_HQNV_2026Q1_2026-06-23'!$L:$L,'Tong_hop_HQNV_2026Q1_2026-06-23'!$B:$B, "="&amp;'CHECK_DT-BT_chi_tiet'!A31, 'Tong_hop_HQNV_2026Q1_2026-06-23'!$A:$A, "="&amp;$BT$2)</f>
        <v>0</v>
      </c>
      <c r="BU31" s="7">
        <f>SUMIFS('Tong_hop_HQNV_2026Q1_2026-06-23'!$L:$L,'Tong_hop_HQNV_2026Q1_2026-06-23'!$B:$B, "="&amp;'CHECK_DT-BT_chi_tiet'!A31, 'Tong_hop_HQNV_2026Q1_2026-06-23'!$A:$A, "="&amp;$BU$2)</f>
        <v>0</v>
      </c>
    </row>
    <row r="32" spans="1:73" x14ac:dyDescent="0.25">
      <c r="A32" s="9" t="s">
        <v>312</v>
      </c>
      <c r="B32" t="s">
        <v>170</v>
      </c>
      <c r="C32" t="s">
        <v>103</v>
      </c>
      <c r="D32" s="7">
        <f>SUMIFS('Tong_hop_HQNV_2026Q1_2026-06-23'!$K:$K,'Tong_hop_HQNV_2026Q1_2026-06-23'!$A:$A,"="&amp;'CHECK_DT-BT_chi_tiet'!$D$2,'Tong_hop_HQNV_2026Q1_2026-06-23'!$B:$B, "="&amp;'CHECK_DT-BT_chi_tiet'!A32)</f>
        <v>1453737701</v>
      </c>
      <c r="E32" s="7">
        <f>SUMIFS('HQ1'!$C:$C,'HQ1'!$A:$A, "="&amp;'CHECK_DT-BT_chi_tiet'!C32,'HQ1'!$B:$B, "="&amp;'CHECK_DT-BT_chi_tiet'!$D$3)</f>
        <v>1453737701</v>
      </c>
      <c r="F32" s="7">
        <f t="shared" si="0"/>
        <v>0</v>
      </c>
      <c r="G32" s="7">
        <f>SUMIFS('Tong_hop_HQNV_2026Q1_2026-06-23'!$K:$K,'Tong_hop_HQNV_2026Q1_2026-06-23'!$A:$A,"="&amp;'CHECK_DT-BT_chi_tiet'!$G$2,'Tong_hop_HQNV_2026Q1_2026-06-23'!$B:$B, "="&amp;'CHECK_DT-BT_chi_tiet'!A32)</f>
        <v>7369200</v>
      </c>
      <c r="H32" s="7">
        <f>SUMIFS('HQ1'!$C:$C,'HQ1'!$A:$A, "="&amp;'CHECK_DT-BT_chi_tiet'!C32,'HQ1'!$B:$B, "="&amp;'CHECK_DT-BT_chi_tiet'!$G$3)</f>
        <v>7369200</v>
      </c>
      <c r="I32" s="7">
        <f t="shared" si="1"/>
        <v>0</v>
      </c>
      <c r="J32" s="7">
        <f>SUMIFS('Tong_hop_HQNV_2026Q1_2026-06-23'!$K:$K,'Tong_hop_HQNV_2026Q1_2026-06-23'!$A:$A,"="&amp;'CHECK_DT-BT_chi_tiet'!$J$2,'Tong_hop_HQNV_2026Q1_2026-06-23'!$B:$B, "="&amp;'CHECK_DT-BT_chi_tiet'!A32)</f>
        <v>2867675839</v>
      </c>
      <c r="K32" s="7">
        <f>SUMIFS('HQ1'!$C:$C,'HQ1'!$A:$A, "="&amp;'CHECK_DT-BT_chi_tiet'!C32,'HQ1'!$B:$B, "="&amp;'CHECK_DT-BT_chi_tiet'!$J$3)</f>
        <v>2867675839</v>
      </c>
      <c r="L32" s="7">
        <f t="shared" si="2"/>
        <v>0</v>
      </c>
      <c r="M32" s="7">
        <f>SUMIFS('Tong_hop_HQNV_2026Q1_2026-06-23'!$K:$K,'Tong_hop_HQNV_2026Q1_2026-06-23'!$A:$A,"="&amp;'CHECK_DT-BT_chi_tiet'!$M$2,'Tong_hop_HQNV_2026Q1_2026-06-23'!$B:$B, "="&amp;'CHECK_DT-BT_chi_tiet'!A32)</f>
        <v>296393650</v>
      </c>
      <c r="N32" s="7">
        <f>SUMIFS('HQ1'!$C:$C,'HQ1'!$A:$A, "="&amp;'CHECK_DT-BT_chi_tiet'!C32,'HQ1'!$B:$B, "="&amp;'CHECK_DT-BT_chi_tiet'!$M$3)</f>
        <v>296393650</v>
      </c>
      <c r="O32" s="7">
        <f t="shared" si="3"/>
        <v>0</v>
      </c>
      <c r="P32" s="7">
        <f>SUMIFS('Tong_hop_HQNV_2026Q1_2026-06-23'!$K:$K,'Tong_hop_HQNV_2026Q1_2026-06-23'!$A:$A,"="&amp;$P$2,'Tong_hop_HQNV_2026Q1_2026-06-23'!$B:$B, "="&amp;'CHECK_DT-BT_chi_tiet'!A32)</f>
        <v>89839613</v>
      </c>
      <c r="Q32" s="7">
        <f>SUMIFS('HQ2'!$C:$C,'HQ2'!$A:$A, "="&amp;'CHECK_DT-BT_chi_tiet'!C32,'HQ2'!$B:$B, "="&amp;'CHECK_DT-BT_chi_tiet'!$P$3)</f>
        <v>89839613</v>
      </c>
      <c r="R32" s="7">
        <f t="shared" si="4"/>
        <v>0</v>
      </c>
      <c r="S32" s="7">
        <f>SUMIFS('Tong_hop_HQNV_2026Q1_2026-06-23'!$K:$K,'Tong_hop_HQNV_2026Q1_2026-06-23'!$A:$A,"="&amp;$S$2,'Tong_hop_HQNV_2026Q1_2026-06-23'!$B:$B, "="&amp;'CHECK_DT-BT_chi_tiet'!A32)</f>
        <v>0</v>
      </c>
      <c r="T32" s="7">
        <f>SUMIFS('HQ2'!$C:$C,'HQ2'!$A:$A, "="&amp;'CHECK_DT-BT_chi_tiet'!C32,'HQ2'!$B:$B, "="&amp;'CHECK_DT-BT_chi_tiet'!$S$3)</f>
        <v>0</v>
      </c>
      <c r="U32" s="7">
        <f t="shared" si="5"/>
        <v>0</v>
      </c>
      <c r="V32" s="7">
        <f>SUMIFS('Tong_hop_HQNV_2026Q1_2026-06-23'!$K:$K,'Tong_hop_HQNV_2026Q1_2026-06-23'!$A:$A,"="&amp;$V$2,'Tong_hop_HQNV_2026Q1_2026-06-23'!$B:$B, "="&amp;'CHECK_DT-BT_chi_tiet'!A32)</f>
        <v>0</v>
      </c>
      <c r="W32" s="7">
        <f>SUMIFS('HQ2'!$C:$C,'HQ2'!$A:$A, "="&amp;'CHECK_DT-BT_chi_tiet'!C32,'HQ2'!$B:$B, "="&amp;'CHECK_DT-BT_chi_tiet'!$V$3)</f>
        <v>0</v>
      </c>
      <c r="X32" s="7">
        <f t="shared" si="6"/>
        <v>0</v>
      </c>
      <c r="Y32" s="7">
        <f>SUMIFS('Tong_hop_HQNV_2026Q1_2026-06-23'!$K:$K,'Tong_hop_HQNV_2026Q1_2026-06-23'!$A:$A,"="&amp;$Y$2,'Tong_hop_HQNV_2026Q1_2026-06-23'!$B:$B, "="&amp;'CHECK_DT-BT_chi_tiet'!A32)</f>
        <v>0</v>
      </c>
      <c r="Z32" s="7">
        <f>SUMIFS('HQ2'!$C:$C,'HQ2'!$A:$A, "="&amp;'CHECK_DT-BT_chi_tiet'!C32,'HQ2'!$B:$B, "="&amp;'CHECK_DT-BT_chi_tiet'!$Y$3)</f>
        <v>0</v>
      </c>
      <c r="AA32" s="7">
        <f t="shared" si="7"/>
        <v>0</v>
      </c>
      <c r="AB32" s="7">
        <f>SUMIFS('Tong_hop_HQNV_2026Q1_2026-06-23'!$K:$K,'Tong_hop_HQNV_2026Q1_2026-06-23'!$A:$A,"="&amp;$AB$2,'Tong_hop_HQNV_2026Q1_2026-06-23'!$B:$B, "="&amp;'CHECK_DT-BT_chi_tiet'!A32)</f>
        <v>1403146037</v>
      </c>
      <c r="AC32" s="7">
        <f>SUMIFS('HQ2'!$C:$C,'HQ2'!$A:$A, "="&amp;'CHECK_DT-BT_chi_tiet'!C32,'HQ2'!$B:$B, "="&amp;'CHECK_DT-BT_chi_tiet'!$AB$3)</f>
        <v>1403146037</v>
      </c>
      <c r="AD32" s="7">
        <f t="shared" si="8"/>
        <v>0</v>
      </c>
      <c r="AE32" s="7">
        <f>SUMIFS('Tong_hop_HQNV_2026Q1_2026-06-23'!$K:$K,'Tong_hop_HQNV_2026Q1_2026-06-23'!$A:$A,"="&amp;$AE$2,'Tong_hop_HQNV_2026Q1_2026-06-23'!$B:$B, "="&amp;'CHECK_DT-BT_chi_tiet'!A32)</f>
        <v>264919257</v>
      </c>
      <c r="AF32" s="7">
        <f>SUMIFS('HQ2'!$C:$C,'HQ2'!$A:$A, "="&amp;'CHECK_DT-BT_chi_tiet'!C32,'HQ2'!$B:$B, "="&amp;'CHECK_DT-BT_chi_tiet'!$AE$3)</f>
        <v>264919257</v>
      </c>
      <c r="AG32" s="7">
        <f t="shared" si="9"/>
        <v>0</v>
      </c>
      <c r="AH32" s="7">
        <f>SUMIFS('Tong_hop_HQNV_2026Q1_2026-06-23'!$K:$K,'Tong_hop_HQNV_2026Q1_2026-06-23'!$A:$A,"="&amp;$AH$2,'Tong_hop_HQNV_2026Q1_2026-06-23'!$B:$B, "="&amp;'CHECK_DT-BT_chi_tiet'!A32)</f>
        <v>0</v>
      </c>
      <c r="AI32" s="7">
        <f>SUMIFS('HQ2'!$C:$C,'HQ2'!$A:$A, "="&amp;'CHECK_DT-BT_chi_tiet'!C32,'HQ2'!$B:$B, "="&amp;'CHECK_DT-BT_chi_tiet'!$AH$3)</f>
        <v>0</v>
      </c>
      <c r="AJ32" s="7">
        <f t="shared" si="10"/>
        <v>0</v>
      </c>
      <c r="AK32" s="7">
        <f>SUMIFS('Tong_hop_HQNV_2026Q1_2026-06-23'!$K:$K,'Tong_hop_HQNV_2026Q1_2026-06-23'!$A:$A,"="&amp;$AK$2,'Tong_hop_HQNV_2026Q1_2026-06-23'!$B:$B, "="&amp;'CHECK_DT-BT_chi_tiet'!A32)</f>
        <v>0</v>
      </c>
      <c r="AL32" s="7">
        <f>SUMIFS('Tong_hop_HQNV_2026Q1_2026-06-23'!$K:$K,'Tong_hop_HQNV_2026Q1_2026-06-23'!$A:$A,"="&amp;$AL$2,'Tong_hop_HQNV_2026Q1_2026-06-23'!$B:$B, "="&amp;'CHECK_DT-BT_chi_tiet'!A32)</f>
        <v>0</v>
      </c>
      <c r="AM32" s="23">
        <f>SUMIFS('Tong_hop_HQNV_2026Q1_2026-06-23'!$L:$L,'Tong_hop_HQNV_2026Q1_2026-06-23'!$B:$B, "="&amp;'CHECK_DT-BT_chi_tiet'!A32, 'Tong_hop_HQNV_2026Q1_2026-06-23'!$A:$A, "="&amp;'CHECK_DT-BT_chi_tiet'!$AM$2)</f>
        <v>1860601385</v>
      </c>
      <c r="AN32" s="29">
        <f>SUMIFS('HQ1'!$D:$D,'HQ1'!$A:$A, "="&amp;'CHECK_DT-BT_chi_tiet'!C32,'HQ1'!$B:$B,"="&amp;'CHECK_DT-BT_chi_tiet'!$AM$3)</f>
        <v>1860601385</v>
      </c>
      <c r="AO32" s="29">
        <f t="shared" si="11"/>
        <v>0</v>
      </c>
      <c r="AP32" s="7">
        <f>SUMIFS('Tong_hop_HQNV_2026Q1_2026-06-23'!$L:$L,'Tong_hop_HQNV_2026Q1_2026-06-23'!$B:$B, "="&amp;'CHECK_DT-BT_chi_tiet'!A32, 'Tong_hop_HQNV_2026Q1_2026-06-23'!$A:$A, "="&amp;'CHECK_DT-BT_chi_tiet'!$AP$2)</f>
        <v>0</v>
      </c>
      <c r="AQ32" s="29">
        <f>SUMIFS('HQ1'!$D:$D,'HQ1'!$A:$A, "="&amp;'CHECK_DT-BT_chi_tiet'!C32,'HQ1'!$B:$B,"="&amp;'CHECK_DT-BT_chi_tiet'!$AP$3)</f>
        <v>0</v>
      </c>
      <c r="AR32" s="7">
        <f t="shared" si="12"/>
        <v>0</v>
      </c>
      <c r="AS32" s="7">
        <f>SUMIFS('Tong_hop_HQNV_2026Q1_2026-06-23'!$L:$L,'Tong_hop_HQNV_2026Q1_2026-06-23'!$B:$B, "="&amp;'CHECK_DT-BT_chi_tiet'!A32, 'Tong_hop_HQNV_2026Q1_2026-06-23'!$A:$A, "="&amp;'CHECK_DT-BT_chi_tiet'!$AS$2)</f>
        <v>911631199</v>
      </c>
      <c r="AT32" s="29">
        <f>SUMIFS('HQ1'!$D:$D,'HQ1'!$A:$A, "="&amp;'CHECK_DT-BT_chi_tiet'!C32,'HQ1'!$B:$B,"="&amp;'CHECK_DT-BT_chi_tiet'!$AS$3)</f>
        <v>911631199</v>
      </c>
      <c r="AU32" s="7">
        <f t="shared" si="13"/>
        <v>0</v>
      </c>
      <c r="AV32" s="7">
        <f>SUMIFS('Tong_hop_HQNV_2026Q1_2026-06-23'!$L:$L,'Tong_hop_HQNV_2026Q1_2026-06-23'!$B:$B, "="&amp;'CHECK_DT-BT_chi_tiet'!A32, 'Tong_hop_HQNV_2026Q1_2026-06-23'!$A:$A, "="&amp;'CHECK_DT-BT_chi_tiet'!$AV$2)</f>
        <v>70426236</v>
      </c>
      <c r="AW32" s="29">
        <f>SUMIFS('HQ1'!$D:$D,'HQ1'!$A:$A, "="&amp;'CHECK_DT-BT_chi_tiet'!C32,'HQ1'!$B:$B,"="&amp;'CHECK_DT-BT_chi_tiet'!$AV$3)</f>
        <v>70426236</v>
      </c>
      <c r="AX32" s="7">
        <f t="shared" si="14"/>
        <v>0</v>
      </c>
      <c r="AY32" s="7">
        <f>SUMIFS('Tong_hop_HQNV_2026Q1_2026-06-23'!$L:$L,'Tong_hop_HQNV_2026Q1_2026-06-23'!$B:$B, "="&amp;'CHECK_DT-BT_chi_tiet'!A32, 'Tong_hop_HQNV_2026Q1_2026-06-23'!$A:$A, "="&amp;$AY$2)</f>
        <v>0</v>
      </c>
      <c r="AZ32" s="29">
        <f>SUMIFS('HQ2'!$J:$J,'HQ2'!$A:$A, "="&amp;'CHECK_DT-BT_chi_tiet'!C32,'HQ2'!$B:$B,"="&amp;'CHECK_DT-BT_chi_tiet'!$AY$3)</f>
        <v>0</v>
      </c>
      <c r="BA32" s="7">
        <f t="shared" si="15"/>
        <v>0</v>
      </c>
      <c r="BB32" s="7">
        <f>SUMIFS('Tong_hop_HQNV_2026Q1_2026-06-23'!$L:$L,'Tong_hop_HQNV_2026Q1_2026-06-23'!$B:$B, "="&amp;'CHECK_DT-BT_chi_tiet'!A32, 'Tong_hop_HQNV_2026Q1_2026-06-23'!$A:$A, "="&amp;$BB$2)</f>
        <v>0</v>
      </c>
      <c r="BC32" s="29">
        <f>SUMIFS('HQ2'!$J:$J,'HQ2'!$A:$A, "="&amp;'CHECK_DT-BT_chi_tiet'!C32,'HQ2'!$B:$B,"="&amp;'CHECK_DT-BT_chi_tiet'!$BB$3)</f>
        <v>0</v>
      </c>
      <c r="BD32" s="7">
        <f t="shared" si="16"/>
        <v>0</v>
      </c>
      <c r="BE32" s="7">
        <f>SUMIFS('Tong_hop_HQNV_2026Q1_2026-06-23'!$L:$L,'Tong_hop_HQNV_2026Q1_2026-06-23'!$B:$B, "="&amp;'CHECK_DT-BT_chi_tiet'!A32, 'Tong_hop_HQNV_2026Q1_2026-06-23'!$A:$A, "="&amp;$BE$2)</f>
        <v>0</v>
      </c>
      <c r="BF32" s="29">
        <f>SUMIFS('HQ2'!$J:$J,'HQ2'!$A:$A, "="&amp;'CHECK_DT-BT_chi_tiet'!C32,'HQ2'!$B:$B,"="&amp;'CHECK_DT-BT_chi_tiet'!$BE$3)</f>
        <v>0</v>
      </c>
      <c r="BG32" s="7">
        <f t="shared" si="17"/>
        <v>0</v>
      </c>
      <c r="BH32" s="7">
        <f>SUMIFS('Tong_hop_HQNV_2026Q1_2026-06-23'!$L:$L,'Tong_hop_HQNV_2026Q1_2026-06-23'!$B:$B, "="&amp;'CHECK_DT-BT_chi_tiet'!A32, 'Tong_hop_HQNV_2026Q1_2026-06-23'!$A:$A, "="&amp;$BH$2)</f>
        <v>0</v>
      </c>
      <c r="BI32" s="29">
        <f>SUMIFS('HQ2'!$J:$J,'HQ2'!$A:$A, "="&amp;'CHECK_DT-BT_chi_tiet'!C32,'HQ2'!$B:$B,"="&amp;'CHECK_DT-BT_chi_tiet'!$BH$3)</f>
        <v>0</v>
      </c>
      <c r="BJ32" s="7">
        <f t="shared" si="18"/>
        <v>0</v>
      </c>
      <c r="BK32" s="7">
        <f>SUMIFS('Tong_hop_HQNV_2026Q1_2026-06-23'!$L:$L,'Tong_hop_HQNV_2026Q1_2026-06-23'!$B:$B, "="&amp;'CHECK_DT-BT_chi_tiet'!A32, 'Tong_hop_HQNV_2026Q1_2026-06-23'!$A:$A, "="&amp;$BK$2)</f>
        <v>345349248</v>
      </c>
      <c r="BL32" s="29">
        <f>SUMIFS('HQ2'!$J:$J,'HQ2'!$A:$A, "="&amp;'CHECK_DT-BT_chi_tiet'!C32,'HQ2'!$B:$B,"="&amp;'CHECK_DT-BT_chi_tiet'!$BK$3)</f>
        <v>345349248</v>
      </c>
      <c r="BM32" s="7">
        <f t="shared" si="19"/>
        <v>0</v>
      </c>
      <c r="BN32" s="7">
        <f>SUMIFS('Tong_hop_HQNV_2026Q1_2026-06-23'!$L:$L,'Tong_hop_HQNV_2026Q1_2026-06-23'!$B:$B, "="&amp;'CHECK_DT-BT_chi_tiet'!A32, 'Tong_hop_HQNV_2026Q1_2026-06-23'!$A:$A, "="&amp;$BN$2)</f>
        <v>0</v>
      </c>
      <c r="BO32" s="29">
        <f>SUMIFS('HQ2'!$J:$J,'HQ2'!$A:$A, "="&amp;'CHECK_DT-BT_chi_tiet'!C32,'HQ2'!$B:$B,"="&amp;'CHECK_DT-BT_chi_tiet'!$BN$3)</f>
        <v>0</v>
      </c>
      <c r="BP32" s="7">
        <f t="shared" si="20"/>
        <v>0</v>
      </c>
      <c r="BQ32" s="7">
        <f>SUMIFS('Tong_hop_HQNV_2026Q1_2026-06-23'!$L:$L,'Tong_hop_HQNV_2026Q1_2026-06-23'!$B:$B, "="&amp;'CHECK_DT-BT_chi_tiet'!A32, 'Tong_hop_HQNV_2026Q1_2026-06-23'!$A:$A, "="&amp;$BQ$2)</f>
        <v>0</v>
      </c>
      <c r="BR32" s="29">
        <f>SUMIFS('HQ2'!$J:$J,'HQ2'!$A:$A, "="&amp;'CHECK_DT-BT_chi_tiet'!C32,'HQ2'!$B:$B,"="&amp;'CHECK_DT-BT_chi_tiet'!$BQ$3)</f>
        <v>0</v>
      </c>
      <c r="BS32" s="7">
        <f t="shared" si="21"/>
        <v>0</v>
      </c>
      <c r="BT32" s="7">
        <f>SUMIFS('Tong_hop_HQNV_2026Q1_2026-06-23'!$L:$L,'Tong_hop_HQNV_2026Q1_2026-06-23'!$B:$B, "="&amp;'CHECK_DT-BT_chi_tiet'!A32, 'Tong_hop_HQNV_2026Q1_2026-06-23'!$A:$A, "="&amp;$BT$2)</f>
        <v>0</v>
      </c>
      <c r="BU32" s="7">
        <f>SUMIFS('Tong_hop_HQNV_2026Q1_2026-06-23'!$L:$L,'Tong_hop_HQNV_2026Q1_2026-06-23'!$B:$B, "="&amp;'CHECK_DT-BT_chi_tiet'!A32, 'Tong_hop_HQNV_2026Q1_2026-06-23'!$A:$A, "="&amp;$BU$2)</f>
        <v>0</v>
      </c>
    </row>
    <row r="33" spans="1:73" x14ac:dyDescent="0.25">
      <c r="A33" s="9" t="s">
        <v>313</v>
      </c>
      <c r="B33" t="s">
        <v>171</v>
      </c>
      <c r="C33" t="s">
        <v>53</v>
      </c>
      <c r="D33" s="7">
        <f>SUMIFS('Tong_hop_HQNV_2026Q1_2026-06-23'!$K:$K,'Tong_hop_HQNV_2026Q1_2026-06-23'!$A:$A,"="&amp;'CHECK_DT-BT_chi_tiet'!$D$2,'Tong_hop_HQNV_2026Q1_2026-06-23'!$B:$B, "="&amp;'CHECK_DT-BT_chi_tiet'!A33)</f>
        <v>8768150081</v>
      </c>
      <c r="E33" s="7">
        <f>SUMIFS('HQ1'!$C:$C,'HQ1'!$A:$A, "="&amp;'CHECK_DT-BT_chi_tiet'!C33,'HQ1'!$B:$B, "="&amp;'CHECK_DT-BT_chi_tiet'!$D$3)</f>
        <v>8731822781</v>
      </c>
      <c r="F33" s="7">
        <f t="shared" si="0"/>
        <v>36327300</v>
      </c>
      <c r="G33" s="7">
        <f>SUMIFS('Tong_hop_HQNV_2026Q1_2026-06-23'!$K:$K,'Tong_hop_HQNV_2026Q1_2026-06-23'!$A:$A,"="&amp;'CHECK_DT-BT_chi_tiet'!$G$2,'Tong_hop_HQNV_2026Q1_2026-06-23'!$B:$B, "="&amp;'CHECK_DT-BT_chi_tiet'!A33)</f>
        <v>2441329961</v>
      </c>
      <c r="H33" s="7">
        <f>SUMIFS('HQ1'!$C:$C,'HQ1'!$A:$A, "="&amp;'CHECK_DT-BT_chi_tiet'!C33,'HQ1'!$B:$B, "="&amp;'CHECK_DT-BT_chi_tiet'!$G$3)</f>
        <v>2441329961</v>
      </c>
      <c r="I33" s="7">
        <f t="shared" si="1"/>
        <v>0</v>
      </c>
      <c r="J33" s="7">
        <f>SUMIFS('Tong_hop_HQNV_2026Q1_2026-06-23'!$K:$K,'Tong_hop_HQNV_2026Q1_2026-06-23'!$A:$A,"="&amp;'CHECK_DT-BT_chi_tiet'!$J$2,'Tong_hop_HQNV_2026Q1_2026-06-23'!$B:$B, "="&amp;'CHECK_DT-BT_chi_tiet'!A33)</f>
        <v>18706732498</v>
      </c>
      <c r="K33" s="7">
        <f>SUMIFS('HQ1'!$C:$C,'HQ1'!$A:$A, "="&amp;'CHECK_DT-BT_chi_tiet'!C33,'HQ1'!$B:$B, "="&amp;'CHECK_DT-BT_chi_tiet'!$J$3)</f>
        <v>18696244498</v>
      </c>
      <c r="L33" s="7">
        <f t="shared" si="2"/>
        <v>10488000</v>
      </c>
      <c r="M33" s="7">
        <f>SUMIFS('Tong_hop_HQNV_2026Q1_2026-06-23'!$K:$K,'Tong_hop_HQNV_2026Q1_2026-06-23'!$A:$A,"="&amp;'CHECK_DT-BT_chi_tiet'!$M$2,'Tong_hop_HQNV_2026Q1_2026-06-23'!$B:$B, "="&amp;'CHECK_DT-BT_chi_tiet'!A33)</f>
        <v>64230731222</v>
      </c>
      <c r="N33" s="7">
        <f>SUMIFS('HQ1'!$C:$C,'HQ1'!$A:$A, "="&amp;'CHECK_DT-BT_chi_tiet'!C33,'HQ1'!$B:$B, "="&amp;'CHECK_DT-BT_chi_tiet'!$M$3)</f>
        <v>64267058522</v>
      </c>
      <c r="O33" s="7">
        <f t="shared" si="3"/>
        <v>-36327300</v>
      </c>
      <c r="P33" s="7">
        <f>SUMIFS('Tong_hop_HQNV_2026Q1_2026-06-23'!$K:$K,'Tong_hop_HQNV_2026Q1_2026-06-23'!$A:$A,"="&amp;$P$2,'Tong_hop_HQNV_2026Q1_2026-06-23'!$B:$B, "="&amp;'CHECK_DT-BT_chi_tiet'!A33)</f>
        <v>3807049372</v>
      </c>
      <c r="Q33" s="7">
        <f>SUMIFS('HQ2'!$C:$C,'HQ2'!$A:$A, "="&amp;'CHECK_DT-BT_chi_tiet'!C33,'HQ2'!$B:$B, "="&amp;'CHECK_DT-BT_chi_tiet'!$P$3)</f>
        <v>3807049372</v>
      </c>
      <c r="R33" s="7">
        <f t="shared" si="4"/>
        <v>0</v>
      </c>
      <c r="S33" s="7">
        <f>SUMIFS('Tong_hop_HQNV_2026Q1_2026-06-23'!$K:$K,'Tong_hop_HQNV_2026Q1_2026-06-23'!$A:$A,"="&amp;$S$2,'Tong_hop_HQNV_2026Q1_2026-06-23'!$B:$B, "="&amp;'CHECK_DT-BT_chi_tiet'!A33)</f>
        <v>681611013</v>
      </c>
      <c r="T33" s="7">
        <f>SUMIFS('HQ2'!$C:$C,'HQ2'!$A:$A, "="&amp;'CHECK_DT-BT_chi_tiet'!C33,'HQ2'!$B:$B, "="&amp;'CHECK_DT-BT_chi_tiet'!$S$3)</f>
        <v>681611013</v>
      </c>
      <c r="U33" s="7">
        <f t="shared" si="5"/>
        <v>0</v>
      </c>
      <c r="V33" s="7">
        <f>SUMIFS('Tong_hop_HQNV_2026Q1_2026-06-23'!$K:$K,'Tong_hop_HQNV_2026Q1_2026-06-23'!$A:$A,"="&amp;$V$2,'Tong_hop_HQNV_2026Q1_2026-06-23'!$B:$B, "="&amp;'CHECK_DT-BT_chi_tiet'!A33)</f>
        <v>158980801</v>
      </c>
      <c r="W33" s="7">
        <f>SUMIFS('HQ2'!$C:$C,'HQ2'!$A:$A, "="&amp;'CHECK_DT-BT_chi_tiet'!C33,'HQ2'!$B:$B, "="&amp;'CHECK_DT-BT_chi_tiet'!$V$3)</f>
        <v>158980801</v>
      </c>
      <c r="X33" s="7">
        <f t="shared" si="6"/>
        <v>0</v>
      </c>
      <c r="Y33" s="7">
        <f>SUMIFS('Tong_hop_HQNV_2026Q1_2026-06-23'!$K:$K,'Tong_hop_HQNV_2026Q1_2026-06-23'!$A:$A,"="&amp;$Y$2,'Tong_hop_HQNV_2026Q1_2026-06-23'!$B:$B, "="&amp;'CHECK_DT-BT_chi_tiet'!A33)</f>
        <v>0</v>
      </c>
      <c r="Z33" s="7">
        <f>SUMIFS('HQ2'!$C:$C,'HQ2'!$A:$A, "="&amp;'CHECK_DT-BT_chi_tiet'!C33,'HQ2'!$B:$B, "="&amp;'CHECK_DT-BT_chi_tiet'!$Y$3)</f>
        <v>0</v>
      </c>
      <c r="AA33" s="7">
        <f t="shared" si="7"/>
        <v>0</v>
      </c>
      <c r="AB33" s="7">
        <f>SUMIFS('Tong_hop_HQNV_2026Q1_2026-06-23'!$K:$K,'Tong_hop_HQNV_2026Q1_2026-06-23'!$A:$A,"="&amp;$AB$2,'Tong_hop_HQNV_2026Q1_2026-06-23'!$B:$B, "="&amp;'CHECK_DT-BT_chi_tiet'!A33)</f>
        <v>9050938257</v>
      </c>
      <c r="AC33" s="7">
        <f>SUMIFS('HQ2'!$C:$C,'HQ2'!$A:$A, "="&amp;'CHECK_DT-BT_chi_tiet'!C33,'HQ2'!$B:$B, "="&amp;'CHECK_DT-BT_chi_tiet'!$AB$3)</f>
        <v>9050938257</v>
      </c>
      <c r="AD33" s="7">
        <f t="shared" si="8"/>
        <v>0</v>
      </c>
      <c r="AE33" s="7">
        <f>SUMIFS('Tong_hop_HQNV_2026Q1_2026-06-23'!$K:$K,'Tong_hop_HQNV_2026Q1_2026-06-23'!$A:$A,"="&amp;$AE$2,'Tong_hop_HQNV_2026Q1_2026-06-23'!$B:$B, "="&amp;'CHECK_DT-BT_chi_tiet'!A33)</f>
        <v>4814977238</v>
      </c>
      <c r="AF33" s="7">
        <f>SUMIFS('HQ2'!$C:$C,'HQ2'!$A:$A, "="&amp;'CHECK_DT-BT_chi_tiet'!C33,'HQ2'!$B:$B, "="&amp;'CHECK_DT-BT_chi_tiet'!$AE$3)</f>
        <v>4814977238</v>
      </c>
      <c r="AG33" s="7">
        <f t="shared" si="9"/>
        <v>0</v>
      </c>
      <c r="AH33" s="7">
        <f>SUMIFS('Tong_hop_HQNV_2026Q1_2026-06-23'!$K:$K,'Tong_hop_HQNV_2026Q1_2026-06-23'!$A:$A,"="&amp;$AH$2,'Tong_hop_HQNV_2026Q1_2026-06-23'!$B:$B, "="&amp;'CHECK_DT-BT_chi_tiet'!A33)</f>
        <v>2600496532</v>
      </c>
      <c r="AI33" s="7">
        <f>SUMIFS('HQ2'!$C:$C,'HQ2'!$A:$A, "="&amp;'CHECK_DT-BT_chi_tiet'!C33,'HQ2'!$B:$B, "="&amp;'CHECK_DT-BT_chi_tiet'!$AH$3)</f>
        <v>2600496532</v>
      </c>
      <c r="AJ33" s="7">
        <f t="shared" si="10"/>
        <v>0</v>
      </c>
      <c r="AK33" s="7">
        <f>SUMIFS('Tong_hop_HQNV_2026Q1_2026-06-23'!$K:$K,'Tong_hop_HQNV_2026Q1_2026-06-23'!$A:$A,"="&amp;$AK$2,'Tong_hop_HQNV_2026Q1_2026-06-23'!$B:$B, "="&amp;'CHECK_DT-BT_chi_tiet'!A33)</f>
        <v>99305040</v>
      </c>
      <c r="AL33" s="7">
        <f>SUMIFS('Tong_hop_HQNV_2026Q1_2026-06-23'!$K:$K,'Tong_hop_HQNV_2026Q1_2026-06-23'!$A:$A,"="&amp;$AL$2,'Tong_hop_HQNV_2026Q1_2026-06-23'!$B:$B, "="&amp;'CHECK_DT-BT_chi_tiet'!A33)</f>
        <v>0</v>
      </c>
      <c r="AM33" s="23">
        <f>SUMIFS('Tong_hop_HQNV_2026Q1_2026-06-23'!$L:$L,'Tong_hop_HQNV_2026Q1_2026-06-23'!$B:$B, "="&amp;'CHECK_DT-BT_chi_tiet'!A33, 'Tong_hop_HQNV_2026Q1_2026-06-23'!$A:$A, "="&amp;'CHECK_DT-BT_chi_tiet'!$AM$2)</f>
        <v>2080072600</v>
      </c>
      <c r="AN33" s="29">
        <f>SUMIFS('HQ1'!$D:$D,'HQ1'!$A:$A, "="&amp;'CHECK_DT-BT_chi_tiet'!C33,'HQ1'!$B:$B,"="&amp;'CHECK_DT-BT_chi_tiet'!$AM$3)</f>
        <v>2080072600</v>
      </c>
      <c r="AO33" s="29">
        <f t="shared" si="11"/>
        <v>0</v>
      </c>
      <c r="AP33" s="7">
        <f>SUMIFS('Tong_hop_HQNV_2026Q1_2026-06-23'!$L:$L,'Tong_hop_HQNV_2026Q1_2026-06-23'!$B:$B, "="&amp;'CHECK_DT-BT_chi_tiet'!A33, 'Tong_hop_HQNV_2026Q1_2026-06-23'!$A:$A, "="&amp;'CHECK_DT-BT_chi_tiet'!$AP$2)</f>
        <v>145570773</v>
      </c>
      <c r="AQ33" s="29">
        <f>SUMIFS('HQ1'!$D:$D,'HQ1'!$A:$A, "="&amp;'CHECK_DT-BT_chi_tiet'!C33,'HQ1'!$B:$B,"="&amp;'CHECK_DT-BT_chi_tiet'!$AP$3)</f>
        <v>145570773</v>
      </c>
      <c r="AR33" s="7">
        <f t="shared" si="12"/>
        <v>0</v>
      </c>
      <c r="AS33" s="7">
        <f>SUMIFS('Tong_hop_HQNV_2026Q1_2026-06-23'!$L:$L,'Tong_hop_HQNV_2026Q1_2026-06-23'!$B:$B, "="&amp;'CHECK_DT-BT_chi_tiet'!A33, 'Tong_hop_HQNV_2026Q1_2026-06-23'!$A:$A, "="&amp;'CHECK_DT-BT_chi_tiet'!$AS$2)</f>
        <v>6016628942</v>
      </c>
      <c r="AT33" s="29">
        <f>SUMIFS('HQ1'!$D:$D,'HQ1'!$A:$A, "="&amp;'CHECK_DT-BT_chi_tiet'!C33,'HQ1'!$B:$B,"="&amp;'CHECK_DT-BT_chi_tiet'!$AS$3)</f>
        <v>6016628942</v>
      </c>
      <c r="AU33" s="7">
        <f t="shared" si="13"/>
        <v>0</v>
      </c>
      <c r="AV33" s="7">
        <f>SUMIFS('Tong_hop_HQNV_2026Q1_2026-06-23'!$L:$L,'Tong_hop_HQNV_2026Q1_2026-06-23'!$B:$B, "="&amp;'CHECK_DT-BT_chi_tiet'!A33, 'Tong_hop_HQNV_2026Q1_2026-06-23'!$A:$A, "="&amp;'CHECK_DT-BT_chi_tiet'!$AV$2)</f>
        <v>26280758461</v>
      </c>
      <c r="AW33" s="29">
        <f>SUMIFS('HQ1'!$D:$D,'HQ1'!$A:$A, "="&amp;'CHECK_DT-BT_chi_tiet'!C33,'HQ1'!$B:$B,"="&amp;'CHECK_DT-BT_chi_tiet'!$AV$3)</f>
        <v>26280758461</v>
      </c>
      <c r="AX33" s="7">
        <f t="shared" si="14"/>
        <v>0</v>
      </c>
      <c r="AY33" s="7">
        <f>SUMIFS('Tong_hop_HQNV_2026Q1_2026-06-23'!$L:$L,'Tong_hop_HQNV_2026Q1_2026-06-23'!$B:$B, "="&amp;'CHECK_DT-BT_chi_tiet'!A33, 'Tong_hop_HQNV_2026Q1_2026-06-23'!$A:$A, "="&amp;$AY$2)</f>
        <v>24820028</v>
      </c>
      <c r="AZ33" s="29">
        <f>SUMIFS('HQ2'!$J:$J,'HQ2'!$A:$A, "="&amp;'CHECK_DT-BT_chi_tiet'!C33,'HQ2'!$B:$B,"="&amp;'CHECK_DT-BT_chi_tiet'!$AY$3)</f>
        <v>24820028</v>
      </c>
      <c r="BA33" s="7">
        <f t="shared" si="15"/>
        <v>0</v>
      </c>
      <c r="BB33" s="7">
        <f>SUMIFS('Tong_hop_HQNV_2026Q1_2026-06-23'!$L:$L,'Tong_hop_HQNV_2026Q1_2026-06-23'!$B:$B, "="&amp;'CHECK_DT-BT_chi_tiet'!A33, 'Tong_hop_HQNV_2026Q1_2026-06-23'!$A:$A, "="&amp;$BB$2)</f>
        <v>0</v>
      </c>
      <c r="BC33" s="29">
        <f>SUMIFS('HQ2'!$J:$J,'HQ2'!$A:$A, "="&amp;'CHECK_DT-BT_chi_tiet'!C33,'HQ2'!$B:$B,"="&amp;'CHECK_DT-BT_chi_tiet'!$BB$3)</f>
        <v>0</v>
      </c>
      <c r="BD33" s="7">
        <f t="shared" si="16"/>
        <v>0</v>
      </c>
      <c r="BE33" s="7">
        <f>SUMIFS('Tong_hop_HQNV_2026Q1_2026-06-23'!$L:$L,'Tong_hop_HQNV_2026Q1_2026-06-23'!$B:$B, "="&amp;'CHECK_DT-BT_chi_tiet'!A33, 'Tong_hop_HQNV_2026Q1_2026-06-23'!$A:$A, "="&amp;$BE$2)</f>
        <v>0</v>
      </c>
      <c r="BF33" s="29">
        <f>SUMIFS('HQ2'!$J:$J,'HQ2'!$A:$A, "="&amp;'CHECK_DT-BT_chi_tiet'!C33,'HQ2'!$B:$B,"="&amp;'CHECK_DT-BT_chi_tiet'!$BE$3)</f>
        <v>0</v>
      </c>
      <c r="BG33" s="7">
        <f t="shared" si="17"/>
        <v>0</v>
      </c>
      <c r="BH33" s="7">
        <f>SUMIFS('Tong_hop_HQNV_2026Q1_2026-06-23'!$L:$L,'Tong_hop_HQNV_2026Q1_2026-06-23'!$B:$B, "="&amp;'CHECK_DT-BT_chi_tiet'!A33, 'Tong_hop_HQNV_2026Q1_2026-06-23'!$A:$A, "="&amp;$BH$2)</f>
        <v>0</v>
      </c>
      <c r="BI33" s="29">
        <f>SUMIFS('HQ2'!$J:$J,'HQ2'!$A:$A, "="&amp;'CHECK_DT-BT_chi_tiet'!C33,'HQ2'!$B:$B,"="&amp;'CHECK_DT-BT_chi_tiet'!$BH$3)</f>
        <v>0</v>
      </c>
      <c r="BJ33" s="7">
        <f t="shared" si="18"/>
        <v>0</v>
      </c>
      <c r="BK33" s="7">
        <f>SUMIFS('Tong_hop_HQNV_2026Q1_2026-06-23'!$L:$L,'Tong_hop_HQNV_2026Q1_2026-06-23'!$B:$B, "="&amp;'CHECK_DT-BT_chi_tiet'!A33, 'Tong_hop_HQNV_2026Q1_2026-06-23'!$A:$A, "="&amp;$BK$2)</f>
        <v>696746876</v>
      </c>
      <c r="BL33" s="29">
        <f>SUMIFS('HQ2'!$J:$J,'HQ2'!$A:$A, "="&amp;'CHECK_DT-BT_chi_tiet'!C33,'HQ2'!$B:$B,"="&amp;'CHECK_DT-BT_chi_tiet'!$BK$3)</f>
        <v>693284331</v>
      </c>
      <c r="BM33" s="7">
        <f t="shared" si="19"/>
        <v>3462545</v>
      </c>
      <c r="BN33" s="7">
        <f>SUMIFS('Tong_hop_HQNV_2026Q1_2026-06-23'!$L:$L,'Tong_hop_HQNV_2026Q1_2026-06-23'!$B:$B, "="&amp;'CHECK_DT-BT_chi_tiet'!A33, 'Tong_hop_HQNV_2026Q1_2026-06-23'!$A:$A, "="&amp;$BN$2)</f>
        <v>1246311193</v>
      </c>
      <c r="BO33" s="29">
        <f>SUMIFS('HQ2'!$J:$J,'HQ2'!$A:$A, "="&amp;'CHECK_DT-BT_chi_tiet'!C33,'HQ2'!$B:$B,"="&amp;'CHECK_DT-BT_chi_tiet'!$BN$3)</f>
        <v>1246311193</v>
      </c>
      <c r="BP33" s="7">
        <f t="shared" si="20"/>
        <v>0</v>
      </c>
      <c r="BQ33" s="7">
        <f>SUMIFS('Tong_hop_HQNV_2026Q1_2026-06-23'!$L:$L,'Tong_hop_HQNV_2026Q1_2026-06-23'!$B:$B, "="&amp;'CHECK_DT-BT_chi_tiet'!A33, 'Tong_hop_HQNV_2026Q1_2026-06-23'!$A:$A, "="&amp;$BQ$2)</f>
        <v>0</v>
      </c>
      <c r="BR33" s="29">
        <f>SUMIFS('HQ2'!$J:$J,'HQ2'!$A:$A, "="&amp;'CHECK_DT-BT_chi_tiet'!C33,'HQ2'!$B:$B,"="&amp;'CHECK_DT-BT_chi_tiet'!$BQ$3)</f>
        <v>0</v>
      </c>
      <c r="BS33" s="7">
        <f t="shared" si="21"/>
        <v>0</v>
      </c>
      <c r="BT33" s="7">
        <f>SUMIFS('Tong_hop_HQNV_2026Q1_2026-06-23'!$L:$L,'Tong_hop_HQNV_2026Q1_2026-06-23'!$B:$B, "="&amp;'CHECK_DT-BT_chi_tiet'!A33, 'Tong_hop_HQNV_2026Q1_2026-06-23'!$A:$A, "="&amp;$BT$2)</f>
        <v>0</v>
      </c>
      <c r="BU33" s="7">
        <f>SUMIFS('Tong_hop_HQNV_2026Q1_2026-06-23'!$L:$L,'Tong_hop_HQNV_2026Q1_2026-06-23'!$B:$B, "="&amp;'CHECK_DT-BT_chi_tiet'!A33, 'Tong_hop_HQNV_2026Q1_2026-06-23'!$A:$A, "="&amp;$BU$2)</f>
        <v>0</v>
      </c>
    </row>
    <row r="34" spans="1:73" x14ac:dyDescent="0.25">
      <c r="A34" s="9" t="s">
        <v>314</v>
      </c>
      <c r="B34" t="s">
        <v>172</v>
      </c>
      <c r="C34" t="s">
        <v>64</v>
      </c>
      <c r="D34" s="7">
        <f>SUMIFS('Tong_hop_HQNV_2026Q1_2026-06-23'!$K:$K,'Tong_hop_HQNV_2026Q1_2026-06-23'!$A:$A,"="&amp;'CHECK_DT-BT_chi_tiet'!$D$2,'Tong_hop_HQNV_2026Q1_2026-06-23'!$B:$B, "="&amp;'CHECK_DT-BT_chi_tiet'!A34)</f>
        <v>2295507599</v>
      </c>
      <c r="E34" s="7">
        <f>SUMIFS('HQ1'!$C:$C,'HQ1'!$A:$A, "="&amp;'CHECK_DT-BT_chi_tiet'!C34,'HQ1'!$B:$B, "="&amp;'CHECK_DT-BT_chi_tiet'!$D$3)</f>
        <v>2295507599</v>
      </c>
      <c r="F34" s="7">
        <f t="shared" si="0"/>
        <v>0</v>
      </c>
      <c r="G34" s="7">
        <f>SUMIFS('Tong_hop_HQNV_2026Q1_2026-06-23'!$K:$K,'Tong_hop_HQNV_2026Q1_2026-06-23'!$A:$A,"="&amp;'CHECK_DT-BT_chi_tiet'!$G$2,'Tong_hop_HQNV_2026Q1_2026-06-23'!$B:$B, "="&amp;'CHECK_DT-BT_chi_tiet'!A34)</f>
        <v>577883100</v>
      </c>
      <c r="H34" s="7">
        <f>SUMIFS('HQ1'!$C:$C,'HQ1'!$A:$A, "="&amp;'CHECK_DT-BT_chi_tiet'!C34,'HQ1'!$B:$B, "="&amp;'CHECK_DT-BT_chi_tiet'!$G$3)</f>
        <v>577883100</v>
      </c>
      <c r="I34" s="7">
        <f t="shared" si="1"/>
        <v>0</v>
      </c>
      <c r="J34" s="7">
        <f>SUMIFS('Tong_hop_HQNV_2026Q1_2026-06-23'!$K:$K,'Tong_hop_HQNV_2026Q1_2026-06-23'!$A:$A,"="&amp;'CHECK_DT-BT_chi_tiet'!$J$2,'Tong_hop_HQNV_2026Q1_2026-06-23'!$B:$B, "="&amp;'CHECK_DT-BT_chi_tiet'!A34)</f>
        <v>23082371675</v>
      </c>
      <c r="K34" s="7">
        <f>SUMIFS('HQ1'!$C:$C,'HQ1'!$A:$A, "="&amp;'CHECK_DT-BT_chi_tiet'!C34,'HQ1'!$B:$B, "="&amp;'CHECK_DT-BT_chi_tiet'!$J$3)</f>
        <v>23082371675</v>
      </c>
      <c r="L34" s="7">
        <f t="shared" si="2"/>
        <v>0</v>
      </c>
      <c r="M34" s="7">
        <f>SUMIFS('Tong_hop_HQNV_2026Q1_2026-06-23'!$K:$K,'Tong_hop_HQNV_2026Q1_2026-06-23'!$A:$A,"="&amp;'CHECK_DT-BT_chi_tiet'!$M$2,'Tong_hop_HQNV_2026Q1_2026-06-23'!$B:$B, "="&amp;'CHECK_DT-BT_chi_tiet'!A34)</f>
        <v>95012610470</v>
      </c>
      <c r="N34" s="7">
        <f>SUMIFS('HQ1'!$C:$C,'HQ1'!$A:$A, "="&amp;'CHECK_DT-BT_chi_tiet'!C34,'HQ1'!$B:$B, "="&amp;'CHECK_DT-BT_chi_tiet'!$M$3)</f>
        <v>95012610470</v>
      </c>
      <c r="O34" s="7">
        <f t="shared" si="3"/>
        <v>0</v>
      </c>
      <c r="P34" s="7">
        <f>SUMIFS('Tong_hop_HQNV_2026Q1_2026-06-23'!$K:$K,'Tong_hop_HQNV_2026Q1_2026-06-23'!$A:$A,"="&amp;$P$2,'Tong_hop_HQNV_2026Q1_2026-06-23'!$B:$B, "="&amp;'CHECK_DT-BT_chi_tiet'!A34)</f>
        <v>893584116</v>
      </c>
      <c r="Q34" s="7">
        <f>SUMIFS('HQ2'!$C:$C,'HQ2'!$A:$A, "="&amp;'CHECK_DT-BT_chi_tiet'!C34,'HQ2'!$B:$B, "="&amp;'CHECK_DT-BT_chi_tiet'!$P$3)</f>
        <v>893584116</v>
      </c>
      <c r="R34" s="7">
        <f t="shared" si="4"/>
        <v>0</v>
      </c>
      <c r="S34" s="7">
        <f>SUMIFS('Tong_hop_HQNV_2026Q1_2026-06-23'!$K:$K,'Tong_hop_HQNV_2026Q1_2026-06-23'!$A:$A,"="&amp;$S$2,'Tong_hop_HQNV_2026Q1_2026-06-23'!$B:$B, "="&amp;'CHECK_DT-BT_chi_tiet'!A34)</f>
        <v>835112932</v>
      </c>
      <c r="T34" s="7">
        <f>SUMIFS('HQ2'!$C:$C,'HQ2'!$A:$A, "="&amp;'CHECK_DT-BT_chi_tiet'!C34,'HQ2'!$B:$B, "="&amp;'CHECK_DT-BT_chi_tiet'!$S$3)</f>
        <v>835112932</v>
      </c>
      <c r="U34" s="7">
        <f t="shared" si="5"/>
        <v>0</v>
      </c>
      <c r="V34" s="7">
        <f>SUMIFS('Tong_hop_HQNV_2026Q1_2026-06-23'!$K:$K,'Tong_hop_HQNV_2026Q1_2026-06-23'!$A:$A,"="&amp;$V$2,'Tong_hop_HQNV_2026Q1_2026-06-23'!$B:$B, "="&amp;'CHECK_DT-BT_chi_tiet'!A34)</f>
        <v>131712000</v>
      </c>
      <c r="W34" s="7">
        <f>SUMIFS('HQ2'!$C:$C,'HQ2'!$A:$A, "="&amp;'CHECK_DT-BT_chi_tiet'!C34,'HQ2'!$B:$B, "="&amp;'CHECK_DT-BT_chi_tiet'!$V$3)</f>
        <v>864902104</v>
      </c>
      <c r="X34" s="7">
        <f t="shared" si="6"/>
        <v>-733190104</v>
      </c>
      <c r="Y34" s="7">
        <f>SUMIFS('Tong_hop_HQNV_2026Q1_2026-06-23'!$K:$K,'Tong_hop_HQNV_2026Q1_2026-06-23'!$A:$A,"="&amp;$Y$2,'Tong_hop_HQNV_2026Q1_2026-06-23'!$B:$B, "="&amp;'CHECK_DT-BT_chi_tiet'!A34)</f>
        <v>459543129</v>
      </c>
      <c r="Z34" s="7">
        <f>SUMIFS('HQ2'!$C:$C,'HQ2'!$A:$A, "="&amp;'CHECK_DT-BT_chi_tiet'!C34,'HQ2'!$B:$B, "="&amp;'CHECK_DT-BT_chi_tiet'!$Y$3)</f>
        <v>459543129</v>
      </c>
      <c r="AA34" s="7">
        <f t="shared" si="7"/>
        <v>0</v>
      </c>
      <c r="AB34" s="7">
        <f>SUMIFS('Tong_hop_HQNV_2026Q1_2026-06-23'!$K:$K,'Tong_hop_HQNV_2026Q1_2026-06-23'!$A:$A,"="&amp;$AB$2,'Tong_hop_HQNV_2026Q1_2026-06-23'!$B:$B, "="&amp;'CHECK_DT-BT_chi_tiet'!A34)</f>
        <v>5990669380</v>
      </c>
      <c r="AC34" s="7">
        <f>SUMIFS('HQ2'!$C:$C,'HQ2'!$A:$A, "="&amp;'CHECK_DT-BT_chi_tiet'!C34,'HQ2'!$B:$B, "="&amp;'CHECK_DT-BT_chi_tiet'!$AB$3)</f>
        <v>5990669380</v>
      </c>
      <c r="AD34" s="7">
        <f t="shared" si="8"/>
        <v>0</v>
      </c>
      <c r="AE34" s="7">
        <f>SUMIFS('Tong_hop_HQNV_2026Q1_2026-06-23'!$K:$K,'Tong_hop_HQNV_2026Q1_2026-06-23'!$A:$A,"="&amp;$AE$2,'Tong_hop_HQNV_2026Q1_2026-06-23'!$B:$B, "="&amp;'CHECK_DT-BT_chi_tiet'!A34)</f>
        <v>464803381</v>
      </c>
      <c r="AF34" s="7">
        <f>SUMIFS('HQ2'!$C:$C,'HQ2'!$A:$A, "="&amp;'CHECK_DT-BT_chi_tiet'!C34,'HQ2'!$B:$B, "="&amp;'CHECK_DT-BT_chi_tiet'!$AE$3)</f>
        <v>464803381</v>
      </c>
      <c r="AG34" s="7">
        <f t="shared" si="9"/>
        <v>0</v>
      </c>
      <c r="AH34" s="7">
        <f>SUMIFS('Tong_hop_HQNV_2026Q1_2026-06-23'!$K:$K,'Tong_hop_HQNV_2026Q1_2026-06-23'!$A:$A,"="&amp;$AH$2,'Tong_hop_HQNV_2026Q1_2026-06-23'!$B:$B, "="&amp;'CHECK_DT-BT_chi_tiet'!A34)</f>
        <v>1537942969</v>
      </c>
      <c r="AI34" s="7">
        <f>SUMIFS('HQ2'!$C:$C,'HQ2'!$A:$A, "="&amp;'CHECK_DT-BT_chi_tiet'!C34,'HQ2'!$B:$B, "="&amp;'CHECK_DT-BT_chi_tiet'!$AH$3)</f>
        <v>1537942969</v>
      </c>
      <c r="AJ34" s="7">
        <f t="shared" si="10"/>
        <v>0</v>
      </c>
      <c r="AK34" s="7">
        <f>SUMIFS('Tong_hop_HQNV_2026Q1_2026-06-23'!$K:$K,'Tong_hop_HQNV_2026Q1_2026-06-23'!$A:$A,"="&amp;$AK$2,'Tong_hop_HQNV_2026Q1_2026-06-23'!$B:$B, "="&amp;'CHECK_DT-BT_chi_tiet'!A34)</f>
        <v>0</v>
      </c>
      <c r="AL34" s="7">
        <f>SUMIFS('Tong_hop_HQNV_2026Q1_2026-06-23'!$K:$K,'Tong_hop_HQNV_2026Q1_2026-06-23'!$A:$A,"="&amp;$AL$2,'Tong_hop_HQNV_2026Q1_2026-06-23'!$B:$B, "="&amp;'CHECK_DT-BT_chi_tiet'!A34)</f>
        <v>0</v>
      </c>
      <c r="AM34" s="23">
        <f>SUMIFS('Tong_hop_HQNV_2026Q1_2026-06-23'!$L:$L,'Tong_hop_HQNV_2026Q1_2026-06-23'!$B:$B, "="&amp;'CHECK_DT-BT_chi_tiet'!A34, 'Tong_hop_HQNV_2026Q1_2026-06-23'!$A:$A, "="&amp;'CHECK_DT-BT_chi_tiet'!$AM$2)</f>
        <v>609496000</v>
      </c>
      <c r="AN34" s="29">
        <f>SUMIFS('HQ1'!$D:$D,'HQ1'!$A:$A, "="&amp;'CHECK_DT-BT_chi_tiet'!C34,'HQ1'!$B:$B,"="&amp;'CHECK_DT-BT_chi_tiet'!$AM$3)</f>
        <v>607996000</v>
      </c>
      <c r="AO34" s="29">
        <f t="shared" si="11"/>
        <v>1500000</v>
      </c>
      <c r="AP34" s="7">
        <f>SUMIFS('Tong_hop_HQNV_2026Q1_2026-06-23'!$L:$L,'Tong_hop_HQNV_2026Q1_2026-06-23'!$B:$B, "="&amp;'CHECK_DT-BT_chi_tiet'!A34, 'Tong_hop_HQNV_2026Q1_2026-06-23'!$A:$A, "="&amp;'CHECK_DT-BT_chi_tiet'!$AP$2)</f>
        <v>6333532</v>
      </c>
      <c r="AQ34" s="29">
        <f>SUMIFS('HQ1'!$D:$D,'HQ1'!$A:$A, "="&amp;'CHECK_DT-BT_chi_tiet'!C34,'HQ1'!$B:$B,"="&amp;'CHECK_DT-BT_chi_tiet'!$AP$3)</f>
        <v>6333532</v>
      </c>
      <c r="AR34" s="7">
        <f t="shared" si="12"/>
        <v>0</v>
      </c>
      <c r="AS34" s="7">
        <f>SUMIFS('Tong_hop_HQNV_2026Q1_2026-06-23'!$L:$L,'Tong_hop_HQNV_2026Q1_2026-06-23'!$B:$B, "="&amp;'CHECK_DT-BT_chi_tiet'!A34, 'Tong_hop_HQNV_2026Q1_2026-06-23'!$A:$A, "="&amp;'CHECK_DT-BT_chi_tiet'!$AS$2)</f>
        <v>7562221263</v>
      </c>
      <c r="AT34" s="29">
        <f>SUMIFS('HQ1'!$D:$D,'HQ1'!$A:$A, "="&amp;'CHECK_DT-BT_chi_tiet'!C34,'HQ1'!$B:$B,"="&amp;'CHECK_DT-BT_chi_tiet'!$AS$3)</f>
        <v>7563721263</v>
      </c>
      <c r="AU34" s="7">
        <f t="shared" si="13"/>
        <v>-1500000</v>
      </c>
      <c r="AV34" s="7">
        <f>SUMIFS('Tong_hop_HQNV_2026Q1_2026-06-23'!$L:$L,'Tong_hop_HQNV_2026Q1_2026-06-23'!$B:$B, "="&amp;'CHECK_DT-BT_chi_tiet'!A34, 'Tong_hop_HQNV_2026Q1_2026-06-23'!$A:$A, "="&amp;'CHECK_DT-BT_chi_tiet'!$AV$2)</f>
        <v>27951615684</v>
      </c>
      <c r="AW34" s="29">
        <f>SUMIFS('HQ1'!$D:$D,'HQ1'!$A:$A, "="&amp;'CHECK_DT-BT_chi_tiet'!C34,'HQ1'!$B:$B,"="&amp;'CHECK_DT-BT_chi_tiet'!$AV$3)</f>
        <v>27951615684</v>
      </c>
      <c r="AX34" s="7">
        <f t="shared" si="14"/>
        <v>0</v>
      </c>
      <c r="AY34" s="7">
        <f>SUMIFS('Tong_hop_HQNV_2026Q1_2026-06-23'!$L:$L,'Tong_hop_HQNV_2026Q1_2026-06-23'!$B:$B, "="&amp;'CHECK_DT-BT_chi_tiet'!A34, 'Tong_hop_HQNV_2026Q1_2026-06-23'!$A:$A, "="&amp;$AY$2)</f>
        <v>105727</v>
      </c>
      <c r="AZ34" s="29">
        <f>SUMIFS('HQ2'!$J:$J,'HQ2'!$A:$A, "="&amp;'CHECK_DT-BT_chi_tiet'!C34,'HQ2'!$B:$B,"="&amp;'CHECK_DT-BT_chi_tiet'!$AY$3)</f>
        <v>105727</v>
      </c>
      <c r="BA34" s="7">
        <f t="shared" si="15"/>
        <v>0</v>
      </c>
      <c r="BB34" s="7">
        <f>SUMIFS('Tong_hop_HQNV_2026Q1_2026-06-23'!$L:$L,'Tong_hop_HQNV_2026Q1_2026-06-23'!$B:$B, "="&amp;'CHECK_DT-BT_chi_tiet'!A34, 'Tong_hop_HQNV_2026Q1_2026-06-23'!$A:$A, "="&amp;$BB$2)</f>
        <v>0</v>
      </c>
      <c r="BC34" s="29">
        <f>SUMIFS('HQ2'!$J:$J,'HQ2'!$A:$A, "="&amp;'CHECK_DT-BT_chi_tiet'!C34,'HQ2'!$B:$B,"="&amp;'CHECK_DT-BT_chi_tiet'!$BB$3)</f>
        <v>0</v>
      </c>
      <c r="BD34" s="7">
        <f t="shared" si="16"/>
        <v>0</v>
      </c>
      <c r="BE34" s="7">
        <f>SUMIFS('Tong_hop_HQNV_2026Q1_2026-06-23'!$L:$L,'Tong_hop_HQNV_2026Q1_2026-06-23'!$B:$B, "="&amp;'CHECK_DT-BT_chi_tiet'!A34, 'Tong_hop_HQNV_2026Q1_2026-06-23'!$A:$A, "="&amp;$BE$2)</f>
        <v>0</v>
      </c>
      <c r="BF34" s="29">
        <f>SUMIFS('HQ2'!$J:$J,'HQ2'!$A:$A, "="&amp;'CHECK_DT-BT_chi_tiet'!C34,'HQ2'!$B:$B,"="&amp;'CHECK_DT-BT_chi_tiet'!$BE$3)</f>
        <v>0</v>
      </c>
      <c r="BG34" s="7">
        <f t="shared" si="17"/>
        <v>0</v>
      </c>
      <c r="BH34" s="7">
        <f>SUMIFS('Tong_hop_HQNV_2026Q1_2026-06-23'!$L:$L,'Tong_hop_HQNV_2026Q1_2026-06-23'!$B:$B, "="&amp;'CHECK_DT-BT_chi_tiet'!A34, 'Tong_hop_HQNV_2026Q1_2026-06-23'!$A:$A, "="&amp;$BH$2)</f>
        <v>0</v>
      </c>
      <c r="BI34" s="29">
        <f>SUMIFS('HQ2'!$J:$J,'HQ2'!$A:$A, "="&amp;'CHECK_DT-BT_chi_tiet'!C34,'HQ2'!$B:$B,"="&amp;'CHECK_DT-BT_chi_tiet'!$BH$3)</f>
        <v>0</v>
      </c>
      <c r="BJ34" s="7">
        <f t="shared" si="18"/>
        <v>0</v>
      </c>
      <c r="BK34" s="7">
        <f>SUMIFS('Tong_hop_HQNV_2026Q1_2026-06-23'!$L:$L,'Tong_hop_HQNV_2026Q1_2026-06-23'!$B:$B, "="&amp;'CHECK_DT-BT_chi_tiet'!A34, 'Tong_hop_HQNV_2026Q1_2026-06-23'!$A:$A, "="&amp;$BK$2)</f>
        <v>6994364905</v>
      </c>
      <c r="BL34" s="29">
        <f>SUMIFS('HQ2'!$J:$J,'HQ2'!$A:$A, "="&amp;'CHECK_DT-BT_chi_tiet'!C34,'HQ2'!$B:$B,"="&amp;'CHECK_DT-BT_chi_tiet'!$BK$3)</f>
        <v>6994364905</v>
      </c>
      <c r="BM34" s="7">
        <f t="shared" si="19"/>
        <v>0</v>
      </c>
      <c r="BN34" s="7">
        <f>SUMIFS('Tong_hop_HQNV_2026Q1_2026-06-23'!$L:$L,'Tong_hop_HQNV_2026Q1_2026-06-23'!$B:$B, "="&amp;'CHECK_DT-BT_chi_tiet'!A34, 'Tong_hop_HQNV_2026Q1_2026-06-23'!$A:$A, "="&amp;$BN$2)</f>
        <v>777220261</v>
      </c>
      <c r="BO34" s="29">
        <f>SUMIFS('HQ2'!$J:$J,'HQ2'!$A:$A, "="&amp;'CHECK_DT-BT_chi_tiet'!C34,'HQ2'!$B:$B,"="&amp;'CHECK_DT-BT_chi_tiet'!$BN$3)</f>
        <v>777220261</v>
      </c>
      <c r="BP34" s="7">
        <f t="shared" si="20"/>
        <v>0</v>
      </c>
      <c r="BQ34" s="7">
        <f>SUMIFS('Tong_hop_HQNV_2026Q1_2026-06-23'!$L:$L,'Tong_hop_HQNV_2026Q1_2026-06-23'!$B:$B, "="&amp;'CHECK_DT-BT_chi_tiet'!A34, 'Tong_hop_HQNV_2026Q1_2026-06-23'!$A:$A, "="&amp;$BQ$2)</f>
        <v>6316935</v>
      </c>
      <c r="BR34" s="29">
        <f>SUMIFS('HQ2'!$J:$J,'HQ2'!$A:$A, "="&amp;'CHECK_DT-BT_chi_tiet'!C34,'HQ2'!$B:$B,"="&amp;'CHECK_DT-BT_chi_tiet'!$BQ$3)</f>
        <v>6316935</v>
      </c>
      <c r="BS34" s="7">
        <f t="shared" si="21"/>
        <v>0</v>
      </c>
      <c r="BT34" s="7">
        <f>SUMIFS('Tong_hop_HQNV_2026Q1_2026-06-23'!$L:$L,'Tong_hop_HQNV_2026Q1_2026-06-23'!$B:$B, "="&amp;'CHECK_DT-BT_chi_tiet'!A34, 'Tong_hop_HQNV_2026Q1_2026-06-23'!$A:$A, "="&amp;$BT$2)</f>
        <v>0</v>
      </c>
      <c r="BU34" s="7">
        <f>SUMIFS('Tong_hop_HQNV_2026Q1_2026-06-23'!$L:$L,'Tong_hop_HQNV_2026Q1_2026-06-23'!$B:$B, "="&amp;'CHECK_DT-BT_chi_tiet'!A34, 'Tong_hop_HQNV_2026Q1_2026-06-23'!$A:$A, "="&amp;$BU$2)</f>
        <v>0</v>
      </c>
    </row>
    <row r="35" spans="1:73" x14ac:dyDescent="0.25">
      <c r="A35" s="9" t="s">
        <v>315</v>
      </c>
      <c r="B35" t="s">
        <v>173</v>
      </c>
      <c r="C35" t="s">
        <v>104</v>
      </c>
      <c r="D35" s="7">
        <f>SUMIFS('Tong_hop_HQNV_2026Q1_2026-06-23'!$K:$K,'Tong_hop_HQNV_2026Q1_2026-06-23'!$A:$A,"="&amp;'CHECK_DT-BT_chi_tiet'!$D$2,'Tong_hop_HQNV_2026Q1_2026-06-23'!$B:$B, "="&amp;'CHECK_DT-BT_chi_tiet'!A35)</f>
        <v>3388132347</v>
      </c>
      <c r="E35" s="7">
        <f>SUMIFS('HQ1'!$C:$C,'HQ1'!$A:$A, "="&amp;'CHECK_DT-BT_chi_tiet'!C35,'HQ1'!$B:$B, "="&amp;'CHECK_DT-BT_chi_tiet'!$D$3)</f>
        <v>3388002347</v>
      </c>
      <c r="F35" s="7">
        <f t="shared" si="0"/>
        <v>130000</v>
      </c>
      <c r="G35" s="7">
        <f>SUMIFS('Tong_hop_HQNV_2026Q1_2026-06-23'!$K:$K,'Tong_hop_HQNV_2026Q1_2026-06-23'!$A:$A,"="&amp;'CHECK_DT-BT_chi_tiet'!$G$2,'Tong_hop_HQNV_2026Q1_2026-06-23'!$B:$B, "="&amp;'CHECK_DT-BT_chi_tiet'!A35)</f>
        <v>50846900</v>
      </c>
      <c r="H35" s="7">
        <f>SUMIFS('HQ1'!$C:$C,'HQ1'!$A:$A, "="&amp;'CHECK_DT-BT_chi_tiet'!C35,'HQ1'!$B:$B, "="&amp;'CHECK_DT-BT_chi_tiet'!$G$3)</f>
        <v>50846900</v>
      </c>
      <c r="I35" s="7">
        <f t="shared" si="1"/>
        <v>0</v>
      </c>
      <c r="J35" s="7">
        <f>SUMIFS('Tong_hop_HQNV_2026Q1_2026-06-23'!$K:$K,'Tong_hop_HQNV_2026Q1_2026-06-23'!$A:$A,"="&amp;'CHECK_DT-BT_chi_tiet'!$J$2,'Tong_hop_HQNV_2026Q1_2026-06-23'!$B:$B, "="&amp;'CHECK_DT-BT_chi_tiet'!A35)</f>
        <v>5385409801</v>
      </c>
      <c r="K35" s="7">
        <f>SUMIFS('HQ1'!$C:$C,'HQ1'!$A:$A, "="&amp;'CHECK_DT-BT_chi_tiet'!C35,'HQ1'!$B:$B, "="&amp;'CHECK_DT-BT_chi_tiet'!$J$3)</f>
        <v>5385539801</v>
      </c>
      <c r="L35" s="7">
        <f t="shared" si="2"/>
        <v>-130000</v>
      </c>
      <c r="M35" s="7">
        <f>SUMIFS('Tong_hop_HQNV_2026Q1_2026-06-23'!$K:$K,'Tong_hop_HQNV_2026Q1_2026-06-23'!$A:$A,"="&amp;'CHECK_DT-BT_chi_tiet'!$M$2,'Tong_hop_HQNV_2026Q1_2026-06-23'!$B:$B, "="&amp;'CHECK_DT-BT_chi_tiet'!A35)</f>
        <v>248808250</v>
      </c>
      <c r="N35" s="7">
        <f>SUMIFS('HQ1'!$C:$C,'HQ1'!$A:$A, "="&amp;'CHECK_DT-BT_chi_tiet'!C35,'HQ1'!$B:$B, "="&amp;'CHECK_DT-BT_chi_tiet'!$M$3)</f>
        <v>248808250</v>
      </c>
      <c r="O35" s="7">
        <f t="shared" si="3"/>
        <v>0</v>
      </c>
      <c r="P35" s="7">
        <f>SUMIFS('Tong_hop_HQNV_2026Q1_2026-06-23'!$K:$K,'Tong_hop_HQNV_2026Q1_2026-06-23'!$A:$A,"="&amp;$P$2,'Tong_hop_HQNV_2026Q1_2026-06-23'!$B:$B, "="&amp;'CHECK_DT-BT_chi_tiet'!A35)</f>
        <v>43206409</v>
      </c>
      <c r="Q35" s="7">
        <f>SUMIFS('HQ2'!$C:$C,'HQ2'!$A:$A, "="&amp;'CHECK_DT-BT_chi_tiet'!C35,'HQ2'!$B:$B, "="&amp;'CHECK_DT-BT_chi_tiet'!$P$3)</f>
        <v>43206409</v>
      </c>
      <c r="R35" s="7">
        <f t="shared" si="4"/>
        <v>0</v>
      </c>
      <c r="S35" s="7">
        <f>SUMIFS('Tong_hop_HQNV_2026Q1_2026-06-23'!$K:$K,'Tong_hop_HQNV_2026Q1_2026-06-23'!$A:$A,"="&amp;$S$2,'Tong_hop_HQNV_2026Q1_2026-06-23'!$B:$B, "="&amp;'CHECK_DT-BT_chi_tiet'!A35)</f>
        <v>0</v>
      </c>
      <c r="T35" s="7">
        <f>SUMIFS('HQ2'!$C:$C,'HQ2'!$A:$A, "="&amp;'CHECK_DT-BT_chi_tiet'!C35,'HQ2'!$B:$B, "="&amp;'CHECK_DT-BT_chi_tiet'!$S$3)</f>
        <v>0</v>
      </c>
      <c r="U35" s="7">
        <f t="shared" si="5"/>
        <v>0</v>
      </c>
      <c r="V35" s="7">
        <f>SUMIFS('Tong_hop_HQNV_2026Q1_2026-06-23'!$K:$K,'Tong_hop_HQNV_2026Q1_2026-06-23'!$A:$A,"="&amp;$V$2,'Tong_hop_HQNV_2026Q1_2026-06-23'!$B:$B, "="&amp;'CHECK_DT-BT_chi_tiet'!A35)</f>
        <v>0</v>
      </c>
      <c r="W35" s="7">
        <f>SUMIFS('HQ2'!$C:$C,'HQ2'!$A:$A, "="&amp;'CHECK_DT-BT_chi_tiet'!C35,'HQ2'!$B:$B, "="&amp;'CHECK_DT-BT_chi_tiet'!$V$3)</f>
        <v>0</v>
      </c>
      <c r="X35" s="7">
        <f t="shared" si="6"/>
        <v>0</v>
      </c>
      <c r="Y35" s="7">
        <f>SUMIFS('Tong_hop_HQNV_2026Q1_2026-06-23'!$K:$K,'Tong_hop_HQNV_2026Q1_2026-06-23'!$A:$A,"="&amp;$Y$2,'Tong_hop_HQNV_2026Q1_2026-06-23'!$B:$B, "="&amp;'CHECK_DT-BT_chi_tiet'!A35)</f>
        <v>103300000</v>
      </c>
      <c r="Z35" s="7">
        <f>SUMIFS('HQ2'!$C:$C,'HQ2'!$A:$A, "="&amp;'CHECK_DT-BT_chi_tiet'!C35,'HQ2'!$B:$B, "="&amp;'CHECK_DT-BT_chi_tiet'!$Y$3)</f>
        <v>103300000</v>
      </c>
      <c r="AA35" s="7">
        <f t="shared" si="7"/>
        <v>0</v>
      </c>
      <c r="AB35" s="7">
        <f>SUMIFS('Tong_hop_HQNV_2026Q1_2026-06-23'!$K:$K,'Tong_hop_HQNV_2026Q1_2026-06-23'!$A:$A,"="&amp;$AB$2,'Tong_hop_HQNV_2026Q1_2026-06-23'!$B:$B, "="&amp;'CHECK_DT-BT_chi_tiet'!A35)</f>
        <v>341773362</v>
      </c>
      <c r="AC35" s="7">
        <f>SUMIFS('HQ2'!$C:$C,'HQ2'!$A:$A, "="&amp;'CHECK_DT-BT_chi_tiet'!C35,'HQ2'!$B:$B, "="&amp;'CHECK_DT-BT_chi_tiet'!$AB$3)</f>
        <v>341773362</v>
      </c>
      <c r="AD35" s="7">
        <f t="shared" si="8"/>
        <v>0</v>
      </c>
      <c r="AE35" s="7">
        <f>SUMIFS('Tong_hop_HQNV_2026Q1_2026-06-23'!$K:$K,'Tong_hop_HQNV_2026Q1_2026-06-23'!$A:$A,"="&amp;$AE$2,'Tong_hop_HQNV_2026Q1_2026-06-23'!$B:$B, "="&amp;'CHECK_DT-BT_chi_tiet'!A35)</f>
        <v>590862009</v>
      </c>
      <c r="AF35" s="7">
        <f>SUMIFS('HQ2'!$C:$C,'HQ2'!$A:$A, "="&amp;'CHECK_DT-BT_chi_tiet'!C35,'HQ2'!$B:$B, "="&amp;'CHECK_DT-BT_chi_tiet'!$AE$3)</f>
        <v>590862009</v>
      </c>
      <c r="AG35" s="7">
        <f t="shared" si="9"/>
        <v>0</v>
      </c>
      <c r="AH35" s="7">
        <f>SUMIFS('Tong_hop_HQNV_2026Q1_2026-06-23'!$K:$K,'Tong_hop_HQNV_2026Q1_2026-06-23'!$A:$A,"="&amp;$AH$2,'Tong_hop_HQNV_2026Q1_2026-06-23'!$B:$B, "="&amp;'CHECK_DT-BT_chi_tiet'!A35)</f>
        <v>496558000</v>
      </c>
      <c r="AI35" s="7">
        <f>SUMIFS('HQ2'!$C:$C,'HQ2'!$A:$A, "="&amp;'CHECK_DT-BT_chi_tiet'!C35,'HQ2'!$B:$B, "="&amp;'CHECK_DT-BT_chi_tiet'!$AH$3)</f>
        <v>496558000</v>
      </c>
      <c r="AJ35" s="7">
        <f t="shared" si="10"/>
        <v>0</v>
      </c>
      <c r="AK35" s="7">
        <f>SUMIFS('Tong_hop_HQNV_2026Q1_2026-06-23'!$K:$K,'Tong_hop_HQNV_2026Q1_2026-06-23'!$A:$A,"="&amp;$AK$2,'Tong_hop_HQNV_2026Q1_2026-06-23'!$B:$B, "="&amp;'CHECK_DT-BT_chi_tiet'!A35)</f>
        <v>0</v>
      </c>
      <c r="AL35" s="7">
        <f>SUMIFS('Tong_hop_HQNV_2026Q1_2026-06-23'!$K:$K,'Tong_hop_HQNV_2026Q1_2026-06-23'!$A:$A,"="&amp;$AL$2,'Tong_hop_HQNV_2026Q1_2026-06-23'!$B:$B, "="&amp;'CHECK_DT-BT_chi_tiet'!A35)</f>
        <v>0</v>
      </c>
      <c r="AM35" s="23">
        <f>SUMIFS('Tong_hop_HQNV_2026Q1_2026-06-23'!$L:$L,'Tong_hop_HQNV_2026Q1_2026-06-23'!$B:$B, "="&amp;'CHECK_DT-BT_chi_tiet'!A35, 'Tong_hop_HQNV_2026Q1_2026-06-23'!$A:$A, "="&amp;'CHECK_DT-BT_chi_tiet'!$AM$2)</f>
        <v>1855190000</v>
      </c>
      <c r="AN35" s="29">
        <f>SUMIFS('HQ1'!$D:$D,'HQ1'!$A:$A, "="&amp;'CHECK_DT-BT_chi_tiet'!C35,'HQ1'!$B:$B,"="&amp;'CHECK_DT-BT_chi_tiet'!$AM$3)</f>
        <v>1855190000</v>
      </c>
      <c r="AO35" s="29">
        <f t="shared" si="11"/>
        <v>0</v>
      </c>
      <c r="AP35" s="7">
        <f>SUMIFS('Tong_hop_HQNV_2026Q1_2026-06-23'!$L:$L,'Tong_hop_HQNV_2026Q1_2026-06-23'!$B:$B, "="&amp;'CHECK_DT-BT_chi_tiet'!A35, 'Tong_hop_HQNV_2026Q1_2026-06-23'!$A:$A, "="&amp;'CHECK_DT-BT_chi_tiet'!$AP$2)</f>
        <v>0</v>
      </c>
      <c r="AQ35" s="29">
        <f>SUMIFS('HQ1'!$D:$D,'HQ1'!$A:$A, "="&amp;'CHECK_DT-BT_chi_tiet'!C35,'HQ1'!$B:$B,"="&amp;'CHECK_DT-BT_chi_tiet'!$AP$3)</f>
        <v>0</v>
      </c>
      <c r="AR35" s="7">
        <f t="shared" si="12"/>
        <v>0</v>
      </c>
      <c r="AS35" s="7">
        <f>SUMIFS('Tong_hop_HQNV_2026Q1_2026-06-23'!$L:$L,'Tong_hop_HQNV_2026Q1_2026-06-23'!$B:$B, "="&amp;'CHECK_DT-BT_chi_tiet'!A35, 'Tong_hop_HQNV_2026Q1_2026-06-23'!$A:$A, "="&amp;'CHECK_DT-BT_chi_tiet'!$AS$2)</f>
        <v>2549438914</v>
      </c>
      <c r="AT35" s="29">
        <f>SUMIFS('HQ1'!$D:$D,'HQ1'!$A:$A, "="&amp;'CHECK_DT-BT_chi_tiet'!C35,'HQ1'!$B:$B,"="&amp;'CHECK_DT-BT_chi_tiet'!$AS$3)</f>
        <v>2549438914</v>
      </c>
      <c r="AU35" s="7">
        <f t="shared" si="13"/>
        <v>0</v>
      </c>
      <c r="AV35" s="7">
        <f>SUMIFS('Tong_hop_HQNV_2026Q1_2026-06-23'!$L:$L,'Tong_hop_HQNV_2026Q1_2026-06-23'!$B:$B, "="&amp;'CHECK_DT-BT_chi_tiet'!A35, 'Tong_hop_HQNV_2026Q1_2026-06-23'!$A:$A, "="&amp;'CHECK_DT-BT_chi_tiet'!$AV$2)</f>
        <v>9448679</v>
      </c>
      <c r="AW35" s="29">
        <f>SUMIFS('HQ1'!$D:$D,'HQ1'!$A:$A, "="&amp;'CHECK_DT-BT_chi_tiet'!C35,'HQ1'!$B:$B,"="&amp;'CHECK_DT-BT_chi_tiet'!$AV$3)</f>
        <v>9448679</v>
      </c>
      <c r="AX35" s="7">
        <f t="shared" si="14"/>
        <v>0</v>
      </c>
      <c r="AY35" s="7">
        <f>SUMIFS('Tong_hop_HQNV_2026Q1_2026-06-23'!$L:$L,'Tong_hop_HQNV_2026Q1_2026-06-23'!$B:$B, "="&amp;'CHECK_DT-BT_chi_tiet'!A35, 'Tong_hop_HQNV_2026Q1_2026-06-23'!$A:$A, "="&amp;$AY$2)</f>
        <v>0</v>
      </c>
      <c r="AZ35" s="29">
        <f>SUMIFS('HQ2'!$J:$J,'HQ2'!$A:$A, "="&amp;'CHECK_DT-BT_chi_tiet'!C35,'HQ2'!$B:$B,"="&amp;'CHECK_DT-BT_chi_tiet'!$AY$3)</f>
        <v>0</v>
      </c>
      <c r="BA35" s="7">
        <f t="shared" si="15"/>
        <v>0</v>
      </c>
      <c r="BB35" s="7">
        <f>SUMIFS('Tong_hop_HQNV_2026Q1_2026-06-23'!$L:$L,'Tong_hop_HQNV_2026Q1_2026-06-23'!$B:$B, "="&amp;'CHECK_DT-BT_chi_tiet'!A35, 'Tong_hop_HQNV_2026Q1_2026-06-23'!$A:$A, "="&amp;$BB$2)</f>
        <v>0</v>
      </c>
      <c r="BC35" s="29">
        <f>SUMIFS('HQ2'!$J:$J,'HQ2'!$A:$A, "="&amp;'CHECK_DT-BT_chi_tiet'!C35,'HQ2'!$B:$B,"="&amp;'CHECK_DT-BT_chi_tiet'!$BB$3)</f>
        <v>0</v>
      </c>
      <c r="BD35" s="7">
        <f t="shared" si="16"/>
        <v>0</v>
      </c>
      <c r="BE35" s="7">
        <f>SUMIFS('Tong_hop_HQNV_2026Q1_2026-06-23'!$L:$L,'Tong_hop_HQNV_2026Q1_2026-06-23'!$B:$B, "="&amp;'CHECK_DT-BT_chi_tiet'!A35, 'Tong_hop_HQNV_2026Q1_2026-06-23'!$A:$A, "="&amp;$BE$2)</f>
        <v>697307500</v>
      </c>
      <c r="BF35" s="29">
        <f>SUMIFS('HQ2'!$J:$J,'HQ2'!$A:$A, "="&amp;'CHECK_DT-BT_chi_tiet'!C35,'HQ2'!$B:$B,"="&amp;'CHECK_DT-BT_chi_tiet'!$BE$3)</f>
        <v>697307500</v>
      </c>
      <c r="BG35" s="7">
        <f t="shared" si="17"/>
        <v>0</v>
      </c>
      <c r="BH35" s="7">
        <f>SUMIFS('Tong_hop_HQNV_2026Q1_2026-06-23'!$L:$L,'Tong_hop_HQNV_2026Q1_2026-06-23'!$B:$B, "="&amp;'CHECK_DT-BT_chi_tiet'!A35, 'Tong_hop_HQNV_2026Q1_2026-06-23'!$A:$A, "="&amp;$BH$2)</f>
        <v>0</v>
      </c>
      <c r="BI35" s="29">
        <f>SUMIFS('HQ2'!$J:$J,'HQ2'!$A:$A, "="&amp;'CHECK_DT-BT_chi_tiet'!C35,'HQ2'!$B:$B,"="&amp;'CHECK_DT-BT_chi_tiet'!$BH$3)</f>
        <v>0</v>
      </c>
      <c r="BJ35" s="7">
        <f t="shared" si="18"/>
        <v>0</v>
      </c>
      <c r="BK35" s="7">
        <f>SUMIFS('Tong_hop_HQNV_2026Q1_2026-06-23'!$L:$L,'Tong_hop_HQNV_2026Q1_2026-06-23'!$B:$B, "="&amp;'CHECK_DT-BT_chi_tiet'!A35, 'Tong_hop_HQNV_2026Q1_2026-06-23'!$A:$A, "="&amp;$BK$2)</f>
        <v>155956296</v>
      </c>
      <c r="BL35" s="29">
        <f>SUMIFS('HQ2'!$J:$J,'HQ2'!$A:$A, "="&amp;'CHECK_DT-BT_chi_tiet'!C35,'HQ2'!$B:$B,"="&amp;'CHECK_DT-BT_chi_tiet'!$BK$3)</f>
        <v>155956296</v>
      </c>
      <c r="BM35" s="7">
        <f t="shared" si="19"/>
        <v>0</v>
      </c>
      <c r="BN35" s="7">
        <f>SUMIFS('Tong_hop_HQNV_2026Q1_2026-06-23'!$L:$L,'Tong_hop_HQNV_2026Q1_2026-06-23'!$B:$B, "="&amp;'CHECK_DT-BT_chi_tiet'!A35, 'Tong_hop_HQNV_2026Q1_2026-06-23'!$A:$A, "="&amp;$BN$2)</f>
        <v>0</v>
      </c>
      <c r="BO35" s="29">
        <f>SUMIFS('HQ2'!$J:$J,'HQ2'!$A:$A, "="&amp;'CHECK_DT-BT_chi_tiet'!C35,'HQ2'!$B:$B,"="&amp;'CHECK_DT-BT_chi_tiet'!$BN$3)</f>
        <v>0</v>
      </c>
      <c r="BP35" s="7">
        <f t="shared" si="20"/>
        <v>0</v>
      </c>
      <c r="BQ35" s="7">
        <f>SUMIFS('Tong_hop_HQNV_2026Q1_2026-06-23'!$L:$L,'Tong_hop_HQNV_2026Q1_2026-06-23'!$B:$B, "="&amp;'CHECK_DT-BT_chi_tiet'!A35, 'Tong_hop_HQNV_2026Q1_2026-06-23'!$A:$A, "="&amp;$BQ$2)</f>
        <v>0</v>
      </c>
      <c r="BR35" s="29">
        <f>SUMIFS('HQ2'!$J:$J,'HQ2'!$A:$A, "="&amp;'CHECK_DT-BT_chi_tiet'!C35,'HQ2'!$B:$B,"="&amp;'CHECK_DT-BT_chi_tiet'!$BQ$3)</f>
        <v>0</v>
      </c>
      <c r="BS35" s="7">
        <f t="shared" si="21"/>
        <v>0</v>
      </c>
      <c r="BT35" s="7">
        <f>SUMIFS('Tong_hop_HQNV_2026Q1_2026-06-23'!$L:$L,'Tong_hop_HQNV_2026Q1_2026-06-23'!$B:$B, "="&amp;'CHECK_DT-BT_chi_tiet'!A35, 'Tong_hop_HQNV_2026Q1_2026-06-23'!$A:$A, "="&amp;$BT$2)</f>
        <v>0</v>
      </c>
      <c r="BU35" s="7">
        <f>SUMIFS('Tong_hop_HQNV_2026Q1_2026-06-23'!$L:$L,'Tong_hop_HQNV_2026Q1_2026-06-23'!$B:$B, "="&amp;'CHECK_DT-BT_chi_tiet'!A35, 'Tong_hop_HQNV_2026Q1_2026-06-23'!$A:$A, "="&amp;$BU$2)</f>
        <v>0</v>
      </c>
    </row>
    <row r="36" spans="1:73" x14ac:dyDescent="0.25">
      <c r="A36" s="9" t="s">
        <v>316</v>
      </c>
      <c r="B36" t="s">
        <v>174</v>
      </c>
      <c r="C36" t="s">
        <v>87</v>
      </c>
      <c r="D36" s="7">
        <f>SUMIFS('Tong_hop_HQNV_2026Q1_2026-06-23'!$K:$K,'Tong_hop_HQNV_2026Q1_2026-06-23'!$A:$A,"="&amp;'CHECK_DT-BT_chi_tiet'!$D$2,'Tong_hop_HQNV_2026Q1_2026-06-23'!$B:$B, "="&amp;'CHECK_DT-BT_chi_tiet'!A36)</f>
        <v>4244307400</v>
      </c>
      <c r="E36" s="7">
        <f>SUMIFS('HQ1'!$C:$C,'HQ1'!$A:$A, "="&amp;'CHECK_DT-BT_chi_tiet'!C36,'HQ1'!$B:$B, "="&amp;'CHECK_DT-BT_chi_tiet'!$D$3)</f>
        <v>4244307400</v>
      </c>
      <c r="F36" s="7">
        <f t="shared" si="0"/>
        <v>0</v>
      </c>
      <c r="G36" s="7">
        <f>SUMIFS('Tong_hop_HQNV_2026Q1_2026-06-23'!$K:$K,'Tong_hop_HQNV_2026Q1_2026-06-23'!$A:$A,"="&amp;'CHECK_DT-BT_chi_tiet'!$G$2,'Tong_hop_HQNV_2026Q1_2026-06-23'!$B:$B, "="&amp;'CHECK_DT-BT_chi_tiet'!A36)</f>
        <v>168983400</v>
      </c>
      <c r="H36" s="7">
        <f>SUMIFS('HQ1'!$C:$C,'HQ1'!$A:$A, "="&amp;'CHECK_DT-BT_chi_tiet'!C36,'HQ1'!$B:$B, "="&amp;'CHECK_DT-BT_chi_tiet'!$G$3)</f>
        <v>168983400</v>
      </c>
      <c r="I36" s="7">
        <f t="shared" si="1"/>
        <v>0</v>
      </c>
      <c r="J36" s="7">
        <f>SUMIFS('Tong_hop_HQNV_2026Q1_2026-06-23'!$K:$K,'Tong_hop_HQNV_2026Q1_2026-06-23'!$A:$A,"="&amp;'CHECK_DT-BT_chi_tiet'!$J$2,'Tong_hop_HQNV_2026Q1_2026-06-23'!$B:$B, "="&amp;'CHECK_DT-BT_chi_tiet'!A36)</f>
        <v>5666478251</v>
      </c>
      <c r="K36" s="7">
        <f>SUMIFS('HQ1'!$C:$C,'HQ1'!$A:$A, "="&amp;'CHECK_DT-BT_chi_tiet'!C36,'HQ1'!$B:$B, "="&amp;'CHECK_DT-BT_chi_tiet'!$J$3)</f>
        <v>5666478251</v>
      </c>
      <c r="L36" s="7">
        <f t="shared" si="2"/>
        <v>0</v>
      </c>
      <c r="M36" s="7">
        <f>SUMIFS('Tong_hop_HQNV_2026Q1_2026-06-23'!$K:$K,'Tong_hop_HQNV_2026Q1_2026-06-23'!$A:$A,"="&amp;'CHECK_DT-BT_chi_tiet'!$M$2,'Tong_hop_HQNV_2026Q1_2026-06-23'!$B:$B, "="&amp;'CHECK_DT-BT_chi_tiet'!A36)</f>
        <v>591047300</v>
      </c>
      <c r="N36" s="7">
        <f>SUMIFS('HQ1'!$C:$C,'HQ1'!$A:$A, "="&amp;'CHECK_DT-BT_chi_tiet'!C36,'HQ1'!$B:$B, "="&amp;'CHECK_DT-BT_chi_tiet'!$M$3)</f>
        <v>591047300</v>
      </c>
      <c r="O36" s="7">
        <f t="shared" si="3"/>
        <v>0</v>
      </c>
      <c r="P36" s="7">
        <f>SUMIFS('Tong_hop_HQNV_2026Q1_2026-06-23'!$K:$K,'Tong_hop_HQNV_2026Q1_2026-06-23'!$A:$A,"="&amp;$P$2,'Tong_hop_HQNV_2026Q1_2026-06-23'!$B:$B, "="&amp;'CHECK_DT-BT_chi_tiet'!A36)</f>
        <v>479701445</v>
      </c>
      <c r="Q36" s="7">
        <f>SUMIFS('HQ2'!$C:$C,'HQ2'!$A:$A, "="&amp;'CHECK_DT-BT_chi_tiet'!C36,'HQ2'!$B:$B, "="&amp;'CHECK_DT-BT_chi_tiet'!$P$3)</f>
        <v>479701445</v>
      </c>
      <c r="R36" s="7">
        <f t="shared" si="4"/>
        <v>0</v>
      </c>
      <c r="S36" s="7">
        <f>SUMIFS('Tong_hop_HQNV_2026Q1_2026-06-23'!$K:$K,'Tong_hop_HQNV_2026Q1_2026-06-23'!$A:$A,"="&amp;$S$2,'Tong_hop_HQNV_2026Q1_2026-06-23'!$B:$B, "="&amp;'CHECK_DT-BT_chi_tiet'!A36)</f>
        <v>0</v>
      </c>
      <c r="T36" s="7">
        <f>SUMIFS('HQ2'!$C:$C,'HQ2'!$A:$A, "="&amp;'CHECK_DT-BT_chi_tiet'!C36,'HQ2'!$B:$B, "="&amp;'CHECK_DT-BT_chi_tiet'!$S$3)</f>
        <v>0</v>
      </c>
      <c r="U36" s="7">
        <f t="shared" si="5"/>
        <v>0</v>
      </c>
      <c r="V36" s="7">
        <f>SUMIFS('Tong_hop_HQNV_2026Q1_2026-06-23'!$K:$K,'Tong_hop_HQNV_2026Q1_2026-06-23'!$A:$A,"="&amp;$V$2,'Tong_hop_HQNV_2026Q1_2026-06-23'!$B:$B, "="&amp;'CHECK_DT-BT_chi_tiet'!A36)</f>
        <v>0</v>
      </c>
      <c r="W36" s="7">
        <f>SUMIFS('HQ2'!$C:$C,'HQ2'!$A:$A, "="&amp;'CHECK_DT-BT_chi_tiet'!C36,'HQ2'!$B:$B, "="&amp;'CHECK_DT-BT_chi_tiet'!$V$3)</f>
        <v>0</v>
      </c>
      <c r="X36" s="7">
        <f t="shared" si="6"/>
        <v>0</v>
      </c>
      <c r="Y36" s="7">
        <f>SUMIFS('Tong_hop_HQNV_2026Q1_2026-06-23'!$K:$K,'Tong_hop_HQNV_2026Q1_2026-06-23'!$A:$A,"="&amp;$Y$2,'Tong_hop_HQNV_2026Q1_2026-06-23'!$B:$B, "="&amp;'CHECK_DT-BT_chi_tiet'!A36)</f>
        <v>265346887</v>
      </c>
      <c r="Z36" s="7">
        <f>SUMIFS('HQ2'!$C:$C,'HQ2'!$A:$A, "="&amp;'CHECK_DT-BT_chi_tiet'!C36,'HQ2'!$B:$B, "="&amp;'CHECK_DT-BT_chi_tiet'!$Y$3)</f>
        <v>265346887</v>
      </c>
      <c r="AA36" s="7">
        <f t="shared" si="7"/>
        <v>0</v>
      </c>
      <c r="AB36" s="7">
        <f>SUMIFS('Tong_hop_HQNV_2026Q1_2026-06-23'!$K:$K,'Tong_hop_HQNV_2026Q1_2026-06-23'!$A:$A,"="&amp;$AB$2,'Tong_hop_HQNV_2026Q1_2026-06-23'!$B:$B, "="&amp;'CHECK_DT-BT_chi_tiet'!A36)</f>
        <v>1918255435</v>
      </c>
      <c r="AC36" s="7">
        <f>SUMIFS('HQ2'!$C:$C,'HQ2'!$A:$A, "="&amp;'CHECK_DT-BT_chi_tiet'!C36,'HQ2'!$B:$B, "="&amp;'CHECK_DT-BT_chi_tiet'!$AB$3)</f>
        <v>1918255435</v>
      </c>
      <c r="AD36" s="7">
        <f t="shared" si="8"/>
        <v>0</v>
      </c>
      <c r="AE36" s="7">
        <f>SUMIFS('Tong_hop_HQNV_2026Q1_2026-06-23'!$K:$K,'Tong_hop_HQNV_2026Q1_2026-06-23'!$A:$A,"="&amp;$AE$2,'Tong_hop_HQNV_2026Q1_2026-06-23'!$B:$B, "="&amp;'CHECK_DT-BT_chi_tiet'!A36)</f>
        <v>261463836</v>
      </c>
      <c r="AF36" s="7">
        <f>SUMIFS('HQ2'!$C:$C,'HQ2'!$A:$A, "="&amp;'CHECK_DT-BT_chi_tiet'!C36,'HQ2'!$B:$B, "="&amp;'CHECK_DT-BT_chi_tiet'!$AE$3)</f>
        <v>261463836</v>
      </c>
      <c r="AG36" s="7">
        <f t="shared" si="9"/>
        <v>0</v>
      </c>
      <c r="AH36" s="7">
        <f>SUMIFS('Tong_hop_HQNV_2026Q1_2026-06-23'!$K:$K,'Tong_hop_HQNV_2026Q1_2026-06-23'!$A:$A,"="&amp;$AH$2,'Tong_hop_HQNV_2026Q1_2026-06-23'!$B:$B, "="&amp;'CHECK_DT-BT_chi_tiet'!A36)</f>
        <v>146613090</v>
      </c>
      <c r="AI36" s="7">
        <f>SUMIFS('HQ2'!$C:$C,'HQ2'!$A:$A, "="&amp;'CHECK_DT-BT_chi_tiet'!C36,'HQ2'!$B:$B, "="&amp;'CHECK_DT-BT_chi_tiet'!$AH$3)</f>
        <v>146613090</v>
      </c>
      <c r="AJ36" s="7">
        <f t="shared" si="10"/>
        <v>0</v>
      </c>
      <c r="AK36" s="7">
        <f>SUMIFS('Tong_hop_HQNV_2026Q1_2026-06-23'!$K:$K,'Tong_hop_HQNV_2026Q1_2026-06-23'!$A:$A,"="&amp;$AK$2,'Tong_hop_HQNV_2026Q1_2026-06-23'!$B:$B, "="&amp;'CHECK_DT-BT_chi_tiet'!A36)</f>
        <v>0</v>
      </c>
      <c r="AL36" s="7">
        <f>SUMIFS('Tong_hop_HQNV_2026Q1_2026-06-23'!$K:$K,'Tong_hop_HQNV_2026Q1_2026-06-23'!$A:$A,"="&amp;$AL$2,'Tong_hop_HQNV_2026Q1_2026-06-23'!$B:$B, "="&amp;'CHECK_DT-BT_chi_tiet'!A36)</f>
        <v>0</v>
      </c>
      <c r="AM36" s="23">
        <f>SUMIFS('Tong_hop_HQNV_2026Q1_2026-06-23'!$L:$L,'Tong_hop_HQNV_2026Q1_2026-06-23'!$B:$B, "="&amp;'CHECK_DT-BT_chi_tiet'!A36, 'Tong_hop_HQNV_2026Q1_2026-06-23'!$A:$A, "="&amp;'CHECK_DT-BT_chi_tiet'!$AM$2)</f>
        <v>6532654000</v>
      </c>
      <c r="AN36" s="29">
        <f>SUMIFS('HQ1'!$D:$D,'HQ1'!$A:$A, "="&amp;'CHECK_DT-BT_chi_tiet'!C36,'HQ1'!$B:$B,"="&amp;'CHECK_DT-BT_chi_tiet'!$AM$3)</f>
        <v>6532654000</v>
      </c>
      <c r="AO36" s="29">
        <f t="shared" si="11"/>
        <v>0</v>
      </c>
      <c r="AP36" s="7">
        <f>SUMIFS('Tong_hop_HQNV_2026Q1_2026-06-23'!$L:$L,'Tong_hop_HQNV_2026Q1_2026-06-23'!$B:$B, "="&amp;'CHECK_DT-BT_chi_tiet'!A36, 'Tong_hop_HQNV_2026Q1_2026-06-23'!$A:$A, "="&amp;'CHECK_DT-BT_chi_tiet'!$AP$2)</f>
        <v>0</v>
      </c>
      <c r="AQ36" s="29">
        <f>SUMIFS('HQ1'!$D:$D,'HQ1'!$A:$A, "="&amp;'CHECK_DT-BT_chi_tiet'!C36,'HQ1'!$B:$B,"="&amp;'CHECK_DT-BT_chi_tiet'!$AP$3)</f>
        <v>0</v>
      </c>
      <c r="AR36" s="7">
        <f t="shared" si="12"/>
        <v>0</v>
      </c>
      <c r="AS36" s="7">
        <f>SUMIFS('Tong_hop_HQNV_2026Q1_2026-06-23'!$L:$L,'Tong_hop_HQNV_2026Q1_2026-06-23'!$B:$B, "="&amp;'CHECK_DT-BT_chi_tiet'!A36, 'Tong_hop_HQNV_2026Q1_2026-06-23'!$A:$A, "="&amp;'CHECK_DT-BT_chi_tiet'!$AS$2)</f>
        <v>5281708603</v>
      </c>
      <c r="AT36" s="29">
        <f>SUMIFS('HQ1'!$D:$D,'HQ1'!$A:$A, "="&amp;'CHECK_DT-BT_chi_tiet'!C36,'HQ1'!$B:$B,"="&amp;'CHECK_DT-BT_chi_tiet'!$AS$3)</f>
        <v>5281708603</v>
      </c>
      <c r="AU36" s="7">
        <f t="shared" si="13"/>
        <v>0</v>
      </c>
      <c r="AV36" s="7">
        <f>SUMIFS('Tong_hop_HQNV_2026Q1_2026-06-23'!$L:$L,'Tong_hop_HQNV_2026Q1_2026-06-23'!$B:$B, "="&amp;'CHECK_DT-BT_chi_tiet'!A36, 'Tong_hop_HQNV_2026Q1_2026-06-23'!$A:$A, "="&amp;'CHECK_DT-BT_chi_tiet'!$AV$2)</f>
        <v>177768529</v>
      </c>
      <c r="AW36" s="29">
        <f>SUMIFS('HQ1'!$D:$D,'HQ1'!$A:$A, "="&amp;'CHECK_DT-BT_chi_tiet'!C36,'HQ1'!$B:$B,"="&amp;'CHECK_DT-BT_chi_tiet'!$AV$3)</f>
        <v>177768529</v>
      </c>
      <c r="AX36" s="7">
        <f t="shared" si="14"/>
        <v>0</v>
      </c>
      <c r="AY36" s="7">
        <f>SUMIFS('Tong_hop_HQNV_2026Q1_2026-06-23'!$L:$L,'Tong_hop_HQNV_2026Q1_2026-06-23'!$B:$B, "="&amp;'CHECK_DT-BT_chi_tiet'!A36, 'Tong_hop_HQNV_2026Q1_2026-06-23'!$A:$A, "="&amp;$AY$2)</f>
        <v>-24534902</v>
      </c>
      <c r="AZ36" s="29">
        <f>SUMIFS('HQ2'!$J:$J,'HQ2'!$A:$A, "="&amp;'CHECK_DT-BT_chi_tiet'!C36,'HQ2'!$B:$B,"="&amp;'CHECK_DT-BT_chi_tiet'!$AY$3)</f>
        <v>-24534902</v>
      </c>
      <c r="BA36" s="7">
        <f t="shared" si="15"/>
        <v>0</v>
      </c>
      <c r="BB36" s="7">
        <f>SUMIFS('Tong_hop_HQNV_2026Q1_2026-06-23'!$L:$L,'Tong_hop_HQNV_2026Q1_2026-06-23'!$B:$B, "="&amp;'CHECK_DT-BT_chi_tiet'!A36, 'Tong_hop_HQNV_2026Q1_2026-06-23'!$A:$A, "="&amp;$BB$2)</f>
        <v>0</v>
      </c>
      <c r="BC36" s="29">
        <f>SUMIFS('HQ2'!$J:$J,'HQ2'!$A:$A, "="&amp;'CHECK_DT-BT_chi_tiet'!C36,'HQ2'!$B:$B,"="&amp;'CHECK_DT-BT_chi_tiet'!$BB$3)</f>
        <v>0</v>
      </c>
      <c r="BD36" s="7">
        <f t="shared" si="16"/>
        <v>0</v>
      </c>
      <c r="BE36" s="7">
        <f>SUMIFS('Tong_hop_HQNV_2026Q1_2026-06-23'!$L:$L,'Tong_hop_HQNV_2026Q1_2026-06-23'!$B:$B, "="&amp;'CHECK_DT-BT_chi_tiet'!A36, 'Tong_hop_HQNV_2026Q1_2026-06-23'!$A:$A, "="&amp;$BE$2)</f>
        <v>0</v>
      </c>
      <c r="BF36" s="29">
        <f>SUMIFS('HQ2'!$J:$J,'HQ2'!$A:$A, "="&amp;'CHECK_DT-BT_chi_tiet'!C36,'HQ2'!$B:$B,"="&amp;'CHECK_DT-BT_chi_tiet'!$BE$3)</f>
        <v>0</v>
      </c>
      <c r="BG36" s="7">
        <f t="shared" si="17"/>
        <v>0</v>
      </c>
      <c r="BH36" s="7">
        <f>SUMIFS('Tong_hop_HQNV_2026Q1_2026-06-23'!$L:$L,'Tong_hop_HQNV_2026Q1_2026-06-23'!$B:$B, "="&amp;'CHECK_DT-BT_chi_tiet'!A36, 'Tong_hop_HQNV_2026Q1_2026-06-23'!$A:$A, "="&amp;$BH$2)</f>
        <v>0</v>
      </c>
      <c r="BI36" s="29">
        <f>SUMIFS('HQ2'!$J:$J,'HQ2'!$A:$A, "="&amp;'CHECK_DT-BT_chi_tiet'!C36,'HQ2'!$B:$B,"="&amp;'CHECK_DT-BT_chi_tiet'!$BH$3)</f>
        <v>0</v>
      </c>
      <c r="BJ36" s="7">
        <f t="shared" si="18"/>
        <v>0</v>
      </c>
      <c r="BK36" s="7">
        <f>SUMIFS('Tong_hop_HQNV_2026Q1_2026-06-23'!$L:$L,'Tong_hop_HQNV_2026Q1_2026-06-23'!$B:$B, "="&amp;'CHECK_DT-BT_chi_tiet'!A36, 'Tong_hop_HQNV_2026Q1_2026-06-23'!$A:$A, "="&amp;$BK$2)</f>
        <v>44427102</v>
      </c>
      <c r="BL36" s="29">
        <f>SUMIFS('HQ2'!$J:$J,'HQ2'!$A:$A, "="&amp;'CHECK_DT-BT_chi_tiet'!C36,'HQ2'!$B:$B,"="&amp;'CHECK_DT-BT_chi_tiet'!$BK$3)</f>
        <v>44427102</v>
      </c>
      <c r="BM36" s="7">
        <f t="shared" si="19"/>
        <v>0</v>
      </c>
      <c r="BN36" s="7">
        <f>SUMIFS('Tong_hop_HQNV_2026Q1_2026-06-23'!$L:$L,'Tong_hop_HQNV_2026Q1_2026-06-23'!$B:$B, "="&amp;'CHECK_DT-BT_chi_tiet'!A36, 'Tong_hop_HQNV_2026Q1_2026-06-23'!$A:$A, "="&amp;$BN$2)</f>
        <v>0</v>
      </c>
      <c r="BO36" s="29">
        <f>SUMIFS('HQ2'!$J:$J,'HQ2'!$A:$A, "="&amp;'CHECK_DT-BT_chi_tiet'!C36,'HQ2'!$B:$B,"="&amp;'CHECK_DT-BT_chi_tiet'!$BN$3)</f>
        <v>0</v>
      </c>
      <c r="BP36" s="7">
        <f t="shared" si="20"/>
        <v>0</v>
      </c>
      <c r="BQ36" s="7">
        <f>SUMIFS('Tong_hop_HQNV_2026Q1_2026-06-23'!$L:$L,'Tong_hop_HQNV_2026Q1_2026-06-23'!$B:$B, "="&amp;'CHECK_DT-BT_chi_tiet'!A36, 'Tong_hop_HQNV_2026Q1_2026-06-23'!$A:$A, "="&amp;$BQ$2)</f>
        <v>0</v>
      </c>
      <c r="BR36" s="29">
        <f>SUMIFS('HQ2'!$J:$J,'HQ2'!$A:$A, "="&amp;'CHECK_DT-BT_chi_tiet'!C36,'HQ2'!$B:$B,"="&amp;'CHECK_DT-BT_chi_tiet'!$BQ$3)</f>
        <v>0</v>
      </c>
      <c r="BS36" s="7">
        <f t="shared" si="21"/>
        <v>0</v>
      </c>
      <c r="BT36" s="7">
        <f>SUMIFS('Tong_hop_HQNV_2026Q1_2026-06-23'!$L:$L,'Tong_hop_HQNV_2026Q1_2026-06-23'!$B:$B, "="&amp;'CHECK_DT-BT_chi_tiet'!A36, 'Tong_hop_HQNV_2026Q1_2026-06-23'!$A:$A, "="&amp;$BT$2)</f>
        <v>0</v>
      </c>
      <c r="BU36" s="7">
        <f>SUMIFS('Tong_hop_HQNV_2026Q1_2026-06-23'!$L:$L,'Tong_hop_HQNV_2026Q1_2026-06-23'!$B:$B, "="&amp;'CHECK_DT-BT_chi_tiet'!A36, 'Tong_hop_HQNV_2026Q1_2026-06-23'!$A:$A, "="&amp;$BU$2)</f>
        <v>0</v>
      </c>
    </row>
    <row r="37" spans="1:73" x14ac:dyDescent="0.25">
      <c r="A37" s="9" t="s">
        <v>317</v>
      </c>
      <c r="B37" t="s">
        <v>175</v>
      </c>
      <c r="C37" t="s">
        <v>47</v>
      </c>
      <c r="D37" s="7">
        <f>SUMIFS('Tong_hop_HQNV_2026Q1_2026-06-23'!$K:$K,'Tong_hop_HQNV_2026Q1_2026-06-23'!$A:$A,"="&amp;'CHECK_DT-BT_chi_tiet'!$D$2,'Tong_hop_HQNV_2026Q1_2026-06-23'!$B:$B, "="&amp;'CHECK_DT-BT_chi_tiet'!A37)</f>
        <v>4863008856</v>
      </c>
      <c r="E37" s="7">
        <f>SUMIFS('HQ1'!$C:$C,'HQ1'!$A:$A, "="&amp;'CHECK_DT-BT_chi_tiet'!C37,'HQ1'!$B:$B, "="&amp;'CHECK_DT-BT_chi_tiet'!$D$3)</f>
        <v>4863008856</v>
      </c>
      <c r="F37" s="7">
        <f t="shared" si="0"/>
        <v>0</v>
      </c>
      <c r="G37" s="7">
        <f>SUMIFS('Tong_hop_HQNV_2026Q1_2026-06-23'!$K:$K,'Tong_hop_HQNV_2026Q1_2026-06-23'!$A:$A,"="&amp;'CHECK_DT-BT_chi_tiet'!$G$2,'Tong_hop_HQNV_2026Q1_2026-06-23'!$B:$B, "="&amp;'CHECK_DT-BT_chi_tiet'!A37)</f>
        <v>137165140</v>
      </c>
      <c r="H37" s="7">
        <f>SUMIFS('HQ1'!$C:$C,'HQ1'!$A:$A, "="&amp;'CHECK_DT-BT_chi_tiet'!C37,'HQ1'!$B:$B, "="&amp;'CHECK_DT-BT_chi_tiet'!$G$3)</f>
        <v>137165140</v>
      </c>
      <c r="I37" s="7">
        <f t="shared" si="1"/>
        <v>0</v>
      </c>
      <c r="J37" s="7">
        <f>SUMIFS('Tong_hop_HQNV_2026Q1_2026-06-23'!$K:$K,'Tong_hop_HQNV_2026Q1_2026-06-23'!$A:$A,"="&amp;'CHECK_DT-BT_chi_tiet'!$J$2,'Tong_hop_HQNV_2026Q1_2026-06-23'!$B:$B, "="&amp;'CHECK_DT-BT_chi_tiet'!A37)</f>
        <v>6442755552</v>
      </c>
      <c r="K37" s="7">
        <f>SUMIFS('HQ1'!$C:$C,'HQ1'!$A:$A, "="&amp;'CHECK_DT-BT_chi_tiet'!C37,'HQ1'!$B:$B, "="&amp;'CHECK_DT-BT_chi_tiet'!$J$3)</f>
        <v>6442755552</v>
      </c>
      <c r="L37" s="7">
        <f t="shared" si="2"/>
        <v>0</v>
      </c>
      <c r="M37" s="7">
        <f>SUMIFS('Tong_hop_HQNV_2026Q1_2026-06-23'!$K:$K,'Tong_hop_HQNV_2026Q1_2026-06-23'!$A:$A,"="&amp;'CHECK_DT-BT_chi_tiet'!$M$2,'Tong_hop_HQNV_2026Q1_2026-06-23'!$B:$B, "="&amp;'CHECK_DT-BT_chi_tiet'!A37)</f>
        <v>7821391985</v>
      </c>
      <c r="N37" s="7">
        <f>SUMIFS('HQ1'!$C:$C,'HQ1'!$A:$A, "="&amp;'CHECK_DT-BT_chi_tiet'!C37,'HQ1'!$B:$B, "="&amp;'CHECK_DT-BT_chi_tiet'!$M$3)</f>
        <v>7821391985</v>
      </c>
      <c r="O37" s="7">
        <f t="shared" si="3"/>
        <v>0</v>
      </c>
      <c r="P37" s="7">
        <f>SUMIFS('Tong_hop_HQNV_2026Q1_2026-06-23'!$K:$K,'Tong_hop_HQNV_2026Q1_2026-06-23'!$A:$A,"="&amp;$P$2,'Tong_hop_HQNV_2026Q1_2026-06-23'!$B:$B, "="&amp;'CHECK_DT-BT_chi_tiet'!A37)</f>
        <v>6741787112</v>
      </c>
      <c r="Q37" s="7">
        <f>SUMIFS('HQ2'!$C:$C,'HQ2'!$A:$A, "="&amp;'CHECK_DT-BT_chi_tiet'!C37,'HQ2'!$B:$B, "="&amp;'CHECK_DT-BT_chi_tiet'!$P$3)</f>
        <v>6741787112</v>
      </c>
      <c r="R37" s="7">
        <f t="shared" si="4"/>
        <v>0</v>
      </c>
      <c r="S37" s="7">
        <f>SUMIFS('Tong_hop_HQNV_2026Q1_2026-06-23'!$K:$K,'Tong_hop_HQNV_2026Q1_2026-06-23'!$A:$A,"="&amp;$S$2,'Tong_hop_HQNV_2026Q1_2026-06-23'!$B:$B, "="&amp;'CHECK_DT-BT_chi_tiet'!A37)</f>
        <v>60985550952</v>
      </c>
      <c r="T37" s="7">
        <f>SUMIFS('HQ2'!$C:$C,'HQ2'!$A:$A, "="&amp;'CHECK_DT-BT_chi_tiet'!C37,'HQ2'!$B:$B, "="&amp;'CHECK_DT-BT_chi_tiet'!$S$3)</f>
        <v>63029965102</v>
      </c>
      <c r="U37" s="7">
        <f t="shared" si="5"/>
        <v>-2044414150</v>
      </c>
      <c r="V37" s="7">
        <f>SUMIFS('Tong_hop_HQNV_2026Q1_2026-06-23'!$K:$K,'Tong_hop_HQNV_2026Q1_2026-06-23'!$A:$A,"="&amp;$V$2,'Tong_hop_HQNV_2026Q1_2026-06-23'!$B:$B, "="&amp;'CHECK_DT-BT_chi_tiet'!A37)</f>
        <v>15706015634</v>
      </c>
      <c r="W37" s="7">
        <f>SUMIFS('HQ2'!$C:$C,'HQ2'!$A:$A, "="&amp;'CHECK_DT-BT_chi_tiet'!C37,'HQ2'!$B:$B, "="&amp;'CHECK_DT-BT_chi_tiet'!$V$3)</f>
        <v>16677456590</v>
      </c>
      <c r="X37" s="7">
        <f t="shared" si="6"/>
        <v>-971440956</v>
      </c>
      <c r="Y37" s="7">
        <f>SUMIFS('Tong_hop_HQNV_2026Q1_2026-06-23'!$K:$K,'Tong_hop_HQNV_2026Q1_2026-06-23'!$A:$A,"="&amp;$Y$2,'Tong_hop_HQNV_2026Q1_2026-06-23'!$B:$B, "="&amp;'CHECK_DT-BT_chi_tiet'!A37)</f>
        <v>2291236287</v>
      </c>
      <c r="Z37" s="7">
        <f>SUMIFS('HQ2'!$C:$C,'HQ2'!$A:$A, "="&amp;'CHECK_DT-BT_chi_tiet'!C37,'HQ2'!$B:$B, "="&amp;'CHECK_DT-BT_chi_tiet'!$Y$3)</f>
        <v>2291236287</v>
      </c>
      <c r="AA37" s="7">
        <f t="shared" si="7"/>
        <v>0</v>
      </c>
      <c r="AB37" s="7">
        <f>SUMIFS('Tong_hop_HQNV_2026Q1_2026-06-23'!$K:$K,'Tong_hop_HQNV_2026Q1_2026-06-23'!$A:$A,"="&amp;$AB$2,'Tong_hop_HQNV_2026Q1_2026-06-23'!$B:$B, "="&amp;'CHECK_DT-BT_chi_tiet'!A37)</f>
        <v>3792615206</v>
      </c>
      <c r="AC37" s="7">
        <f>SUMIFS('HQ2'!$C:$C,'HQ2'!$A:$A, "="&amp;'CHECK_DT-BT_chi_tiet'!C37,'HQ2'!$B:$B, "="&amp;'CHECK_DT-BT_chi_tiet'!$AB$3)</f>
        <v>3792615206</v>
      </c>
      <c r="AD37" s="7">
        <f t="shared" si="8"/>
        <v>0</v>
      </c>
      <c r="AE37" s="7">
        <f>SUMIFS('Tong_hop_HQNV_2026Q1_2026-06-23'!$K:$K,'Tong_hop_HQNV_2026Q1_2026-06-23'!$A:$A,"="&amp;$AE$2,'Tong_hop_HQNV_2026Q1_2026-06-23'!$B:$B, "="&amp;'CHECK_DT-BT_chi_tiet'!A37)</f>
        <v>2553265019</v>
      </c>
      <c r="AF37" s="7">
        <f>SUMIFS('HQ2'!$C:$C,'HQ2'!$A:$A, "="&amp;'CHECK_DT-BT_chi_tiet'!C37,'HQ2'!$B:$B, "="&amp;'CHECK_DT-BT_chi_tiet'!$AE$3)</f>
        <v>2553265019</v>
      </c>
      <c r="AG37" s="7">
        <f t="shared" si="9"/>
        <v>0</v>
      </c>
      <c r="AH37" s="7">
        <f>SUMIFS('Tong_hop_HQNV_2026Q1_2026-06-23'!$K:$K,'Tong_hop_HQNV_2026Q1_2026-06-23'!$A:$A,"="&amp;$AH$2,'Tong_hop_HQNV_2026Q1_2026-06-23'!$B:$B, "="&amp;'CHECK_DT-BT_chi_tiet'!A37)</f>
        <v>544914312</v>
      </c>
      <c r="AI37" s="7">
        <f>SUMIFS('HQ2'!$C:$C,'HQ2'!$A:$A, "="&amp;'CHECK_DT-BT_chi_tiet'!C37,'HQ2'!$B:$B, "="&amp;'CHECK_DT-BT_chi_tiet'!$AH$3)</f>
        <v>544914312</v>
      </c>
      <c r="AJ37" s="7">
        <f t="shared" si="10"/>
        <v>0</v>
      </c>
      <c r="AK37" s="7">
        <f>SUMIFS('Tong_hop_HQNV_2026Q1_2026-06-23'!$K:$K,'Tong_hop_HQNV_2026Q1_2026-06-23'!$A:$A,"="&amp;$AK$2,'Tong_hop_HQNV_2026Q1_2026-06-23'!$B:$B, "="&amp;'CHECK_DT-BT_chi_tiet'!A37)</f>
        <v>0</v>
      </c>
      <c r="AL37" s="7">
        <f>SUMIFS('Tong_hop_HQNV_2026Q1_2026-06-23'!$K:$K,'Tong_hop_HQNV_2026Q1_2026-06-23'!$A:$A,"="&amp;$AL$2,'Tong_hop_HQNV_2026Q1_2026-06-23'!$B:$B, "="&amp;'CHECK_DT-BT_chi_tiet'!A37)</f>
        <v>0</v>
      </c>
      <c r="AM37" s="23">
        <f>SUMIFS('Tong_hop_HQNV_2026Q1_2026-06-23'!$L:$L,'Tong_hop_HQNV_2026Q1_2026-06-23'!$B:$B, "="&amp;'CHECK_DT-BT_chi_tiet'!A37, 'Tong_hop_HQNV_2026Q1_2026-06-23'!$A:$A, "="&amp;'CHECK_DT-BT_chi_tiet'!$AM$2)</f>
        <v>2951423398</v>
      </c>
      <c r="AN37" s="29">
        <f>SUMIFS('HQ1'!$D:$D,'HQ1'!$A:$A, "="&amp;'CHECK_DT-BT_chi_tiet'!C37,'HQ1'!$B:$B,"="&amp;'CHECK_DT-BT_chi_tiet'!$AM$3)</f>
        <v>2951423398</v>
      </c>
      <c r="AO37" s="29">
        <f t="shared" si="11"/>
        <v>0</v>
      </c>
      <c r="AP37" s="7">
        <f>SUMIFS('Tong_hop_HQNV_2026Q1_2026-06-23'!$L:$L,'Tong_hop_HQNV_2026Q1_2026-06-23'!$B:$B, "="&amp;'CHECK_DT-BT_chi_tiet'!A37, 'Tong_hop_HQNV_2026Q1_2026-06-23'!$A:$A, "="&amp;'CHECK_DT-BT_chi_tiet'!$AP$2)</f>
        <v>0</v>
      </c>
      <c r="AQ37" s="29">
        <f>SUMIFS('HQ1'!$D:$D,'HQ1'!$A:$A, "="&amp;'CHECK_DT-BT_chi_tiet'!C37,'HQ1'!$B:$B,"="&amp;'CHECK_DT-BT_chi_tiet'!$AP$3)</f>
        <v>0</v>
      </c>
      <c r="AR37" s="7">
        <f t="shared" si="12"/>
        <v>0</v>
      </c>
      <c r="AS37" s="7">
        <f>SUMIFS('Tong_hop_HQNV_2026Q1_2026-06-23'!$L:$L,'Tong_hop_HQNV_2026Q1_2026-06-23'!$B:$B, "="&amp;'CHECK_DT-BT_chi_tiet'!A37, 'Tong_hop_HQNV_2026Q1_2026-06-23'!$A:$A, "="&amp;'CHECK_DT-BT_chi_tiet'!$AS$2)</f>
        <v>3983628831</v>
      </c>
      <c r="AT37" s="29">
        <f>SUMIFS('HQ1'!$D:$D,'HQ1'!$A:$A, "="&amp;'CHECK_DT-BT_chi_tiet'!C37,'HQ1'!$B:$B,"="&amp;'CHECK_DT-BT_chi_tiet'!$AS$3)</f>
        <v>3983628831</v>
      </c>
      <c r="AU37" s="7">
        <f t="shared" si="13"/>
        <v>0</v>
      </c>
      <c r="AV37" s="7">
        <f>SUMIFS('Tong_hop_HQNV_2026Q1_2026-06-23'!$L:$L,'Tong_hop_HQNV_2026Q1_2026-06-23'!$B:$B, "="&amp;'CHECK_DT-BT_chi_tiet'!A37, 'Tong_hop_HQNV_2026Q1_2026-06-23'!$A:$A, "="&amp;'CHECK_DT-BT_chi_tiet'!$AV$2)</f>
        <v>2814662081</v>
      </c>
      <c r="AW37" s="29">
        <f>SUMIFS('HQ1'!$D:$D,'HQ1'!$A:$A, "="&amp;'CHECK_DT-BT_chi_tiet'!C37,'HQ1'!$B:$B,"="&amp;'CHECK_DT-BT_chi_tiet'!$AV$3)</f>
        <v>2814662081</v>
      </c>
      <c r="AX37" s="7">
        <f t="shared" si="14"/>
        <v>0</v>
      </c>
      <c r="AY37" s="7">
        <f>SUMIFS('Tong_hop_HQNV_2026Q1_2026-06-23'!$L:$L,'Tong_hop_HQNV_2026Q1_2026-06-23'!$B:$B, "="&amp;'CHECK_DT-BT_chi_tiet'!A37, 'Tong_hop_HQNV_2026Q1_2026-06-23'!$A:$A, "="&amp;$AY$2)</f>
        <v>1511198960</v>
      </c>
      <c r="AZ37" s="29">
        <f>SUMIFS('HQ2'!$J:$J,'HQ2'!$A:$A, "="&amp;'CHECK_DT-BT_chi_tiet'!C37,'HQ2'!$B:$B,"="&amp;'CHECK_DT-BT_chi_tiet'!$AY$3)</f>
        <v>1511199360</v>
      </c>
      <c r="BA37" s="7">
        <f t="shared" si="15"/>
        <v>400</v>
      </c>
      <c r="BB37" s="7">
        <f>SUMIFS('Tong_hop_HQNV_2026Q1_2026-06-23'!$L:$L,'Tong_hop_HQNV_2026Q1_2026-06-23'!$B:$B, "="&amp;'CHECK_DT-BT_chi_tiet'!A37, 'Tong_hop_HQNV_2026Q1_2026-06-23'!$A:$A, "="&amp;$BB$2)</f>
        <v>16525591421</v>
      </c>
      <c r="BC37" s="29">
        <f>SUMIFS('HQ2'!$J:$J,'HQ2'!$A:$A, "="&amp;'CHECK_DT-BT_chi_tiet'!C37,'HQ2'!$B:$B,"="&amp;'CHECK_DT-BT_chi_tiet'!$BB$3)</f>
        <v>16525591421</v>
      </c>
      <c r="BD37" s="7">
        <f t="shared" si="16"/>
        <v>0</v>
      </c>
      <c r="BE37" s="7">
        <f>SUMIFS('Tong_hop_HQNV_2026Q1_2026-06-23'!$L:$L,'Tong_hop_HQNV_2026Q1_2026-06-23'!$B:$B, "="&amp;'CHECK_DT-BT_chi_tiet'!A37, 'Tong_hop_HQNV_2026Q1_2026-06-23'!$A:$A, "="&amp;$BE$2)</f>
        <v>7447941515</v>
      </c>
      <c r="BF37" s="29">
        <f>SUMIFS('HQ2'!$J:$J,'HQ2'!$A:$A, "="&amp;'CHECK_DT-BT_chi_tiet'!C37,'HQ2'!$B:$B,"="&amp;'CHECK_DT-BT_chi_tiet'!$BE$3)</f>
        <v>7447941515</v>
      </c>
      <c r="BG37" s="7">
        <f t="shared" si="17"/>
        <v>0</v>
      </c>
      <c r="BH37" s="7">
        <f>SUMIFS('Tong_hop_HQNV_2026Q1_2026-06-23'!$L:$L,'Tong_hop_HQNV_2026Q1_2026-06-23'!$B:$B, "="&amp;'CHECK_DT-BT_chi_tiet'!A37, 'Tong_hop_HQNV_2026Q1_2026-06-23'!$A:$A, "="&amp;$BH$2)</f>
        <v>178633174</v>
      </c>
      <c r="BI37" s="29">
        <f>SUMIFS('HQ2'!$J:$J,'HQ2'!$A:$A, "="&amp;'CHECK_DT-BT_chi_tiet'!C37,'HQ2'!$B:$B,"="&amp;'CHECK_DT-BT_chi_tiet'!$BH$3)</f>
        <v>178633174</v>
      </c>
      <c r="BJ37" s="7">
        <f t="shared" si="18"/>
        <v>0</v>
      </c>
      <c r="BK37" s="7">
        <f>SUMIFS('Tong_hop_HQNV_2026Q1_2026-06-23'!$L:$L,'Tong_hop_HQNV_2026Q1_2026-06-23'!$B:$B, "="&amp;'CHECK_DT-BT_chi_tiet'!A37, 'Tong_hop_HQNV_2026Q1_2026-06-23'!$A:$A, "="&amp;$BK$2)</f>
        <v>360596642</v>
      </c>
      <c r="BL37" s="29">
        <f>SUMIFS('HQ2'!$J:$J,'HQ2'!$A:$A, "="&amp;'CHECK_DT-BT_chi_tiet'!C37,'HQ2'!$B:$B,"="&amp;'CHECK_DT-BT_chi_tiet'!$BK$3)</f>
        <v>360596642</v>
      </c>
      <c r="BM37" s="7">
        <f t="shared" si="19"/>
        <v>0</v>
      </c>
      <c r="BN37" s="7">
        <f>SUMIFS('Tong_hop_HQNV_2026Q1_2026-06-23'!$L:$L,'Tong_hop_HQNV_2026Q1_2026-06-23'!$B:$B, "="&amp;'CHECK_DT-BT_chi_tiet'!A37, 'Tong_hop_HQNV_2026Q1_2026-06-23'!$A:$A, "="&amp;$BN$2)</f>
        <v>36416097</v>
      </c>
      <c r="BO37" s="29">
        <f>SUMIFS('HQ2'!$J:$J,'HQ2'!$A:$A, "="&amp;'CHECK_DT-BT_chi_tiet'!C37,'HQ2'!$B:$B,"="&amp;'CHECK_DT-BT_chi_tiet'!$BN$3)</f>
        <v>36416097</v>
      </c>
      <c r="BP37" s="7">
        <f t="shared" si="20"/>
        <v>0</v>
      </c>
      <c r="BQ37" s="7">
        <f>SUMIFS('Tong_hop_HQNV_2026Q1_2026-06-23'!$L:$L,'Tong_hop_HQNV_2026Q1_2026-06-23'!$B:$B, "="&amp;'CHECK_DT-BT_chi_tiet'!A37, 'Tong_hop_HQNV_2026Q1_2026-06-23'!$A:$A, "="&amp;$BQ$2)</f>
        <v>711155841</v>
      </c>
      <c r="BR37" s="29">
        <f>SUMIFS('HQ2'!$J:$J,'HQ2'!$A:$A, "="&amp;'CHECK_DT-BT_chi_tiet'!C37,'HQ2'!$B:$B,"="&amp;'CHECK_DT-BT_chi_tiet'!$BQ$3)</f>
        <v>711155841</v>
      </c>
      <c r="BS37" s="7">
        <f t="shared" si="21"/>
        <v>0</v>
      </c>
      <c r="BT37" s="7">
        <f>SUMIFS('Tong_hop_HQNV_2026Q1_2026-06-23'!$L:$L,'Tong_hop_HQNV_2026Q1_2026-06-23'!$B:$B, "="&amp;'CHECK_DT-BT_chi_tiet'!A37, 'Tong_hop_HQNV_2026Q1_2026-06-23'!$A:$A, "="&amp;$BT$2)</f>
        <v>0</v>
      </c>
      <c r="BU37" s="7">
        <f>SUMIFS('Tong_hop_HQNV_2026Q1_2026-06-23'!$L:$L,'Tong_hop_HQNV_2026Q1_2026-06-23'!$B:$B, "="&amp;'CHECK_DT-BT_chi_tiet'!A37, 'Tong_hop_HQNV_2026Q1_2026-06-23'!$A:$A, "="&amp;$BU$2)</f>
        <v>0</v>
      </c>
    </row>
    <row r="38" spans="1:73" x14ac:dyDescent="0.25">
      <c r="A38" s="9" t="s">
        <v>318</v>
      </c>
      <c r="B38" t="s">
        <v>176</v>
      </c>
      <c r="C38" t="s">
        <v>113</v>
      </c>
      <c r="D38" s="7">
        <f>SUMIFS('Tong_hop_HQNV_2026Q1_2026-06-23'!$K:$K,'Tong_hop_HQNV_2026Q1_2026-06-23'!$A:$A,"="&amp;'CHECK_DT-BT_chi_tiet'!$D$2,'Tong_hop_HQNV_2026Q1_2026-06-23'!$B:$B, "="&amp;'CHECK_DT-BT_chi_tiet'!A38)</f>
        <v>1503109467</v>
      </c>
      <c r="E38" s="7">
        <f>SUMIFS('HQ1'!$C:$C,'HQ1'!$A:$A, "="&amp;'CHECK_DT-BT_chi_tiet'!C38,'HQ1'!$B:$B, "="&amp;'CHECK_DT-BT_chi_tiet'!$D$3)</f>
        <v>1503109467</v>
      </c>
      <c r="F38" s="7">
        <f t="shared" si="0"/>
        <v>0</v>
      </c>
      <c r="G38" s="7">
        <f>SUMIFS('Tong_hop_HQNV_2026Q1_2026-06-23'!$K:$K,'Tong_hop_HQNV_2026Q1_2026-06-23'!$A:$A,"="&amp;'CHECK_DT-BT_chi_tiet'!$G$2,'Tong_hop_HQNV_2026Q1_2026-06-23'!$B:$B, "="&amp;'CHECK_DT-BT_chi_tiet'!A38)</f>
        <v>2406600</v>
      </c>
      <c r="H38" s="7">
        <f>SUMIFS('HQ1'!$C:$C,'HQ1'!$A:$A, "="&amp;'CHECK_DT-BT_chi_tiet'!C38,'HQ1'!$B:$B, "="&amp;'CHECK_DT-BT_chi_tiet'!$G$3)</f>
        <v>2406600</v>
      </c>
      <c r="I38" s="7">
        <f t="shared" si="1"/>
        <v>0</v>
      </c>
      <c r="J38" s="7">
        <f>SUMIFS('Tong_hop_HQNV_2026Q1_2026-06-23'!$K:$K,'Tong_hop_HQNV_2026Q1_2026-06-23'!$A:$A,"="&amp;'CHECK_DT-BT_chi_tiet'!$J$2,'Tong_hop_HQNV_2026Q1_2026-06-23'!$B:$B, "="&amp;'CHECK_DT-BT_chi_tiet'!A38)</f>
        <v>3682246970</v>
      </c>
      <c r="K38" s="7">
        <f>SUMIFS('HQ1'!$C:$C,'HQ1'!$A:$A, "="&amp;'CHECK_DT-BT_chi_tiet'!C38,'HQ1'!$B:$B, "="&amp;'CHECK_DT-BT_chi_tiet'!$J$3)</f>
        <v>3682246970</v>
      </c>
      <c r="L38" s="7">
        <f t="shared" si="2"/>
        <v>0</v>
      </c>
      <c r="M38" s="7">
        <f>SUMIFS('Tong_hop_HQNV_2026Q1_2026-06-23'!$K:$K,'Tong_hop_HQNV_2026Q1_2026-06-23'!$A:$A,"="&amp;'CHECK_DT-BT_chi_tiet'!$M$2,'Tong_hop_HQNV_2026Q1_2026-06-23'!$B:$B, "="&amp;'CHECK_DT-BT_chi_tiet'!A38)</f>
        <v>931876592</v>
      </c>
      <c r="N38" s="7">
        <f>SUMIFS('HQ1'!$C:$C,'HQ1'!$A:$A, "="&amp;'CHECK_DT-BT_chi_tiet'!C38,'HQ1'!$B:$B, "="&amp;'CHECK_DT-BT_chi_tiet'!$M$3)</f>
        <v>931876592</v>
      </c>
      <c r="O38" s="7">
        <f t="shared" si="3"/>
        <v>0</v>
      </c>
      <c r="P38" s="7">
        <f>SUMIFS('Tong_hop_HQNV_2026Q1_2026-06-23'!$K:$K,'Tong_hop_HQNV_2026Q1_2026-06-23'!$A:$A,"="&amp;$P$2,'Tong_hop_HQNV_2026Q1_2026-06-23'!$B:$B, "="&amp;'CHECK_DT-BT_chi_tiet'!A38)</f>
        <v>22420229</v>
      </c>
      <c r="Q38" s="7">
        <f>SUMIFS('HQ2'!$C:$C,'HQ2'!$A:$A, "="&amp;'CHECK_DT-BT_chi_tiet'!C38,'HQ2'!$B:$B, "="&amp;'CHECK_DT-BT_chi_tiet'!$P$3)</f>
        <v>22420229</v>
      </c>
      <c r="R38" s="7">
        <f t="shared" si="4"/>
        <v>0</v>
      </c>
      <c r="S38" s="7">
        <f>SUMIFS('Tong_hop_HQNV_2026Q1_2026-06-23'!$K:$K,'Tong_hop_HQNV_2026Q1_2026-06-23'!$A:$A,"="&amp;$S$2,'Tong_hop_HQNV_2026Q1_2026-06-23'!$B:$B, "="&amp;'CHECK_DT-BT_chi_tiet'!A38)</f>
        <v>0</v>
      </c>
      <c r="T38" s="7">
        <f>SUMIFS('HQ2'!$C:$C,'HQ2'!$A:$A, "="&amp;'CHECK_DT-BT_chi_tiet'!C38,'HQ2'!$B:$B, "="&amp;'CHECK_DT-BT_chi_tiet'!$S$3)</f>
        <v>0</v>
      </c>
      <c r="U38" s="7">
        <f t="shared" si="5"/>
        <v>0</v>
      </c>
      <c r="V38" s="7">
        <f>SUMIFS('Tong_hop_HQNV_2026Q1_2026-06-23'!$K:$K,'Tong_hop_HQNV_2026Q1_2026-06-23'!$A:$A,"="&amp;$V$2,'Tong_hop_HQNV_2026Q1_2026-06-23'!$B:$B, "="&amp;'CHECK_DT-BT_chi_tiet'!A38)</f>
        <v>0</v>
      </c>
      <c r="W38" s="7">
        <f>SUMIFS('HQ2'!$C:$C,'HQ2'!$A:$A, "="&amp;'CHECK_DT-BT_chi_tiet'!C38,'HQ2'!$B:$B, "="&amp;'CHECK_DT-BT_chi_tiet'!$V$3)</f>
        <v>0</v>
      </c>
      <c r="X38" s="7">
        <f t="shared" si="6"/>
        <v>0</v>
      </c>
      <c r="Y38" s="7">
        <f>SUMIFS('Tong_hop_HQNV_2026Q1_2026-06-23'!$K:$K,'Tong_hop_HQNV_2026Q1_2026-06-23'!$A:$A,"="&amp;$Y$2,'Tong_hop_HQNV_2026Q1_2026-06-23'!$B:$B, "="&amp;'CHECK_DT-BT_chi_tiet'!A38)</f>
        <v>223246001</v>
      </c>
      <c r="Z38" s="7">
        <f>SUMIFS('HQ2'!$C:$C,'HQ2'!$A:$A, "="&amp;'CHECK_DT-BT_chi_tiet'!C38,'HQ2'!$B:$B, "="&amp;'CHECK_DT-BT_chi_tiet'!$Y$3)</f>
        <v>223246001</v>
      </c>
      <c r="AA38" s="7">
        <f t="shared" si="7"/>
        <v>0</v>
      </c>
      <c r="AB38" s="7">
        <f>SUMIFS('Tong_hop_HQNV_2026Q1_2026-06-23'!$K:$K,'Tong_hop_HQNV_2026Q1_2026-06-23'!$A:$A,"="&amp;$AB$2,'Tong_hop_HQNV_2026Q1_2026-06-23'!$B:$B, "="&amp;'CHECK_DT-BT_chi_tiet'!A38)</f>
        <v>608415839</v>
      </c>
      <c r="AC38" s="7">
        <f>SUMIFS('HQ2'!$C:$C,'HQ2'!$A:$A, "="&amp;'CHECK_DT-BT_chi_tiet'!C38,'HQ2'!$B:$B, "="&amp;'CHECK_DT-BT_chi_tiet'!$AB$3)</f>
        <v>608415839</v>
      </c>
      <c r="AD38" s="7">
        <f t="shared" si="8"/>
        <v>0</v>
      </c>
      <c r="AE38" s="7">
        <f>SUMIFS('Tong_hop_HQNV_2026Q1_2026-06-23'!$K:$K,'Tong_hop_HQNV_2026Q1_2026-06-23'!$A:$A,"="&amp;$AE$2,'Tong_hop_HQNV_2026Q1_2026-06-23'!$B:$B, "="&amp;'CHECK_DT-BT_chi_tiet'!A38)</f>
        <v>82398181</v>
      </c>
      <c r="AF38" s="7">
        <f>SUMIFS('HQ2'!$C:$C,'HQ2'!$A:$A, "="&amp;'CHECK_DT-BT_chi_tiet'!C38,'HQ2'!$B:$B, "="&amp;'CHECK_DT-BT_chi_tiet'!$AE$3)</f>
        <v>82398181</v>
      </c>
      <c r="AG38" s="7">
        <f t="shared" si="9"/>
        <v>0</v>
      </c>
      <c r="AH38" s="7">
        <f>SUMIFS('Tong_hop_HQNV_2026Q1_2026-06-23'!$K:$K,'Tong_hop_HQNV_2026Q1_2026-06-23'!$A:$A,"="&amp;$AH$2,'Tong_hop_HQNV_2026Q1_2026-06-23'!$B:$B, "="&amp;'CHECK_DT-BT_chi_tiet'!A38)</f>
        <v>40577454</v>
      </c>
      <c r="AI38" s="7">
        <f>SUMIFS('HQ2'!$C:$C,'HQ2'!$A:$A, "="&amp;'CHECK_DT-BT_chi_tiet'!C38,'HQ2'!$B:$B, "="&amp;'CHECK_DT-BT_chi_tiet'!$AH$3)</f>
        <v>40577454</v>
      </c>
      <c r="AJ38" s="7">
        <f t="shared" si="10"/>
        <v>0</v>
      </c>
      <c r="AK38" s="7">
        <f>SUMIFS('Tong_hop_HQNV_2026Q1_2026-06-23'!$K:$K,'Tong_hop_HQNV_2026Q1_2026-06-23'!$A:$A,"="&amp;$AK$2,'Tong_hop_HQNV_2026Q1_2026-06-23'!$B:$B, "="&amp;'CHECK_DT-BT_chi_tiet'!A38)</f>
        <v>0</v>
      </c>
      <c r="AL38" s="7">
        <f>SUMIFS('Tong_hop_HQNV_2026Q1_2026-06-23'!$K:$K,'Tong_hop_HQNV_2026Q1_2026-06-23'!$A:$A,"="&amp;$AL$2,'Tong_hop_HQNV_2026Q1_2026-06-23'!$B:$B, "="&amp;'CHECK_DT-BT_chi_tiet'!A38)</f>
        <v>0</v>
      </c>
      <c r="AM38" s="23">
        <f>SUMIFS('Tong_hop_HQNV_2026Q1_2026-06-23'!$L:$L,'Tong_hop_HQNV_2026Q1_2026-06-23'!$B:$B, "="&amp;'CHECK_DT-BT_chi_tiet'!A38, 'Tong_hop_HQNV_2026Q1_2026-06-23'!$A:$A, "="&amp;'CHECK_DT-BT_chi_tiet'!$AM$2)</f>
        <v>2492097216</v>
      </c>
      <c r="AN38" s="29">
        <f>SUMIFS('HQ1'!$D:$D,'HQ1'!$A:$A, "="&amp;'CHECK_DT-BT_chi_tiet'!C38,'HQ1'!$B:$B,"="&amp;'CHECK_DT-BT_chi_tiet'!$AM$3)</f>
        <v>2492097216</v>
      </c>
      <c r="AO38" s="29">
        <f t="shared" si="11"/>
        <v>0</v>
      </c>
      <c r="AP38" s="7">
        <f>SUMIFS('Tong_hop_HQNV_2026Q1_2026-06-23'!$L:$L,'Tong_hop_HQNV_2026Q1_2026-06-23'!$B:$B, "="&amp;'CHECK_DT-BT_chi_tiet'!A38, 'Tong_hop_HQNV_2026Q1_2026-06-23'!$A:$A, "="&amp;'CHECK_DT-BT_chi_tiet'!$AP$2)</f>
        <v>0</v>
      </c>
      <c r="AQ38" s="29">
        <f>SUMIFS('HQ1'!$D:$D,'HQ1'!$A:$A, "="&amp;'CHECK_DT-BT_chi_tiet'!C38,'HQ1'!$B:$B,"="&amp;'CHECK_DT-BT_chi_tiet'!$AP$3)</f>
        <v>0</v>
      </c>
      <c r="AR38" s="7">
        <f t="shared" si="12"/>
        <v>0</v>
      </c>
      <c r="AS38" s="7">
        <f>SUMIFS('Tong_hop_HQNV_2026Q1_2026-06-23'!$L:$L,'Tong_hop_HQNV_2026Q1_2026-06-23'!$B:$B, "="&amp;'CHECK_DT-BT_chi_tiet'!A38, 'Tong_hop_HQNV_2026Q1_2026-06-23'!$A:$A, "="&amp;'CHECK_DT-BT_chi_tiet'!$AS$2)</f>
        <v>1731150588</v>
      </c>
      <c r="AT38" s="29">
        <f>SUMIFS('HQ1'!$D:$D,'HQ1'!$A:$A, "="&amp;'CHECK_DT-BT_chi_tiet'!C38,'HQ1'!$B:$B,"="&amp;'CHECK_DT-BT_chi_tiet'!$AS$3)</f>
        <v>1731150588</v>
      </c>
      <c r="AU38" s="7">
        <f t="shared" si="13"/>
        <v>0</v>
      </c>
      <c r="AV38" s="7">
        <f>SUMIFS('Tong_hop_HQNV_2026Q1_2026-06-23'!$L:$L,'Tong_hop_HQNV_2026Q1_2026-06-23'!$B:$B, "="&amp;'CHECK_DT-BT_chi_tiet'!A38, 'Tong_hop_HQNV_2026Q1_2026-06-23'!$A:$A, "="&amp;'CHECK_DT-BT_chi_tiet'!$AV$2)</f>
        <v>252987915</v>
      </c>
      <c r="AW38" s="29">
        <f>SUMIFS('HQ1'!$D:$D,'HQ1'!$A:$A, "="&amp;'CHECK_DT-BT_chi_tiet'!C38,'HQ1'!$B:$B,"="&amp;'CHECK_DT-BT_chi_tiet'!$AV$3)</f>
        <v>252987915</v>
      </c>
      <c r="AX38" s="7">
        <f t="shared" si="14"/>
        <v>0</v>
      </c>
      <c r="AY38" s="7">
        <f>SUMIFS('Tong_hop_HQNV_2026Q1_2026-06-23'!$L:$L,'Tong_hop_HQNV_2026Q1_2026-06-23'!$B:$B, "="&amp;'CHECK_DT-BT_chi_tiet'!A38, 'Tong_hop_HQNV_2026Q1_2026-06-23'!$A:$A, "="&amp;$AY$2)</f>
        <v>0</v>
      </c>
      <c r="AZ38" s="29">
        <f>SUMIFS('HQ2'!$J:$J,'HQ2'!$A:$A, "="&amp;'CHECK_DT-BT_chi_tiet'!C38,'HQ2'!$B:$B,"="&amp;'CHECK_DT-BT_chi_tiet'!$AY$3)</f>
        <v>0</v>
      </c>
      <c r="BA38" s="7">
        <f t="shared" si="15"/>
        <v>0</v>
      </c>
      <c r="BB38" s="7">
        <f>SUMIFS('Tong_hop_HQNV_2026Q1_2026-06-23'!$L:$L,'Tong_hop_HQNV_2026Q1_2026-06-23'!$B:$B, "="&amp;'CHECK_DT-BT_chi_tiet'!A38, 'Tong_hop_HQNV_2026Q1_2026-06-23'!$A:$A, "="&amp;$BB$2)</f>
        <v>0</v>
      </c>
      <c r="BC38" s="29">
        <f>SUMIFS('HQ2'!$J:$J,'HQ2'!$A:$A, "="&amp;'CHECK_DT-BT_chi_tiet'!C38,'HQ2'!$B:$B,"="&amp;'CHECK_DT-BT_chi_tiet'!$BB$3)</f>
        <v>0</v>
      </c>
      <c r="BD38" s="7">
        <f t="shared" si="16"/>
        <v>0</v>
      </c>
      <c r="BE38" s="7">
        <f>SUMIFS('Tong_hop_HQNV_2026Q1_2026-06-23'!$L:$L,'Tong_hop_HQNV_2026Q1_2026-06-23'!$B:$B, "="&amp;'CHECK_DT-BT_chi_tiet'!A38, 'Tong_hop_HQNV_2026Q1_2026-06-23'!$A:$A, "="&amp;$BE$2)</f>
        <v>0</v>
      </c>
      <c r="BF38" s="29">
        <f>SUMIFS('HQ2'!$J:$J,'HQ2'!$A:$A, "="&amp;'CHECK_DT-BT_chi_tiet'!C38,'HQ2'!$B:$B,"="&amp;'CHECK_DT-BT_chi_tiet'!$BE$3)</f>
        <v>0</v>
      </c>
      <c r="BG38" s="7">
        <f t="shared" si="17"/>
        <v>0</v>
      </c>
      <c r="BH38" s="7">
        <f>SUMIFS('Tong_hop_HQNV_2026Q1_2026-06-23'!$L:$L,'Tong_hop_HQNV_2026Q1_2026-06-23'!$B:$B, "="&amp;'CHECK_DT-BT_chi_tiet'!A38, 'Tong_hop_HQNV_2026Q1_2026-06-23'!$A:$A, "="&amp;$BH$2)</f>
        <v>55202375</v>
      </c>
      <c r="BI38" s="29">
        <f>SUMIFS('HQ2'!$J:$J,'HQ2'!$A:$A, "="&amp;'CHECK_DT-BT_chi_tiet'!C38,'HQ2'!$B:$B,"="&amp;'CHECK_DT-BT_chi_tiet'!$BH$3)</f>
        <v>55202375</v>
      </c>
      <c r="BJ38" s="7">
        <f t="shared" si="18"/>
        <v>0</v>
      </c>
      <c r="BK38" s="7">
        <f>SUMIFS('Tong_hop_HQNV_2026Q1_2026-06-23'!$L:$L,'Tong_hop_HQNV_2026Q1_2026-06-23'!$B:$B, "="&amp;'CHECK_DT-BT_chi_tiet'!A38, 'Tong_hop_HQNV_2026Q1_2026-06-23'!$A:$A, "="&amp;$BK$2)</f>
        <v>0</v>
      </c>
      <c r="BL38" s="29">
        <f>SUMIFS('HQ2'!$J:$J,'HQ2'!$A:$A, "="&amp;'CHECK_DT-BT_chi_tiet'!C38,'HQ2'!$B:$B,"="&amp;'CHECK_DT-BT_chi_tiet'!$BK$3)</f>
        <v>0</v>
      </c>
      <c r="BM38" s="7">
        <f t="shared" si="19"/>
        <v>0</v>
      </c>
      <c r="BN38" s="7">
        <f>SUMIFS('Tong_hop_HQNV_2026Q1_2026-06-23'!$L:$L,'Tong_hop_HQNV_2026Q1_2026-06-23'!$B:$B, "="&amp;'CHECK_DT-BT_chi_tiet'!A38, 'Tong_hop_HQNV_2026Q1_2026-06-23'!$A:$A, "="&amp;$BN$2)</f>
        <v>0</v>
      </c>
      <c r="BO38" s="29">
        <f>SUMIFS('HQ2'!$J:$J,'HQ2'!$A:$A, "="&amp;'CHECK_DT-BT_chi_tiet'!C38,'HQ2'!$B:$B,"="&amp;'CHECK_DT-BT_chi_tiet'!$BN$3)</f>
        <v>0</v>
      </c>
      <c r="BP38" s="7">
        <f t="shared" si="20"/>
        <v>0</v>
      </c>
      <c r="BQ38" s="7">
        <f>SUMIFS('Tong_hop_HQNV_2026Q1_2026-06-23'!$L:$L,'Tong_hop_HQNV_2026Q1_2026-06-23'!$B:$B, "="&amp;'CHECK_DT-BT_chi_tiet'!A38, 'Tong_hop_HQNV_2026Q1_2026-06-23'!$A:$A, "="&amp;$BQ$2)</f>
        <v>0</v>
      </c>
      <c r="BR38" s="29">
        <f>SUMIFS('HQ2'!$J:$J,'HQ2'!$A:$A, "="&amp;'CHECK_DT-BT_chi_tiet'!C38,'HQ2'!$B:$B,"="&amp;'CHECK_DT-BT_chi_tiet'!$BQ$3)</f>
        <v>0</v>
      </c>
      <c r="BS38" s="7">
        <f t="shared" si="21"/>
        <v>0</v>
      </c>
      <c r="BT38" s="7">
        <f>SUMIFS('Tong_hop_HQNV_2026Q1_2026-06-23'!$L:$L,'Tong_hop_HQNV_2026Q1_2026-06-23'!$B:$B, "="&amp;'CHECK_DT-BT_chi_tiet'!A38, 'Tong_hop_HQNV_2026Q1_2026-06-23'!$A:$A, "="&amp;$BT$2)</f>
        <v>0</v>
      </c>
      <c r="BU38" s="7">
        <f>SUMIFS('Tong_hop_HQNV_2026Q1_2026-06-23'!$L:$L,'Tong_hop_HQNV_2026Q1_2026-06-23'!$B:$B, "="&amp;'CHECK_DT-BT_chi_tiet'!A38, 'Tong_hop_HQNV_2026Q1_2026-06-23'!$A:$A, "="&amp;$BU$2)</f>
        <v>0</v>
      </c>
    </row>
    <row r="39" spans="1:73" x14ac:dyDescent="0.25">
      <c r="A39" s="9" t="s">
        <v>319</v>
      </c>
      <c r="B39" t="s">
        <v>177</v>
      </c>
      <c r="C39" t="s">
        <v>122</v>
      </c>
      <c r="D39" s="7">
        <f>SUMIFS('Tong_hop_HQNV_2026Q1_2026-06-23'!$K:$K,'Tong_hop_HQNV_2026Q1_2026-06-23'!$A:$A,"="&amp;'CHECK_DT-BT_chi_tiet'!$D$2,'Tong_hop_HQNV_2026Q1_2026-06-23'!$B:$B, "="&amp;'CHECK_DT-BT_chi_tiet'!A39)</f>
        <v>958543260</v>
      </c>
      <c r="E39" s="7">
        <f>SUMIFS('HQ1'!$C:$C,'HQ1'!$A:$A, "="&amp;'CHECK_DT-BT_chi_tiet'!C39,'HQ1'!$B:$B, "="&amp;'CHECK_DT-BT_chi_tiet'!$D$3)</f>
        <v>958543260</v>
      </c>
      <c r="F39" s="7">
        <f t="shared" si="0"/>
        <v>0</v>
      </c>
      <c r="G39" s="7">
        <f>SUMIFS('Tong_hop_HQNV_2026Q1_2026-06-23'!$K:$K,'Tong_hop_HQNV_2026Q1_2026-06-23'!$A:$A,"="&amp;'CHECK_DT-BT_chi_tiet'!$G$2,'Tong_hop_HQNV_2026Q1_2026-06-23'!$B:$B, "="&amp;'CHECK_DT-BT_chi_tiet'!A39)</f>
        <v>336264500</v>
      </c>
      <c r="H39" s="7">
        <f>SUMIFS('HQ1'!$C:$C,'HQ1'!$A:$A, "="&amp;'CHECK_DT-BT_chi_tiet'!C39,'HQ1'!$B:$B, "="&amp;'CHECK_DT-BT_chi_tiet'!$G$3)</f>
        <v>336264500</v>
      </c>
      <c r="I39" s="7">
        <f t="shared" si="1"/>
        <v>0</v>
      </c>
      <c r="J39" s="7">
        <f>SUMIFS('Tong_hop_HQNV_2026Q1_2026-06-23'!$K:$K,'Tong_hop_HQNV_2026Q1_2026-06-23'!$A:$A,"="&amp;'CHECK_DT-BT_chi_tiet'!$J$2,'Tong_hop_HQNV_2026Q1_2026-06-23'!$B:$B, "="&amp;'CHECK_DT-BT_chi_tiet'!A39)</f>
        <v>2641324485</v>
      </c>
      <c r="K39" s="7">
        <f>SUMIFS('HQ1'!$C:$C,'HQ1'!$A:$A, "="&amp;'CHECK_DT-BT_chi_tiet'!C39,'HQ1'!$B:$B, "="&amp;'CHECK_DT-BT_chi_tiet'!$J$3)</f>
        <v>2641324485</v>
      </c>
      <c r="L39" s="7">
        <f t="shared" si="2"/>
        <v>0</v>
      </c>
      <c r="M39" s="7">
        <f>SUMIFS('Tong_hop_HQNV_2026Q1_2026-06-23'!$K:$K,'Tong_hop_HQNV_2026Q1_2026-06-23'!$A:$A,"="&amp;'CHECK_DT-BT_chi_tiet'!$M$2,'Tong_hop_HQNV_2026Q1_2026-06-23'!$B:$B, "="&amp;'CHECK_DT-BT_chi_tiet'!A39)</f>
        <v>397167182</v>
      </c>
      <c r="N39" s="7">
        <f>SUMIFS('HQ1'!$C:$C,'HQ1'!$A:$A, "="&amp;'CHECK_DT-BT_chi_tiet'!C39,'HQ1'!$B:$B, "="&amp;'CHECK_DT-BT_chi_tiet'!$M$3)</f>
        <v>397167182</v>
      </c>
      <c r="O39" s="7">
        <f t="shared" si="3"/>
        <v>0</v>
      </c>
      <c r="P39" s="7">
        <f>SUMIFS('Tong_hop_HQNV_2026Q1_2026-06-23'!$K:$K,'Tong_hop_HQNV_2026Q1_2026-06-23'!$A:$A,"="&amp;$P$2,'Tong_hop_HQNV_2026Q1_2026-06-23'!$B:$B, "="&amp;'CHECK_DT-BT_chi_tiet'!A39)</f>
        <v>14804100</v>
      </c>
      <c r="Q39" s="7">
        <f>SUMIFS('HQ2'!$C:$C,'HQ2'!$A:$A, "="&amp;'CHECK_DT-BT_chi_tiet'!C39,'HQ2'!$B:$B, "="&amp;'CHECK_DT-BT_chi_tiet'!$P$3)</f>
        <v>14804100</v>
      </c>
      <c r="R39" s="7">
        <f t="shared" si="4"/>
        <v>0</v>
      </c>
      <c r="S39" s="7">
        <f>SUMIFS('Tong_hop_HQNV_2026Q1_2026-06-23'!$K:$K,'Tong_hop_HQNV_2026Q1_2026-06-23'!$A:$A,"="&amp;$S$2,'Tong_hop_HQNV_2026Q1_2026-06-23'!$B:$B, "="&amp;'CHECK_DT-BT_chi_tiet'!A39)</f>
        <v>0</v>
      </c>
      <c r="T39" s="7">
        <f>SUMIFS('HQ2'!$C:$C,'HQ2'!$A:$A, "="&amp;'CHECK_DT-BT_chi_tiet'!C39,'HQ2'!$B:$B, "="&amp;'CHECK_DT-BT_chi_tiet'!$S$3)</f>
        <v>0</v>
      </c>
      <c r="U39" s="7">
        <f t="shared" si="5"/>
        <v>0</v>
      </c>
      <c r="V39" s="7">
        <f>SUMIFS('Tong_hop_HQNV_2026Q1_2026-06-23'!$K:$K,'Tong_hop_HQNV_2026Q1_2026-06-23'!$A:$A,"="&amp;$V$2,'Tong_hop_HQNV_2026Q1_2026-06-23'!$B:$B, "="&amp;'CHECK_DT-BT_chi_tiet'!A39)</f>
        <v>0</v>
      </c>
      <c r="W39" s="7">
        <f>SUMIFS('HQ2'!$C:$C,'HQ2'!$A:$A, "="&amp;'CHECK_DT-BT_chi_tiet'!C39,'HQ2'!$B:$B, "="&amp;'CHECK_DT-BT_chi_tiet'!$V$3)</f>
        <v>0</v>
      </c>
      <c r="X39" s="7">
        <f t="shared" si="6"/>
        <v>0</v>
      </c>
      <c r="Y39" s="7">
        <f>SUMIFS('Tong_hop_HQNV_2026Q1_2026-06-23'!$K:$K,'Tong_hop_HQNV_2026Q1_2026-06-23'!$A:$A,"="&amp;$Y$2,'Tong_hop_HQNV_2026Q1_2026-06-23'!$B:$B, "="&amp;'CHECK_DT-BT_chi_tiet'!A39)</f>
        <v>6653600</v>
      </c>
      <c r="Z39" s="7">
        <f>SUMIFS('HQ2'!$C:$C,'HQ2'!$A:$A, "="&amp;'CHECK_DT-BT_chi_tiet'!C39,'HQ2'!$B:$B, "="&amp;'CHECK_DT-BT_chi_tiet'!$Y$3)</f>
        <v>6653600</v>
      </c>
      <c r="AA39" s="7">
        <f t="shared" si="7"/>
        <v>0</v>
      </c>
      <c r="AB39" s="7">
        <f>SUMIFS('Tong_hop_HQNV_2026Q1_2026-06-23'!$K:$K,'Tong_hop_HQNV_2026Q1_2026-06-23'!$A:$A,"="&amp;$AB$2,'Tong_hop_HQNV_2026Q1_2026-06-23'!$B:$B, "="&amp;'CHECK_DT-BT_chi_tiet'!A39)</f>
        <v>302327203</v>
      </c>
      <c r="AC39" s="7">
        <f>SUMIFS('HQ2'!$C:$C,'HQ2'!$A:$A, "="&amp;'CHECK_DT-BT_chi_tiet'!C39,'HQ2'!$B:$B, "="&amp;'CHECK_DT-BT_chi_tiet'!$AB$3)</f>
        <v>302327203</v>
      </c>
      <c r="AD39" s="7">
        <f t="shared" si="8"/>
        <v>0</v>
      </c>
      <c r="AE39" s="7">
        <f>SUMIFS('Tong_hop_HQNV_2026Q1_2026-06-23'!$K:$K,'Tong_hop_HQNV_2026Q1_2026-06-23'!$A:$A,"="&amp;$AE$2,'Tong_hop_HQNV_2026Q1_2026-06-23'!$B:$B, "="&amp;'CHECK_DT-BT_chi_tiet'!A39)</f>
        <v>81379090</v>
      </c>
      <c r="AF39" s="7">
        <f>SUMIFS('HQ2'!$C:$C,'HQ2'!$A:$A, "="&amp;'CHECK_DT-BT_chi_tiet'!C39,'HQ2'!$B:$B, "="&amp;'CHECK_DT-BT_chi_tiet'!$AE$3)</f>
        <v>81379090</v>
      </c>
      <c r="AG39" s="7">
        <f t="shared" si="9"/>
        <v>0</v>
      </c>
      <c r="AH39" s="7">
        <f>SUMIFS('Tong_hop_HQNV_2026Q1_2026-06-23'!$K:$K,'Tong_hop_HQNV_2026Q1_2026-06-23'!$A:$A,"="&amp;$AH$2,'Tong_hop_HQNV_2026Q1_2026-06-23'!$B:$B, "="&amp;'CHECK_DT-BT_chi_tiet'!A39)</f>
        <v>0</v>
      </c>
      <c r="AI39" s="7">
        <f>SUMIFS('HQ2'!$C:$C,'HQ2'!$A:$A, "="&amp;'CHECK_DT-BT_chi_tiet'!C39,'HQ2'!$B:$B, "="&amp;'CHECK_DT-BT_chi_tiet'!$AH$3)</f>
        <v>0</v>
      </c>
      <c r="AJ39" s="7">
        <f t="shared" si="10"/>
        <v>0</v>
      </c>
      <c r="AK39" s="7">
        <f>SUMIFS('Tong_hop_HQNV_2026Q1_2026-06-23'!$K:$K,'Tong_hop_HQNV_2026Q1_2026-06-23'!$A:$A,"="&amp;$AK$2,'Tong_hop_HQNV_2026Q1_2026-06-23'!$B:$B, "="&amp;'CHECK_DT-BT_chi_tiet'!A39)</f>
        <v>0</v>
      </c>
      <c r="AL39" s="7">
        <f>SUMIFS('Tong_hop_HQNV_2026Q1_2026-06-23'!$K:$K,'Tong_hop_HQNV_2026Q1_2026-06-23'!$A:$A,"="&amp;$AL$2,'Tong_hop_HQNV_2026Q1_2026-06-23'!$B:$B, "="&amp;'CHECK_DT-BT_chi_tiet'!A39)</f>
        <v>0</v>
      </c>
      <c r="AM39" s="23">
        <f>SUMIFS('Tong_hop_HQNV_2026Q1_2026-06-23'!$L:$L,'Tong_hop_HQNV_2026Q1_2026-06-23'!$B:$B, "="&amp;'CHECK_DT-BT_chi_tiet'!A39, 'Tong_hop_HQNV_2026Q1_2026-06-23'!$A:$A, "="&amp;'CHECK_DT-BT_chi_tiet'!$AM$2)</f>
        <v>664593000</v>
      </c>
      <c r="AN39" s="29">
        <f>SUMIFS('HQ1'!$D:$D,'HQ1'!$A:$A, "="&amp;'CHECK_DT-BT_chi_tiet'!C39,'HQ1'!$B:$B,"="&amp;'CHECK_DT-BT_chi_tiet'!$AM$3)</f>
        <v>664593000</v>
      </c>
      <c r="AO39" s="29">
        <f t="shared" si="11"/>
        <v>0</v>
      </c>
      <c r="AP39" s="7">
        <f>SUMIFS('Tong_hop_HQNV_2026Q1_2026-06-23'!$L:$L,'Tong_hop_HQNV_2026Q1_2026-06-23'!$B:$B, "="&amp;'CHECK_DT-BT_chi_tiet'!A39, 'Tong_hop_HQNV_2026Q1_2026-06-23'!$A:$A, "="&amp;'CHECK_DT-BT_chi_tiet'!$AP$2)</f>
        <v>0</v>
      </c>
      <c r="AQ39" s="29">
        <f>SUMIFS('HQ1'!$D:$D,'HQ1'!$A:$A, "="&amp;'CHECK_DT-BT_chi_tiet'!C39,'HQ1'!$B:$B,"="&amp;'CHECK_DT-BT_chi_tiet'!$AP$3)</f>
        <v>0</v>
      </c>
      <c r="AR39" s="7">
        <f t="shared" si="12"/>
        <v>0</v>
      </c>
      <c r="AS39" s="7">
        <f>SUMIFS('Tong_hop_HQNV_2026Q1_2026-06-23'!$L:$L,'Tong_hop_HQNV_2026Q1_2026-06-23'!$B:$B, "="&amp;'CHECK_DT-BT_chi_tiet'!A39, 'Tong_hop_HQNV_2026Q1_2026-06-23'!$A:$A, "="&amp;'CHECK_DT-BT_chi_tiet'!$AS$2)</f>
        <v>374107469</v>
      </c>
      <c r="AT39" s="29">
        <f>SUMIFS('HQ1'!$D:$D,'HQ1'!$A:$A, "="&amp;'CHECK_DT-BT_chi_tiet'!C39,'HQ1'!$B:$B,"="&amp;'CHECK_DT-BT_chi_tiet'!$AS$3)</f>
        <v>374107469</v>
      </c>
      <c r="AU39" s="7">
        <f t="shared" si="13"/>
        <v>0</v>
      </c>
      <c r="AV39" s="7">
        <f>SUMIFS('Tong_hop_HQNV_2026Q1_2026-06-23'!$L:$L,'Tong_hop_HQNV_2026Q1_2026-06-23'!$B:$B, "="&amp;'CHECK_DT-BT_chi_tiet'!A39, 'Tong_hop_HQNV_2026Q1_2026-06-23'!$A:$A, "="&amp;'CHECK_DT-BT_chi_tiet'!$AV$2)</f>
        <v>64070392</v>
      </c>
      <c r="AW39" s="29">
        <f>SUMIFS('HQ1'!$D:$D,'HQ1'!$A:$A, "="&amp;'CHECK_DT-BT_chi_tiet'!C39,'HQ1'!$B:$B,"="&amp;'CHECK_DT-BT_chi_tiet'!$AV$3)</f>
        <v>64070392</v>
      </c>
      <c r="AX39" s="7">
        <f t="shared" si="14"/>
        <v>0</v>
      </c>
      <c r="AY39" s="7">
        <f>SUMIFS('Tong_hop_HQNV_2026Q1_2026-06-23'!$L:$L,'Tong_hop_HQNV_2026Q1_2026-06-23'!$B:$B, "="&amp;'CHECK_DT-BT_chi_tiet'!A39, 'Tong_hop_HQNV_2026Q1_2026-06-23'!$A:$A, "="&amp;$AY$2)</f>
        <v>0</v>
      </c>
      <c r="AZ39" s="29">
        <f>SUMIFS('HQ2'!$J:$J,'HQ2'!$A:$A, "="&amp;'CHECK_DT-BT_chi_tiet'!C39,'HQ2'!$B:$B,"="&amp;'CHECK_DT-BT_chi_tiet'!$AY$3)</f>
        <v>0</v>
      </c>
      <c r="BA39" s="7">
        <f t="shared" si="15"/>
        <v>0</v>
      </c>
      <c r="BB39" s="7">
        <f>SUMIFS('Tong_hop_HQNV_2026Q1_2026-06-23'!$L:$L,'Tong_hop_HQNV_2026Q1_2026-06-23'!$B:$B, "="&amp;'CHECK_DT-BT_chi_tiet'!A39, 'Tong_hop_HQNV_2026Q1_2026-06-23'!$A:$A, "="&amp;$BB$2)</f>
        <v>0</v>
      </c>
      <c r="BC39" s="29">
        <f>SUMIFS('HQ2'!$J:$J,'HQ2'!$A:$A, "="&amp;'CHECK_DT-BT_chi_tiet'!C39,'HQ2'!$B:$B,"="&amp;'CHECK_DT-BT_chi_tiet'!$BB$3)</f>
        <v>0</v>
      </c>
      <c r="BD39" s="7">
        <f t="shared" si="16"/>
        <v>0</v>
      </c>
      <c r="BE39" s="7">
        <f>SUMIFS('Tong_hop_HQNV_2026Q1_2026-06-23'!$L:$L,'Tong_hop_HQNV_2026Q1_2026-06-23'!$B:$B, "="&amp;'CHECK_DT-BT_chi_tiet'!A39, 'Tong_hop_HQNV_2026Q1_2026-06-23'!$A:$A, "="&amp;$BE$2)</f>
        <v>0</v>
      </c>
      <c r="BF39" s="29">
        <f>SUMIFS('HQ2'!$J:$J,'HQ2'!$A:$A, "="&amp;'CHECK_DT-BT_chi_tiet'!C39,'HQ2'!$B:$B,"="&amp;'CHECK_DT-BT_chi_tiet'!$BE$3)</f>
        <v>0</v>
      </c>
      <c r="BG39" s="7">
        <f t="shared" si="17"/>
        <v>0</v>
      </c>
      <c r="BH39" s="7">
        <f>SUMIFS('Tong_hop_HQNV_2026Q1_2026-06-23'!$L:$L,'Tong_hop_HQNV_2026Q1_2026-06-23'!$B:$B, "="&amp;'CHECK_DT-BT_chi_tiet'!A39, 'Tong_hop_HQNV_2026Q1_2026-06-23'!$A:$A, "="&amp;$BH$2)</f>
        <v>0</v>
      </c>
      <c r="BI39" s="29">
        <f>SUMIFS('HQ2'!$J:$J,'HQ2'!$A:$A, "="&amp;'CHECK_DT-BT_chi_tiet'!C39,'HQ2'!$B:$B,"="&amp;'CHECK_DT-BT_chi_tiet'!$BH$3)</f>
        <v>0</v>
      </c>
      <c r="BJ39" s="7">
        <f t="shared" si="18"/>
        <v>0</v>
      </c>
      <c r="BK39" s="7">
        <f>SUMIFS('Tong_hop_HQNV_2026Q1_2026-06-23'!$L:$L,'Tong_hop_HQNV_2026Q1_2026-06-23'!$B:$B, "="&amp;'CHECK_DT-BT_chi_tiet'!A39, 'Tong_hop_HQNV_2026Q1_2026-06-23'!$A:$A, "="&amp;$BK$2)</f>
        <v>0</v>
      </c>
      <c r="BL39" s="29">
        <f>SUMIFS('HQ2'!$J:$J,'HQ2'!$A:$A, "="&amp;'CHECK_DT-BT_chi_tiet'!C39,'HQ2'!$B:$B,"="&amp;'CHECK_DT-BT_chi_tiet'!$BK$3)</f>
        <v>0</v>
      </c>
      <c r="BM39" s="7">
        <f t="shared" si="19"/>
        <v>0</v>
      </c>
      <c r="BN39" s="7">
        <f>SUMIFS('Tong_hop_HQNV_2026Q1_2026-06-23'!$L:$L,'Tong_hop_HQNV_2026Q1_2026-06-23'!$B:$B, "="&amp;'CHECK_DT-BT_chi_tiet'!A39, 'Tong_hop_HQNV_2026Q1_2026-06-23'!$A:$A, "="&amp;$BN$2)</f>
        <v>492827013</v>
      </c>
      <c r="BO39" s="29">
        <f>SUMIFS('HQ2'!$J:$J,'HQ2'!$A:$A, "="&amp;'CHECK_DT-BT_chi_tiet'!C39,'HQ2'!$B:$B,"="&amp;'CHECK_DT-BT_chi_tiet'!$BN$3)</f>
        <v>492827013</v>
      </c>
      <c r="BP39" s="7">
        <f t="shared" si="20"/>
        <v>0</v>
      </c>
      <c r="BQ39" s="7">
        <f>SUMIFS('Tong_hop_HQNV_2026Q1_2026-06-23'!$L:$L,'Tong_hop_HQNV_2026Q1_2026-06-23'!$B:$B, "="&amp;'CHECK_DT-BT_chi_tiet'!A39, 'Tong_hop_HQNV_2026Q1_2026-06-23'!$A:$A, "="&amp;$BQ$2)</f>
        <v>80500000</v>
      </c>
      <c r="BR39" s="29">
        <f>SUMIFS('HQ2'!$J:$J,'HQ2'!$A:$A, "="&amp;'CHECK_DT-BT_chi_tiet'!C39,'HQ2'!$B:$B,"="&amp;'CHECK_DT-BT_chi_tiet'!$BQ$3)</f>
        <v>80500000</v>
      </c>
      <c r="BS39" s="7">
        <f t="shared" si="21"/>
        <v>0</v>
      </c>
      <c r="BT39" s="7">
        <f>SUMIFS('Tong_hop_HQNV_2026Q1_2026-06-23'!$L:$L,'Tong_hop_HQNV_2026Q1_2026-06-23'!$B:$B, "="&amp;'CHECK_DT-BT_chi_tiet'!A39, 'Tong_hop_HQNV_2026Q1_2026-06-23'!$A:$A, "="&amp;$BT$2)</f>
        <v>0</v>
      </c>
      <c r="BU39" s="7">
        <f>SUMIFS('Tong_hop_HQNV_2026Q1_2026-06-23'!$L:$L,'Tong_hop_HQNV_2026Q1_2026-06-23'!$B:$B, "="&amp;'CHECK_DT-BT_chi_tiet'!A39, 'Tong_hop_HQNV_2026Q1_2026-06-23'!$A:$A, "="&amp;$BU$2)</f>
        <v>0</v>
      </c>
    </row>
    <row r="40" spans="1:73" x14ac:dyDescent="0.25">
      <c r="A40" s="9" t="s">
        <v>320</v>
      </c>
      <c r="B40" t="s">
        <v>178</v>
      </c>
      <c r="C40" t="s">
        <v>72</v>
      </c>
      <c r="D40" s="7">
        <f>SUMIFS('Tong_hop_HQNV_2026Q1_2026-06-23'!$K:$K,'Tong_hop_HQNV_2026Q1_2026-06-23'!$A:$A,"="&amp;'CHECK_DT-BT_chi_tiet'!$D$2,'Tong_hop_HQNV_2026Q1_2026-06-23'!$B:$B, "="&amp;'CHECK_DT-BT_chi_tiet'!A40)</f>
        <v>3791483460</v>
      </c>
      <c r="E40" s="7">
        <f>SUMIFS('HQ1'!$C:$C,'HQ1'!$A:$A, "="&amp;'CHECK_DT-BT_chi_tiet'!C40,'HQ1'!$B:$B, "="&amp;'CHECK_DT-BT_chi_tiet'!$D$3)</f>
        <v>3791483460</v>
      </c>
      <c r="F40" s="7">
        <f t="shared" si="0"/>
        <v>0</v>
      </c>
      <c r="G40" s="7">
        <f>SUMIFS('Tong_hop_HQNV_2026Q1_2026-06-23'!$K:$K,'Tong_hop_HQNV_2026Q1_2026-06-23'!$A:$A,"="&amp;'CHECK_DT-BT_chi_tiet'!$G$2,'Tong_hop_HQNV_2026Q1_2026-06-23'!$B:$B, "="&amp;'CHECK_DT-BT_chi_tiet'!A40)</f>
        <v>15704600</v>
      </c>
      <c r="H40" s="7">
        <f>SUMIFS('HQ1'!$C:$C,'HQ1'!$A:$A, "="&amp;'CHECK_DT-BT_chi_tiet'!C40,'HQ1'!$B:$B, "="&amp;'CHECK_DT-BT_chi_tiet'!$G$3)</f>
        <v>15704600</v>
      </c>
      <c r="I40" s="7">
        <f t="shared" si="1"/>
        <v>0</v>
      </c>
      <c r="J40" s="7">
        <f>SUMIFS('Tong_hop_HQNV_2026Q1_2026-06-23'!$K:$K,'Tong_hop_HQNV_2026Q1_2026-06-23'!$A:$A,"="&amp;'CHECK_DT-BT_chi_tiet'!$J$2,'Tong_hop_HQNV_2026Q1_2026-06-23'!$B:$B, "="&amp;'CHECK_DT-BT_chi_tiet'!A40)</f>
        <v>6225438511</v>
      </c>
      <c r="K40" s="7">
        <f>SUMIFS('HQ1'!$C:$C,'HQ1'!$A:$A, "="&amp;'CHECK_DT-BT_chi_tiet'!C40,'HQ1'!$B:$B, "="&amp;'CHECK_DT-BT_chi_tiet'!$J$3)</f>
        <v>6225438511</v>
      </c>
      <c r="L40" s="7">
        <f t="shared" si="2"/>
        <v>0</v>
      </c>
      <c r="M40" s="7">
        <f>SUMIFS('Tong_hop_HQNV_2026Q1_2026-06-23'!$K:$K,'Tong_hop_HQNV_2026Q1_2026-06-23'!$A:$A,"="&amp;'CHECK_DT-BT_chi_tiet'!$M$2,'Tong_hop_HQNV_2026Q1_2026-06-23'!$B:$B, "="&amp;'CHECK_DT-BT_chi_tiet'!A40)</f>
        <v>859919590</v>
      </c>
      <c r="N40" s="7">
        <f>SUMIFS('HQ1'!$C:$C,'HQ1'!$A:$A, "="&amp;'CHECK_DT-BT_chi_tiet'!C40,'HQ1'!$B:$B, "="&amp;'CHECK_DT-BT_chi_tiet'!$M$3)</f>
        <v>859919590</v>
      </c>
      <c r="O40" s="7">
        <f t="shared" si="3"/>
        <v>0</v>
      </c>
      <c r="P40" s="7">
        <f>SUMIFS('Tong_hop_HQNV_2026Q1_2026-06-23'!$K:$K,'Tong_hop_HQNV_2026Q1_2026-06-23'!$A:$A,"="&amp;$P$2,'Tong_hop_HQNV_2026Q1_2026-06-23'!$B:$B, "="&amp;'CHECK_DT-BT_chi_tiet'!A40)</f>
        <v>92217217</v>
      </c>
      <c r="Q40" s="7">
        <f>SUMIFS('HQ2'!$C:$C,'HQ2'!$A:$A, "="&amp;'CHECK_DT-BT_chi_tiet'!C40,'HQ2'!$B:$B, "="&amp;'CHECK_DT-BT_chi_tiet'!$P$3)</f>
        <v>92217217</v>
      </c>
      <c r="R40" s="7">
        <f t="shared" si="4"/>
        <v>0</v>
      </c>
      <c r="S40" s="7">
        <f>SUMIFS('Tong_hop_HQNV_2026Q1_2026-06-23'!$K:$K,'Tong_hop_HQNV_2026Q1_2026-06-23'!$A:$A,"="&amp;$S$2,'Tong_hop_HQNV_2026Q1_2026-06-23'!$B:$B, "="&amp;'CHECK_DT-BT_chi_tiet'!A40)</f>
        <v>-251062934</v>
      </c>
      <c r="T40" s="7">
        <f>SUMIFS('HQ2'!$C:$C,'HQ2'!$A:$A, "="&amp;'CHECK_DT-BT_chi_tiet'!C40,'HQ2'!$B:$B, "="&amp;'CHECK_DT-BT_chi_tiet'!$S$3)</f>
        <v>-251062934</v>
      </c>
      <c r="U40" s="7">
        <f t="shared" si="5"/>
        <v>0</v>
      </c>
      <c r="V40" s="7">
        <f>SUMIFS('Tong_hop_HQNV_2026Q1_2026-06-23'!$K:$K,'Tong_hop_HQNV_2026Q1_2026-06-23'!$A:$A,"="&amp;$V$2,'Tong_hop_HQNV_2026Q1_2026-06-23'!$B:$B, "="&amp;'CHECK_DT-BT_chi_tiet'!A40)</f>
        <v>0</v>
      </c>
      <c r="W40" s="7">
        <f>SUMIFS('HQ2'!$C:$C,'HQ2'!$A:$A, "="&amp;'CHECK_DT-BT_chi_tiet'!C40,'HQ2'!$B:$B, "="&amp;'CHECK_DT-BT_chi_tiet'!$V$3)</f>
        <v>0</v>
      </c>
      <c r="X40" s="7">
        <f t="shared" si="6"/>
        <v>0</v>
      </c>
      <c r="Y40" s="7">
        <f>SUMIFS('Tong_hop_HQNV_2026Q1_2026-06-23'!$K:$K,'Tong_hop_HQNV_2026Q1_2026-06-23'!$A:$A,"="&amp;$Y$2,'Tong_hop_HQNV_2026Q1_2026-06-23'!$B:$B, "="&amp;'CHECK_DT-BT_chi_tiet'!A40)</f>
        <v>0</v>
      </c>
      <c r="Z40" s="7">
        <f>SUMIFS('HQ2'!$C:$C,'HQ2'!$A:$A, "="&amp;'CHECK_DT-BT_chi_tiet'!C40,'HQ2'!$B:$B, "="&amp;'CHECK_DT-BT_chi_tiet'!$Y$3)</f>
        <v>0</v>
      </c>
      <c r="AA40" s="7">
        <f t="shared" si="7"/>
        <v>0</v>
      </c>
      <c r="AB40" s="7">
        <f>SUMIFS('Tong_hop_HQNV_2026Q1_2026-06-23'!$K:$K,'Tong_hop_HQNV_2026Q1_2026-06-23'!$A:$A,"="&amp;$AB$2,'Tong_hop_HQNV_2026Q1_2026-06-23'!$B:$B, "="&amp;'CHECK_DT-BT_chi_tiet'!A40)</f>
        <v>6176825220</v>
      </c>
      <c r="AC40" s="7">
        <f>SUMIFS('HQ2'!$C:$C,'HQ2'!$A:$A, "="&amp;'CHECK_DT-BT_chi_tiet'!C40,'HQ2'!$B:$B, "="&amp;'CHECK_DT-BT_chi_tiet'!$AB$3)</f>
        <v>6176825220</v>
      </c>
      <c r="AD40" s="7">
        <f t="shared" si="8"/>
        <v>0</v>
      </c>
      <c r="AE40" s="7">
        <f>SUMIFS('Tong_hop_HQNV_2026Q1_2026-06-23'!$K:$K,'Tong_hop_HQNV_2026Q1_2026-06-23'!$A:$A,"="&amp;$AE$2,'Tong_hop_HQNV_2026Q1_2026-06-23'!$B:$B, "="&amp;'CHECK_DT-BT_chi_tiet'!A40)</f>
        <v>676405265</v>
      </c>
      <c r="AF40" s="7">
        <f>SUMIFS('HQ2'!$C:$C,'HQ2'!$A:$A, "="&amp;'CHECK_DT-BT_chi_tiet'!C40,'HQ2'!$B:$B, "="&amp;'CHECK_DT-BT_chi_tiet'!$AE$3)</f>
        <v>676405265</v>
      </c>
      <c r="AG40" s="7">
        <f t="shared" si="9"/>
        <v>0</v>
      </c>
      <c r="AH40" s="7">
        <f>SUMIFS('Tong_hop_HQNV_2026Q1_2026-06-23'!$K:$K,'Tong_hop_HQNV_2026Q1_2026-06-23'!$A:$A,"="&amp;$AH$2,'Tong_hop_HQNV_2026Q1_2026-06-23'!$B:$B, "="&amp;'CHECK_DT-BT_chi_tiet'!A40)</f>
        <v>0</v>
      </c>
      <c r="AI40" s="7">
        <f>SUMIFS('HQ2'!$C:$C,'HQ2'!$A:$A, "="&amp;'CHECK_DT-BT_chi_tiet'!C40,'HQ2'!$B:$B, "="&amp;'CHECK_DT-BT_chi_tiet'!$AH$3)</f>
        <v>0</v>
      </c>
      <c r="AJ40" s="7">
        <f t="shared" si="10"/>
        <v>0</v>
      </c>
      <c r="AK40" s="7">
        <f>SUMIFS('Tong_hop_HQNV_2026Q1_2026-06-23'!$K:$K,'Tong_hop_HQNV_2026Q1_2026-06-23'!$A:$A,"="&amp;$AK$2,'Tong_hop_HQNV_2026Q1_2026-06-23'!$B:$B, "="&amp;'CHECK_DT-BT_chi_tiet'!A40)</f>
        <v>0</v>
      </c>
      <c r="AL40" s="7">
        <f>SUMIFS('Tong_hop_HQNV_2026Q1_2026-06-23'!$K:$K,'Tong_hop_HQNV_2026Q1_2026-06-23'!$A:$A,"="&amp;$AL$2,'Tong_hop_HQNV_2026Q1_2026-06-23'!$B:$B, "="&amp;'CHECK_DT-BT_chi_tiet'!A40)</f>
        <v>0</v>
      </c>
      <c r="AM40" s="23">
        <f>SUMIFS('Tong_hop_HQNV_2026Q1_2026-06-23'!$L:$L,'Tong_hop_HQNV_2026Q1_2026-06-23'!$B:$B, "="&amp;'CHECK_DT-BT_chi_tiet'!A40, 'Tong_hop_HQNV_2026Q1_2026-06-23'!$A:$A, "="&amp;'CHECK_DT-BT_chi_tiet'!$AM$2)</f>
        <v>5430630000</v>
      </c>
      <c r="AN40" s="29">
        <f>SUMIFS('HQ1'!$D:$D,'HQ1'!$A:$A, "="&amp;'CHECK_DT-BT_chi_tiet'!C40,'HQ1'!$B:$B,"="&amp;'CHECK_DT-BT_chi_tiet'!$AM$3)</f>
        <v>5430630000</v>
      </c>
      <c r="AO40" s="29">
        <f t="shared" si="11"/>
        <v>0</v>
      </c>
      <c r="AP40" s="7">
        <f>SUMIFS('Tong_hop_HQNV_2026Q1_2026-06-23'!$L:$L,'Tong_hop_HQNV_2026Q1_2026-06-23'!$B:$B, "="&amp;'CHECK_DT-BT_chi_tiet'!A40, 'Tong_hop_HQNV_2026Q1_2026-06-23'!$A:$A, "="&amp;'CHECK_DT-BT_chi_tiet'!$AP$2)</f>
        <v>0</v>
      </c>
      <c r="AQ40" s="29">
        <f>SUMIFS('HQ1'!$D:$D,'HQ1'!$A:$A, "="&amp;'CHECK_DT-BT_chi_tiet'!C40,'HQ1'!$B:$B,"="&amp;'CHECK_DT-BT_chi_tiet'!$AP$3)</f>
        <v>0</v>
      </c>
      <c r="AR40" s="7">
        <f t="shared" si="12"/>
        <v>0</v>
      </c>
      <c r="AS40" s="7">
        <f>SUMIFS('Tong_hop_HQNV_2026Q1_2026-06-23'!$L:$L,'Tong_hop_HQNV_2026Q1_2026-06-23'!$B:$B, "="&amp;'CHECK_DT-BT_chi_tiet'!A40, 'Tong_hop_HQNV_2026Q1_2026-06-23'!$A:$A, "="&amp;'CHECK_DT-BT_chi_tiet'!$AS$2)</f>
        <v>4765648773</v>
      </c>
      <c r="AT40" s="29">
        <f>SUMIFS('HQ1'!$D:$D,'HQ1'!$A:$A, "="&amp;'CHECK_DT-BT_chi_tiet'!C40,'HQ1'!$B:$B,"="&amp;'CHECK_DT-BT_chi_tiet'!$AS$3)</f>
        <v>4765648773</v>
      </c>
      <c r="AU40" s="7">
        <f t="shared" si="13"/>
        <v>0</v>
      </c>
      <c r="AV40" s="7">
        <f>SUMIFS('Tong_hop_HQNV_2026Q1_2026-06-23'!$L:$L,'Tong_hop_HQNV_2026Q1_2026-06-23'!$B:$B, "="&amp;'CHECK_DT-BT_chi_tiet'!A40, 'Tong_hop_HQNV_2026Q1_2026-06-23'!$A:$A, "="&amp;'CHECK_DT-BT_chi_tiet'!$AV$2)</f>
        <v>208470305</v>
      </c>
      <c r="AW40" s="29">
        <f>SUMIFS('HQ1'!$D:$D,'HQ1'!$A:$A, "="&amp;'CHECK_DT-BT_chi_tiet'!C40,'HQ1'!$B:$B,"="&amp;'CHECK_DT-BT_chi_tiet'!$AV$3)</f>
        <v>208470305</v>
      </c>
      <c r="AX40" s="7">
        <f t="shared" si="14"/>
        <v>0</v>
      </c>
      <c r="AY40" s="7">
        <f>SUMIFS('Tong_hop_HQNV_2026Q1_2026-06-23'!$L:$L,'Tong_hop_HQNV_2026Q1_2026-06-23'!$B:$B, "="&amp;'CHECK_DT-BT_chi_tiet'!A40, 'Tong_hop_HQNV_2026Q1_2026-06-23'!$A:$A, "="&amp;$AY$2)</f>
        <v>0</v>
      </c>
      <c r="AZ40" s="29">
        <f>SUMIFS('HQ2'!$J:$J,'HQ2'!$A:$A, "="&amp;'CHECK_DT-BT_chi_tiet'!C40,'HQ2'!$B:$B,"="&amp;'CHECK_DT-BT_chi_tiet'!$AY$3)</f>
        <v>0</v>
      </c>
      <c r="BA40" s="7">
        <f t="shared" si="15"/>
        <v>0</v>
      </c>
      <c r="BB40" s="7">
        <f>SUMIFS('Tong_hop_HQNV_2026Q1_2026-06-23'!$L:$L,'Tong_hop_HQNV_2026Q1_2026-06-23'!$B:$B, "="&amp;'CHECK_DT-BT_chi_tiet'!A40, 'Tong_hop_HQNV_2026Q1_2026-06-23'!$A:$A, "="&amp;$BB$2)</f>
        <v>0</v>
      </c>
      <c r="BC40" s="29">
        <f>SUMIFS('HQ2'!$J:$J,'HQ2'!$A:$A, "="&amp;'CHECK_DT-BT_chi_tiet'!C40,'HQ2'!$B:$B,"="&amp;'CHECK_DT-BT_chi_tiet'!$BB$3)</f>
        <v>0</v>
      </c>
      <c r="BD40" s="7">
        <f t="shared" si="16"/>
        <v>0</v>
      </c>
      <c r="BE40" s="7">
        <f>SUMIFS('Tong_hop_HQNV_2026Q1_2026-06-23'!$L:$L,'Tong_hop_HQNV_2026Q1_2026-06-23'!$B:$B, "="&amp;'CHECK_DT-BT_chi_tiet'!A40, 'Tong_hop_HQNV_2026Q1_2026-06-23'!$A:$A, "="&amp;$BE$2)</f>
        <v>0</v>
      </c>
      <c r="BF40" s="29">
        <f>SUMIFS('HQ2'!$J:$J,'HQ2'!$A:$A, "="&amp;'CHECK_DT-BT_chi_tiet'!C40,'HQ2'!$B:$B,"="&amp;'CHECK_DT-BT_chi_tiet'!$BE$3)</f>
        <v>0</v>
      </c>
      <c r="BG40" s="7">
        <f t="shared" si="17"/>
        <v>0</v>
      </c>
      <c r="BH40" s="7">
        <f>SUMIFS('Tong_hop_HQNV_2026Q1_2026-06-23'!$L:$L,'Tong_hop_HQNV_2026Q1_2026-06-23'!$B:$B, "="&amp;'CHECK_DT-BT_chi_tiet'!A40, 'Tong_hop_HQNV_2026Q1_2026-06-23'!$A:$A, "="&amp;$BH$2)</f>
        <v>0</v>
      </c>
      <c r="BI40" s="29">
        <f>SUMIFS('HQ2'!$J:$J,'HQ2'!$A:$A, "="&amp;'CHECK_DT-BT_chi_tiet'!C40,'HQ2'!$B:$B,"="&amp;'CHECK_DT-BT_chi_tiet'!$BH$3)</f>
        <v>0</v>
      </c>
      <c r="BJ40" s="7">
        <f t="shared" si="18"/>
        <v>0</v>
      </c>
      <c r="BK40" s="7">
        <f>SUMIFS('Tong_hop_HQNV_2026Q1_2026-06-23'!$L:$L,'Tong_hop_HQNV_2026Q1_2026-06-23'!$B:$B, "="&amp;'CHECK_DT-BT_chi_tiet'!A40, 'Tong_hop_HQNV_2026Q1_2026-06-23'!$A:$A, "="&amp;$BK$2)</f>
        <v>0</v>
      </c>
      <c r="BL40" s="29">
        <f>SUMIFS('HQ2'!$J:$J,'HQ2'!$A:$A, "="&amp;'CHECK_DT-BT_chi_tiet'!C40,'HQ2'!$B:$B,"="&amp;'CHECK_DT-BT_chi_tiet'!$BK$3)</f>
        <v>0</v>
      </c>
      <c r="BM40" s="7">
        <f t="shared" si="19"/>
        <v>0</v>
      </c>
      <c r="BN40" s="7">
        <f>SUMIFS('Tong_hop_HQNV_2026Q1_2026-06-23'!$L:$L,'Tong_hop_HQNV_2026Q1_2026-06-23'!$B:$B, "="&amp;'CHECK_DT-BT_chi_tiet'!A40, 'Tong_hop_HQNV_2026Q1_2026-06-23'!$A:$A, "="&amp;$BN$2)</f>
        <v>0</v>
      </c>
      <c r="BO40" s="29">
        <f>SUMIFS('HQ2'!$J:$J,'HQ2'!$A:$A, "="&amp;'CHECK_DT-BT_chi_tiet'!C40,'HQ2'!$B:$B,"="&amp;'CHECK_DT-BT_chi_tiet'!$BN$3)</f>
        <v>0</v>
      </c>
      <c r="BP40" s="7">
        <f t="shared" si="20"/>
        <v>0</v>
      </c>
      <c r="BQ40" s="7">
        <f>SUMIFS('Tong_hop_HQNV_2026Q1_2026-06-23'!$L:$L,'Tong_hop_HQNV_2026Q1_2026-06-23'!$B:$B, "="&amp;'CHECK_DT-BT_chi_tiet'!A40, 'Tong_hop_HQNV_2026Q1_2026-06-23'!$A:$A, "="&amp;$BQ$2)</f>
        <v>0</v>
      </c>
      <c r="BR40" s="29">
        <f>SUMIFS('HQ2'!$J:$J,'HQ2'!$A:$A, "="&amp;'CHECK_DT-BT_chi_tiet'!C40,'HQ2'!$B:$B,"="&amp;'CHECK_DT-BT_chi_tiet'!$BQ$3)</f>
        <v>0</v>
      </c>
      <c r="BS40" s="7">
        <f t="shared" si="21"/>
        <v>0</v>
      </c>
      <c r="BT40" s="7">
        <f>SUMIFS('Tong_hop_HQNV_2026Q1_2026-06-23'!$L:$L,'Tong_hop_HQNV_2026Q1_2026-06-23'!$B:$B, "="&amp;'CHECK_DT-BT_chi_tiet'!A40, 'Tong_hop_HQNV_2026Q1_2026-06-23'!$A:$A, "="&amp;$BT$2)</f>
        <v>0</v>
      </c>
      <c r="BU40" s="7">
        <f>SUMIFS('Tong_hop_HQNV_2026Q1_2026-06-23'!$L:$L,'Tong_hop_HQNV_2026Q1_2026-06-23'!$B:$B, "="&amp;'CHECK_DT-BT_chi_tiet'!A40, 'Tong_hop_HQNV_2026Q1_2026-06-23'!$A:$A, "="&amp;$BU$2)</f>
        <v>0</v>
      </c>
    </row>
    <row r="41" spans="1:73" s="30" customFormat="1" x14ac:dyDescent="0.25">
      <c r="A41" s="36" t="s">
        <v>321</v>
      </c>
      <c r="B41" s="30" t="s">
        <v>179</v>
      </c>
      <c r="C41" s="30" t="s">
        <v>57</v>
      </c>
      <c r="D41" s="26">
        <f>SUMIFS('Tong_hop_HQNV_2026Q1_2026-06-23'!$K:$K,'Tong_hop_HQNV_2026Q1_2026-06-23'!$A:$A,"="&amp;'CHECK_DT-BT_chi_tiet'!$D$2,'Tong_hop_HQNV_2026Q1_2026-06-23'!$B:$B, "="&amp;'CHECK_DT-BT_chi_tiet'!A41)</f>
        <v>2628016185</v>
      </c>
      <c r="E41" s="26">
        <f>SUMIFS('HQ1'!$C:$C,'HQ1'!$A:$A, "="&amp;'CHECK_DT-BT_chi_tiet'!C41,'HQ1'!$B:$B, "="&amp;'CHECK_DT-BT_chi_tiet'!$D$3)</f>
        <v>3204174085</v>
      </c>
      <c r="F41" s="26">
        <f t="shared" si="0"/>
        <v>-576157900</v>
      </c>
      <c r="G41" s="26">
        <f>SUMIFS('Tong_hop_HQNV_2026Q1_2026-06-23'!$K:$K,'Tong_hop_HQNV_2026Q1_2026-06-23'!$A:$A,"="&amp;'CHECK_DT-BT_chi_tiet'!$G$2,'Tong_hop_HQNV_2026Q1_2026-06-23'!$B:$B, "="&amp;'CHECK_DT-BT_chi_tiet'!A41)</f>
        <v>199794000</v>
      </c>
      <c r="H41" s="26">
        <f>SUMIFS('HQ1'!$C:$C,'HQ1'!$A:$A, "="&amp;'CHECK_DT-BT_chi_tiet'!C41,'HQ1'!$B:$B, "="&amp;'CHECK_DT-BT_chi_tiet'!$G$3)</f>
        <v>236940400</v>
      </c>
      <c r="I41" s="26">
        <f t="shared" si="1"/>
        <v>-37146400</v>
      </c>
      <c r="J41" s="26">
        <f>SUMIFS('Tong_hop_HQNV_2026Q1_2026-06-23'!$K:$K,'Tong_hop_HQNV_2026Q1_2026-06-23'!$A:$A,"="&amp;'CHECK_DT-BT_chi_tiet'!$J$2,'Tong_hop_HQNV_2026Q1_2026-06-23'!$B:$B, "="&amp;'CHECK_DT-BT_chi_tiet'!A41)</f>
        <v>12938654967</v>
      </c>
      <c r="K41" s="26">
        <f>SUMIFS('HQ1'!$C:$C,'HQ1'!$A:$A, "="&amp;'CHECK_DT-BT_chi_tiet'!C41,'HQ1'!$B:$B, "="&amp;'CHECK_DT-BT_chi_tiet'!$J$3)</f>
        <v>16989330030</v>
      </c>
      <c r="L41" s="26">
        <f t="shared" si="2"/>
        <v>-4050675063</v>
      </c>
      <c r="M41" s="26">
        <f>SUMIFS('Tong_hop_HQNV_2026Q1_2026-06-23'!$K:$K,'Tong_hop_HQNV_2026Q1_2026-06-23'!$A:$A,"="&amp;'CHECK_DT-BT_chi_tiet'!$M$2,'Tong_hop_HQNV_2026Q1_2026-06-23'!$B:$B, "="&amp;'CHECK_DT-BT_chi_tiet'!A41)</f>
        <v>4197291338</v>
      </c>
      <c r="N41" s="26">
        <f>SUMIFS('HQ1'!$C:$C,'HQ1'!$A:$A, "="&amp;'CHECK_DT-BT_chi_tiet'!C41,'HQ1'!$B:$B, "="&amp;'CHECK_DT-BT_chi_tiet'!$M$3)</f>
        <v>4947726373</v>
      </c>
      <c r="O41" s="26">
        <f t="shared" si="3"/>
        <v>-750435035</v>
      </c>
      <c r="P41" s="26">
        <f>SUMIFS('Tong_hop_HQNV_2026Q1_2026-06-23'!$K:$K,'Tong_hop_HQNV_2026Q1_2026-06-23'!$A:$A,"="&amp;$P$2,'Tong_hop_HQNV_2026Q1_2026-06-23'!$B:$B, "="&amp;'CHECK_DT-BT_chi_tiet'!A41)</f>
        <v>2751534172</v>
      </c>
      <c r="Q41" s="26">
        <f>SUMIFS('HQ2'!$C:$C,'HQ2'!$A:$A, "="&amp;'CHECK_DT-BT_chi_tiet'!C41,'HQ2'!$B:$B, "="&amp;'CHECK_DT-BT_chi_tiet'!$P$3)</f>
        <v>2790840351</v>
      </c>
      <c r="R41" s="26">
        <f t="shared" si="4"/>
        <v>-39306179</v>
      </c>
      <c r="S41" s="26">
        <f>SUMIFS('Tong_hop_HQNV_2026Q1_2026-06-23'!$K:$K,'Tong_hop_HQNV_2026Q1_2026-06-23'!$A:$A,"="&amp;$S$2,'Tong_hop_HQNV_2026Q1_2026-06-23'!$B:$B, "="&amp;'CHECK_DT-BT_chi_tiet'!A41)</f>
        <v>0</v>
      </c>
      <c r="T41" s="26">
        <f>SUMIFS('HQ2'!$C:$C,'HQ2'!$A:$A, "="&amp;'CHECK_DT-BT_chi_tiet'!C41,'HQ2'!$B:$B, "="&amp;'CHECK_DT-BT_chi_tiet'!$S$3)</f>
        <v>0</v>
      </c>
      <c r="U41" s="26">
        <f t="shared" si="5"/>
        <v>0</v>
      </c>
      <c r="V41" s="26">
        <f>SUMIFS('Tong_hop_HQNV_2026Q1_2026-06-23'!$K:$K,'Tong_hop_HQNV_2026Q1_2026-06-23'!$A:$A,"="&amp;$V$2,'Tong_hop_HQNV_2026Q1_2026-06-23'!$B:$B, "="&amp;'CHECK_DT-BT_chi_tiet'!A41)</f>
        <v>0</v>
      </c>
      <c r="W41" s="26">
        <f>SUMIFS('HQ2'!$C:$C,'HQ2'!$A:$A, "="&amp;'CHECK_DT-BT_chi_tiet'!C41,'HQ2'!$B:$B, "="&amp;'CHECK_DT-BT_chi_tiet'!$V$3)</f>
        <v>0</v>
      </c>
      <c r="X41" s="26">
        <f t="shared" si="6"/>
        <v>0</v>
      </c>
      <c r="Y41" s="26">
        <f>SUMIFS('Tong_hop_HQNV_2026Q1_2026-06-23'!$K:$K,'Tong_hop_HQNV_2026Q1_2026-06-23'!$A:$A,"="&amp;$Y$2,'Tong_hop_HQNV_2026Q1_2026-06-23'!$B:$B, "="&amp;'CHECK_DT-BT_chi_tiet'!A41)</f>
        <v>2261505191</v>
      </c>
      <c r="Z41" s="26">
        <f>SUMIFS('HQ2'!$C:$C,'HQ2'!$A:$A, "="&amp;'CHECK_DT-BT_chi_tiet'!C41,'HQ2'!$B:$B, "="&amp;'CHECK_DT-BT_chi_tiet'!$Y$3)</f>
        <v>2338471688</v>
      </c>
      <c r="AA41" s="26">
        <f t="shared" si="7"/>
        <v>-76966497</v>
      </c>
      <c r="AB41" s="26">
        <f>SUMIFS('Tong_hop_HQNV_2026Q1_2026-06-23'!$K:$K,'Tong_hop_HQNV_2026Q1_2026-06-23'!$A:$A,"="&amp;$AB$2,'Tong_hop_HQNV_2026Q1_2026-06-23'!$B:$B, "="&amp;'CHECK_DT-BT_chi_tiet'!A41)</f>
        <v>6496653845</v>
      </c>
      <c r="AC41" s="26">
        <f>SUMIFS('HQ2'!$C:$C,'HQ2'!$A:$A, "="&amp;'CHECK_DT-BT_chi_tiet'!C41,'HQ2'!$B:$B, "="&amp;'CHECK_DT-BT_chi_tiet'!$AB$3)</f>
        <v>9701188685</v>
      </c>
      <c r="AD41" s="26">
        <f t="shared" si="8"/>
        <v>-3204534840</v>
      </c>
      <c r="AE41" s="26">
        <f>SUMIFS('Tong_hop_HQNV_2026Q1_2026-06-23'!$K:$K,'Tong_hop_HQNV_2026Q1_2026-06-23'!$A:$A,"="&amp;$AE$2,'Tong_hop_HQNV_2026Q1_2026-06-23'!$B:$B, "="&amp;'CHECK_DT-BT_chi_tiet'!A41)</f>
        <v>1538055900</v>
      </c>
      <c r="AF41" s="26">
        <f>SUMIFS('HQ2'!$C:$C,'HQ2'!$A:$A, "="&amp;'CHECK_DT-BT_chi_tiet'!C41,'HQ2'!$B:$B, "="&amp;'CHECK_DT-BT_chi_tiet'!$AE$3)</f>
        <v>1843077085</v>
      </c>
      <c r="AG41" s="26">
        <f t="shared" si="9"/>
        <v>-305021185</v>
      </c>
      <c r="AH41" s="26">
        <f>SUMIFS('Tong_hop_HQNV_2026Q1_2026-06-23'!$K:$K,'Tong_hop_HQNV_2026Q1_2026-06-23'!$A:$A,"="&amp;$AH$2,'Tong_hop_HQNV_2026Q1_2026-06-23'!$B:$B, "="&amp;'CHECK_DT-BT_chi_tiet'!A41)</f>
        <v>527997622</v>
      </c>
      <c r="AI41" s="26">
        <f>SUMIFS('HQ2'!$C:$C,'HQ2'!$A:$A, "="&amp;'CHECK_DT-BT_chi_tiet'!C41,'HQ2'!$B:$B, "="&amp;'CHECK_DT-BT_chi_tiet'!$AH$3)</f>
        <v>527997622</v>
      </c>
      <c r="AJ41" s="26">
        <f t="shared" si="10"/>
        <v>0</v>
      </c>
      <c r="AK41" s="26">
        <f>SUMIFS('Tong_hop_HQNV_2026Q1_2026-06-23'!$K:$K,'Tong_hop_HQNV_2026Q1_2026-06-23'!$A:$A,"="&amp;$AK$2,'Tong_hop_HQNV_2026Q1_2026-06-23'!$B:$B, "="&amp;'CHECK_DT-BT_chi_tiet'!A41)</f>
        <v>0</v>
      </c>
      <c r="AL41" s="26">
        <f>SUMIFS('Tong_hop_HQNV_2026Q1_2026-06-23'!$K:$K,'Tong_hop_HQNV_2026Q1_2026-06-23'!$A:$A,"="&amp;$AL$2,'Tong_hop_HQNV_2026Q1_2026-06-23'!$B:$B, "="&amp;'CHECK_DT-BT_chi_tiet'!A41)</f>
        <v>0</v>
      </c>
      <c r="AM41" s="31">
        <f>SUMIFS('Tong_hop_HQNV_2026Q1_2026-06-23'!$L:$L,'Tong_hop_HQNV_2026Q1_2026-06-23'!$B:$B, "="&amp;'CHECK_DT-BT_chi_tiet'!A41, 'Tong_hop_HQNV_2026Q1_2026-06-23'!$A:$A, "="&amp;'CHECK_DT-BT_chi_tiet'!$AM$2)</f>
        <v>1408164716</v>
      </c>
      <c r="AN41" s="33">
        <f>SUMIFS('HQ1'!$D:$D,'HQ1'!$A:$A, "="&amp;'CHECK_DT-BT_chi_tiet'!C41,'HQ1'!$B:$B,"="&amp;'CHECK_DT-BT_chi_tiet'!$AM$3)</f>
        <v>1574244716</v>
      </c>
      <c r="AO41" s="33">
        <f t="shared" si="11"/>
        <v>-166080000</v>
      </c>
      <c r="AP41" s="26">
        <f>SUMIFS('Tong_hop_HQNV_2026Q1_2026-06-23'!$L:$L,'Tong_hop_HQNV_2026Q1_2026-06-23'!$B:$B, "="&amp;'CHECK_DT-BT_chi_tiet'!A41, 'Tong_hop_HQNV_2026Q1_2026-06-23'!$A:$A, "="&amp;'CHECK_DT-BT_chi_tiet'!$AP$2)</f>
        <v>48574816</v>
      </c>
      <c r="AQ41" s="33">
        <f>SUMIFS('HQ1'!$D:$D,'HQ1'!$A:$A, "="&amp;'CHECK_DT-BT_chi_tiet'!C41,'HQ1'!$B:$B,"="&amp;'CHECK_DT-BT_chi_tiet'!$AP$3)</f>
        <v>59948849</v>
      </c>
      <c r="AR41" s="26">
        <f t="shared" si="12"/>
        <v>-11374033</v>
      </c>
      <c r="AS41" s="26">
        <f>SUMIFS('Tong_hop_HQNV_2026Q1_2026-06-23'!$L:$L,'Tong_hop_HQNV_2026Q1_2026-06-23'!$B:$B, "="&amp;'CHECK_DT-BT_chi_tiet'!A41, 'Tong_hop_HQNV_2026Q1_2026-06-23'!$A:$A, "="&amp;'CHECK_DT-BT_chi_tiet'!$AS$2)</f>
        <v>9033901695</v>
      </c>
      <c r="AT41" s="33">
        <f>SUMIFS('HQ1'!$D:$D,'HQ1'!$A:$A, "="&amp;'CHECK_DT-BT_chi_tiet'!C41,'HQ1'!$B:$B,"="&amp;'CHECK_DT-BT_chi_tiet'!$AS$3)</f>
        <v>12332996504</v>
      </c>
      <c r="AU41" s="26">
        <f t="shared" si="13"/>
        <v>-3299094809</v>
      </c>
      <c r="AV41" s="26">
        <f>SUMIFS('Tong_hop_HQNV_2026Q1_2026-06-23'!$L:$L,'Tong_hop_HQNV_2026Q1_2026-06-23'!$B:$B, "="&amp;'CHECK_DT-BT_chi_tiet'!A41, 'Tong_hop_HQNV_2026Q1_2026-06-23'!$A:$A, "="&amp;'CHECK_DT-BT_chi_tiet'!$AV$2)</f>
        <v>2143799824</v>
      </c>
      <c r="AW41" s="33">
        <f>SUMIFS('HQ1'!$D:$D,'HQ1'!$A:$A, "="&amp;'CHECK_DT-BT_chi_tiet'!C41,'HQ1'!$B:$B,"="&amp;'CHECK_DT-BT_chi_tiet'!$AV$3)</f>
        <v>2283494044</v>
      </c>
      <c r="AX41" s="26">
        <f t="shared" si="14"/>
        <v>-139694220</v>
      </c>
      <c r="AY41" s="26">
        <f>SUMIFS('Tong_hop_HQNV_2026Q1_2026-06-23'!$L:$L,'Tong_hop_HQNV_2026Q1_2026-06-23'!$B:$B, "="&amp;'CHECK_DT-BT_chi_tiet'!A41, 'Tong_hop_HQNV_2026Q1_2026-06-23'!$A:$A, "="&amp;$AY$2)</f>
        <v>0</v>
      </c>
      <c r="AZ41" s="33">
        <f>SUMIFS('HQ2'!$J:$J,'HQ2'!$A:$A, "="&amp;'CHECK_DT-BT_chi_tiet'!C41,'HQ2'!$B:$B,"="&amp;'CHECK_DT-BT_chi_tiet'!$AY$3)</f>
        <v>0</v>
      </c>
      <c r="BA41" s="26">
        <f t="shared" si="15"/>
        <v>0</v>
      </c>
      <c r="BB41" s="26">
        <f>SUMIFS('Tong_hop_HQNV_2026Q1_2026-06-23'!$L:$L,'Tong_hop_HQNV_2026Q1_2026-06-23'!$B:$B, "="&amp;'CHECK_DT-BT_chi_tiet'!A41, 'Tong_hop_HQNV_2026Q1_2026-06-23'!$A:$A, "="&amp;$BB$2)</f>
        <v>0</v>
      </c>
      <c r="BC41" s="33">
        <f>SUMIFS('HQ2'!$J:$J,'HQ2'!$A:$A, "="&amp;'CHECK_DT-BT_chi_tiet'!C41,'HQ2'!$B:$B,"="&amp;'CHECK_DT-BT_chi_tiet'!$BB$3)</f>
        <v>0</v>
      </c>
      <c r="BD41" s="26">
        <f t="shared" si="16"/>
        <v>0</v>
      </c>
      <c r="BE41" s="26">
        <f>SUMIFS('Tong_hop_HQNV_2026Q1_2026-06-23'!$L:$L,'Tong_hop_HQNV_2026Q1_2026-06-23'!$B:$B, "="&amp;'CHECK_DT-BT_chi_tiet'!A41, 'Tong_hop_HQNV_2026Q1_2026-06-23'!$A:$A, "="&amp;$BE$2)</f>
        <v>0</v>
      </c>
      <c r="BF41" s="33">
        <f>SUMIFS('HQ2'!$J:$J,'HQ2'!$A:$A, "="&amp;'CHECK_DT-BT_chi_tiet'!C41,'HQ2'!$B:$B,"="&amp;'CHECK_DT-BT_chi_tiet'!$BE$3)</f>
        <v>0</v>
      </c>
      <c r="BG41" s="26">
        <f t="shared" si="17"/>
        <v>0</v>
      </c>
      <c r="BH41" s="26">
        <f>SUMIFS('Tong_hop_HQNV_2026Q1_2026-06-23'!$L:$L,'Tong_hop_HQNV_2026Q1_2026-06-23'!$B:$B, "="&amp;'CHECK_DT-BT_chi_tiet'!A41, 'Tong_hop_HQNV_2026Q1_2026-06-23'!$A:$A, "="&amp;$BH$2)</f>
        <v>22642000</v>
      </c>
      <c r="BI41" s="33">
        <f>SUMIFS('HQ2'!$J:$J,'HQ2'!$A:$A, "="&amp;'CHECK_DT-BT_chi_tiet'!C41,'HQ2'!$B:$B,"="&amp;'CHECK_DT-BT_chi_tiet'!$BH$3)</f>
        <v>22642000</v>
      </c>
      <c r="BJ41" s="26">
        <f t="shared" si="18"/>
        <v>0</v>
      </c>
      <c r="BK41" s="26">
        <f>SUMIFS('Tong_hop_HQNV_2026Q1_2026-06-23'!$L:$L,'Tong_hop_HQNV_2026Q1_2026-06-23'!$B:$B, "="&amp;'CHECK_DT-BT_chi_tiet'!A41, 'Tong_hop_HQNV_2026Q1_2026-06-23'!$A:$A, "="&amp;$BK$2)</f>
        <v>8825091836</v>
      </c>
      <c r="BL41" s="33">
        <f>SUMIFS('HQ2'!$J:$J,'HQ2'!$A:$A, "="&amp;'CHECK_DT-BT_chi_tiet'!C41,'HQ2'!$B:$B,"="&amp;'CHECK_DT-BT_chi_tiet'!$BK$3)</f>
        <v>12098485536</v>
      </c>
      <c r="BM41" s="26">
        <f t="shared" si="19"/>
        <v>-3273393700</v>
      </c>
      <c r="BN41" s="26">
        <f>SUMIFS('Tong_hop_HQNV_2026Q1_2026-06-23'!$L:$L,'Tong_hop_HQNV_2026Q1_2026-06-23'!$B:$B, "="&amp;'CHECK_DT-BT_chi_tiet'!A41, 'Tong_hop_HQNV_2026Q1_2026-06-23'!$A:$A, "="&amp;$BN$2)</f>
        <v>0</v>
      </c>
      <c r="BO41" s="33">
        <f>SUMIFS('HQ2'!$J:$J,'HQ2'!$A:$A, "="&amp;'CHECK_DT-BT_chi_tiet'!C41,'HQ2'!$B:$B,"="&amp;'CHECK_DT-BT_chi_tiet'!$BN$3)</f>
        <v>0</v>
      </c>
      <c r="BP41" s="26">
        <f t="shared" si="20"/>
        <v>0</v>
      </c>
      <c r="BQ41" s="26">
        <f>SUMIFS('Tong_hop_HQNV_2026Q1_2026-06-23'!$L:$L,'Tong_hop_HQNV_2026Q1_2026-06-23'!$B:$B, "="&amp;'CHECK_DT-BT_chi_tiet'!A41, 'Tong_hop_HQNV_2026Q1_2026-06-23'!$A:$A, "="&amp;$BQ$2)</f>
        <v>0</v>
      </c>
      <c r="BR41" s="33">
        <f>SUMIFS('HQ2'!$J:$J,'HQ2'!$A:$A, "="&amp;'CHECK_DT-BT_chi_tiet'!C41,'HQ2'!$B:$B,"="&amp;'CHECK_DT-BT_chi_tiet'!$BQ$3)</f>
        <v>0</v>
      </c>
      <c r="BS41" s="26">
        <f t="shared" si="21"/>
        <v>0</v>
      </c>
      <c r="BT41" s="26">
        <f>SUMIFS('Tong_hop_HQNV_2026Q1_2026-06-23'!$L:$L,'Tong_hop_HQNV_2026Q1_2026-06-23'!$B:$B, "="&amp;'CHECK_DT-BT_chi_tiet'!A41, 'Tong_hop_HQNV_2026Q1_2026-06-23'!$A:$A, "="&amp;$BT$2)</f>
        <v>0</v>
      </c>
      <c r="BU41" s="26">
        <f>SUMIFS('Tong_hop_HQNV_2026Q1_2026-06-23'!$L:$L,'Tong_hop_HQNV_2026Q1_2026-06-23'!$B:$B, "="&amp;'CHECK_DT-BT_chi_tiet'!A41, 'Tong_hop_HQNV_2026Q1_2026-06-23'!$A:$A, "="&amp;$BU$2)</f>
        <v>0</v>
      </c>
    </row>
    <row r="42" spans="1:73" x14ac:dyDescent="0.25">
      <c r="A42" s="9" t="s">
        <v>322</v>
      </c>
      <c r="B42" t="s">
        <v>180</v>
      </c>
      <c r="C42" t="s">
        <v>67</v>
      </c>
      <c r="D42" s="7">
        <f>SUMIFS('Tong_hop_HQNV_2026Q1_2026-06-23'!$K:$K,'Tong_hop_HQNV_2026Q1_2026-06-23'!$A:$A,"="&amp;'CHECK_DT-BT_chi_tiet'!$D$2,'Tong_hop_HQNV_2026Q1_2026-06-23'!$B:$B, "="&amp;'CHECK_DT-BT_chi_tiet'!A42)</f>
        <v>16134486735</v>
      </c>
      <c r="E42" s="7">
        <f>SUMIFS('HQ1'!$C:$C,'HQ1'!$A:$A, "="&amp;'CHECK_DT-BT_chi_tiet'!C42,'HQ1'!$B:$B, "="&amp;'CHECK_DT-BT_chi_tiet'!$D$3)</f>
        <v>16134850410</v>
      </c>
      <c r="F42" s="7">
        <f t="shared" si="0"/>
        <v>-363675</v>
      </c>
      <c r="G42" s="7">
        <f>SUMIFS('Tong_hop_HQNV_2026Q1_2026-06-23'!$K:$K,'Tong_hop_HQNV_2026Q1_2026-06-23'!$A:$A,"="&amp;'CHECK_DT-BT_chi_tiet'!$G$2,'Tong_hop_HQNV_2026Q1_2026-06-23'!$B:$B, "="&amp;'CHECK_DT-BT_chi_tiet'!A42)</f>
        <v>461201200</v>
      </c>
      <c r="H42" s="7">
        <f>SUMIFS('HQ1'!$C:$C,'HQ1'!$A:$A, "="&amp;'CHECK_DT-BT_chi_tiet'!C42,'HQ1'!$B:$B, "="&amp;'CHECK_DT-BT_chi_tiet'!$G$3)</f>
        <v>461201200</v>
      </c>
      <c r="I42" s="7">
        <f t="shared" si="1"/>
        <v>0</v>
      </c>
      <c r="J42" s="7">
        <f>SUMIFS('Tong_hop_HQNV_2026Q1_2026-06-23'!$K:$K,'Tong_hop_HQNV_2026Q1_2026-06-23'!$A:$A,"="&amp;'CHECK_DT-BT_chi_tiet'!$J$2,'Tong_hop_HQNV_2026Q1_2026-06-23'!$B:$B, "="&amp;'CHECK_DT-BT_chi_tiet'!A42)</f>
        <v>10503388425</v>
      </c>
      <c r="K42" s="7">
        <f>SUMIFS('HQ1'!$C:$C,'HQ1'!$A:$A, "="&amp;'CHECK_DT-BT_chi_tiet'!C42,'HQ1'!$B:$B, "="&amp;'CHECK_DT-BT_chi_tiet'!$J$3)</f>
        <v>10503388425</v>
      </c>
      <c r="L42" s="7">
        <f t="shared" si="2"/>
        <v>0</v>
      </c>
      <c r="M42" s="7">
        <f>SUMIFS('Tong_hop_HQNV_2026Q1_2026-06-23'!$K:$K,'Tong_hop_HQNV_2026Q1_2026-06-23'!$A:$A,"="&amp;'CHECK_DT-BT_chi_tiet'!$M$2,'Tong_hop_HQNV_2026Q1_2026-06-23'!$B:$B, "="&amp;'CHECK_DT-BT_chi_tiet'!A42)</f>
        <v>1310474615</v>
      </c>
      <c r="N42" s="7">
        <f>SUMIFS('HQ1'!$C:$C,'HQ1'!$A:$A, "="&amp;'CHECK_DT-BT_chi_tiet'!C42,'HQ1'!$B:$B, "="&amp;'CHECK_DT-BT_chi_tiet'!$M$3)</f>
        <v>1310474615</v>
      </c>
      <c r="O42" s="7">
        <f t="shared" si="3"/>
        <v>0</v>
      </c>
      <c r="P42" s="7">
        <f>SUMIFS('Tong_hop_HQNV_2026Q1_2026-06-23'!$K:$K,'Tong_hop_HQNV_2026Q1_2026-06-23'!$A:$A,"="&amp;$P$2,'Tong_hop_HQNV_2026Q1_2026-06-23'!$B:$B, "="&amp;'CHECK_DT-BT_chi_tiet'!A42)</f>
        <v>474564509</v>
      </c>
      <c r="Q42" s="7">
        <f>SUMIFS('HQ2'!$C:$C,'HQ2'!$A:$A, "="&amp;'CHECK_DT-BT_chi_tiet'!C42,'HQ2'!$B:$B, "="&amp;'CHECK_DT-BT_chi_tiet'!$P$3)</f>
        <v>474564509</v>
      </c>
      <c r="R42" s="7">
        <f t="shared" si="4"/>
        <v>0</v>
      </c>
      <c r="S42" s="7">
        <f>SUMIFS('Tong_hop_HQNV_2026Q1_2026-06-23'!$K:$K,'Tong_hop_HQNV_2026Q1_2026-06-23'!$A:$A,"="&amp;$S$2,'Tong_hop_HQNV_2026Q1_2026-06-23'!$B:$B, "="&amp;'CHECK_DT-BT_chi_tiet'!A42)</f>
        <v>0</v>
      </c>
      <c r="T42" s="7">
        <f>SUMIFS('HQ2'!$C:$C,'HQ2'!$A:$A, "="&amp;'CHECK_DT-BT_chi_tiet'!C42,'HQ2'!$B:$B, "="&amp;'CHECK_DT-BT_chi_tiet'!$S$3)</f>
        <v>0</v>
      </c>
      <c r="U42" s="7">
        <f t="shared" si="5"/>
        <v>0</v>
      </c>
      <c r="V42" s="7">
        <f>SUMIFS('Tong_hop_HQNV_2026Q1_2026-06-23'!$K:$K,'Tong_hop_HQNV_2026Q1_2026-06-23'!$A:$A,"="&amp;$V$2,'Tong_hop_HQNV_2026Q1_2026-06-23'!$B:$B, "="&amp;'CHECK_DT-BT_chi_tiet'!A42)</f>
        <v>93775000</v>
      </c>
      <c r="W42" s="7">
        <f>SUMIFS('HQ2'!$C:$C,'HQ2'!$A:$A, "="&amp;'CHECK_DT-BT_chi_tiet'!C42,'HQ2'!$B:$B, "="&amp;'CHECK_DT-BT_chi_tiet'!$V$3)</f>
        <v>93775000</v>
      </c>
      <c r="X42" s="7">
        <f t="shared" si="6"/>
        <v>0</v>
      </c>
      <c r="Y42" s="7">
        <f>SUMIFS('Tong_hop_HQNV_2026Q1_2026-06-23'!$K:$K,'Tong_hop_HQNV_2026Q1_2026-06-23'!$A:$A,"="&amp;$Y$2,'Tong_hop_HQNV_2026Q1_2026-06-23'!$B:$B, "="&amp;'CHECK_DT-BT_chi_tiet'!A42)</f>
        <v>3312905769</v>
      </c>
      <c r="Z42" s="7">
        <f>SUMIFS('HQ2'!$C:$C,'HQ2'!$A:$A, "="&amp;'CHECK_DT-BT_chi_tiet'!C42,'HQ2'!$B:$B, "="&amp;'CHECK_DT-BT_chi_tiet'!$Y$3)</f>
        <v>3312542094</v>
      </c>
      <c r="AA42" s="7">
        <f t="shared" si="7"/>
        <v>363675</v>
      </c>
      <c r="AB42" s="7">
        <f>SUMIFS('Tong_hop_HQNV_2026Q1_2026-06-23'!$K:$K,'Tong_hop_HQNV_2026Q1_2026-06-23'!$A:$A,"="&amp;$AB$2,'Tong_hop_HQNV_2026Q1_2026-06-23'!$B:$B, "="&amp;'CHECK_DT-BT_chi_tiet'!A42)</f>
        <v>2515464064</v>
      </c>
      <c r="AC42" s="7">
        <f>SUMIFS('HQ2'!$C:$C,'HQ2'!$A:$A, "="&amp;'CHECK_DT-BT_chi_tiet'!C42,'HQ2'!$B:$B, "="&amp;'CHECK_DT-BT_chi_tiet'!$AB$3)</f>
        <v>2515464064</v>
      </c>
      <c r="AD42" s="7">
        <f t="shared" si="8"/>
        <v>0</v>
      </c>
      <c r="AE42" s="7">
        <f>SUMIFS('Tong_hop_HQNV_2026Q1_2026-06-23'!$K:$K,'Tong_hop_HQNV_2026Q1_2026-06-23'!$A:$A,"="&amp;$AE$2,'Tong_hop_HQNV_2026Q1_2026-06-23'!$B:$B, "="&amp;'CHECK_DT-BT_chi_tiet'!A42)</f>
        <v>1350437075</v>
      </c>
      <c r="AF42" s="7">
        <f>SUMIFS('HQ2'!$C:$C,'HQ2'!$A:$A, "="&amp;'CHECK_DT-BT_chi_tiet'!C42,'HQ2'!$B:$B, "="&amp;'CHECK_DT-BT_chi_tiet'!$AE$3)</f>
        <v>1350437075</v>
      </c>
      <c r="AG42" s="7">
        <f t="shared" si="9"/>
        <v>0</v>
      </c>
      <c r="AH42" s="7">
        <f>SUMIFS('Tong_hop_HQNV_2026Q1_2026-06-23'!$K:$K,'Tong_hop_HQNV_2026Q1_2026-06-23'!$A:$A,"="&amp;$AH$2,'Tong_hop_HQNV_2026Q1_2026-06-23'!$B:$B, "="&amp;'CHECK_DT-BT_chi_tiet'!A42)</f>
        <v>18000000</v>
      </c>
      <c r="AI42" s="7">
        <f>SUMIFS('HQ2'!$C:$C,'HQ2'!$A:$A, "="&amp;'CHECK_DT-BT_chi_tiet'!C42,'HQ2'!$B:$B, "="&amp;'CHECK_DT-BT_chi_tiet'!$AH$3)</f>
        <v>18000000</v>
      </c>
      <c r="AJ42" s="7">
        <f t="shared" si="10"/>
        <v>0</v>
      </c>
      <c r="AK42" s="7">
        <f>SUMIFS('Tong_hop_HQNV_2026Q1_2026-06-23'!$K:$K,'Tong_hop_HQNV_2026Q1_2026-06-23'!$A:$A,"="&amp;$AK$2,'Tong_hop_HQNV_2026Q1_2026-06-23'!$B:$B, "="&amp;'CHECK_DT-BT_chi_tiet'!A42)</f>
        <v>0</v>
      </c>
      <c r="AL42" s="7">
        <f>SUMIFS('Tong_hop_HQNV_2026Q1_2026-06-23'!$K:$K,'Tong_hop_HQNV_2026Q1_2026-06-23'!$A:$A,"="&amp;$AL$2,'Tong_hop_HQNV_2026Q1_2026-06-23'!$B:$B, "="&amp;'CHECK_DT-BT_chi_tiet'!A42)</f>
        <v>0</v>
      </c>
      <c r="AM42" s="23">
        <f>SUMIFS('Tong_hop_HQNV_2026Q1_2026-06-23'!$L:$L,'Tong_hop_HQNV_2026Q1_2026-06-23'!$B:$B, "="&amp;'CHECK_DT-BT_chi_tiet'!A42, 'Tong_hop_HQNV_2026Q1_2026-06-23'!$A:$A, "="&amp;'CHECK_DT-BT_chi_tiet'!$AM$2)</f>
        <v>8915518640</v>
      </c>
      <c r="AN42" s="29">
        <f>SUMIFS('HQ1'!$D:$D,'HQ1'!$A:$A, "="&amp;'CHECK_DT-BT_chi_tiet'!C42,'HQ1'!$B:$B,"="&amp;'CHECK_DT-BT_chi_tiet'!$AM$3)</f>
        <v>8915518640</v>
      </c>
      <c r="AO42" s="29">
        <f t="shared" si="11"/>
        <v>0</v>
      </c>
      <c r="AP42" s="7">
        <f>SUMIFS('Tong_hop_HQNV_2026Q1_2026-06-23'!$L:$L,'Tong_hop_HQNV_2026Q1_2026-06-23'!$B:$B, "="&amp;'CHECK_DT-BT_chi_tiet'!A42, 'Tong_hop_HQNV_2026Q1_2026-06-23'!$A:$A, "="&amp;'CHECK_DT-BT_chi_tiet'!$AP$2)</f>
        <v>730000</v>
      </c>
      <c r="AQ42" s="29">
        <f>SUMIFS('HQ1'!$D:$D,'HQ1'!$A:$A, "="&amp;'CHECK_DT-BT_chi_tiet'!C42,'HQ1'!$B:$B,"="&amp;'CHECK_DT-BT_chi_tiet'!$AP$3)</f>
        <v>730000</v>
      </c>
      <c r="AR42" s="7">
        <f t="shared" si="12"/>
        <v>0</v>
      </c>
      <c r="AS42" s="7">
        <f>SUMIFS('Tong_hop_HQNV_2026Q1_2026-06-23'!$L:$L,'Tong_hop_HQNV_2026Q1_2026-06-23'!$B:$B, "="&amp;'CHECK_DT-BT_chi_tiet'!A42, 'Tong_hop_HQNV_2026Q1_2026-06-23'!$A:$A, "="&amp;'CHECK_DT-BT_chi_tiet'!$AS$2)</f>
        <v>6173714734</v>
      </c>
      <c r="AT42" s="29">
        <f>SUMIFS('HQ1'!$D:$D,'HQ1'!$A:$A, "="&amp;'CHECK_DT-BT_chi_tiet'!C42,'HQ1'!$B:$B,"="&amp;'CHECK_DT-BT_chi_tiet'!$AS$3)</f>
        <v>6146364234</v>
      </c>
      <c r="AU42" s="7">
        <f t="shared" si="13"/>
        <v>27350500</v>
      </c>
      <c r="AV42" s="7">
        <f>SUMIFS('Tong_hop_HQNV_2026Q1_2026-06-23'!$L:$L,'Tong_hop_HQNV_2026Q1_2026-06-23'!$B:$B, "="&amp;'CHECK_DT-BT_chi_tiet'!A42, 'Tong_hop_HQNV_2026Q1_2026-06-23'!$A:$A, "="&amp;'CHECK_DT-BT_chi_tiet'!$AV$2)</f>
        <v>134497178</v>
      </c>
      <c r="AW42" s="29">
        <f>SUMIFS('HQ1'!$D:$D,'HQ1'!$A:$A, "="&amp;'CHECK_DT-BT_chi_tiet'!C42,'HQ1'!$B:$B,"="&amp;'CHECK_DT-BT_chi_tiet'!$AV$3)</f>
        <v>134497178</v>
      </c>
      <c r="AX42" s="7">
        <f t="shared" si="14"/>
        <v>0</v>
      </c>
      <c r="AY42" s="7">
        <f>SUMIFS('Tong_hop_HQNV_2026Q1_2026-06-23'!$L:$L,'Tong_hop_HQNV_2026Q1_2026-06-23'!$B:$B, "="&amp;'CHECK_DT-BT_chi_tiet'!A42, 'Tong_hop_HQNV_2026Q1_2026-06-23'!$A:$A, "="&amp;$AY$2)</f>
        <v>0</v>
      </c>
      <c r="AZ42" s="29">
        <f>SUMIFS('HQ2'!$J:$J,'HQ2'!$A:$A, "="&amp;'CHECK_DT-BT_chi_tiet'!C42,'HQ2'!$B:$B,"="&amp;'CHECK_DT-BT_chi_tiet'!$AY$3)</f>
        <v>0</v>
      </c>
      <c r="BA42" s="7">
        <f t="shared" si="15"/>
        <v>0</v>
      </c>
      <c r="BB42" s="7">
        <f>SUMIFS('Tong_hop_HQNV_2026Q1_2026-06-23'!$L:$L,'Tong_hop_HQNV_2026Q1_2026-06-23'!$B:$B, "="&amp;'CHECK_DT-BT_chi_tiet'!A42, 'Tong_hop_HQNV_2026Q1_2026-06-23'!$A:$A, "="&amp;$BB$2)</f>
        <v>0</v>
      </c>
      <c r="BC42" s="29">
        <f>SUMIFS('HQ2'!$J:$J,'HQ2'!$A:$A, "="&amp;'CHECK_DT-BT_chi_tiet'!C42,'HQ2'!$B:$B,"="&amp;'CHECK_DT-BT_chi_tiet'!$BB$3)</f>
        <v>0</v>
      </c>
      <c r="BD42" s="7">
        <f t="shared" si="16"/>
        <v>0</v>
      </c>
      <c r="BE42" s="7">
        <f>SUMIFS('Tong_hop_HQNV_2026Q1_2026-06-23'!$L:$L,'Tong_hop_HQNV_2026Q1_2026-06-23'!$B:$B, "="&amp;'CHECK_DT-BT_chi_tiet'!A42, 'Tong_hop_HQNV_2026Q1_2026-06-23'!$A:$A, "="&amp;$BE$2)</f>
        <v>0</v>
      </c>
      <c r="BF42" s="29">
        <f>SUMIFS('HQ2'!$J:$J,'HQ2'!$A:$A, "="&amp;'CHECK_DT-BT_chi_tiet'!C42,'HQ2'!$B:$B,"="&amp;'CHECK_DT-BT_chi_tiet'!$BE$3)</f>
        <v>0</v>
      </c>
      <c r="BG42" s="7">
        <f t="shared" si="17"/>
        <v>0</v>
      </c>
      <c r="BH42" s="7">
        <f>SUMIFS('Tong_hop_HQNV_2026Q1_2026-06-23'!$L:$L,'Tong_hop_HQNV_2026Q1_2026-06-23'!$B:$B, "="&amp;'CHECK_DT-BT_chi_tiet'!A42, 'Tong_hop_HQNV_2026Q1_2026-06-23'!$A:$A, "="&amp;$BH$2)</f>
        <v>446231306</v>
      </c>
      <c r="BI42" s="29">
        <f>SUMIFS('HQ2'!$J:$J,'HQ2'!$A:$A, "="&amp;'CHECK_DT-BT_chi_tiet'!C42,'HQ2'!$B:$B,"="&amp;'CHECK_DT-BT_chi_tiet'!$BH$3)</f>
        <v>446231306</v>
      </c>
      <c r="BJ42" s="7">
        <f t="shared" si="18"/>
        <v>0</v>
      </c>
      <c r="BK42" s="7">
        <f>SUMIFS('Tong_hop_HQNV_2026Q1_2026-06-23'!$L:$L,'Tong_hop_HQNV_2026Q1_2026-06-23'!$B:$B, "="&amp;'CHECK_DT-BT_chi_tiet'!A42, 'Tong_hop_HQNV_2026Q1_2026-06-23'!$A:$A, "="&amp;$BK$2)</f>
        <v>0</v>
      </c>
      <c r="BL42" s="29">
        <f>SUMIFS('HQ2'!$J:$J,'HQ2'!$A:$A, "="&amp;'CHECK_DT-BT_chi_tiet'!C42,'HQ2'!$B:$B,"="&amp;'CHECK_DT-BT_chi_tiet'!$BK$3)</f>
        <v>0</v>
      </c>
      <c r="BM42" s="7">
        <f t="shared" si="19"/>
        <v>0</v>
      </c>
      <c r="BN42" s="7">
        <f>SUMIFS('Tong_hop_HQNV_2026Q1_2026-06-23'!$L:$L,'Tong_hop_HQNV_2026Q1_2026-06-23'!$B:$B, "="&amp;'CHECK_DT-BT_chi_tiet'!A42, 'Tong_hop_HQNV_2026Q1_2026-06-23'!$A:$A, "="&amp;$BN$2)</f>
        <v>0</v>
      </c>
      <c r="BO42" s="29">
        <f>SUMIFS('HQ2'!$J:$J,'HQ2'!$A:$A, "="&amp;'CHECK_DT-BT_chi_tiet'!C42,'HQ2'!$B:$B,"="&amp;'CHECK_DT-BT_chi_tiet'!$BN$3)</f>
        <v>0</v>
      </c>
      <c r="BP42" s="7">
        <f t="shared" si="20"/>
        <v>0</v>
      </c>
      <c r="BQ42" s="7">
        <f>SUMIFS('Tong_hop_HQNV_2026Q1_2026-06-23'!$L:$L,'Tong_hop_HQNV_2026Q1_2026-06-23'!$B:$B, "="&amp;'CHECK_DT-BT_chi_tiet'!A42, 'Tong_hop_HQNV_2026Q1_2026-06-23'!$A:$A, "="&amp;$BQ$2)</f>
        <v>0</v>
      </c>
      <c r="BR42" s="29">
        <f>SUMIFS('HQ2'!$J:$J,'HQ2'!$A:$A, "="&amp;'CHECK_DT-BT_chi_tiet'!C42,'HQ2'!$B:$B,"="&amp;'CHECK_DT-BT_chi_tiet'!$BQ$3)</f>
        <v>0</v>
      </c>
      <c r="BS42" s="7">
        <f t="shared" si="21"/>
        <v>0</v>
      </c>
      <c r="BT42" s="7">
        <f>SUMIFS('Tong_hop_HQNV_2026Q1_2026-06-23'!$L:$L,'Tong_hop_HQNV_2026Q1_2026-06-23'!$B:$B, "="&amp;'CHECK_DT-BT_chi_tiet'!A42, 'Tong_hop_HQNV_2026Q1_2026-06-23'!$A:$A, "="&amp;$BT$2)</f>
        <v>0</v>
      </c>
      <c r="BU42" s="7">
        <f>SUMIFS('Tong_hop_HQNV_2026Q1_2026-06-23'!$L:$L,'Tong_hop_HQNV_2026Q1_2026-06-23'!$B:$B, "="&amp;'CHECK_DT-BT_chi_tiet'!A42, 'Tong_hop_HQNV_2026Q1_2026-06-23'!$A:$A, "="&amp;$BU$2)</f>
        <v>0</v>
      </c>
    </row>
    <row r="43" spans="1:73" x14ac:dyDescent="0.25">
      <c r="A43" s="9" t="s">
        <v>323</v>
      </c>
      <c r="B43" t="s">
        <v>181</v>
      </c>
      <c r="C43" t="s">
        <v>125</v>
      </c>
      <c r="D43" s="7">
        <f>SUMIFS('Tong_hop_HQNV_2026Q1_2026-06-23'!$K:$K,'Tong_hop_HQNV_2026Q1_2026-06-23'!$A:$A,"="&amp;'CHECK_DT-BT_chi_tiet'!$D$2,'Tong_hop_HQNV_2026Q1_2026-06-23'!$B:$B, "="&amp;'CHECK_DT-BT_chi_tiet'!A43)</f>
        <v>383877600</v>
      </c>
      <c r="E43" s="7">
        <f>SUMIFS('HQ1'!$C:$C,'HQ1'!$A:$A, "="&amp;'CHECK_DT-BT_chi_tiet'!C43,'HQ1'!$B:$B, "="&amp;'CHECK_DT-BT_chi_tiet'!$D$3)</f>
        <v>383877600</v>
      </c>
      <c r="F43" s="7">
        <f t="shared" si="0"/>
        <v>0</v>
      </c>
      <c r="G43" s="7">
        <f>SUMIFS('Tong_hop_HQNV_2026Q1_2026-06-23'!$K:$K,'Tong_hop_HQNV_2026Q1_2026-06-23'!$A:$A,"="&amp;'CHECK_DT-BT_chi_tiet'!$G$2,'Tong_hop_HQNV_2026Q1_2026-06-23'!$B:$B, "="&amp;'CHECK_DT-BT_chi_tiet'!A43)</f>
        <v>576000</v>
      </c>
      <c r="H43" s="7">
        <f>SUMIFS('HQ1'!$C:$C,'HQ1'!$A:$A, "="&amp;'CHECK_DT-BT_chi_tiet'!C43,'HQ1'!$B:$B, "="&amp;'CHECK_DT-BT_chi_tiet'!$G$3)</f>
        <v>576000</v>
      </c>
      <c r="I43" s="7">
        <f t="shared" si="1"/>
        <v>0</v>
      </c>
      <c r="J43" s="7">
        <f>SUMIFS('Tong_hop_HQNV_2026Q1_2026-06-23'!$K:$K,'Tong_hop_HQNV_2026Q1_2026-06-23'!$A:$A,"="&amp;'CHECK_DT-BT_chi_tiet'!$J$2,'Tong_hop_HQNV_2026Q1_2026-06-23'!$B:$B, "="&amp;'CHECK_DT-BT_chi_tiet'!A43)</f>
        <v>4102987168</v>
      </c>
      <c r="K43" s="7">
        <f>SUMIFS('HQ1'!$C:$C,'HQ1'!$A:$A, "="&amp;'CHECK_DT-BT_chi_tiet'!C43,'HQ1'!$B:$B, "="&amp;'CHECK_DT-BT_chi_tiet'!$J$3)</f>
        <v>4102987168</v>
      </c>
      <c r="L43" s="7">
        <f t="shared" si="2"/>
        <v>0</v>
      </c>
      <c r="M43" s="7">
        <f>SUMIFS('Tong_hop_HQNV_2026Q1_2026-06-23'!$K:$K,'Tong_hop_HQNV_2026Q1_2026-06-23'!$A:$A,"="&amp;'CHECK_DT-BT_chi_tiet'!$M$2,'Tong_hop_HQNV_2026Q1_2026-06-23'!$B:$B, "="&amp;'CHECK_DT-BT_chi_tiet'!A43)</f>
        <v>306098600</v>
      </c>
      <c r="N43" s="7">
        <f>SUMIFS('HQ1'!$C:$C,'HQ1'!$A:$A, "="&amp;'CHECK_DT-BT_chi_tiet'!C43,'HQ1'!$B:$B, "="&amp;'CHECK_DT-BT_chi_tiet'!$M$3)</f>
        <v>306098600</v>
      </c>
      <c r="O43" s="7">
        <f t="shared" si="3"/>
        <v>0</v>
      </c>
      <c r="P43" s="7">
        <f>SUMIFS('Tong_hop_HQNV_2026Q1_2026-06-23'!$K:$K,'Tong_hop_HQNV_2026Q1_2026-06-23'!$A:$A,"="&amp;$P$2,'Tong_hop_HQNV_2026Q1_2026-06-23'!$B:$B, "="&amp;'CHECK_DT-BT_chi_tiet'!A43)</f>
        <v>0</v>
      </c>
      <c r="Q43" s="7">
        <f>SUMIFS('HQ2'!$C:$C,'HQ2'!$A:$A, "="&amp;'CHECK_DT-BT_chi_tiet'!C43,'HQ2'!$B:$B, "="&amp;'CHECK_DT-BT_chi_tiet'!$P$3)</f>
        <v>0</v>
      </c>
      <c r="R43" s="7">
        <f t="shared" si="4"/>
        <v>0</v>
      </c>
      <c r="S43" s="7">
        <f>SUMIFS('Tong_hop_HQNV_2026Q1_2026-06-23'!$K:$K,'Tong_hop_HQNV_2026Q1_2026-06-23'!$A:$A,"="&amp;$S$2,'Tong_hop_HQNV_2026Q1_2026-06-23'!$B:$B, "="&amp;'CHECK_DT-BT_chi_tiet'!A43)</f>
        <v>0</v>
      </c>
      <c r="T43" s="7">
        <f>SUMIFS('HQ2'!$C:$C,'HQ2'!$A:$A, "="&amp;'CHECK_DT-BT_chi_tiet'!C43,'HQ2'!$B:$B, "="&amp;'CHECK_DT-BT_chi_tiet'!$S$3)</f>
        <v>0</v>
      </c>
      <c r="U43" s="7">
        <f t="shared" si="5"/>
        <v>0</v>
      </c>
      <c r="V43" s="7">
        <f>SUMIFS('Tong_hop_HQNV_2026Q1_2026-06-23'!$K:$K,'Tong_hop_HQNV_2026Q1_2026-06-23'!$A:$A,"="&amp;$V$2,'Tong_hop_HQNV_2026Q1_2026-06-23'!$B:$B, "="&amp;'CHECK_DT-BT_chi_tiet'!A43)</f>
        <v>0</v>
      </c>
      <c r="W43" s="7">
        <f>SUMIFS('HQ2'!$C:$C,'HQ2'!$A:$A, "="&amp;'CHECK_DT-BT_chi_tiet'!C43,'HQ2'!$B:$B, "="&amp;'CHECK_DT-BT_chi_tiet'!$V$3)</f>
        <v>0</v>
      </c>
      <c r="X43" s="7">
        <f t="shared" si="6"/>
        <v>0</v>
      </c>
      <c r="Y43" s="7">
        <f>SUMIFS('Tong_hop_HQNV_2026Q1_2026-06-23'!$K:$K,'Tong_hop_HQNV_2026Q1_2026-06-23'!$A:$A,"="&amp;$Y$2,'Tong_hop_HQNV_2026Q1_2026-06-23'!$B:$B, "="&amp;'CHECK_DT-BT_chi_tiet'!A43)</f>
        <v>0</v>
      </c>
      <c r="Z43" s="7">
        <f>SUMIFS('HQ2'!$C:$C,'HQ2'!$A:$A, "="&amp;'CHECK_DT-BT_chi_tiet'!C43,'HQ2'!$B:$B, "="&amp;'CHECK_DT-BT_chi_tiet'!$Y$3)</f>
        <v>0</v>
      </c>
      <c r="AA43" s="7">
        <f t="shared" si="7"/>
        <v>0</v>
      </c>
      <c r="AB43" s="7">
        <f>SUMIFS('Tong_hop_HQNV_2026Q1_2026-06-23'!$K:$K,'Tong_hop_HQNV_2026Q1_2026-06-23'!$A:$A,"="&amp;$AB$2,'Tong_hop_HQNV_2026Q1_2026-06-23'!$B:$B, "="&amp;'CHECK_DT-BT_chi_tiet'!A43)</f>
        <v>127757239</v>
      </c>
      <c r="AC43" s="7">
        <f>SUMIFS('HQ2'!$C:$C,'HQ2'!$A:$A, "="&amp;'CHECK_DT-BT_chi_tiet'!C43,'HQ2'!$B:$B, "="&amp;'CHECK_DT-BT_chi_tiet'!$AB$3)</f>
        <v>127757239</v>
      </c>
      <c r="AD43" s="7">
        <f t="shared" si="8"/>
        <v>0</v>
      </c>
      <c r="AE43" s="7">
        <f>SUMIFS('Tong_hop_HQNV_2026Q1_2026-06-23'!$K:$K,'Tong_hop_HQNV_2026Q1_2026-06-23'!$A:$A,"="&amp;$AE$2,'Tong_hop_HQNV_2026Q1_2026-06-23'!$B:$B, "="&amp;'CHECK_DT-BT_chi_tiet'!A43)</f>
        <v>141476672</v>
      </c>
      <c r="AF43" s="7">
        <f>SUMIFS('HQ2'!$C:$C,'HQ2'!$A:$A, "="&amp;'CHECK_DT-BT_chi_tiet'!C43,'HQ2'!$B:$B, "="&amp;'CHECK_DT-BT_chi_tiet'!$AE$3)</f>
        <v>141476672</v>
      </c>
      <c r="AG43" s="7">
        <f t="shared" si="9"/>
        <v>0</v>
      </c>
      <c r="AH43" s="7">
        <f>SUMIFS('Tong_hop_HQNV_2026Q1_2026-06-23'!$K:$K,'Tong_hop_HQNV_2026Q1_2026-06-23'!$A:$A,"="&amp;$AH$2,'Tong_hop_HQNV_2026Q1_2026-06-23'!$B:$B, "="&amp;'CHECK_DT-BT_chi_tiet'!A43)</f>
        <v>0</v>
      </c>
      <c r="AI43" s="7">
        <f>SUMIFS('HQ2'!$C:$C,'HQ2'!$A:$A, "="&amp;'CHECK_DT-BT_chi_tiet'!C43,'HQ2'!$B:$B, "="&amp;'CHECK_DT-BT_chi_tiet'!$AH$3)</f>
        <v>0</v>
      </c>
      <c r="AJ43" s="7">
        <f t="shared" si="10"/>
        <v>0</v>
      </c>
      <c r="AK43" s="7">
        <f>SUMIFS('Tong_hop_HQNV_2026Q1_2026-06-23'!$K:$K,'Tong_hop_HQNV_2026Q1_2026-06-23'!$A:$A,"="&amp;$AK$2,'Tong_hop_HQNV_2026Q1_2026-06-23'!$B:$B, "="&amp;'CHECK_DT-BT_chi_tiet'!A43)</f>
        <v>0</v>
      </c>
      <c r="AL43" s="7">
        <f>SUMIFS('Tong_hop_HQNV_2026Q1_2026-06-23'!$K:$K,'Tong_hop_HQNV_2026Q1_2026-06-23'!$A:$A,"="&amp;$AL$2,'Tong_hop_HQNV_2026Q1_2026-06-23'!$B:$B, "="&amp;'CHECK_DT-BT_chi_tiet'!A43)</f>
        <v>0</v>
      </c>
      <c r="AM43" s="23">
        <f>SUMIFS('Tong_hop_HQNV_2026Q1_2026-06-23'!$L:$L,'Tong_hop_HQNV_2026Q1_2026-06-23'!$B:$B, "="&amp;'CHECK_DT-BT_chi_tiet'!A43, 'Tong_hop_HQNV_2026Q1_2026-06-23'!$A:$A, "="&amp;'CHECK_DT-BT_chi_tiet'!$AM$2)</f>
        <v>329089000</v>
      </c>
      <c r="AN43" s="29">
        <f>SUMIFS('HQ1'!$D:$D,'HQ1'!$A:$A, "="&amp;'CHECK_DT-BT_chi_tiet'!C43,'HQ1'!$B:$B,"="&amp;'CHECK_DT-BT_chi_tiet'!$AM$3)</f>
        <v>329089000</v>
      </c>
      <c r="AO43" s="29">
        <f t="shared" si="11"/>
        <v>0</v>
      </c>
      <c r="AP43" s="7">
        <f>SUMIFS('Tong_hop_HQNV_2026Q1_2026-06-23'!$L:$L,'Tong_hop_HQNV_2026Q1_2026-06-23'!$B:$B, "="&amp;'CHECK_DT-BT_chi_tiet'!A43, 'Tong_hop_HQNV_2026Q1_2026-06-23'!$A:$A, "="&amp;'CHECK_DT-BT_chi_tiet'!$AP$2)</f>
        <v>0</v>
      </c>
      <c r="AQ43" s="29">
        <f>SUMIFS('HQ1'!$D:$D,'HQ1'!$A:$A, "="&amp;'CHECK_DT-BT_chi_tiet'!C43,'HQ1'!$B:$B,"="&amp;'CHECK_DT-BT_chi_tiet'!$AP$3)</f>
        <v>0</v>
      </c>
      <c r="AR43" s="7">
        <f t="shared" si="12"/>
        <v>0</v>
      </c>
      <c r="AS43" s="7">
        <f>SUMIFS('Tong_hop_HQNV_2026Q1_2026-06-23'!$L:$L,'Tong_hop_HQNV_2026Q1_2026-06-23'!$B:$B, "="&amp;'CHECK_DT-BT_chi_tiet'!A43, 'Tong_hop_HQNV_2026Q1_2026-06-23'!$A:$A, "="&amp;'CHECK_DT-BT_chi_tiet'!$AS$2)</f>
        <v>1344542110</v>
      </c>
      <c r="AT43" s="29">
        <f>SUMIFS('HQ1'!$D:$D,'HQ1'!$A:$A, "="&amp;'CHECK_DT-BT_chi_tiet'!C43,'HQ1'!$B:$B,"="&amp;'CHECK_DT-BT_chi_tiet'!$AS$3)</f>
        <v>1344542110</v>
      </c>
      <c r="AU43" s="7">
        <f t="shared" si="13"/>
        <v>0</v>
      </c>
      <c r="AV43" s="7">
        <f>SUMIFS('Tong_hop_HQNV_2026Q1_2026-06-23'!$L:$L,'Tong_hop_HQNV_2026Q1_2026-06-23'!$B:$B, "="&amp;'CHECK_DT-BT_chi_tiet'!A43, 'Tong_hop_HQNV_2026Q1_2026-06-23'!$A:$A, "="&amp;'CHECK_DT-BT_chi_tiet'!$AV$2)</f>
        <v>165378534</v>
      </c>
      <c r="AW43" s="29">
        <f>SUMIFS('HQ1'!$D:$D,'HQ1'!$A:$A, "="&amp;'CHECK_DT-BT_chi_tiet'!C43,'HQ1'!$B:$B,"="&amp;'CHECK_DT-BT_chi_tiet'!$AV$3)</f>
        <v>165378534</v>
      </c>
      <c r="AX43" s="7">
        <f t="shared" si="14"/>
        <v>0</v>
      </c>
      <c r="AY43" s="7">
        <f>SUMIFS('Tong_hop_HQNV_2026Q1_2026-06-23'!$L:$L,'Tong_hop_HQNV_2026Q1_2026-06-23'!$B:$B, "="&amp;'CHECK_DT-BT_chi_tiet'!A43, 'Tong_hop_HQNV_2026Q1_2026-06-23'!$A:$A, "="&amp;$AY$2)</f>
        <v>0</v>
      </c>
      <c r="AZ43" s="29">
        <f>SUMIFS('HQ2'!$J:$J,'HQ2'!$A:$A, "="&amp;'CHECK_DT-BT_chi_tiet'!C43,'HQ2'!$B:$B,"="&amp;'CHECK_DT-BT_chi_tiet'!$AY$3)</f>
        <v>0</v>
      </c>
      <c r="BA43" s="7">
        <f t="shared" si="15"/>
        <v>0</v>
      </c>
      <c r="BB43" s="7">
        <f>SUMIFS('Tong_hop_HQNV_2026Q1_2026-06-23'!$L:$L,'Tong_hop_HQNV_2026Q1_2026-06-23'!$B:$B, "="&amp;'CHECK_DT-BT_chi_tiet'!A43, 'Tong_hop_HQNV_2026Q1_2026-06-23'!$A:$A, "="&amp;$BB$2)</f>
        <v>0</v>
      </c>
      <c r="BC43" s="29">
        <f>SUMIFS('HQ2'!$J:$J,'HQ2'!$A:$A, "="&amp;'CHECK_DT-BT_chi_tiet'!C43,'HQ2'!$B:$B,"="&amp;'CHECK_DT-BT_chi_tiet'!$BB$3)</f>
        <v>0</v>
      </c>
      <c r="BD43" s="7">
        <f t="shared" si="16"/>
        <v>0</v>
      </c>
      <c r="BE43" s="7">
        <f>SUMIFS('Tong_hop_HQNV_2026Q1_2026-06-23'!$L:$L,'Tong_hop_HQNV_2026Q1_2026-06-23'!$B:$B, "="&amp;'CHECK_DT-BT_chi_tiet'!A43, 'Tong_hop_HQNV_2026Q1_2026-06-23'!$A:$A, "="&amp;$BE$2)</f>
        <v>0</v>
      </c>
      <c r="BF43" s="29">
        <f>SUMIFS('HQ2'!$J:$J,'HQ2'!$A:$A, "="&amp;'CHECK_DT-BT_chi_tiet'!C43,'HQ2'!$B:$B,"="&amp;'CHECK_DT-BT_chi_tiet'!$BE$3)</f>
        <v>0</v>
      </c>
      <c r="BG43" s="7">
        <f t="shared" si="17"/>
        <v>0</v>
      </c>
      <c r="BH43" s="7">
        <f>SUMIFS('Tong_hop_HQNV_2026Q1_2026-06-23'!$L:$L,'Tong_hop_HQNV_2026Q1_2026-06-23'!$B:$B, "="&amp;'CHECK_DT-BT_chi_tiet'!A43, 'Tong_hop_HQNV_2026Q1_2026-06-23'!$A:$A, "="&amp;$BH$2)</f>
        <v>0</v>
      </c>
      <c r="BI43" s="29">
        <f>SUMIFS('HQ2'!$J:$J,'HQ2'!$A:$A, "="&amp;'CHECK_DT-BT_chi_tiet'!C43,'HQ2'!$B:$B,"="&amp;'CHECK_DT-BT_chi_tiet'!$BH$3)</f>
        <v>0</v>
      </c>
      <c r="BJ43" s="7">
        <f t="shared" si="18"/>
        <v>0</v>
      </c>
      <c r="BK43" s="7">
        <f>SUMIFS('Tong_hop_HQNV_2026Q1_2026-06-23'!$L:$L,'Tong_hop_HQNV_2026Q1_2026-06-23'!$B:$B, "="&amp;'CHECK_DT-BT_chi_tiet'!A43, 'Tong_hop_HQNV_2026Q1_2026-06-23'!$A:$A, "="&amp;$BK$2)</f>
        <v>0</v>
      </c>
      <c r="BL43" s="29">
        <f>SUMIFS('HQ2'!$J:$J,'HQ2'!$A:$A, "="&amp;'CHECK_DT-BT_chi_tiet'!C43,'HQ2'!$B:$B,"="&amp;'CHECK_DT-BT_chi_tiet'!$BK$3)</f>
        <v>0</v>
      </c>
      <c r="BM43" s="7">
        <f t="shared" si="19"/>
        <v>0</v>
      </c>
      <c r="BN43" s="7">
        <f>SUMIFS('Tong_hop_HQNV_2026Q1_2026-06-23'!$L:$L,'Tong_hop_HQNV_2026Q1_2026-06-23'!$B:$B, "="&amp;'CHECK_DT-BT_chi_tiet'!A43, 'Tong_hop_HQNV_2026Q1_2026-06-23'!$A:$A, "="&amp;$BN$2)</f>
        <v>0</v>
      </c>
      <c r="BO43" s="29">
        <f>SUMIFS('HQ2'!$J:$J,'HQ2'!$A:$A, "="&amp;'CHECK_DT-BT_chi_tiet'!C43,'HQ2'!$B:$B,"="&amp;'CHECK_DT-BT_chi_tiet'!$BN$3)</f>
        <v>0</v>
      </c>
      <c r="BP43" s="7">
        <f t="shared" si="20"/>
        <v>0</v>
      </c>
      <c r="BQ43" s="7">
        <f>SUMIFS('Tong_hop_HQNV_2026Q1_2026-06-23'!$L:$L,'Tong_hop_HQNV_2026Q1_2026-06-23'!$B:$B, "="&amp;'CHECK_DT-BT_chi_tiet'!A43, 'Tong_hop_HQNV_2026Q1_2026-06-23'!$A:$A, "="&amp;$BQ$2)</f>
        <v>0</v>
      </c>
      <c r="BR43" s="29">
        <f>SUMIFS('HQ2'!$J:$J,'HQ2'!$A:$A, "="&amp;'CHECK_DT-BT_chi_tiet'!C43,'HQ2'!$B:$B,"="&amp;'CHECK_DT-BT_chi_tiet'!$BQ$3)</f>
        <v>0</v>
      </c>
      <c r="BS43" s="7">
        <f t="shared" si="21"/>
        <v>0</v>
      </c>
      <c r="BT43" s="7">
        <f>SUMIFS('Tong_hop_HQNV_2026Q1_2026-06-23'!$L:$L,'Tong_hop_HQNV_2026Q1_2026-06-23'!$B:$B, "="&amp;'CHECK_DT-BT_chi_tiet'!A43, 'Tong_hop_HQNV_2026Q1_2026-06-23'!$A:$A, "="&amp;$BT$2)</f>
        <v>0</v>
      </c>
      <c r="BU43" s="7">
        <f>SUMIFS('Tong_hop_HQNV_2026Q1_2026-06-23'!$L:$L,'Tong_hop_HQNV_2026Q1_2026-06-23'!$B:$B, "="&amp;'CHECK_DT-BT_chi_tiet'!A43, 'Tong_hop_HQNV_2026Q1_2026-06-23'!$A:$A, "="&amp;$BU$2)</f>
        <v>0</v>
      </c>
    </row>
    <row r="44" spans="1:73" x14ac:dyDescent="0.25">
      <c r="A44" s="9" t="s">
        <v>324</v>
      </c>
      <c r="B44" t="s">
        <v>182</v>
      </c>
      <c r="C44" t="s">
        <v>117</v>
      </c>
      <c r="D44" s="7">
        <f>SUMIFS('Tong_hop_HQNV_2026Q1_2026-06-23'!$K:$K,'Tong_hop_HQNV_2026Q1_2026-06-23'!$A:$A,"="&amp;'CHECK_DT-BT_chi_tiet'!$D$2,'Tong_hop_HQNV_2026Q1_2026-06-23'!$B:$B, "="&amp;'CHECK_DT-BT_chi_tiet'!A44)</f>
        <v>374207851</v>
      </c>
      <c r="E44" s="7">
        <f>SUMIFS('HQ1'!$C:$C,'HQ1'!$A:$A, "="&amp;'CHECK_DT-BT_chi_tiet'!C44,'HQ1'!$B:$B, "="&amp;'CHECK_DT-BT_chi_tiet'!$D$3)</f>
        <v>374207851</v>
      </c>
      <c r="F44" s="7">
        <f t="shared" si="0"/>
        <v>0</v>
      </c>
      <c r="G44" s="7">
        <f>SUMIFS('Tong_hop_HQNV_2026Q1_2026-06-23'!$K:$K,'Tong_hop_HQNV_2026Q1_2026-06-23'!$A:$A,"="&amp;'CHECK_DT-BT_chi_tiet'!$G$2,'Tong_hop_HQNV_2026Q1_2026-06-23'!$B:$B, "="&amp;'CHECK_DT-BT_chi_tiet'!A44)</f>
        <v>338100000</v>
      </c>
      <c r="H44" s="7">
        <f>SUMIFS('HQ1'!$C:$C,'HQ1'!$A:$A, "="&amp;'CHECK_DT-BT_chi_tiet'!C44,'HQ1'!$B:$B, "="&amp;'CHECK_DT-BT_chi_tiet'!$G$3)</f>
        <v>338100000</v>
      </c>
      <c r="I44" s="7">
        <f t="shared" si="1"/>
        <v>0</v>
      </c>
      <c r="J44" s="7">
        <f>SUMIFS('Tong_hop_HQNV_2026Q1_2026-06-23'!$K:$K,'Tong_hop_HQNV_2026Q1_2026-06-23'!$A:$A,"="&amp;'CHECK_DT-BT_chi_tiet'!$J$2,'Tong_hop_HQNV_2026Q1_2026-06-23'!$B:$B, "="&amp;'CHECK_DT-BT_chi_tiet'!A44)</f>
        <v>1238456571</v>
      </c>
      <c r="K44" s="7">
        <f>SUMIFS('HQ1'!$C:$C,'HQ1'!$A:$A, "="&amp;'CHECK_DT-BT_chi_tiet'!C44,'HQ1'!$B:$B, "="&amp;'CHECK_DT-BT_chi_tiet'!$J$3)</f>
        <v>1238456571</v>
      </c>
      <c r="L44" s="7">
        <f t="shared" si="2"/>
        <v>0</v>
      </c>
      <c r="M44" s="7">
        <f>SUMIFS('Tong_hop_HQNV_2026Q1_2026-06-23'!$K:$K,'Tong_hop_HQNV_2026Q1_2026-06-23'!$A:$A,"="&amp;'CHECK_DT-BT_chi_tiet'!$M$2,'Tong_hop_HQNV_2026Q1_2026-06-23'!$B:$B, "="&amp;'CHECK_DT-BT_chi_tiet'!A44)</f>
        <v>31918675</v>
      </c>
      <c r="N44" s="7">
        <f>SUMIFS('HQ1'!$C:$C,'HQ1'!$A:$A, "="&amp;'CHECK_DT-BT_chi_tiet'!C44,'HQ1'!$B:$B, "="&amp;'CHECK_DT-BT_chi_tiet'!$M$3)</f>
        <v>31918675</v>
      </c>
      <c r="O44" s="7">
        <f t="shared" si="3"/>
        <v>0</v>
      </c>
      <c r="P44" s="7">
        <f>SUMIFS('Tong_hop_HQNV_2026Q1_2026-06-23'!$K:$K,'Tong_hop_HQNV_2026Q1_2026-06-23'!$A:$A,"="&amp;$P$2,'Tong_hop_HQNV_2026Q1_2026-06-23'!$B:$B, "="&amp;'CHECK_DT-BT_chi_tiet'!A44)</f>
        <v>0</v>
      </c>
      <c r="Q44" s="7">
        <f>SUMIFS('HQ2'!$C:$C,'HQ2'!$A:$A, "="&amp;'CHECK_DT-BT_chi_tiet'!C44,'HQ2'!$B:$B, "="&amp;'CHECK_DT-BT_chi_tiet'!$P$3)</f>
        <v>0</v>
      </c>
      <c r="R44" s="7">
        <f t="shared" si="4"/>
        <v>0</v>
      </c>
      <c r="S44" s="7">
        <f>SUMIFS('Tong_hop_HQNV_2026Q1_2026-06-23'!$K:$K,'Tong_hop_HQNV_2026Q1_2026-06-23'!$A:$A,"="&amp;$S$2,'Tong_hop_HQNV_2026Q1_2026-06-23'!$B:$B, "="&amp;'CHECK_DT-BT_chi_tiet'!A44)</f>
        <v>0</v>
      </c>
      <c r="T44" s="7">
        <f>SUMIFS('HQ2'!$C:$C,'HQ2'!$A:$A, "="&amp;'CHECK_DT-BT_chi_tiet'!C44,'HQ2'!$B:$B, "="&amp;'CHECK_DT-BT_chi_tiet'!$S$3)</f>
        <v>0</v>
      </c>
      <c r="U44" s="7">
        <f t="shared" si="5"/>
        <v>0</v>
      </c>
      <c r="V44" s="7">
        <f>SUMIFS('Tong_hop_HQNV_2026Q1_2026-06-23'!$K:$K,'Tong_hop_HQNV_2026Q1_2026-06-23'!$A:$A,"="&amp;$V$2,'Tong_hop_HQNV_2026Q1_2026-06-23'!$B:$B, "="&amp;'CHECK_DT-BT_chi_tiet'!A44)</f>
        <v>0</v>
      </c>
      <c r="W44" s="7">
        <f>SUMIFS('HQ2'!$C:$C,'HQ2'!$A:$A, "="&amp;'CHECK_DT-BT_chi_tiet'!C44,'HQ2'!$B:$B, "="&amp;'CHECK_DT-BT_chi_tiet'!$V$3)</f>
        <v>0</v>
      </c>
      <c r="X44" s="7">
        <f t="shared" si="6"/>
        <v>0</v>
      </c>
      <c r="Y44" s="7">
        <f>SUMIFS('Tong_hop_HQNV_2026Q1_2026-06-23'!$K:$K,'Tong_hop_HQNV_2026Q1_2026-06-23'!$A:$A,"="&amp;$Y$2,'Tong_hop_HQNV_2026Q1_2026-06-23'!$B:$B, "="&amp;'CHECK_DT-BT_chi_tiet'!A44)</f>
        <v>0</v>
      </c>
      <c r="Z44" s="7">
        <f>SUMIFS('HQ2'!$C:$C,'HQ2'!$A:$A, "="&amp;'CHECK_DT-BT_chi_tiet'!C44,'HQ2'!$B:$B, "="&amp;'CHECK_DT-BT_chi_tiet'!$Y$3)</f>
        <v>0</v>
      </c>
      <c r="AA44" s="7">
        <f t="shared" si="7"/>
        <v>0</v>
      </c>
      <c r="AB44" s="7">
        <f>SUMIFS('Tong_hop_HQNV_2026Q1_2026-06-23'!$K:$K,'Tong_hop_HQNV_2026Q1_2026-06-23'!$A:$A,"="&amp;$AB$2,'Tong_hop_HQNV_2026Q1_2026-06-23'!$B:$B, "="&amp;'CHECK_DT-BT_chi_tiet'!A44)</f>
        <v>269074845</v>
      </c>
      <c r="AC44" s="7">
        <f>SUMIFS('HQ2'!$C:$C,'HQ2'!$A:$A, "="&amp;'CHECK_DT-BT_chi_tiet'!C44,'HQ2'!$B:$B, "="&amp;'CHECK_DT-BT_chi_tiet'!$AB$3)</f>
        <v>269074845</v>
      </c>
      <c r="AD44" s="7">
        <f t="shared" si="8"/>
        <v>0</v>
      </c>
      <c r="AE44" s="7">
        <f>SUMIFS('Tong_hop_HQNV_2026Q1_2026-06-23'!$K:$K,'Tong_hop_HQNV_2026Q1_2026-06-23'!$A:$A,"="&amp;$AE$2,'Tong_hop_HQNV_2026Q1_2026-06-23'!$B:$B, "="&amp;'CHECK_DT-BT_chi_tiet'!A44)</f>
        <v>352880910</v>
      </c>
      <c r="AF44" s="7">
        <f>SUMIFS('HQ2'!$C:$C,'HQ2'!$A:$A, "="&amp;'CHECK_DT-BT_chi_tiet'!C44,'HQ2'!$B:$B, "="&amp;'CHECK_DT-BT_chi_tiet'!$AE$3)</f>
        <v>352880910</v>
      </c>
      <c r="AG44" s="7">
        <f t="shared" si="9"/>
        <v>0</v>
      </c>
      <c r="AH44" s="7">
        <f>SUMIFS('Tong_hop_HQNV_2026Q1_2026-06-23'!$K:$K,'Tong_hop_HQNV_2026Q1_2026-06-23'!$A:$A,"="&amp;$AH$2,'Tong_hop_HQNV_2026Q1_2026-06-23'!$B:$B, "="&amp;'CHECK_DT-BT_chi_tiet'!A44)</f>
        <v>96658182</v>
      </c>
      <c r="AI44" s="7">
        <f>SUMIFS('HQ2'!$C:$C,'HQ2'!$A:$A, "="&amp;'CHECK_DT-BT_chi_tiet'!C44,'HQ2'!$B:$B, "="&amp;'CHECK_DT-BT_chi_tiet'!$AH$3)</f>
        <v>96658182</v>
      </c>
      <c r="AJ44" s="7">
        <f t="shared" si="10"/>
        <v>0</v>
      </c>
      <c r="AK44" s="7">
        <f>SUMIFS('Tong_hop_HQNV_2026Q1_2026-06-23'!$K:$K,'Tong_hop_HQNV_2026Q1_2026-06-23'!$A:$A,"="&amp;$AK$2,'Tong_hop_HQNV_2026Q1_2026-06-23'!$B:$B, "="&amp;'CHECK_DT-BT_chi_tiet'!A44)</f>
        <v>0</v>
      </c>
      <c r="AL44" s="7">
        <f>SUMIFS('Tong_hop_HQNV_2026Q1_2026-06-23'!$K:$K,'Tong_hop_HQNV_2026Q1_2026-06-23'!$A:$A,"="&amp;$AL$2,'Tong_hop_HQNV_2026Q1_2026-06-23'!$B:$B, "="&amp;'CHECK_DT-BT_chi_tiet'!A44)</f>
        <v>0</v>
      </c>
      <c r="AM44" s="23">
        <f>SUMIFS('Tong_hop_HQNV_2026Q1_2026-06-23'!$L:$L,'Tong_hop_HQNV_2026Q1_2026-06-23'!$B:$B, "="&amp;'CHECK_DT-BT_chi_tiet'!A44, 'Tong_hop_HQNV_2026Q1_2026-06-23'!$A:$A, "="&amp;'CHECK_DT-BT_chi_tiet'!$AM$2)</f>
        <v>98523000</v>
      </c>
      <c r="AN44" s="29">
        <f>SUMIFS('HQ1'!$D:$D,'HQ1'!$A:$A, "="&amp;'CHECK_DT-BT_chi_tiet'!C44,'HQ1'!$B:$B,"="&amp;'CHECK_DT-BT_chi_tiet'!$AM$3)</f>
        <v>98523000</v>
      </c>
      <c r="AO44" s="29">
        <f t="shared" si="11"/>
        <v>0</v>
      </c>
      <c r="AP44" s="7">
        <f>SUMIFS('Tong_hop_HQNV_2026Q1_2026-06-23'!$L:$L,'Tong_hop_HQNV_2026Q1_2026-06-23'!$B:$B, "="&amp;'CHECK_DT-BT_chi_tiet'!A44, 'Tong_hop_HQNV_2026Q1_2026-06-23'!$A:$A, "="&amp;'CHECK_DT-BT_chi_tiet'!$AP$2)</f>
        <v>0</v>
      </c>
      <c r="AQ44" s="29">
        <f>SUMIFS('HQ1'!$D:$D,'HQ1'!$A:$A, "="&amp;'CHECK_DT-BT_chi_tiet'!C44,'HQ1'!$B:$B,"="&amp;'CHECK_DT-BT_chi_tiet'!$AP$3)</f>
        <v>0</v>
      </c>
      <c r="AR44" s="7">
        <f t="shared" si="12"/>
        <v>0</v>
      </c>
      <c r="AS44" s="7">
        <f>SUMIFS('Tong_hop_HQNV_2026Q1_2026-06-23'!$L:$L,'Tong_hop_HQNV_2026Q1_2026-06-23'!$B:$B, "="&amp;'CHECK_DT-BT_chi_tiet'!A44, 'Tong_hop_HQNV_2026Q1_2026-06-23'!$A:$A, "="&amp;'CHECK_DT-BT_chi_tiet'!$AS$2)</f>
        <v>338637206</v>
      </c>
      <c r="AT44" s="29">
        <f>SUMIFS('HQ1'!$D:$D,'HQ1'!$A:$A, "="&amp;'CHECK_DT-BT_chi_tiet'!C44,'HQ1'!$B:$B,"="&amp;'CHECK_DT-BT_chi_tiet'!$AS$3)</f>
        <v>338637206</v>
      </c>
      <c r="AU44" s="7">
        <f t="shared" si="13"/>
        <v>0</v>
      </c>
      <c r="AV44" s="7">
        <f>SUMIFS('Tong_hop_HQNV_2026Q1_2026-06-23'!$L:$L,'Tong_hop_HQNV_2026Q1_2026-06-23'!$B:$B, "="&amp;'CHECK_DT-BT_chi_tiet'!A44, 'Tong_hop_HQNV_2026Q1_2026-06-23'!$A:$A, "="&amp;'CHECK_DT-BT_chi_tiet'!$AV$2)</f>
        <v>0</v>
      </c>
      <c r="AW44" s="29">
        <f>SUMIFS('HQ1'!$D:$D,'HQ1'!$A:$A, "="&amp;'CHECK_DT-BT_chi_tiet'!C44,'HQ1'!$B:$B,"="&amp;'CHECK_DT-BT_chi_tiet'!$AV$3)</f>
        <v>0</v>
      </c>
      <c r="AX44" s="7">
        <f t="shared" si="14"/>
        <v>0</v>
      </c>
      <c r="AY44" s="7">
        <f>SUMIFS('Tong_hop_HQNV_2026Q1_2026-06-23'!$L:$L,'Tong_hop_HQNV_2026Q1_2026-06-23'!$B:$B, "="&amp;'CHECK_DT-BT_chi_tiet'!A44, 'Tong_hop_HQNV_2026Q1_2026-06-23'!$A:$A, "="&amp;$AY$2)</f>
        <v>0</v>
      </c>
      <c r="AZ44" s="29">
        <f>SUMIFS('HQ2'!$J:$J,'HQ2'!$A:$A, "="&amp;'CHECK_DT-BT_chi_tiet'!C44,'HQ2'!$B:$B,"="&amp;'CHECK_DT-BT_chi_tiet'!$AY$3)</f>
        <v>0</v>
      </c>
      <c r="BA44" s="7">
        <f t="shared" si="15"/>
        <v>0</v>
      </c>
      <c r="BB44" s="7">
        <f>SUMIFS('Tong_hop_HQNV_2026Q1_2026-06-23'!$L:$L,'Tong_hop_HQNV_2026Q1_2026-06-23'!$B:$B, "="&amp;'CHECK_DT-BT_chi_tiet'!A44, 'Tong_hop_HQNV_2026Q1_2026-06-23'!$A:$A, "="&amp;$BB$2)</f>
        <v>0</v>
      </c>
      <c r="BC44" s="29">
        <f>SUMIFS('HQ2'!$J:$J,'HQ2'!$A:$A, "="&amp;'CHECK_DT-BT_chi_tiet'!C44,'HQ2'!$B:$B,"="&amp;'CHECK_DT-BT_chi_tiet'!$BB$3)</f>
        <v>0</v>
      </c>
      <c r="BD44" s="7">
        <f t="shared" si="16"/>
        <v>0</v>
      </c>
      <c r="BE44" s="7">
        <f>SUMIFS('Tong_hop_HQNV_2026Q1_2026-06-23'!$L:$L,'Tong_hop_HQNV_2026Q1_2026-06-23'!$B:$B, "="&amp;'CHECK_DT-BT_chi_tiet'!A44, 'Tong_hop_HQNV_2026Q1_2026-06-23'!$A:$A, "="&amp;$BE$2)</f>
        <v>0</v>
      </c>
      <c r="BF44" s="29">
        <f>SUMIFS('HQ2'!$J:$J,'HQ2'!$A:$A, "="&amp;'CHECK_DT-BT_chi_tiet'!C44,'HQ2'!$B:$B,"="&amp;'CHECK_DT-BT_chi_tiet'!$BE$3)</f>
        <v>0</v>
      </c>
      <c r="BG44" s="7">
        <f t="shared" si="17"/>
        <v>0</v>
      </c>
      <c r="BH44" s="7">
        <f>SUMIFS('Tong_hop_HQNV_2026Q1_2026-06-23'!$L:$L,'Tong_hop_HQNV_2026Q1_2026-06-23'!$B:$B, "="&amp;'CHECK_DT-BT_chi_tiet'!A44, 'Tong_hop_HQNV_2026Q1_2026-06-23'!$A:$A, "="&amp;$BH$2)</f>
        <v>0</v>
      </c>
      <c r="BI44" s="29">
        <f>SUMIFS('HQ2'!$J:$J,'HQ2'!$A:$A, "="&amp;'CHECK_DT-BT_chi_tiet'!C44,'HQ2'!$B:$B,"="&amp;'CHECK_DT-BT_chi_tiet'!$BH$3)</f>
        <v>0</v>
      </c>
      <c r="BJ44" s="7">
        <f t="shared" si="18"/>
        <v>0</v>
      </c>
      <c r="BK44" s="7">
        <f>SUMIFS('Tong_hop_HQNV_2026Q1_2026-06-23'!$L:$L,'Tong_hop_HQNV_2026Q1_2026-06-23'!$B:$B, "="&amp;'CHECK_DT-BT_chi_tiet'!A44, 'Tong_hop_HQNV_2026Q1_2026-06-23'!$A:$A, "="&amp;$BK$2)</f>
        <v>0</v>
      </c>
      <c r="BL44" s="29">
        <f>SUMIFS('HQ2'!$J:$J,'HQ2'!$A:$A, "="&amp;'CHECK_DT-BT_chi_tiet'!C44,'HQ2'!$B:$B,"="&amp;'CHECK_DT-BT_chi_tiet'!$BK$3)</f>
        <v>0</v>
      </c>
      <c r="BM44" s="7">
        <f t="shared" si="19"/>
        <v>0</v>
      </c>
      <c r="BN44" s="7">
        <f>SUMIFS('Tong_hop_HQNV_2026Q1_2026-06-23'!$L:$L,'Tong_hop_HQNV_2026Q1_2026-06-23'!$B:$B, "="&amp;'CHECK_DT-BT_chi_tiet'!A44, 'Tong_hop_HQNV_2026Q1_2026-06-23'!$A:$A, "="&amp;$BN$2)</f>
        <v>400000000</v>
      </c>
      <c r="BO44" s="29">
        <f>SUMIFS('HQ2'!$J:$J,'HQ2'!$A:$A, "="&amp;'CHECK_DT-BT_chi_tiet'!C44,'HQ2'!$B:$B,"="&amp;'CHECK_DT-BT_chi_tiet'!$BN$3)</f>
        <v>400000000</v>
      </c>
      <c r="BP44" s="7">
        <f t="shared" si="20"/>
        <v>0</v>
      </c>
      <c r="BQ44" s="7">
        <f>SUMIFS('Tong_hop_HQNV_2026Q1_2026-06-23'!$L:$L,'Tong_hop_HQNV_2026Q1_2026-06-23'!$B:$B, "="&amp;'CHECK_DT-BT_chi_tiet'!A44, 'Tong_hop_HQNV_2026Q1_2026-06-23'!$A:$A, "="&amp;$BQ$2)</f>
        <v>0</v>
      </c>
      <c r="BR44" s="29">
        <f>SUMIFS('HQ2'!$J:$J,'HQ2'!$A:$A, "="&amp;'CHECK_DT-BT_chi_tiet'!C44,'HQ2'!$B:$B,"="&amp;'CHECK_DT-BT_chi_tiet'!$BQ$3)</f>
        <v>0</v>
      </c>
      <c r="BS44" s="7">
        <f t="shared" si="21"/>
        <v>0</v>
      </c>
      <c r="BT44" s="7">
        <f>SUMIFS('Tong_hop_HQNV_2026Q1_2026-06-23'!$L:$L,'Tong_hop_HQNV_2026Q1_2026-06-23'!$B:$B, "="&amp;'CHECK_DT-BT_chi_tiet'!A44, 'Tong_hop_HQNV_2026Q1_2026-06-23'!$A:$A, "="&amp;$BT$2)</f>
        <v>0</v>
      </c>
      <c r="BU44" s="7">
        <f>SUMIFS('Tong_hop_HQNV_2026Q1_2026-06-23'!$L:$L,'Tong_hop_HQNV_2026Q1_2026-06-23'!$B:$B, "="&amp;'CHECK_DT-BT_chi_tiet'!A44, 'Tong_hop_HQNV_2026Q1_2026-06-23'!$A:$A, "="&amp;$BU$2)</f>
        <v>0</v>
      </c>
    </row>
    <row r="45" spans="1:73" x14ac:dyDescent="0.25">
      <c r="A45" s="9" t="s">
        <v>325</v>
      </c>
      <c r="B45" t="s">
        <v>183</v>
      </c>
      <c r="C45" t="s">
        <v>121</v>
      </c>
      <c r="D45" s="7">
        <f>SUMIFS('Tong_hop_HQNV_2026Q1_2026-06-23'!$K:$K,'Tong_hop_HQNV_2026Q1_2026-06-23'!$A:$A,"="&amp;'CHECK_DT-BT_chi_tiet'!$D$2,'Tong_hop_HQNV_2026Q1_2026-06-23'!$B:$B, "="&amp;'CHECK_DT-BT_chi_tiet'!A45)</f>
        <v>672950300</v>
      </c>
      <c r="E45" s="7">
        <f>SUMIFS('HQ1'!$C:$C,'HQ1'!$A:$A, "="&amp;'CHECK_DT-BT_chi_tiet'!C45,'HQ1'!$B:$B, "="&amp;'CHECK_DT-BT_chi_tiet'!$D$3)</f>
        <v>672950300</v>
      </c>
      <c r="F45" s="7">
        <f t="shared" si="0"/>
        <v>0</v>
      </c>
      <c r="G45" s="7">
        <f>SUMIFS('Tong_hop_HQNV_2026Q1_2026-06-23'!$K:$K,'Tong_hop_HQNV_2026Q1_2026-06-23'!$A:$A,"="&amp;'CHECK_DT-BT_chi_tiet'!$G$2,'Tong_hop_HQNV_2026Q1_2026-06-23'!$B:$B, "="&amp;'CHECK_DT-BT_chi_tiet'!A45)</f>
        <v>71713500</v>
      </c>
      <c r="H45" s="7">
        <f>SUMIFS('HQ1'!$C:$C,'HQ1'!$A:$A, "="&amp;'CHECK_DT-BT_chi_tiet'!C45,'HQ1'!$B:$B, "="&amp;'CHECK_DT-BT_chi_tiet'!$G$3)</f>
        <v>71713500</v>
      </c>
      <c r="I45" s="7">
        <f t="shared" si="1"/>
        <v>0</v>
      </c>
      <c r="J45" s="7">
        <f>SUMIFS('Tong_hop_HQNV_2026Q1_2026-06-23'!$K:$K,'Tong_hop_HQNV_2026Q1_2026-06-23'!$A:$A,"="&amp;'CHECK_DT-BT_chi_tiet'!$J$2,'Tong_hop_HQNV_2026Q1_2026-06-23'!$B:$B, "="&amp;'CHECK_DT-BT_chi_tiet'!A45)</f>
        <v>10326295640</v>
      </c>
      <c r="K45" s="7">
        <f>SUMIFS('HQ1'!$C:$C,'HQ1'!$A:$A, "="&amp;'CHECK_DT-BT_chi_tiet'!C45,'HQ1'!$B:$B, "="&amp;'CHECK_DT-BT_chi_tiet'!$J$3)</f>
        <v>10326295640</v>
      </c>
      <c r="L45" s="7">
        <f t="shared" si="2"/>
        <v>0</v>
      </c>
      <c r="M45" s="7">
        <f>SUMIFS('Tong_hop_HQNV_2026Q1_2026-06-23'!$K:$K,'Tong_hop_HQNV_2026Q1_2026-06-23'!$A:$A,"="&amp;'CHECK_DT-BT_chi_tiet'!$M$2,'Tong_hop_HQNV_2026Q1_2026-06-23'!$B:$B, "="&amp;'CHECK_DT-BT_chi_tiet'!A45)</f>
        <v>928085867</v>
      </c>
      <c r="N45" s="7">
        <f>SUMIFS('HQ1'!$C:$C,'HQ1'!$A:$A, "="&amp;'CHECK_DT-BT_chi_tiet'!C45,'HQ1'!$B:$B, "="&amp;'CHECK_DT-BT_chi_tiet'!$M$3)</f>
        <v>928085867</v>
      </c>
      <c r="O45" s="7">
        <f t="shared" si="3"/>
        <v>0</v>
      </c>
      <c r="P45" s="7">
        <f>SUMIFS('Tong_hop_HQNV_2026Q1_2026-06-23'!$K:$K,'Tong_hop_HQNV_2026Q1_2026-06-23'!$A:$A,"="&amp;$P$2,'Tong_hop_HQNV_2026Q1_2026-06-23'!$B:$B, "="&amp;'CHECK_DT-BT_chi_tiet'!A45)</f>
        <v>930033</v>
      </c>
      <c r="Q45" s="7">
        <f>SUMIFS('HQ2'!$C:$C,'HQ2'!$A:$A, "="&amp;'CHECK_DT-BT_chi_tiet'!C45,'HQ2'!$B:$B, "="&amp;'CHECK_DT-BT_chi_tiet'!$P$3)</f>
        <v>930033</v>
      </c>
      <c r="R45" s="7">
        <f t="shared" si="4"/>
        <v>0</v>
      </c>
      <c r="S45" s="7">
        <f>SUMIFS('Tong_hop_HQNV_2026Q1_2026-06-23'!$K:$K,'Tong_hop_HQNV_2026Q1_2026-06-23'!$A:$A,"="&amp;$S$2,'Tong_hop_HQNV_2026Q1_2026-06-23'!$B:$B, "="&amp;'CHECK_DT-BT_chi_tiet'!A45)</f>
        <v>160055774</v>
      </c>
      <c r="T45" s="7">
        <f>SUMIFS('HQ2'!$C:$C,'HQ2'!$A:$A, "="&amp;'CHECK_DT-BT_chi_tiet'!C45,'HQ2'!$B:$B, "="&amp;'CHECK_DT-BT_chi_tiet'!$S$3)</f>
        <v>160055774</v>
      </c>
      <c r="U45" s="7">
        <f t="shared" si="5"/>
        <v>0</v>
      </c>
      <c r="V45" s="7">
        <f>SUMIFS('Tong_hop_HQNV_2026Q1_2026-06-23'!$K:$K,'Tong_hop_HQNV_2026Q1_2026-06-23'!$A:$A,"="&amp;$V$2,'Tong_hop_HQNV_2026Q1_2026-06-23'!$B:$B, "="&amp;'CHECK_DT-BT_chi_tiet'!A45)</f>
        <v>0</v>
      </c>
      <c r="W45" s="7">
        <f>SUMIFS('HQ2'!$C:$C,'HQ2'!$A:$A, "="&amp;'CHECK_DT-BT_chi_tiet'!C45,'HQ2'!$B:$B, "="&amp;'CHECK_DT-BT_chi_tiet'!$V$3)</f>
        <v>0</v>
      </c>
      <c r="X45" s="7">
        <f t="shared" si="6"/>
        <v>0</v>
      </c>
      <c r="Y45" s="7">
        <f>SUMIFS('Tong_hop_HQNV_2026Q1_2026-06-23'!$K:$K,'Tong_hop_HQNV_2026Q1_2026-06-23'!$A:$A,"="&amp;$Y$2,'Tong_hop_HQNV_2026Q1_2026-06-23'!$B:$B, "="&amp;'CHECK_DT-BT_chi_tiet'!A45)</f>
        <v>9497000</v>
      </c>
      <c r="Z45" s="7">
        <f>SUMIFS('HQ2'!$C:$C,'HQ2'!$A:$A, "="&amp;'CHECK_DT-BT_chi_tiet'!C45,'HQ2'!$B:$B, "="&amp;'CHECK_DT-BT_chi_tiet'!$Y$3)</f>
        <v>9497000</v>
      </c>
      <c r="AA45" s="7">
        <f t="shared" si="7"/>
        <v>0</v>
      </c>
      <c r="AB45" s="7">
        <f>SUMIFS('Tong_hop_HQNV_2026Q1_2026-06-23'!$K:$K,'Tong_hop_HQNV_2026Q1_2026-06-23'!$A:$A,"="&amp;$AB$2,'Tong_hop_HQNV_2026Q1_2026-06-23'!$B:$B, "="&amp;'CHECK_DT-BT_chi_tiet'!A45)</f>
        <v>341323736</v>
      </c>
      <c r="AC45" s="7">
        <f>SUMIFS('HQ2'!$C:$C,'HQ2'!$A:$A, "="&amp;'CHECK_DT-BT_chi_tiet'!C45,'HQ2'!$B:$B, "="&amp;'CHECK_DT-BT_chi_tiet'!$AB$3)</f>
        <v>341323736</v>
      </c>
      <c r="AD45" s="7">
        <f t="shared" si="8"/>
        <v>0</v>
      </c>
      <c r="AE45" s="7">
        <f>SUMIFS('Tong_hop_HQNV_2026Q1_2026-06-23'!$K:$K,'Tong_hop_HQNV_2026Q1_2026-06-23'!$A:$A,"="&amp;$AE$2,'Tong_hop_HQNV_2026Q1_2026-06-23'!$B:$B, "="&amp;'CHECK_DT-BT_chi_tiet'!A45)</f>
        <v>54507596</v>
      </c>
      <c r="AF45" s="7">
        <f>SUMIFS('HQ2'!$C:$C,'HQ2'!$A:$A, "="&amp;'CHECK_DT-BT_chi_tiet'!C45,'HQ2'!$B:$B, "="&amp;'CHECK_DT-BT_chi_tiet'!$AE$3)</f>
        <v>54507596</v>
      </c>
      <c r="AG45" s="7">
        <f t="shared" si="9"/>
        <v>0</v>
      </c>
      <c r="AH45" s="7">
        <f>SUMIFS('Tong_hop_HQNV_2026Q1_2026-06-23'!$K:$K,'Tong_hop_HQNV_2026Q1_2026-06-23'!$A:$A,"="&amp;$AH$2,'Tong_hop_HQNV_2026Q1_2026-06-23'!$B:$B, "="&amp;'CHECK_DT-BT_chi_tiet'!A45)</f>
        <v>6000000</v>
      </c>
      <c r="AI45" s="7">
        <f>SUMIFS('HQ2'!$C:$C,'HQ2'!$A:$A, "="&amp;'CHECK_DT-BT_chi_tiet'!C45,'HQ2'!$B:$B, "="&amp;'CHECK_DT-BT_chi_tiet'!$AH$3)</f>
        <v>6000000</v>
      </c>
      <c r="AJ45" s="7">
        <f t="shared" si="10"/>
        <v>0</v>
      </c>
      <c r="AK45" s="7">
        <f>SUMIFS('Tong_hop_HQNV_2026Q1_2026-06-23'!$K:$K,'Tong_hop_HQNV_2026Q1_2026-06-23'!$A:$A,"="&amp;$AK$2,'Tong_hop_HQNV_2026Q1_2026-06-23'!$B:$B, "="&amp;'CHECK_DT-BT_chi_tiet'!A45)</f>
        <v>0</v>
      </c>
      <c r="AL45" s="7">
        <f>SUMIFS('Tong_hop_HQNV_2026Q1_2026-06-23'!$K:$K,'Tong_hop_HQNV_2026Q1_2026-06-23'!$A:$A,"="&amp;$AL$2,'Tong_hop_HQNV_2026Q1_2026-06-23'!$B:$B, "="&amp;'CHECK_DT-BT_chi_tiet'!A45)</f>
        <v>0</v>
      </c>
      <c r="AM45" s="23">
        <f>SUMIFS('Tong_hop_HQNV_2026Q1_2026-06-23'!$L:$L,'Tong_hop_HQNV_2026Q1_2026-06-23'!$B:$B, "="&amp;'CHECK_DT-BT_chi_tiet'!A45, 'Tong_hop_HQNV_2026Q1_2026-06-23'!$A:$A, "="&amp;'CHECK_DT-BT_chi_tiet'!$AM$2)</f>
        <v>399365000</v>
      </c>
      <c r="AN45" s="29">
        <f>SUMIFS('HQ1'!$D:$D,'HQ1'!$A:$A, "="&amp;'CHECK_DT-BT_chi_tiet'!C45,'HQ1'!$B:$B,"="&amp;'CHECK_DT-BT_chi_tiet'!$AM$3)</f>
        <v>399365000</v>
      </c>
      <c r="AO45" s="29">
        <f t="shared" si="11"/>
        <v>0</v>
      </c>
      <c r="AP45" s="7">
        <f>SUMIFS('Tong_hop_HQNV_2026Q1_2026-06-23'!$L:$L,'Tong_hop_HQNV_2026Q1_2026-06-23'!$B:$B, "="&amp;'CHECK_DT-BT_chi_tiet'!A45, 'Tong_hop_HQNV_2026Q1_2026-06-23'!$A:$A, "="&amp;'CHECK_DT-BT_chi_tiet'!$AP$2)</f>
        <v>0</v>
      </c>
      <c r="AQ45" s="29">
        <f>SUMIFS('HQ1'!$D:$D,'HQ1'!$A:$A, "="&amp;'CHECK_DT-BT_chi_tiet'!C45,'HQ1'!$B:$B,"="&amp;'CHECK_DT-BT_chi_tiet'!$AP$3)</f>
        <v>0</v>
      </c>
      <c r="AR45" s="7">
        <f t="shared" si="12"/>
        <v>0</v>
      </c>
      <c r="AS45" s="7">
        <f>SUMIFS('Tong_hop_HQNV_2026Q1_2026-06-23'!$L:$L,'Tong_hop_HQNV_2026Q1_2026-06-23'!$B:$B, "="&amp;'CHECK_DT-BT_chi_tiet'!A45, 'Tong_hop_HQNV_2026Q1_2026-06-23'!$A:$A, "="&amp;'CHECK_DT-BT_chi_tiet'!$AS$2)</f>
        <v>3365163253</v>
      </c>
      <c r="AT45" s="29">
        <f>SUMIFS('HQ1'!$D:$D,'HQ1'!$A:$A, "="&amp;'CHECK_DT-BT_chi_tiet'!C45,'HQ1'!$B:$B,"="&amp;'CHECK_DT-BT_chi_tiet'!$AS$3)</f>
        <v>3365163253</v>
      </c>
      <c r="AU45" s="7">
        <f t="shared" si="13"/>
        <v>0</v>
      </c>
      <c r="AV45" s="7">
        <f>SUMIFS('Tong_hop_HQNV_2026Q1_2026-06-23'!$L:$L,'Tong_hop_HQNV_2026Q1_2026-06-23'!$B:$B, "="&amp;'CHECK_DT-BT_chi_tiet'!A45, 'Tong_hop_HQNV_2026Q1_2026-06-23'!$A:$A, "="&amp;'CHECK_DT-BT_chi_tiet'!$AV$2)</f>
        <v>263134947</v>
      </c>
      <c r="AW45" s="29">
        <f>SUMIFS('HQ1'!$D:$D,'HQ1'!$A:$A, "="&amp;'CHECK_DT-BT_chi_tiet'!C45,'HQ1'!$B:$B,"="&amp;'CHECK_DT-BT_chi_tiet'!$AV$3)</f>
        <v>263134947</v>
      </c>
      <c r="AX45" s="7">
        <f t="shared" si="14"/>
        <v>0</v>
      </c>
      <c r="AY45" s="7">
        <f>SUMIFS('Tong_hop_HQNV_2026Q1_2026-06-23'!$L:$L,'Tong_hop_HQNV_2026Q1_2026-06-23'!$B:$B, "="&amp;'CHECK_DT-BT_chi_tiet'!A45, 'Tong_hop_HQNV_2026Q1_2026-06-23'!$A:$A, "="&amp;$AY$2)</f>
        <v>0</v>
      </c>
      <c r="AZ45" s="29">
        <f>SUMIFS('HQ2'!$J:$J,'HQ2'!$A:$A, "="&amp;'CHECK_DT-BT_chi_tiet'!C45,'HQ2'!$B:$B,"="&amp;'CHECK_DT-BT_chi_tiet'!$AY$3)</f>
        <v>0</v>
      </c>
      <c r="BA45" s="7">
        <f t="shared" si="15"/>
        <v>0</v>
      </c>
      <c r="BB45" s="7">
        <f>SUMIFS('Tong_hop_HQNV_2026Q1_2026-06-23'!$L:$L,'Tong_hop_HQNV_2026Q1_2026-06-23'!$B:$B, "="&amp;'CHECK_DT-BT_chi_tiet'!A45, 'Tong_hop_HQNV_2026Q1_2026-06-23'!$A:$A, "="&amp;$BB$2)</f>
        <v>0</v>
      </c>
      <c r="BC45" s="29">
        <f>SUMIFS('HQ2'!$J:$J,'HQ2'!$A:$A, "="&amp;'CHECK_DT-BT_chi_tiet'!C45,'HQ2'!$B:$B,"="&amp;'CHECK_DT-BT_chi_tiet'!$BB$3)</f>
        <v>0</v>
      </c>
      <c r="BD45" s="7">
        <f t="shared" si="16"/>
        <v>0</v>
      </c>
      <c r="BE45" s="7">
        <f>SUMIFS('Tong_hop_HQNV_2026Q1_2026-06-23'!$L:$L,'Tong_hop_HQNV_2026Q1_2026-06-23'!$B:$B, "="&amp;'CHECK_DT-BT_chi_tiet'!A45, 'Tong_hop_HQNV_2026Q1_2026-06-23'!$A:$A, "="&amp;$BE$2)</f>
        <v>0</v>
      </c>
      <c r="BF45" s="29">
        <f>SUMIFS('HQ2'!$J:$J,'HQ2'!$A:$A, "="&amp;'CHECK_DT-BT_chi_tiet'!C45,'HQ2'!$B:$B,"="&amp;'CHECK_DT-BT_chi_tiet'!$BE$3)</f>
        <v>0</v>
      </c>
      <c r="BG45" s="7">
        <f t="shared" si="17"/>
        <v>0</v>
      </c>
      <c r="BH45" s="7">
        <f>SUMIFS('Tong_hop_HQNV_2026Q1_2026-06-23'!$L:$L,'Tong_hop_HQNV_2026Q1_2026-06-23'!$B:$B, "="&amp;'CHECK_DT-BT_chi_tiet'!A45, 'Tong_hop_HQNV_2026Q1_2026-06-23'!$A:$A, "="&amp;$BH$2)</f>
        <v>0</v>
      </c>
      <c r="BI45" s="29">
        <f>SUMIFS('HQ2'!$J:$J,'HQ2'!$A:$A, "="&amp;'CHECK_DT-BT_chi_tiet'!C45,'HQ2'!$B:$B,"="&amp;'CHECK_DT-BT_chi_tiet'!$BH$3)</f>
        <v>0</v>
      </c>
      <c r="BJ45" s="7">
        <f t="shared" si="18"/>
        <v>0</v>
      </c>
      <c r="BK45" s="7">
        <f>SUMIFS('Tong_hop_HQNV_2026Q1_2026-06-23'!$L:$L,'Tong_hop_HQNV_2026Q1_2026-06-23'!$B:$B, "="&amp;'CHECK_DT-BT_chi_tiet'!A45, 'Tong_hop_HQNV_2026Q1_2026-06-23'!$A:$A, "="&amp;$BK$2)</f>
        <v>0</v>
      </c>
      <c r="BL45" s="29">
        <f>SUMIFS('HQ2'!$J:$J,'HQ2'!$A:$A, "="&amp;'CHECK_DT-BT_chi_tiet'!C45,'HQ2'!$B:$B,"="&amp;'CHECK_DT-BT_chi_tiet'!$BK$3)</f>
        <v>0</v>
      </c>
      <c r="BM45" s="7">
        <f t="shared" si="19"/>
        <v>0</v>
      </c>
      <c r="BN45" s="7">
        <f>SUMIFS('Tong_hop_HQNV_2026Q1_2026-06-23'!$L:$L,'Tong_hop_HQNV_2026Q1_2026-06-23'!$B:$B, "="&amp;'CHECK_DT-BT_chi_tiet'!A45, 'Tong_hop_HQNV_2026Q1_2026-06-23'!$A:$A, "="&amp;$BN$2)</f>
        <v>0</v>
      </c>
      <c r="BO45" s="29">
        <f>SUMIFS('HQ2'!$J:$J,'HQ2'!$A:$A, "="&amp;'CHECK_DT-BT_chi_tiet'!C45,'HQ2'!$B:$B,"="&amp;'CHECK_DT-BT_chi_tiet'!$BN$3)</f>
        <v>0</v>
      </c>
      <c r="BP45" s="7">
        <f t="shared" si="20"/>
        <v>0</v>
      </c>
      <c r="BQ45" s="7">
        <f>SUMIFS('Tong_hop_HQNV_2026Q1_2026-06-23'!$L:$L,'Tong_hop_HQNV_2026Q1_2026-06-23'!$B:$B, "="&amp;'CHECK_DT-BT_chi_tiet'!A45, 'Tong_hop_HQNV_2026Q1_2026-06-23'!$A:$A, "="&amp;$BQ$2)</f>
        <v>0</v>
      </c>
      <c r="BR45" s="29">
        <f>SUMIFS('HQ2'!$J:$J,'HQ2'!$A:$A, "="&amp;'CHECK_DT-BT_chi_tiet'!C45,'HQ2'!$B:$B,"="&amp;'CHECK_DT-BT_chi_tiet'!$BQ$3)</f>
        <v>0</v>
      </c>
      <c r="BS45" s="7">
        <f t="shared" si="21"/>
        <v>0</v>
      </c>
      <c r="BT45" s="7">
        <f>SUMIFS('Tong_hop_HQNV_2026Q1_2026-06-23'!$L:$L,'Tong_hop_HQNV_2026Q1_2026-06-23'!$B:$B, "="&amp;'CHECK_DT-BT_chi_tiet'!A45, 'Tong_hop_HQNV_2026Q1_2026-06-23'!$A:$A, "="&amp;$BT$2)</f>
        <v>0</v>
      </c>
      <c r="BU45" s="7">
        <f>SUMIFS('Tong_hop_HQNV_2026Q1_2026-06-23'!$L:$L,'Tong_hop_HQNV_2026Q1_2026-06-23'!$B:$B, "="&amp;'CHECK_DT-BT_chi_tiet'!A45, 'Tong_hop_HQNV_2026Q1_2026-06-23'!$A:$A, "="&amp;$BU$2)</f>
        <v>0</v>
      </c>
    </row>
    <row r="46" spans="1:73" x14ac:dyDescent="0.25">
      <c r="A46" s="9" t="s">
        <v>326</v>
      </c>
      <c r="B46" t="s">
        <v>184</v>
      </c>
      <c r="C46" t="s">
        <v>128</v>
      </c>
      <c r="D46" s="7">
        <f>SUMIFS('Tong_hop_HQNV_2026Q1_2026-06-23'!$K:$K,'Tong_hop_HQNV_2026Q1_2026-06-23'!$A:$A,"="&amp;'CHECK_DT-BT_chi_tiet'!$D$2,'Tong_hop_HQNV_2026Q1_2026-06-23'!$B:$B, "="&amp;'CHECK_DT-BT_chi_tiet'!A46)</f>
        <v>1000407900</v>
      </c>
      <c r="E46" s="7">
        <f>SUMIFS('HQ1'!$C:$C,'HQ1'!$A:$A, "="&amp;'CHECK_DT-BT_chi_tiet'!C46,'HQ1'!$B:$B, "="&amp;'CHECK_DT-BT_chi_tiet'!$D$3)</f>
        <v>1000407900</v>
      </c>
      <c r="F46" s="7">
        <f t="shared" si="0"/>
        <v>0</v>
      </c>
      <c r="G46" s="7">
        <f>SUMIFS('Tong_hop_HQNV_2026Q1_2026-06-23'!$K:$K,'Tong_hop_HQNV_2026Q1_2026-06-23'!$A:$A,"="&amp;'CHECK_DT-BT_chi_tiet'!$G$2,'Tong_hop_HQNV_2026Q1_2026-06-23'!$B:$B, "="&amp;'CHECK_DT-BT_chi_tiet'!A46)</f>
        <v>1605000</v>
      </c>
      <c r="H46" s="7">
        <f>SUMIFS('HQ1'!$C:$C,'HQ1'!$A:$A, "="&amp;'CHECK_DT-BT_chi_tiet'!C46,'HQ1'!$B:$B, "="&amp;'CHECK_DT-BT_chi_tiet'!$G$3)</f>
        <v>1605000</v>
      </c>
      <c r="I46" s="7">
        <f t="shared" si="1"/>
        <v>0</v>
      </c>
      <c r="J46" s="7">
        <f>SUMIFS('Tong_hop_HQNV_2026Q1_2026-06-23'!$K:$K,'Tong_hop_HQNV_2026Q1_2026-06-23'!$A:$A,"="&amp;'CHECK_DT-BT_chi_tiet'!$J$2,'Tong_hop_HQNV_2026Q1_2026-06-23'!$B:$B, "="&amp;'CHECK_DT-BT_chi_tiet'!A46)</f>
        <v>2495703330</v>
      </c>
      <c r="K46" s="7">
        <f>SUMIFS('HQ1'!$C:$C,'HQ1'!$A:$A, "="&amp;'CHECK_DT-BT_chi_tiet'!C46,'HQ1'!$B:$B, "="&amp;'CHECK_DT-BT_chi_tiet'!$J$3)</f>
        <v>2495703330</v>
      </c>
      <c r="L46" s="7">
        <f t="shared" si="2"/>
        <v>0</v>
      </c>
      <c r="M46" s="7">
        <f>SUMIFS('Tong_hop_HQNV_2026Q1_2026-06-23'!$K:$K,'Tong_hop_HQNV_2026Q1_2026-06-23'!$A:$A,"="&amp;'CHECK_DT-BT_chi_tiet'!$M$2,'Tong_hop_HQNV_2026Q1_2026-06-23'!$B:$B, "="&amp;'CHECK_DT-BT_chi_tiet'!A46)</f>
        <v>541982080</v>
      </c>
      <c r="N46" s="7">
        <f>SUMIFS('HQ1'!$C:$C,'HQ1'!$A:$A, "="&amp;'CHECK_DT-BT_chi_tiet'!C46,'HQ1'!$B:$B, "="&amp;'CHECK_DT-BT_chi_tiet'!$M$3)</f>
        <v>541982080</v>
      </c>
      <c r="O46" s="7">
        <f t="shared" si="3"/>
        <v>0</v>
      </c>
      <c r="P46" s="7">
        <f>SUMIFS('Tong_hop_HQNV_2026Q1_2026-06-23'!$K:$K,'Tong_hop_HQNV_2026Q1_2026-06-23'!$A:$A,"="&amp;$P$2,'Tong_hop_HQNV_2026Q1_2026-06-23'!$B:$B, "="&amp;'CHECK_DT-BT_chi_tiet'!A46)</f>
        <v>0</v>
      </c>
      <c r="Q46" s="7">
        <f>SUMIFS('HQ2'!$C:$C,'HQ2'!$A:$A, "="&amp;'CHECK_DT-BT_chi_tiet'!C46,'HQ2'!$B:$B, "="&amp;'CHECK_DT-BT_chi_tiet'!$P$3)</f>
        <v>0</v>
      </c>
      <c r="R46" s="7">
        <f t="shared" si="4"/>
        <v>0</v>
      </c>
      <c r="S46" s="7">
        <f>SUMIFS('Tong_hop_HQNV_2026Q1_2026-06-23'!$K:$K,'Tong_hop_HQNV_2026Q1_2026-06-23'!$A:$A,"="&amp;$S$2,'Tong_hop_HQNV_2026Q1_2026-06-23'!$B:$B, "="&amp;'CHECK_DT-BT_chi_tiet'!A46)</f>
        <v>0</v>
      </c>
      <c r="T46" s="7">
        <f>SUMIFS('HQ2'!$C:$C,'HQ2'!$A:$A, "="&amp;'CHECK_DT-BT_chi_tiet'!C46,'HQ2'!$B:$B, "="&amp;'CHECK_DT-BT_chi_tiet'!$S$3)</f>
        <v>0</v>
      </c>
      <c r="U46" s="7">
        <f t="shared" si="5"/>
        <v>0</v>
      </c>
      <c r="V46" s="7">
        <f>SUMIFS('Tong_hop_HQNV_2026Q1_2026-06-23'!$K:$K,'Tong_hop_HQNV_2026Q1_2026-06-23'!$A:$A,"="&amp;$V$2,'Tong_hop_HQNV_2026Q1_2026-06-23'!$B:$B, "="&amp;'CHECK_DT-BT_chi_tiet'!A46)</f>
        <v>0</v>
      </c>
      <c r="W46" s="7">
        <f>SUMIFS('HQ2'!$C:$C,'HQ2'!$A:$A, "="&amp;'CHECK_DT-BT_chi_tiet'!C46,'HQ2'!$B:$B, "="&amp;'CHECK_DT-BT_chi_tiet'!$V$3)</f>
        <v>0</v>
      </c>
      <c r="X46" s="7">
        <f t="shared" si="6"/>
        <v>0</v>
      </c>
      <c r="Y46" s="7">
        <f>SUMIFS('Tong_hop_HQNV_2026Q1_2026-06-23'!$K:$K,'Tong_hop_HQNV_2026Q1_2026-06-23'!$A:$A,"="&amp;$Y$2,'Tong_hop_HQNV_2026Q1_2026-06-23'!$B:$B, "="&amp;'CHECK_DT-BT_chi_tiet'!A46)</f>
        <v>0</v>
      </c>
      <c r="Z46" s="7">
        <f>SUMIFS('HQ2'!$C:$C,'HQ2'!$A:$A, "="&amp;'CHECK_DT-BT_chi_tiet'!C46,'HQ2'!$B:$B, "="&amp;'CHECK_DT-BT_chi_tiet'!$Y$3)</f>
        <v>0</v>
      </c>
      <c r="AA46" s="7">
        <f t="shared" si="7"/>
        <v>0</v>
      </c>
      <c r="AB46" s="7">
        <f>SUMIFS('Tong_hop_HQNV_2026Q1_2026-06-23'!$K:$K,'Tong_hop_HQNV_2026Q1_2026-06-23'!$A:$A,"="&amp;$AB$2,'Tong_hop_HQNV_2026Q1_2026-06-23'!$B:$B, "="&amp;'CHECK_DT-BT_chi_tiet'!A46)</f>
        <v>43737239</v>
      </c>
      <c r="AC46" s="7">
        <f>SUMIFS('HQ2'!$C:$C,'HQ2'!$A:$A, "="&amp;'CHECK_DT-BT_chi_tiet'!C46,'HQ2'!$B:$B, "="&amp;'CHECK_DT-BT_chi_tiet'!$AB$3)</f>
        <v>43737239</v>
      </c>
      <c r="AD46" s="7">
        <f t="shared" si="8"/>
        <v>0</v>
      </c>
      <c r="AE46" s="7">
        <f>SUMIFS('Tong_hop_HQNV_2026Q1_2026-06-23'!$K:$K,'Tong_hop_HQNV_2026Q1_2026-06-23'!$A:$A,"="&amp;$AE$2,'Tong_hop_HQNV_2026Q1_2026-06-23'!$B:$B, "="&amp;'CHECK_DT-BT_chi_tiet'!A46)</f>
        <v>31195527</v>
      </c>
      <c r="AF46" s="7">
        <f>SUMIFS('HQ2'!$C:$C,'HQ2'!$A:$A, "="&amp;'CHECK_DT-BT_chi_tiet'!C46,'HQ2'!$B:$B, "="&amp;'CHECK_DT-BT_chi_tiet'!$AE$3)</f>
        <v>31195527</v>
      </c>
      <c r="AG46" s="7">
        <f t="shared" si="9"/>
        <v>0</v>
      </c>
      <c r="AH46" s="7">
        <f>SUMIFS('Tong_hop_HQNV_2026Q1_2026-06-23'!$K:$K,'Tong_hop_HQNV_2026Q1_2026-06-23'!$A:$A,"="&amp;$AH$2,'Tong_hop_HQNV_2026Q1_2026-06-23'!$B:$B, "="&amp;'CHECK_DT-BT_chi_tiet'!A46)</f>
        <v>0</v>
      </c>
      <c r="AI46" s="7">
        <f>SUMIFS('HQ2'!$C:$C,'HQ2'!$A:$A, "="&amp;'CHECK_DT-BT_chi_tiet'!C46,'HQ2'!$B:$B, "="&amp;'CHECK_DT-BT_chi_tiet'!$AH$3)</f>
        <v>0</v>
      </c>
      <c r="AJ46" s="7">
        <f t="shared" si="10"/>
        <v>0</v>
      </c>
      <c r="AK46" s="7">
        <f>SUMIFS('Tong_hop_HQNV_2026Q1_2026-06-23'!$K:$K,'Tong_hop_HQNV_2026Q1_2026-06-23'!$A:$A,"="&amp;$AK$2,'Tong_hop_HQNV_2026Q1_2026-06-23'!$B:$B, "="&amp;'CHECK_DT-BT_chi_tiet'!A46)</f>
        <v>0</v>
      </c>
      <c r="AL46" s="7">
        <f>SUMIFS('Tong_hop_HQNV_2026Q1_2026-06-23'!$K:$K,'Tong_hop_HQNV_2026Q1_2026-06-23'!$A:$A,"="&amp;$AL$2,'Tong_hop_HQNV_2026Q1_2026-06-23'!$B:$B, "="&amp;'CHECK_DT-BT_chi_tiet'!A46)</f>
        <v>0</v>
      </c>
      <c r="AM46" s="23">
        <f>SUMIFS('Tong_hop_HQNV_2026Q1_2026-06-23'!$L:$L,'Tong_hop_HQNV_2026Q1_2026-06-23'!$B:$B, "="&amp;'CHECK_DT-BT_chi_tiet'!A46, 'Tong_hop_HQNV_2026Q1_2026-06-23'!$A:$A, "="&amp;'CHECK_DT-BT_chi_tiet'!$AM$2)</f>
        <v>816379000</v>
      </c>
      <c r="AN46" s="29">
        <f>SUMIFS('HQ1'!$D:$D,'HQ1'!$A:$A, "="&amp;'CHECK_DT-BT_chi_tiet'!C46,'HQ1'!$B:$B,"="&amp;'CHECK_DT-BT_chi_tiet'!$AM$3)</f>
        <v>816379000</v>
      </c>
      <c r="AO46" s="29">
        <f t="shared" si="11"/>
        <v>0</v>
      </c>
      <c r="AP46" s="7">
        <f>SUMIFS('Tong_hop_HQNV_2026Q1_2026-06-23'!$L:$L,'Tong_hop_HQNV_2026Q1_2026-06-23'!$B:$B, "="&amp;'CHECK_DT-BT_chi_tiet'!A46, 'Tong_hop_HQNV_2026Q1_2026-06-23'!$A:$A, "="&amp;'CHECK_DT-BT_chi_tiet'!$AP$2)</f>
        <v>0</v>
      </c>
      <c r="AQ46" s="29">
        <f>SUMIFS('HQ1'!$D:$D,'HQ1'!$A:$A, "="&amp;'CHECK_DT-BT_chi_tiet'!C46,'HQ1'!$B:$B,"="&amp;'CHECK_DT-BT_chi_tiet'!$AP$3)</f>
        <v>0</v>
      </c>
      <c r="AR46" s="7">
        <f t="shared" si="12"/>
        <v>0</v>
      </c>
      <c r="AS46" s="7">
        <f>SUMIFS('Tong_hop_HQNV_2026Q1_2026-06-23'!$L:$L,'Tong_hop_HQNV_2026Q1_2026-06-23'!$B:$B, "="&amp;'CHECK_DT-BT_chi_tiet'!A46, 'Tong_hop_HQNV_2026Q1_2026-06-23'!$A:$A, "="&amp;'CHECK_DT-BT_chi_tiet'!$AS$2)</f>
        <v>339776080</v>
      </c>
      <c r="AT46" s="29">
        <f>SUMIFS('HQ1'!$D:$D,'HQ1'!$A:$A, "="&amp;'CHECK_DT-BT_chi_tiet'!C46,'HQ1'!$B:$B,"="&amp;'CHECK_DT-BT_chi_tiet'!$AS$3)</f>
        <v>339776080</v>
      </c>
      <c r="AU46" s="7">
        <f t="shared" si="13"/>
        <v>0</v>
      </c>
      <c r="AV46" s="7">
        <f>SUMIFS('Tong_hop_HQNV_2026Q1_2026-06-23'!$L:$L,'Tong_hop_HQNV_2026Q1_2026-06-23'!$B:$B, "="&amp;'CHECK_DT-BT_chi_tiet'!A46, 'Tong_hop_HQNV_2026Q1_2026-06-23'!$A:$A, "="&amp;'CHECK_DT-BT_chi_tiet'!$AV$2)</f>
        <v>124942222</v>
      </c>
      <c r="AW46" s="29">
        <f>SUMIFS('HQ1'!$D:$D,'HQ1'!$A:$A, "="&amp;'CHECK_DT-BT_chi_tiet'!C46,'HQ1'!$B:$B,"="&amp;'CHECK_DT-BT_chi_tiet'!$AV$3)</f>
        <v>124942222</v>
      </c>
      <c r="AX46" s="7">
        <f t="shared" si="14"/>
        <v>0</v>
      </c>
      <c r="AY46" s="7">
        <f>SUMIFS('Tong_hop_HQNV_2026Q1_2026-06-23'!$L:$L,'Tong_hop_HQNV_2026Q1_2026-06-23'!$B:$B, "="&amp;'CHECK_DT-BT_chi_tiet'!A46, 'Tong_hop_HQNV_2026Q1_2026-06-23'!$A:$A, "="&amp;$AY$2)</f>
        <v>0</v>
      </c>
      <c r="AZ46" s="29">
        <f>SUMIFS('HQ2'!$J:$J,'HQ2'!$A:$A, "="&amp;'CHECK_DT-BT_chi_tiet'!C46,'HQ2'!$B:$B,"="&amp;'CHECK_DT-BT_chi_tiet'!$AY$3)</f>
        <v>0</v>
      </c>
      <c r="BA46" s="7">
        <f t="shared" si="15"/>
        <v>0</v>
      </c>
      <c r="BB46" s="7">
        <f>SUMIFS('Tong_hop_HQNV_2026Q1_2026-06-23'!$L:$L,'Tong_hop_HQNV_2026Q1_2026-06-23'!$B:$B, "="&amp;'CHECK_DT-BT_chi_tiet'!A46, 'Tong_hop_HQNV_2026Q1_2026-06-23'!$A:$A, "="&amp;$BB$2)</f>
        <v>0</v>
      </c>
      <c r="BC46" s="29">
        <f>SUMIFS('HQ2'!$J:$J,'HQ2'!$A:$A, "="&amp;'CHECK_DT-BT_chi_tiet'!C46,'HQ2'!$B:$B,"="&amp;'CHECK_DT-BT_chi_tiet'!$BB$3)</f>
        <v>0</v>
      </c>
      <c r="BD46" s="7">
        <f t="shared" si="16"/>
        <v>0</v>
      </c>
      <c r="BE46" s="7">
        <f>SUMIFS('Tong_hop_HQNV_2026Q1_2026-06-23'!$L:$L,'Tong_hop_HQNV_2026Q1_2026-06-23'!$B:$B, "="&amp;'CHECK_DT-BT_chi_tiet'!A46, 'Tong_hop_HQNV_2026Q1_2026-06-23'!$A:$A, "="&amp;$BE$2)</f>
        <v>0</v>
      </c>
      <c r="BF46" s="29">
        <f>SUMIFS('HQ2'!$J:$J,'HQ2'!$A:$A, "="&amp;'CHECK_DT-BT_chi_tiet'!C46,'HQ2'!$B:$B,"="&amp;'CHECK_DT-BT_chi_tiet'!$BE$3)</f>
        <v>0</v>
      </c>
      <c r="BG46" s="7">
        <f t="shared" si="17"/>
        <v>0</v>
      </c>
      <c r="BH46" s="7">
        <f>SUMIFS('Tong_hop_HQNV_2026Q1_2026-06-23'!$L:$L,'Tong_hop_HQNV_2026Q1_2026-06-23'!$B:$B, "="&amp;'CHECK_DT-BT_chi_tiet'!A46, 'Tong_hop_HQNV_2026Q1_2026-06-23'!$A:$A, "="&amp;$BH$2)</f>
        <v>0</v>
      </c>
      <c r="BI46" s="29">
        <f>SUMIFS('HQ2'!$J:$J,'HQ2'!$A:$A, "="&amp;'CHECK_DT-BT_chi_tiet'!C46,'HQ2'!$B:$B,"="&amp;'CHECK_DT-BT_chi_tiet'!$BH$3)</f>
        <v>0</v>
      </c>
      <c r="BJ46" s="7">
        <f t="shared" si="18"/>
        <v>0</v>
      </c>
      <c r="BK46" s="7">
        <f>SUMIFS('Tong_hop_HQNV_2026Q1_2026-06-23'!$L:$L,'Tong_hop_HQNV_2026Q1_2026-06-23'!$B:$B, "="&amp;'CHECK_DT-BT_chi_tiet'!A46, 'Tong_hop_HQNV_2026Q1_2026-06-23'!$A:$A, "="&amp;$BK$2)</f>
        <v>0</v>
      </c>
      <c r="BL46" s="29">
        <f>SUMIFS('HQ2'!$J:$J,'HQ2'!$A:$A, "="&amp;'CHECK_DT-BT_chi_tiet'!C46,'HQ2'!$B:$B,"="&amp;'CHECK_DT-BT_chi_tiet'!$BK$3)</f>
        <v>0</v>
      </c>
      <c r="BM46" s="7">
        <f t="shared" si="19"/>
        <v>0</v>
      </c>
      <c r="BN46" s="7">
        <f>SUMIFS('Tong_hop_HQNV_2026Q1_2026-06-23'!$L:$L,'Tong_hop_HQNV_2026Q1_2026-06-23'!$B:$B, "="&amp;'CHECK_DT-BT_chi_tiet'!A46, 'Tong_hop_HQNV_2026Q1_2026-06-23'!$A:$A, "="&amp;$BN$2)</f>
        <v>0</v>
      </c>
      <c r="BO46" s="29">
        <f>SUMIFS('HQ2'!$J:$J,'HQ2'!$A:$A, "="&amp;'CHECK_DT-BT_chi_tiet'!C46,'HQ2'!$B:$B,"="&amp;'CHECK_DT-BT_chi_tiet'!$BN$3)</f>
        <v>0</v>
      </c>
      <c r="BP46" s="7">
        <f t="shared" si="20"/>
        <v>0</v>
      </c>
      <c r="BQ46" s="7">
        <f>SUMIFS('Tong_hop_HQNV_2026Q1_2026-06-23'!$L:$L,'Tong_hop_HQNV_2026Q1_2026-06-23'!$B:$B, "="&amp;'CHECK_DT-BT_chi_tiet'!A46, 'Tong_hop_HQNV_2026Q1_2026-06-23'!$A:$A, "="&amp;$BQ$2)</f>
        <v>0</v>
      </c>
      <c r="BR46" s="29">
        <f>SUMIFS('HQ2'!$J:$J,'HQ2'!$A:$A, "="&amp;'CHECK_DT-BT_chi_tiet'!C46,'HQ2'!$B:$B,"="&amp;'CHECK_DT-BT_chi_tiet'!$BQ$3)</f>
        <v>0</v>
      </c>
      <c r="BS46" s="7">
        <f t="shared" si="21"/>
        <v>0</v>
      </c>
      <c r="BT46" s="7">
        <f>SUMIFS('Tong_hop_HQNV_2026Q1_2026-06-23'!$L:$L,'Tong_hop_HQNV_2026Q1_2026-06-23'!$B:$B, "="&amp;'CHECK_DT-BT_chi_tiet'!A46, 'Tong_hop_HQNV_2026Q1_2026-06-23'!$A:$A, "="&amp;$BT$2)</f>
        <v>0</v>
      </c>
      <c r="BU46" s="7">
        <f>SUMIFS('Tong_hop_HQNV_2026Q1_2026-06-23'!$L:$L,'Tong_hop_HQNV_2026Q1_2026-06-23'!$B:$B, "="&amp;'CHECK_DT-BT_chi_tiet'!A46, 'Tong_hop_HQNV_2026Q1_2026-06-23'!$A:$A, "="&amp;$BU$2)</f>
        <v>0</v>
      </c>
    </row>
    <row r="47" spans="1:73" x14ac:dyDescent="0.25">
      <c r="A47" s="9" t="s">
        <v>327</v>
      </c>
      <c r="B47" t="s">
        <v>185</v>
      </c>
      <c r="C47" t="s">
        <v>110</v>
      </c>
      <c r="D47" s="7">
        <f>SUMIFS('Tong_hop_HQNV_2026Q1_2026-06-23'!$K:$K,'Tong_hop_HQNV_2026Q1_2026-06-23'!$A:$A,"="&amp;'CHECK_DT-BT_chi_tiet'!$D$2,'Tong_hop_HQNV_2026Q1_2026-06-23'!$B:$B, "="&amp;'CHECK_DT-BT_chi_tiet'!A47)</f>
        <v>1235882998</v>
      </c>
      <c r="E47" s="7">
        <f>SUMIFS('HQ1'!$C:$C,'HQ1'!$A:$A, "="&amp;'CHECK_DT-BT_chi_tiet'!C47,'HQ1'!$B:$B, "="&amp;'CHECK_DT-BT_chi_tiet'!$D$3)</f>
        <v>1235882998</v>
      </c>
      <c r="F47" s="7">
        <f t="shared" si="0"/>
        <v>0</v>
      </c>
      <c r="G47" s="7">
        <f>SUMIFS('Tong_hop_HQNV_2026Q1_2026-06-23'!$K:$K,'Tong_hop_HQNV_2026Q1_2026-06-23'!$A:$A,"="&amp;'CHECK_DT-BT_chi_tiet'!$G$2,'Tong_hop_HQNV_2026Q1_2026-06-23'!$B:$B, "="&amp;'CHECK_DT-BT_chi_tiet'!A47)</f>
        <v>0</v>
      </c>
      <c r="H47" s="7">
        <f>SUMIFS('HQ1'!$C:$C,'HQ1'!$A:$A, "="&amp;'CHECK_DT-BT_chi_tiet'!C47,'HQ1'!$B:$B, "="&amp;'CHECK_DT-BT_chi_tiet'!$G$3)</f>
        <v>0</v>
      </c>
      <c r="I47" s="7">
        <f t="shared" si="1"/>
        <v>0</v>
      </c>
      <c r="J47" s="7">
        <f>SUMIFS('Tong_hop_HQNV_2026Q1_2026-06-23'!$K:$K,'Tong_hop_HQNV_2026Q1_2026-06-23'!$A:$A,"="&amp;'CHECK_DT-BT_chi_tiet'!$J$2,'Tong_hop_HQNV_2026Q1_2026-06-23'!$B:$B, "="&amp;'CHECK_DT-BT_chi_tiet'!A47)</f>
        <v>3035942395</v>
      </c>
      <c r="K47" s="7">
        <f>SUMIFS('HQ1'!$C:$C,'HQ1'!$A:$A, "="&amp;'CHECK_DT-BT_chi_tiet'!C47,'HQ1'!$B:$B, "="&amp;'CHECK_DT-BT_chi_tiet'!$J$3)</f>
        <v>3035942395</v>
      </c>
      <c r="L47" s="7">
        <f t="shared" si="2"/>
        <v>0</v>
      </c>
      <c r="M47" s="7">
        <f>SUMIFS('Tong_hop_HQNV_2026Q1_2026-06-23'!$K:$K,'Tong_hop_HQNV_2026Q1_2026-06-23'!$A:$A,"="&amp;'CHECK_DT-BT_chi_tiet'!$M$2,'Tong_hop_HQNV_2026Q1_2026-06-23'!$B:$B, "="&amp;'CHECK_DT-BT_chi_tiet'!A47)</f>
        <v>211592600</v>
      </c>
      <c r="N47" s="7">
        <f>SUMIFS('HQ1'!$C:$C,'HQ1'!$A:$A, "="&amp;'CHECK_DT-BT_chi_tiet'!C47,'HQ1'!$B:$B, "="&amp;'CHECK_DT-BT_chi_tiet'!$M$3)</f>
        <v>211592600</v>
      </c>
      <c r="O47" s="7">
        <f t="shared" si="3"/>
        <v>0</v>
      </c>
      <c r="P47" s="7">
        <f>SUMIFS('Tong_hop_HQNV_2026Q1_2026-06-23'!$K:$K,'Tong_hop_HQNV_2026Q1_2026-06-23'!$A:$A,"="&amp;$P$2,'Tong_hop_HQNV_2026Q1_2026-06-23'!$B:$B, "="&amp;'CHECK_DT-BT_chi_tiet'!A47)</f>
        <v>65338081</v>
      </c>
      <c r="Q47" s="7">
        <f>SUMIFS('HQ2'!$C:$C,'HQ2'!$A:$A, "="&amp;'CHECK_DT-BT_chi_tiet'!C47,'HQ2'!$B:$B, "="&amp;'CHECK_DT-BT_chi_tiet'!$P$3)</f>
        <v>65338081</v>
      </c>
      <c r="R47" s="7">
        <f t="shared" si="4"/>
        <v>0</v>
      </c>
      <c r="S47" s="7">
        <f>SUMIFS('Tong_hop_HQNV_2026Q1_2026-06-23'!$K:$K,'Tong_hop_HQNV_2026Q1_2026-06-23'!$A:$A,"="&amp;$S$2,'Tong_hop_HQNV_2026Q1_2026-06-23'!$B:$B, "="&amp;'CHECK_DT-BT_chi_tiet'!A47)</f>
        <v>0</v>
      </c>
      <c r="T47" s="7">
        <f>SUMIFS('HQ2'!$C:$C,'HQ2'!$A:$A, "="&amp;'CHECK_DT-BT_chi_tiet'!C47,'HQ2'!$B:$B, "="&amp;'CHECK_DT-BT_chi_tiet'!$S$3)</f>
        <v>0</v>
      </c>
      <c r="U47" s="7">
        <f t="shared" si="5"/>
        <v>0</v>
      </c>
      <c r="V47" s="7">
        <f>SUMIFS('Tong_hop_HQNV_2026Q1_2026-06-23'!$K:$K,'Tong_hop_HQNV_2026Q1_2026-06-23'!$A:$A,"="&amp;$V$2,'Tong_hop_HQNV_2026Q1_2026-06-23'!$B:$B, "="&amp;'CHECK_DT-BT_chi_tiet'!A47)</f>
        <v>0</v>
      </c>
      <c r="W47" s="7">
        <f>SUMIFS('HQ2'!$C:$C,'HQ2'!$A:$A, "="&amp;'CHECK_DT-BT_chi_tiet'!C47,'HQ2'!$B:$B, "="&amp;'CHECK_DT-BT_chi_tiet'!$V$3)</f>
        <v>0</v>
      </c>
      <c r="X47" s="7">
        <f t="shared" si="6"/>
        <v>0</v>
      </c>
      <c r="Y47" s="7">
        <f>SUMIFS('Tong_hop_HQNV_2026Q1_2026-06-23'!$K:$K,'Tong_hop_HQNV_2026Q1_2026-06-23'!$A:$A,"="&amp;$Y$2,'Tong_hop_HQNV_2026Q1_2026-06-23'!$B:$B, "="&amp;'CHECK_DT-BT_chi_tiet'!A47)</f>
        <v>0</v>
      </c>
      <c r="Z47" s="7">
        <f>SUMIFS('HQ2'!$C:$C,'HQ2'!$A:$A, "="&amp;'CHECK_DT-BT_chi_tiet'!C47,'HQ2'!$B:$B, "="&amp;'CHECK_DT-BT_chi_tiet'!$Y$3)</f>
        <v>0</v>
      </c>
      <c r="AA47" s="7">
        <f t="shared" si="7"/>
        <v>0</v>
      </c>
      <c r="AB47" s="7">
        <f>SUMIFS('Tong_hop_HQNV_2026Q1_2026-06-23'!$K:$K,'Tong_hop_HQNV_2026Q1_2026-06-23'!$A:$A,"="&amp;$AB$2,'Tong_hop_HQNV_2026Q1_2026-06-23'!$B:$B, "="&amp;'CHECK_DT-BT_chi_tiet'!A47)</f>
        <v>822622393</v>
      </c>
      <c r="AC47" s="7">
        <f>SUMIFS('HQ2'!$C:$C,'HQ2'!$A:$A, "="&amp;'CHECK_DT-BT_chi_tiet'!C47,'HQ2'!$B:$B, "="&amp;'CHECK_DT-BT_chi_tiet'!$AB$3)</f>
        <v>822622393</v>
      </c>
      <c r="AD47" s="7">
        <f t="shared" si="8"/>
        <v>0</v>
      </c>
      <c r="AE47" s="7">
        <f>SUMIFS('Tong_hop_HQNV_2026Q1_2026-06-23'!$K:$K,'Tong_hop_HQNV_2026Q1_2026-06-23'!$A:$A,"="&amp;$AE$2,'Tong_hop_HQNV_2026Q1_2026-06-23'!$B:$B, "="&amp;'CHECK_DT-BT_chi_tiet'!A47)</f>
        <v>500978776</v>
      </c>
      <c r="AF47" s="7">
        <f>SUMIFS('HQ2'!$C:$C,'HQ2'!$A:$A, "="&amp;'CHECK_DT-BT_chi_tiet'!C47,'HQ2'!$B:$B, "="&amp;'CHECK_DT-BT_chi_tiet'!$AE$3)</f>
        <v>500978776</v>
      </c>
      <c r="AG47" s="7">
        <f t="shared" si="9"/>
        <v>0</v>
      </c>
      <c r="AH47" s="7">
        <f>SUMIFS('Tong_hop_HQNV_2026Q1_2026-06-23'!$K:$K,'Tong_hop_HQNV_2026Q1_2026-06-23'!$A:$A,"="&amp;$AH$2,'Tong_hop_HQNV_2026Q1_2026-06-23'!$B:$B, "="&amp;'CHECK_DT-BT_chi_tiet'!A47)</f>
        <v>0</v>
      </c>
      <c r="AI47" s="7">
        <f>SUMIFS('HQ2'!$C:$C,'HQ2'!$A:$A, "="&amp;'CHECK_DT-BT_chi_tiet'!C47,'HQ2'!$B:$B, "="&amp;'CHECK_DT-BT_chi_tiet'!$AH$3)</f>
        <v>0</v>
      </c>
      <c r="AJ47" s="7">
        <f t="shared" si="10"/>
        <v>0</v>
      </c>
      <c r="AK47" s="7">
        <f>SUMIFS('Tong_hop_HQNV_2026Q1_2026-06-23'!$K:$K,'Tong_hop_HQNV_2026Q1_2026-06-23'!$A:$A,"="&amp;$AK$2,'Tong_hop_HQNV_2026Q1_2026-06-23'!$B:$B, "="&amp;'CHECK_DT-BT_chi_tiet'!A47)</f>
        <v>0</v>
      </c>
      <c r="AL47" s="7">
        <f>SUMIFS('Tong_hop_HQNV_2026Q1_2026-06-23'!$K:$K,'Tong_hop_HQNV_2026Q1_2026-06-23'!$A:$A,"="&amp;$AL$2,'Tong_hop_HQNV_2026Q1_2026-06-23'!$B:$B, "="&amp;'CHECK_DT-BT_chi_tiet'!A47)</f>
        <v>0</v>
      </c>
      <c r="AM47" s="23">
        <f>SUMIFS('Tong_hop_HQNV_2026Q1_2026-06-23'!$L:$L,'Tong_hop_HQNV_2026Q1_2026-06-23'!$B:$B, "="&amp;'CHECK_DT-BT_chi_tiet'!A47, 'Tong_hop_HQNV_2026Q1_2026-06-23'!$A:$A, "="&amp;'CHECK_DT-BT_chi_tiet'!$AM$2)</f>
        <v>741264195</v>
      </c>
      <c r="AN47" s="29">
        <f>SUMIFS('HQ1'!$D:$D,'HQ1'!$A:$A, "="&amp;'CHECK_DT-BT_chi_tiet'!C47,'HQ1'!$B:$B,"="&amp;'CHECK_DT-BT_chi_tiet'!$AM$3)</f>
        <v>741264195</v>
      </c>
      <c r="AO47" s="29">
        <f t="shared" si="11"/>
        <v>0</v>
      </c>
      <c r="AP47" s="7">
        <f>SUMIFS('Tong_hop_HQNV_2026Q1_2026-06-23'!$L:$L,'Tong_hop_HQNV_2026Q1_2026-06-23'!$B:$B, "="&amp;'CHECK_DT-BT_chi_tiet'!A47, 'Tong_hop_HQNV_2026Q1_2026-06-23'!$A:$A, "="&amp;'CHECK_DT-BT_chi_tiet'!$AP$2)</f>
        <v>0</v>
      </c>
      <c r="AQ47" s="29">
        <f>SUMIFS('HQ1'!$D:$D,'HQ1'!$A:$A, "="&amp;'CHECK_DT-BT_chi_tiet'!C47,'HQ1'!$B:$B,"="&amp;'CHECK_DT-BT_chi_tiet'!$AP$3)</f>
        <v>0</v>
      </c>
      <c r="AR47" s="7">
        <f t="shared" si="12"/>
        <v>0</v>
      </c>
      <c r="AS47" s="7">
        <f>SUMIFS('Tong_hop_HQNV_2026Q1_2026-06-23'!$L:$L,'Tong_hop_HQNV_2026Q1_2026-06-23'!$B:$B, "="&amp;'CHECK_DT-BT_chi_tiet'!A47, 'Tong_hop_HQNV_2026Q1_2026-06-23'!$A:$A, "="&amp;'CHECK_DT-BT_chi_tiet'!$AS$2)</f>
        <v>582647193</v>
      </c>
      <c r="AT47" s="29">
        <f>SUMIFS('HQ1'!$D:$D,'HQ1'!$A:$A, "="&amp;'CHECK_DT-BT_chi_tiet'!C47,'HQ1'!$B:$B,"="&amp;'CHECK_DT-BT_chi_tiet'!$AS$3)</f>
        <v>582647193</v>
      </c>
      <c r="AU47" s="7">
        <f t="shared" si="13"/>
        <v>0</v>
      </c>
      <c r="AV47" s="7">
        <f>SUMIFS('Tong_hop_HQNV_2026Q1_2026-06-23'!$L:$L,'Tong_hop_HQNV_2026Q1_2026-06-23'!$B:$B, "="&amp;'CHECK_DT-BT_chi_tiet'!A47, 'Tong_hop_HQNV_2026Q1_2026-06-23'!$A:$A, "="&amp;'CHECK_DT-BT_chi_tiet'!$AV$2)</f>
        <v>100388002</v>
      </c>
      <c r="AW47" s="29">
        <f>SUMIFS('HQ1'!$D:$D,'HQ1'!$A:$A, "="&amp;'CHECK_DT-BT_chi_tiet'!C47,'HQ1'!$B:$B,"="&amp;'CHECK_DT-BT_chi_tiet'!$AV$3)</f>
        <v>100388002</v>
      </c>
      <c r="AX47" s="7">
        <f t="shared" si="14"/>
        <v>0</v>
      </c>
      <c r="AY47" s="7">
        <f>SUMIFS('Tong_hop_HQNV_2026Q1_2026-06-23'!$L:$L,'Tong_hop_HQNV_2026Q1_2026-06-23'!$B:$B, "="&amp;'CHECK_DT-BT_chi_tiet'!A47, 'Tong_hop_HQNV_2026Q1_2026-06-23'!$A:$A, "="&amp;$AY$2)</f>
        <v>0</v>
      </c>
      <c r="AZ47" s="29">
        <f>SUMIFS('HQ2'!$J:$J,'HQ2'!$A:$A, "="&amp;'CHECK_DT-BT_chi_tiet'!C47,'HQ2'!$B:$B,"="&amp;'CHECK_DT-BT_chi_tiet'!$AY$3)</f>
        <v>0</v>
      </c>
      <c r="BA47" s="7">
        <f t="shared" si="15"/>
        <v>0</v>
      </c>
      <c r="BB47" s="7">
        <f>SUMIFS('Tong_hop_HQNV_2026Q1_2026-06-23'!$L:$L,'Tong_hop_HQNV_2026Q1_2026-06-23'!$B:$B, "="&amp;'CHECK_DT-BT_chi_tiet'!A47, 'Tong_hop_HQNV_2026Q1_2026-06-23'!$A:$A, "="&amp;$BB$2)</f>
        <v>0</v>
      </c>
      <c r="BC47" s="29">
        <f>SUMIFS('HQ2'!$J:$J,'HQ2'!$A:$A, "="&amp;'CHECK_DT-BT_chi_tiet'!C47,'HQ2'!$B:$B,"="&amp;'CHECK_DT-BT_chi_tiet'!$BB$3)</f>
        <v>0</v>
      </c>
      <c r="BD47" s="7">
        <f t="shared" si="16"/>
        <v>0</v>
      </c>
      <c r="BE47" s="7">
        <f>SUMIFS('Tong_hop_HQNV_2026Q1_2026-06-23'!$L:$L,'Tong_hop_HQNV_2026Q1_2026-06-23'!$B:$B, "="&amp;'CHECK_DT-BT_chi_tiet'!A47, 'Tong_hop_HQNV_2026Q1_2026-06-23'!$A:$A, "="&amp;$BE$2)</f>
        <v>0</v>
      </c>
      <c r="BF47" s="29">
        <f>SUMIFS('HQ2'!$J:$J,'HQ2'!$A:$A, "="&amp;'CHECK_DT-BT_chi_tiet'!C47,'HQ2'!$B:$B,"="&amp;'CHECK_DT-BT_chi_tiet'!$BE$3)</f>
        <v>0</v>
      </c>
      <c r="BG47" s="7">
        <f t="shared" si="17"/>
        <v>0</v>
      </c>
      <c r="BH47" s="7">
        <f>SUMIFS('Tong_hop_HQNV_2026Q1_2026-06-23'!$L:$L,'Tong_hop_HQNV_2026Q1_2026-06-23'!$B:$B, "="&amp;'CHECK_DT-BT_chi_tiet'!A47, 'Tong_hop_HQNV_2026Q1_2026-06-23'!$A:$A, "="&amp;$BH$2)</f>
        <v>0</v>
      </c>
      <c r="BI47" s="29">
        <f>SUMIFS('HQ2'!$J:$J,'HQ2'!$A:$A, "="&amp;'CHECK_DT-BT_chi_tiet'!C47,'HQ2'!$B:$B,"="&amp;'CHECK_DT-BT_chi_tiet'!$BH$3)</f>
        <v>0</v>
      </c>
      <c r="BJ47" s="7">
        <f t="shared" si="18"/>
        <v>0</v>
      </c>
      <c r="BK47" s="7">
        <f>SUMIFS('Tong_hop_HQNV_2026Q1_2026-06-23'!$L:$L,'Tong_hop_HQNV_2026Q1_2026-06-23'!$B:$B, "="&amp;'CHECK_DT-BT_chi_tiet'!A47, 'Tong_hop_HQNV_2026Q1_2026-06-23'!$A:$A, "="&amp;$BK$2)</f>
        <v>501041019</v>
      </c>
      <c r="BL47" s="29">
        <f>SUMIFS('HQ2'!$J:$J,'HQ2'!$A:$A, "="&amp;'CHECK_DT-BT_chi_tiet'!C47,'HQ2'!$B:$B,"="&amp;'CHECK_DT-BT_chi_tiet'!$BK$3)</f>
        <v>485161019</v>
      </c>
      <c r="BM47" s="7">
        <f t="shared" si="19"/>
        <v>15880000</v>
      </c>
      <c r="BN47" s="7">
        <f>SUMIFS('Tong_hop_HQNV_2026Q1_2026-06-23'!$L:$L,'Tong_hop_HQNV_2026Q1_2026-06-23'!$B:$B, "="&amp;'CHECK_DT-BT_chi_tiet'!A47, 'Tong_hop_HQNV_2026Q1_2026-06-23'!$A:$A, "="&amp;$BN$2)</f>
        <v>0</v>
      </c>
      <c r="BO47" s="29">
        <f>SUMIFS('HQ2'!$J:$J,'HQ2'!$A:$A, "="&amp;'CHECK_DT-BT_chi_tiet'!C47,'HQ2'!$B:$B,"="&amp;'CHECK_DT-BT_chi_tiet'!$BN$3)</f>
        <v>0</v>
      </c>
      <c r="BP47" s="7">
        <f t="shared" si="20"/>
        <v>0</v>
      </c>
      <c r="BQ47" s="7">
        <f>SUMIFS('Tong_hop_HQNV_2026Q1_2026-06-23'!$L:$L,'Tong_hop_HQNV_2026Q1_2026-06-23'!$B:$B, "="&amp;'CHECK_DT-BT_chi_tiet'!A47, 'Tong_hop_HQNV_2026Q1_2026-06-23'!$A:$A, "="&amp;$BQ$2)</f>
        <v>0</v>
      </c>
      <c r="BR47" s="29">
        <f>SUMIFS('HQ2'!$J:$J,'HQ2'!$A:$A, "="&amp;'CHECK_DT-BT_chi_tiet'!C47,'HQ2'!$B:$B,"="&amp;'CHECK_DT-BT_chi_tiet'!$BQ$3)</f>
        <v>0</v>
      </c>
      <c r="BS47" s="7">
        <f t="shared" si="21"/>
        <v>0</v>
      </c>
      <c r="BT47" s="7">
        <f>SUMIFS('Tong_hop_HQNV_2026Q1_2026-06-23'!$L:$L,'Tong_hop_HQNV_2026Q1_2026-06-23'!$B:$B, "="&amp;'CHECK_DT-BT_chi_tiet'!A47, 'Tong_hop_HQNV_2026Q1_2026-06-23'!$A:$A, "="&amp;$BT$2)</f>
        <v>0</v>
      </c>
      <c r="BU47" s="7">
        <f>SUMIFS('Tong_hop_HQNV_2026Q1_2026-06-23'!$L:$L,'Tong_hop_HQNV_2026Q1_2026-06-23'!$B:$B, "="&amp;'CHECK_DT-BT_chi_tiet'!A47, 'Tong_hop_HQNV_2026Q1_2026-06-23'!$A:$A, "="&amp;$BU$2)</f>
        <v>0</v>
      </c>
    </row>
    <row r="48" spans="1:73" x14ac:dyDescent="0.25">
      <c r="A48" s="9" t="s">
        <v>328</v>
      </c>
      <c r="B48" t="s">
        <v>186</v>
      </c>
      <c r="C48" t="s">
        <v>77</v>
      </c>
      <c r="D48" s="7">
        <f>SUMIFS('Tong_hop_HQNV_2026Q1_2026-06-23'!$K:$K,'Tong_hop_HQNV_2026Q1_2026-06-23'!$A:$A,"="&amp;'CHECK_DT-BT_chi_tiet'!$D$2,'Tong_hop_HQNV_2026Q1_2026-06-23'!$B:$B, "="&amp;'CHECK_DT-BT_chi_tiet'!A48)</f>
        <v>2573413662</v>
      </c>
      <c r="E48" s="7">
        <f>SUMIFS('HQ1'!$C:$C,'HQ1'!$A:$A, "="&amp;'CHECK_DT-BT_chi_tiet'!C48,'HQ1'!$B:$B, "="&amp;'CHECK_DT-BT_chi_tiet'!$D$3)</f>
        <v>2573413662</v>
      </c>
      <c r="F48" s="7">
        <f t="shared" si="0"/>
        <v>0</v>
      </c>
      <c r="G48" s="7">
        <f>SUMIFS('Tong_hop_HQNV_2026Q1_2026-06-23'!$K:$K,'Tong_hop_HQNV_2026Q1_2026-06-23'!$A:$A,"="&amp;'CHECK_DT-BT_chi_tiet'!$G$2,'Tong_hop_HQNV_2026Q1_2026-06-23'!$B:$B, "="&amp;'CHECK_DT-BT_chi_tiet'!A48)</f>
        <v>14308600</v>
      </c>
      <c r="H48" s="7">
        <f>SUMIFS('HQ1'!$C:$C,'HQ1'!$A:$A, "="&amp;'CHECK_DT-BT_chi_tiet'!C48,'HQ1'!$B:$B, "="&amp;'CHECK_DT-BT_chi_tiet'!$G$3)</f>
        <v>14308600</v>
      </c>
      <c r="I48" s="7">
        <f t="shared" si="1"/>
        <v>0</v>
      </c>
      <c r="J48" s="7">
        <f>SUMIFS('Tong_hop_HQNV_2026Q1_2026-06-23'!$K:$K,'Tong_hop_HQNV_2026Q1_2026-06-23'!$A:$A,"="&amp;'CHECK_DT-BT_chi_tiet'!$J$2,'Tong_hop_HQNV_2026Q1_2026-06-23'!$B:$B, "="&amp;'CHECK_DT-BT_chi_tiet'!A48)</f>
        <v>3890006822</v>
      </c>
      <c r="K48" s="7">
        <f>SUMIFS('HQ1'!$C:$C,'HQ1'!$A:$A, "="&amp;'CHECK_DT-BT_chi_tiet'!C48,'HQ1'!$B:$B, "="&amp;'CHECK_DT-BT_chi_tiet'!$J$3)</f>
        <v>3890006822</v>
      </c>
      <c r="L48" s="7">
        <f t="shared" si="2"/>
        <v>0</v>
      </c>
      <c r="M48" s="7">
        <f>SUMIFS('Tong_hop_HQNV_2026Q1_2026-06-23'!$K:$K,'Tong_hop_HQNV_2026Q1_2026-06-23'!$A:$A,"="&amp;'CHECK_DT-BT_chi_tiet'!$M$2,'Tong_hop_HQNV_2026Q1_2026-06-23'!$B:$B, "="&amp;'CHECK_DT-BT_chi_tiet'!A48)</f>
        <v>1041862160</v>
      </c>
      <c r="N48" s="7">
        <f>SUMIFS('HQ1'!$C:$C,'HQ1'!$A:$A, "="&amp;'CHECK_DT-BT_chi_tiet'!C48,'HQ1'!$B:$B, "="&amp;'CHECK_DT-BT_chi_tiet'!$M$3)</f>
        <v>1041862160</v>
      </c>
      <c r="O48" s="7">
        <f t="shared" si="3"/>
        <v>0</v>
      </c>
      <c r="P48" s="7">
        <f>SUMIFS('Tong_hop_HQNV_2026Q1_2026-06-23'!$K:$K,'Tong_hop_HQNV_2026Q1_2026-06-23'!$A:$A,"="&amp;$P$2,'Tong_hop_HQNV_2026Q1_2026-06-23'!$B:$B, "="&amp;'CHECK_DT-BT_chi_tiet'!A48)</f>
        <v>728548276</v>
      </c>
      <c r="Q48" s="7">
        <f>SUMIFS('HQ2'!$C:$C,'HQ2'!$A:$A, "="&amp;'CHECK_DT-BT_chi_tiet'!C48,'HQ2'!$B:$B, "="&amp;'CHECK_DT-BT_chi_tiet'!$P$3)</f>
        <v>728548276</v>
      </c>
      <c r="R48" s="7">
        <f t="shared" si="4"/>
        <v>0</v>
      </c>
      <c r="S48" s="7">
        <f>SUMIFS('Tong_hop_HQNV_2026Q1_2026-06-23'!$K:$K,'Tong_hop_HQNV_2026Q1_2026-06-23'!$A:$A,"="&amp;$S$2,'Tong_hop_HQNV_2026Q1_2026-06-23'!$B:$B, "="&amp;'CHECK_DT-BT_chi_tiet'!A48)</f>
        <v>0</v>
      </c>
      <c r="T48" s="7">
        <f>SUMIFS('HQ2'!$C:$C,'HQ2'!$A:$A, "="&amp;'CHECK_DT-BT_chi_tiet'!C48,'HQ2'!$B:$B, "="&amp;'CHECK_DT-BT_chi_tiet'!$S$3)</f>
        <v>0</v>
      </c>
      <c r="U48" s="7">
        <f t="shared" si="5"/>
        <v>0</v>
      </c>
      <c r="V48" s="7">
        <f>SUMIFS('Tong_hop_HQNV_2026Q1_2026-06-23'!$K:$K,'Tong_hop_HQNV_2026Q1_2026-06-23'!$A:$A,"="&amp;$V$2,'Tong_hop_HQNV_2026Q1_2026-06-23'!$B:$B, "="&amp;'CHECK_DT-BT_chi_tiet'!A48)</f>
        <v>0</v>
      </c>
      <c r="W48" s="7">
        <f>SUMIFS('HQ2'!$C:$C,'HQ2'!$A:$A, "="&amp;'CHECK_DT-BT_chi_tiet'!C48,'HQ2'!$B:$B, "="&amp;'CHECK_DT-BT_chi_tiet'!$V$3)</f>
        <v>0</v>
      </c>
      <c r="X48" s="7">
        <f t="shared" si="6"/>
        <v>0</v>
      </c>
      <c r="Y48" s="7">
        <f>SUMIFS('Tong_hop_HQNV_2026Q1_2026-06-23'!$K:$K,'Tong_hop_HQNV_2026Q1_2026-06-23'!$A:$A,"="&amp;$Y$2,'Tong_hop_HQNV_2026Q1_2026-06-23'!$B:$B, "="&amp;'CHECK_DT-BT_chi_tiet'!A48)</f>
        <v>356805944</v>
      </c>
      <c r="Z48" s="7">
        <f>SUMIFS('HQ2'!$C:$C,'HQ2'!$A:$A, "="&amp;'CHECK_DT-BT_chi_tiet'!C48,'HQ2'!$B:$B, "="&amp;'CHECK_DT-BT_chi_tiet'!$Y$3)</f>
        <v>356805944</v>
      </c>
      <c r="AA48" s="7">
        <f t="shared" si="7"/>
        <v>0</v>
      </c>
      <c r="AB48" s="7">
        <f>SUMIFS('Tong_hop_HQNV_2026Q1_2026-06-23'!$K:$K,'Tong_hop_HQNV_2026Q1_2026-06-23'!$A:$A,"="&amp;$AB$2,'Tong_hop_HQNV_2026Q1_2026-06-23'!$B:$B, "="&amp;'CHECK_DT-BT_chi_tiet'!A48)</f>
        <v>3326662184</v>
      </c>
      <c r="AC48" s="7">
        <f>SUMIFS('HQ2'!$C:$C,'HQ2'!$A:$A, "="&amp;'CHECK_DT-BT_chi_tiet'!C48,'HQ2'!$B:$B, "="&amp;'CHECK_DT-BT_chi_tiet'!$AB$3)</f>
        <v>3326662184</v>
      </c>
      <c r="AD48" s="7">
        <f t="shared" si="8"/>
        <v>0</v>
      </c>
      <c r="AE48" s="7">
        <f>SUMIFS('Tong_hop_HQNV_2026Q1_2026-06-23'!$K:$K,'Tong_hop_HQNV_2026Q1_2026-06-23'!$A:$A,"="&amp;$AE$2,'Tong_hop_HQNV_2026Q1_2026-06-23'!$B:$B, "="&amp;'CHECK_DT-BT_chi_tiet'!A48)</f>
        <v>299817273</v>
      </c>
      <c r="AF48" s="7">
        <f>SUMIFS('HQ2'!$C:$C,'HQ2'!$A:$A, "="&amp;'CHECK_DT-BT_chi_tiet'!C48,'HQ2'!$B:$B, "="&amp;'CHECK_DT-BT_chi_tiet'!$AE$3)</f>
        <v>299817273</v>
      </c>
      <c r="AG48" s="7">
        <f t="shared" si="9"/>
        <v>0</v>
      </c>
      <c r="AH48" s="7">
        <f>SUMIFS('Tong_hop_HQNV_2026Q1_2026-06-23'!$K:$K,'Tong_hop_HQNV_2026Q1_2026-06-23'!$A:$A,"="&amp;$AH$2,'Tong_hop_HQNV_2026Q1_2026-06-23'!$B:$B, "="&amp;'CHECK_DT-BT_chi_tiet'!A48)</f>
        <v>61972728</v>
      </c>
      <c r="AI48" s="7">
        <f>SUMIFS('HQ2'!$C:$C,'HQ2'!$A:$A, "="&amp;'CHECK_DT-BT_chi_tiet'!C48,'HQ2'!$B:$B, "="&amp;'CHECK_DT-BT_chi_tiet'!$AH$3)</f>
        <v>61972728</v>
      </c>
      <c r="AJ48" s="7">
        <f t="shared" si="10"/>
        <v>0</v>
      </c>
      <c r="AK48" s="7">
        <f>SUMIFS('Tong_hop_HQNV_2026Q1_2026-06-23'!$K:$K,'Tong_hop_HQNV_2026Q1_2026-06-23'!$A:$A,"="&amp;$AK$2,'Tong_hop_HQNV_2026Q1_2026-06-23'!$B:$B, "="&amp;'CHECK_DT-BT_chi_tiet'!A48)</f>
        <v>0</v>
      </c>
      <c r="AL48" s="7">
        <f>SUMIFS('Tong_hop_HQNV_2026Q1_2026-06-23'!$K:$K,'Tong_hop_HQNV_2026Q1_2026-06-23'!$A:$A,"="&amp;$AL$2,'Tong_hop_HQNV_2026Q1_2026-06-23'!$B:$B, "="&amp;'CHECK_DT-BT_chi_tiet'!A48)</f>
        <v>0</v>
      </c>
      <c r="AM48" s="23">
        <f>SUMIFS('Tong_hop_HQNV_2026Q1_2026-06-23'!$L:$L,'Tong_hop_HQNV_2026Q1_2026-06-23'!$B:$B, "="&amp;'CHECK_DT-BT_chi_tiet'!A48, 'Tong_hop_HQNV_2026Q1_2026-06-23'!$A:$A, "="&amp;'CHECK_DT-BT_chi_tiet'!$AM$2)</f>
        <v>2014059600</v>
      </c>
      <c r="AN48" s="29">
        <f>SUMIFS('HQ1'!$D:$D,'HQ1'!$A:$A, "="&amp;'CHECK_DT-BT_chi_tiet'!C48,'HQ1'!$B:$B,"="&amp;'CHECK_DT-BT_chi_tiet'!$AM$3)</f>
        <v>2014059600</v>
      </c>
      <c r="AO48" s="29">
        <f t="shared" si="11"/>
        <v>0</v>
      </c>
      <c r="AP48" s="7">
        <f>SUMIFS('Tong_hop_HQNV_2026Q1_2026-06-23'!$L:$L,'Tong_hop_HQNV_2026Q1_2026-06-23'!$B:$B, "="&amp;'CHECK_DT-BT_chi_tiet'!A48, 'Tong_hop_HQNV_2026Q1_2026-06-23'!$A:$A, "="&amp;'CHECK_DT-BT_chi_tiet'!$AP$2)</f>
        <v>0</v>
      </c>
      <c r="AQ48" s="29">
        <f>SUMIFS('HQ1'!$D:$D,'HQ1'!$A:$A, "="&amp;'CHECK_DT-BT_chi_tiet'!C48,'HQ1'!$B:$B,"="&amp;'CHECK_DT-BT_chi_tiet'!$AP$3)</f>
        <v>0</v>
      </c>
      <c r="AR48" s="7">
        <f t="shared" si="12"/>
        <v>0</v>
      </c>
      <c r="AS48" s="7">
        <f>SUMIFS('Tong_hop_HQNV_2026Q1_2026-06-23'!$L:$L,'Tong_hop_HQNV_2026Q1_2026-06-23'!$B:$B, "="&amp;'CHECK_DT-BT_chi_tiet'!A48, 'Tong_hop_HQNV_2026Q1_2026-06-23'!$A:$A, "="&amp;'CHECK_DT-BT_chi_tiet'!$AS$2)</f>
        <v>478943618</v>
      </c>
      <c r="AT48" s="29">
        <f>SUMIFS('HQ1'!$D:$D,'HQ1'!$A:$A, "="&amp;'CHECK_DT-BT_chi_tiet'!C48,'HQ1'!$B:$B,"="&amp;'CHECK_DT-BT_chi_tiet'!$AS$3)</f>
        <v>478943618</v>
      </c>
      <c r="AU48" s="7">
        <f t="shared" si="13"/>
        <v>0</v>
      </c>
      <c r="AV48" s="7">
        <f>SUMIFS('Tong_hop_HQNV_2026Q1_2026-06-23'!$L:$L,'Tong_hop_HQNV_2026Q1_2026-06-23'!$B:$B, "="&amp;'CHECK_DT-BT_chi_tiet'!A48, 'Tong_hop_HQNV_2026Q1_2026-06-23'!$A:$A, "="&amp;'CHECK_DT-BT_chi_tiet'!$AV$2)</f>
        <v>70243413</v>
      </c>
      <c r="AW48" s="29">
        <f>SUMIFS('HQ1'!$D:$D,'HQ1'!$A:$A, "="&amp;'CHECK_DT-BT_chi_tiet'!C48,'HQ1'!$B:$B,"="&amp;'CHECK_DT-BT_chi_tiet'!$AV$3)</f>
        <v>70243413</v>
      </c>
      <c r="AX48" s="7">
        <f t="shared" si="14"/>
        <v>0</v>
      </c>
      <c r="AY48" s="7">
        <f>SUMIFS('Tong_hop_HQNV_2026Q1_2026-06-23'!$L:$L,'Tong_hop_HQNV_2026Q1_2026-06-23'!$B:$B, "="&amp;'CHECK_DT-BT_chi_tiet'!A48, 'Tong_hop_HQNV_2026Q1_2026-06-23'!$A:$A, "="&amp;$AY$2)</f>
        <v>0</v>
      </c>
      <c r="AZ48" s="29">
        <f>SUMIFS('HQ2'!$J:$J,'HQ2'!$A:$A, "="&amp;'CHECK_DT-BT_chi_tiet'!C48,'HQ2'!$B:$B,"="&amp;'CHECK_DT-BT_chi_tiet'!$AY$3)</f>
        <v>0</v>
      </c>
      <c r="BA48" s="7">
        <f t="shared" si="15"/>
        <v>0</v>
      </c>
      <c r="BB48" s="7">
        <f>SUMIFS('Tong_hop_HQNV_2026Q1_2026-06-23'!$L:$L,'Tong_hop_HQNV_2026Q1_2026-06-23'!$B:$B, "="&amp;'CHECK_DT-BT_chi_tiet'!A48, 'Tong_hop_HQNV_2026Q1_2026-06-23'!$A:$A, "="&amp;$BB$2)</f>
        <v>0</v>
      </c>
      <c r="BC48" s="29">
        <f>SUMIFS('HQ2'!$J:$J,'HQ2'!$A:$A, "="&amp;'CHECK_DT-BT_chi_tiet'!C48,'HQ2'!$B:$B,"="&amp;'CHECK_DT-BT_chi_tiet'!$BB$3)</f>
        <v>0</v>
      </c>
      <c r="BD48" s="7">
        <f t="shared" si="16"/>
        <v>0</v>
      </c>
      <c r="BE48" s="7">
        <f>SUMIFS('Tong_hop_HQNV_2026Q1_2026-06-23'!$L:$L,'Tong_hop_HQNV_2026Q1_2026-06-23'!$B:$B, "="&amp;'CHECK_DT-BT_chi_tiet'!A48, 'Tong_hop_HQNV_2026Q1_2026-06-23'!$A:$A, "="&amp;$BE$2)</f>
        <v>0</v>
      </c>
      <c r="BF48" s="29">
        <f>SUMIFS('HQ2'!$J:$J,'HQ2'!$A:$A, "="&amp;'CHECK_DT-BT_chi_tiet'!C48,'HQ2'!$B:$B,"="&amp;'CHECK_DT-BT_chi_tiet'!$BE$3)</f>
        <v>0</v>
      </c>
      <c r="BG48" s="7">
        <f t="shared" si="17"/>
        <v>0</v>
      </c>
      <c r="BH48" s="7">
        <f>SUMIFS('Tong_hop_HQNV_2026Q1_2026-06-23'!$L:$L,'Tong_hop_HQNV_2026Q1_2026-06-23'!$B:$B, "="&amp;'CHECK_DT-BT_chi_tiet'!A48, 'Tong_hop_HQNV_2026Q1_2026-06-23'!$A:$A, "="&amp;$BH$2)</f>
        <v>0</v>
      </c>
      <c r="BI48" s="29">
        <f>SUMIFS('HQ2'!$J:$J,'HQ2'!$A:$A, "="&amp;'CHECK_DT-BT_chi_tiet'!C48,'HQ2'!$B:$B,"="&amp;'CHECK_DT-BT_chi_tiet'!$BH$3)</f>
        <v>0</v>
      </c>
      <c r="BJ48" s="7">
        <f t="shared" si="18"/>
        <v>0</v>
      </c>
      <c r="BK48" s="7">
        <f>SUMIFS('Tong_hop_HQNV_2026Q1_2026-06-23'!$L:$L,'Tong_hop_HQNV_2026Q1_2026-06-23'!$B:$B, "="&amp;'CHECK_DT-BT_chi_tiet'!A48, 'Tong_hop_HQNV_2026Q1_2026-06-23'!$A:$A, "="&amp;$BK$2)</f>
        <v>0</v>
      </c>
      <c r="BL48" s="29">
        <f>SUMIFS('HQ2'!$J:$J,'HQ2'!$A:$A, "="&amp;'CHECK_DT-BT_chi_tiet'!C48,'HQ2'!$B:$B,"="&amp;'CHECK_DT-BT_chi_tiet'!$BK$3)</f>
        <v>0</v>
      </c>
      <c r="BM48" s="7">
        <f t="shared" si="19"/>
        <v>0</v>
      </c>
      <c r="BN48" s="7">
        <f>SUMIFS('Tong_hop_HQNV_2026Q1_2026-06-23'!$L:$L,'Tong_hop_HQNV_2026Q1_2026-06-23'!$B:$B, "="&amp;'CHECK_DT-BT_chi_tiet'!A48, 'Tong_hop_HQNV_2026Q1_2026-06-23'!$A:$A, "="&amp;$BN$2)</f>
        <v>0</v>
      </c>
      <c r="BO48" s="29">
        <f>SUMIFS('HQ2'!$J:$J,'HQ2'!$A:$A, "="&amp;'CHECK_DT-BT_chi_tiet'!C48,'HQ2'!$B:$B,"="&amp;'CHECK_DT-BT_chi_tiet'!$BN$3)</f>
        <v>0</v>
      </c>
      <c r="BP48" s="7">
        <f t="shared" si="20"/>
        <v>0</v>
      </c>
      <c r="BQ48" s="7">
        <f>SUMIFS('Tong_hop_HQNV_2026Q1_2026-06-23'!$L:$L,'Tong_hop_HQNV_2026Q1_2026-06-23'!$B:$B, "="&amp;'CHECK_DT-BT_chi_tiet'!A48, 'Tong_hop_HQNV_2026Q1_2026-06-23'!$A:$A, "="&amp;$BQ$2)</f>
        <v>12027918</v>
      </c>
      <c r="BR48" s="29">
        <f>SUMIFS('HQ2'!$J:$J,'HQ2'!$A:$A, "="&amp;'CHECK_DT-BT_chi_tiet'!C48,'HQ2'!$B:$B,"="&amp;'CHECK_DT-BT_chi_tiet'!$BQ$3)</f>
        <v>12027918</v>
      </c>
      <c r="BS48" s="7">
        <f t="shared" si="21"/>
        <v>0</v>
      </c>
      <c r="BT48" s="7">
        <f>SUMIFS('Tong_hop_HQNV_2026Q1_2026-06-23'!$L:$L,'Tong_hop_HQNV_2026Q1_2026-06-23'!$B:$B, "="&amp;'CHECK_DT-BT_chi_tiet'!A48, 'Tong_hop_HQNV_2026Q1_2026-06-23'!$A:$A, "="&amp;$BT$2)</f>
        <v>0</v>
      </c>
      <c r="BU48" s="7">
        <f>SUMIFS('Tong_hop_HQNV_2026Q1_2026-06-23'!$L:$L,'Tong_hop_HQNV_2026Q1_2026-06-23'!$B:$B, "="&amp;'CHECK_DT-BT_chi_tiet'!A48, 'Tong_hop_HQNV_2026Q1_2026-06-23'!$A:$A, "="&amp;$BU$2)</f>
        <v>0</v>
      </c>
    </row>
    <row r="49" spans="1:73" x14ac:dyDescent="0.25">
      <c r="A49" s="9" t="s">
        <v>329</v>
      </c>
      <c r="B49" t="s">
        <v>187</v>
      </c>
      <c r="C49" t="s">
        <v>68</v>
      </c>
      <c r="D49" s="7">
        <f>SUMIFS('Tong_hop_HQNV_2026Q1_2026-06-23'!$K:$K,'Tong_hop_HQNV_2026Q1_2026-06-23'!$A:$A,"="&amp;'CHECK_DT-BT_chi_tiet'!$D$2,'Tong_hop_HQNV_2026Q1_2026-06-23'!$B:$B, "="&amp;'CHECK_DT-BT_chi_tiet'!A49)</f>
        <v>823627032</v>
      </c>
      <c r="E49" s="7">
        <f>SUMIFS('HQ1'!$C:$C,'HQ1'!$A:$A, "="&amp;'CHECK_DT-BT_chi_tiet'!C49,'HQ1'!$B:$B, "="&amp;'CHECK_DT-BT_chi_tiet'!$D$3)</f>
        <v>678783192</v>
      </c>
      <c r="F49" s="7">
        <f t="shared" si="0"/>
        <v>144843840</v>
      </c>
      <c r="G49" s="7">
        <f>SUMIFS('Tong_hop_HQNV_2026Q1_2026-06-23'!$K:$K,'Tong_hop_HQNV_2026Q1_2026-06-23'!$A:$A,"="&amp;'CHECK_DT-BT_chi_tiet'!$G$2,'Tong_hop_HQNV_2026Q1_2026-06-23'!$B:$B, "="&amp;'CHECK_DT-BT_chi_tiet'!A49)</f>
        <v>31058400</v>
      </c>
      <c r="H49" s="7">
        <f>SUMIFS('HQ1'!$C:$C,'HQ1'!$A:$A, "="&amp;'CHECK_DT-BT_chi_tiet'!C49,'HQ1'!$B:$B, "="&amp;'CHECK_DT-BT_chi_tiet'!$G$3)</f>
        <v>31058400</v>
      </c>
      <c r="I49" s="7">
        <f t="shared" si="1"/>
        <v>0</v>
      </c>
      <c r="J49" s="7">
        <f>SUMIFS('Tong_hop_HQNV_2026Q1_2026-06-23'!$K:$K,'Tong_hop_HQNV_2026Q1_2026-06-23'!$A:$A,"="&amp;'CHECK_DT-BT_chi_tiet'!$J$2,'Tong_hop_HQNV_2026Q1_2026-06-23'!$B:$B, "="&amp;'CHECK_DT-BT_chi_tiet'!A49)</f>
        <v>3765143806</v>
      </c>
      <c r="K49" s="7">
        <f>SUMIFS('HQ1'!$C:$C,'HQ1'!$A:$A, "="&amp;'CHECK_DT-BT_chi_tiet'!C49,'HQ1'!$B:$B, "="&amp;'CHECK_DT-BT_chi_tiet'!$J$3)</f>
        <v>3765143806</v>
      </c>
      <c r="L49" s="7">
        <f t="shared" si="2"/>
        <v>0</v>
      </c>
      <c r="M49" s="7">
        <f>SUMIFS('Tong_hop_HQNV_2026Q1_2026-06-23'!$K:$K,'Tong_hop_HQNV_2026Q1_2026-06-23'!$A:$A,"="&amp;'CHECK_DT-BT_chi_tiet'!$M$2,'Tong_hop_HQNV_2026Q1_2026-06-23'!$B:$B, "="&amp;'CHECK_DT-BT_chi_tiet'!A49)</f>
        <v>1640304366</v>
      </c>
      <c r="N49" s="7">
        <f>SUMIFS('HQ1'!$C:$C,'HQ1'!$A:$A, "="&amp;'CHECK_DT-BT_chi_tiet'!C49,'HQ1'!$B:$B, "="&amp;'CHECK_DT-BT_chi_tiet'!$M$3)</f>
        <v>1785148206</v>
      </c>
      <c r="O49" s="7">
        <f t="shared" si="3"/>
        <v>-144843840</v>
      </c>
      <c r="P49" s="7">
        <f>SUMIFS('Tong_hop_HQNV_2026Q1_2026-06-23'!$K:$K,'Tong_hop_HQNV_2026Q1_2026-06-23'!$A:$A,"="&amp;$P$2,'Tong_hop_HQNV_2026Q1_2026-06-23'!$B:$B, "="&amp;'CHECK_DT-BT_chi_tiet'!A49)</f>
        <v>6043537958</v>
      </c>
      <c r="Q49" s="7">
        <f>SUMIFS('HQ2'!$C:$C,'HQ2'!$A:$A, "="&amp;'CHECK_DT-BT_chi_tiet'!C49,'HQ2'!$B:$B, "="&amp;'CHECK_DT-BT_chi_tiet'!$P$3)</f>
        <v>6043537958</v>
      </c>
      <c r="R49" s="7">
        <f t="shared" si="4"/>
        <v>0</v>
      </c>
      <c r="S49" s="7">
        <f>SUMIFS('Tong_hop_HQNV_2026Q1_2026-06-23'!$K:$K,'Tong_hop_HQNV_2026Q1_2026-06-23'!$A:$A,"="&amp;$S$2,'Tong_hop_HQNV_2026Q1_2026-06-23'!$B:$B, "="&amp;'CHECK_DT-BT_chi_tiet'!A49)</f>
        <v>0</v>
      </c>
      <c r="T49" s="7">
        <f>SUMIFS('HQ2'!$C:$C,'HQ2'!$A:$A, "="&amp;'CHECK_DT-BT_chi_tiet'!C49,'HQ2'!$B:$B, "="&amp;'CHECK_DT-BT_chi_tiet'!$S$3)</f>
        <v>0</v>
      </c>
      <c r="U49" s="7">
        <f t="shared" si="5"/>
        <v>0</v>
      </c>
      <c r="V49" s="7">
        <f>SUMIFS('Tong_hop_HQNV_2026Q1_2026-06-23'!$K:$K,'Tong_hop_HQNV_2026Q1_2026-06-23'!$A:$A,"="&amp;$V$2,'Tong_hop_HQNV_2026Q1_2026-06-23'!$B:$B, "="&amp;'CHECK_DT-BT_chi_tiet'!A49)</f>
        <v>0</v>
      </c>
      <c r="W49" s="7">
        <f>SUMIFS('HQ2'!$C:$C,'HQ2'!$A:$A, "="&amp;'CHECK_DT-BT_chi_tiet'!C49,'HQ2'!$B:$B, "="&amp;'CHECK_DT-BT_chi_tiet'!$V$3)</f>
        <v>0</v>
      </c>
      <c r="X49" s="7">
        <f t="shared" si="6"/>
        <v>0</v>
      </c>
      <c r="Y49" s="7">
        <f>SUMIFS('Tong_hop_HQNV_2026Q1_2026-06-23'!$K:$K,'Tong_hop_HQNV_2026Q1_2026-06-23'!$A:$A,"="&amp;$Y$2,'Tong_hop_HQNV_2026Q1_2026-06-23'!$B:$B, "="&amp;'CHECK_DT-BT_chi_tiet'!A49)</f>
        <v>0</v>
      </c>
      <c r="Z49" s="7">
        <f>SUMIFS('HQ2'!$C:$C,'HQ2'!$A:$A, "="&amp;'CHECK_DT-BT_chi_tiet'!C49,'HQ2'!$B:$B, "="&amp;'CHECK_DT-BT_chi_tiet'!$Y$3)</f>
        <v>0</v>
      </c>
      <c r="AA49" s="7">
        <f t="shared" si="7"/>
        <v>0</v>
      </c>
      <c r="AB49" s="7">
        <f>SUMIFS('Tong_hop_HQNV_2026Q1_2026-06-23'!$K:$K,'Tong_hop_HQNV_2026Q1_2026-06-23'!$A:$A,"="&amp;$AB$2,'Tong_hop_HQNV_2026Q1_2026-06-23'!$B:$B, "="&amp;'CHECK_DT-BT_chi_tiet'!A49)</f>
        <v>824792434</v>
      </c>
      <c r="AC49" s="7">
        <f>SUMIFS('HQ2'!$C:$C,'HQ2'!$A:$A, "="&amp;'CHECK_DT-BT_chi_tiet'!C49,'HQ2'!$B:$B, "="&amp;'CHECK_DT-BT_chi_tiet'!$AB$3)</f>
        <v>824792434</v>
      </c>
      <c r="AD49" s="7">
        <f t="shared" si="8"/>
        <v>0</v>
      </c>
      <c r="AE49" s="7">
        <f>SUMIFS('Tong_hop_HQNV_2026Q1_2026-06-23'!$K:$K,'Tong_hop_HQNV_2026Q1_2026-06-23'!$A:$A,"="&amp;$AE$2,'Tong_hop_HQNV_2026Q1_2026-06-23'!$B:$B, "="&amp;'CHECK_DT-BT_chi_tiet'!A49)</f>
        <v>0</v>
      </c>
      <c r="AF49" s="7">
        <f>SUMIFS('HQ2'!$C:$C,'HQ2'!$A:$A, "="&amp;'CHECK_DT-BT_chi_tiet'!C49,'HQ2'!$B:$B, "="&amp;'CHECK_DT-BT_chi_tiet'!$AE$3)</f>
        <v>0</v>
      </c>
      <c r="AG49" s="7">
        <f t="shared" si="9"/>
        <v>0</v>
      </c>
      <c r="AH49" s="7">
        <f>SUMIFS('Tong_hop_HQNV_2026Q1_2026-06-23'!$K:$K,'Tong_hop_HQNV_2026Q1_2026-06-23'!$A:$A,"="&amp;$AH$2,'Tong_hop_HQNV_2026Q1_2026-06-23'!$B:$B, "="&amp;'CHECK_DT-BT_chi_tiet'!A49)</f>
        <v>15724658</v>
      </c>
      <c r="AI49" s="7">
        <f>SUMIFS('HQ2'!$C:$C,'HQ2'!$A:$A, "="&amp;'CHECK_DT-BT_chi_tiet'!C49,'HQ2'!$B:$B, "="&amp;'CHECK_DT-BT_chi_tiet'!$AH$3)</f>
        <v>15724658</v>
      </c>
      <c r="AJ49" s="7">
        <f t="shared" si="10"/>
        <v>0</v>
      </c>
      <c r="AK49" s="7">
        <f>SUMIFS('Tong_hop_HQNV_2026Q1_2026-06-23'!$K:$K,'Tong_hop_HQNV_2026Q1_2026-06-23'!$A:$A,"="&amp;$AK$2,'Tong_hop_HQNV_2026Q1_2026-06-23'!$B:$B, "="&amp;'CHECK_DT-BT_chi_tiet'!A49)</f>
        <v>0</v>
      </c>
      <c r="AL49" s="7">
        <f>SUMIFS('Tong_hop_HQNV_2026Q1_2026-06-23'!$K:$K,'Tong_hop_HQNV_2026Q1_2026-06-23'!$A:$A,"="&amp;$AL$2,'Tong_hop_HQNV_2026Q1_2026-06-23'!$B:$B, "="&amp;'CHECK_DT-BT_chi_tiet'!A49)</f>
        <v>0</v>
      </c>
      <c r="AM49" s="23">
        <f>SUMIFS('Tong_hop_HQNV_2026Q1_2026-06-23'!$L:$L,'Tong_hop_HQNV_2026Q1_2026-06-23'!$B:$B, "="&amp;'CHECK_DT-BT_chi_tiet'!A49, 'Tong_hop_HQNV_2026Q1_2026-06-23'!$A:$A, "="&amp;'CHECK_DT-BT_chi_tiet'!$AM$2)</f>
        <v>1436659667</v>
      </c>
      <c r="AN49" s="29">
        <f>SUMIFS('HQ1'!$D:$D,'HQ1'!$A:$A, "="&amp;'CHECK_DT-BT_chi_tiet'!C49,'HQ1'!$B:$B,"="&amp;'CHECK_DT-BT_chi_tiet'!$AM$3)</f>
        <v>1436659667</v>
      </c>
      <c r="AO49" s="29">
        <f t="shared" si="11"/>
        <v>0</v>
      </c>
      <c r="AP49" s="7">
        <f>SUMIFS('Tong_hop_HQNV_2026Q1_2026-06-23'!$L:$L,'Tong_hop_HQNV_2026Q1_2026-06-23'!$B:$B, "="&amp;'CHECK_DT-BT_chi_tiet'!A49, 'Tong_hop_HQNV_2026Q1_2026-06-23'!$A:$A, "="&amp;'CHECK_DT-BT_chi_tiet'!$AP$2)</f>
        <v>0</v>
      </c>
      <c r="AQ49" s="29">
        <f>SUMIFS('HQ1'!$D:$D,'HQ1'!$A:$A, "="&amp;'CHECK_DT-BT_chi_tiet'!C49,'HQ1'!$B:$B,"="&amp;'CHECK_DT-BT_chi_tiet'!$AP$3)</f>
        <v>0</v>
      </c>
      <c r="AR49" s="7">
        <f t="shared" si="12"/>
        <v>0</v>
      </c>
      <c r="AS49" s="7">
        <f>SUMIFS('Tong_hop_HQNV_2026Q1_2026-06-23'!$L:$L,'Tong_hop_HQNV_2026Q1_2026-06-23'!$B:$B, "="&amp;'CHECK_DT-BT_chi_tiet'!A49, 'Tong_hop_HQNV_2026Q1_2026-06-23'!$A:$A, "="&amp;'CHECK_DT-BT_chi_tiet'!$AS$2)</f>
        <v>1293855827</v>
      </c>
      <c r="AT49" s="29">
        <f>SUMIFS('HQ1'!$D:$D,'HQ1'!$A:$A, "="&amp;'CHECK_DT-BT_chi_tiet'!C49,'HQ1'!$B:$B,"="&amp;'CHECK_DT-BT_chi_tiet'!$AS$3)</f>
        <v>1293855827</v>
      </c>
      <c r="AU49" s="7">
        <f t="shared" si="13"/>
        <v>0</v>
      </c>
      <c r="AV49" s="7">
        <f>SUMIFS('Tong_hop_HQNV_2026Q1_2026-06-23'!$L:$L,'Tong_hop_HQNV_2026Q1_2026-06-23'!$B:$B, "="&amp;'CHECK_DT-BT_chi_tiet'!A49, 'Tong_hop_HQNV_2026Q1_2026-06-23'!$A:$A, "="&amp;'CHECK_DT-BT_chi_tiet'!$AV$2)</f>
        <v>341361520</v>
      </c>
      <c r="AW49" s="29">
        <f>SUMIFS('HQ1'!$D:$D,'HQ1'!$A:$A, "="&amp;'CHECK_DT-BT_chi_tiet'!C49,'HQ1'!$B:$B,"="&amp;'CHECK_DT-BT_chi_tiet'!$AV$3)</f>
        <v>341361520</v>
      </c>
      <c r="AX49" s="7">
        <f t="shared" si="14"/>
        <v>0</v>
      </c>
      <c r="AY49" s="7">
        <f>SUMIFS('Tong_hop_HQNV_2026Q1_2026-06-23'!$L:$L,'Tong_hop_HQNV_2026Q1_2026-06-23'!$B:$B, "="&amp;'CHECK_DT-BT_chi_tiet'!A49, 'Tong_hop_HQNV_2026Q1_2026-06-23'!$A:$A, "="&amp;$AY$2)</f>
        <v>2547069323</v>
      </c>
      <c r="AZ49" s="29">
        <f>SUMIFS('HQ2'!$J:$J,'HQ2'!$A:$A, "="&amp;'CHECK_DT-BT_chi_tiet'!C49,'HQ2'!$B:$B,"="&amp;'CHECK_DT-BT_chi_tiet'!$AY$3)</f>
        <v>2547069323</v>
      </c>
      <c r="BA49" s="7">
        <f t="shared" si="15"/>
        <v>0</v>
      </c>
      <c r="BB49" s="7">
        <f>SUMIFS('Tong_hop_HQNV_2026Q1_2026-06-23'!$L:$L,'Tong_hop_HQNV_2026Q1_2026-06-23'!$B:$B, "="&amp;'CHECK_DT-BT_chi_tiet'!A49, 'Tong_hop_HQNV_2026Q1_2026-06-23'!$A:$A, "="&amp;$BB$2)</f>
        <v>0</v>
      </c>
      <c r="BC49" s="29">
        <f>SUMIFS('HQ2'!$J:$J,'HQ2'!$A:$A, "="&amp;'CHECK_DT-BT_chi_tiet'!C49,'HQ2'!$B:$B,"="&amp;'CHECK_DT-BT_chi_tiet'!$BB$3)</f>
        <v>0</v>
      </c>
      <c r="BD49" s="7">
        <f t="shared" si="16"/>
        <v>0</v>
      </c>
      <c r="BE49" s="7">
        <f>SUMIFS('Tong_hop_HQNV_2026Q1_2026-06-23'!$L:$L,'Tong_hop_HQNV_2026Q1_2026-06-23'!$B:$B, "="&amp;'CHECK_DT-BT_chi_tiet'!A49, 'Tong_hop_HQNV_2026Q1_2026-06-23'!$A:$A, "="&amp;$BE$2)</f>
        <v>0</v>
      </c>
      <c r="BF49" s="29">
        <f>SUMIFS('HQ2'!$J:$J,'HQ2'!$A:$A, "="&amp;'CHECK_DT-BT_chi_tiet'!C49,'HQ2'!$B:$B,"="&amp;'CHECK_DT-BT_chi_tiet'!$BE$3)</f>
        <v>0</v>
      </c>
      <c r="BG49" s="7">
        <f t="shared" si="17"/>
        <v>0</v>
      </c>
      <c r="BH49" s="7">
        <f>SUMIFS('Tong_hop_HQNV_2026Q1_2026-06-23'!$L:$L,'Tong_hop_HQNV_2026Q1_2026-06-23'!$B:$B, "="&amp;'CHECK_DT-BT_chi_tiet'!A49, 'Tong_hop_HQNV_2026Q1_2026-06-23'!$A:$A, "="&amp;$BH$2)</f>
        <v>0</v>
      </c>
      <c r="BI49" s="29">
        <f>SUMIFS('HQ2'!$J:$J,'HQ2'!$A:$A, "="&amp;'CHECK_DT-BT_chi_tiet'!C49,'HQ2'!$B:$B,"="&amp;'CHECK_DT-BT_chi_tiet'!$BH$3)</f>
        <v>0</v>
      </c>
      <c r="BJ49" s="7">
        <f t="shared" si="18"/>
        <v>0</v>
      </c>
      <c r="BK49" s="7">
        <f>SUMIFS('Tong_hop_HQNV_2026Q1_2026-06-23'!$L:$L,'Tong_hop_HQNV_2026Q1_2026-06-23'!$B:$B, "="&amp;'CHECK_DT-BT_chi_tiet'!A49, 'Tong_hop_HQNV_2026Q1_2026-06-23'!$A:$A, "="&amp;$BK$2)</f>
        <v>0</v>
      </c>
      <c r="BL49" s="29">
        <f>SUMIFS('HQ2'!$J:$J,'HQ2'!$A:$A, "="&amp;'CHECK_DT-BT_chi_tiet'!C49,'HQ2'!$B:$B,"="&amp;'CHECK_DT-BT_chi_tiet'!$BK$3)</f>
        <v>0</v>
      </c>
      <c r="BM49" s="7">
        <f t="shared" si="19"/>
        <v>0</v>
      </c>
      <c r="BN49" s="7">
        <f>SUMIFS('Tong_hop_HQNV_2026Q1_2026-06-23'!$L:$L,'Tong_hop_HQNV_2026Q1_2026-06-23'!$B:$B, "="&amp;'CHECK_DT-BT_chi_tiet'!A49, 'Tong_hop_HQNV_2026Q1_2026-06-23'!$A:$A, "="&amp;$BN$2)</f>
        <v>0</v>
      </c>
      <c r="BO49" s="29">
        <f>SUMIFS('HQ2'!$J:$J,'HQ2'!$A:$A, "="&amp;'CHECK_DT-BT_chi_tiet'!C49,'HQ2'!$B:$B,"="&amp;'CHECK_DT-BT_chi_tiet'!$BN$3)</f>
        <v>0</v>
      </c>
      <c r="BP49" s="7">
        <f t="shared" si="20"/>
        <v>0</v>
      </c>
      <c r="BQ49" s="7">
        <f>SUMIFS('Tong_hop_HQNV_2026Q1_2026-06-23'!$L:$L,'Tong_hop_HQNV_2026Q1_2026-06-23'!$B:$B, "="&amp;'CHECK_DT-BT_chi_tiet'!A49, 'Tong_hop_HQNV_2026Q1_2026-06-23'!$A:$A, "="&amp;$BQ$2)</f>
        <v>0</v>
      </c>
      <c r="BR49" s="29">
        <f>SUMIFS('HQ2'!$J:$J,'HQ2'!$A:$A, "="&amp;'CHECK_DT-BT_chi_tiet'!C49,'HQ2'!$B:$B,"="&amp;'CHECK_DT-BT_chi_tiet'!$BQ$3)</f>
        <v>0</v>
      </c>
      <c r="BS49" s="7">
        <f t="shared" si="21"/>
        <v>0</v>
      </c>
      <c r="BT49" s="7">
        <f>SUMIFS('Tong_hop_HQNV_2026Q1_2026-06-23'!$L:$L,'Tong_hop_HQNV_2026Q1_2026-06-23'!$B:$B, "="&amp;'CHECK_DT-BT_chi_tiet'!A49, 'Tong_hop_HQNV_2026Q1_2026-06-23'!$A:$A, "="&amp;$BT$2)</f>
        <v>0</v>
      </c>
      <c r="BU49" s="7">
        <f>SUMIFS('Tong_hop_HQNV_2026Q1_2026-06-23'!$L:$L,'Tong_hop_HQNV_2026Q1_2026-06-23'!$B:$B, "="&amp;'CHECK_DT-BT_chi_tiet'!A49, 'Tong_hop_HQNV_2026Q1_2026-06-23'!$A:$A, "="&amp;$BU$2)</f>
        <v>0</v>
      </c>
    </row>
    <row r="50" spans="1:73" x14ac:dyDescent="0.25">
      <c r="A50" s="9" t="s">
        <v>330</v>
      </c>
      <c r="B50" t="s">
        <v>188</v>
      </c>
      <c r="C50" t="s">
        <v>84</v>
      </c>
      <c r="D50" s="7">
        <f>SUMIFS('Tong_hop_HQNV_2026Q1_2026-06-23'!$K:$K,'Tong_hop_HQNV_2026Q1_2026-06-23'!$A:$A,"="&amp;'CHECK_DT-BT_chi_tiet'!$D$2,'Tong_hop_HQNV_2026Q1_2026-06-23'!$B:$B, "="&amp;'CHECK_DT-BT_chi_tiet'!A50)</f>
        <v>836572303</v>
      </c>
      <c r="E50" s="7">
        <f>SUMIFS('HQ1'!$C:$C,'HQ1'!$A:$A, "="&amp;'CHECK_DT-BT_chi_tiet'!C50,'HQ1'!$B:$B, "="&amp;'CHECK_DT-BT_chi_tiet'!$D$3)</f>
        <v>836572303</v>
      </c>
      <c r="F50" s="7">
        <f t="shared" si="0"/>
        <v>0</v>
      </c>
      <c r="G50" s="7">
        <f>SUMIFS('Tong_hop_HQNV_2026Q1_2026-06-23'!$K:$K,'Tong_hop_HQNV_2026Q1_2026-06-23'!$A:$A,"="&amp;'CHECK_DT-BT_chi_tiet'!$G$2,'Tong_hop_HQNV_2026Q1_2026-06-23'!$B:$B, "="&amp;'CHECK_DT-BT_chi_tiet'!A50)</f>
        <v>924859750</v>
      </c>
      <c r="H50" s="7">
        <f>SUMIFS('HQ1'!$C:$C,'HQ1'!$A:$A, "="&amp;'CHECK_DT-BT_chi_tiet'!C50,'HQ1'!$B:$B, "="&amp;'CHECK_DT-BT_chi_tiet'!$G$3)</f>
        <v>924859750</v>
      </c>
      <c r="I50" s="7">
        <f t="shared" si="1"/>
        <v>0</v>
      </c>
      <c r="J50" s="7">
        <f>SUMIFS('Tong_hop_HQNV_2026Q1_2026-06-23'!$K:$K,'Tong_hop_HQNV_2026Q1_2026-06-23'!$A:$A,"="&amp;'CHECK_DT-BT_chi_tiet'!$J$2,'Tong_hop_HQNV_2026Q1_2026-06-23'!$B:$B, "="&amp;'CHECK_DT-BT_chi_tiet'!A50)</f>
        <v>15389413053</v>
      </c>
      <c r="K50" s="7">
        <f>SUMIFS('HQ1'!$C:$C,'HQ1'!$A:$A, "="&amp;'CHECK_DT-BT_chi_tiet'!C50,'HQ1'!$B:$B, "="&amp;'CHECK_DT-BT_chi_tiet'!$J$3)</f>
        <v>15389413053</v>
      </c>
      <c r="L50" s="7">
        <f t="shared" si="2"/>
        <v>0</v>
      </c>
      <c r="M50" s="7">
        <f>SUMIFS('Tong_hop_HQNV_2026Q1_2026-06-23'!$K:$K,'Tong_hop_HQNV_2026Q1_2026-06-23'!$A:$A,"="&amp;'CHECK_DT-BT_chi_tiet'!$M$2,'Tong_hop_HQNV_2026Q1_2026-06-23'!$B:$B, "="&amp;'CHECK_DT-BT_chi_tiet'!A50)</f>
        <v>8749867612</v>
      </c>
      <c r="N50" s="7">
        <f>SUMIFS('HQ1'!$C:$C,'HQ1'!$A:$A, "="&amp;'CHECK_DT-BT_chi_tiet'!C50,'HQ1'!$B:$B, "="&amp;'CHECK_DT-BT_chi_tiet'!$M$3)</f>
        <v>8749867612</v>
      </c>
      <c r="O50" s="7">
        <f t="shared" si="3"/>
        <v>0</v>
      </c>
      <c r="P50" s="7">
        <f>SUMIFS('Tong_hop_HQNV_2026Q1_2026-06-23'!$K:$K,'Tong_hop_HQNV_2026Q1_2026-06-23'!$A:$A,"="&amp;$P$2,'Tong_hop_HQNV_2026Q1_2026-06-23'!$B:$B, "="&amp;'CHECK_DT-BT_chi_tiet'!A50)</f>
        <v>782428536</v>
      </c>
      <c r="Q50" s="7">
        <f>SUMIFS('HQ2'!$C:$C,'HQ2'!$A:$A, "="&amp;'CHECK_DT-BT_chi_tiet'!C50,'HQ2'!$B:$B, "="&amp;'CHECK_DT-BT_chi_tiet'!$P$3)</f>
        <v>782428536</v>
      </c>
      <c r="R50" s="7">
        <f t="shared" si="4"/>
        <v>0</v>
      </c>
      <c r="S50" s="7">
        <f>SUMIFS('Tong_hop_HQNV_2026Q1_2026-06-23'!$K:$K,'Tong_hop_HQNV_2026Q1_2026-06-23'!$A:$A,"="&amp;$S$2,'Tong_hop_HQNV_2026Q1_2026-06-23'!$B:$B, "="&amp;'CHECK_DT-BT_chi_tiet'!A50)</f>
        <v>687264939</v>
      </c>
      <c r="T50" s="7">
        <f>SUMIFS('HQ2'!$C:$C,'HQ2'!$A:$A, "="&amp;'CHECK_DT-BT_chi_tiet'!C50,'HQ2'!$B:$B, "="&amp;'CHECK_DT-BT_chi_tiet'!$S$3)</f>
        <v>1372626704</v>
      </c>
      <c r="U50" s="7">
        <f t="shared" si="5"/>
        <v>-685361765</v>
      </c>
      <c r="V50" s="7">
        <f>SUMIFS('Tong_hop_HQNV_2026Q1_2026-06-23'!$K:$K,'Tong_hop_HQNV_2026Q1_2026-06-23'!$A:$A,"="&amp;$V$2,'Tong_hop_HQNV_2026Q1_2026-06-23'!$B:$B, "="&amp;'CHECK_DT-BT_chi_tiet'!A50)</f>
        <v>414660476</v>
      </c>
      <c r="W50" s="7">
        <f>SUMIFS('HQ2'!$C:$C,'HQ2'!$A:$A, "="&amp;'CHECK_DT-BT_chi_tiet'!C50,'HQ2'!$B:$B, "="&amp;'CHECK_DT-BT_chi_tiet'!$V$3)</f>
        <v>414660476</v>
      </c>
      <c r="X50" s="7">
        <f t="shared" si="6"/>
        <v>0</v>
      </c>
      <c r="Y50" s="7">
        <f>SUMIFS('Tong_hop_HQNV_2026Q1_2026-06-23'!$K:$K,'Tong_hop_HQNV_2026Q1_2026-06-23'!$A:$A,"="&amp;$Y$2,'Tong_hop_HQNV_2026Q1_2026-06-23'!$B:$B, "="&amp;'CHECK_DT-BT_chi_tiet'!A50)</f>
        <v>0</v>
      </c>
      <c r="Z50" s="7">
        <f>SUMIFS('HQ2'!$C:$C,'HQ2'!$A:$A, "="&amp;'CHECK_DT-BT_chi_tiet'!C50,'HQ2'!$B:$B, "="&amp;'CHECK_DT-BT_chi_tiet'!$Y$3)</f>
        <v>0</v>
      </c>
      <c r="AA50" s="7">
        <f t="shared" si="7"/>
        <v>0</v>
      </c>
      <c r="AB50" s="7">
        <f>SUMIFS('Tong_hop_HQNV_2026Q1_2026-06-23'!$K:$K,'Tong_hop_HQNV_2026Q1_2026-06-23'!$A:$A,"="&amp;$AB$2,'Tong_hop_HQNV_2026Q1_2026-06-23'!$B:$B, "="&amp;'CHECK_DT-BT_chi_tiet'!A50)</f>
        <v>974121078</v>
      </c>
      <c r="AC50" s="7">
        <f>SUMIFS('HQ2'!$C:$C,'HQ2'!$A:$A, "="&amp;'CHECK_DT-BT_chi_tiet'!C50,'HQ2'!$B:$B, "="&amp;'CHECK_DT-BT_chi_tiet'!$AB$3)</f>
        <v>974121078</v>
      </c>
      <c r="AD50" s="7">
        <f t="shared" si="8"/>
        <v>0</v>
      </c>
      <c r="AE50" s="7">
        <f>SUMIFS('Tong_hop_HQNV_2026Q1_2026-06-23'!$K:$K,'Tong_hop_HQNV_2026Q1_2026-06-23'!$A:$A,"="&amp;$AE$2,'Tong_hop_HQNV_2026Q1_2026-06-23'!$B:$B, "="&amp;'CHECK_DT-BT_chi_tiet'!A50)</f>
        <v>520533836</v>
      </c>
      <c r="AF50" s="7">
        <f>SUMIFS('HQ2'!$C:$C,'HQ2'!$A:$A, "="&amp;'CHECK_DT-BT_chi_tiet'!C50,'HQ2'!$B:$B, "="&amp;'CHECK_DT-BT_chi_tiet'!$AE$3)</f>
        <v>517533836</v>
      </c>
      <c r="AG50" s="7">
        <f t="shared" si="9"/>
        <v>3000000</v>
      </c>
      <c r="AH50" s="7">
        <f>SUMIFS('Tong_hop_HQNV_2026Q1_2026-06-23'!$K:$K,'Tong_hop_HQNV_2026Q1_2026-06-23'!$A:$A,"="&amp;$AH$2,'Tong_hop_HQNV_2026Q1_2026-06-23'!$B:$B, "="&amp;'CHECK_DT-BT_chi_tiet'!A50)</f>
        <v>608525000</v>
      </c>
      <c r="AI50" s="7">
        <f>SUMIFS('HQ2'!$C:$C,'HQ2'!$A:$A, "="&amp;'CHECK_DT-BT_chi_tiet'!C50,'HQ2'!$B:$B, "="&amp;'CHECK_DT-BT_chi_tiet'!$AH$3)</f>
        <v>611525000</v>
      </c>
      <c r="AJ50" s="7">
        <f t="shared" si="10"/>
        <v>-3000000</v>
      </c>
      <c r="AK50" s="7">
        <f>SUMIFS('Tong_hop_HQNV_2026Q1_2026-06-23'!$K:$K,'Tong_hop_HQNV_2026Q1_2026-06-23'!$A:$A,"="&amp;$AK$2,'Tong_hop_HQNV_2026Q1_2026-06-23'!$B:$B, "="&amp;'CHECK_DT-BT_chi_tiet'!A50)</f>
        <v>0</v>
      </c>
      <c r="AL50" s="7">
        <f>SUMIFS('Tong_hop_HQNV_2026Q1_2026-06-23'!$K:$K,'Tong_hop_HQNV_2026Q1_2026-06-23'!$A:$A,"="&amp;$AL$2,'Tong_hop_HQNV_2026Q1_2026-06-23'!$B:$B, "="&amp;'CHECK_DT-BT_chi_tiet'!A50)</f>
        <v>0</v>
      </c>
      <c r="AM50" s="23">
        <f>SUMIFS('Tong_hop_HQNV_2026Q1_2026-06-23'!$L:$L,'Tong_hop_HQNV_2026Q1_2026-06-23'!$B:$B, "="&amp;'CHECK_DT-BT_chi_tiet'!A50, 'Tong_hop_HQNV_2026Q1_2026-06-23'!$A:$A, "="&amp;'CHECK_DT-BT_chi_tiet'!$AM$2)</f>
        <v>536512000</v>
      </c>
      <c r="AN50" s="29">
        <f>SUMIFS('HQ1'!$D:$D,'HQ1'!$A:$A, "="&amp;'CHECK_DT-BT_chi_tiet'!C50,'HQ1'!$B:$B,"="&amp;'CHECK_DT-BT_chi_tiet'!$AM$3)</f>
        <v>536512000</v>
      </c>
      <c r="AO50" s="29">
        <f t="shared" si="11"/>
        <v>0</v>
      </c>
      <c r="AP50" s="7">
        <f>SUMIFS('Tong_hop_HQNV_2026Q1_2026-06-23'!$L:$L,'Tong_hop_HQNV_2026Q1_2026-06-23'!$B:$B, "="&amp;'CHECK_DT-BT_chi_tiet'!A50, 'Tong_hop_HQNV_2026Q1_2026-06-23'!$A:$A, "="&amp;'CHECK_DT-BT_chi_tiet'!$AP$2)</f>
        <v>29701956</v>
      </c>
      <c r="AQ50" s="29">
        <f>SUMIFS('HQ1'!$D:$D,'HQ1'!$A:$A, "="&amp;'CHECK_DT-BT_chi_tiet'!C50,'HQ1'!$B:$B,"="&amp;'CHECK_DT-BT_chi_tiet'!$AP$3)</f>
        <v>29701956</v>
      </c>
      <c r="AR50" s="7">
        <f t="shared" si="12"/>
        <v>0</v>
      </c>
      <c r="AS50" s="7">
        <f>SUMIFS('Tong_hop_HQNV_2026Q1_2026-06-23'!$L:$L,'Tong_hop_HQNV_2026Q1_2026-06-23'!$B:$B, "="&amp;'CHECK_DT-BT_chi_tiet'!A50, 'Tong_hop_HQNV_2026Q1_2026-06-23'!$A:$A, "="&amp;'CHECK_DT-BT_chi_tiet'!$AS$2)</f>
        <v>5482772700</v>
      </c>
      <c r="AT50" s="29">
        <f>SUMIFS('HQ1'!$D:$D,'HQ1'!$A:$A, "="&amp;'CHECK_DT-BT_chi_tiet'!C50,'HQ1'!$B:$B,"="&amp;'CHECK_DT-BT_chi_tiet'!$AS$3)</f>
        <v>5482772700</v>
      </c>
      <c r="AU50" s="7">
        <f t="shared" si="13"/>
        <v>0</v>
      </c>
      <c r="AV50" s="7">
        <f>SUMIFS('Tong_hop_HQNV_2026Q1_2026-06-23'!$L:$L,'Tong_hop_HQNV_2026Q1_2026-06-23'!$B:$B, "="&amp;'CHECK_DT-BT_chi_tiet'!A50, 'Tong_hop_HQNV_2026Q1_2026-06-23'!$A:$A, "="&amp;'CHECK_DT-BT_chi_tiet'!$AV$2)</f>
        <v>3931627981</v>
      </c>
      <c r="AW50" s="29">
        <f>SUMIFS('HQ1'!$D:$D,'HQ1'!$A:$A, "="&amp;'CHECK_DT-BT_chi_tiet'!C50,'HQ1'!$B:$B,"="&amp;'CHECK_DT-BT_chi_tiet'!$AV$3)</f>
        <v>3931627981</v>
      </c>
      <c r="AX50" s="7">
        <f t="shared" si="14"/>
        <v>0</v>
      </c>
      <c r="AY50" s="7">
        <f>SUMIFS('Tong_hop_HQNV_2026Q1_2026-06-23'!$L:$L,'Tong_hop_HQNV_2026Q1_2026-06-23'!$B:$B, "="&amp;'CHECK_DT-BT_chi_tiet'!A50, 'Tong_hop_HQNV_2026Q1_2026-06-23'!$A:$A, "="&amp;$AY$2)</f>
        <v>0</v>
      </c>
      <c r="AZ50" s="29">
        <f>SUMIFS('HQ2'!$J:$J,'HQ2'!$A:$A, "="&amp;'CHECK_DT-BT_chi_tiet'!C50,'HQ2'!$B:$B,"="&amp;'CHECK_DT-BT_chi_tiet'!$AY$3)</f>
        <v>0</v>
      </c>
      <c r="BA50" s="7">
        <f t="shared" si="15"/>
        <v>0</v>
      </c>
      <c r="BB50" s="7">
        <f>SUMIFS('Tong_hop_HQNV_2026Q1_2026-06-23'!$L:$L,'Tong_hop_HQNV_2026Q1_2026-06-23'!$B:$B, "="&amp;'CHECK_DT-BT_chi_tiet'!A50, 'Tong_hop_HQNV_2026Q1_2026-06-23'!$A:$A, "="&amp;$BB$2)</f>
        <v>0</v>
      </c>
      <c r="BC50" s="29">
        <f>SUMIFS('HQ2'!$J:$J,'HQ2'!$A:$A, "="&amp;'CHECK_DT-BT_chi_tiet'!C50,'HQ2'!$B:$B,"="&amp;'CHECK_DT-BT_chi_tiet'!$BB$3)</f>
        <v>0</v>
      </c>
      <c r="BD50" s="7">
        <f t="shared" si="16"/>
        <v>0</v>
      </c>
      <c r="BE50" s="7">
        <f>SUMIFS('Tong_hop_HQNV_2026Q1_2026-06-23'!$L:$L,'Tong_hop_HQNV_2026Q1_2026-06-23'!$B:$B, "="&amp;'CHECK_DT-BT_chi_tiet'!A50, 'Tong_hop_HQNV_2026Q1_2026-06-23'!$A:$A, "="&amp;$BE$2)</f>
        <v>5818429663</v>
      </c>
      <c r="BF50" s="29">
        <f>SUMIFS('HQ2'!$J:$J,'HQ2'!$A:$A, "="&amp;'CHECK_DT-BT_chi_tiet'!C50,'HQ2'!$B:$B,"="&amp;'CHECK_DT-BT_chi_tiet'!$BE$3)</f>
        <v>5818429663</v>
      </c>
      <c r="BG50" s="7">
        <f t="shared" si="17"/>
        <v>0</v>
      </c>
      <c r="BH50" s="7">
        <f>SUMIFS('Tong_hop_HQNV_2026Q1_2026-06-23'!$L:$L,'Tong_hop_HQNV_2026Q1_2026-06-23'!$B:$B, "="&amp;'CHECK_DT-BT_chi_tiet'!A50, 'Tong_hop_HQNV_2026Q1_2026-06-23'!$A:$A, "="&amp;$BH$2)</f>
        <v>0</v>
      </c>
      <c r="BI50" s="29">
        <f>SUMIFS('HQ2'!$J:$J,'HQ2'!$A:$A, "="&amp;'CHECK_DT-BT_chi_tiet'!C50,'HQ2'!$B:$B,"="&amp;'CHECK_DT-BT_chi_tiet'!$BH$3)</f>
        <v>0</v>
      </c>
      <c r="BJ50" s="7">
        <f t="shared" si="18"/>
        <v>0</v>
      </c>
      <c r="BK50" s="7">
        <f>SUMIFS('Tong_hop_HQNV_2026Q1_2026-06-23'!$L:$L,'Tong_hop_HQNV_2026Q1_2026-06-23'!$B:$B, "="&amp;'CHECK_DT-BT_chi_tiet'!A50, 'Tong_hop_HQNV_2026Q1_2026-06-23'!$A:$A, "="&amp;$BK$2)</f>
        <v>38150073</v>
      </c>
      <c r="BL50" s="29">
        <f>SUMIFS('HQ2'!$J:$J,'HQ2'!$A:$A, "="&amp;'CHECK_DT-BT_chi_tiet'!C50,'HQ2'!$B:$B,"="&amp;'CHECK_DT-BT_chi_tiet'!$BK$3)</f>
        <v>38150073</v>
      </c>
      <c r="BM50" s="7">
        <f t="shared" si="19"/>
        <v>0</v>
      </c>
      <c r="BN50" s="7">
        <f>SUMIFS('Tong_hop_HQNV_2026Q1_2026-06-23'!$L:$L,'Tong_hop_HQNV_2026Q1_2026-06-23'!$B:$B, "="&amp;'CHECK_DT-BT_chi_tiet'!A50, 'Tong_hop_HQNV_2026Q1_2026-06-23'!$A:$A, "="&amp;$BN$2)</f>
        <v>0</v>
      </c>
      <c r="BO50" s="29">
        <f>SUMIFS('HQ2'!$J:$J,'HQ2'!$A:$A, "="&amp;'CHECK_DT-BT_chi_tiet'!C50,'HQ2'!$B:$B,"="&amp;'CHECK_DT-BT_chi_tiet'!$BN$3)</f>
        <v>0</v>
      </c>
      <c r="BP50" s="7">
        <f t="shared" si="20"/>
        <v>0</v>
      </c>
      <c r="BQ50" s="7">
        <f>SUMIFS('Tong_hop_HQNV_2026Q1_2026-06-23'!$L:$L,'Tong_hop_HQNV_2026Q1_2026-06-23'!$B:$B, "="&amp;'CHECK_DT-BT_chi_tiet'!A50, 'Tong_hop_HQNV_2026Q1_2026-06-23'!$A:$A, "="&amp;$BQ$2)</f>
        <v>0</v>
      </c>
      <c r="BR50" s="29">
        <f>SUMIFS('HQ2'!$J:$J,'HQ2'!$A:$A, "="&amp;'CHECK_DT-BT_chi_tiet'!C50,'HQ2'!$B:$B,"="&amp;'CHECK_DT-BT_chi_tiet'!$BQ$3)</f>
        <v>0</v>
      </c>
      <c r="BS50" s="7">
        <f t="shared" si="21"/>
        <v>0</v>
      </c>
      <c r="BT50" s="7">
        <f>SUMIFS('Tong_hop_HQNV_2026Q1_2026-06-23'!$L:$L,'Tong_hop_HQNV_2026Q1_2026-06-23'!$B:$B, "="&amp;'CHECK_DT-BT_chi_tiet'!A50, 'Tong_hop_HQNV_2026Q1_2026-06-23'!$A:$A, "="&amp;$BT$2)</f>
        <v>0</v>
      </c>
      <c r="BU50" s="7">
        <f>SUMIFS('Tong_hop_HQNV_2026Q1_2026-06-23'!$L:$L,'Tong_hop_HQNV_2026Q1_2026-06-23'!$B:$B, "="&amp;'CHECK_DT-BT_chi_tiet'!A50, 'Tong_hop_HQNV_2026Q1_2026-06-23'!$A:$A, "="&amp;$BU$2)</f>
        <v>0</v>
      </c>
    </row>
    <row r="51" spans="1:73" x14ac:dyDescent="0.25">
      <c r="A51" s="9" t="s">
        <v>331</v>
      </c>
      <c r="B51" t="s">
        <v>189</v>
      </c>
      <c r="C51" t="s">
        <v>52</v>
      </c>
      <c r="D51" s="7">
        <f>SUMIFS('Tong_hop_HQNV_2026Q1_2026-06-23'!$K:$K,'Tong_hop_HQNV_2026Q1_2026-06-23'!$A:$A,"="&amp;'CHECK_DT-BT_chi_tiet'!$D$2,'Tong_hop_HQNV_2026Q1_2026-06-23'!$B:$B, "="&amp;'CHECK_DT-BT_chi_tiet'!A51)</f>
        <v>1408884977</v>
      </c>
      <c r="E51" s="7">
        <f>SUMIFS('HQ1'!$C:$C,'HQ1'!$A:$A, "="&amp;'CHECK_DT-BT_chi_tiet'!C51,'HQ1'!$B:$B, "="&amp;'CHECK_DT-BT_chi_tiet'!$D$3)</f>
        <v>1408884977</v>
      </c>
      <c r="F51" s="7">
        <f t="shared" si="0"/>
        <v>0</v>
      </c>
      <c r="G51" s="7">
        <f>SUMIFS('Tong_hop_HQNV_2026Q1_2026-06-23'!$K:$K,'Tong_hop_HQNV_2026Q1_2026-06-23'!$A:$A,"="&amp;'CHECK_DT-BT_chi_tiet'!$G$2,'Tong_hop_HQNV_2026Q1_2026-06-23'!$B:$B, "="&amp;'CHECK_DT-BT_chi_tiet'!A51)</f>
        <v>46713700</v>
      </c>
      <c r="H51" s="7">
        <f>SUMIFS('HQ1'!$C:$C,'HQ1'!$A:$A, "="&amp;'CHECK_DT-BT_chi_tiet'!C51,'HQ1'!$B:$B, "="&amp;'CHECK_DT-BT_chi_tiet'!$G$3)</f>
        <v>46713700</v>
      </c>
      <c r="I51" s="7">
        <f t="shared" si="1"/>
        <v>0</v>
      </c>
      <c r="J51" s="7">
        <f>SUMIFS('Tong_hop_HQNV_2026Q1_2026-06-23'!$K:$K,'Tong_hop_HQNV_2026Q1_2026-06-23'!$A:$A,"="&amp;'CHECK_DT-BT_chi_tiet'!$J$2,'Tong_hop_HQNV_2026Q1_2026-06-23'!$B:$B, "="&amp;'CHECK_DT-BT_chi_tiet'!A51)</f>
        <v>12465458045</v>
      </c>
      <c r="K51" s="7">
        <f>SUMIFS('HQ1'!$C:$C,'HQ1'!$A:$A, "="&amp;'CHECK_DT-BT_chi_tiet'!C51,'HQ1'!$B:$B, "="&amp;'CHECK_DT-BT_chi_tiet'!$J$3)</f>
        <v>12465458045</v>
      </c>
      <c r="L51" s="7">
        <f t="shared" si="2"/>
        <v>0</v>
      </c>
      <c r="M51" s="7">
        <f>SUMIFS('Tong_hop_HQNV_2026Q1_2026-06-23'!$K:$K,'Tong_hop_HQNV_2026Q1_2026-06-23'!$A:$A,"="&amp;'CHECK_DT-BT_chi_tiet'!$M$2,'Tong_hop_HQNV_2026Q1_2026-06-23'!$B:$B, "="&amp;'CHECK_DT-BT_chi_tiet'!A51)</f>
        <v>3742860639</v>
      </c>
      <c r="N51" s="7">
        <f>SUMIFS('HQ1'!$C:$C,'HQ1'!$A:$A, "="&amp;'CHECK_DT-BT_chi_tiet'!C51,'HQ1'!$B:$B, "="&amp;'CHECK_DT-BT_chi_tiet'!$M$3)</f>
        <v>3742860639</v>
      </c>
      <c r="O51" s="7">
        <f t="shared" si="3"/>
        <v>0</v>
      </c>
      <c r="P51" s="7">
        <f>SUMIFS('Tong_hop_HQNV_2026Q1_2026-06-23'!$K:$K,'Tong_hop_HQNV_2026Q1_2026-06-23'!$A:$A,"="&amp;$P$2,'Tong_hop_HQNV_2026Q1_2026-06-23'!$B:$B, "="&amp;'CHECK_DT-BT_chi_tiet'!A51)</f>
        <v>8626129701</v>
      </c>
      <c r="Q51" s="7">
        <f>SUMIFS('HQ2'!$C:$C,'HQ2'!$A:$A, "="&amp;'CHECK_DT-BT_chi_tiet'!C51,'HQ2'!$B:$B, "="&amp;'CHECK_DT-BT_chi_tiet'!$P$3)</f>
        <v>8626129701</v>
      </c>
      <c r="R51" s="7">
        <f t="shared" si="4"/>
        <v>0</v>
      </c>
      <c r="S51" s="7">
        <f>SUMIFS('Tong_hop_HQNV_2026Q1_2026-06-23'!$K:$K,'Tong_hop_HQNV_2026Q1_2026-06-23'!$A:$A,"="&amp;$S$2,'Tong_hop_HQNV_2026Q1_2026-06-23'!$B:$B, "="&amp;'CHECK_DT-BT_chi_tiet'!A51)</f>
        <v>0</v>
      </c>
      <c r="T51" s="7">
        <f>SUMIFS('HQ2'!$C:$C,'HQ2'!$A:$A, "="&amp;'CHECK_DT-BT_chi_tiet'!C51,'HQ2'!$B:$B, "="&amp;'CHECK_DT-BT_chi_tiet'!$S$3)</f>
        <v>0</v>
      </c>
      <c r="U51" s="7">
        <f t="shared" si="5"/>
        <v>0</v>
      </c>
      <c r="V51" s="7">
        <f>SUMIFS('Tong_hop_HQNV_2026Q1_2026-06-23'!$K:$K,'Tong_hop_HQNV_2026Q1_2026-06-23'!$A:$A,"="&amp;$V$2,'Tong_hop_HQNV_2026Q1_2026-06-23'!$B:$B, "="&amp;'CHECK_DT-BT_chi_tiet'!A51)</f>
        <v>0</v>
      </c>
      <c r="W51" s="7">
        <f>SUMIFS('HQ2'!$C:$C,'HQ2'!$A:$A, "="&amp;'CHECK_DT-BT_chi_tiet'!C51,'HQ2'!$B:$B, "="&amp;'CHECK_DT-BT_chi_tiet'!$V$3)</f>
        <v>0</v>
      </c>
      <c r="X51" s="7">
        <f t="shared" si="6"/>
        <v>0</v>
      </c>
      <c r="Y51" s="7">
        <f>SUMIFS('Tong_hop_HQNV_2026Q1_2026-06-23'!$K:$K,'Tong_hop_HQNV_2026Q1_2026-06-23'!$A:$A,"="&amp;$Y$2,'Tong_hop_HQNV_2026Q1_2026-06-23'!$B:$B, "="&amp;'CHECK_DT-BT_chi_tiet'!A51)</f>
        <v>27470000</v>
      </c>
      <c r="Z51" s="7">
        <f>SUMIFS('HQ2'!$C:$C,'HQ2'!$A:$A, "="&amp;'CHECK_DT-BT_chi_tiet'!C51,'HQ2'!$B:$B, "="&amp;'CHECK_DT-BT_chi_tiet'!$Y$3)</f>
        <v>27470000</v>
      </c>
      <c r="AA51" s="7">
        <f t="shared" si="7"/>
        <v>0</v>
      </c>
      <c r="AB51" s="7">
        <f>SUMIFS('Tong_hop_HQNV_2026Q1_2026-06-23'!$K:$K,'Tong_hop_HQNV_2026Q1_2026-06-23'!$A:$A,"="&amp;$AB$2,'Tong_hop_HQNV_2026Q1_2026-06-23'!$B:$B, "="&amp;'CHECK_DT-BT_chi_tiet'!A51)</f>
        <v>11392854526</v>
      </c>
      <c r="AC51" s="7">
        <f>SUMIFS('HQ2'!$C:$C,'HQ2'!$A:$A, "="&amp;'CHECK_DT-BT_chi_tiet'!C51,'HQ2'!$B:$B, "="&amp;'CHECK_DT-BT_chi_tiet'!$AB$3)</f>
        <v>11392854526</v>
      </c>
      <c r="AD51" s="7">
        <f t="shared" si="8"/>
        <v>0</v>
      </c>
      <c r="AE51" s="7">
        <f>SUMIFS('Tong_hop_HQNV_2026Q1_2026-06-23'!$K:$K,'Tong_hop_HQNV_2026Q1_2026-06-23'!$A:$A,"="&amp;$AE$2,'Tong_hop_HQNV_2026Q1_2026-06-23'!$B:$B, "="&amp;'CHECK_DT-BT_chi_tiet'!A51)</f>
        <v>899409691</v>
      </c>
      <c r="AF51" s="7">
        <f>SUMIFS('HQ2'!$C:$C,'HQ2'!$A:$A, "="&amp;'CHECK_DT-BT_chi_tiet'!C51,'HQ2'!$B:$B, "="&amp;'CHECK_DT-BT_chi_tiet'!$AE$3)</f>
        <v>899409691</v>
      </c>
      <c r="AG51" s="7">
        <f t="shared" si="9"/>
        <v>0</v>
      </c>
      <c r="AH51" s="7">
        <f>SUMIFS('Tong_hop_HQNV_2026Q1_2026-06-23'!$K:$K,'Tong_hop_HQNV_2026Q1_2026-06-23'!$A:$A,"="&amp;$AH$2,'Tong_hop_HQNV_2026Q1_2026-06-23'!$B:$B, "="&amp;'CHECK_DT-BT_chi_tiet'!A51)</f>
        <v>552342293</v>
      </c>
      <c r="AI51" s="7">
        <f>SUMIFS('HQ2'!$C:$C,'HQ2'!$A:$A, "="&amp;'CHECK_DT-BT_chi_tiet'!C51,'HQ2'!$B:$B, "="&amp;'CHECK_DT-BT_chi_tiet'!$AH$3)</f>
        <v>552342293</v>
      </c>
      <c r="AJ51" s="7">
        <f t="shared" si="10"/>
        <v>0</v>
      </c>
      <c r="AK51" s="7">
        <f>SUMIFS('Tong_hop_HQNV_2026Q1_2026-06-23'!$K:$K,'Tong_hop_HQNV_2026Q1_2026-06-23'!$A:$A,"="&amp;$AK$2,'Tong_hop_HQNV_2026Q1_2026-06-23'!$B:$B, "="&amp;'CHECK_DT-BT_chi_tiet'!A51)</f>
        <v>0</v>
      </c>
      <c r="AL51" s="7">
        <f>SUMIFS('Tong_hop_HQNV_2026Q1_2026-06-23'!$K:$K,'Tong_hop_HQNV_2026Q1_2026-06-23'!$A:$A,"="&amp;$AL$2,'Tong_hop_HQNV_2026Q1_2026-06-23'!$B:$B, "="&amp;'CHECK_DT-BT_chi_tiet'!A51)</f>
        <v>1075300380</v>
      </c>
      <c r="AM51" s="23">
        <f>SUMIFS('Tong_hop_HQNV_2026Q1_2026-06-23'!$L:$L,'Tong_hop_HQNV_2026Q1_2026-06-23'!$B:$B, "="&amp;'CHECK_DT-BT_chi_tiet'!A51, 'Tong_hop_HQNV_2026Q1_2026-06-23'!$A:$A, "="&amp;'CHECK_DT-BT_chi_tiet'!$AM$2)</f>
        <v>270165248</v>
      </c>
      <c r="AN51" s="29">
        <f>SUMIFS('HQ1'!$D:$D,'HQ1'!$A:$A, "="&amp;'CHECK_DT-BT_chi_tiet'!C51,'HQ1'!$B:$B,"="&amp;'CHECK_DT-BT_chi_tiet'!$AM$3)</f>
        <v>270165248</v>
      </c>
      <c r="AO51" s="29">
        <f t="shared" si="11"/>
        <v>0</v>
      </c>
      <c r="AP51" s="7">
        <f>SUMIFS('Tong_hop_HQNV_2026Q1_2026-06-23'!$L:$L,'Tong_hop_HQNV_2026Q1_2026-06-23'!$B:$B, "="&amp;'CHECK_DT-BT_chi_tiet'!A51, 'Tong_hop_HQNV_2026Q1_2026-06-23'!$A:$A, "="&amp;'CHECK_DT-BT_chi_tiet'!$AP$2)</f>
        <v>0</v>
      </c>
      <c r="AQ51" s="29">
        <f>SUMIFS('HQ1'!$D:$D,'HQ1'!$A:$A, "="&amp;'CHECK_DT-BT_chi_tiet'!C51,'HQ1'!$B:$B,"="&amp;'CHECK_DT-BT_chi_tiet'!$AP$3)</f>
        <v>0</v>
      </c>
      <c r="AR51" s="7">
        <f t="shared" si="12"/>
        <v>0</v>
      </c>
      <c r="AS51" s="7">
        <f>SUMIFS('Tong_hop_HQNV_2026Q1_2026-06-23'!$L:$L,'Tong_hop_HQNV_2026Q1_2026-06-23'!$B:$B, "="&amp;'CHECK_DT-BT_chi_tiet'!A51, 'Tong_hop_HQNV_2026Q1_2026-06-23'!$A:$A, "="&amp;'CHECK_DT-BT_chi_tiet'!$AS$2)</f>
        <v>5105541721</v>
      </c>
      <c r="AT51" s="29">
        <f>SUMIFS('HQ1'!$D:$D,'HQ1'!$A:$A, "="&amp;'CHECK_DT-BT_chi_tiet'!C51,'HQ1'!$B:$B,"="&amp;'CHECK_DT-BT_chi_tiet'!$AS$3)</f>
        <v>5105541721</v>
      </c>
      <c r="AU51" s="7">
        <f t="shared" si="13"/>
        <v>0</v>
      </c>
      <c r="AV51" s="7">
        <f>SUMIFS('Tong_hop_HQNV_2026Q1_2026-06-23'!$L:$L,'Tong_hop_HQNV_2026Q1_2026-06-23'!$B:$B, "="&amp;'CHECK_DT-BT_chi_tiet'!A51, 'Tong_hop_HQNV_2026Q1_2026-06-23'!$A:$A, "="&amp;'CHECK_DT-BT_chi_tiet'!$AV$2)</f>
        <v>2964879717</v>
      </c>
      <c r="AW51" s="29">
        <f>SUMIFS('HQ1'!$D:$D,'HQ1'!$A:$A, "="&amp;'CHECK_DT-BT_chi_tiet'!C51,'HQ1'!$B:$B,"="&amp;'CHECK_DT-BT_chi_tiet'!$AV$3)</f>
        <v>2964879717</v>
      </c>
      <c r="AX51" s="7">
        <f t="shared" si="14"/>
        <v>0</v>
      </c>
      <c r="AY51" s="7">
        <f>SUMIFS('Tong_hop_HQNV_2026Q1_2026-06-23'!$L:$L,'Tong_hop_HQNV_2026Q1_2026-06-23'!$B:$B, "="&amp;'CHECK_DT-BT_chi_tiet'!A51, 'Tong_hop_HQNV_2026Q1_2026-06-23'!$A:$A, "="&amp;$AY$2)</f>
        <v>1834907670</v>
      </c>
      <c r="AZ51" s="29">
        <f>SUMIFS('HQ2'!$J:$J,'HQ2'!$A:$A, "="&amp;'CHECK_DT-BT_chi_tiet'!C51,'HQ2'!$B:$B,"="&amp;'CHECK_DT-BT_chi_tiet'!$AY$3)</f>
        <v>1834907670</v>
      </c>
      <c r="BA51" s="7">
        <f t="shared" si="15"/>
        <v>0</v>
      </c>
      <c r="BB51" s="7">
        <f>SUMIFS('Tong_hop_HQNV_2026Q1_2026-06-23'!$L:$L,'Tong_hop_HQNV_2026Q1_2026-06-23'!$B:$B, "="&amp;'CHECK_DT-BT_chi_tiet'!A51, 'Tong_hop_HQNV_2026Q1_2026-06-23'!$A:$A, "="&amp;$BB$2)</f>
        <v>0</v>
      </c>
      <c r="BC51" s="29">
        <f>SUMIFS('HQ2'!$J:$J,'HQ2'!$A:$A, "="&amp;'CHECK_DT-BT_chi_tiet'!C51,'HQ2'!$B:$B,"="&amp;'CHECK_DT-BT_chi_tiet'!$BB$3)</f>
        <v>0</v>
      </c>
      <c r="BD51" s="7">
        <f t="shared" si="16"/>
        <v>0</v>
      </c>
      <c r="BE51" s="7">
        <f>SUMIFS('Tong_hop_HQNV_2026Q1_2026-06-23'!$L:$L,'Tong_hop_HQNV_2026Q1_2026-06-23'!$B:$B, "="&amp;'CHECK_DT-BT_chi_tiet'!A51, 'Tong_hop_HQNV_2026Q1_2026-06-23'!$A:$A, "="&amp;$BE$2)</f>
        <v>0</v>
      </c>
      <c r="BF51" s="29">
        <f>SUMIFS('HQ2'!$J:$J,'HQ2'!$A:$A, "="&amp;'CHECK_DT-BT_chi_tiet'!C51,'HQ2'!$B:$B,"="&amp;'CHECK_DT-BT_chi_tiet'!$BE$3)</f>
        <v>0</v>
      </c>
      <c r="BG51" s="7">
        <f t="shared" si="17"/>
        <v>0</v>
      </c>
      <c r="BH51" s="7">
        <f>SUMIFS('Tong_hop_HQNV_2026Q1_2026-06-23'!$L:$L,'Tong_hop_HQNV_2026Q1_2026-06-23'!$B:$B, "="&amp;'CHECK_DT-BT_chi_tiet'!A51, 'Tong_hop_HQNV_2026Q1_2026-06-23'!$A:$A, "="&amp;$BH$2)</f>
        <v>0</v>
      </c>
      <c r="BI51" s="29">
        <f>SUMIFS('HQ2'!$J:$J,'HQ2'!$A:$A, "="&amp;'CHECK_DT-BT_chi_tiet'!C51,'HQ2'!$B:$B,"="&amp;'CHECK_DT-BT_chi_tiet'!$BH$3)</f>
        <v>0</v>
      </c>
      <c r="BJ51" s="7">
        <f t="shared" si="18"/>
        <v>0</v>
      </c>
      <c r="BK51" s="7">
        <f>SUMIFS('Tong_hop_HQNV_2026Q1_2026-06-23'!$L:$L,'Tong_hop_HQNV_2026Q1_2026-06-23'!$B:$B, "="&amp;'CHECK_DT-BT_chi_tiet'!A51, 'Tong_hop_HQNV_2026Q1_2026-06-23'!$A:$A, "="&amp;$BK$2)</f>
        <v>53684443</v>
      </c>
      <c r="BL51" s="29">
        <f>SUMIFS('HQ2'!$J:$J,'HQ2'!$A:$A, "="&amp;'CHECK_DT-BT_chi_tiet'!C51,'HQ2'!$B:$B,"="&amp;'CHECK_DT-BT_chi_tiet'!$BK$3)</f>
        <v>53684443</v>
      </c>
      <c r="BM51" s="7">
        <f t="shared" si="19"/>
        <v>0</v>
      </c>
      <c r="BN51" s="7">
        <f>SUMIFS('Tong_hop_HQNV_2026Q1_2026-06-23'!$L:$L,'Tong_hop_HQNV_2026Q1_2026-06-23'!$B:$B, "="&amp;'CHECK_DT-BT_chi_tiet'!A51, 'Tong_hop_HQNV_2026Q1_2026-06-23'!$A:$A, "="&amp;$BN$2)</f>
        <v>0</v>
      </c>
      <c r="BO51" s="29">
        <f>SUMIFS('HQ2'!$J:$J,'HQ2'!$A:$A, "="&amp;'CHECK_DT-BT_chi_tiet'!C51,'HQ2'!$B:$B,"="&amp;'CHECK_DT-BT_chi_tiet'!$BN$3)</f>
        <v>0</v>
      </c>
      <c r="BP51" s="7">
        <f t="shared" si="20"/>
        <v>0</v>
      </c>
      <c r="BQ51" s="7">
        <f>SUMIFS('Tong_hop_HQNV_2026Q1_2026-06-23'!$L:$L,'Tong_hop_HQNV_2026Q1_2026-06-23'!$B:$B, "="&amp;'CHECK_DT-BT_chi_tiet'!A51, 'Tong_hop_HQNV_2026Q1_2026-06-23'!$A:$A, "="&amp;$BQ$2)</f>
        <v>0</v>
      </c>
      <c r="BR51" s="29">
        <f>SUMIFS('HQ2'!$J:$J,'HQ2'!$A:$A, "="&amp;'CHECK_DT-BT_chi_tiet'!C51,'HQ2'!$B:$B,"="&amp;'CHECK_DT-BT_chi_tiet'!$BQ$3)</f>
        <v>0</v>
      </c>
      <c r="BS51" s="7">
        <f t="shared" si="21"/>
        <v>0</v>
      </c>
      <c r="BT51" s="7">
        <f>SUMIFS('Tong_hop_HQNV_2026Q1_2026-06-23'!$L:$L,'Tong_hop_HQNV_2026Q1_2026-06-23'!$B:$B, "="&amp;'CHECK_DT-BT_chi_tiet'!A51, 'Tong_hop_HQNV_2026Q1_2026-06-23'!$A:$A, "="&amp;$BT$2)</f>
        <v>0</v>
      </c>
      <c r="BU51" s="7">
        <f>SUMIFS('Tong_hop_HQNV_2026Q1_2026-06-23'!$L:$L,'Tong_hop_HQNV_2026Q1_2026-06-23'!$B:$B, "="&amp;'CHECK_DT-BT_chi_tiet'!A51, 'Tong_hop_HQNV_2026Q1_2026-06-23'!$A:$A, "="&amp;$BU$2)</f>
        <v>0</v>
      </c>
    </row>
    <row r="52" spans="1:73" x14ac:dyDescent="0.25">
      <c r="A52" s="9" t="s">
        <v>332</v>
      </c>
      <c r="B52" t="s">
        <v>190</v>
      </c>
      <c r="C52" t="s">
        <v>93</v>
      </c>
      <c r="D52" s="7">
        <f>SUMIFS('Tong_hop_HQNV_2026Q1_2026-06-23'!$K:$K,'Tong_hop_HQNV_2026Q1_2026-06-23'!$A:$A,"="&amp;'CHECK_DT-BT_chi_tiet'!$D$2,'Tong_hop_HQNV_2026Q1_2026-06-23'!$B:$B, "="&amp;'CHECK_DT-BT_chi_tiet'!A52)</f>
        <v>3018435000</v>
      </c>
      <c r="E52" s="7">
        <f>SUMIFS('HQ1'!$C:$C,'HQ1'!$A:$A, "="&amp;'CHECK_DT-BT_chi_tiet'!C52,'HQ1'!$B:$B, "="&amp;'CHECK_DT-BT_chi_tiet'!$D$3)</f>
        <v>3018435000</v>
      </c>
      <c r="F52" s="7">
        <f t="shared" si="0"/>
        <v>0</v>
      </c>
      <c r="G52" s="7">
        <f>SUMIFS('Tong_hop_HQNV_2026Q1_2026-06-23'!$K:$K,'Tong_hop_HQNV_2026Q1_2026-06-23'!$A:$A,"="&amp;'CHECK_DT-BT_chi_tiet'!$G$2,'Tong_hop_HQNV_2026Q1_2026-06-23'!$B:$B, "="&amp;'CHECK_DT-BT_chi_tiet'!A52)</f>
        <v>19291300</v>
      </c>
      <c r="H52" s="7">
        <f>SUMIFS('HQ1'!$C:$C,'HQ1'!$A:$A, "="&amp;'CHECK_DT-BT_chi_tiet'!C52,'HQ1'!$B:$B, "="&amp;'CHECK_DT-BT_chi_tiet'!$G$3)</f>
        <v>19291300</v>
      </c>
      <c r="I52" s="7">
        <f t="shared" si="1"/>
        <v>0</v>
      </c>
      <c r="J52" s="7">
        <f>SUMIFS('Tong_hop_HQNV_2026Q1_2026-06-23'!$K:$K,'Tong_hop_HQNV_2026Q1_2026-06-23'!$A:$A,"="&amp;'CHECK_DT-BT_chi_tiet'!$J$2,'Tong_hop_HQNV_2026Q1_2026-06-23'!$B:$B, "="&amp;'CHECK_DT-BT_chi_tiet'!A52)</f>
        <v>1223475707</v>
      </c>
      <c r="K52" s="7">
        <f>SUMIFS('HQ1'!$C:$C,'HQ1'!$A:$A, "="&amp;'CHECK_DT-BT_chi_tiet'!C52,'HQ1'!$B:$B, "="&amp;'CHECK_DT-BT_chi_tiet'!$J$3)</f>
        <v>1223475707</v>
      </c>
      <c r="L52" s="7">
        <f t="shared" si="2"/>
        <v>0</v>
      </c>
      <c r="M52" s="7">
        <f>SUMIFS('Tong_hop_HQNV_2026Q1_2026-06-23'!$K:$K,'Tong_hop_HQNV_2026Q1_2026-06-23'!$A:$A,"="&amp;'CHECK_DT-BT_chi_tiet'!$M$2,'Tong_hop_HQNV_2026Q1_2026-06-23'!$B:$B, "="&amp;'CHECK_DT-BT_chi_tiet'!A52)</f>
        <v>737063750</v>
      </c>
      <c r="N52" s="7">
        <f>SUMIFS('HQ1'!$C:$C,'HQ1'!$A:$A, "="&amp;'CHECK_DT-BT_chi_tiet'!C52,'HQ1'!$B:$B, "="&amp;'CHECK_DT-BT_chi_tiet'!$M$3)</f>
        <v>737063750</v>
      </c>
      <c r="O52" s="7">
        <f t="shared" si="3"/>
        <v>0</v>
      </c>
      <c r="P52" s="7">
        <f>SUMIFS('Tong_hop_HQNV_2026Q1_2026-06-23'!$K:$K,'Tong_hop_HQNV_2026Q1_2026-06-23'!$A:$A,"="&amp;$P$2,'Tong_hop_HQNV_2026Q1_2026-06-23'!$B:$B, "="&amp;'CHECK_DT-BT_chi_tiet'!A52)</f>
        <v>0</v>
      </c>
      <c r="Q52" s="7">
        <f>SUMIFS('HQ2'!$C:$C,'HQ2'!$A:$A, "="&amp;'CHECK_DT-BT_chi_tiet'!C52,'HQ2'!$B:$B, "="&amp;'CHECK_DT-BT_chi_tiet'!$P$3)</f>
        <v>0</v>
      </c>
      <c r="R52" s="7">
        <f t="shared" si="4"/>
        <v>0</v>
      </c>
      <c r="S52" s="7">
        <f>SUMIFS('Tong_hop_HQNV_2026Q1_2026-06-23'!$K:$K,'Tong_hop_HQNV_2026Q1_2026-06-23'!$A:$A,"="&amp;$S$2,'Tong_hop_HQNV_2026Q1_2026-06-23'!$B:$B, "="&amp;'CHECK_DT-BT_chi_tiet'!A52)</f>
        <v>1594211997</v>
      </c>
      <c r="T52" s="7">
        <f>SUMIFS('HQ2'!$C:$C,'HQ2'!$A:$A, "="&amp;'CHECK_DT-BT_chi_tiet'!C52,'HQ2'!$B:$B, "="&amp;'CHECK_DT-BT_chi_tiet'!$S$3)</f>
        <v>1594211997</v>
      </c>
      <c r="U52" s="7">
        <f t="shared" si="5"/>
        <v>0</v>
      </c>
      <c r="V52" s="7">
        <f>SUMIFS('Tong_hop_HQNV_2026Q1_2026-06-23'!$K:$K,'Tong_hop_HQNV_2026Q1_2026-06-23'!$A:$A,"="&amp;$V$2,'Tong_hop_HQNV_2026Q1_2026-06-23'!$B:$B, "="&amp;'CHECK_DT-BT_chi_tiet'!A52)</f>
        <v>530493751</v>
      </c>
      <c r="W52" s="7">
        <f>SUMIFS('HQ2'!$C:$C,'HQ2'!$A:$A, "="&amp;'CHECK_DT-BT_chi_tiet'!C52,'HQ2'!$B:$B, "="&amp;'CHECK_DT-BT_chi_tiet'!$V$3)</f>
        <v>530493751</v>
      </c>
      <c r="X52" s="7">
        <f t="shared" si="6"/>
        <v>0</v>
      </c>
      <c r="Y52" s="7">
        <f>SUMIFS('Tong_hop_HQNV_2026Q1_2026-06-23'!$K:$K,'Tong_hop_HQNV_2026Q1_2026-06-23'!$A:$A,"="&amp;$Y$2,'Tong_hop_HQNV_2026Q1_2026-06-23'!$B:$B, "="&amp;'CHECK_DT-BT_chi_tiet'!A52)</f>
        <v>172478240</v>
      </c>
      <c r="Z52" s="7">
        <f>SUMIFS('HQ2'!$C:$C,'HQ2'!$A:$A, "="&amp;'CHECK_DT-BT_chi_tiet'!C52,'HQ2'!$B:$B, "="&amp;'CHECK_DT-BT_chi_tiet'!$Y$3)</f>
        <v>172478240</v>
      </c>
      <c r="AA52" s="7">
        <f t="shared" si="7"/>
        <v>0</v>
      </c>
      <c r="AB52" s="7">
        <f>SUMIFS('Tong_hop_HQNV_2026Q1_2026-06-23'!$K:$K,'Tong_hop_HQNV_2026Q1_2026-06-23'!$A:$A,"="&amp;$AB$2,'Tong_hop_HQNV_2026Q1_2026-06-23'!$B:$B, "="&amp;'CHECK_DT-BT_chi_tiet'!A52)</f>
        <v>979690324</v>
      </c>
      <c r="AC52" s="7">
        <f>SUMIFS('HQ2'!$C:$C,'HQ2'!$A:$A, "="&amp;'CHECK_DT-BT_chi_tiet'!C52,'HQ2'!$B:$B, "="&amp;'CHECK_DT-BT_chi_tiet'!$AB$3)</f>
        <v>979690324</v>
      </c>
      <c r="AD52" s="7">
        <f t="shared" si="8"/>
        <v>0</v>
      </c>
      <c r="AE52" s="7">
        <f>SUMIFS('Tong_hop_HQNV_2026Q1_2026-06-23'!$K:$K,'Tong_hop_HQNV_2026Q1_2026-06-23'!$A:$A,"="&amp;$AE$2,'Tong_hop_HQNV_2026Q1_2026-06-23'!$B:$B, "="&amp;'CHECK_DT-BT_chi_tiet'!A52)</f>
        <v>441549755</v>
      </c>
      <c r="AF52" s="7">
        <f>SUMIFS('HQ2'!$C:$C,'HQ2'!$A:$A, "="&amp;'CHECK_DT-BT_chi_tiet'!C52,'HQ2'!$B:$B, "="&amp;'CHECK_DT-BT_chi_tiet'!$AE$3)</f>
        <v>441549755</v>
      </c>
      <c r="AG52" s="7">
        <f t="shared" si="9"/>
        <v>0</v>
      </c>
      <c r="AH52" s="7">
        <f>SUMIFS('Tong_hop_HQNV_2026Q1_2026-06-23'!$K:$K,'Tong_hop_HQNV_2026Q1_2026-06-23'!$A:$A,"="&amp;$AH$2,'Tong_hop_HQNV_2026Q1_2026-06-23'!$B:$B, "="&amp;'CHECK_DT-BT_chi_tiet'!A52)</f>
        <v>16000000</v>
      </c>
      <c r="AI52" s="7">
        <f>SUMIFS('HQ2'!$C:$C,'HQ2'!$A:$A, "="&amp;'CHECK_DT-BT_chi_tiet'!C52,'HQ2'!$B:$B, "="&amp;'CHECK_DT-BT_chi_tiet'!$AH$3)</f>
        <v>16000000</v>
      </c>
      <c r="AJ52" s="7">
        <f t="shared" si="10"/>
        <v>0</v>
      </c>
      <c r="AK52" s="7">
        <f>SUMIFS('Tong_hop_HQNV_2026Q1_2026-06-23'!$K:$K,'Tong_hop_HQNV_2026Q1_2026-06-23'!$A:$A,"="&amp;$AK$2,'Tong_hop_HQNV_2026Q1_2026-06-23'!$B:$B, "="&amp;'CHECK_DT-BT_chi_tiet'!A52)</f>
        <v>0</v>
      </c>
      <c r="AL52" s="7">
        <f>SUMIFS('Tong_hop_HQNV_2026Q1_2026-06-23'!$K:$K,'Tong_hop_HQNV_2026Q1_2026-06-23'!$A:$A,"="&amp;$AL$2,'Tong_hop_HQNV_2026Q1_2026-06-23'!$B:$B, "="&amp;'CHECK_DT-BT_chi_tiet'!A52)</f>
        <v>0</v>
      </c>
      <c r="AM52" s="23">
        <f>SUMIFS('Tong_hop_HQNV_2026Q1_2026-06-23'!$L:$L,'Tong_hop_HQNV_2026Q1_2026-06-23'!$B:$B, "="&amp;'CHECK_DT-BT_chi_tiet'!A52, 'Tong_hop_HQNV_2026Q1_2026-06-23'!$A:$A, "="&amp;'CHECK_DT-BT_chi_tiet'!$AM$2)</f>
        <v>1948746500</v>
      </c>
      <c r="AN52" s="29">
        <f>SUMIFS('HQ1'!$D:$D,'HQ1'!$A:$A, "="&amp;'CHECK_DT-BT_chi_tiet'!C52,'HQ1'!$B:$B,"="&amp;'CHECK_DT-BT_chi_tiet'!$AM$3)</f>
        <v>1948746500</v>
      </c>
      <c r="AO52" s="29">
        <f t="shared" si="11"/>
        <v>0</v>
      </c>
      <c r="AP52" s="7">
        <f>SUMIFS('Tong_hop_HQNV_2026Q1_2026-06-23'!$L:$L,'Tong_hop_HQNV_2026Q1_2026-06-23'!$B:$B, "="&amp;'CHECK_DT-BT_chi_tiet'!A52, 'Tong_hop_HQNV_2026Q1_2026-06-23'!$A:$A, "="&amp;'CHECK_DT-BT_chi_tiet'!$AP$2)</f>
        <v>0</v>
      </c>
      <c r="AQ52" s="29">
        <f>SUMIFS('HQ1'!$D:$D,'HQ1'!$A:$A, "="&amp;'CHECK_DT-BT_chi_tiet'!C52,'HQ1'!$B:$B,"="&amp;'CHECK_DT-BT_chi_tiet'!$AP$3)</f>
        <v>0</v>
      </c>
      <c r="AR52" s="7">
        <f t="shared" si="12"/>
        <v>0</v>
      </c>
      <c r="AS52" s="7">
        <f>SUMIFS('Tong_hop_HQNV_2026Q1_2026-06-23'!$L:$L,'Tong_hop_HQNV_2026Q1_2026-06-23'!$B:$B, "="&amp;'CHECK_DT-BT_chi_tiet'!A52, 'Tong_hop_HQNV_2026Q1_2026-06-23'!$A:$A, "="&amp;'CHECK_DT-BT_chi_tiet'!$AS$2)</f>
        <v>829254747</v>
      </c>
      <c r="AT52" s="29">
        <f>SUMIFS('HQ1'!$D:$D,'HQ1'!$A:$A, "="&amp;'CHECK_DT-BT_chi_tiet'!C52,'HQ1'!$B:$B,"="&amp;'CHECK_DT-BT_chi_tiet'!$AS$3)</f>
        <v>829254747</v>
      </c>
      <c r="AU52" s="7">
        <f t="shared" si="13"/>
        <v>0</v>
      </c>
      <c r="AV52" s="7">
        <f>SUMIFS('Tong_hop_HQNV_2026Q1_2026-06-23'!$L:$L,'Tong_hop_HQNV_2026Q1_2026-06-23'!$B:$B, "="&amp;'CHECK_DT-BT_chi_tiet'!A52, 'Tong_hop_HQNV_2026Q1_2026-06-23'!$A:$A, "="&amp;'CHECK_DT-BT_chi_tiet'!$AV$2)</f>
        <v>164622619</v>
      </c>
      <c r="AW52" s="29">
        <f>SUMIFS('HQ1'!$D:$D,'HQ1'!$A:$A, "="&amp;'CHECK_DT-BT_chi_tiet'!C52,'HQ1'!$B:$B,"="&amp;'CHECK_DT-BT_chi_tiet'!$AV$3)</f>
        <v>164622619</v>
      </c>
      <c r="AX52" s="7">
        <f t="shared" si="14"/>
        <v>0</v>
      </c>
      <c r="AY52" s="7">
        <f>SUMIFS('Tong_hop_HQNV_2026Q1_2026-06-23'!$L:$L,'Tong_hop_HQNV_2026Q1_2026-06-23'!$B:$B, "="&amp;'CHECK_DT-BT_chi_tiet'!A52, 'Tong_hop_HQNV_2026Q1_2026-06-23'!$A:$A, "="&amp;$AY$2)</f>
        <v>0</v>
      </c>
      <c r="AZ52" s="29">
        <f>SUMIFS('HQ2'!$J:$J,'HQ2'!$A:$A, "="&amp;'CHECK_DT-BT_chi_tiet'!C52,'HQ2'!$B:$B,"="&amp;'CHECK_DT-BT_chi_tiet'!$AY$3)</f>
        <v>0</v>
      </c>
      <c r="BA52" s="7">
        <f t="shared" si="15"/>
        <v>0</v>
      </c>
      <c r="BB52" s="7">
        <f>SUMIFS('Tong_hop_HQNV_2026Q1_2026-06-23'!$L:$L,'Tong_hop_HQNV_2026Q1_2026-06-23'!$B:$B, "="&amp;'CHECK_DT-BT_chi_tiet'!A52, 'Tong_hop_HQNV_2026Q1_2026-06-23'!$A:$A, "="&amp;$BB$2)</f>
        <v>25486590</v>
      </c>
      <c r="BC52" s="29">
        <f>SUMIFS('HQ2'!$J:$J,'HQ2'!$A:$A, "="&amp;'CHECK_DT-BT_chi_tiet'!C52,'HQ2'!$B:$B,"="&amp;'CHECK_DT-BT_chi_tiet'!$BB$3)</f>
        <v>25486590</v>
      </c>
      <c r="BD52" s="7">
        <f t="shared" si="16"/>
        <v>0</v>
      </c>
      <c r="BE52" s="7">
        <f>SUMIFS('Tong_hop_HQNV_2026Q1_2026-06-23'!$L:$L,'Tong_hop_HQNV_2026Q1_2026-06-23'!$B:$B, "="&amp;'CHECK_DT-BT_chi_tiet'!A52, 'Tong_hop_HQNV_2026Q1_2026-06-23'!$A:$A, "="&amp;$BE$2)</f>
        <v>0</v>
      </c>
      <c r="BF52" s="29">
        <f>SUMIFS('HQ2'!$J:$J,'HQ2'!$A:$A, "="&amp;'CHECK_DT-BT_chi_tiet'!C52,'HQ2'!$B:$B,"="&amp;'CHECK_DT-BT_chi_tiet'!$BE$3)</f>
        <v>0</v>
      </c>
      <c r="BG52" s="7">
        <f t="shared" si="17"/>
        <v>0</v>
      </c>
      <c r="BH52" s="7">
        <f>SUMIFS('Tong_hop_HQNV_2026Q1_2026-06-23'!$L:$L,'Tong_hop_HQNV_2026Q1_2026-06-23'!$B:$B, "="&amp;'CHECK_DT-BT_chi_tiet'!A52, 'Tong_hop_HQNV_2026Q1_2026-06-23'!$A:$A, "="&amp;$BH$2)</f>
        <v>37440000</v>
      </c>
      <c r="BI52" s="29">
        <f>SUMIFS('HQ2'!$J:$J,'HQ2'!$A:$A, "="&amp;'CHECK_DT-BT_chi_tiet'!C52,'HQ2'!$B:$B,"="&amp;'CHECK_DT-BT_chi_tiet'!$BH$3)</f>
        <v>37440000</v>
      </c>
      <c r="BJ52" s="7">
        <f t="shared" si="18"/>
        <v>0</v>
      </c>
      <c r="BK52" s="7">
        <f>SUMIFS('Tong_hop_HQNV_2026Q1_2026-06-23'!$L:$L,'Tong_hop_HQNV_2026Q1_2026-06-23'!$B:$B, "="&amp;'CHECK_DT-BT_chi_tiet'!A52, 'Tong_hop_HQNV_2026Q1_2026-06-23'!$A:$A, "="&amp;$BK$2)</f>
        <v>0</v>
      </c>
      <c r="BL52" s="29">
        <f>SUMIFS('HQ2'!$J:$J,'HQ2'!$A:$A, "="&amp;'CHECK_DT-BT_chi_tiet'!C52,'HQ2'!$B:$B,"="&amp;'CHECK_DT-BT_chi_tiet'!$BK$3)</f>
        <v>0</v>
      </c>
      <c r="BM52" s="7">
        <f t="shared" si="19"/>
        <v>0</v>
      </c>
      <c r="BN52" s="7">
        <f>SUMIFS('Tong_hop_HQNV_2026Q1_2026-06-23'!$L:$L,'Tong_hop_HQNV_2026Q1_2026-06-23'!$B:$B, "="&amp;'CHECK_DT-BT_chi_tiet'!A52, 'Tong_hop_HQNV_2026Q1_2026-06-23'!$A:$A, "="&amp;$BN$2)</f>
        <v>0</v>
      </c>
      <c r="BO52" s="29">
        <f>SUMIFS('HQ2'!$J:$J,'HQ2'!$A:$A, "="&amp;'CHECK_DT-BT_chi_tiet'!C52,'HQ2'!$B:$B,"="&amp;'CHECK_DT-BT_chi_tiet'!$BN$3)</f>
        <v>0</v>
      </c>
      <c r="BP52" s="7">
        <f t="shared" si="20"/>
        <v>0</v>
      </c>
      <c r="BQ52" s="7">
        <f>SUMIFS('Tong_hop_HQNV_2026Q1_2026-06-23'!$L:$L,'Tong_hop_HQNV_2026Q1_2026-06-23'!$B:$B, "="&amp;'CHECK_DT-BT_chi_tiet'!A52, 'Tong_hop_HQNV_2026Q1_2026-06-23'!$A:$A, "="&amp;$BQ$2)</f>
        <v>0</v>
      </c>
      <c r="BR52" s="29">
        <f>SUMIFS('HQ2'!$J:$J,'HQ2'!$A:$A, "="&amp;'CHECK_DT-BT_chi_tiet'!C52,'HQ2'!$B:$B,"="&amp;'CHECK_DT-BT_chi_tiet'!$BQ$3)</f>
        <v>0</v>
      </c>
      <c r="BS52" s="7">
        <f t="shared" si="21"/>
        <v>0</v>
      </c>
      <c r="BT52" s="7">
        <f>SUMIFS('Tong_hop_HQNV_2026Q1_2026-06-23'!$L:$L,'Tong_hop_HQNV_2026Q1_2026-06-23'!$B:$B, "="&amp;'CHECK_DT-BT_chi_tiet'!A52, 'Tong_hop_HQNV_2026Q1_2026-06-23'!$A:$A, "="&amp;$BT$2)</f>
        <v>0</v>
      </c>
      <c r="BU52" s="7">
        <f>SUMIFS('Tong_hop_HQNV_2026Q1_2026-06-23'!$L:$L,'Tong_hop_HQNV_2026Q1_2026-06-23'!$B:$B, "="&amp;'CHECK_DT-BT_chi_tiet'!A52, 'Tong_hop_HQNV_2026Q1_2026-06-23'!$A:$A, "="&amp;$BU$2)</f>
        <v>0</v>
      </c>
    </row>
    <row r="53" spans="1:73" x14ac:dyDescent="0.25">
      <c r="A53" s="9" t="s">
        <v>333</v>
      </c>
      <c r="B53" t="s">
        <v>191</v>
      </c>
      <c r="C53" t="s">
        <v>70</v>
      </c>
      <c r="D53" s="7">
        <f>SUMIFS('Tong_hop_HQNV_2026Q1_2026-06-23'!$K:$K,'Tong_hop_HQNV_2026Q1_2026-06-23'!$A:$A,"="&amp;'CHECK_DT-BT_chi_tiet'!$D$2,'Tong_hop_HQNV_2026Q1_2026-06-23'!$B:$B, "="&amp;'CHECK_DT-BT_chi_tiet'!A53)</f>
        <v>20392240200</v>
      </c>
      <c r="E53" s="7">
        <f>SUMIFS('HQ1'!$C:$C,'HQ1'!$A:$A, "="&amp;'CHECK_DT-BT_chi_tiet'!C53,'HQ1'!$B:$B, "="&amp;'CHECK_DT-BT_chi_tiet'!$D$3)</f>
        <v>20392034200</v>
      </c>
      <c r="F53" s="7">
        <f t="shared" si="0"/>
        <v>206000</v>
      </c>
      <c r="G53" s="7">
        <f>SUMIFS('Tong_hop_HQNV_2026Q1_2026-06-23'!$K:$K,'Tong_hop_HQNV_2026Q1_2026-06-23'!$A:$A,"="&amp;'CHECK_DT-BT_chi_tiet'!$G$2,'Tong_hop_HQNV_2026Q1_2026-06-23'!$B:$B, "="&amp;'CHECK_DT-BT_chi_tiet'!A53)</f>
        <v>185461000</v>
      </c>
      <c r="H53" s="7">
        <f>SUMIFS('HQ1'!$C:$C,'HQ1'!$A:$A, "="&amp;'CHECK_DT-BT_chi_tiet'!C53,'HQ1'!$B:$B, "="&amp;'CHECK_DT-BT_chi_tiet'!$G$3)</f>
        <v>185461000</v>
      </c>
      <c r="I53" s="7">
        <f t="shared" si="1"/>
        <v>0</v>
      </c>
      <c r="J53" s="7">
        <f>SUMIFS('Tong_hop_HQNV_2026Q1_2026-06-23'!$K:$K,'Tong_hop_HQNV_2026Q1_2026-06-23'!$A:$A,"="&amp;'CHECK_DT-BT_chi_tiet'!$J$2,'Tong_hop_HQNV_2026Q1_2026-06-23'!$B:$B, "="&amp;'CHECK_DT-BT_chi_tiet'!A53)</f>
        <v>10854261928</v>
      </c>
      <c r="K53" s="7">
        <f>SUMIFS('HQ1'!$C:$C,'HQ1'!$A:$A, "="&amp;'CHECK_DT-BT_chi_tiet'!C53,'HQ1'!$B:$B, "="&amp;'CHECK_DT-BT_chi_tiet'!$J$3)</f>
        <v>10854261928</v>
      </c>
      <c r="L53" s="7">
        <f t="shared" si="2"/>
        <v>0</v>
      </c>
      <c r="M53" s="7">
        <f>SUMIFS('Tong_hop_HQNV_2026Q1_2026-06-23'!$K:$K,'Tong_hop_HQNV_2026Q1_2026-06-23'!$A:$A,"="&amp;'CHECK_DT-BT_chi_tiet'!$M$2,'Tong_hop_HQNV_2026Q1_2026-06-23'!$B:$B, "="&amp;'CHECK_DT-BT_chi_tiet'!A53)</f>
        <v>547852740</v>
      </c>
      <c r="N53" s="7">
        <f>SUMIFS('HQ1'!$C:$C,'HQ1'!$A:$A, "="&amp;'CHECK_DT-BT_chi_tiet'!C53,'HQ1'!$B:$B, "="&amp;'CHECK_DT-BT_chi_tiet'!$M$3)</f>
        <v>547852740</v>
      </c>
      <c r="O53" s="7">
        <f t="shared" si="3"/>
        <v>0</v>
      </c>
      <c r="P53" s="7">
        <f>SUMIFS('Tong_hop_HQNV_2026Q1_2026-06-23'!$K:$K,'Tong_hop_HQNV_2026Q1_2026-06-23'!$A:$A,"="&amp;$P$2,'Tong_hop_HQNV_2026Q1_2026-06-23'!$B:$B, "="&amp;'CHECK_DT-BT_chi_tiet'!A53)</f>
        <v>22805242</v>
      </c>
      <c r="Q53" s="7">
        <f>SUMIFS('HQ2'!$C:$C,'HQ2'!$A:$A, "="&amp;'CHECK_DT-BT_chi_tiet'!C53,'HQ2'!$B:$B, "="&amp;'CHECK_DT-BT_chi_tiet'!$P$3)</f>
        <v>22805242</v>
      </c>
      <c r="R53" s="7">
        <f t="shared" si="4"/>
        <v>0</v>
      </c>
      <c r="S53" s="7">
        <f>SUMIFS('Tong_hop_HQNV_2026Q1_2026-06-23'!$K:$K,'Tong_hop_HQNV_2026Q1_2026-06-23'!$A:$A,"="&amp;$S$2,'Tong_hop_HQNV_2026Q1_2026-06-23'!$B:$B, "="&amp;'CHECK_DT-BT_chi_tiet'!A53)</f>
        <v>5118972604</v>
      </c>
      <c r="T53" s="7">
        <f>SUMIFS('HQ2'!$C:$C,'HQ2'!$A:$A, "="&amp;'CHECK_DT-BT_chi_tiet'!C53,'HQ2'!$B:$B, "="&amp;'CHECK_DT-BT_chi_tiet'!$S$3)</f>
        <v>5118972604</v>
      </c>
      <c r="U53" s="7">
        <f t="shared" si="5"/>
        <v>0</v>
      </c>
      <c r="V53" s="7">
        <f>SUMIFS('Tong_hop_HQNV_2026Q1_2026-06-23'!$K:$K,'Tong_hop_HQNV_2026Q1_2026-06-23'!$A:$A,"="&amp;$V$2,'Tong_hop_HQNV_2026Q1_2026-06-23'!$B:$B, "="&amp;'CHECK_DT-BT_chi_tiet'!A53)</f>
        <v>1664340206</v>
      </c>
      <c r="W53" s="7">
        <f>SUMIFS('HQ2'!$C:$C,'HQ2'!$A:$A, "="&amp;'CHECK_DT-BT_chi_tiet'!C53,'HQ2'!$B:$B, "="&amp;'CHECK_DT-BT_chi_tiet'!$V$3)</f>
        <v>1664340206</v>
      </c>
      <c r="X53" s="7">
        <f t="shared" si="6"/>
        <v>0</v>
      </c>
      <c r="Y53" s="7">
        <f>SUMIFS('Tong_hop_HQNV_2026Q1_2026-06-23'!$K:$K,'Tong_hop_HQNV_2026Q1_2026-06-23'!$A:$A,"="&amp;$Y$2,'Tong_hop_HQNV_2026Q1_2026-06-23'!$B:$B, "="&amp;'CHECK_DT-BT_chi_tiet'!A53)</f>
        <v>27750000</v>
      </c>
      <c r="Z53" s="7">
        <f>SUMIFS('HQ2'!$C:$C,'HQ2'!$A:$A, "="&amp;'CHECK_DT-BT_chi_tiet'!C53,'HQ2'!$B:$B, "="&amp;'CHECK_DT-BT_chi_tiet'!$Y$3)</f>
        <v>27750000</v>
      </c>
      <c r="AA53" s="7">
        <f t="shared" si="7"/>
        <v>0</v>
      </c>
      <c r="AB53" s="7">
        <f>SUMIFS('Tong_hop_HQNV_2026Q1_2026-06-23'!$K:$K,'Tong_hop_HQNV_2026Q1_2026-06-23'!$A:$A,"="&amp;$AB$2,'Tong_hop_HQNV_2026Q1_2026-06-23'!$B:$B, "="&amp;'CHECK_DT-BT_chi_tiet'!A53)</f>
        <v>999669282</v>
      </c>
      <c r="AC53" s="7">
        <f>SUMIFS('HQ2'!$C:$C,'HQ2'!$A:$A, "="&amp;'CHECK_DT-BT_chi_tiet'!C53,'HQ2'!$B:$B, "="&amp;'CHECK_DT-BT_chi_tiet'!$AB$3)</f>
        <v>999669282</v>
      </c>
      <c r="AD53" s="7">
        <f t="shared" si="8"/>
        <v>0</v>
      </c>
      <c r="AE53" s="7">
        <f>SUMIFS('Tong_hop_HQNV_2026Q1_2026-06-23'!$K:$K,'Tong_hop_HQNV_2026Q1_2026-06-23'!$A:$A,"="&amp;$AE$2,'Tong_hop_HQNV_2026Q1_2026-06-23'!$B:$B, "="&amp;'CHECK_DT-BT_chi_tiet'!A53)</f>
        <v>1526400117</v>
      </c>
      <c r="AF53" s="7">
        <f>SUMIFS('HQ2'!$C:$C,'HQ2'!$A:$A, "="&amp;'CHECK_DT-BT_chi_tiet'!C53,'HQ2'!$B:$B, "="&amp;'CHECK_DT-BT_chi_tiet'!$AE$3)</f>
        <v>1526400117</v>
      </c>
      <c r="AG53" s="7">
        <f t="shared" si="9"/>
        <v>0</v>
      </c>
      <c r="AH53" s="7">
        <f>SUMIFS('Tong_hop_HQNV_2026Q1_2026-06-23'!$K:$K,'Tong_hop_HQNV_2026Q1_2026-06-23'!$A:$A,"="&amp;$AH$2,'Tong_hop_HQNV_2026Q1_2026-06-23'!$B:$B, "="&amp;'CHECK_DT-BT_chi_tiet'!A53)</f>
        <v>877000000</v>
      </c>
      <c r="AI53" s="7">
        <f>SUMIFS('HQ2'!$C:$C,'HQ2'!$A:$A, "="&amp;'CHECK_DT-BT_chi_tiet'!C53,'HQ2'!$B:$B, "="&amp;'CHECK_DT-BT_chi_tiet'!$AH$3)</f>
        <v>877000000</v>
      </c>
      <c r="AJ53" s="7">
        <f t="shared" si="10"/>
        <v>0</v>
      </c>
      <c r="AK53" s="7">
        <f>SUMIFS('Tong_hop_HQNV_2026Q1_2026-06-23'!$K:$K,'Tong_hop_HQNV_2026Q1_2026-06-23'!$A:$A,"="&amp;$AK$2,'Tong_hop_HQNV_2026Q1_2026-06-23'!$B:$B, "="&amp;'CHECK_DT-BT_chi_tiet'!A53)</f>
        <v>0</v>
      </c>
      <c r="AL53" s="7">
        <f>SUMIFS('Tong_hop_HQNV_2026Q1_2026-06-23'!$K:$K,'Tong_hop_HQNV_2026Q1_2026-06-23'!$A:$A,"="&amp;$AL$2,'Tong_hop_HQNV_2026Q1_2026-06-23'!$B:$B, "="&amp;'CHECK_DT-BT_chi_tiet'!A53)</f>
        <v>0</v>
      </c>
      <c r="AM53" s="23">
        <f>SUMIFS('Tong_hop_HQNV_2026Q1_2026-06-23'!$L:$L,'Tong_hop_HQNV_2026Q1_2026-06-23'!$B:$B, "="&amp;'CHECK_DT-BT_chi_tiet'!A53, 'Tong_hop_HQNV_2026Q1_2026-06-23'!$A:$A, "="&amp;'CHECK_DT-BT_chi_tiet'!$AM$2)</f>
        <v>12577349262</v>
      </c>
      <c r="AN53" s="29">
        <f>SUMIFS('HQ1'!$D:$D,'HQ1'!$A:$A, "="&amp;'CHECK_DT-BT_chi_tiet'!C53,'HQ1'!$B:$B,"="&amp;'CHECK_DT-BT_chi_tiet'!$AM$3)</f>
        <v>12577349262</v>
      </c>
      <c r="AO53" s="29">
        <f t="shared" si="11"/>
        <v>0</v>
      </c>
      <c r="AP53" s="7">
        <f>SUMIFS('Tong_hop_HQNV_2026Q1_2026-06-23'!$L:$L,'Tong_hop_HQNV_2026Q1_2026-06-23'!$B:$B, "="&amp;'CHECK_DT-BT_chi_tiet'!A53, 'Tong_hop_HQNV_2026Q1_2026-06-23'!$A:$A, "="&amp;'CHECK_DT-BT_chi_tiet'!$AP$2)</f>
        <v>0</v>
      </c>
      <c r="AQ53" s="29">
        <f>SUMIFS('HQ1'!$D:$D,'HQ1'!$A:$A, "="&amp;'CHECK_DT-BT_chi_tiet'!C53,'HQ1'!$B:$B,"="&amp;'CHECK_DT-BT_chi_tiet'!$AP$3)</f>
        <v>0</v>
      </c>
      <c r="AR53" s="7">
        <f t="shared" si="12"/>
        <v>0</v>
      </c>
      <c r="AS53" s="7">
        <f>SUMIFS('Tong_hop_HQNV_2026Q1_2026-06-23'!$L:$L,'Tong_hop_HQNV_2026Q1_2026-06-23'!$B:$B, "="&amp;'CHECK_DT-BT_chi_tiet'!A53, 'Tong_hop_HQNV_2026Q1_2026-06-23'!$A:$A, "="&amp;'CHECK_DT-BT_chi_tiet'!$AS$2)</f>
        <v>4363270171</v>
      </c>
      <c r="AT53" s="29">
        <f>SUMIFS('HQ1'!$D:$D,'HQ1'!$A:$A, "="&amp;'CHECK_DT-BT_chi_tiet'!C53,'HQ1'!$B:$B,"="&amp;'CHECK_DT-BT_chi_tiet'!$AS$3)</f>
        <v>4363270171</v>
      </c>
      <c r="AU53" s="7">
        <f t="shared" si="13"/>
        <v>0</v>
      </c>
      <c r="AV53" s="7">
        <f>SUMIFS('Tong_hop_HQNV_2026Q1_2026-06-23'!$L:$L,'Tong_hop_HQNV_2026Q1_2026-06-23'!$B:$B, "="&amp;'CHECK_DT-BT_chi_tiet'!A53, 'Tong_hop_HQNV_2026Q1_2026-06-23'!$A:$A, "="&amp;'CHECK_DT-BT_chi_tiet'!$AV$2)</f>
        <v>95060422</v>
      </c>
      <c r="AW53" s="29">
        <f>SUMIFS('HQ1'!$D:$D,'HQ1'!$A:$A, "="&amp;'CHECK_DT-BT_chi_tiet'!C53,'HQ1'!$B:$B,"="&amp;'CHECK_DT-BT_chi_tiet'!$AV$3)</f>
        <v>95060422</v>
      </c>
      <c r="AX53" s="7">
        <f t="shared" si="14"/>
        <v>0</v>
      </c>
      <c r="AY53" s="7">
        <f>SUMIFS('Tong_hop_HQNV_2026Q1_2026-06-23'!$L:$L,'Tong_hop_HQNV_2026Q1_2026-06-23'!$B:$B, "="&amp;'CHECK_DT-BT_chi_tiet'!A53, 'Tong_hop_HQNV_2026Q1_2026-06-23'!$A:$A, "="&amp;$AY$2)</f>
        <v>0</v>
      </c>
      <c r="AZ53" s="29">
        <f>SUMIFS('HQ2'!$J:$J,'HQ2'!$A:$A, "="&amp;'CHECK_DT-BT_chi_tiet'!C53,'HQ2'!$B:$B,"="&amp;'CHECK_DT-BT_chi_tiet'!$AY$3)</f>
        <v>0</v>
      </c>
      <c r="BA53" s="7">
        <f t="shared" si="15"/>
        <v>0</v>
      </c>
      <c r="BB53" s="7">
        <f>SUMIFS('Tong_hop_HQNV_2026Q1_2026-06-23'!$L:$L,'Tong_hop_HQNV_2026Q1_2026-06-23'!$B:$B, "="&amp;'CHECK_DT-BT_chi_tiet'!A53, 'Tong_hop_HQNV_2026Q1_2026-06-23'!$A:$A, "="&amp;$BB$2)</f>
        <v>364553470</v>
      </c>
      <c r="BC53" s="29">
        <f>SUMIFS('HQ2'!$J:$J,'HQ2'!$A:$A, "="&amp;'CHECK_DT-BT_chi_tiet'!C53,'HQ2'!$B:$B,"="&amp;'CHECK_DT-BT_chi_tiet'!$BB$3)</f>
        <v>364553470</v>
      </c>
      <c r="BD53" s="7">
        <f t="shared" si="16"/>
        <v>0</v>
      </c>
      <c r="BE53" s="7">
        <f>SUMIFS('Tong_hop_HQNV_2026Q1_2026-06-23'!$L:$L,'Tong_hop_HQNV_2026Q1_2026-06-23'!$B:$B, "="&amp;'CHECK_DT-BT_chi_tiet'!A53, 'Tong_hop_HQNV_2026Q1_2026-06-23'!$A:$A, "="&amp;$BE$2)</f>
        <v>0</v>
      </c>
      <c r="BF53" s="29">
        <f>SUMIFS('HQ2'!$J:$J,'HQ2'!$A:$A, "="&amp;'CHECK_DT-BT_chi_tiet'!C53,'HQ2'!$B:$B,"="&amp;'CHECK_DT-BT_chi_tiet'!$BE$3)</f>
        <v>0</v>
      </c>
      <c r="BG53" s="7">
        <f t="shared" si="17"/>
        <v>0</v>
      </c>
      <c r="BH53" s="7">
        <f>SUMIFS('Tong_hop_HQNV_2026Q1_2026-06-23'!$L:$L,'Tong_hop_HQNV_2026Q1_2026-06-23'!$B:$B, "="&amp;'CHECK_DT-BT_chi_tiet'!A53, 'Tong_hop_HQNV_2026Q1_2026-06-23'!$A:$A, "="&amp;$BH$2)</f>
        <v>0</v>
      </c>
      <c r="BI53" s="29">
        <f>SUMIFS('HQ2'!$J:$J,'HQ2'!$A:$A, "="&amp;'CHECK_DT-BT_chi_tiet'!C53,'HQ2'!$B:$B,"="&amp;'CHECK_DT-BT_chi_tiet'!$BH$3)</f>
        <v>0</v>
      </c>
      <c r="BJ53" s="7">
        <f t="shared" si="18"/>
        <v>0</v>
      </c>
      <c r="BK53" s="7">
        <f>SUMIFS('Tong_hop_HQNV_2026Q1_2026-06-23'!$L:$L,'Tong_hop_HQNV_2026Q1_2026-06-23'!$B:$B, "="&amp;'CHECK_DT-BT_chi_tiet'!A53, 'Tong_hop_HQNV_2026Q1_2026-06-23'!$A:$A, "="&amp;$BK$2)</f>
        <v>494857891</v>
      </c>
      <c r="BL53" s="29">
        <f>SUMIFS('HQ2'!$J:$J,'HQ2'!$A:$A, "="&amp;'CHECK_DT-BT_chi_tiet'!C53,'HQ2'!$B:$B,"="&amp;'CHECK_DT-BT_chi_tiet'!$BK$3)</f>
        <v>494857891</v>
      </c>
      <c r="BM53" s="7">
        <f t="shared" si="19"/>
        <v>0</v>
      </c>
      <c r="BN53" s="7">
        <f>SUMIFS('Tong_hop_HQNV_2026Q1_2026-06-23'!$L:$L,'Tong_hop_HQNV_2026Q1_2026-06-23'!$B:$B, "="&amp;'CHECK_DT-BT_chi_tiet'!A53, 'Tong_hop_HQNV_2026Q1_2026-06-23'!$A:$A, "="&amp;$BN$2)</f>
        <v>313569857</v>
      </c>
      <c r="BO53" s="29">
        <f>SUMIFS('HQ2'!$J:$J,'HQ2'!$A:$A, "="&amp;'CHECK_DT-BT_chi_tiet'!C53,'HQ2'!$B:$B,"="&amp;'CHECK_DT-BT_chi_tiet'!$BN$3)</f>
        <v>313569857</v>
      </c>
      <c r="BP53" s="7">
        <f t="shared" si="20"/>
        <v>0</v>
      </c>
      <c r="BQ53" s="7">
        <f>SUMIFS('Tong_hop_HQNV_2026Q1_2026-06-23'!$L:$L,'Tong_hop_HQNV_2026Q1_2026-06-23'!$B:$B, "="&amp;'CHECK_DT-BT_chi_tiet'!A53, 'Tong_hop_HQNV_2026Q1_2026-06-23'!$A:$A, "="&amp;$BQ$2)</f>
        <v>0</v>
      </c>
      <c r="BR53" s="29">
        <f>SUMIFS('HQ2'!$J:$J,'HQ2'!$A:$A, "="&amp;'CHECK_DT-BT_chi_tiet'!C53,'HQ2'!$B:$B,"="&amp;'CHECK_DT-BT_chi_tiet'!$BQ$3)</f>
        <v>0</v>
      </c>
      <c r="BS53" s="7">
        <f t="shared" si="21"/>
        <v>0</v>
      </c>
      <c r="BT53" s="7">
        <f>SUMIFS('Tong_hop_HQNV_2026Q1_2026-06-23'!$L:$L,'Tong_hop_HQNV_2026Q1_2026-06-23'!$B:$B, "="&amp;'CHECK_DT-BT_chi_tiet'!A53, 'Tong_hop_HQNV_2026Q1_2026-06-23'!$A:$A, "="&amp;$BT$2)</f>
        <v>0</v>
      </c>
      <c r="BU53" s="7">
        <f>SUMIFS('Tong_hop_HQNV_2026Q1_2026-06-23'!$L:$L,'Tong_hop_HQNV_2026Q1_2026-06-23'!$B:$B, "="&amp;'CHECK_DT-BT_chi_tiet'!A53, 'Tong_hop_HQNV_2026Q1_2026-06-23'!$A:$A, "="&amp;$BU$2)</f>
        <v>0</v>
      </c>
    </row>
    <row r="54" spans="1:73" x14ac:dyDescent="0.25">
      <c r="A54" s="9" t="s">
        <v>334</v>
      </c>
      <c r="B54" t="s">
        <v>192</v>
      </c>
      <c r="C54" t="s">
        <v>94</v>
      </c>
      <c r="D54" s="7">
        <f>SUMIFS('Tong_hop_HQNV_2026Q1_2026-06-23'!$K:$K,'Tong_hop_HQNV_2026Q1_2026-06-23'!$A:$A,"="&amp;'CHECK_DT-BT_chi_tiet'!$D$2,'Tong_hop_HQNV_2026Q1_2026-06-23'!$B:$B, "="&amp;'CHECK_DT-BT_chi_tiet'!A54)</f>
        <v>2399088220</v>
      </c>
      <c r="E54" s="7">
        <f>SUMIFS('HQ1'!$C:$C,'HQ1'!$A:$A, "="&amp;'CHECK_DT-BT_chi_tiet'!C54,'HQ1'!$B:$B, "="&amp;'CHECK_DT-BT_chi_tiet'!$D$3)</f>
        <v>2399088220</v>
      </c>
      <c r="F54" s="7">
        <f t="shared" si="0"/>
        <v>0</v>
      </c>
      <c r="G54" s="7">
        <f>SUMIFS('Tong_hop_HQNV_2026Q1_2026-06-23'!$K:$K,'Tong_hop_HQNV_2026Q1_2026-06-23'!$A:$A,"="&amp;'CHECK_DT-BT_chi_tiet'!$G$2,'Tong_hop_HQNV_2026Q1_2026-06-23'!$B:$B, "="&amp;'CHECK_DT-BT_chi_tiet'!A54)</f>
        <v>7485240</v>
      </c>
      <c r="H54" s="7">
        <f>SUMIFS('HQ1'!$C:$C,'HQ1'!$A:$A, "="&amp;'CHECK_DT-BT_chi_tiet'!C54,'HQ1'!$B:$B, "="&amp;'CHECK_DT-BT_chi_tiet'!$G$3)</f>
        <v>7485240</v>
      </c>
      <c r="I54" s="7">
        <f t="shared" si="1"/>
        <v>0</v>
      </c>
      <c r="J54" s="7">
        <f>SUMIFS('Tong_hop_HQNV_2026Q1_2026-06-23'!$K:$K,'Tong_hop_HQNV_2026Q1_2026-06-23'!$A:$A,"="&amp;'CHECK_DT-BT_chi_tiet'!$J$2,'Tong_hop_HQNV_2026Q1_2026-06-23'!$B:$B, "="&amp;'CHECK_DT-BT_chi_tiet'!A54)</f>
        <v>1983067029</v>
      </c>
      <c r="K54" s="7">
        <f>SUMIFS('HQ1'!$C:$C,'HQ1'!$A:$A, "="&amp;'CHECK_DT-BT_chi_tiet'!C54,'HQ1'!$B:$B, "="&amp;'CHECK_DT-BT_chi_tiet'!$J$3)</f>
        <v>1983067029</v>
      </c>
      <c r="L54" s="7">
        <f t="shared" si="2"/>
        <v>0</v>
      </c>
      <c r="M54" s="7">
        <f>SUMIFS('Tong_hop_HQNV_2026Q1_2026-06-23'!$K:$K,'Tong_hop_HQNV_2026Q1_2026-06-23'!$A:$A,"="&amp;'CHECK_DT-BT_chi_tiet'!$M$2,'Tong_hop_HQNV_2026Q1_2026-06-23'!$B:$B, "="&amp;'CHECK_DT-BT_chi_tiet'!A54)</f>
        <v>450971736</v>
      </c>
      <c r="N54" s="7">
        <f>SUMIFS('HQ1'!$C:$C,'HQ1'!$A:$A, "="&amp;'CHECK_DT-BT_chi_tiet'!C54,'HQ1'!$B:$B, "="&amp;'CHECK_DT-BT_chi_tiet'!$M$3)</f>
        <v>450971736</v>
      </c>
      <c r="O54" s="7">
        <f t="shared" si="3"/>
        <v>0</v>
      </c>
      <c r="P54" s="7">
        <f>SUMIFS('Tong_hop_HQNV_2026Q1_2026-06-23'!$K:$K,'Tong_hop_HQNV_2026Q1_2026-06-23'!$A:$A,"="&amp;$P$2,'Tong_hop_HQNV_2026Q1_2026-06-23'!$B:$B, "="&amp;'CHECK_DT-BT_chi_tiet'!A54)</f>
        <v>939084999</v>
      </c>
      <c r="Q54" s="7">
        <f>SUMIFS('HQ2'!$C:$C,'HQ2'!$A:$A, "="&amp;'CHECK_DT-BT_chi_tiet'!C54,'HQ2'!$B:$B, "="&amp;'CHECK_DT-BT_chi_tiet'!$P$3)</f>
        <v>939084999</v>
      </c>
      <c r="R54" s="7">
        <f t="shared" si="4"/>
        <v>0</v>
      </c>
      <c r="S54" s="7">
        <f>SUMIFS('Tong_hop_HQNV_2026Q1_2026-06-23'!$K:$K,'Tong_hop_HQNV_2026Q1_2026-06-23'!$A:$A,"="&amp;$S$2,'Tong_hop_HQNV_2026Q1_2026-06-23'!$B:$B, "="&amp;'CHECK_DT-BT_chi_tiet'!A54)</f>
        <v>0</v>
      </c>
      <c r="T54" s="7">
        <f>SUMIFS('HQ2'!$C:$C,'HQ2'!$A:$A, "="&amp;'CHECK_DT-BT_chi_tiet'!C54,'HQ2'!$B:$B, "="&amp;'CHECK_DT-BT_chi_tiet'!$S$3)</f>
        <v>0</v>
      </c>
      <c r="U54" s="7">
        <f t="shared" si="5"/>
        <v>0</v>
      </c>
      <c r="V54" s="7">
        <f>SUMIFS('Tong_hop_HQNV_2026Q1_2026-06-23'!$K:$K,'Tong_hop_HQNV_2026Q1_2026-06-23'!$A:$A,"="&amp;$V$2,'Tong_hop_HQNV_2026Q1_2026-06-23'!$B:$B, "="&amp;'CHECK_DT-BT_chi_tiet'!A54)</f>
        <v>459317720</v>
      </c>
      <c r="W54" s="7">
        <f>SUMIFS('HQ2'!$C:$C,'HQ2'!$A:$A, "="&amp;'CHECK_DT-BT_chi_tiet'!C54,'HQ2'!$B:$B, "="&amp;'CHECK_DT-BT_chi_tiet'!$V$3)</f>
        <v>459317720</v>
      </c>
      <c r="X54" s="7">
        <f t="shared" si="6"/>
        <v>0</v>
      </c>
      <c r="Y54" s="7">
        <f>SUMIFS('Tong_hop_HQNV_2026Q1_2026-06-23'!$K:$K,'Tong_hop_HQNV_2026Q1_2026-06-23'!$A:$A,"="&amp;$Y$2,'Tong_hop_HQNV_2026Q1_2026-06-23'!$B:$B, "="&amp;'CHECK_DT-BT_chi_tiet'!A54)</f>
        <v>626453349</v>
      </c>
      <c r="Z54" s="7">
        <f>SUMIFS('HQ2'!$C:$C,'HQ2'!$A:$A, "="&amp;'CHECK_DT-BT_chi_tiet'!C54,'HQ2'!$B:$B, "="&amp;'CHECK_DT-BT_chi_tiet'!$Y$3)</f>
        <v>626453349</v>
      </c>
      <c r="AA54" s="7">
        <f t="shared" si="7"/>
        <v>0</v>
      </c>
      <c r="AB54" s="7">
        <f>SUMIFS('Tong_hop_HQNV_2026Q1_2026-06-23'!$K:$K,'Tong_hop_HQNV_2026Q1_2026-06-23'!$A:$A,"="&amp;$AB$2,'Tong_hop_HQNV_2026Q1_2026-06-23'!$B:$B, "="&amp;'CHECK_DT-BT_chi_tiet'!A54)</f>
        <v>318493760</v>
      </c>
      <c r="AC54" s="7">
        <f>SUMIFS('HQ2'!$C:$C,'HQ2'!$A:$A, "="&amp;'CHECK_DT-BT_chi_tiet'!C54,'HQ2'!$B:$B, "="&amp;'CHECK_DT-BT_chi_tiet'!$AB$3)</f>
        <v>318493760</v>
      </c>
      <c r="AD54" s="7">
        <f t="shared" si="8"/>
        <v>0</v>
      </c>
      <c r="AE54" s="7">
        <f>SUMIFS('Tong_hop_HQNV_2026Q1_2026-06-23'!$K:$K,'Tong_hop_HQNV_2026Q1_2026-06-23'!$A:$A,"="&amp;$AE$2,'Tong_hop_HQNV_2026Q1_2026-06-23'!$B:$B, "="&amp;'CHECK_DT-BT_chi_tiet'!A54)</f>
        <v>188610563</v>
      </c>
      <c r="AF54" s="7">
        <f>SUMIFS('HQ2'!$C:$C,'HQ2'!$A:$A, "="&amp;'CHECK_DT-BT_chi_tiet'!C54,'HQ2'!$B:$B, "="&amp;'CHECK_DT-BT_chi_tiet'!$AE$3)</f>
        <v>188610563</v>
      </c>
      <c r="AG54" s="7">
        <f t="shared" si="9"/>
        <v>0</v>
      </c>
      <c r="AH54" s="7">
        <f>SUMIFS('Tong_hop_HQNV_2026Q1_2026-06-23'!$K:$K,'Tong_hop_HQNV_2026Q1_2026-06-23'!$A:$A,"="&amp;$AH$2,'Tong_hop_HQNV_2026Q1_2026-06-23'!$B:$B, "="&amp;'CHECK_DT-BT_chi_tiet'!A54)</f>
        <v>0</v>
      </c>
      <c r="AI54" s="7">
        <f>SUMIFS('HQ2'!$C:$C,'HQ2'!$A:$A, "="&amp;'CHECK_DT-BT_chi_tiet'!C54,'HQ2'!$B:$B, "="&amp;'CHECK_DT-BT_chi_tiet'!$AH$3)</f>
        <v>0</v>
      </c>
      <c r="AJ54" s="7">
        <f t="shared" si="10"/>
        <v>0</v>
      </c>
      <c r="AK54" s="7">
        <f>SUMIFS('Tong_hop_HQNV_2026Q1_2026-06-23'!$K:$K,'Tong_hop_HQNV_2026Q1_2026-06-23'!$A:$A,"="&amp;$AK$2,'Tong_hop_HQNV_2026Q1_2026-06-23'!$B:$B, "="&amp;'CHECK_DT-BT_chi_tiet'!A54)</f>
        <v>0</v>
      </c>
      <c r="AL54" s="7">
        <f>SUMIFS('Tong_hop_HQNV_2026Q1_2026-06-23'!$K:$K,'Tong_hop_HQNV_2026Q1_2026-06-23'!$A:$A,"="&amp;$AL$2,'Tong_hop_HQNV_2026Q1_2026-06-23'!$B:$B, "="&amp;'CHECK_DT-BT_chi_tiet'!A54)</f>
        <v>0</v>
      </c>
      <c r="AM54" s="23">
        <f>SUMIFS('Tong_hop_HQNV_2026Q1_2026-06-23'!$L:$L,'Tong_hop_HQNV_2026Q1_2026-06-23'!$B:$B, "="&amp;'CHECK_DT-BT_chi_tiet'!A54, 'Tong_hop_HQNV_2026Q1_2026-06-23'!$A:$A, "="&amp;'CHECK_DT-BT_chi_tiet'!$AM$2)</f>
        <v>2674415500</v>
      </c>
      <c r="AN54" s="29">
        <f>SUMIFS('HQ1'!$D:$D,'HQ1'!$A:$A, "="&amp;'CHECK_DT-BT_chi_tiet'!C54,'HQ1'!$B:$B,"="&amp;'CHECK_DT-BT_chi_tiet'!$AM$3)</f>
        <v>2674415500</v>
      </c>
      <c r="AO54" s="29">
        <f t="shared" si="11"/>
        <v>0</v>
      </c>
      <c r="AP54" s="7">
        <f>SUMIFS('Tong_hop_HQNV_2026Q1_2026-06-23'!$L:$L,'Tong_hop_HQNV_2026Q1_2026-06-23'!$B:$B, "="&amp;'CHECK_DT-BT_chi_tiet'!A54, 'Tong_hop_HQNV_2026Q1_2026-06-23'!$A:$A, "="&amp;'CHECK_DT-BT_chi_tiet'!$AP$2)</f>
        <v>0</v>
      </c>
      <c r="AQ54" s="29">
        <f>SUMIFS('HQ1'!$D:$D,'HQ1'!$A:$A, "="&amp;'CHECK_DT-BT_chi_tiet'!C54,'HQ1'!$B:$B,"="&amp;'CHECK_DT-BT_chi_tiet'!$AP$3)</f>
        <v>0</v>
      </c>
      <c r="AR54" s="7">
        <f t="shared" si="12"/>
        <v>0</v>
      </c>
      <c r="AS54" s="7">
        <f>SUMIFS('Tong_hop_HQNV_2026Q1_2026-06-23'!$L:$L,'Tong_hop_HQNV_2026Q1_2026-06-23'!$B:$B, "="&amp;'CHECK_DT-BT_chi_tiet'!A54, 'Tong_hop_HQNV_2026Q1_2026-06-23'!$A:$A, "="&amp;'CHECK_DT-BT_chi_tiet'!$AS$2)</f>
        <v>508713643</v>
      </c>
      <c r="AT54" s="29">
        <f>SUMIFS('HQ1'!$D:$D,'HQ1'!$A:$A, "="&amp;'CHECK_DT-BT_chi_tiet'!C54,'HQ1'!$B:$B,"="&amp;'CHECK_DT-BT_chi_tiet'!$AS$3)</f>
        <v>508713643</v>
      </c>
      <c r="AU54" s="7">
        <f t="shared" si="13"/>
        <v>0</v>
      </c>
      <c r="AV54" s="7">
        <f>SUMIFS('Tong_hop_HQNV_2026Q1_2026-06-23'!$L:$L,'Tong_hop_HQNV_2026Q1_2026-06-23'!$B:$B, "="&amp;'CHECK_DT-BT_chi_tiet'!A54, 'Tong_hop_HQNV_2026Q1_2026-06-23'!$A:$A, "="&amp;'CHECK_DT-BT_chi_tiet'!$AV$2)</f>
        <v>117764953</v>
      </c>
      <c r="AW54" s="29">
        <f>SUMIFS('HQ1'!$D:$D,'HQ1'!$A:$A, "="&amp;'CHECK_DT-BT_chi_tiet'!C54,'HQ1'!$B:$B,"="&amp;'CHECK_DT-BT_chi_tiet'!$AV$3)</f>
        <v>117764953</v>
      </c>
      <c r="AX54" s="7">
        <f t="shared" si="14"/>
        <v>0</v>
      </c>
      <c r="AY54" s="7">
        <f>SUMIFS('Tong_hop_HQNV_2026Q1_2026-06-23'!$L:$L,'Tong_hop_HQNV_2026Q1_2026-06-23'!$B:$B, "="&amp;'CHECK_DT-BT_chi_tiet'!A54, 'Tong_hop_HQNV_2026Q1_2026-06-23'!$A:$A, "="&amp;$AY$2)</f>
        <v>0</v>
      </c>
      <c r="AZ54" s="29">
        <f>SUMIFS('HQ2'!$J:$J,'HQ2'!$A:$A, "="&amp;'CHECK_DT-BT_chi_tiet'!C54,'HQ2'!$B:$B,"="&amp;'CHECK_DT-BT_chi_tiet'!$AY$3)</f>
        <v>0</v>
      </c>
      <c r="BA54" s="7">
        <f t="shared" si="15"/>
        <v>0</v>
      </c>
      <c r="BB54" s="7">
        <f>SUMIFS('Tong_hop_HQNV_2026Q1_2026-06-23'!$L:$L,'Tong_hop_HQNV_2026Q1_2026-06-23'!$B:$B, "="&amp;'CHECK_DT-BT_chi_tiet'!A54, 'Tong_hop_HQNV_2026Q1_2026-06-23'!$A:$A, "="&amp;$BB$2)</f>
        <v>0</v>
      </c>
      <c r="BC54" s="29">
        <f>SUMIFS('HQ2'!$J:$J,'HQ2'!$A:$A, "="&amp;'CHECK_DT-BT_chi_tiet'!C54,'HQ2'!$B:$B,"="&amp;'CHECK_DT-BT_chi_tiet'!$BB$3)</f>
        <v>0</v>
      </c>
      <c r="BD54" s="7">
        <f t="shared" si="16"/>
        <v>0</v>
      </c>
      <c r="BE54" s="7">
        <f>SUMIFS('Tong_hop_HQNV_2026Q1_2026-06-23'!$L:$L,'Tong_hop_HQNV_2026Q1_2026-06-23'!$B:$B, "="&amp;'CHECK_DT-BT_chi_tiet'!A54, 'Tong_hop_HQNV_2026Q1_2026-06-23'!$A:$A, "="&amp;$BE$2)</f>
        <v>0</v>
      </c>
      <c r="BF54" s="29">
        <f>SUMIFS('HQ2'!$J:$J,'HQ2'!$A:$A, "="&amp;'CHECK_DT-BT_chi_tiet'!C54,'HQ2'!$B:$B,"="&amp;'CHECK_DT-BT_chi_tiet'!$BE$3)</f>
        <v>0</v>
      </c>
      <c r="BG54" s="7">
        <f t="shared" si="17"/>
        <v>0</v>
      </c>
      <c r="BH54" s="7">
        <f>SUMIFS('Tong_hop_HQNV_2026Q1_2026-06-23'!$L:$L,'Tong_hop_HQNV_2026Q1_2026-06-23'!$B:$B, "="&amp;'CHECK_DT-BT_chi_tiet'!A54, 'Tong_hop_HQNV_2026Q1_2026-06-23'!$A:$A, "="&amp;$BH$2)</f>
        <v>0</v>
      </c>
      <c r="BI54" s="29">
        <f>SUMIFS('HQ2'!$J:$J,'HQ2'!$A:$A, "="&amp;'CHECK_DT-BT_chi_tiet'!C54,'HQ2'!$B:$B,"="&amp;'CHECK_DT-BT_chi_tiet'!$BH$3)</f>
        <v>0</v>
      </c>
      <c r="BJ54" s="7">
        <f t="shared" si="18"/>
        <v>0</v>
      </c>
      <c r="BK54" s="7">
        <f>SUMIFS('Tong_hop_HQNV_2026Q1_2026-06-23'!$L:$L,'Tong_hop_HQNV_2026Q1_2026-06-23'!$B:$B, "="&amp;'CHECK_DT-BT_chi_tiet'!A54, 'Tong_hop_HQNV_2026Q1_2026-06-23'!$A:$A, "="&amp;$BK$2)</f>
        <v>0</v>
      </c>
      <c r="BL54" s="29">
        <f>SUMIFS('HQ2'!$J:$J,'HQ2'!$A:$A, "="&amp;'CHECK_DT-BT_chi_tiet'!C54,'HQ2'!$B:$B,"="&amp;'CHECK_DT-BT_chi_tiet'!$BK$3)</f>
        <v>0</v>
      </c>
      <c r="BM54" s="7">
        <f t="shared" si="19"/>
        <v>0</v>
      </c>
      <c r="BN54" s="7">
        <f>SUMIFS('Tong_hop_HQNV_2026Q1_2026-06-23'!$L:$L,'Tong_hop_HQNV_2026Q1_2026-06-23'!$B:$B, "="&amp;'CHECK_DT-BT_chi_tiet'!A54, 'Tong_hop_HQNV_2026Q1_2026-06-23'!$A:$A, "="&amp;$BN$2)</f>
        <v>0</v>
      </c>
      <c r="BO54" s="29">
        <f>SUMIFS('HQ2'!$J:$J,'HQ2'!$A:$A, "="&amp;'CHECK_DT-BT_chi_tiet'!C54,'HQ2'!$B:$B,"="&amp;'CHECK_DT-BT_chi_tiet'!$BN$3)</f>
        <v>0</v>
      </c>
      <c r="BP54" s="7">
        <f t="shared" si="20"/>
        <v>0</v>
      </c>
      <c r="BQ54" s="7">
        <f>SUMIFS('Tong_hop_HQNV_2026Q1_2026-06-23'!$L:$L,'Tong_hop_HQNV_2026Q1_2026-06-23'!$B:$B, "="&amp;'CHECK_DT-BT_chi_tiet'!A54, 'Tong_hop_HQNV_2026Q1_2026-06-23'!$A:$A, "="&amp;$BQ$2)</f>
        <v>0</v>
      </c>
      <c r="BR54" s="29">
        <f>SUMIFS('HQ2'!$J:$J,'HQ2'!$A:$A, "="&amp;'CHECK_DT-BT_chi_tiet'!C54,'HQ2'!$B:$B,"="&amp;'CHECK_DT-BT_chi_tiet'!$BQ$3)</f>
        <v>0</v>
      </c>
      <c r="BS54" s="7">
        <f t="shared" si="21"/>
        <v>0</v>
      </c>
      <c r="BT54" s="7">
        <f>SUMIFS('Tong_hop_HQNV_2026Q1_2026-06-23'!$L:$L,'Tong_hop_HQNV_2026Q1_2026-06-23'!$B:$B, "="&amp;'CHECK_DT-BT_chi_tiet'!A54, 'Tong_hop_HQNV_2026Q1_2026-06-23'!$A:$A, "="&amp;$BT$2)</f>
        <v>0</v>
      </c>
      <c r="BU54" s="7">
        <f>SUMIFS('Tong_hop_HQNV_2026Q1_2026-06-23'!$L:$L,'Tong_hop_HQNV_2026Q1_2026-06-23'!$B:$B, "="&amp;'CHECK_DT-BT_chi_tiet'!A54, 'Tong_hop_HQNV_2026Q1_2026-06-23'!$A:$A, "="&amp;$BU$2)</f>
        <v>0</v>
      </c>
    </row>
    <row r="55" spans="1:73" x14ac:dyDescent="0.25">
      <c r="A55" s="9" t="s">
        <v>335</v>
      </c>
      <c r="B55" t="s">
        <v>193</v>
      </c>
      <c r="C55" t="s">
        <v>89</v>
      </c>
      <c r="D55" s="7">
        <f>SUMIFS('Tong_hop_HQNV_2026Q1_2026-06-23'!$K:$K,'Tong_hop_HQNV_2026Q1_2026-06-23'!$A:$A,"="&amp;'CHECK_DT-BT_chi_tiet'!$D$2,'Tong_hop_HQNV_2026Q1_2026-06-23'!$B:$B, "="&amp;'CHECK_DT-BT_chi_tiet'!A55)</f>
        <v>4731867550</v>
      </c>
      <c r="E55" s="7">
        <f>SUMIFS('HQ1'!$C:$C,'HQ1'!$A:$A, "="&amp;'CHECK_DT-BT_chi_tiet'!C55,'HQ1'!$B:$B, "="&amp;'CHECK_DT-BT_chi_tiet'!$D$3)</f>
        <v>4731867550</v>
      </c>
      <c r="F55" s="7">
        <f t="shared" si="0"/>
        <v>0</v>
      </c>
      <c r="G55" s="7">
        <f>SUMIFS('Tong_hop_HQNV_2026Q1_2026-06-23'!$K:$K,'Tong_hop_HQNV_2026Q1_2026-06-23'!$A:$A,"="&amp;'CHECK_DT-BT_chi_tiet'!$G$2,'Tong_hop_HQNV_2026Q1_2026-06-23'!$B:$B, "="&amp;'CHECK_DT-BT_chi_tiet'!A55)</f>
        <v>24546750</v>
      </c>
      <c r="H55" s="7">
        <f>SUMIFS('HQ1'!$C:$C,'HQ1'!$A:$A, "="&amp;'CHECK_DT-BT_chi_tiet'!C55,'HQ1'!$B:$B, "="&amp;'CHECK_DT-BT_chi_tiet'!$G$3)</f>
        <v>24546750</v>
      </c>
      <c r="I55" s="7">
        <f t="shared" si="1"/>
        <v>0</v>
      </c>
      <c r="J55" s="7">
        <f>SUMIFS('Tong_hop_HQNV_2026Q1_2026-06-23'!$K:$K,'Tong_hop_HQNV_2026Q1_2026-06-23'!$A:$A,"="&amp;'CHECK_DT-BT_chi_tiet'!$J$2,'Tong_hop_HQNV_2026Q1_2026-06-23'!$B:$B, "="&amp;'CHECK_DT-BT_chi_tiet'!A55)</f>
        <v>1568363472</v>
      </c>
      <c r="K55" s="7">
        <f>SUMIFS('HQ1'!$C:$C,'HQ1'!$A:$A, "="&amp;'CHECK_DT-BT_chi_tiet'!C55,'HQ1'!$B:$B, "="&amp;'CHECK_DT-BT_chi_tiet'!$J$3)</f>
        <v>1568363472</v>
      </c>
      <c r="L55" s="7">
        <f t="shared" si="2"/>
        <v>0</v>
      </c>
      <c r="M55" s="7">
        <f>SUMIFS('Tong_hop_HQNV_2026Q1_2026-06-23'!$K:$K,'Tong_hop_HQNV_2026Q1_2026-06-23'!$A:$A,"="&amp;'CHECK_DT-BT_chi_tiet'!$M$2,'Tong_hop_HQNV_2026Q1_2026-06-23'!$B:$B, "="&amp;'CHECK_DT-BT_chi_tiet'!A55)</f>
        <v>294285675</v>
      </c>
      <c r="N55" s="7">
        <f>SUMIFS('HQ1'!$C:$C,'HQ1'!$A:$A, "="&amp;'CHECK_DT-BT_chi_tiet'!C55,'HQ1'!$B:$B, "="&amp;'CHECK_DT-BT_chi_tiet'!$M$3)</f>
        <v>294285675</v>
      </c>
      <c r="O55" s="7">
        <f t="shared" si="3"/>
        <v>0</v>
      </c>
      <c r="P55" s="7">
        <f>SUMIFS('Tong_hop_HQNV_2026Q1_2026-06-23'!$K:$K,'Tong_hop_HQNV_2026Q1_2026-06-23'!$A:$A,"="&amp;$P$2,'Tong_hop_HQNV_2026Q1_2026-06-23'!$B:$B, "="&amp;'CHECK_DT-BT_chi_tiet'!A55)</f>
        <v>0</v>
      </c>
      <c r="Q55" s="7">
        <f>SUMIFS('HQ2'!$C:$C,'HQ2'!$A:$A, "="&amp;'CHECK_DT-BT_chi_tiet'!C55,'HQ2'!$B:$B, "="&amp;'CHECK_DT-BT_chi_tiet'!$P$3)</f>
        <v>0</v>
      </c>
      <c r="R55" s="7">
        <f t="shared" si="4"/>
        <v>0</v>
      </c>
      <c r="S55" s="7">
        <f>SUMIFS('Tong_hop_HQNV_2026Q1_2026-06-23'!$K:$K,'Tong_hop_HQNV_2026Q1_2026-06-23'!$A:$A,"="&amp;$S$2,'Tong_hop_HQNV_2026Q1_2026-06-23'!$B:$B, "="&amp;'CHECK_DT-BT_chi_tiet'!A55)</f>
        <v>0</v>
      </c>
      <c r="T55" s="7">
        <f>SUMIFS('HQ2'!$C:$C,'HQ2'!$A:$A, "="&amp;'CHECK_DT-BT_chi_tiet'!C55,'HQ2'!$B:$B, "="&amp;'CHECK_DT-BT_chi_tiet'!$S$3)</f>
        <v>0</v>
      </c>
      <c r="U55" s="7">
        <f t="shared" si="5"/>
        <v>0</v>
      </c>
      <c r="V55" s="7">
        <f>SUMIFS('Tong_hop_HQNV_2026Q1_2026-06-23'!$K:$K,'Tong_hop_HQNV_2026Q1_2026-06-23'!$A:$A,"="&amp;$V$2,'Tong_hop_HQNV_2026Q1_2026-06-23'!$B:$B, "="&amp;'CHECK_DT-BT_chi_tiet'!A55)</f>
        <v>0</v>
      </c>
      <c r="W55" s="7">
        <f>SUMIFS('HQ2'!$C:$C,'HQ2'!$A:$A, "="&amp;'CHECK_DT-BT_chi_tiet'!C55,'HQ2'!$B:$B, "="&amp;'CHECK_DT-BT_chi_tiet'!$V$3)</f>
        <v>0</v>
      </c>
      <c r="X55" s="7">
        <f t="shared" si="6"/>
        <v>0</v>
      </c>
      <c r="Y55" s="7">
        <f>SUMIFS('Tong_hop_HQNV_2026Q1_2026-06-23'!$K:$K,'Tong_hop_HQNV_2026Q1_2026-06-23'!$A:$A,"="&amp;$Y$2,'Tong_hop_HQNV_2026Q1_2026-06-23'!$B:$B, "="&amp;'CHECK_DT-BT_chi_tiet'!A55)</f>
        <v>2143568745</v>
      </c>
      <c r="Z55" s="7">
        <f>SUMIFS('HQ2'!$C:$C,'HQ2'!$A:$A, "="&amp;'CHECK_DT-BT_chi_tiet'!C55,'HQ2'!$B:$B, "="&amp;'CHECK_DT-BT_chi_tiet'!$Y$3)</f>
        <v>2143568745</v>
      </c>
      <c r="AA55" s="7">
        <f t="shared" si="7"/>
        <v>0</v>
      </c>
      <c r="AB55" s="7">
        <f>SUMIFS('Tong_hop_HQNV_2026Q1_2026-06-23'!$K:$K,'Tong_hop_HQNV_2026Q1_2026-06-23'!$A:$A,"="&amp;$AB$2,'Tong_hop_HQNV_2026Q1_2026-06-23'!$B:$B, "="&amp;'CHECK_DT-BT_chi_tiet'!A55)</f>
        <v>244464091</v>
      </c>
      <c r="AC55" s="7">
        <f>SUMIFS('HQ2'!$C:$C,'HQ2'!$A:$A, "="&amp;'CHECK_DT-BT_chi_tiet'!C55,'HQ2'!$B:$B, "="&amp;'CHECK_DT-BT_chi_tiet'!$AB$3)</f>
        <v>244464091</v>
      </c>
      <c r="AD55" s="7">
        <f t="shared" si="8"/>
        <v>0</v>
      </c>
      <c r="AE55" s="7">
        <f>SUMIFS('Tong_hop_HQNV_2026Q1_2026-06-23'!$K:$K,'Tong_hop_HQNV_2026Q1_2026-06-23'!$A:$A,"="&amp;$AE$2,'Tong_hop_HQNV_2026Q1_2026-06-23'!$B:$B, "="&amp;'CHECK_DT-BT_chi_tiet'!A55)</f>
        <v>94724750</v>
      </c>
      <c r="AF55" s="7">
        <f>SUMIFS('HQ2'!$C:$C,'HQ2'!$A:$A, "="&amp;'CHECK_DT-BT_chi_tiet'!C55,'HQ2'!$B:$B, "="&amp;'CHECK_DT-BT_chi_tiet'!$AE$3)</f>
        <v>94724750</v>
      </c>
      <c r="AG55" s="7">
        <f t="shared" si="9"/>
        <v>0</v>
      </c>
      <c r="AH55" s="7">
        <f>SUMIFS('Tong_hop_HQNV_2026Q1_2026-06-23'!$K:$K,'Tong_hop_HQNV_2026Q1_2026-06-23'!$A:$A,"="&amp;$AH$2,'Tong_hop_HQNV_2026Q1_2026-06-23'!$B:$B, "="&amp;'CHECK_DT-BT_chi_tiet'!A55)</f>
        <v>0</v>
      </c>
      <c r="AI55" s="7">
        <f>SUMIFS('HQ2'!$C:$C,'HQ2'!$A:$A, "="&amp;'CHECK_DT-BT_chi_tiet'!C55,'HQ2'!$B:$B, "="&amp;'CHECK_DT-BT_chi_tiet'!$AH$3)</f>
        <v>0</v>
      </c>
      <c r="AJ55" s="7">
        <f t="shared" si="10"/>
        <v>0</v>
      </c>
      <c r="AK55" s="7">
        <f>SUMIFS('Tong_hop_HQNV_2026Q1_2026-06-23'!$K:$K,'Tong_hop_HQNV_2026Q1_2026-06-23'!$A:$A,"="&amp;$AK$2,'Tong_hop_HQNV_2026Q1_2026-06-23'!$B:$B, "="&amp;'CHECK_DT-BT_chi_tiet'!A55)</f>
        <v>0</v>
      </c>
      <c r="AL55" s="7">
        <f>SUMIFS('Tong_hop_HQNV_2026Q1_2026-06-23'!$K:$K,'Tong_hop_HQNV_2026Q1_2026-06-23'!$A:$A,"="&amp;$AL$2,'Tong_hop_HQNV_2026Q1_2026-06-23'!$B:$B, "="&amp;'CHECK_DT-BT_chi_tiet'!A55)</f>
        <v>0</v>
      </c>
      <c r="AM55" s="23">
        <f>SUMIFS('Tong_hop_HQNV_2026Q1_2026-06-23'!$L:$L,'Tong_hop_HQNV_2026Q1_2026-06-23'!$B:$B, "="&amp;'CHECK_DT-BT_chi_tiet'!A55, 'Tong_hop_HQNV_2026Q1_2026-06-23'!$A:$A, "="&amp;'CHECK_DT-BT_chi_tiet'!$AM$2)</f>
        <v>2464704115</v>
      </c>
      <c r="AN55" s="29">
        <f>SUMIFS('HQ1'!$D:$D,'HQ1'!$A:$A, "="&amp;'CHECK_DT-BT_chi_tiet'!C55,'HQ1'!$B:$B,"="&amp;'CHECK_DT-BT_chi_tiet'!$AM$3)</f>
        <v>2464704115</v>
      </c>
      <c r="AO55" s="29">
        <f t="shared" si="11"/>
        <v>0</v>
      </c>
      <c r="AP55" s="7">
        <f>SUMIFS('Tong_hop_HQNV_2026Q1_2026-06-23'!$L:$L,'Tong_hop_HQNV_2026Q1_2026-06-23'!$B:$B, "="&amp;'CHECK_DT-BT_chi_tiet'!A55, 'Tong_hop_HQNV_2026Q1_2026-06-23'!$A:$A, "="&amp;'CHECK_DT-BT_chi_tiet'!$AP$2)</f>
        <v>0</v>
      </c>
      <c r="AQ55" s="29">
        <f>SUMIFS('HQ1'!$D:$D,'HQ1'!$A:$A, "="&amp;'CHECK_DT-BT_chi_tiet'!C55,'HQ1'!$B:$B,"="&amp;'CHECK_DT-BT_chi_tiet'!$AP$3)</f>
        <v>0</v>
      </c>
      <c r="AR55" s="7">
        <f t="shared" si="12"/>
        <v>0</v>
      </c>
      <c r="AS55" s="7">
        <f>SUMIFS('Tong_hop_HQNV_2026Q1_2026-06-23'!$L:$L,'Tong_hop_HQNV_2026Q1_2026-06-23'!$B:$B, "="&amp;'CHECK_DT-BT_chi_tiet'!A55, 'Tong_hop_HQNV_2026Q1_2026-06-23'!$A:$A, "="&amp;'CHECK_DT-BT_chi_tiet'!$AS$2)</f>
        <v>723443730</v>
      </c>
      <c r="AT55" s="29">
        <f>SUMIFS('HQ1'!$D:$D,'HQ1'!$A:$A, "="&amp;'CHECK_DT-BT_chi_tiet'!C55,'HQ1'!$B:$B,"="&amp;'CHECK_DT-BT_chi_tiet'!$AS$3)</f>
        <v>723443730</v>
      </c>
      <c r="AU55" s="7">
        <f t="shared" si="13"/>
        <v>0</v>
      </c>
      <c r="AV55" s="7">
        <f>SUMIFS('Tong_hop_HQNV_2026Q1_2026-06-23'!$L:$L,'Tong_hop_HQNV_2026Q1_2026-06-23'!$B:$B, "="&amp;'CHECK_DT-BT_chi_tiet'!A55, 'Tong_hop_HQNV_2026Q1_2026-06-23'!$A:$A, "="&amp;'CHECK_DT-BT_chi_tiet'!$AV$2)</f>
        <v>226196349</v>
      </c>
      <c r="AW55" s="29">
        <f>SUMIFS('HQ1'!$D:$D,'HQ1'!$A:$A, "="&amp;'CHECK_DT-BT_chi_tiet'!C55,'HQ1'!$B:$B,"="&amp;'CHECK_DT-BT_chi_tiet'!$AV$3)</f>
        <v>226196349</v>
      </c>
      <c r="AX55" s="7">
        <f t="shared" si="14"/>
        <v>0</v>
      </c>
      <c r="AY55" s="7">
        <f>SUMIFS('Tong_hop_HQNV_2026Q1_2026-06-23'!$L:$L,'Tong_hop_HQNV_2026Q1_2026-06-23'!$B:$B, "="&amp;'CHECK_DT-BT_chi_tiet'!A55, 'Tong_hop_HQNV_2026Q1_2026-06-23'!$A:$A, "="&amp;$AY$2)</f>
        <v>0</v>
      </c>
      <c r="AZ55" s="29">
        <f>SUMIFS('HQ2'!$J:$J,'HQ2'!$A:$A, "="&amp;'CHECK_DT-BT_chi_tiet'!C55,'HQ2'!$B:$B,"="&amp;'CHECK_DT-BT_chi_tiet'!$AY$3)</f>
        <v>0</v>
      </c>
      <c r="BA55" s="7">
        <f t="shared" si="15"/>
        <v>0</v>
      </c>
      <c r="BB55" s="7">
        <f>SUMIFS('Tong_hop_HQNV_2026Q1_2026-06-23'!$L:$L,'Tong_hop_HQNV_2026Q1_2026-06-23'!$B:$B, "="&amp;'CHECK_DT-BT_chi_tiet'!A55, 'Tong_hop_HQNV_2026Q1_2026-06-23'!$A:$A, "="&amp;$BB$2)</f>
        <v>0</v>
      </c>
      <c r="BC55" s="29">
        <f>SUMIFS('HQ2'!$J:$J,'HQ2'!$A:$A, "="&amp;'CHECK_DT-BT_chi_tiet'!C55,'HQ2'!$B:$B,"="&amp;'CHECK_DT-BT_chi_tiet'!$BB$3)</f>
        <v>0</v>
      </c>
      <c r="BD55" s="7">
        <f t="shared" si="16"/>
        <v>0</v>
      </c>
      <c r="BE55" s="7">
        <f>SUMIFS('Tong_hop_HQNV_2026Q1_2026-06-23'!$L:$L,'Tong_hop_HQNV_2026Q1_2026-06-23'!$B:$B, "="&amp;'CHECK_DT-BT_chi_tiet'!A55, 'Tong_hop_HQNV_2026Q1_2026-06-23'!$A:$A, "="&amp;$BE$2)</f>
        <v>0</v>
      </c>
      <c r="BF55" s="29">
        <f>SUMIFS('HQ2'!$J:$J,'HQ2'!$A:$A, "="&amp;'CHECK_DT-BT_chi_tiet'!C55,'HQ2'!$B:$B,"="&amp;'CHECK_DT-BT_chi_tiet'!$BE$3)</f>
        <v>0</v>
      </c>
      <c r="BG55" s="7">
        <f t="shared" si="17"/>
        <v>0</v>
      </c>
      <c r="BH55" s="7">
        <f>SUMIFS('Tong_hop_HQNV_2026Q1_2026-06-23'!$L:$L,'Tong_hop_HQNV_2026Q1_2026-06-23'!$B:$B, "="&amp;'CHECK_DT-BT_chi_tiet'!A55, 'Tong_hop_HQNV_2026Q1_2026-06-23'!$A:$A, "="&amp;$BH$2)</f>
        <v>934421786</v>
      </c>
      <c r="BI55" s="29">
        <f>SUMIFS('HQ2'!$J:$J,'HQ2'!$A:$A, "="&amp;'CHECK_DT-BT_chi_tiet'!C55,'HQ2'!$B:$B,"="&amp;'CHECK_DT-BT_chi_tiet'!$BH$3)</f>
        <v>934421786</v>
      </c>
      <c r="BJ55" s="7">
        <f t="shared" si="18"/>
        <v>0</v>
      </c>
      <c r="BK55" s="7">
        <f>SUMIFS('Tong_hop_HQNV_2026Q1_2026-06-23'!$L:$L,'Tong_hop_HQNV_2026Q1_2026-06-23'!$B:$B, "="&amp;'CHECK_DT-BT_chi_tiet'!A55, 'Tong_hop_HQNV_2026Q1_2026-06-23'!$A:$A, "="&amp;$BK$2)</f>
        <v>49620000</v>
      </c>
      <c r="BL55" s="29">
        <f>SUMIFS('HQ2'!$J:$J,'HQ2'!$A:$A, "="&amp;'CHECK_DT-BT_chi_tiet'!C55,'HQ2'!$B:$B,"="&amp;'CHECK_DT-BT_chi_tiet'!$BK$3)</f>
        <v>49620000</v>
      </c>
      <c r="BM55" s="7">
        <f t="shared" si="19"/>
        <v>0</v>
      </c>
      <c r="BN55" s="7">
        <f>SUMIFS('Tong_hop_HQNV_2026Q1_2026-06-23'!$L:$L,'Tong_hop_HQNV_2026Q1_2026-06-23'!$B:$B, "="&amp;'CHECK_DT-BT_chi_tiet'!A55, 'Tong_hop_HQNV_2026Q1_2026-06-23'!$A:$A, "="&amp;$BN$2)</f>
        <v>0</v>
      </c>
      <c r="BO55" s="29">
        <f>SUMIFS('HQ2'!$J:$J,'HQ2'!$A:$A, "="&amp;'CHECK_DT-BT_chi_tiet'!C55,'HQ2'!$B:$B,"="&amp;'CHECK_DT-BT_chi_tiet'!$BN$3)</f>
        <v>0</v>
      </c>
      <c r="BP55" s="7">
        <f t="shared" si="20"/>
        <v>0</v>
      </c>
      <c r="BQ55" s="7">
        <f>SUMIFS('Tong_hop_HQNV_2026Q1_2026-06-23'!$L:$L,'Tong_hop_HQNV_2026Q1_2026-06-23'!$B:$B, "="&amp;'CHECK_DT-BT_chi_tiet'!A55, 'Tong_hop_HQNV_2026Q1_2026-06-23'!$A:$A, "="&amp;$BQ$2)</f>
        <v>0</v>
      </c>
      <c r="BR55" s="29">
        <f>SUMIFS('HQ2'!$J:$J,'HQ2'!$A:$A, "="&amp;'CHECK_DT-BT_chi_tiet'!C55,'HQ2'!$B:$B,"="&amp;'CHECK_DT-BT_chi_tiet'!$BQ$3)</f>
        <v>0</v>
      </c>
      <c r="BS55" s="7">
        <f t="shared" si="21"/>
        <v>0</v>
      </c>
      <c r="BT55" s="7">
        <f>SUMIFS('Tong_hop_HQNV_2026Q1_2026-06-23'!$L:$L,'Tong_hop_HQNV_2026Q1_2026-06-23'!$B:$B, "="&amp;'CHECK_DT-BT_chi_tiet'!A55, 'Tong_hop_HQNV_2026Q1_2026-06-23'!$A:$A, "="&amp;$BT$2)</f>
        <v>0</v>
      </c>
      <c r="BU55" s="7">
        <f>SUMIFS('Tong_hop_HQNV_2026Q1_2026-06-23'!$L:$L,'Tong_hop_HQNV_2026Q1_2026-06-23'!$B:$B, "="&amp;'CHECK_DT-BT_chi_tiet'!A55, 'Tong_hop_HQNV_2026Q1_2026-06-23'!$A:$A, "="&amp;$BU$2)</f>
        <v>0</v>
      </c>
    </row>
    <row r="56" spans="1:73" s="30" customFormat="1" x14ac:dyDescent="0.25">
      <c r="A56" s="36" t="s">
        <v>336</v>
      </c>
      <c r="B56" s="30" t="s">
        <v>194</v>
      </c>
      <c r="C56" s="30" t="s">
        <v>63</v>
      </c>
      <c r="D56" s="26">
        <f>SUMIFS('Tong_hop_HQNV_2026Q1_2026-06-23'!$K:$K,'Tong_hop_HQNV_2026Q1_2026-06-23'!$A:$A,"="&amp;'CHECK_DT-BT_chi_tiet'!$D$2,'Tong_hop_HQNV_2026Q1_2026-06-23'!$B:$B, "="&amp;'CHECK_DT-BT_chi_tiet'!A56)</f>
        <v>362034463</v>
      </c>
      <c r="E56" s="26">
        <f>SUMIFS('HQ1'!$C:$C,'HQ1'!$A:$A, "="&amp;'CHECK_DT-BT_chi_tiet'!C56,'HQ1'!$B:$B, "="&amp;'CHECK_DT-BT_chi_tiet'!$D$3)</f>
        <v>362034463</v>
      </c>
      <c r="F56" s="26">
        <f t="shared" si="0"/>
        <v>0</v>
      </c>
      <c r="G56" s="26">
        <f>SUMIFS('Tong_hop_HQNV_2026Q1_2026-06-23'!$K:$K,'Tong_hop_HQNV_2026Q1_2026-06-23'!$A:$A,"="&amp;'CHECK_DT-BT_chi_tiet'!$G$2,'Tong_hop_HQNV_2026Q1_2026-06-23'!$B:$B, "="&amp;'CHECK_DT-BT_chi_tiet'!A56)</f>
        <v>228607220</v>
      </c>
      <c r="H56" s="26">
        <f>SUMIFS('HQ1'!$C:$C,'HQ1'!$A:$A, "="&amp;'CHECK_DT-BT_chi_tiet'!C56,'HQ1'!$B:$B, "="&amp;'CHECK_DT-BT_chi_tiet'!$G$3)</f>
        <v>228607220</v>
      </c>
      <c r="I56" s="26">
        <f t="shared" si="1"/>
        <v>0</v>
      </c>
      <c r="J56" s="26">
        <f>SUMIFS('Tong_hop_HQNV_2026Q1_2026-06-23'!$K:$K,'Tong_hop_HQNV_2026Q1_2026-06-23'!$A:$A,"="&amp;'CHECK_DT-BT_chi_tiet'!$J$2,'Tong_hop_HQNV_2026Q1_2026-06-23'!$B:$B, "="&amp;'CHECK_DT-BT_chi_tiet'!A56)</f>
        <v>18833822420</v>
      </c>
      <c r="K56" s="26">
        <f>SUMIFS('HQ1'!$C:$C,'HQ1'!$A:$A, "="&amp;'CHECK_DT-BT_chi_tiet'!C56,'HQ1'!$B:$B, "="&amp;'CHECK_DT-BT_chi_tiet'!$J$3)</f>
        <v>18833822420</v>
      </c>
      <c r="L56" s="26">
        <f t="shared" si="2"/>
        <v>0</v>
      </c>
      <c r="M56" s="26">
        <f>SUMIFS('Tong_hop_HQNV_2026Q1_2026-06-23'!$K:$K,'Tong_hop_HQNV_2026Q1_2026-06-23'!$A:$A,"="&amp;'CHECK_DT-BT_chi_tiet'!$M$2,'Tong_hop_HQNV_2026Q1_2026-06-23'!$B:$B, "="&amp;'CHECK_DT-BT_chi_tiet'!A56)</f>
        <v>10338982349</v>
      </c>
      <c r="N56" s="26">
        <f>SUMIFS('HQ1'!$C:$C,'HQ1'!$A:$A, "="&amp;'CHECK_DT-BT_chi_tiet'!C56,'HQ1'!$B:$B, "="&amp;'CHECK_DT-BT_chi_tiet'!$M$3)</f>
        <v>10338982349</v>
      </c>
      <c r="O56" s="26">
        <f t="shared" si="3"/>
        <v>0</v>
      </c>
      <c r="P56" s="26">
        <f>SUMIFS('Tong_hop_HQNV_2026Q1_2026-06-23'!$K:$K,'Tong_hop_HQNV_2026Q1_2026-06-23'!$A:$A,"="&amp;$P$2,'Tong_hop_HQNV_2026Q1_2026-06-23'!$B:$B, "="&amp;'CHECK_DT-BT_chi_tiet'!A56)</f>
        <v>580632035</v>
      </c>
      <c r="Q56" s="26">
        <f>SUMIFS('HQ2'!$C:$C,'HQ2'!$A:$A, "="&amp;'CHECK_DT-BT_chi_tiet'!C56,'HQ2'!$B:$B, "="&amp;'CHECK_DT-BT_chi_tiet'!$P$3)</f>
        <v>580632035</v>
      </c>
      <c r="R56" s="26">
        <f t="shared" si="4"/>
        <v>0</v>
      </c>
      <c r="S56" s="26">
        <f>SUMIFS('Tong_hop_HQNV_2026Q1_2026-06-23'!$K:$K,'Tong_hop_HQNV_2026Q1_2026-06-23'!$A:$A,"="&amp;$S$2,'Tong_hop_HQNV_2026Q1_2026-06-23'!$B:$B, "="&amp;'CHECK_DT-BT_chi_tiet'!A56)</f>
        <v>1734330675</v>
      </c>
      <c r="T56" s="26">
        <f>SUMIFS('HQ2'!$C:$C,'HQ2'!$A:$A, "="&amp;'CHECK_DT-BT_chi_tiet'!C56,'HQ2'!$B:$B, "="&amp;'CHECK_DT-BT_chi_tiet'!$S$3)</f>
        <v>9741022077</v>
      </c>
      <c r="U56" s="26">
        <f t="shared" si="5"/>
        <v>-8006691402</v>
      </c>
      <c r="V56" s="26">
        <f>SUMIFS('Tong_hop_HQNV_2026Q1_2026-06-23'!$K:$K,'Tong_hop_HQNV_2026Q1_2026-06-23'!$A:$A,"="&amp;$V$2,'Tong_hop_HQNV_2026Q1_2026-06-23'!$B:$B, "="&amp;'CHECK_DT-BT_chi_tiet'!A56)</f>
        <v>449914270</v>
      </c>
      <c r="W56" s="26">
        <f>SUMIFS('HQ2'!$C:$C,'HQ2'!$A:$A, "="&amp;'CHECK_DT-BT_chi_tiet'!C56,'HQ2'!$B:$B, "="&amp;'CHECK_DT-BT_chi_tiet'!$V$3)</f>
        <v>758627770</v>
      </c>
      <c r="X56" s="26">
        <f t="shared" si="6"/>
        <v>-308713500</v>
      </c>
      <c r="Y56" s="26">
        <f>SUMIFS('Tong_hop_HQNV_2026Q1_2026-06-23'!$K:$K,'Tong_hop_HQNV_2026Q1_2026-06-23'!$A:$A,"="&amp;$Y$2,'Tong_hop_HQNV_2026Q1_2026-06-23'!$B:$B, "="&amp;'CHECK_DT-BT_chi_tiet'!A56)</f>
        <v>24317500</v>
      </c>
      <c r="Z56" s="26">
        <f>SUMIFS('HQ2'!$C:$C,'HQ2'!$A:$A, "="&amp;'CHECK_DT-BT_chi_tiet'!C56,'HQ2'!$B:$B, "="&amp;'CHECK_DT-BT_chi_tiet'!$Y$3)</f>
        <v>106930500</v>
      </c>
      <c r="AA56" s="26">
        <f t="shared" si="7"/>
        <v>-82613000</v>
      </c>
      <c r="AB56" s="26">
        <f>SUMIFS('Tong_hop_HQNV_2026Q1_2026-06-23'!$K:$K,'Tong_hop_HQNV_2026Q1_2026-06-23'!$A:$A,"="&amp;$AB$2,'Tong_hop_HQNV_2026Q1_2026-06-23'!$B:$B, "="&amp;'CHECK_DT-BT_chi_tiet'!A56)</f>
        <v>4623876279</v>
      </c>
      <c r="AC56" s="26">
        <f>SUMIFS('HQ2'!$C:$C,'HQ2'!$A:$A, "="&amp;'CHECK_DT-BT_chi_tiet'!C56,'HQ2'!$B:$B, "="&amp;'CHECK_DT-BT_chi_tiet'!$AB$3)</f>
        <v>4623876279</v>
      </c>
      <c r="AD56" s="26">
        <f t="shared" si="8"/>
        <v>0</v>
      </c>
      <c r="AE56" s="26">
        <f>SUMIFS('Tong_hop_HQNV_2026Q1_2026-06-23'!$K:$K,'Tong_hop_HQNV_2026Q1_2026-06-23'!$A:$A,"="&amp;$AE$2,'Tong_hop_HQNV_2026Q1_2026-06-23'!$B:$B, "="&amp;'CHECK_DT-BT_chi_tiet'!A56)</f>
        <v>103729215</v>
      </c>
      <c r="AF56" s="26">
        <f>SUMIFS('HQ2'!$C:$C,'HQ2'!$A:$A, "="&amp;'CHECK_DT-BT_chi_tiet'!C56,'HQ2'!$B:$B, "="&amp;'CHECK_DT-BT_chi_tiet'!$AE$3)</f>
        <v>103729215</v>
      </c>
      <c r="AG56" s="26">
        <f t="shared" si="9"/>
        <v>0</v>
      </c>
      <c r="AH56" s="26">
        <f>SUMIFS('Tong_hop_HQNV_2026Q1_2026-06-23'!$K:$K,'Tong_hop_HQNV_2026Q1_2026-06-23'!$A:$A,"="&amp;$AH$2,'Tong_hop_HQNV_2026Q1_2026-06-23'!$B:$B, "="&amp;'CHECK_DT-BT_chi_tiet'!A56)</f>
        <v>262452129</v>
      </c>
      <c r="AI56" s="26">
        <f>SUMIFS('HQ2'!$C:$C,'HQ2'!$A:$A, "="&amp;'CHECK_DT-BT_chi_tiet'!C56,'HQ2'!$B:$B, "="&amp;'CHECK_DT-BT_chi_tiet'!$AH$3)</f>
        <v>262452129</v>
      </c>
      <c r="AJ56" s="26">
        <f t="shared" si="10"/>
        <v>0</v>
      </c>
      <c r="AK56" s="26">
        <f>SUMIFS('Tong_hop_HQNV_2026Q1_2026-06-23'!$K:$K,'Tong_hop_HQNV_2026Q1_2026-06-23'!$A:$A,"="&amp;$AK$2,'Tong_hop_HQNV_2026Q1_2026-06-23'!$B:$B, "="&amp;'CHECK_DT-BT_chi_tiet'!A56)</f>
        <v>0</v>
      </c>
      <c r="AL56" s="26">
        <f>SUMIFS('Tong_hop_HQNV_2026Q1_2026-06-23'!$K:$K,'Tong_hop_HQNV_2026Q1_2026-06-23'!$A:$A,"="&amp;$AL$2,'Tong_hop_HQNV_2026Q1_2026-06-23'!$B:$B, "="&amp;'CHECK_DT-BT_chi_tiet'!A56)</f>
        <v>0</v>
      </c>
      <c r="AM56" s="31">
        <f>SUMIFS('Tong_hop_HQNV_2026Q1_2026-06-23'!$L:$L,'Tong_hop_HQNV_2026Q1_2026-06-23'!$B:$B, "="&amp;'CHECK_DT-BT_chi_tiet'!A56, 'Tong_hop_HQNV_2026Q1_2026-06-23'!$A:$A, "="&amp;'CHECK_DT-BT_chi_tiet'!$AM$2)</f>
        <v>57807460</v>
      </c>
      <c r="AN56" s="33">
        <f>SUMIFS('HQ1'!$D:$D,'HQ1'!$A:$A, "="&amp;'CHECK_DT-BT_chi_tiet'!C56,'HQ1'!$B:$B,"="&amp;'CHECK_DT-BT_chi_tiet'!$AM$3)</f>
        <v>57807460</v>
      </c>
      <c r="AO56" s="33">
        <f t="shared" si="11"/>
        <v>0</v>
      </c>
      <c r="AP56" s="26">
        <f>SUMIFS('Tong_hop_HQNV_2026Q1_2026-06-23'!$L:$L,'Tong_hop_HQNV_2026Q1_2026-06-23'!$B:$B, "="&amp;'CHECK_DT-BT_chi_tiet'!A56, 'Tong_hop_HQNV_2026Q1_2026-06-23'!$A:$A, "="&amp;'CHECK_DT-BT_chi_tiet'!$AP$2)</f>
        <v>11482276</v>
      </c>
      <c r="AQ56" s="33">
        <f>SUMIFS('HQ1'!$D:$D,'HQ1'!$A:$A, "="&amp;'CHECK_DT-BT_chi_tiet'!C56,'HQ1'!$B:$B,"="&amp;'CHECK_DT-BT_chi_tiet'!$AP$3)</f>
        <v>11482276</v>
      </c>
      <c r="AR56" s="26">
        <f t="shared" si="12"/>
        <v>0</v>
      </c>
      <c r="AS56" s="26">
        <f>SUMIFS('Tong_hop_HQNV_2026Q1_2026-06-23'!$L:$L,'Tong_hop_HQNV_2026Q1_2026-06-23'!$B:$B, "="&amp;'CHECK_DT-BT_chi_tiet'!A56, 'Tong_hop_HQNV_2026Q1_2026-06-23'!$A:$A, "="&amp;'CHECK_DT-BT_chi_tiet'!$AS$2)</f>
        <v>9498565722</v>
      </c>
      <c r="AT56" s="33">
        <f>SUMIFS('HQ1'!$D:$D,'HQ1'!$A:$A, "="&amp;'CHECK_DT-BT_chi_tiet'!C56,'HQ1'!$B:$B,"="&amp;'CHECK_DT-BT_chi_tiet'!$AS$3)</f>
        <v>9498565722</v>
      </c>
      <c r="AU56" s="26">
        <f t="shared" si="13"/>
        <v>0</v>
      </c>
      <c r="AV56" s="26">
        <f>SUMIFS('Tong_hop_HQNV_2026Q1_2026-06-23'!$L:$L,'Tong_hop_HQNV_2026Q1_2026-06-23'!$B:$B, "="&amp;'CHECK_DT-BT_chi_tiet'!A56, 'Tong_hop_HQNV_2026Q1_2026-06-23'!$A:$A, "="&amp;'CHECK_DT-BT_chi_tiet'!$AV$2)</f>
        <v>3206374119</v>
      </c>
      <c r="AW56" s="33">
        <f>SUMIFS('HQ1'!$D:$D,'HQ1'!$A:$A, "="&amp;'CHECK_DT-BT_chi_tiet'!C56,'HQ1'!$B:$B,"="&amp;'CHECK_DT-BT_chi_tiet'!$AV$3)</f>
        <v>3206374119</v>
      </c>
      <c r="AX56" s="26">
        <f t="shared" si="14"/>
        <v>0</v>
      </c>
      <c r="AY56" s="26">
        <f>SUMIFS('Tong_hop_HQNV_2026Q1_2026-06-23'!$L:$L,'Tong_hop_HQNV_2026Q1_2026-06-23'!$B:$B, "="&amp;'CHECK_DT-BT_chi_tiet'!A56, 'Tong_hop_HQNV_2026Q1_2026-06-23'!$A:$A, "="&amp;$AY$2)</f>
        <v>0</v>
      </c>
      <c r="AZ56" s="33">
        <f>SUMIFS('HQ2'!$J:$J,'HQ2'!$A:$A, "="&amp;'CHECK_DT-BT_chi_tiet'!C56,'HQ2'!$B:$B,"="&amp;'CHECK_DT-BT_chi_tiet'!$AY$3)</f>
        <v>0</v>
      </c>
      <c r="BA56" s="26">
        <f t="shared" si="15"/>
        <v>0</v>
      </c>
      <c r="BB56" s="26">
        <f>SUMIFS('Tong_hop_HQNV_2026Q1_2026-06-23'!$L:$L,'Tong_hop_HQNV_2026Q1_2026-06-23'!$B:$B, "="&amp;'CHECK_DT-BT_chi_tiet'!A56, 'Tong_hop_HQNV_2026Q1_2026-06-23'!$A:$A, "="&amp;$BB$2)</f>
        <v>-49925662</v>
      </c>
      <c r="BC56" s="33">
        <f>SUMIFS('HQ2'!$J:$J,'HQ2'!$A:$A, "="&amp;'CHECK_DT-BT_chi_tiet'!C56,'HQ2'!$B:$B,"="&amp;'CHECK_DT-BT_chi_tiet'!$BB$3)</f>
        <v>-49925662</v>
      </c>
      <c r="BD56" s="26">
        <f t="shared" si="16"/>
        <v>0</v>
      </c>
      <c r="BE56" s="26">
        <f>SUMIFS('Tong_hop_HQNV_2026Q1_2026-06-23'!$L:$L,'Tong_hop_HQNV_2026Q1_2026-06-23'!$B:$B, "="&amp;'CHECK_DT-BT_chi_tiet'!A56, 'Tong_hop_HQNV_2026Q1_2026-06-23'!$A:$A, "="&amp;$BE$2)</f>
        <v>1294625422</v>
      </c>
      <c r="BF56" s="33">
        <f>SUMIFS('HQ2'!$J:$J,'HQ2'!$A:$A, "="&amp;'CHECK_DT-BT_chi_tiet'!C56,'HQ2'!$B:$B,"="&amp;'CHECK_DT-BT_chi_tiet'!$BE$3)</f>
        <v>1294625422</v>
      </c>
      <c r="BG56" s="26">
        <f t="shared" si="17"/>
        <v>0</v>
      </c>
      <c r="BH56" s="26">
        <f>SUMIFS('Tong_hop_HQNV_2026Q1_2026-06-23'!$L:$L,'Tong_hop_HQNV_2026Q1_2026-06-23'!$B:$B, "="&amp;'CHECK_DT-BT_chi_tiet'!A56, 'Tong_hop_HQNV_2026Q1_2026-06-23'!$A:$A, "="&amp;$BH$2)</f>
        <v>400000000</v>
      </c>
      <c r="BI56" s="33">
        <f>SUMIFS('HQ2'!$J:$J,'HQ2'!$A:$A, "="&amp;'CHECK_DT-BT_chi_tiet'!C56,'HQ2'!$B:$B,"="&amp;'CHECK_DT-BT_chi_tiet'!$BH$3)</f>
        <v>400000000</v>
      </c>
      <c r="BJ56" s="26">
        <f t="shared" si="18"/>
        <v>0</v>
      </c>
      <c r="BK56" s="26">
        <f>SUMIFS('Tong_hop_HQNV_2026Q1_2026-06-23'!$L:$L,'Tong_hop_HQNV_2026Q1_2026-06-23'!$B:$B, "="&amp;'CHECK_DT-BT_chi_tiet'!A56, 'Tong_hop_HQNV_2026Q1_2026-06-23'!$A:$A, "="&amp;$BK$2)</f>
        <v>1345352176</v>
      </c>
      <c r="BL56" s="33">
        <f>SUMIFS('HQ2'!$J:$J,'HQ2'!$A:$A, "="&amp;'CHECK_DT-BT_chi_tiet'!C56,'HQ2'!$B:$B,"="&amp;'CHECK_DT-BT_chi_tiet'!$BK$3)</f>
        <v>1345352176</v>
      </c>
      <c r="BM56" s="26">
        <f t="shared" si="19"/>
        <v>0</v>
      </c>
      <c r="BN56" s="26">
        <f>SUMIFS('Tong_hop_HQNV_2026Q1_2026-06-23'!$L:$L,'Tong_hop_HQNV_2026Q1_2026-06-23'!$B:$B, "="&amp;'CHECK_DT-BT_chi_tiet'!A56, 'Tong_hop_HQNV_2026Q1_2026-06-23'!$A:$A, "="&amp;$BN$2)</f>
        <v>430362190</v>
      </c>
      <c r="BO56" s="33">
        <f>SUMIFS('HQ2'!$J:$J,'HQ2'!$A:$A, "="&amp;'CHECK_DT-BT_chi_tiet'!C56,'HQ2'!$B:$B,"="&amp;'CHECK_DT-BT_chi_tiet'!$BN$3)</f>
        <v>430362190</v>
      </c>
      <c r="BP56" s="26">
        <f t="shared" si="20"/>
        <v>0</v>
      </c>
      <c r="BQ56" s="26">
        <f>SUMIFS('Tong_hop_HQNV_2026Q1_2026-06-23'!$L:$L,'Tong_hop_HQNV_2026Q1_2026-06-23'!$B:$B, "="&amp;'CHECK_DT-BT_chi_tiet'!A56, 'Tong_hop_HQNV_2026Q1_2026-06-23'!$A:$A, "="&amp;$BQ$2)</f>
        <v>0</v>
      </c>
      <c r="BR56" s="33">
        <f>SUMIFS('HQ2'!$J:$J,'HQ2'!$A:$A, "="&amp;'CHECK_DT-BT_chi_tiet'!C56,'HQ2'!$B:$B,"="&amp;'CHECK_DT-BT_chi_tiet'!$BQ$3)</f>
        <v>0</v>
      </c>
      <c r="BS56" s="26">
        <f t="shared" si="21"/>
        <v>0</v>
      </c>
      <c r="BT56" s="26">
        <f>SUMIFS('Tong_hop_HQNV_2026Q1_2026-06-23'!$L:$L,'Tong_hop_HQNV_2026Q1_2026-06-23'!$B:$B, "="&amp;'CHECK_DT-BT_chi_tiet'!A56, 'Tong_hop_HQNV_2026Q1_2026-06-23'!$A:$A, "="&amp;$BT$2)</f>
        <v>0</v>
      </c>
      <c r="BU56" s="26">
        <f>SUMIFS('Tong_hop_HQNV_2026Q1_2026-06-23'!$L:$L,'Tong_hop_HQNV_2026Q1_2026-06-23'!$B:$B, "="&amp;'CHECK_DT-BT_chi_tiet'!A56, 'Tong_hop_HQNV_2026Q1_2026-06-23'!$A:$A, "="&amp;$BU$2)</f>
        <v>0</v>
      </c>
    </row>
    <row r="57" spans="1:73" x14ac:dyDescent="0.25">
      <c r="A57" s="9" t="s">
        <v>337</v>
      </c>
      <c r="B57" t="s">
        <v>195</v>
      </c>
      <c r="C57" t="s">
        <v>95</v>
      </c>
      <c r="D57" s="7">
        <f>SUMIFS('Tong_hop_HQNV_2026Q1_2026-06-23'!$K:$K,'Tong_hop_HQNV_2026Q1_2026-06-23'!$A:$A,"="&amp;'CHECK_DT-BT_chi_tiet'!$D$2,'Tong_hop_HQNV_2026Q1_2026-06-23'!$B:$B, "="&amp;'CHECK_DT-BT_chi_tiet'!A57)</f>
        <v>258319450</v>
      </c>
      <c r="E57" s="7">
        <f>SUMIFS('HQ1'!$C:$C,'HQ1'!$A:$A, "="&amp;'CHECK_DT-BT_chi_tiet'!C57,'HQ1'!$B:$B, "="&amp;'CHECK_DT-BT_chi_tiet'!$D$3)</f>
        <v>258319450</v>
      </c>
      <c r="F57" s="7">
        <f t="shared" si="0"/>
        <v>0</v>
      </c>
      <c r="G57" s="7">
        <f>SUMIFS('Tong_hop_HQNV_2026Q1_2026-06-23'!$K:$K,'Tong_hop_HQNV_2026Q1_2026-06-23'!$A:$A,"="&amp;'CHECK_DT-BT_chi_tiet'!$G$2,'Tong_hop_HQNV_2026Q1_2026-06-23'!$B:$B, "="&amp;'CHECK_DT-BT_chi_tiet'!A57)</f>
        <v>107160360</v>
      </c>
      <c r="H57" s="7">
        <f>SUMIFS('HQ1'!$C:$C,'HQ1'!$A:$A, "="&amp;'CHECK_DT-BT_chi_tiet'!C57,'HQ1'!$B:$B, "="&amp;'CHECK_DT-BT_chi_tiet'!$G$3)</f>
        <v>107160360</v>
      </c>
      <c r="I57" s="7">
        <f t="shared" si="1"/>
        <v>0</v>
      </c>
      <c r="J57" s="7">
        <f>SUMIFS('Tong_hop_HQNV_2026Q1_2026-06-23'!$K:$K,'Tong_hop_HQNV_2026Q1_2026-06-23'!$A:$A,"="&amp;'CHECK_DT-BT_chi_tiet'!$J$2,'Tong_hop_HQNV_2026Q1_2026-06-23'!$B:$B, "="&amp;'CHECK_DT-BT_chi_tiet'!A57)</f>
        <v>1942513838</v>
      </c>
      <c r="K57" s="7">
        <f>SUMIFS('HQ1'!$C:$C,'HQ1'!$A:$A, "="&amp;'CHECK_DT-BT_chi_tiet'!C57,'HQ1'!$B:$B, "="&amp;'CHECK_DT-BT_chi_tiet'!$J$3)</f>
        <v>1942513838</v>
      </c>
      <c r="L57" s="7">
        <f t="shared" si="2"/>
        <v>0</v>
      </c>
      <c r="M57" s="7">
        <f>SUMIFS('Tong_hop_HQNV_2026Q1_2026-06-23'!$K:$K,'Tong_hop_HQNV_2026Q1_2026-06-23'!$A:$A,"="&amp;'CHECK_DT-BT_chi_tiet'!$M$2,'Tong_hop_HQNV_2026Q1_2026-06-23'!$B:$B, "="&amp;'CHECK_DT-BT_chi_tiet'!A57)</f>
        <v>155699500</v>
      </c>
      <c r="N57" s="7">
        <f>SUMIFS('HQ1'!$C:$C,'HQ1'!$A:$A, "="&amp;'CHECK_DT-BT_chi_tiet'!C57,'HQ1'!$B:$B, "="&amp;'CHECK_DT-BT_chi_tiet'!$M$3)</f>
        <v>155699500</v>
      </c>
      <c r="O57" s="7">
        <f t="shared" si="3"/>
        <v>0</v>
      </c>
      <c r="P57" s="7">
        <f>SUMIFS('Tong_hop_HQNV_2026Q1_2026-06-23'!$K:$K,'Tong_hop_HQNV_2026Q1_2026-06-23'!$A:$A,"="&amp;$P$2,'Tong_hop_HQNV_2026Q1_2026-06-23'!$B:$B, "="&amp;'CHECK_DT-BT_chi_tiet'!A57)</f>
        <v>114807523</v>
      </c>
      <c r="Q57" s="7">
        <f>SUMIFS('HQ2'!$C:$C,'HQ2'!$A:$A, "="&amp;'CHECK_DT-BT_chi_tiet'!C57,'HQ2'!$B:$B, "="&amp;'CHECK_DT-BT_chi_tiet'!$P$3)</f>
        <v>114807523</v>
      </c>
      <c r="R57" s="7">
        <f t="shared" si="4"/>
        <v>0</v>
      </c>
      <c r="S57" s="7">
        <f>SUMIFS('Tong_hop_HQNV_2026Q1_2026-06-23'!$K:$K,'Tong_hop_HQNV_2026Q1_2026-06-23'!$A:$A,"="&amp;$S$2,'Tong_hop_HQNV_2026Q1_2026-06-23'!$B:$B, "="&amp;'CHECK_DT-BT_chi_tiet'!A57)</f>
        <v>0</v>
      </c>
      <c r="T57" s="7">
        <f>SUMIFS('HQ2'!$C:$C,'HQ2'!$A:$A, "="&amp;'CHECK_DT-BT_chi_tiet'!C57,'HQ2'!$B:$B, "="&amp;'CHECK_DT-BT_chi_tiet'!$S$3)</f>
        <v>0</v>
      </c>
      <c r="U57" s="7">
        <f t="shared" si="5"/>
        <v>0</v>
      </c>
      <c r="V57" s="7">
        <f>SUMIFS('Tong_hop_HQNV_2026Q1_2026-06-23'!$K:$K,'Tong_hop_HQNV_2026Q1_2026-06-23'!$A:$A,"="&amp;$V$2,'Tong_hop_HQNV_2026Q1_2026-06-23'!$B:$B, "="&amp;'CHECK_DT-BT_chi_tiet'!A57)</f>
        <v>0</v>
      </c>
      <c r="W57" s="7">
        <f>SUMIFS('HQ2'!$C:$C,'HQ2'!$A:$A, "="&amp;'CHECK_DT-BT_chi_tiet'!C57,'HQ2'!$B:$B, "="&amp;'CHECK_DT-BT_chi_tiet'!$V$3)</f>
        <v>0</v>
      </c>
      <c r="X57" s="7">
        <f t="shared" si="6"/>
        <v>0</v>
      </c>
      <c r="Y57" s="7">
        <f>SUMIFS('Tong_hop_HQNV_2026Q1_2026-06-23'!$K:$K,'Tong_hop_HQNV_2026Q1_2026-06-23'!$A:$A,"="&amp;$Y$2,'Tong_hop_HQNV_2026Q1_2026-06-23'!$B:$B, "="&amp;'CHECK_DT-BT_chi_tiet'!A57)</f>
        <v>318395954</v>
      </c>
      <c r="Z57" s="7">
        <f>SUMIFS('HQ2'!$C:$C,'HQ2'!$A:$A, "="&amp;'CHECK_DT-BT_chi_tiet'!C57,'HQ2'!$B:$B, "="&amp;'CHECK_DT-BT_chi_tiet'!$Y$3)</f>
        <v>318395954</v>
      </c>
      <c r="AA57" s="7">
        <f t="shared" si="7"/>
        <v>0</v>
      </c>
      <c r="AB57" s="7">
        <f>SUMIFS('Tong_hop_HQNV_2026Q1_2026-06-23'!$K:$K,'Tong_hop_HQNV_2026Q1_2026-06-23'!$A:$A,"="&amp;$AB$2,'Tong_hop_HQNV_2026Q1_2026-06-23'!$B:$B, "="&amp;'CHECK_DT-BT_chi_tiet'!A57)</f>
        <v>380791005</v>
      </c>
      <c r="AC57" s="7">
        <f>SUMIFS('HQ2'!$C:$C,'HQ2'!$A:$A, "="&amp;'CHECK_DT-BT_chi_tiet'!C57,'HQ2'!$B:$B, "="&amp;'CHECK_DT-BT_chi_tiet'!$AB$3)</f>
        <v>380791005</v>
      </c>
      <c r="AD57" s="7">
        <f t="shared" si="8"/>
        <v>0</v>
      </c>
      <c r="AE57" s="7">
        <f>SUMIFS('Tong_hop_HQNV_2026Q1_2026-06-23'!$K:$K,'Tong_hop_HQNV_2026Q1_2026-06-23'!$A:$A,"="&amp;$AE$2,'Tong_hop_HQNV_2026Q1_2026-06-23'!$B:$B, "="&amp;'CHECK_DT-BT_chi_tiet'!A57)</f>
        <v>1543725740</v>
      </c>
      <c r="AF57" s="7">
        <f>SUMIFS('HQ2'!$C:$C,'HQ2'!$A:$A, "="&amp;'CHECK_DT-BT_chi_tiet'!C57,'HQ2'!$B:$B, "="&amp;'CHECK_DT-BT_chi_tiet'!$AE$3)</f>
        <v>1543725740</v>
      </c>
      <c r="AG57" s="7">
        <f t="shared" si="9"/>
        <v>0</v>
      </c>
      <c r="AH57" s="7">
        <f>SUMIFS('Tong_hop_HQNV_2026Q1_2026-06-23'!$K:$K,'Tong_hop_HQNV_2026Q1_2026-06-23'!$A:$A,"="&amp;$AH$2,'Tong_hop_HQNV_2026Q1_2026-06-23'!$B:$B, "="&amp;'CHECK_DT-BT_chi_tiet'!A57)</f>
        <v>15500000</v>
      </c>
      <c r="AI57" s="7">
        <f>SUMIFS('HQ2'!$C:$C,'HQ2'!$A:$A, "="&amp;'CHECK_DT-BT_chi_tiet'!C57,'HQ2'!$B:$B, "="&amp;'CHECK_DT-BT_chi_tiet'!$AH$3)</f>
        <v>15500000</v>
      </c>
      <c r="AJ57" s="7">
        <f t="shared" si="10"/>
        <v>0</v>
      </c>
      <c r="AK57" s="7">
        <f>SUMIFS('Tong_hop_HQNV_2026Q1_2026-06-23'!$K:$K,'Tong_hop_HQNV_2026Q1_2026-06-23'!$A:$A,"="&amp;$AK$2,'Tong_hop_HQNV_2026Q1_2026-06-23'!$B:$B, "="&amp;'CHECK_DT-BT_chi_tiet'!A57)</f>
        <v>0</v>
      </c>
      <c r="AL57" s="7">
        <f>SUMIFS('Tong_hop_HQNV_2026Q1_2026-06-23'!$K:$K,'Tong_hop_HQNV_2026Q1_2026-06-23'!$A:$A,"="&amp;$AL$2,'Tong_hop_HQNV_2026Q1_2026-06-23'!$B:$B, "="&amp;'CHECK_DT-BT_chi_tiet'!A57)</f>
        <v>0</v>
      </c>
      <c r="AM57" s="23">
        <f>SUMIFS('Tong_hop_HQNV_2026Q1_2026-06-23'!$L:$L,'Tong_hop_HQNV_2026Q1_2026-06-23'!$B:$B, "="&amp;'CHECK_DT-BT_chi_tiet'!A57, 'Tong_hop_HQNV_2026Q1_2026-06-23'!$A:$A, "="&amp;'CHECK_DT-BT_chi_tiet'!$AM$2)</f>
        <v>305531000</v>
      </c>
      <c r="AN57" s="29">
        <f>SUMIFS('HQ1'!$D:$D,'HQ1'!$A:$A, "="&amp;'CHECK_DT-BT_chi_tiet'!C57,'HQ1'!$B:$B,"="&amp;'CHECK_DT-BT_chi_tiet'!$AM$3)</f>
        <v>305531000</v>
      </c>
      <c r="AO57" s="29">
        <f t="shared" si="11"/>
        <v>0</v>
      </c>
      <c r="AP57" s="7">
        <f>SUMIFS('Tong_hop_HQNV_2026Q1_2026-06-23'!$L:$L,'Tong_hop_HQNV_2026Q1_2026-06-23'!$B:$B, "="&amp;'CHECK_DT-BT_chi_tiet'!A57, 'Tong_hop_HQNV_2026Q1_2026-06-23'!$A:$A, "="&amp;'CHECK_DT-BT_chi_tiet'!$AP$2)</f>
        <v>0</v>
      </c>
      <c r="AQ57" s="29">
        <f>SUMIFS('HQ1'!$D:$D,'HQ1'!$A:$A, "="&amp;'CHECK_DT-BT_chi_tiet'!C57,'HQ1'!$B:$B,"="&amp;'CHECK_DT-BT_chi_tiet'!$AP$3)</f>
        <v>0</v>
      </c>
      <c r="AR57" s="7">
        <f t="shared" si="12"/>
        <v>0</v>
      </c>
      <c r="AS57" s="7">
        <f>SUMIFS('Tong_hop_HQNV_2026Q1_2026-06-23'!$L:$L,'Tong_hop_HQNV_2026Q1_2026-06-23'!$B:$B, "="&amp;'CHECK_DT-BT_chi_tiet'!A57, 'Tong_hop_HQNV_2026Q1_2026-06-23'!$A:$A, "="&amp;'CHECK_DT-BT_chi_tiet'!$AS$2)</f>
        <v>393013408</v>
      </c>
      <c r="AT57" s="29">
        <f>SUMIFS('HQ1'!$D:$D,'HQ1'!$A:$A, "="&amp;'CHECK_DT-BT_chi_tiet'!C57,'HQ1'!$B:$B,"="&amp;'CHECK_DT-BT_chi_tiet'!$AS$3)</f>
        <v>393013408</v>
      </c>
      <c r="AU57" s="7">
        <f t="shared" si="13"/>
        <v>0</v>
      </c>
      <c r="AV57" s="7">
        <f>SUMIFS('Tong_hop_HQNV_2026Q1_2026-06-23'!$L:$L,'Tong_hop_HQNV_2026Q1_2026-06-23'!$B:$B, "="&amp;'CHECK_DT-BT_chi_tiet'!A57, 'Tong_hop_HQNV_2026Q1_2026-06-23'!$A:$A, "="&amp;'CHECK_DT-BT_chi_tiet'!$AV$2)</f>
        <v>65473580</v>
      </c>
      <c r="AW57" s="29">
        <f>SUMIFS('HQ1'!$D:$D,'HQ1'!$A:$A, "="&amp;'CHECK_DT-BT_chi_tiet'!C57,'HQ1'!$B:$B,"="&amp;'CHECK_DT-BT_chi_tiet'!$AV$3)</f>
        <v>65473580</v>
      </c>
      <c r="AX57" s="7">
        <f t="shared" si="14"/>
        <v>0</v>
      </c>
      <c r="AY57" s="7">
        <f>SUMIFS('Tong_hop_HQNV_2026Q1_2026-06-23'!$L:$L,'Tong_hop_HQNV_2026Q1_2026-06-23'!$B:$B, "="&amp;'CHECK_DT-BT_chi_tiet'!A57, 'Tong_hop_HQNV_2026Q1_2026-06-23'!$A:$A, "="&amp;$AY$2)</f>
        <v>0</v>
      </c>
      <c r="AZ57" s="29">
        <f>SUMIFS('HQ2'!$J:$J,'HQ2'!$A:$A, "="&amp;'CHECK_DT-BT_chi_tiet'!C57,'HQ2'!$B:$B,"="&amp;'CHECK_DT-BT_chi_tiet'!$AY$3)</f>
        <v>0</v>
      </c>
      <c r="BA57" s="7">
        <f t="shared" si="15"/>
        <v>0</v>
      </c>
      <c r="BB57" s="7">
        <f>SUMIFS('Tong_hop_HQNV_2026Q1_2026-06-23'!$L:$L,'Tong_hop_HQNV_2026Q1_2026-06-23'!$B:$B, "="&amp;'CHECK_DT-BT_chi_tiet'!A57, 'Tong_hop_HQNV_2026Q1_2026-06-23'!$A:$A, "="&amp;$BB$2)</f>
        <v>0</v>
      </c>
      <c r="BC57" s="29">
        <f>SUMIFS('HQ2'!$J:$J,'HQ2'!$A:$A, "="&amp;'CHECK_DT-BT_chi_tiet'!C57,'HQ2'!$B:$B,"="&amp;'CHECK_DT-BT_chi_tiet'!$BB$3)</f>
        <v>0</v>
      </c>
      <c r="BD57" s="7">
        <f t="shared" si="16"/>
        <v>0</v>
      </c>
      <c r="BE57" s="7">
        <f>SUMIFS('Tong_hop_HQNV_2026Q1_2026-06-23'!$L:$L,'Tong_hop_HQNV_2026Q1_2026-06-23'!$B:$B, "="&amp;'CHECK_DT-BT_chi_tiet'!A57, 'Tong_hop_HQNV_2026Q1_2026-06-23'!$A:$A, "="&amp;$BE$2)</f>
        <v>0</v>
      </c>
      <c r="BF57" s="29">
        <f>SUMIFS('HQ2'!$J:$J,'HQ2'!$A:$A, "="&amp;'CHECK_DT-BT_chi_tiet'!C57,'HQ2'!$B:$B,"="&amp;'CHECK_DT-BT_chi_tiet'!$BE$3)</f>
        <v>0</v>
      </c>
      <c r="BG57" s="7">
        <f t="shared" si="17"/>
        <v>0</v>
      </c>
      <c r="BH57" s="7">
        <f>SUMIFS('Tong_hop_HQNV_2026Q1_2026-06-23'!$L:$L,'Tong_hop_HQNV_2026Q1_2026-06-23'!$B:$B, "="&amp;'CHECK_DT-BT_chi_tiet'!A57, 'Tong_hop_HQNV_2026Q1_2026-06-23'!$A:$A, "="&amp;$BH$2)</f>
        <v>86412466</v>
      </c>
      <c r="BI57" s="29">
        <f>SUMIFS('HQ2'!$J:$J,'HQ2'!$A:$A, "="&amp;'CHECK_DT-BT_chi_tiet'!C57,'HQ2'!$B:$B,"="&amp;'CHECK_DT-BT_chi_tiet'!$BH$3)</f>
        <v>86412466</v>
      </c>
      <c r="BJ57" s="7">
        <f t="shared" si="18"/>
        <v>0</v>
      </c>
      <c r="BK57" s="7">
        <f>SUMIFS('Tong_hop_HQNV_2026Q1_2026-06-23'!$L:$L,'Tong_hop_HQNV_2026Q1_2026-06-23'!$B:$B, "="&amp;'CHECK_DT-BT_chi_tiet'!A57, 'Tong_hop_HQNV_2026Q1_2026-06-23'!$A:$A, "="&amp;$BK$2)</f>
        <v>0</v>
      </c>
      <c r="BL57" s="29">
        <f>SUMIFS('HQ2'!$J:$J,'HQ2'!$A:$A, "="&amp;'CHECK_DT-BT_chi_tiet'!C57,'HQ2'!$B:$B,"="&amp;'CHECK_DT-BT_chi_tiet'!$BK$3)</f>
        <v>0</v>
      </c>
      <c r="BM57" s="7">
        <f t="shared" si="19"/>
        <v>0</v>
      </c>
      <c r="BN57" s="7">
        <f>SUMIFS('Tong_hop_HQNV_2026Q1_2026-06-23'!$L:$L,'Tong_hop_HQNV_2026Q1_2026-06-23'!$B:$B, "="&amp;'CHECK_DT-BT_chi_tiet'!A57, 'Tong_hop_HQNV_2026Q1_2026-06-23'!$A:$A, "="&amp;$BN$2)</f>
        <v>0</v>
      </c>
      <c r="BO57" s="29">
        <f>SUMIFS('HQ2'!$J:$J,'HQ2'!$A:$A, "="&amp;'CHECK_DT-BT_chi_tiet'!C57,'HQ2'!$B:$B,"="&amp;'CHECK_DT-BT_chi_tiet'!$BN$3)</f>
        <v>0</v>
      </c>
      <c r="BP57" s="7">
        <f t="shared" si="20"/>
        <v>0</v>
      </c>
      <c r="BQ57" s="7">
        <f>SUMIFS('Tong_hop_HQNV_2026Q1_2026-06-23'!$L:$L,'Tong_hop_HQNV_2026Q1_2026-06-23'!$B:$B, "="&amp;'CHECK_DT-BT_chi_tiet'!A57, 'Tong_hop_HQNV_2026Q1_2026-06-23'!$A:$A, "="&amp;$BQ$2)</f>
        <v>0</v>
      </c>
      <c r="BR57" s="29">
        <f>SUMIFS('HQ2'!$J:$J,'HQ2'!$A:$A, "="&amp;'CHECK_DT-BT_chi_tiet'!C57,'HQ2'!$B:$B,"="&amp;'CHECK_DT-BT_chi_tiet'!$BQ$3)</f>
        <v>0</v>
      </c>
      <c r="BS57" s="7">
        <f t="shared" si="21"/>
        <v>0</v>
      </c>
      <c r="BT57" s="7">
        <f>SUMIFS('Tong_hop_HQNV_2026Q1_2026-06-23'!$L:$L,'Tong_hop_HQNV_2026Q1_2026-06-23'!$B:$B, "="&amp;'CHECK_DT-BT_chi_tiet'!A57, 'Tong_hop_HQNV_2026Q1_2026-06-23'!$A:$A, "="&amp;$BT$2)</f>
        <v>0</v>
      </c>
      <c r="BU57" s="7">
        <f>SUMIFS('Tong_hop_HQNV_2026Q1_2026-06-23'!$L:$L,'Tong_hop_HQNV_2026Q1_2026-06-23'!$B:$B, "="&amp;'CHECK_DT-BT_chi_tiet'!A57, 'Tong_hop_HQNV_2026Q1_2026-06-23'!$A:$A, "="&amp;$BU$2)</f>
        <v>0</v>
      </c>
    </row>
    <row r="58" spans="1:73" x14ac:dyDescent="0.25">
      <c r="A58" s="9" t="s">
        <v>338</v>
      </c>
      <c r="B58" t="s">
        <v>196</v>
      </c>
      <c r="C58" t="s">
        <v>75</v>
      </c>
      <c r="D58" s="7">
        <f>SUMIFS('Tong_hop_HQNV_2026Q1_2026-06-23'!$K:$K,'Tong_hop_HQNV_2026Q1_2026-06-23'!$A:$A,"="&amp;'CHECK_DT-BT_chi_tiet'!$D$2,'Tong_hop_HQNV_2026Q1_2026-06-23'!$B:$B, "="&amp;'CHECK_DT-BT_chi_tiet'!A58)</f>
        <v>1561643064</v>
      </c>
      <c r="E58" s="7">
        <f>SUMIFS('HQ1'!$C:$C,'HQ1'!$A:$A, "="&amp;'CHECK_DT-BT_chi_tiet'!C58,'HQ1'!$B:$B, "="&amp;'CHECK_DT-BT_chi_tiet'!$D$3)</f>
        <v>1561643064</v>
      </c>
      <c r="F58" s="7">
        <f t="shared" si="0"/>
        <v>0</v>
      </c>
      <c r="G58" s="7">
        <f>SUMIFS('Tong_hop_HQNV_2026Q1_2026-06-23'!$K:$K,'Tong_hop_HQNV_2026Q1_2026-06-23'!$A:$A,"="&amp;'CHECK_DT-BT_chi_tiet'!$G$2,'Tong_hop_HQNV_2026Q1_2026-06-23'!$B:$B, "="&amp;'CHECK_DT-BT_chi_tiet'!A58)</f>
        <v>23500400</v>
      </c>
      <c r="H58" s="7">
        <f>SUMIFS('HQ1'!$C:$C,'HQ1'!$A:$A, "="&amp;'CHECK_DT-BT_chi_tiet'!C58,'HQ1'!$B:$B, "="&amp;'CHECK_DT-BT_chi_tiet'!$G$3)</f>
        <v>23500400</v>
      </c>
      <c r="I58" s="7">
        <f t="shared" si="1"/>
        <v>0</v>
      </c>
      <c r="J58" s="7">
        <f>SUMIFS('Tong_hop_HQNV_2026Q1_2026-06-23'!$K:$K,'Tong_hop_HQNV_2026Q1_2026-06-23'!$A:$A,"="&amp;'CHECK_DT-BT_chi_tiet'!$J$2,'Tong_hop_HQNV_2026Q1_2026-06-23'!$B:$B, "="&amp;'CHECK_DT-BT_chi_tiet'!A58)</f>
        <v>4673201641</v>
      </c>
      <c r="K58" s="7">
        <f>SUMIFS('HQ1'!$C:$C,'HQ1'!$A:$A, "="&amp;'CHECK_DT-BT_chi_tiet'!C58,'HQ1'!$B:$B, "="&amp;'CHECK_DT-BT_chi_tiet'!$J$3)</f>
        <v>4673201641</v>
      </c>
      <c r="L58" s="7">
        <f t="shared" si="2"/>
        <v>0</v>
      </c>
      <c r="M58" s="7">
        <f>SUMIFS('Tong_hop_HQNV_2026Q1_2026-06-23'!$K:$K,'Tong_hop_HQNV_2026Q1_2026-06-23'!$A:$A,"="&amp;'CHECK_DT-BT_chi_tiet'!$M$2,'Tong_hop_HQNV_2026Q1_2026-06-23'!$B:$B, "="&amp;'CHECK_DT-BT_chi_tiet'!A58)</f>
        <v>4804090997</v>
      </c>
      <c r="N58" s="7">
        <f>SUMIFS('HQ1'!$C:$C,'HQ1'!$A:$A, "="&amp;'CHECK_DT-BT_chi_tiet'!C58,'HQ1'!$B:$B, "="&amp;'CHECK_DT-BT_chi_tiet'!$M$3)</f>
        <v>4804090997</v>
      </c>
      <c r="O58" s="7">
        <f t="shared" si="3"/>
        <v>0</v>
      </c>
      <c r="P58" s="7">
        <f>SUMIFS('Tong_hop_HQNV_2026Q1_2026-06-23'!$K:$K,'Tong_hop_HQNV_2026Q1_2026-06-23'!$A:$A,"="&amp;$P$2,'Tong_hop_HQNV_2026Q1_2026-06-23'!$B:$B, "="&amp;'CHECK_DT-BT_chi_tiet'!A58)</f>
        <v>404706087</v>
      </c>
      <c r="Q58" s="7">
        <f>SUMIFS('HQ2'!$C:$C,'HQ2'!$A:$A, "="&amp;'CHECK_DT-BT_chi_tiet'!C58,'HQ2'!$B:$B, "="&amp;'CHECK_DT-BT_chi_tiet'!$P$3)</f>
        <v>404706087</v>
      </c>
      <c r="R58" s="7">
        <f t="shared" si="4"/>
        <v>0</v>
      </c>
      <c r="S58" s="7">
        <f>SUMIFS('Tong_hop_HQNV_2026Q1_2026-06-23'!$K:$K,'Tong_hop_HQNV_2026Q1_2026-06-23'!$A:$A,"="&amp;$S$2,'Tong_hop_HQNV_2026Q1_2026-06-23'!$B:$B, "="&amp;'CHECK_DT-BT_chi_tiet'!A58)</f>
        <v>1415561479</v>
      </c>
      <c r="T58" s="7">
        <f>SUMIFS('HQ2'!$C:$C,'HQ2'!$A:$A, "="&amp;'CHECK_DT-BT_chi_tiet'!C58,'HQ2'!$B:$B, "="&amp;'CHECK_DT-BT_chi_tiet'!$S$3)</f>
        <v>1415561479</v>
      </c>
      <c r="U58" s="7">
        <f t="shared" si="5"/>
        <v>0</v>
      </c>
      <c r="V58" s="7">
        <f>SUMIFS('Tong_hop_HQNV_2026Q1_2026-06-23'!$K:$K,'Tong_hop_HQNV_2026Q1_2026-06-23'!$A:$A,"="&amp;$V$2,'Tong_hop_HQNV_2026Q1_2026-06-23'!$B:$B, "="&amp;'CHECK_DT-BT_chi_tiet'!A58)</f>
        <v>0</v>
      </c>
      <c r="W58" s="7">
        <f>SUMIFS('HQ2'!$C:$C,'HQ2'!$A:$A, "="&amp;'CHECK_DT-BT_chi_tiet'!C58,'HQ2'!$B:$B, "="&amp;'CHECK_DT-BT_chi_tiet'!$V$3)</f>
        <v>0</v>
      </c>
      <c r="X58" s="7">
        <f t="shared" si="6"/>
        <v>0</v>
      </c>
      <c r="Y58" s="7">
        <f>SUMIFS('Tong_hop_HQNV_2026Q1_2026-06-23'!$K:$K,'Tong_hop_HQNV_2026Q1_2026-06-23'!$A:$A,"="&amp;$Y$2,'Tong_hop_HQNV_2026Q1_2026-06-23'!$B:$B, "="&amp;'CHECK_DT-BT_chi_tiet'!A58)</f>
        <v>0</v>
      </c>
      <c r="Z58" s="7">
        <f>SUMIFS('HQ2'!$C:$C,'HQ2'!$A:$A, "="&amp;'CHECK_DT-BT_chi_tiet'!C58,'HQ2'!$B:$B, "="&amp;'CHECK_DT-BT_chi_tiet'!$Y$3)</f>
        <v>0</v>
      </c>
      <c r="AA58" s="7">
        <f t="shared" si="7"/>
        <v>0</v>
      </c>
      <c r="AB58" s="7">
        <f>SUMIFS('Tong_hop_HQNV_2026Q1_2026-06-23'!$K:$K,'Tong_hop_HQNV_2026Q1_2026-06-23'!$A:$A,"="&amp;$AB$2,'Tong_hop_HQNV_2026Q1_2026-06-23'!$B:$B, "="&amp;'CHECK_DT-BT_chi_tiet'!A58)</f>
        <v>3852057501</v>
      </c>
      <c r="AC58" s="7">
        <f>SUMIFS('HQ2'!$C:$C,'HQ2'!$A:$A, "="&amp;'CHECK_DT-BT_chi_tiet'!C58,'HQ2'!$B:$B, "="&amp;'CHECK_DT-BT_chi_tiet'!$AB$3)</f>
        <v>3852057501</v>
      </c>
      <c r="AD58" s="7">
        <f t="shared" si="8"/>
        <v>0</v>
      </c>
      <c r="AE58" s="7">
        <f>SUMIFS('Tong_hop_HQNV_2026Q1_2026-06-23'!$K:$K,'Tong_hop_HQNV_2026Q1_2026-06-23'!$A:$A,"="&amp;$AE$2,'Tong_hop_HQNV_2026Q1_2026-06-23'!$B:$B, "="&amp;'CHECK_DT-BT_chi_tiet'!A58)</f>
        <v>776108773</v>
      </c>
      <c r="AF58" s="7">
        <f>SUMIFS('HQ2'!$C:$C,'HQ2'!$A:$A, "="&amp;'CHECK_DT-BT_chi_tiet'!C58,'HQ2'!$B:$B, "="&amp;'CHECK_DT-BT_chi_tiet'!$AE$3)</f>
        <v>776108773</v>
      </c>
      <c r="AG58" s="7">
        <f t="shared" si="9"/>
        <v>0</v>
      </c>
      <c r="AH58" s="7">
        <f>SUMIFS('Tong_hop_HQNV_2026Q1_2026-06-23'!$K:$K,'Tong_hop_HQNV_2026Q1_2026-06-23'!$A:$A,"="&amp;$AH$2,'Tong_hop_HQNV_2026Q1_2026-06-23'!$B:$B, "="&amp;'CHECK_DT-BT_chi_tiet'!A58)</f>
        <v>333486460</v>
      </c>
      <c r="AI58" s="7">
        <f>SUMIFS('HQ2'!$C:$C,'HQ2'!$A:$A, "="&amp;'CHECK_DT-BT_chi_tiet'!C58,'HQ2'!$B:$B, "="&amp;'CHECK_DT-BT_chi_tiet'!$AH$3)</f>
        <v>333486460</v>
      </c>
      <c r="AJ58" s="7">
        <f t="shared" si="10"/>
        <v>0</v>
      </c>
      <c r="AK58" s="7">
        <f>SUMIFS('Tong_hop_HQNV_2026Q1_2026-06-23'!$K:$K,'Tong_hop_HQNV_2026Q1_2026-06-23'!$A:$A,"="&amp;$AK$2,'Tong_hop_HQNV_2026Q1_2026-06-23'!$B:$B, "="&amp;'CHECK_DT-BT_chi_tiet'!A58)</f>
        <v>0</v>
      </c>
      <c r="AL58" s="7">
        <f>SUMIFS('Tong_hop_HQNV_2026Q1_2026-06-23'!$K:$K,'Tong_hop_HQNV_2026Q1_2026-06-23'!$A:$A,"="&amp;$AL$2,'Tong_hop_HQNV_2026Q1_2026-06-23'!$B:$B, "="&amp;'CHECK_DT-BT_chi_tiet'!A58)</f>
        <v>0</v>
      </c>
      <c r="AM58" s="23">
        <f>SUMIFS('Tong_hop_HQNV_2026Q1_2026-06-23'!$L:$L,'Tong_hop_HQNV_2026Q1_2026-06-23'!$B:$B, "="&amp;'CHECK_DT-BT_chi_tiet'!A58, 'Tong_hop_HQNV_2026Q1_2026-06-23'!$A:$A, "="&amp;'CHECK_DT-BT_chi_tiet'!$AM$2)</f>
        <v>1916653327</v>
      </c>
      <c r="AN58" s="29">
        <f>SUMIFS('HQ1'!$D:$D,'HQ1'!$A:$A, "="&amp;'CHECK_DT-BT_chi_tiet'!C58,'HQ1'!$B:$B,"="&amp;'CHECK_DT-BT_chi_tiet'!$AM$3)</f>
        <v>1916653327</v>
      </c>
      <c r="AO58" s="29">
        <f t="shared" si="11"/>
        <v>0</v>
      </c>
      <c r="AP58" s="7">
        <f>SUMIFS('Tong_hop_HQNV_2026Q1_2026-06-23'!$L:$L,'Tong_hop_HQNV_2026Q1_2026-06-23'!$B:$B, "="&amp;'CHECK_DT-BT_chi_tiet'!A58, 'Tong_hop_HQNV_2026Q1_2026-06-23'!$A:$A, "="&amp;'CHECK_DT-BT_chi_tiet'!$AP$2)</f>
        <v>0</v>
      </c>
      <c r="AQ58" s="29">
        <f>SUMIFS('HQ1'!$D:$D,'HQ1'!$A:$A, "="&amp;'CHECK_DT-BT_chi_tiet'!C58,'HQ1'!$B:$B,"="&amp;'CHECK_DT-BT_chi_tiet'!$AP$3)</f>
        <v>0</v>
      </c>
      <c r="AR58" s="7">
        <f t="shared" si="12"/>
        <v>0</v>
      </c>
      <c r="AS58" s="7">
        <f>SUMIFS('Tong_hop_HQNV_2026Q1_2026-06-23'!$L:$L,'Tong_hop_HQNV_2026Q1_2026-06-23'!$B:$B, "="&amp;'CHECK_DT-BT_chi_tiet'!A58, 'Tong_hop_HQNV_2026Q1_2026-06-23'!$A:$A, "="&amp;'CHECK_DT-BT_chi_tiet'!$AS$2)</f>
        <v>1063671334</v>
      </c>
      <c r="AT58" s="29">
        <f>SUMIFS('HQ1'!$D:$D,'HQ1'!$A:$A, "="&amp;'CHECK_DT-BT_chi_tiet'!C58,'HQ1'!$B:$B,"="&amp;'CHECK_DT-BT_chi_tiet'!$AS$3)</f>
        <v>1063671334</v>
      </c>
      <c r="AU58" s="7">
        <f t="shared" si="13"/>
        <v>0</v>
      </c>
      <c r="AV58" s="7">
        <f>SUMIFS('Tong_hop_HQNV_2026Q1_2026-06-23'!$L:$L,'Tong_hop_HQNV_2026Q1_2026-06-23'!$B:$B, "="&amp;'CHECK_DT-BT_chi_tiet'!A58, 'Tong_hop_HQNV_2026Q1_2026-06-23'!$A:$A, "="&amp;'CHECK_DT-BT_chi_tiet'!$AV$2)</f>
        <v>1895880729</v>
      </c>
      <c r="AW58" s="29">
        <f>SUMIFS('HQ1'!$D:$D,'HQ1'!$A:$A, "="&amp;'CHECK_DT-BT_chi_tiet'!C58,'HQ1'!$B:$B,"="&amp;'CHECK_DT-BT_chi_tiet'!$AV$3)</f>
        <v>1895880729</v>
      </c>
      <c r="AX58" s="7">
        <f t="shared" si="14"/>
        <v>0</v>
      </c>
      <c r="AY58" s="7">
        <f>SUMIFS('Tong_hop_HQNV_2026Q1_2026-06-23'!$L:$L,'Tong_hop_HQNV_2026Q1_2026-06-23'!$B:$B, "="&amp;'CHECK_DT-BT_chi_tiet'!A58, 'Tong_hop_HQNV_2026Q1_2026-06-23'!$A:$A, "="&amp;$AY$2)</f>
        <v>0</v>
      </c>
      <c r="AZ58" s="29">
        <f>SUMIFS('HQ2'!$J:$J,'HQ2'!$A:$A, "="&amp;'CHECK_DT-BT_chi_tiet'!C58,'HQ2'!$B:$B,"="&amp;'CHECK_DT-BT_chi_tiet'!$AY$3)</f>
        <v>0</v>
      </c>
      <c r="BA58" s="7">
        <f t="shared" si="15"/>
        <v>0</v>
      </c>
      <c r="BB58" s="7">
        <f>SUMIFS('Tong_hop_HQNV_2026Q1_2026-06-23'!$L:$L,'Tong_hop_HQNV_2026Q1_2026-06-23'!$B:$B, "="&amp;'CHECK_DT-BT_chi_tiet'!A58, 'Tong_hop_HQNV_2026Q1_2026-06-23'!$A:$A, "="&amp;$BB$2)</f>
        <v>0</v>
      </c>
      <c r="BC58" s="29">
        <f>SUMIFS('HQ2'!$J:$J,'HQ2'!$A:$A, "="&amp;'CHECK_DT-BT_chi_tiet'!C58,'HQ2'!$B:$B,"="&amp;'CHECK_DT-BT_chi_tiet'!$BB$3)</f>
        <v>0</v>
      </c>
      <c r="BD58" s="7">
        <f t="shared" si="16"/>
        <v>0</v>
      </c>
      <c r="BE58" s="7">
        <f>SUMIFS('Tong_hop_HQNV_2026Q1_2026-06-23'!$L:$L,'Tong_hop_HQNV_2026Q1_2026-06-23'!$B:$B, "="&amp;'CHECK_DT-BT_chi_tiet'!A58, 'Tong_hop_HQNV_2026Q1_2026-06-23'!$A:$A, "="&amp;$BE$2)</f>
        <v>0</v>
      </c>
      <c r="BF58" s="29">
        <f>SUMIFS('HQ2'!$J:$J,'HQ2'!$A:$A, "="&amp;'CHECK_DT-BT_chi_tiet'!C58,'HQ2'!$B:$B,"="&amp;'CHECK_DT-BT_chi_tiet'!$BE$3)</f>
        <v>0</v>
      </c>
      <c r="BG58" s="7">
        <f t="shared" si="17"/>
        <v>0</v>
      </c>
      <c r="BH58" s="7">
        <f>SUMIFS('Tong_hop_HQNV_2026Q1_2026-06-23'!$L:$L,'Tong_hop_HQNV_2026Q1_2026-06-23'!$B:$B, "="&amp;'CHECK_DT-BT_chi_tiet'!A58, 'Tong_hop_HQNV_2026Q1_2026-06-23'!$A:$A, "="&amp;$BH$2)</f>
        <v>0</v>
      </c>
      <c r="BI58" s="29">
        <f>SUMIFS('HQ2'!$J:$J,'HQ2'!$A:$A, "="&amp;'CHECK_DT-BT_chi_tiet'!C58,'HQ2'!$B:$B,"="&amp;'CHECK_DT-BT_chi_tiet'!$BH$3)</f>
        <v>0</v>
      </c>
      <c r="BJ58" s="7">
        <f t="shared" si="18"/>
        <v>0</v>
      </c>
      <c r="BK58" s="7">
        <f>SUMIFS('Tong_hop_HQNV_2026Q1_2026-06-23'!$L:$L,'Tong_hop_HQNV_2026Q1_2026-06-23'!$B:$B, "="&amp;'CHECK_DT-BT_chi_tiet'!A58, 'Tong_hop_HQNV_2026Q1_2026-06-23'!$A:$A, "="&amp;$BK$2)</f>
        <v>0</v>
      </c>
      <c r="BL58" s="29">
        <f>SUMIFS('HQ2'!$J:$J,'HQ2'!$A:$A, "="&amp;'CHECK_DT-BT_chi_tiet'!C58,'HQ2'!$B:$B,"="&amp;'CHECK_DT-BT_chi_tiet'!$BK$3)</f>
        <v>0</v>
      </c>
      <c r="BM58" s="7">
        <f t="shared" si="19"/>
        <v>0</v>
      </c>
      <c r="BN58" s="7">
        <f>SUMIFS('Tong_hop_HQNV_2026Q1_2026-06-23'!$L:$L,'Tong_hop_HQNV_2026Q1_2026-06-23'!$B:$B, "="&amp;'CHECK_DT-BT_chi_tiet'!A58, 'Tong_hop_HQNV_2026Q1_2026-06-23'!$A:$A, "="&amp;$BN$2)</f>
        <v>0</v>
      </c>
      <c r="BO58" s="29">
        <f>SUMIFS('HQ2'!$J:$J,'HQ2'!$A:$A, "="&amp;'CHECK_DT-BT_chi_tiet'!C58,'HQ2'!$B:$B,"="&amp;'CHECK_DT-BT_chi_tiet'!$BN$3)</f>
        <v>0</v>
      </c>
      <c r="BP58" s="7">
        <f t="shared" si="20"/>
        <v>0</v>
      </c>
      <c r="BQ58" s="7">
        <f>SUMIFS('Tong_hop_HQNV_2026Q1_2026-06-23'!$L:$L,'Tong_hop_HQNV_2026Q1_2026-06-23'!$B:$B, "="&amp;'CHECK_DT-BT_chi_tiet'!A58, 'Tong_hop_HQNV_2026Q1_2026-06-23'!$A:$A, "="&amp;$BQ$2)</f>
        <v>0</v>
      </c>
      <c r="BR58" s="29">
        <f>SUMIFS('HQ2'!$J:$J,'HQ2'!$A:$A, "="&amp;'CHECK_DT-BT_chi_tiet'!C58,'HQ2'!$B:$B,"="&amp;'CHECK_DT-BT_chi_tiet'!$BQ$3)</f>
        <v>0</v>
      </c>
      <c r="BS58" s="7">
        <f t="shared" si="21"/>
        <v>0</v>
      </c>
      <c r="BT58" s="7">
        <f>SUMIFS('Tong_hop_HQNV_2026Q1_2026-06-23'!$L:$L,'Tong_hop_HQNV_2026Q1_2026-06-23'!$B:$B, "="&amp;'CHECK_DT-BT_chi_tiet'!A58, 'Tong_hop_HQNV_2026Q1_2026-06-23'!$A:$A, "="&amp;$BT$2)</f>
        <v>0</v>
      </c>
      <c r="BU58" s="7">
        <f>SUMIFS('Tong_hop_HQNV_2026Q1_2026-06-23'!$L:$L,'Tong_hop_HQNV_2026Q1_2026-06-23'!$B:$B, "="&amp;'CHECK_DT-BT_chi_tiet'!A58, 'Tong_hop_HQNV_2026Q1_2026-06-23'!$A:$A, "="&amp;$BU$2)</f>
        <v>0</v>
      </c>
    </row>
    <row r="59" spans="1:73" x14ac:dyDescent="0.25">
      <c r="A59" s="9" t="s">
        <v>339</v>
      </c>
      <c r="B59" t="s">
        <v>197</v>
      </c>
      <c r="C59" t="s">
        <v>105</v>
      </c>
      <c r="D59" s="7">
        <f>SUMIFS('Tong_hop_HQNV_2026Q1_2026-06-23'!$K:$K,'Tong_hop_HQNV_2026Q1_2026-06-23'!$A:$A,"="&amp;'CHECK_DT-BT_chi_tiet'!$D$2,'Tong_hop_HQNV_2026Q1_2026-06-23'!$B:$B, "="&amp;'CHECK_DT-BT_chi_tiet'!A59)</f>
        <v>2539532500</v>
      </c>
      <c r="E59" s="7">
        <f>SUMIFS('HQ1'!$C:$C,'HQ1'!$A:$A, "="&amp;'CHECK_DT-BT_chi_tiet'!C59,'HQ1'!$B:$B, "="&amp;'CHECK_DT-BT_chi_tiet'!$D$3)</f>
        <v>2539532500</v>
      </c>
      <c r="F59" s="7">
        <f t="shared" si="0"/>
        <v>0</v>
      </c>
      <c r="G59" s="7">
        <f>SUMIFS('Tong_hop_HQNV_2026Q1_2026-06-23'!$K:$K,'Tong_hop_HQNV_2026Q1_2026-06-23'!$A:$A,"="&amp;'CHECK_DT-BT_chi_tiet'!$G$2,'Tong_hop_HQNV_2026Q1_2026-06-23'!$B:$B, "="&amp;'CHECK_DT-BT_chi_tiet'!A59)</f>
        <v>7322800</v>
      </c>
      <c r="H59" s="7">
        <f>SUMIFS('HQ1'!$C:$C,'HQ1'!$A:$A, "="&amp;'CHECK_DT-BT_chi_tiet'!C59,'HQ1'!$B:$B, "="&amp;'CHECK_DT-BT_chi_tiet'!$G$3)</f>
        <v>7322800</v>
      </c>
      <c r="I59" s="7">
        <f t="shared" si="1"/>
        <v>0</v>
      </c>
      <c r="J59" s="7">
        <f>SUMIFS('Tong_hop_HQNV_2026Q1_2026-06-23'!$K:$K,'Tong_hop_HQNV_2026Q1_2026-06-23'!$A:$A,"="&amp;'CHECK_DT-BT_chi_tiet'!$J$2,'Tong_hop_HQNV_2026Q1_2026-06-23'!$B:$B, "="&amp;'CHECK_DT-BT_chi_tiet'!A59)</f>
        <v>2604220319</v>
      </c>
      <c r="K59" s="7">
        <f>SUMIFS('HQ1'!$C:$C,'HQ1'!$A:$A, "="&amp;'CHECK_DT-BT_chi_tiet'!C59,'HQ1'!$B:$B, "="&amp;'CHECK_DT-BT_chi_tiet'!$J$3)</f>
        <v>2604220319</v>
      </c>
      <c r="L59" s="7">
        <f t="shared" si="2"/>
        <v>0</v>
      </c>
      <c r="M59" s="7">
        <f>SUMIFS('Tong_hop_HQNV_2026Q1_2026-06-23'!$K:$K,'Tong_hop_HQNV_2026Q1_2026-06-23'!$A:$A,"="&amp;'CHECK_DT-BT_chi_tiet'!$M$2,'Tong_hop_HQNV_2026Q1_2026-06-23'!$B:$B, "="&amp;'CHECK_DT-BT_chi_tiet'!A59)</f>
        <v>690859950</v>
      </c>
      <c r="N59" s="7">
        <f>SUMIFS('HQ1'!$C:$C,'HQ1'!$A:$A, "="&amp;'CHECK_DT-BT_chi_tiet'!C59,'HQ1'!$B:$B, "="&amp;'CHECK_DT-BT_chi_tiet'!$M$3)</f>
        <v>690859950</v>
      </c>
      <c r="O59" s="7">
        <f t="shared" si="3"/>
        <v>0</v>
      </c>
      <c r="P59" s="7">
        <f>SUMIFS('Tong_hop_HQNV_2026Q1_2026-06-23'!$K:$K,'Tong_hop_HQNV_2026Q1_2026-06-23'!$A:$A,"="&amp;$P$2,'Tong_hop_HQNV_2026Q1_2026-06-23'!$B:$B, "="&amp;'CHECK_DT-BT_chi_tiet'!A59)</f>
        <v>108616543</v>
      </c>
      <c r="Q59" s="7">
        <f>SUMIFS('HQ2'!$C:$C,'HQ2'!$A:$A, "="&amp;'CHECK_DT-BT_chi_tiet'!C59,'HQ2'!$B:$B, "="&amp;'CHECK_DT-BT_chi_tiet'!$P$3)</f>
        <v>108616543</v>
      </c>
      <c r="R59" s="7">
        <f t="shared" si="4"/>
        <v>0</v>
      </c>
      <c r="S59" s="7">
        <f>SUMIFS('Tong_hop_HQNV_2026Q1_2026-06-23'!$K:$K,'Tong_hop_HQNV_2026Q1_2026-06-23'!$A:$A,"="&amp;$S$2,'Tong_hop_HQNV_2026Q1_2026-06-23'!$B:$B, "="&amp;'CHECK_DT-BT_chi_tiet'!A59)</f>
        <v>0</v>
      </c>
      <c r="T59" s="7">
        <f>SUMIFS('HQ2'!$C:$C,'HQ2'!$A:$A, "="&amp;'CHECK_DT-BT_chi_tiet'!C59,'HQ2'!$B:$B, "="&amp;'CHECK_DT-BT_chi_tiet'!$S$3)</f>
        <v>0</v>
      </c>
      <c r="U59" s="7">
        <f t="shared" si="5"/>
        <v>0</v>
      </c>
      <c r="V59" s="7">
        <f>SUMIFS('Tong_hop_HQNV_2026Q1_2026-06-23'!$K:$K,'Tong_hop_HQNV_2026Q1_2026-06-23'!$A:$A,"="&amp;$V$2,'Tong_hop_HQNV_2026Q1_2026-06-23'!$B:$B, "="&amp;'CHECK_DT-BT_chi_tiet'!A59)</f>
        <v>0</v>
      </c>
      <c r="W59" s="7">
        <f>SUMIFS('HQ2'!$C:$C,'HQ2'!$A:$A, "="&amp;'CHECK_DT-BT_chi_tiet'!C59,'HQ2'!$B:$B, "="&amp;'CHECK_DT-BT_chi_tiet'!$V$3)</f>
        <v>0</v>
      </c>
      <c r="X59" s="7">
        <f t="shared" si="6"/>
        <v>0</v>
      </c>
      <c r="Y59" s="7">
        <f>SUMIFS('Tong_hop_HQNV_2026Q1_2026-06-23'!$K:$K,'Tong_hop_HQNV_2026Q1_2026-06-23'!$A:$A,"="&amp;$Y$2,'Tong_hop_HQNV_2026Q1_2026-06-23'!$B:$B, "="&amp;'CHECK_DT-BT_chi_tiet'!A59)</f>
        <v>696299200</v>
      </c>
      <c r="Z59" s="7">
        <f>SUMIFS('HQ2'!$C:$C,'HQ2'!$A:$A, "="&amp;'CHECK_DT-BT_chi_tiet'!C59,'HQ2'!$B:$B, "="&amp;'CHECK_DT-BT_chi_tiet'!$Y$3)</f>
        <v>696299200</v>
      </c>
      <c r="AA59" s="7">
        <f t="shared" si="7"/>
        <v>0</v>
      </c>
      <c r="AB59" s="7">
        <f>SUMIFS('Tong_hop_HQNV_2026Q1_2026-06-23'!$K:$K,'Tong_hop_HQNV_2026Q1_2026-06-23'!$A:$A,"="&amp;$AB$2,'Tong_hop_HQNV_2026Q1_2026-06-23'!$B:$B, "="&amp;'CHECK_DT-BT_chi_tiet'!A59)</f>
        <v>631982505</v>
      </c>
      <c r="AC59" s="7">
        <f>SUMIFS('HQ2'!$C:$C,'HQ2'!$A:$A, "="&amp;'CHECK_DT-BT_chi_tiet'!C59,'HQ2'!$B:$B, "="&amp;'CHECK_DT-BT_chi_tiet'!$AB$3)</f>
        <v>631982505</v>
      </c>
      <c r="AD59" s="7">
        <f t="shared" si="8"/>
        <v>0</v>
      </c>
      <c r="AE59" s="7">
        <f>SUMIFS('Tong_hop_HQNV_2026Q1_2026-06-23'!$K:$K,'Tong_hop_HQNV_2026Q1_2026-06-23'!$A:$A,"="&amp;$AE$2,'Tong_hop_HQNV_2026Q1_2026-06-23'!$B:$B, "="&amp;'CHECK_DT-BT_chi_tiet'!A59)</f>
        <v>81955454</v>
      </c>
      <c r="AF59" s="7">
        <f>SUMIFS('HQ2'!$C:$C,'HQ2'!$A:$A, "="&amp;'CHECK_DT-BT_chi_tiet'!C59,'HQ2'!$B:$B, "="&amp;'CHECK_DT-BT_chi_tiet'!$AE$3)</f>
        <v>81955454</v>
      </c>
      <c r="AG59" s="7">
        <f t="shared" si="9"/>
        <v>0</v>
      </c>
      <c r="AH59" s="7">
        <f>SUMIFS('Tong_hop_HQNV_2026Q1_2026-06-23'!$K:$K,'Tong_hop_HQNV_2026Q1_2026-06-23'!$A:$A,"="&amp;$AH$2,'Tong_hop_HQNV_2026Q1_2026-06-23'!$B:$B, "="&amp;'CHECK_DT-BT_chi_tiet'!A59)</f>
        <v>2562500</v>
      </c>
      <c r="AI59" s="7">
        <f>SUMIFS('HQ2'!$C:$C,'HQ2'!$A:$A, "="&amp;'CHECK_DT-BT_chi_tiet'!C59,'HQ2'!$B:$B, "="&amp;'CHECK_DT-BT_chi_tiet'!$AH$3)</f>
        <v>2562500</v>
      </c>
      <c r="AJ59" s="7">
        <f t="shared" si="10"/>
        <v>0</v>
      </c>
      <c r="AK59" s="7">
        <f>SUMIFS('Tong_hop_HQNV_2026Q1_2026-06-23'!$K:$K,'Tong_hop_HQNV_2026Q1_2026-06-23'!$A:$A,"="&amp;$AK$2,'Tong_hop_HQNV_2026Q1_2026-06-23'!$B:$B, "="&amp;'CHECK_DT-BT_chi_tiet'!A59)</f>
        <v>0</v>
      </c>
      <c r="AL59" s="7">
        <f>SUMIFS('Tong_hop_HQNV_2026Q1_2026-06-23'!$K:$K,'Tong_hop_HQNV_2026Q1_2026-06-23'!$A:$A,"="&amp;$AL$2,'Tong_hop_HQNV_2026Q1_2026-06-23'!$B:$B, "="&amp;'CHECK_DT-BT_chi_tiet'!A59)</f>
        <v>0</v>
      </c>
      <c r="AM59" s="23">
        <f>SUMIFS('Tong_hop_HQNV_2026Q1_2026-06-23'!$L:$L,'Tong_hop_HQNV_2026Q1_2026-06-23'!$B:$B, "="&amp;'CHECK_DT-BT_chi_tiet'!A59, 'Tong_hop_HQNV_2026Q1_2026-06-23'!$A:$A, "="&amp;'CHECK_DT-BT_chi_tiet'!$AM$2)</f>
        <v>2705608140</v>
      </c>
      <c r="AN59" s="29">
        <f>SUMIFS('HQ1'!$D:$D,'HQ1'!$A:$A, "="&amp;'CHECK_DT-BT_chi_tiet'!C59,'HQ1'!$B:$B,"="&amp;'CHECK_DT-BT_chi_tiet'!$AM$3)</f>
        <v>2705608140</v>
      </c>
      <c r="AO59" s="29">
        <f t="shared" si="11"/>
        <v>0</v>
      </c>
      <c r="AP59" s="7">
        <f>SUMIFS('Tong_hop_HQNV_2026Q1_2026-06-23'!$L:$L,'Tong_hop_HQNV_2026Q1_2026-06-23'!$B:$B, "="&amp;'CHECK_DT-BT_chi_tiet'!A59, 'Tong_hop_HQNV_2026Q1_2026-06-23'!$A:$A, "="&amp;'CHECK_DT-BT_chi_tiet'!$AP$2)</f>
        <v>0</v>
      </c>
      <c r="AQ59" s="29">
        <f>SUMIFS('HQ1'!$D:$D,'HQ1'!$A:$A, "="&amp;'CHECK_DT-BT_chi_tiet'!C59,'HQ1'!$B:$B,"="&amp;'CHECK_DT-BT_chi_tiet'!$AP$3)</f>
        <v>0</v>
      </c>
      <c r="AR59" s="7">
        <f t="shared" si="12"/>
        <v>0</v>
      </c>
      <c r="AS59" s="7">
        <f>SUMIFS('Tong_hop_HQNV_2026Q1_2026-06-23'!$L:$L,'Tong_hop_HQNV_2026Q1_2026-06-23'!$B:$B, "="&amp;'CHECK_DT-BT_chi_tiet'!A59, 'Tong_hop_HQNV_2026Q1_2026-06-23'!$A:$A, "="&amp;'CHECK_DT-BT_chi_tiet'!$AS$2)</f>
        <v>744227252</v>
      </c>
      <c r="AT59" s="29">
        <f>SUMIFS('HQ1'!$D:$D,'HQ1'!$A:$A, "="&amp;'CHECK_DT-BT_chi_tiet'!C59,'HQ1'!$B:$B,"="&amp;'CHECK_DT-BT_chi_tiet'!$AS$3)</f>
        <v>744227252</v>
      </c>
      <c r="AU59" s="7">
        <f t="shared" si="13"/>
        <v>0</v>
      </c>
      <c r="AV59" s="7">
        <f>SUMIFS('Tong_hop_HQNV_2026Q1_2026-06-23'!$L:$L,'Tong_hop_HQNV_2026Q1_2026-06-23'!$B:$B, "="&amp;'CHECK_DT-BT_chi_tiet'!A59, 'Tong_hop_HQNV_2026Q1_2026-06-23'!$A:$A, "="&amp;'CHECK_DT-BT_chi_tiet'!$AV$2)</f>
        <v>85011372</v>
      </c>
      <c r="AW59" s="29">
        <f>SUMIFS('HQ1'!$D:$D,'HQ1'!$A:$A, "="&amp;'CHECK_DT-BT_chi_tiet'!C59,'HQ1'!$B:$B,"="&amp;'CHECK_DT-BT_chi_tiet'!$AV$3)</f>
        <v>85011372</v>
      </c>
      <c r="AX59" s="7">
        <f t="shared" si="14"/>
        <v>0</v>
      </c>
      <c r="AY59" s="7">
        <f>SUMIFS('Tong_hop_HQNV_2026Q1_2026-06-23'!$L:$L,'Tong_hop_HQNV_2026Q1_2026-06-23'!$B:$B, "="&amp;'CHECK_DT-BT_chi_tiet'!A59, 'Tong_hop_HQNV_2026Q1_2026-06-23'!$A:$A, "="&amp;$AY$2)</f>
        <v>0</v>
      </c>
      <c r="AZ59" s="29">
        <f>SUMIFS('HQ2'!$J:$J,'HQ2'!$A:$A, "="&amp;'CHECK_DT-BT_chi_tiet'!C59,'HQ2'!$B:$B,"="&amp;'CHECK_DT-BT_chi_tiet'!$AY$3)</f>
        <v>0</v>
      </c>
      <c r="BA59" s="7">
        <f t="shared" si="15"/>
        <v>0</v>
      </c>
      <c r="BB59" s="7">
        <f>SUMIFS('Tong_hop_HQNV_2026Q1_2026-06-23'!$L:$L,'Tong_hop_HQNV_2026Q1_2026-06-23'!$B:$B, "="&amp;'CHECK_DT-BT_chi_tiet'!A59, 'Tong_hop_HQNV_2026Q1_2026-06-23'!$A:$A, "="&amp;$BB$2)</f>
        <v>0</v>
      </c>
      <c r="BC59" s="29">
        <f>SUMIFS('HQ2'!$J:$J,'HQ2'!$A:$A, "="&amp;'CHECK_DT-BT_chi_tiet'!C59,'HQ2'!$B:$B,"="&amp;'CHECK_DT-BT_chi_tiet'!$BB$3)</f>
        <v>0</v>
      </c>
      <c r="BD59" s="7">
        <f t="shared" si="16"/>
        <v>0</v>
      </c>
      <c r="BE59" s="7">
        <f>SUMIFS('Tong_hop_HQNV_2026Q1_2026-06-23'!$L:$L,'Tong_hop_HQNV_2026Q1_2026-06-23'!$B:$B, "="&amp;'CHECK_DT-BT_chi_tiet'!A59, 'Tong_hop_HQNV_2026Q1_2026-06-23'!$A:$A, "="&amp;$BE$2)</f>
        <v>0</v>
      </c>
      <c r="BF59" s="29">
        <f>SUMIFS('HQ2'!$J:$J,'HQ2'!$A:$A, "="&amp;'CHECK_DT-BT_chi_tiet'!C59,'HQ2'!$B:$B,"="&amp;'CHECK_DT-BT_chi_tiet'!$BE$3)</f>
        <v>0</v>
      </c>
      <c r="BG59" s="7">
        <f t="shared" si="17"/>
        <v>0</v>
      </c>
      <c r="BH59" s="7">
        <f>SUMIFS('Tong_hop_HQNV_2026Q1_2026-06-23'!$L:$L,'Tong_hop_HQNV_2026Q1_2026-06-23'!$B:$B, "="&amp;'CHECK_DT-BT_chi_tiet'!A59, 'Tong_hop_HQNV_2026Q1_2026-06-23'!$A:$A, "="&amp;$BH$2)</f>
        <v>134675000</v>
      </c>
      <c r="BI59" s="29">
        <f>SUMIFS('HQ2'!$J:$J,'HQ2'!$A:$A, "="&amp;'CHECK_DT-BT_chi_tiet'!C59,'HQ2'!$B:$B,"="&amp;'CHECK_DT-BT_chi_tiet'!$BH$3)</f>
        <v>134675000</v>
      </c>
      <c r="BJ59" s="7">
        <f t="shared" si="18"/>
        <v>0</v>
      </c>
      <c r="BK59" s="7">
        <f>SUMIFS('Tong_hop_HQNV_2026Q1_2026-06-23'!$L:$L,'Tong_hop_HQNV_2026Q1_2026-06-23'!$B:$B, "="&amp;'CHECK_DT-BT_chi_tiet'!A59, 'Tong_hop_HQNV_2026Q1_2026-06-23'!$A:$A, "="&amp;$BK$2)</f>
        <v>0</v>
      </c>
      <c r="BL59" s="29">
        <f>SUMIFS('HQ2'!$J:$J,'HQ2'!$A:$A, "="&amp;'CHECK_DT-BT_chi_tiet'!C59,'HQ2'!$B:$B,"="&amp;'CHECK_DT-BT_chi_tiet'!$BK$3)</f>
        <v>0</v>
      </c>
      <c r="BM59" s="7">
        <f t="shared" si="19"/>
        <v>0</v>
      </c>
      <c r="BN59" s="7">
        <f>SUMIFS('Tong_hop_HQNV_2026Q1_2026-06-23'!$L:$L,'Tong_hop_HQNV_2026Q1_2026-06-23'!$B:$B, "="&amp;'CHECK_DT-BT_chi_tiet'!A59, 'Tong_hop_HQNV_2026Q1_2026-06-23'!$A:$A, "="&amp;$BN$2)</f>
        <v>0</v>
      </c>
      <c r="BO59" s="29">
        <f>SUMIFS('HQ2'!$J:$J,'HQ2'!$A:$A, "="&amp;'CHECK_DT-BT_chi_tiet'!C59,'HQ2'!$B:$B,"="&amp;'CHECK_DT-BT_chi_tiet'!$BN$3)</f>
        <v>0</v>
      </c>
      <c r="BP59" s="7">
        <f t="shared" si="20"/>
        <v>0</v>
      </c>
      <c r="BQ59" s="7">
        <f>SUMIFS('Tong_hop_HQNV_2026Q1_2026-06-23'!$L:$L,'Tong_hop_HQNV_2026Q1_2026-06-23'!$B:$B, "="&amp;'CHECK_DT-BT_chi_tiet'!A59, 'Tong_hop_HQNV_2026Q1_2026-06-23'!$A:$A, "="&amp;$BQ$2)</f>
        <v>0</v>
      </c>
      <c r="BR59" s="29">
        <f>SUMIFS('HQ2'!$J:$J,'HQ2'!$A:$A, "="&amp;'CHECK_DT-BT_chi_tiet'!C59,'HQ2'!$B:$B,"="&amp;'CHECK_DT-BT_chi_tiet'!$BQ$3)</f>
        <v>0</v>
      </c>
      <c r="BS59" s="7">
        <f t="shared" si="21"/>
        <v>0</v>
      </c>
      <c r="BT59" s="7">
        <f>SUMIFS('Tong_hop_HQNV_2026Q1_2026-06-23'!$L:$L,'Tong_hop_HQNV_2026Q1_2026-06-23'!$B:$B, "="&amp;'CHECK_DT-BT_chi_tiet'!A59, 'Tong_hop_HQNV_2026Q1_2026-06-23'!$A:$A, "="&amp;$BT$2)</f>
        <v>0</v>
      </c>
      <c r="BU59" s="7">
        <f>SUMIFS('Tong_hop_HQNV_2026Q1_2026-06-23'!$L:$L,'Tong_hop_HQNV_2026Q1_2026-06-23'!$B:$B, "="&amp;'CHECK_DT-BT_chi_tiet'!A59, 'Tong_hop_HQNV_2026Q1_2026-06-23'!$A:$A, "="&amp;$BU$2)</f>
        <v>0</v>
      </c>
    </row>
    <row r="60" spans="1:73" x14ac:dyDescent="0.25">
      <c r="A60" s="9" t="s">
        <v>340</v>
      </c>
      <c r="B60" t="s">
        <v>198</v>
      </c>
      <c r="C60" t="s">
        <v>73</v>
      </c>
      <c r="D60" s="7">
        <f>SUMIFS('Tong_hop_HQNV_2026Q1_2026-06-23'!$K:$K,'Tong_hop_HQNV_2026Q1_2026-06-23'!$A:$A,"="&amp;'CHECK_DT-BT_chi_tiet'!$D$2,'Tong_hop_HQNV_2026Q1_2026-06-23'!$B:$B, "="&amp;'CHECK_DT-BT_chi_tiet'!A60)</f>
        <v>4541438677</v>
      </c>
      <c r="E60" s="7">
        <f>SUMIFS('HQ1'!$C:$C,'HQ1'!$A:$A, "="&amp;'CHECK_DT-BT_chi_tiet'!C60,'HQ1'!$B:$B, "="&amp;'CHECK_DT-BT_chi_tiet'!$D$3)</f>
        <v>4541438677</v>
      </c>
      <c r="F60" s="7">
        <f t="shared" si="0"/>
        <v>0</v>
      </c>
      <c r="G60" s="7">
        <f>SUMIFS('Tong_hop_HQNV_2026Q1_2026-06-23'!$K:$K,'Tong_hop_HQNV_2026Q1_2026-06-23'!$A:$A,"="&amp;'CHECK_DT-BT_chi_tiet'!$G$2,'Tong_hop_HQNV_2026Q1_2026-06-23'!$B:$B, "="&amp;'CHECK_DT-BT_chi_tiet'!A60)</f>
        <v>429854160</v>
      </c>
      <c r="H60" s="7">
        <f>SUMIFS('HQ1'!$C:$C,'HQ1'!$A:$A, "="&amp;'CHECK_DT-BT_chi_tiet'!C60,'HQ1'!$B:$B, "="&amp;'CHECK_DT-BT_chi_tiet'!$G$3)</f>
        <v>429854160</v>
      </c>
      <c r="I60" s="7">
        <f t="shared" si="1"/>
        <v>0</v>
      </c>
      <c r="J60" s="7">
        <f>SUMIFS('Tong_hop_HQNV_2026Q1_2026-06-23'!$K:$K,'Tong_hop_HQNV_2026Q1_2026-06-23'!$A:$A,"="&amp;'CHECK_DT-BT_chi_tiet'!$J$2,'Tong_hop_HQNV_2026Q1_2026-06-23'!$B:$B, "="&amp;'CHECK_DT-BT_chi_tiet'!A60)</f>
        <v>2340572194</v>
      </c>
      <c r="K60" s="7">
        <f>SUMIFS('HQ1'!$C:$C,'HQ1'!$A:$A, "="&amp;'CHECK_DT-BT_chi_tiet'!C60,'HQ1'!$B:$B, "="&amp;'CHECK_DT-BT_chi_tiet'!$J$3)</f>
        <v>2340572194</v>
      </c>
      <c r="L60" s="7">
        <f t="shared" si="2"/>
        <v>0</v>
      </c>
      <c r="M60" s="7">
        <f>SUMIFS('Tong_hop_HQNV_2026Q1_2026-06-23'!$K:$K,'Tong_hop_HQNV_2026Q1_2026-06-23'!$A:$A,"="&amp;'CHECK_DT-BT_chi_tiet'!$M$2,'Tong_hop_HQNV_2026Q1_2026-06-23'!$B:$B, "="&amp;'CHECK_DT-BT_chi_tiet'!A60)</f>
        <v>123121950</v>
      </c>
      <c r="N60" s="7">
        <f>SUMIFS('HQ1'!$C:$C,'HQ1'!$A:$A, "="&amp;'CHECK_DT-BT_chi_tiet'!C60,'HQ1'!$B:$B, "="&amp;'CHECK_DT-BT_chi_tiet'!$M$3)</f>
        <v>123121950</v>
      </c>
      <c r="O60" s="7">
        <f t="shared" si="3"/>
        <v>0</v>
      </c>
      <c r="P60" s="7">
        <f>SUMIFS('Tong_hop_HQNV_2026Q1_2026-06-23'!$K:$K,'Tong_hop_HQNV_2026Q1_2026-06-23'!$A:$A,"="&amp;$P$2,'Tong_hop_HQNV_2026Q1_2026-06-23'!$B:$B, "="&amp;'CHECK_DT-BT_chi_tiet'!A60)</f>
        <v>0</v>
      </c>
      <c r="Q60" s="7">
        <f>SUMIFS('HQ2'!$C:$C,'HQ2'!$A:$A, "="&amp;'CHECK_DT-BT_chi_tiet'!C60,'HQ2'!$B:$B, "="&amp;'CHECK_DT-BT_chi_tiet'!$P$3)</f>
        <v>0</v>
      </c>
      <c r="R60" s="7">
        <f t="shared" si="4"/>
        <v>0</v>
      </c>
      <c r="S60" s="7">
        <f>SUMIFS('Tong_hop_HQNV_2026Q1_2026-06-23'!$K:$K,'Tong_hop_HQNV_2026Q1_2026-06-23'!$A:$A,"="&amp;$S$2,'Tong_hop_HQNV_2026Q1_2026-06-23'!$B:$B, "="&amp;'CHECK_DT-BT_chi_tiet'!A60)</f>
        <v>0</v>
      </c>
      <c r="T60" s="7">
        <f>SUMIFS('HQ2'!$C:$C,'HQ2'!$A:$A, "="&amp;'CHECK_DT-BT_chi_tiet'!C60,'HQ2'!$B:$B, "="&amp;'CHECK_DT-BT_chi_tiet'!$S$3)</f>
        <v>0</v>
      </c>
      <c r="U60" s="7">
        <f t="shared" si="5"/>
        <v>0</v>
      </c>
      <c r="V60" s="7">
        <f>SUMIFS('Tong_hop_HQNV_2026Q1_2026-06-23'!$K:$K,'Tong_hop_HQNV_2026Q1_2026-06-23'!$A:$A,"="&amp;$V$2,'Tong_hop_HQNV_2026Q1_2026-06-23'!$B:$B, "="&amp;'CHECK_DT-BT_chi_tiet'!A60)</f>
        <v>0</v>
      </c>
      <c r="W60" s="7">
        <f>SUMIFS('HQ2'!$C:$C,'HQ2'!$A:$A, "="&amp;'CHECK_DT-BT_chi_tiet'!C60,'HQ2'!$B:$B, "="&amp;'CHECK_DT-BT_chi_tiet'!$V$3)</f>
        <v>0</v>
      </c>
      <c r="X60" s="7">
        <f t="shared" si="6"/>
        <v>0</v>
      </c>
      <c r="Y60" s="7">
        <f>SUMIFS('Tong_hop_HQNV_2026Q1_2026-06-23'!$K:$K,'Tong_hop_HQNV_2026Q1_2026-06-23'!$A:$A,"="&amp;$Y$2,'Tong_hop_HQNV_2026Q1_2026-06-23'!$B:$B, "="&amp;'CHECK_DT-BT_chi_tiet'!A60)</f>
        <v>1922049136</v>
      </c>
      <c r="Z60" s="7">
        <f>SUMIFS('HQ2'!$C:$C,'HQ2'!$A:$A, "="&amp;'CHECK_DT-BT_chi_tiet'!C60,'HQ2'!$B:$B, "="&amp;'CHECK_DT-BT_chi_tiet'!$Y$3)</f>
        <v>1922049136</v>
      </c>
      <c r="AA60" s="7">
        <f t="shared" si="7"/>
        <v>0</v>
      </c>
      <c r="AB60" s="7">
        <f>SUMIFS('Tong_hop_HQNV_2026Q1_2026-06-23'!$K:$K,'Tong_hop_HQNV_2026Q1_2026-06-23'!$A:$A,"="&amp;$AB$2,'Tong_hop_HQNV_2026Q1_2026-06-23'!$B:$B, "="&amp;'CHECK_DT-BT_chi_tiet'!A60)</f>
        <v>82851988</v>
      </c>
      <c r="AC60" s="7">
        <f>SUMIFS('HQ2'!$C:$C,'HQ2'!$A:$A, "="&amp;'CHECK_DT-BT_chi_tiet'!C60,'HQ2'!$B:$B, "="&amp;'CHECK_DT-BT_chi_tiet'!$AB$3)</f>
        <v>82851988</v>
      </c>
      <c r="AD60" s="7">
        <f t="shared" si="8"/>
        <v>0</v>
      </c>
      <c r="AE60" s="7">
        <f>SUMIFS('Tong_hop_HQNV_2026Q1_2026-06-23'!$K:$K,'Tong_hop_HQNV_2026Q1_2026-06-23'!$A:$A,"="&amp;$AE$2,'Tong_hop_HQNV_2026Q1_2026-06-23'!$B:$B, "="&amp;'CHECK_DT-BT_chi_tiet'!A60)</f>
        <v>3967584297</v>
      </c>
      <c r="AF60" s="7">
        <f>SUMIFS('HQ2'!$C:$C,'HQ2'!$A:$A, "="&amp;'CHECK_DT-BT_chi_tiet'!C60,'HQ2'!$B:$B, "="&amp;'CHECK_DT-BT_chi_tiet'!$AE$3)</f>
        <v>3967584297</v>
      </c>
      <c r="AG60" s="7">
        <f t="shared" si="9"/>
        <v>0</v>
      </c>
      <c r="AH60" s="7">
        <f>SUMIFS('Tong_hop_HQNV_2026Q1_2026-06-23'!$K:$K,'Tong_hop_HQNV_2026Q1_2026-06-23'!$A:$A,"="&amp;$AH$2,'Tong_hop_HQNV_2026Q1_2026-06-23'!$B:$B, "="&amp;'CHECK_DT-BT_chi_tiet'!A60)</f>
        <v>0</v>
      </c>
      <c r="AI60" s="7">
        <f>SUMIFS('HQ2'!$C:$C,'HQ2'!$A:$A, "="&amp;'CHECK_DT-BT_chi_tiet'!C60,'HQ2'!$B:$B, "="&amp;'CHECK_DT-BT_chi_tiet'!$AH$3)</f>
        <v>0</v>
      </c>
      <c r="AJ60" s="7">
        <f t="shared" si="10"/>
        <v>0</v>
      </c>
      <c r="AK60" s="7">
        <f>SUMIFS('Tong_hop_HQNV_2026Q1_2026-06-23'!$K:$K,'Tong_hop_HQNV_2026Q1_2026-06-23'!$A:$A,"="&amp;$AK$2,'Tong_hop_HQNV_2026Q1_2026-06-23'!$B:$B, "="&amp;'CHECK_DT-BT_chi_tiet'!A60)</f>
        <v>0</v>
      </c>
      <c r="AL60" s="7">
        <f>SUMIFS('Tong_hop_HQNV_2026Q1_2026-06-23'!$K:$K,'Tong_hop_HQNV_2026Q1_2026-06-23'!$A:$A,"="&amp;$AL$2,'Tong_hop_HQNV_2026Q1_2026-06-23'!$B:$B, "="&amp;'CHECK_DT-BT_chi_tiet'!A60)</f>
        <v>0</v>
      </c>
      <c r="AM60" s="23">
        <f>SUMIFS('Tong_hop_HQNV_2026Q1_2026-06-23'!$L:$L,'Tong_hop_HQNV_2026Q1_2026-06-23'!$B:$B, "="&amp;'CHECK_DT-BT_chi_tiet'!A60, 'Tong_hop_HQNV_2026Q1_2026-06-23'!$A:$A, "="&amp;'CHECK_DT-BT_chi_tiet'!$AM$2)</f>
        <v>2717178976</v>
      </c>
      <c r="AN60" s="29">
        <f>SUMIFS('HQ1'!$D:$D,'HQ1'!$A:$A, "="&amp;'CHECK_DT-BT_chi_tiet'!C60,'HQ1'!$B:$B,"="&amp;'CHECK_DT-BT_chi_tiet'!$AM$3)</f>
        <v>2717178976</v>
      </c>
      <c r="AO60" s="29">
        <f t="shared" si="11"/>
        <v>0</v>
      </c>
      <c r="AP60" s="7">
        <f>SUMIFS('Tong_hop_HQNV_2026Q1_2026-06-23'!$L:$L,'Tong_hop_HQNV_2026Q1_2026-06-23'!$B:$B, "="&amp;'CHECK_DT-BT_chi_tiet'!A60, 'Tong_hop_HQNV_2026Q1_2026-06-23'!$A:$A, "="&amp;'CHECK_DT-BT_chi_tiet'!$AP$2)</f>
        <v>0</v>
      </c>
      <c r="AQ60" s="29">
        <f>SUMIFS('HQ1'!$D:$D,'HQ1'!$A:$A, "="&amp;'CHECK_DT-BT_chi_tiet'!C60,'HQ1'!$B:$B,"="&amp;'CHECK_DT-BT_chi_tiet'!$AP$3)</f>
        <v>0</v>
      </c>
      <c r="AR60" s="7">
        <f t="shared" si="12"/>
        <v>0</v>
      </c>
      <c r="AS60" s="7">
        <f>SUMIFS('Tong_hop_HQNV_2026Q1_2026-06-23'!$L:$L,'Tong_hop_HQNV_2026Q1_2026-06-23'!$B:$B, "="&amp;'CHECK_DT-BT_chi_tiet'!A60, 'Tong_hop_HQNV_2026Q1_2026-06-23'!$A:$A, "="&amp;'CHECK_DT-BT_chi_tiet'!$AS$2)</f>
        <v>1351414338</v>
      </c>
      <c r="AT60" s="29">
        <f>SUMIFS('HQ1'!$D:$D,'HQ1'!$A:$A, "="&amp;'CHECK_DT-BT_chi_tiet'!C60,'HQ1'!$B:$B,"="&amp;'CHECK_DT-BT_chi_tiet'!$AS$3)</f>
        <v>1351414338</v>
      </c>
      <c r="AU60" s="7">
        <f t="shared" si="13"/>
        <v>0</v>
      </c>
      <c r="AV60" s="7">
        <f>SUMIFS('Tong_hop_HQNV_2026Q1_2026-06-23'!$L:$L,'Tong_hop_HQNV_2026Q1_2026-06-23'!$B:$B, "="&amp;'CHECK_DT-BT_chi_tiet'!A60, 'Tong_hop_HQNV_2026Q1_2026-06-23'!$A:$A, "="&amp;'CHECK_DT-BT_chi_tiet'!$AV$2)</f>
        <v>88216008</v>
      </c>
      <c r="AW60" s="29">
        <f>SUMIFS('HQ1'!$D:$D,'HQ1'!$A:$A, "="&amp;'CHECK_DT-BT_chi_tiet'!C60,'HQ1'!$B:$B,"="&amp;'CHECK_DT-BT_chi_tiet'!$AV$3)</f>
        <v>88216008</v>
      </c>
      <c r="AX60" s="7">
        <f t="shared" si="14"/>
        <v>0</v>
      </c>
      <c r="AY60" s="7">
        <f>SUMIFS('Tong_hop_HQNV_2026Q1_2026-06-23'!$L:$L,'Tong_hop_HQNV_2026Q1_2026-06-23'!$B:$B, "="&amp;'CHECK_DT-BT_chi_tiet'!A60, 'Tong_hop_HQNV_2026Q1_2026-06-23'!$A:$A, "="&amp;$AY$2)</f>
        <v>0</v>
      </c>
      <c r="AZ60" s="29">
        <f>SUMIFS('HQ2'!$J:$J,'HQ2'!$A:$A, "="&amp;'CHECK_DT-BT_chi_tiet'!C60,'HQ2'!$B:$B,"="&amp;'CHECK_DT-BT_chi_tiet'!$AY$3)</f>
        <v>0</v>
      </c>
      <c r="BA60" s="7">
        <f t="shared" si="15"/>
        <v>0</v>
      </c>
      <c r="BB60" s="7">
        <f>SUMIFS('Tong_hop_HQNV_2026Q1_2026-06-23'!$L:$L,'Tong_hop_HQNV_2026Q1_2026-06-23'!$B:$B, "="&amp;'CHECK_DT-BT_chi_tiet'!A60, 'Tong_hop_HQNV_2026Q1_2026-06-23'!$A:$A, "="&amp;$BB$2)</f>
        <v>0</v>
      </c>
      <c r="BC60" s="29">
        <f>SUMIFS('HQ2'!$J:$J,'HQ2'!$A:$A, "="&amp;'CHECK_DT-BT_chi_tiet'!C60,'HQ2'!$B:$B,"="&amp;'CHECK_DT-BT_chi_tiet'!$BB$3)</f>
        <v>0</v>
      </c>
      <c r="BD60" s="7">
        <f t="shared" si="16"/>
        <v>0</v>
      </c>
      <c r="BE60" s="7">
        <f>SUMIFS('Tong_hop_HQNV_2026Q1_2026-06-23'!$L:$L,'Tong_hop_HQNV_2026Q1_2026-06-23'!$B:$B, "="&amp;'CHECK_DT-BT_chi_tiet'!A60, 'Tong_hop_HQNV_2026Q1_2026-06-23'!$A:$A, "="&amp;$BE$2)</f>
        <v>0</v>
      </c>
      <c r="BF60" s="29">
        <f>SUMIFS('HQ2'!$J:$J,'HQ2'!$A:$A, "="&amp;'CHECK_DT-BT_chi_tiet'!C60,'HQ2'!$B:$B,"="&amp;'CHECK_DT-BT_chi_tiet'!$BE$3)</f>
        <v>0</v>
      </c>
      <c r="BG60" s="7">
        <f t="shared" si="17"/>
        <v>0</v>
      </c>
      <c r="BH60" s="7">
        <f>SUMIFS('Tong_hop_HQNV_2026Q1_2026-06-23'!$L:$L,'Tong_hop_HQNV_2026Q1_2026-06-23'!$B:$B, "="&amp;'CHECK_DT-BT_chi_tiet'!A60, 'Tong_hop_HQNV_2026Q1_2026-06-23'!$A:$A, "="&amp;$BH$2)</f>
        <v>512386500</v>
      </c>
      <c r="BI60" s="29">
        <f>SUMIFS('HQ2'!$J:$J,'HQ2'!$A:$A, "="&amp;'CHECK_DT-BT_chi_tiet'!C60,'HQ2'!$B:$B,"="&amp;'CHECK_DT-BT_chi_tiet'!$BH$3)</f>
        <v>512386500</v>
      </c>
      <c r="BJ60" s="7">
        <f t="shared" si="18"/>
        <v>0</v>
      </c>
      <c r="BK60" s="7">
        <f>SUMIFS('Tong_hop_HQNV_2026Q1_2026-06-23'!$L:$L,'Tong_hop_HQNV_2026Q1_2026-06-23'!$B:$B, "="&amp;'CHECK_DT-BT_chi_tiet'!A60, 'Tong_hop_HQNV_2026Q1_2026-06-23'!$A:$A, "="&amp;$BK$2)</f>
        <v>0</v>
      </c>
      <c r="BL60" s="29">
        <f>SUMIFS('HQ2'!$J:$J,'HQ2'!$A:$A, "="&amp;'CHECK_DT-BT_chi_tiet'!C60,'HQ2'!$B:$B,"="&amp;'CHECK_DT-BT_chi_tiet'!$BK$3)</f>
        <v>0</v>
      </c>
      <c r="BM60" s="7">
        <f t="shared" si="19"/>
        <v>0</v>
      </c>
      <c r="BN60" s="7">
        <f>SUMIFS('Tong_hop_HQNV_2026Q1_2026-06-23'!$L:$L,'Tong_hop_HQNV_2026Q1_2026-06-23'!$B:$B, "="&amp;'CHECK_DT-BT_chi_tiet'!A60, 'Tong_hop_HQNV_2026Q1_2026-06-23'!$A:$A, "="&amp;$BN$2)</f>
        <v>0</v>
      </c>
      <c r="BO60" s="29">
        <f>SUMIFS('HQ2'!$J:$J,'HQ2'!$A:$A, "="&amp;'CHECK_DT-BT_chi_tiet'!C60,'HQ2'!$B:$B,"="&amp;'CHECK_DT-BT_chi_tiet'!$BN$3)</f>
        <v>0</v>
      </c>
      <c r="BP60" s="7">
        <f t="shared" si="20"/>
        <v>0</v>
      </c>
      <c r="BQ60" s="7">
        <f>SUMIFS('Tong_hop_HQNV_2026Q1_2026-06-23'!$L:$L,'Tong_hop_HQNV_2026Q1_2026-06-23'!$B:$B, "="&amp;'CHECK_DT-BT_chi_tiet'!A60, 'Tong_hop_HQNV_2026Q1_2026-06-23'!$A:$A, "="&amp;$BQ$2)</f>
        <v>0</v>
      </c>
      <c r="BR60" s="29">
        <f>SUMIFS('HQ2'!$J:$J,'HQ2'!$A:$A, "="&amp;'CHECK_DT-BT_chi_tiet'!C60,'HQ2'!$B:$B,"="&amp;'CHECK_DT-BT_chi_tiet'!$BQ$3)</f>
        <v>0</v>
      </c>
      <c r="BS60" s="7">
        <f t="shared" si="21"/>
        <v>0</v>
      </c>
      <c r="BT60" s="7">
        <f>SUMIFS('Tong_hop_HQNV_2026Q1_2026-06-23'!$L:$L,'Tong_hop_HQNV_2026Q1_2026-06-23'!$B:$B, "="&amp;'CHECK_DT-BT_chi_tiet'!A60, 'Tong_hop_HQNV_2026Q1_2026-06-23'!$A:$A, "="&amp;$BT$2)</f>
        <v>0</v>
      </c>
      <c r="BU60" s="7">
        <f>SUMIFS('Tong_hop_HQNV_2026Q1_2026-06-23'!$L:$L,'Tong_hop_HQNV_2026Q1_2026-06-23'!$B:$B, "="&amp;'CHECK_DT-BT_chi_tiet'!A60, 'Tong_hop_HQNV_2026Q1_2026-06-23'!$A:$A, "="&amp;$BU$2)</f>
        <v>0</v>
      </c>
    </row>
    <row r="61" spans="1:73" x14ac:dyDescent="0.25">
      <c r="A61" s="9" t="s">
        <v>341</v>
      </c>
      <c r="B61" t="s">
        <v>199</v>
      </c>
      <c r="C61" t="s">
        <v>101</v>
      </c>
      <c r="D61" s="7">
        <f>SUMIFS('Tong_hop_HQNV_2026Q1_2026-06-23'!$K:$K,'Tong_hop_HQNV_2026Q1_2026-06-23'!$A:$A,"="&amp;'CHECK_DT-BT_chi_tiet'!$D$2,'Tong_hop_HQNV_2026Q1_2026-06-23'!$B:$B, "="&amp;'CHECK_DT-BT_chi_tiet'!A61)</f>
        <v>8237470313</v>
      </c>
      <c r="E61" s="7">
        <f>SUMIFS('HQ1'!$C:$C,'HQ1'!$A:$A, "="&amp;'CHECK_DT-BT_chi_tiet'!C61,'HQ1'!$B:$B, "="&amp;'CHECK_DT-BT_chi_tiet'!$D$3)</f>
        <v>8237470313</v>
      </c>
      <c r="F61" s="7">
        <f t="shared" si="0"/>
        <v>0</v>
      </c>
      <c r="G61" s="7">
        <f>SUMIFS('Tong_hop_HQNV_2026Q1_2026-06-23'!$K:$K,'Tong_hop_HQNV_2026Q1_2026-06-23'!$A:$A,"="&amp;'CHECK_DT-BT_chi_tiet'!$G$2,'Tong_hop_HQNV_2026Q1_2026-06-23'!$B:$B, "="&amp;'CHECK_DT-BT_chi_tiet'!A61)</f>
        <v>7833400</v>
      </c>
      <c r="H61" s="7">
        <f>SUMIFS('HQ1'!$C:$C,'HQ1'!$A:$A, "="&amp;'CHECK_DT-BT_chi_tiet'!C61,'HQ1'!$B:$B, "="&amp;'CHECK_DT-BT_chi_tiet'!$G$3)</f>
        <v>7833400</v>
      </c>
      <c r="I61" s="7">
        <f t="shared" si="1"/>
        <v>0</v>
      </c>
      <c r="J61" s="7">
        <f>SUMIFS('Tong_hop_HQNV_2026Q1_2026-06-23'!$K:$K,'Tong_hop_HQNV_2026Q1_2026-06-23'!$A:$A,"="&amp;'CHECK_DT-BT_chi_tiet'!$J$2,'Tong_hop_HQNV_2026Q1_2026-06-23'!$B:$B, "="&amp;'CHECK_DT-BT_chi_tiet'!A61)</f>
        <v>4613731890</v>
      </c>
      <c r="K61" s="7">
        <f>SUMIFS('HQ1'!$C:$C,'HQ1'!$A:$A, "="&amp;'CHECK_DT-BT_chi_tiet'!C61,'HQ1'!$B:$B, "="&amp;'CHECK_DT-BT_chi_tiet'!$J$3)</f>
        <v>4613731890</v>
      </c>
      <c r="L61" s="7">
        <f t="shared" si="2"/>
        <v>0</v>
      </c>
      <c r="M61" s="7">
        <f>SUMIFS('Tong_hop_HQNV_2026Q1_2026-06-23'!$K:$K,'Tong_hop_HQNV_2026Q1_2026-06-23'!$A:$A,"="&amp;'CHECK_DT-BT_chi_tiet'!$M$2,'Tong_hop_HQNV_2026Q1_2026-06-23'!$B:$B, "="&amp;'CHECK_DT-BT_chi_tiet'!A61)</f>
        <v>1174291475</v>
      </c>
      <c r="N61" s="7">
        <f>SUMIFS('HQ1'!$C:$C,'HQ1'!$A:$A, "="&amp;'CHECK_DT-BT_chi_tiet'!C61,'HQ1'!$B:$B, "="&amp;'CHECK_DT-BT_chi_tiet'!$M$3)</f>
        <v>1174291475</v>
      </c>
      <c r="O61" s="7">
        <f t="shared" si="3"/>
        <v>0</v>
      </c>
      <c r="P61" s="7">
        <f>SUMIFS('Tong_hop_HQNV_2026Q1_2026-06-23'!$K:$K,'Tong_hop_HQNV_2026Q1_2026-06-23'!$A:$A,"="&amp;$P$2,'Tong_hop_HQNV_2026Q1_2026-06-23'!$B:$B, "="&amp;'CHECK_DT-BT_chi_tiet'!A61)</f>
        <v>412530389</v>
      </c>
      <c r="Q61" s="7">
        <f>SUMIFS('HQ2'!$C:$C,'HQ2'!$A:$A, "="&amp;'CHECK_DT-BT_chi_tiet'!C61,'HQ2'!$B:$B, "="&amp;'CHECK_DT-BT_chi_tiet'!$P$3)</f>
        <v>412530389</v>
      </c>
      <c r="R61" s="7">
        <f t="shared" si="4"/>
        <v>0</v>
      </c>
      <c r="S61" s="7">
        <f>SUMIFS('Tong_hop_HQNV_2026Q1_2026-06-23'!$K:$K,'Tong_hop_HQNV_2026Q1_2026-06-23'!$A:$A,"="&amp;$S$2,'Tong_hop_HQNV_2026Q1_2026-06-23'!$B:$B, "="&amp;'CHECK_DT-BT_chi_tiet'!A61)</f>
        <v>0</v>
      </c>
      <c r="T61" s="7">
        <f>SUMIFS('HQ2'!$C:$C,'HQ2'!$A:$A, "="&amp;'CHECK_DT-BT_chi_tiet'!C61,'HQ2'!$B:$B, "="&amp;'CHECK_DT-BT_chi_tiet'!$S$3)</f>
        <v>0</v>
      </c>
      <c r="U61" s="7">
        <f t="shared" si="5"/>
        <v>0</v>
      </c>
      <c r="V61" s="7">
        <f>SUMIFS('Tong_hop_HQNV_2026Q1_2026-06-23'!$K:$K,'Tong_hop_HQNV_2026Q1_2026-06-23'!$A:$A,"="&amp;$V$2,'Tong_hop_HQNV_2026Q1_2026-06-23'!$B:$B, "="&amp;'CHECK_DT-BT_chi_tiet'!A61)</f>
        <v>0</v>
      </c>
      <c r="W61" s="7">
        <f>SUMIFS('HQ2'!$C:$C,'HQ2'!$A:$A, "="&amp;'CHECK_DT-BT_chi_tiet'!C61,'HQ2'!$B:$B, "="&amp;'CHECK_DT-BT_chi_tiet'!$V$3)</f>
        <v>0</v>
      </c>
      <c r="X61" s="7">
        <f t="shared" si="6"/>
        <v>0</v>
      </c>
      <c r="Y61" s="7">
        <f>SUMIFS('Tong_hop_HQNV_2026Q1_2026-06-23'!$K:$K,'Tong_hop_HQNV_2026Q1_2026-06-23'!$A:$A,"="&amp;$Y$2,'Tong_hop_HQNV_2026Q1_2026-06-23'!$B:$B, "="&amp;'CHECK_DT-BT_chi_tiet'!A61)</f>
        <v>343936251</v>
      </c>
      <c r="Z61" s="7">
        <f>SUMIFS('HQ2'!$C:$C,'HQ2'!$A:$A, "="&amp;'CHECK_DT-BT_chi_tiet'!C61,'HQ2'!$B:$B, "="&amp;'CHECK_DT-BT_chi_tiet'!$Y$3)</f>
        <v>343936251</v>
      </c>
      <c r="AA61" s="7">
        <f t="shared" si="7"/>
        <v>0</v>
      </c>
      <c r="AB61" s="7">
        <f>SUMIFS('Tong_hop_HQNV_2026Q1_2026-06-23'!$K:$K,'Tong_hop_HQNV_2026Q1_2026-06-23'!$A:$A,"="&amp;$AB$2,'Tong_hop_HQNV_2026Q1_2026-06-23'!$B:$B, "="&amp;'CHECK_DT-BT_chi_tiet'!A61)</f>
        <v>903650240</v>
      </c>
      <c r="AC61" s="7">
        <f>SUMIFS('HQ2'!$C:$C,'HQ2'!$A:$A, "="&amp;'CHECK_DT-BT_chi_tiet'!C61,'HQ2'!$B:$B, "="&amp;'CHECK_DT-BT_chi_tiet'!$AB$3)</f>
        <v>903650240</v>
      </c>
      <c r="AD61" s="7">
        <f t="shared" si="8"/>
        <v>0</v>
      </c>
      <c r="AE61" s="7">
        <f>SUMIFS('Tong_hop_HQNV_2026Q1_2026-06-23'!$K:$K,'Tong_hop_HQNV_2026Q1_2026-06-23'!$A:$A,"="&amp;$AE$2,'Tong_hop_HQNV_2026Q1_2026-06-23'!$B:$B, "="&amp;'CHECK_DT-BT_chi_tiet'!A61)</f>
        <v>166484636</v>
      </c>
      <c r="AF61" s="7">
        <f>SUMIFS('HQ2'!$C:$C,'HQ2'!$A:$A, "="&amp;'CHECK_DT-BT_chi_tiet'!C61,'HQ2'!$B:$B, "="&amp;'CHECK_DT-BT_chi_tiet'!$AE$3)</f>
        <v>166484636</v>
      </c>
      <c r="AG61" s="7">
        <f t="shared" si="9"/>
        <v>0</v>
      </c>
      <c r="AH61" s="7">
        <f>SUMIFS('Tong_hop_HQNV_2026Q1_2026-06-23'!$K:$K,'Tong_hop_HQNV_2026Q1_2026-06-23'!$A:$A,"="&amp;$AH$2,'Tong_hop_HQNV_2026Q1_2026-06-23'!$B:$B, "="&amp;'CHECK_DT-BT_chi_tiet'!A61)</f>
        <v>5318182</v>
      </c>
      <c r="AI61" s="7">
        <f>SUMIFS('HQ2'!$C:$C,'HQ2'!$A:$A, "="&amp;'CHECK_DT-BT_chi_tiet'!C61,'HQ2'!$B:$B, "="&amp;'CHECK_DT-BT_chi_tiet'!$AH$3)</f>
        <v>5318182</v>
      </c>
      <c r="AJ61" s="7">
        <f t="shared" si="10"/>
        <v>0</v>
      </c>
      <c r="AK61" s="7">
        <f>SUMIFS('Tong_hop_HQNV_2026Q1_2026-06-23'!$K:$K,'Tong_hop_HQNV_2026Q1_2026-06-23'!$A:$A,"="&amp;$AK$2,'Tong_hop_HQNV_2026Q1_2026-06-23'!$B:$B, "="&amp;'CHECK_DT-BT_chi_tiet'!A61)</f>
        <v>0</v>
      </c>
      <c r="AL61" s="7">
        <f>SUMIFS('Tong_hop_HQNV_2026Q1_2026-06-23'!$K:$K,'Tong_hop_HQNV_2026Q1_2026-06-23'!$A:$A,"="&amp;$AL$2,'Tong_hop_HQNV_2026Q1_2026-06-23'!$B:$B, "="&amp;'CHECK_DT-BT_chi_tiet'!A61)</f>
        <v>0</v>
      </c>
      <c r="AM61" s="23">
        <f>SUMIFS('Tong_hop_HQNV_2026Q1_2026-06-23'!$L:$L,'Tong_hop_HQNV_2026Q1_2026-06-23'!$B:$B, "="&amp;'CHECK_DT-BT_chi_tiet'!A61, 'Tong_hop_HQNV_2026Q1_2026-06-23'!$A:$A, "="&amp;'CHECK_DT-BT_chi_tiet'!$AM$2)</f>
        <v>7365283500</v>
      </c>
      <c r="AN61" s="29">
        <f>SUMIFS('HQ1'!$D:$D,'HQ1'!$A:$A, "="&amp;'CHECK_DT-BT_chi_tiet'!C61,'HQ1'!$B:$B,"="&amp;'CHECK_DT-BT_chi_tiet'!$AM$3)</f>
        <v>7365283500</v>
      </c>
      <c r="AO61" s="29">
        <f t="shared" si="11"/>
        <v>0</v>
      </c>
      <c r="AP61" s="7">
        <f>SUMIFS('Tong_hop_HQNV_2026Q1_2026-06-23'!$L:$L,'Tong_hop_HQNV_2026Q1_2026-06-23'!$B:$B, "="&amp;'CHECK_DT-BT_chi_tiet'!A61, 'Tong_hop_HQNV_2026Q1_2026-06-23'!$A:$A, "="&amp;'CHECK_DT-BT_chi_tiet'!$AP$2)</f>
        <v>0</v>
      </c>
      <c r="AQ61" s="29">
        <f>SUMIFS('HQ1'!$D:$D,'HQ1'!$A:$A, "="&amp;'CHECK_DT-BT_chi_tiet'!C61,'HQ1'!$B:$B,"="&amp;'CHECK_DT-BT_chi_tiet'!$AP$3)</f>
        <v>0</v>
      </c>
      <c r="AR61" s="7">
        <f t="shared" si="12"/>
        <v>0</v>
      </c>
      <c r="AS61" s="7">
        <f>SUMIFS('Tong_hop_HQNV_2026Q1_2026-06-23'!$L:$L,'Tong_hop_HQNV_2026Q1_2026-06-23'!$B:$B, "="&amp;'CHECK_DT-BT_chi_tiet'!A61, 'Tong_hop_HQNV_2026Q1_2026-06-23'!$A:$A, "="&amp;'CHECK_DT-BT_chi_tiet'!$AS$2)</f>
        <v>3122476776</v>
      </c>
      <c r="AT61" s="29">
        <f>SUMIFS('HQ1'!$D:$D,'HQ1'!$A:$A, "="&amp;'CHECK_DT-BT_chi_tiet'!C61,'HQ1'!$B:$B,"="&amp;'CHECK_DT-BT_chi_tiet'!$AS$3)</f>
        <v>3122476776</v>
      </c>
      <c r="AU61" s="7">
        <f t="shared" si="13"/>
        <v>0</v>
      </c>
      <c r="AV61" s="7">
        <f>SUMIFS('Tong_hop_HQNV_2026Q1_2026-06-23'!$L:$L,'Tong_hop_HQNV_2026Q1_2026-06-23'!$B:$B, "="&amp;'CHECK_DT-BT_chi_tiet'!A61, 'Tong_hop_HQNV_2026Q1_2026-06-23'!$A:$A, "="&amp;'CHECK_DT-BT_chi_tiet'!$AV$2)</f>
        <v>167509477</v>
      </c>
      <c r="AW61" s="29">
        <f>SUMIFS('HQ1'!$D:$D,'HQ1'!$A:$A, "="&amp;'CHECK_DT-BT_chi_tiet'!C61,'HQ1'!$B:$B,"="&amp;'CHECK_DT-BT_chi_tiet'!$AV$3)</f>
        <v>167509477</v>
      </c>
      <c r="AX61" s="7">
        <f t="shared" si="14"/>
        <v>0</v>
      </c>
      <c r="AY61" s="7">
        <f>SUMIFS('Tong_hop_HQNV_2026Q1_2026-06-23'!$L:$L,'Tong_hop_HQNV_2026Q1_2026-06-23'!$B:$B, "="&amp;'CHECK_DT-BT_chi_tiet'!A61, 'Tong_hop_HQNV_2026Q1_2026-06-23'!$A:$A, "="&amp;$AY$2)</f>
        <v>131611537</v>
      </c>
      <c r="AZ61" s="29">
        <f>SUMIFS('HQ2'!$J:$J,'HQ2'!$A:$A, "="&amp;'CHECK_DT-BT_chi_tiet'!C61,'HQ2'!$B:$B,"="&amp;'CHECK_DT-BT_chi_tiet'!$AY$3)</f>
        <v>131611537</v>
      </c>
      <c r="BA61" s="7">
        <f t="shared" si="15"/>
        <v>0</v>
      </c>
      <c r="BB61" s="7">
        <f>SUMIFS('Tong_hop_HQNV_2026Q1_2026-06-23'!$L:$L,'Tong_hop_HQNV_2026Q1_2026-06-23'!$B:$B, "="&amp;'CHECK_DT-BT_chi_tiet'!A61, 'Tong_hop_HQNV_2026Q1_2026-06-23'!$A:$A, "="&amp;$BB$2)</f>
        <v>0</v>
      </c>
      <c r="BC61" s="29">
        <f>SUMIFS('HQ2'!$J:$J,'HQ2'!$A:$A, "="&amp;'CHECK_DT-BT_chi_tiet'!C61,'HQ2'!$B:$B,"="&amp;'CHECK_DT-BT_chi_tiet'!$BB$3)</f>
        <v>0</v>
      </c>
      <c r="BD61" s="7">
        <f t="shared" si="16"/>
        <v>0</v>
      </c>
      <c r="BE61" s="7">
        <f>SUMIFS('Tong_hop_HQNV_2026Q1_2026-06-23'!$L:$L,'Tong_hop_HQNV_2026Q1_2026-06-23'!$B:$B, "="&amp;'CHECK_DT-BT_chi_tiet'!A61, 'Tong_hop_HQNV_2026Q1_2026-06-23'!$A:$A, "="&amp;$BE$2)</f>
        <v>0</v>
      </c>
      <c r="BF61" s="29">
        <f>SUMIFS('HQ2'!$J:$J,'HQ2'!$A:$A, "="&amp;'CHECK_DT-BT_chi_tiet'!C61,'HQ2'!$B:$B,"="&amp;'CHECK_DT-BT_chi_tiet'!$BE$3)</f>
        <v>0</v>
      </c>
      <c r="BG61" s="7">
        <f t="shared" si="17"/>
        <v>0</v>
      </c>
      <c r="BH61" s="7">
        <f>SUMIFS('Tong_hop_HQNV_2026Q1_2026-06-23'!$L:$L,'Tong_hop_HQNV_2026Q1_2026-06-23'!$B:$B, "="&amp;'CHECK_DT-BT_chi_tiet'!A61, 'Tong_hop_HQNV_2026Q1_2026-06-23'!$A:$A, "="&amp;$BH$2)</f>
        <v>912772800</v>
      </c>
      <c r="BI61" s="29">
        <f>SUMIFS('HQ2'!$J:$J,'HQ2'!$A:$A, "="&amp;'CHECK_DT-BT_chi_tiet'!C61,'HQ2'!$B:$B,"="&amp;'CHECK_DT-BT_chi_tiet'!$BH$3)</f>
        <v>912772800</v>
      </c>
      <c r="BJ61" s="7">
        <f t="shared" si="18"/>
        <v>0</v>
      </c>
      <c r="BK61" s="7">
        <f>SUMIFS('Tong_hop_HQNV_2026Q1_2026-06-23'!$L:$L,'Tong_hop_HQNV_2026Q1_2026-06-23'!$B:$B, "="&amp;'CHECK_DT-BT_chi_tiet'!A61, 'Tong_hop_HQNV_2026Q1_2026-06-23'!$A:$A, "="&amp;$BK$2)</f>
        <v>900000000</v>
      </c>
      <c r="BL61" s="29">
        <f>SUMIFS('HQ2'!$J:$J,'HQ2'!$A:$A, "="&amp;'CHECK_DT-BT_chi_tiet'!C61,'HQ2'!$B:$B,"="&amp;'CHECK_DT-BT_chi_tiet'!$BK$3)</f>
        <v>900000000</v>
      </c>
      <c r="BM61" s="7">
        <f t="shared" si="19"/>
        <v>0</v>
      </c>
      <c r="BN61" s="7">
        <f>SUMIFS('Tong_hop_HQNV_2026Q1_2026-06-23'!$L:$L,'Tong_hop_HQNV_2026Q1_2026-06-23'!$B:$B, "="&amp;'CHECK_DT-BT_chi_tiet'!A61, 'Tong_hop_HQNV_2026Q1_2026-06-23'!$A:$A, "="&amp;$BN$2)</f>
        <v>0</v>
      </c>
      <c r="BO61" s="29">
        <f>SUMIFS('HQ2'!$J:$J,'HQ2'!$A:$A, "="&amp;'CHECK_DT-BT_chi_tiet'!C61,'HQ2'!$B:$B,"="&amp;'CHECK_DT-BT_chi_tiet'!$BN$3)</f>
        <v>0</v>
      </c>
      <c r="BP61" s="7">
        <f t="shared" si="20"/>
        <v>0</v>
      </c>
      <c r="BQ61" s="7">
        <f>SUMIFS('Tong_hop_HQNV_2026Q1_2026-06-23'!$L:$L,'Tong_hop_HQNV_2026Q1_2026-06-23'!$B:$B, "="&amp;'CHECK_DT-BT_chi_tiet'!A61, 'Tong_hop_HQNV_2026Q1_2026-06-23'!$A:$A, "="&amp;$BQ$2)</f>
        <v>0</v>
      </c>
      <c r="BR61" s="29">
        <f>SUMIFS('HQ2'!$J:$J,'HQ2'!$A:$A, "="&amp;'CHECK_DT-BT_chi_tiet'!C61,'HQ2'!$B:$B,"="&amp;'CHECK_DT-BT_chi_tiet'!$BQ$3)</f>
        <v>0</v>
      </c>
      <c r="BS61" s="7">
        <f t="shared" si="21"/>
        <v>0</v>
      </c>
      <c r="BT61" s="7">
        <f>SUMIFS('Tong_hop_HQNV_2026Q1_2026-06-23'!$L:$L,'Tong_hop_HQNV_2026Q1_2026-06-23'!$B:$B, "="&amp;'CHECK_DT-BT_chi_tiet'!A61, 'Tong_hop_HQNV_2026Q1_2026-06-23'!$A:$A, "="&amp;$BT$2)</f>
        <v>0</v>
      </c>
      <c r="BU61" s="7">
        <f>SUMIFS('Tong_hop_HQNV_2026Q1_2026-06-23'!$L:$L,'Tong_hop_HQNV_2026Q1_2026-06-23'!$B:$B, "="&amp;'CHECK_DT-BT_chi_tiet'!A61, 'Tong_hop_HQNV_2026Q1_2026-06-23'!$A:$A, "="&amp;$BU$2)</f>
        <v>0</v>
      </c>
    </row>
    <row r="62" spans="1:73" x14ac:dyDescent="0.25">
      <c r="A62" s="9" t="s">
        <v>342</v>
      </c>
      <c r="B62" t="s">
        <v>200</v>
      </c>
      <c r="C62" t="s">
        <v>102</v>
      </c>
      <c r="D62" s="7">
        <f>SUMIFS('Tong_hop_HQNV_2026Q1_2026-06-23'!$K:$K,'Tong_hop_HQNV_2026Q1_2026-06-23'!$A:$A,"="&amp;'CHECK_DT-BT_chi_tiet'!$D$2,'Tong_hop_HQNV_2026Q1_2026-06-23'!$B:$B, "="&amp;'CHECK_DT-BT_chi_tiet'!A62)</f>
        <v>3145320945</v>
      </c>
      <c r="E62" s="7">
        <f>SUMIFS('HQ1'!$C:$C,'HQ1'!$A:$A, "="&amp;'CHECK_DT-BT_chi_tiet'!C62,'HQ1'!$B:$B, "="&amp;'CHECK_DT-BT_chi_tiet'!$D$3)</f>
        <v>3145320945</v>
      </c>
      <c r="F62" s="7">
        <f t="shared" si="0"/>
        <v>0</v>
      </c>
      <c r="G62" s="7">
        <f>SUMIFS('Tong_hop_HQNV_2026Q1_2026-06-23'!$K:$K,'Tong_hop_HQNV_2026Q1_2026-06-23'!$A:$A,"="&amp;'CHECK_DT-BT_chi_tiet'!$G$2,'Tong_hop_HQNV_2026Q1_2026-06-23'!$B:$B, "="&amp;'CHECK_DT-BT_chi_tiet'!A62)</f>
        <v>5910000</v>
      </c>
      <c r="H62" s="7">
        <f>SUMIFS('HQ1'!$C:$C,'HQ1'!$A:$A, "="&amp;'CHECK_DT-BT_chi_tiet'!C62,'HQ1'!$B:$B, "="&amp;'CHECK_DT-BT_chi_tiet'!$G$3)</f>
        <v>5910000</v>
      </c>
      <c r="I62" s="7">
        <f t="shared" si="1"/>
        <v>0</v>
      </c>
      <c r="J62" s="7">
        <f>SUMIFS('Tong_hop_HQNV_2026Q1_2026-06-23'!$K:$K,'Tong_hop_HQNV_2026Q1_2026-06-23'!$A:$A,"="&amp;'CHECK_DT-BT_chi_tiet'!$J$2,'Tong_hop_HQNV_2026Q1_2026-06-23'!$B:$B, "="&amp;'CHECK_DT-BT_chi_tiet'!A62)</f>
        <v>2863841054</v>
      </c>
      <c r="K62" s="7">
        <f>SUMIFS('HQ1'!$C:$C,'HQ1'!$A:$A, "="&amp;'CHECK_DT-BT_chi_tiet'!C62,'HQ1'!$B:$B, "="&amp;'CHECK_DT-BT_chi_tiet'!$J$3)</f>
        <v>2863841054</v>
      </c>
      <c r="L62" s="7">
        <f t="shared" si="2"/>
        <v>0</v>
      </c>
      <c r="M62" s="7">
        <f>SUMIFS('Tong_hop_HQNV_2026Q1_2026-06-23'!$K:$K,'Tong_hop_HQNV_2026Q1_2026-06-23'!$A:$A,"="&amp;'CHECK_DT-BT_chi_tiet'!$M$2,'Tong_hop_HQNV_2026Q1_2026-06-23'!$B:$B, "="&amp;'CHECK_DT-BT_chi_tiet'!A62)</f>
        <v>551207502</v>
      </c>
      <c r="N62" s="7">
        <f>SUMIFS('HQ1'!$C:$C,'HQ1'!$A:$A, "="&amp;'CHECK_DT-BT_chi_tiet'!C62,'HQ1'!$B:$B, "="&amp;'CHECK_DT-BT_chi_tiet'!$M$3)</f>
        <v>566667402</v>
      </c>
      <c r="O62" s="7">
        <f t="shared" si="3"/>
        <v>-15459900</v>
      </c>
      <c r="P62" s="7">
        <f>SUMIFS('Tong_hop_HQNV_2026Q1_2026-06-23'!$K:$K,'Tong_hop_HQNV_2026Q1_2026-06-23'!$A:$A,"="&amp;$P$2,'Tong_hop_HQNV_2026Q1_2026-06-23'!$B:$B, "="&amp;'CHECK_DT-BT_chi_tiet'!A62)</f>
        <v>856590238</v>
      </c>
      <c r="Q62" s="7">
        <f>SUMIFS('HQ2'!$C:$C,'HQ2'!$A:$A, "="&amp;'CHECK_DT-BT_chi_tiet'!C62,'HQ2'!$B:$B, "="&amp;'CHECK_DT-BT_chi_tiet'!$P$3)</f>
        <v>856590238</v>
      </c>
      <c r="R62" s="7">
        <f t="shared" si="4"/>
        <v>0</v>
      </c>
      <c r="S62" s="7">
        <f>SUMIFS('Tong_hop_HQNV_2026Q1_2026-06-23'!$K:$K,'Tong_hop_HQNV_2026Q1_2026-06-23'!$A:$A,"="&amp;$S$2,'Tong_hop_HQNV_2026Q1_2026-06-23'!$B:$B, "="&amp;'CHECK_DT-BT_chi_tiet'!A62)</f>
        <v>0</v>
      </c>
      <c r="T62" s="7">
        <f>SUMIFS('HQ2'!$C:$C,'HQ2'!$A:$A, "="&amp;'CHECK_DT-BT_chi_tiet'!C62,'HQ2'!$B:$B, "="&amp;'CHECK_DT-BT_chi_tiet'!$S$3)</f>
        <v>0</v>
      </c>
      <c r="U62" s="7">
        <f t="shared" si="5"/>
        <v>0</v>
      </c>
      <c r="V62" s="7">
        <f>SUMIFS('Tong_hop_HQNV_2026Q1_2026-06-23'!$K:$K,'Tong_hop_HQNV_2026Q1_2026-06-23'!$A:$A,"="&amp;$V$2,'Tong_hop_HQNV_2026Q1_2026-06-23'!$B:$B, "="&amp;'CHECK_DT-BT_chi_tiet'!A62)</f>
        <v>0</v>
      </c>
      <c r="W62" s="7">
        <f>SUMIFS('HQ2'!$C:$C,'HQ2'!$A:$A, "="&amp;'CHECK_DT-BT_chi_tiet'!C62,'HQ2'!$B:$B, "="&amp;'CHECK_DT-BT_chi_tiet'!$V$3)</f>
        <v>0</v>
      </c>
      <c r="X62" s="7">
        <f t="shared" si="6"/>
        <v>0</v>
      </c>
      <c r="Y62" s="7">
        <f>SUMIFS('Tong_hop_HQNV_2026Q1_2026-06-23'!$K:$K,'Tong_hop_HQNV_2026Q1_2026-06-23'!$A:$A,"="&amp;$Y$2,'Tong_hop_HQNV_2026Q1_2026-06-23'!$B:$B, "="&amp;'CHECK_DT-BT_chi_tiet'!A62)</f>
        <v>41400000</v>
      </c>
      <c r="Z62" s="7">
        <f>SUMIFS('HQ2'!$C:$C,'HQ2'!$A:$A, "="&amp;'CHECK_DT-BT_chi_tiet'!C62,'HQ2'!$B:$B, "="&amp;'CHECK_DT-BT_chi_tiet'!$Y$3)</f>
        <v>41400000</v>
      </c>
      <c r="AA62" s="7">
        <f t="shared" si="7"/>
        <v>0</v>
      </c>
      <c r="AB62" s="7">
        <f>SUMIFS('Tong_hop_HQNV_2026Q1_2026-06-23'!$K:$K,'Tong_hop_HQNV_2026Q1_2026-06-23'!$A:$A,"="&amp;$AB$2,'Tong_hop_HQNV_2026Q1_2026-06-23'!$B:$B, "="&amp;'CHECK_DT-BT_chi_tiet'!A62)</f>
        <v>774078222</v>
      </c>
      <c r="AC62" s="7">
        <f>SUMIFS('HQ2'!$C:$C,'HQ2'!$A:$A, "="&amp;'CHECK_DT-BT_chi_tiet'!C62,'HQ2'!$B:$B, "="&amp;'CHECK_DT-BT_chi_tiet'!$AB$3)</f>
        <v>774078222</v>
      </c>
      <c r="AD62" s="7">
        <f t="shared" si="8"/>
        <v>0</v>
      </c>
      <c r="AE62" s="7">
        <f>SUMIFS('Tong_hop_HQNV_2026Q1_2026-06-23'!$K:$K,'Tong_hop_HQNV_2026Q1_2026-06-23'!$A:$A,"="&amp;$AE$2,'Tong_hop_HQNV_2026Q1_2026-06-23'!$B:$B, "="&amp;'CHECK_DT-BT_chi_tiet'!A62)</f>
        <v>32050000</v>
      </c>
      <c r="AF62" s="7">
        <f>SUMIFS('HQ2'!$C:$C,'HQ2'!$A:$A, "="&amp;'CHECK_DT-BT_chi_tiet'!C62,'HQ2'!$B:$B, "="&amp;'CHECK_DT-BT_chi_tiet'!$AE$3)</f>
        <v>32050000</v>
      </c>
      <c r="AG62" s="7">
        <f t="shared" si="9"/>
        <v>0</v>
      </c>
      <c r="AH62" s="7">
        <f>SUMIFS('Tong_hop_HQNV_2026Q1_2026-06-23'!$K:$K,'Tong_hop_HQNV_2026Q1_2026-06-23'!$A:$A,"="&amp;$AH$2,'Tong_hop_HQNV_2026Q1_2026-06-23'!$B:$B, "="&amp;'CHECK_DT-BT_chi_tiet'!A62)</f>
        <v>0</v>
      </c>
      <c r="AI62" s="7">
        <f>SUMIFS('HQ2'!$C:$C,'HQ2'!$A:$A, "="&amp;'CHECK_DT-BT_chi_tiet'!C62,'HQ2'!$B:$B, "="&amp;'CHECK_DT-BT_chi_tiet'!$AH$3)</f>
        <v>0</v>
      </c>
      <c r="AJ62" s="7">
        <f t="shared" si="10"/>
        <v>0</v>
      </c>
      <c r="AK62" s="7">
        <f>SUMIFS('Tong_hop_HQNV_2026Q1_2026-06-23'!$K:$K,'Tong_hop_HQNV_2026Q1_2026-06-23'!$A:$A,"="&amp;$AK$2,'Tong_hop_HQNV_2026Q1_2026-06-23'!$B:$B, "="&amp;'CHECK_DT-BT_chi_tiet'!A62)</f>
        <v>0</v>
      </c>
      <c r="AL62" s="7">
        <f>SUMIFS('Tong_hop_HQNV_2026Q1_2026-06-23'!$K:$K,'Tong_hop_HQNV_2026Q1_2026-06-23'!$A:$A,"="&amp;$AL$2,'Tong_hop_HQNV_2026Q1_2026-06-23'!$B:$B, "="&amp;'CHECK_DT-BT_chi_tiet'!A62)</f>
        <v>0</v>
      </c>
      <c r="AM62" s="23">
        <f>SUMIFS('Tong_hop_HQNV_2026Q1_2026-06-23'!$L:$L,'Tong_hop_HQNV_2026Q1_2026-06-23'!$B:$B, "="&amp;'CHECK_DT-BT_chi_tiet'!A62, 'Tong_hop_HQNV_2026Q1_2026-06-23'!$A:$A, "="&amp;'CHECK_DT-BT_chi_tiet'!$AM$2)</f>
        <v>1577031300</v>
      </c>
      <c r="AN62" s="29">
        <f>SUMIFS('HQ1'!$D:$D,'HQ1'!$A:$A, "="&amp;'CHECK_DT-BT_chi_tiet'!C62,'HQ1'!$B:$B,"="&amp;'CHECK_DT-BT_chi_tiet'!$AM$3)</f>
        <v>1577031300</v>
      </c>
      <c r="AO62" s="29">
        <f t="shared" si="11"/>
        <v>0</v>
      </c>
      <c r="AP62" s="7">
        <f>SUMIFS('Tong_hop_HQNV_2026Q1_2026-06-23'!$L:$L,'Tong_hop_HQNV_2026Q1_2026-06-23'!$B:$B, "="&amp;'CHECK_DT-BT_chi_tiet'!A62, 'Tong_hop_HQNV_2026Q1_2026-06-23'!$A:$A, "="&amp;'CHECK_DT-BT_chi_tiet'!$AP$2)</f>
        <v>0</v>
      </c>
      <c r="AQ62" s="29">
        <f>SUMIFS('HQ1'!$D:$D,'HQ1'!$A:$A, "="&amp;'CHECK_DT-BT_chi_tiet'!C62,'HQ1'!$B:$B,"="&amp;'CHECK_DT-BT_chi_tiet'!$AP$3)</f>
        <v>0</v>
      </c>
      <c r="AR62" s="7">
        <f t="shared" si="12"/>
        <v>0</v>
      </c>
      <c r="AS62" s="7">
        <f>SUMIFS('Tong_hop_HQNV_2026Q1_2026-06-23'!$L:$L,'Tong_hop_HQNV_2026Q1_2026-06-23'!$B:$B, "="&amp;'CHECK_DT-BT_chi_tiet'!A62, 'Tong_hop_HQNV_2026Q1_2026-06-23'!$A:$A, "="&amp;'CHECK_DT-BT_chi_tiet'!$AS$2)</f>
        <v>1074966138</v>
      </c>
      <c r="AT62" s="29">
        <f>SUMIFS('HQ1'!$D:$D,'HQ1'!$A:$A, "="&amp;'CHECK_DT-BT_chi_tiet'!C62,'HQ1'!$B:$B,"="&amp;'CHECK_DT-BT_chi_tiet'!$AS$3)</f>
        <v>1074966138</v>
      </c>
      <c r="AU62" s="7">
        <f t="shared" si="13"/>
        <v>0</v>
      </c>
      <c r="AV62" s="7">
        <f>SUMIFS('Tong_hop_HQNV_2026Q1_2026-06-23'!$L:$L,'Tong_hop_HQNV_2026Q1_2026-06-23'!$B:$B, "="&amp;'CHECK_DT-BT_chi_tiet'!A62, 'Tong_hop_HQNV_2026Q1_2026-06-23'!$A:$A, "="&amp;'CHECK_DT-BT_chi_tiet'!$AV$2)</f>
        <v>392820962</v>
      </c>
      <c r="AW62" s="29">
        <f>SUMIFS('HQ1'!$D:$D,'HQ1'!$A:$A, "="&amp;'CHECK_DT-BT_chi_tiet'!C62,'HQ1'!$B:$B,"="&amp;'CHECK_DT-BT_chi_tiet'!$AV$3)</f>
        <v>392820962</v>
      </c>
      <c r="AX62" s="7">
        <f t="shared" si="14"/>
        <v>0</v>
      </c>
      <c r="AY62" s="7">
        <f>SUMIFS('Tong_hop_HQNV_2026Q1_2026-06-23'!$L:$L,'Tong_hop_HQNV_2026Q1_2026-06-23'!$B:$B, "="&amp;'CHECK_DT-BT_chi_tiet'!A62, 'Tong_hop_HQNV_2026Q1_2026-06-23'!$A:$A, "="&amp;$AY$2)</f>
        <v>12307460</v>
      </c>
      <c r="AZ62" s="29">
        <f>SUMIFS('HQ2'!$J:$J,'HQ2'!$A:$A, "="&amp;'CHECK_DT-BT_chi_tiet'!C62,'HQ2'!$B:$B,"="&amp;'CHECK_DT-BT_chi_tiet'!$AY$3)</f>
        <v>12307460</v>
      </c>
      <c r="BA62" s="7">
        <f t="shared" si="15"/>
        <v>0</v>
      </c>
      <c r="BB62" s="7">
        <f>SUMIFS('Tong_hop_HQNV_2026Q1_2026-06-23'!$L:$L,'Tong_hop_HQNV_2026Q1_2026-06-23'!$B:$B, "="&amp;'CHECK_DT-BT_chi_tiet'!A62, 'Tong_hop_HQNV_2026Q1_2026-06-23'!$A:$A, "="&amp;$BB$2)</f>
        <v>0</v>
      </c>
      <c r="BC62" s="29">
        <f>SUMIFS('HQ2'!$J:$J,'HQ2'!$A:$A, "="&amp;'CHECK_DT-BT_chi_tiet'!C62,'HQ2'!$B:$B,"="&amp;'CHECK_DT-BT_chi_tiet'!$BB$3)</f>
        <v>0</v>
      </c>
      <c r="BD62" s="7">
        <f t="shared" si="16"/>
        <v>0</v>
      </c>
      <c r="BE62" s="7">
        <f>SUMIFS('Tong_hop_HQNV_2026Q1_2026-06-23'!$L:$L,'Tong_hop_HQNV_2026Q1_2026-06-23'!$B:$B, "="&amp;'CHECK_DT-BT_chi_tiet'!A62, 'Tong_hop_HQNV_2026Q1_2026-06-23'!$A:$A, "="&amp;$BE$2)</f>
        <v>0</v>
      </c>
      <c r="BF62" s="29">
        <f>SUMIFS('HQ2'!$J:$J,'HQ2'!$A:$A, "="&amp;'CHECK_DT-BT_chi_tiet'!C62,'HQ2'!$B:$B,"="&amp;'CHECK_DT-BT_chi_tiet'!$BE$3)</f>
        <v>0</v>
      </c>
      <c r="BG62" s="7">
        <f t="shared" si="17"/>
        <v>0</v>
      </c>
      <c r="BH62" s="7">
        <f>SUMIFS('Tong_hop_HQNV_2026Q1_2026-06-23'!$L:$L,'Tong_hop_HQNV_2026Q1_2026-06-23'!$B:$B, "="&amp;'CHECK_DT-BT_chi_tiet'!A62, 'Tong_hop_HQNV_2026Q1_2026-06-23'!$A:$A, "="&amp;$BH$2)</f>
        <v>0</v>
      </c>
      <c r="BI62" s="29">
        <f>SUMIFS('HQ2'!$J:$J,'HQ2'!$A:$A, "="&amp;'CHECK_DT-BT_chi_tiet'!C62,'HQ2'!$B:$B,"="&amp;'CHECK_DT-BT_chi_tiet'!$BH$3)</f>
        <v>0</v>
      </c>
      <c r="BJ62" s="7">
        <f t="shared" si="18"/>
        <v>0</v>
      </c>
      <c r="BK62" s="7">
        <f>SUMIFS('Tong_hop_HQNV_2026Q1_2026-06-23'!$L:$L,'Tong_hop_HQNV_2026Q1_2026-06-23'!$B:$B, "="&amp;'CHECK_DT-BT_chi_tiet'!A62, 'Tong_hop_HQNV_2026Q1_2026-06-23'!$A:$A, "="&amp;$BK$2)</f>
        <v>76847958</v>
      </c>
      <c r="BL62" s="29">
        <f>SUMIFS('HQ2'!$J:$J,'HQ2'!$A:$A, "="&amp;'CHECK_DT-BT_chi_tiet'!C62,'HQ2'!$B:$B,"="&amp;'CHECK_DT-BT_chi_tiet'!$BK$3)</f>
        <v>76847958</v>
      </c>
      <c r="BM62" s="7">
        <f t="shared" si="19"/>
        <v>0</v>
      </c>
      <c r="BN62" s="7">
        <f>SUMIFS('Tong_hop_HQNV_2026Q1_2026-06-23'!$L:$L,'Tong_hop_HQNV_2026Q1_2026-06-23'!$B:$B, "="&amp;'CHECK_DT-BT_chi_tiet'!A62, 'Tong_hop_HQNV_2026Q1_2026-06-23'!$A:$A, "="&amp;$BN$2)</f>
        <v>0</v>
      </c>
      <c r="BO62" s="29">
        <f>SUMIFS('HQ2'!$J:$J,'HQ2'!$A:$A, "="&amp;'CHECK_DT-BT_chi_tiet'!C62,'HQ2'!$B:$B,"="&amp;'CHECK_DT-BT_chi_tiet'!$BN$3)</f>
        <v>0</v>
      </c>
      <c r="BP62" s="7">
        <f t="shared" si="20"/>
        <v>0</v>
      </c>
      <c r="BQ62" s="7">
        <f>SUMIFS('Tong_hop_HQNV_2026Q1_2026-06-23'!$L:$L,'Tong_hop_HQNV_2026Q1_2026-06-23'!$B:$B, "="&amp;'CHECK_DT-BT_chi_tiet'!A62, 'Tong_hop_HQNV_2026Q1_2026-06-23'!$A:$A, "="&amp;$BQ$2)</f>
        <v>0</v>
      </c>
      <c r="BR62" s="29">
        <f>SUMIFS('HQ2'!$J:$J,'HQ2'!$A:$A, "="&amp;'CHECK_DT-BT_chi_tiet'!C62,'HQ2'!$B:$B,"="&amp;'CHECK_DT-BT_chi_tiet'!$BQ$3)</f>
        <v>0</v>
      </c>
      <c r="BS62" s="7">
        <f t="shared" si="21"/>
        <v>0</v>
      </c>
      <c r="BT62" s="7">
        <f>SUMIFS('Tong_hop_HQNV_2026Q1_2026-06-23'!$L:$L,'Tong_hop_HQNV_2026Q1_2026-06-23'!$B:$B, "="&amp;'CHECK_DT-BT_chi_tiet'!A62, 'Tong_hop_HQNV_2026Q1_2026-06-23'!$A:$A, "="&amp;$BT$2)</f>
        <v>0</v>
      </c>
      <c r="BU62" s="7">
        <f>SUMIFS('Tong_hop_HQNV_2026Q1_2026-06-23'!$L:$L,'Tong_hop_HQNV_2026Q1_2026-06-23'!$B:$B, "="&amp;'CHECK_DT-BT_chi_tiet'!A62, 'Tong_hop_HQNV_2026Q1_2026-06-23'!$A:$A, "="&amp;$BU$2)</f>
        <v>0</v>
      </c>
    </row>
    <row r="63" spans="1:73" x14ac:dyDescent="0.25">
      <c r="A63" s="9" t="s">
        <v>343</v>
      </c>
      <c r="B63" t="s">
        <v>201</v>
      </c>
      <c r="C63" t="s">
        <v>69</v>
      </c>
      <c r="D63" s="7">
        <f>SUMIFS('Tong_hop_HQNV_2026Q1_2026-06-23'!$K:$K,'Tong_hop_HQNV_2026Q1_2026-06-23'!$A:$A,"="&amp;'CHECK_DT-BT_chi_tiet'!$D$2,'Tong_hop_HQNV_2026Q1_2026-06-23'!$B:$B, "="&amp;'CHECK_DT-BT_chi_tiet'!A63)</f>
        <v>3746338424</v>
      </c>
      <c r="E63" s="7">
        <f>SUMIFS('HQ1'!$C:$C,'HQ1'!$A:$A, "="&amp;'CHECK_DT-BT_chi_tiet'!C63,'HQ1'!$B:$B, "="&amp;'CHECK_DT-BT_chi_tiet'!$D$3)</f>
        <v>3746338424</v>
      </c>
      <c r="F63" s="7">
        <f t="shared" si="0"/>
        <v>0</v>
      </c>
      <c r="G63" s="7">
        <f>SUMIFS('Tong_hop_HQNV_2026Q1_2026-06-23'!$K:$K,'Tong_hop_HQNV_2026Q1_2026-06-23'!$A:$A,"="&amp;'CHECK_DT-BT_chi_tiet'!$G$2,'Tong_hop_HQNV_2026Q1_2026-06-23'!$B:$B, "="&amp;'CHECK_DT-BT_chi_tiet'!A63)</f>
        <v>254849040</v>
      </c>
      <c r="H63" s="7">
        <f>SUMIFS('HQ1'!$C:$C,'HQ1'!$A:$A, "="&amp;'CHECK_DT-BT_chi_tiet'!C63,'HQ1'!$B:$B, "="&amp;'CHECK_DT-BT_chi_tiet'!$G$3)</f>
        <v>254849040</v>
      </c>
      <c r="I63" s="7">
        <f t="shared" si="1"/>
        <v>0</v>
      </c>
      <c r="J63" s="7">
        <f>SUMIFS('Tong_hop_HQNV_2026Q1_2026-06-23'!$K:$K,'Tong_hop_HQNV_2026Q1_2026-06-23'!$A:$A,"="&amp;'CHECK_DT-BT_chi_tiet'!$J$2,'Tong_hop_HQNV_2026Q1_2026-06-23'!$B:$B, "="&amp;'CHECK_DT-BT_chi_tiet'!A63)</f>
        <v>7980630820</v>
      </c>
      <c r="K63" s="7">
        <f>SUMIFS('HQ1'!$C:$C,'HQ1'!$A:$A, "="&amp;'CHECK_DT-BT_chi_tiet'!C63,'HQ1'!$B:$B, "="&amp;'CHECK_DT-BT_chi_tiet'!$J$3)</f>
        <v>7980630820</v>
      </c>
      <c r="L63" s="7">
        <f t="shared" si="2"/>
        <v>0</v>
      </c>
      <c r="M63" s="7">
        <f>SUMIFS('Tong_hop_HQNV_2026Q1_2026-06-23'!$K:$K,'Tong_hop_HQNV_2026Q1_2026-06-23'!$A:$A,"="&amp;'CHECK_DT-BT_chi_tiet'!$M$2,'Tong_hop_HQNV_2026Q1_2026-06-23'!$B:$B, "="&amp;'CHECK_DT-BT_chi_tiet'!A63)</f>
        <v>5494585065</v>
      </c>
      <c r="N63" s="7">
        <f>SUMIFS('HQ1'!$C:$C,'HQ1'!$A:$A, "="&amp;'CHECK_DT-BT_chi_tiet'!C63,'HQ1'!$B:$B, "="&amp;'CHECK_DT-BT_chi_tiet'!$M$3)</f>
        <v>5494585065</v>
      </c>
      <c r="O63" s="7">
        <f t="shared" si="3"/>
        <v>0</v>
      </c>
      <c r="P63" s="7">
        <f>SUMIFS('Tong_hop_HQNV_2026Q1_2026-06-23'!$K:$K,'Tong_hop_HQNV_2026Q1_2026-06-23'!$A:$A,"="&amp;$P$2,'Tong_hop_HQNV_2026Q1_2026-06-23'!$B:$B, "="&amp;'CHECK_DT-BT_chi_tiet'!A63)</f>
        <v>549078361</v>
      </c>
      <c r="Q63" s="7">
        <f>SUMIFS('HQ2'!$C:$C,'HQ2'!$A:$A, "="&amp;'CHECK_DT-BT_chi_tiet'!C63,'HQ2'!$B:$B, "="&amp;'CHECK_DT-BT_chi_tiet'!$P$3)</f>
        <v>549078361</v>
      </c>
      <c r="R63" s="7">
        <f t="shared" si="4"/>
        <v>0</v>
      </c>
      <c r="S63" s="7">
        <f>SUMIFS('Tong_hop_HQNV_2026Q1_2026-06-23'!$K:$K,'Tong_hop_HQNV_2026Q1_2026-06-23'!$A:$A,"="&amp;$S$2,'Tong_hop_HQNV_2026Q1_2026-06-23'!$B:$B, "="&amp;'CHECK_DT-BT_chi_tiet'!A63)</f>
        <v>1787286227</v>
      </c>
      <c r="T63" s="7">
        <f>SUMIFS('HQ2'!$C:$C,'HQ2'!$A:$A, "="&amp;'CHECK_DT-BT_chi_tiet'!C63,'HQ2'!$B:$B, "="&amp;'CHECK_DT-BT_chi_tiet'!$S$3)</f>
        <v>1787286227</v>
      </c>
      <c r="U63" s="7">
        <f t="shared" si="5"/>
        <v>0</v>
      </c>
      <c r="V63" s="7">
        <f>SUMIFS('Tong_hop_HQNV_2026Q1_2026-06-23'!$K:$K,'Tong_hop_HQNV_2026Q1_2026-06-23'!$A:$A,"="&amp;$V$2,'Tong_hop_HQNV_2026Q1_2026-06-23'!$B:$B, "="&amp;'CHECK_DT-BT_chi_tiet'!A63)</f>
        <v>534110545</v>
      </c>
      <c r="W63" s="7">
        <f>SUMIFS('HQ2'!$C:$C,'HQ2'!$A:$A, "="&amp;'CHECK_DT-BT_chi_tiet'!C63,'HQ2'!$B:$B, "="&amp;'CHECK_DT-BT_chi_tiet'!$V$3)</f>
        <v>534110545</v>
      </c>
      <c r="X63" s="7">
        <f t="shared" si="6"/>
        <v>0</v>
      </c>
      <c r="Y63" s="7">
        <f>SUMIFS('Tong_hop_HQNV_2026Q1_2026-06-23'!$K:$K,'Tong_hop_HQNV_2026Q1_2026-06-23'!$A:$A,"="&amp;$Y$2,'Tong_hop_HQNV_2026Q1_2026-06-23'!$B:$B, "="&amp;'CHECK_DT-BT_chi_tiet'!A63)</f>
        <v>2685888355</v>
      </c>
      <c r="Z63" s="7">
        <f>SUMIFS('HQ2'!$C:$C,'HQ2'!$A:$A, "="&amp;'CHECK_DT-BT_chi_tiet'!C63,'HQ2'!$B:$B, "="&amp;'CHECK_DT-BT_chi_tiet'!$Y$3)</f>
        <v>2685888355</v>
      </c>
      <c r="AA63" s="7">
        <f t="shared" si="7"/>
        <v>0</v>
      </c>
      <c r="AB63" s="7">
        <f>SUMIFS('Tong_hop_HQNV_2026Q1_2026-06-23'!$K:$K,'Tong_hop_HQNV_2026Q1_2026-06-23'!$A:$A,"="&amp;$AB$2,'Tong_hop_HQNV_2026Q1_2026-06-23'!$B:$B, "="&amp;'CHECK_DT-BT_chi_tiet'!A63)</f>
        <v>1206972668</v>
      </c>
      <c r="AC63" s="7">
        <f>SUMIFS('HQ2'!$C:$C,'HQ2'!$A:$A, "="&amp;'CHECK_DT-BT_chi_tiet'!C63,'HQ2'!$B:$B, "="&amp;'CHECK_DT-BT_chi_tiet'!$AB$3)</f>
        <v>1206972668</v>
      </c>
      <c r="AD63" s="7">
        <f t="shared" si="8"/>
        <v>0</v>
      </c>
      <c r="AE63" s="7">
        <f>SUMIFS('Tong_hop_HQNV_2026Q1_2026-06-23'!$K:$K,'Tong_hop_HQNV_2026Q1_2026-06-23'!$A:$A,"="&amp;$AE$2,'Tong_hop_HQNV_2026Q1_2026-06-23'!$B:$B, "="&amp;'CHECK_DT-BT_chi_tiet'!A63)</f>
        <v>937970272</v>
      </c>
      <c r="AF63" s="7">
        <f>SUMIFS('HQ2'!$C:$C,'HQ2'!$A:$A, "="&amp;'CHECK_DT-BT_chi_tiet'!C63,'HQ2'!$B:$B, "="&amp;'CHECK_DT-BT_chi_tiet'!$AE$3)</f>
        <v>937970272</v>
      </c>
      <c r="AG63" s="7">
        <f t="shared" si="9"/>
        <v>0</v>
      </c>
      <c r="AH63" s="7">
        <f>SUMIFS('Tong_hop_HQNV_2026Q1_2026-06-23'!$K:$K,'Tong_hop_HQNV_2026Q1_2026-06-23'!$A:$A,"="&amp;$AH$2,'Tong_hop_HQNV_2026Q1_2026-06-23'!$B:$B, "="&amp;'CHECK_DT-BT_chi_tiet'!A63)</f>
        <v>65100000</v>
      </c>
      <c r="AI63" s="7">
        <f>SUMIFS('HQ2'!$C:$C,'HQ2'!$A:$A, "="&amp;'CHECK_DT-BT_chi_tiet'!C63,'HQ2'!$B:$B, "="&amp;'CHECK_DT-BT_chi_tiet'!$AH$3)</f>
        <v>65100000</v>
      </c>
      <c r="AJ63" s="7">
        <f t="shared" si="10"/>
        <v>0</v>
      </c>
      <c r="AK63" s="7">
        <f>SUMIFS('Tong_hop_HQNV_2026Q1_2026-06-23'!$K:$K,'Tong_hop_HQNV_2026Q1_2026-06-23'!$A:$A,"="&amp;$AK$2,'Tong_hop_HQNV_2026Q1_2026-06-23'!$B:$B, "="&amp;'CHECK_DT-BT_chi_tiet'!A63)</f>
        <v>0</v>
      </c>
      <c r="AL63" s="7">
        <f>SUMIFS('Tong_hop_HQNV_2026Q1_2026-06-23'!$K:$K,'Tong_hop_HQNV_2026Q1_2026-06-23'!$A:$A,"="&amp;$AL$2,'Tong_hop_HQNV_2026Q1_2026-06-23'!$B:$B, "="&amp;'CHECK_DT-BT_chi_tiet'!A63)</f>
        <v>0</v>
      </c>
      <c r="AM63" s="23">
        <f>SUMIFS('Tong_hop_HQNV_2026Q1_2026-06-23'!$L:$L,'Tong_hop_HQNV_2026Q1_2026-06-23'!$B:$B, "="&amp;'CHECK_DT-BT_chi_tiet'!A63, 'Tong_hop_HQNV_2026Q1_2026-06-23'!$A:$A, "="&amp;'CHECK_DT-BT_chi_tiet'!$AM$2)</f>
        <v>1647982600</v>
      </c>
      <c r="AN63" s="29">
        <f>SUMIFS('HQ1'!$D:$D,'HQ1'!$A:$A, "="&amp;'CHECK_DT-BT_chi_tiet'!C63,'HQ1'!$B:$B,"="&amp;'CHECK_DT-BT_chi_tiet'!$AM$3)</f>
        <v>1647982600</v>
      </c>
      <c r="AO63" s="29">
        <f t="shared" si="11"/>
        <v>0</v>
      </c>
      <c r="AP63" s="7">
        <f>SUMIFS('Tong_hop_HQNV_2026Q1_2026-06-23'!$L:$L,'Tong_hop_HQNV_2026Q1_2026-06-23'!$B:$B, "="&amp;'CHECK_DT-BT_chi_tiet'!A63, 'Tong_hop_HQNV_2026Q1_2026-06-23'!$A:$A, "="&amp;'CHECK_DT-BT_chi_tiet'!$AP$2)</f>
        <v>0</v>
      </c>
      <c r="AQ63" s="29">
        <f>SUMIFS('HQ1'!$D:$D,'HQ1'!$A:$A, "="&amp;'CHECK_DT-BT_chi_tiet'!C63,'HQ1'!$B:$B,"="&amp;'CHECK_DT-BT_chi_tiet'!$AP$3)</f>
        <v>0</v>
      </c>
      <c r="AR63" s="7">
        <f t="shared" si="12"/>
        <v>0</v>
      </c>
      <c r="AS63" s="7">
        <f>SUMIFS('Tong_hop_HQNV_2026Q1_2026-06-23'!$L:$L,'Tong_hop_HQNV_2026Q1_2026-06-23'!$B:$B, "="&amp;'CHECK_DT-BT_chi_tiet'!A63, 'Tong_hop_HQNV_2026Q1_2026-06-23'!$A:$A, "="&amp;'CHECK_DT-BT_chi_tiet'!$AS$2)</f>
        <v>4480035721</v>
      </c>
      <c r="AT63" s="29">
        <f>SUMIFS('HQ1'!$D:$D,'HQ1'!$A:$A, "="&amp;'CHECK_DT-BT_chi_tiet'!C63,'HQ1'!$B:$B,"="&amp;'CHECK_DT-BT_chi_tiet'!$AS$3)</f>
        <v>4480035721</v>
      </c>
      <c r="AU63" s="7">
        <f t="shared" si="13"/>
        <v>0</v>
      </c>
      <c r="AV63" s="7">
        <f>SUMIFS('Tong_hop_HQNV_2026Q1_2026-06-23'!$L:$L,'Tong_hop_HQNV_2026Q1_2026-06-23'!$B:$B, "="&amp;'CHECK_DT-BT_chi_tiet'!A63, 'Tong_hop_HQNV_2026Q1_2026-06-23'!$A:$A, "="&amp;'CHECK_DT-BT_chi_tiet'!$AV$2)</f>
        <v>1849145070</v>
      </c>
      <c r="AW63" s="29">
        <f>SUMIFS('HQ1'!$D:$D,'HQ1'!$A:$A, "="&amp;'CHECK_DT-BT_chi_tiet'!C63,'HQ1'!$B:$B,"="&amp;'CHECK_DT-BT_chi_tiet'!$AV$3)</f>
        <v>1849145070</v>
      </c>
      <c r="AX63" s="7">
        <f t="shared" si="14"/>
        <v>0</v>
      </c>
      <c r="AY63" s="7">
        <f>SUMIFS('Tong_hop_HQNV_2026Q1_2026-06-23'!$L:$L,'Tong_hop_HQNV_2026Q1_2026-06-23'!$B:$B, "="&amp;'CHECK_DT-BT_chi_tiet'!A63, 'Tong_hop_HQNV_2026Q1_2026-06-23'!$A:$A, "="&amp;$AY$2)</f>
        <v>210173461</v>
      </c>
      <c r="AZ63" s="29">
        <f>SUMIFS('HQ2'!$J:$J,'HQ2'!$A:$A, "="&amp;'CHECK_DT-BT_chi_tiet'!C63,'HQ2'!$B:$B,"="&amp;'CHECK_DT-BT_chi_tiet'!$AY$3)</f>
        <v>210173461</v>
      </c>
      <c r="BA63" s="7">
        <f t="shared" si="15"/>
        <v>0</v>
      </c>
      <c r="BB63" s="7">
        <f>SUMIFS('Tong_hop_HQNV_2026Q1_2026-06-23'!$L:$L,'Tong_hop_HQNV_2026Q1_2026-06-23'!$B:$B, "="&amp;'CHECK_DT-BT_chi_tiet'!A63, 'Tong_hop_HQNV_2026Q1_2026-06-23'!$A:$A, "="&amp;$BB$2)</f>
        <v>0</v>
      </c>
      <c r="BC63" s="29">
        <f>SUMIFS('HQ2'!$J:$J,'HQ2'!$A:$A, "="&amp;'CHECK_DT-BT_chi_tiet'!C63,'HQ2'!$B:$B,"="&amp;'CHECK_DT-BT_chi_tiet'!$BB$3)</f>
        <v>0</v>
      </c>
      <c r="BD63" s="7">
        <f t="shared" si="16"/>
        <v>0</v>
      </c>
      <c r="BE63" s="7">
        <f>SUMIFS('Tong_hop_HQNV_2026Q1_2026-06-23'!$L:$L,'Tong_hop_HQNV_2026Q1_2026-06-23'!$B:$B, "="&amp;'CHECK_DT-BT_chi_tiet'!A63, 'Tong_hop_HQNV_2026Q1_2026-06-23'!$A:$A, "="&amp;$BE$2)</f>
        <v>0</v>
      </c>
      <c r="BF63" s="29">
        <f>SUMIFS('HQ2'!$J:$J,'HQ2'!$A:$A, "="&amp;'CHECK_DT-BT_chi_tiet'!C63,'HQ2'!$B:$B,"="&amp;'CHECK_DT-BT_chi_tiet'!$BE$3)</f>
        <v>0</v>
      </c>
      <c r="BG63" s="7">
        <f t="shared" si="17"/>
        <v>0</v>
      </c>
      <c r="BH63" s="7">
        <f>SUMIFS('Tong_hop_HQNV_2026Q1_2026-06-23'!$L:$L,'Tong_hop_HQNV_2026Q1_2026-06-23'!$B:$B, "="&amp;'CHECK_DT-BT_chi_tiet'!A63, 'Tong_hop_HQNV_2026Q1_2026-06-23'!$A:$A, "="&amp;$BH$2)</f>
        <v>58200000</v>
      </c>
      <c r="BI63" s="29">
        <f>SUMIFS('HQ2'!$J:$J,'HQ2'!$A:$A, "="&amp;'CHECK_DT-BT_chi_tiet'!C63,'HQ2'!$B:$B,"="&amp;'CHECK_DT-BT_chi_tiet'!$BH$3)</f>
        <v>58200000</v>
      </c>
      <c r="BJ63" s="7">
        <f t="shared" si="18"/>
        <v>0</v>
      </c>
      <c r="BK63" s="7">
        <f>SUMIFS('Tong_hop_HQNV_2026Q1_2026-06-23'!$L:$L,'Tong_hop_HQNV_2026Q1_2026-06-23'!$B:$B, "="&amp;'CHECK_DT-BT_chi_tiet'!A63, 'Tong_hop_HQNV_2026Q1_2026-06-23'!$A:$A, "="&amp;$BK$2)</f>
        <v>0</v>
      </c>
      <c r="BL63" s="29">
        <f>SUMIFS('HQ2'!$J:$J,'HQ2'!$A:$A, "="&amp;'CHECK_DT-BT_chi_tiet'!C63,'HQ2'!$B:$B,"="&amp;'CHECK_DT-BT_chi_tiet'!$BK$3)</f>
        <v>0</v>
      </c>
      <c r="BM63" s="7">
        <f t="shared" si="19"/>
        <v>0</v>
      </c>
      <c r="BN63" s="7">
        <f>SUMIFS('Tong_hop_HQNV_2026Q1_2026-06-23'!$L:$L,'Tong_hop_HQNV_2026Q1_2026-06-23'!$B:$B, "="&amp;'CHECK_DT-BT_chi_tiet'!A63, 'Tong_hop_HQNV_2026Q1_2026-06-23'!$A:$A, "="&amp;$BN$2)</f>
        <v>0</v>
      </c>
      <c r="BO63" s="29">
        <f>SUMIFS('HQ2'!$J:$J,'HQ2'!$A:$A, "="&amp;'CHECK_DT-BT_chi_tiet'!C63,'HQ2'!$B:$B,"="&amp;'CHECK_DT-BT_chi_tiet'!$BN$3)</f>
        <v>0</v>
      </c>
      <c r="BP63" s="7">
        <f t="shared" si="20"/>
        <v>0</v>
      </c>
      <c r="BQ63" s="7">
        <f>SUMIFS('Tong_hop_HQNV_2026Q1_2026-06-23'!$L:$L,'Tong_hop_HQNV_2026Q1_2026-06-23'!$B:$B, "="&amp;'CHECK_DT-BT_chi_tiet'!A63, 'Tong_hop_HQNV_2026Q1_2026-06-23'!$A:$A, "="&amp;$BQ$2)</f>
        <v>44038323</v>
      </c>
      <c r="BR63" s="29">
        <f>SUMIFS('HQ2'!$J:$J,'HQ2'!$A:$A, "="&amp;'CHECK_DT-BT_chi_tiet'!C63,'HQ2'!$B:$B,"="&amp;'CHECK_DT-BT_chi_tiet'!$BQ$3)</f>
        <v>44038323</v>
      </c>
      <c r="BS63" s="7">
        <f t="shared" si="21"/>
        <v>0</v>
      </c>
      <c r="BT63" s="7">
        <f>SUMIFS('Tong_hop_HQNV_2026Q1_2026-06-23'!$L:$L,'Tong_hop_HQNV_2026Q1_2026-06-23'!$B:$B, "="&amp;'CHECK_DT-BT_chi_tiet'!A63, 'Tong_hop_HQNV_2026Q1_2026-06-23'!$A:$A, "="&amp;$BT$2)</f>
        <v>0</v>
      </c>
      <c r="BU63" s="7">
        <f>SUMIFS('Tong_hop_HQNV_2026Q1_2026-06-23'!$L:$L,'Tong_hop_HQNV_2026Q1_2026-06-23'!$B:$B, "="&amp;'CHECK_DT-BT_chi_tiet'!A63, 'Tong_hop_HQNV_2026Q1_2026-06-23'!$A:$A, "="&amp;$BU$2)</f>
        <v>0</v>
      </c>
    </row>
    <row r="64" spans="1:73" x14ac:dyDescent="0.25">
      <c r="A64" s="9" t="s">
        <v>344</v>
      </c>
      <c r="B64" t="s">
        <v>202</v>
      </c>
      <c r="C64" t="s">
        <v>112</v>
      </c>
      <c r="D64" s="7">
        <f>SUMIFS('Tong_hop_HQNV_2026Q1_2026-06-23'!$K:$K,'Tong_hop_HQNV_2026Q1_2026-06-23'!$A:$A,"="&amp;'CHECK_DT-BT_chi_tiet'!$D$2,'Tong_hop_HQNV_2026Q1_2026-06-23'!$B:$B, "="&amp;'CHECK_DT-BT_chi_tiet'!A64)</f>
        <v>1916427188</v>
      </c>
      <c r="E64" s="7">
        <f>SUMIFS('HQ1'!$C:$C,'HQ1'!$A:$A, "="&amp;'CHECK_DT-BT_chi_tiet'!C64,'HQ1'!$B:$B, "="&amp;'CHECK_DT-BT_chi_tiet'!$D$3)</f>
        <v>1916427188</v>
      </c>
      <c r="F64" s="7">
        <f t="shared" si="0"/>
        <v>0</v>
      </c>
      <c r="G64" s="7">
        <f>SUMIFS('Tong_hop_HQNV_2026Q1_2026-06-23'!$K:$K,'Tong_hop_HQNV_2026Q1_2026-06-23'!$A:$A,"="&amp;'CHECK_DT-BT_chi_tiet'!$G$2,'Tong_hop_HQNV_2026Q1_2026-06-23'!$B:$B, "="&amp;'CHECK_DT-BT_chi_tiet'!A64)</f>
        <v>23620500</v>
      </c>
      <c r="H64" s="7">
        <f>SUMIFS('HQ1'!$C:$C,'HQ1'!$A:$A, "="&amp;'CHECK_DT-BT_chi_tiet'!C64,'HQ1'!$B:$B, "="&amp;'CHECK_DT-BT_chi_tiet'!$G$3)</f>
        <v>23620500</v>
      </c>
      <c r="I64" s="7">
        <f t="shared" si="1"/>
        <v>0</v>
      </c>
      <c r="J64" s="7">
        <f>SUMIFS('Tong_hop_HQNV_2026Q1_2026-06-23'!$K:$K,'Tong_hop_HQNV_2026Q1_2026-06-23'!$A:$A,"="&amp;'CHECK_DT-BT_chi_tiet'!$J$2,'Tong_hop_HQNV_2026Q1_2026-06-23'!$B:$B, "="&amp;'CHECK_DT-BT_chi_tiet'!A64)</f>
        <v>8023636193</v>
      </c>
      <c r="K64" s="7">
        <f>SUMIFS('HQ1'!$C:$C,'HQ1'!$A:$A, "="&amp;'CHECK_DT-BT_chi_tiet'!C64,'HQ1'!$B:$B, "="&amp;'CHECK_DT-BT_chi_tiet'!$J$3)</f>
        <v>8023636193</v>
      </c>
      <c r="L64" s="7">
        <f t="shared" si="2"/>
        <v>0</v>
      </c>
      <c r="M64" s="7">
        <f>SUMIFS('Tong_hop_HQNV_2026Q1_2026-06-23'!$K:$K,'Tong_hop_HQNV_2026Q1_2026-06-23'!$A:$A,"="&amp;'CHECK_DT-BT_chi_tiet'!$M$2,'Tong_hop_HQNV_2026Q1_2026-06-23'!$B:$B, "="&amp;'CHECK_DT-BT_chi_tiet'!A64)</f>
        <v>1459732384</v>
      </c>
      <c r="N64" s="7">
        <f>SUMIFS('HQ1'!$C:$C,'HQ1'!$A:$A, "="&amp;'CHECK_DT-BT_chi_tiet'!C64,'HQ1'!$B:$B, "="&amp;'CHECK_DT-BT_chi_tiet'!$M$3)</f>
        <v>1459732384</v>
      </c>
      <c r="O64" s="7">
        <f t="shared" si="3"/>
        <v>0</v>
      </c>
      <c r="P64" s="7">
        <f>SUMIFS('Tong_hop_HQNV_2026Q1_2026-06-23'!$K:$K,'Tong_hop_HQNV_2026Q1_2026-06-23'!$A:$A,"="&amp;$P$2,'Tong_hop_HQNV_2026Q1_2026-06-23'!$B:$B, "="&amp;'CHECK_DT-BT_chi_tiet'!A64)</f>
        <v>0</v>
      </c>
      <c r="Q64" s="7">
        <f>SUMIFS('HQ2'!$C:$C,'HQ2'!$A:$A, "="&amp;'CHECK_DT-BT_chi_tiet'!C64,'HQ2'!$B:$B, "="&amp;'CHECK_DT-BT_chi_tiet'!$P$3)</f>
        <v>0</v>
      </c>
      <c r="R64" s="7">
        <f t="shared" si="4"/>
        <v>0</v>
      </c>
      <c r="S64" s="7">
        <f>SUMIFS('Tong_hop_HQNV_2026Q1_2026-06-23'!$K:$K,'Tong_hop_HQNV_2026Q1_2026-06-23'!$A:$A,"="&amp;$S$2,'Tong_hop_HQNV_2026Q1_2026-06-23'!$B:$B, "="&amp;'CHECK_DT-BT_chi_tiet'!A64)</f>
        <v>365784591</v>
      </c>
      <c r="T64" s="7">
        <f>SUMIFS('HQ2'!$C:$C,'HQ2'!$A:$A, "="&amp;'CHECK_DT-BT_chi_tiet'!C64,'HQ2'!$B:$B, "="&amp;'CHECK_DT-BT_chi_tiet'!$S$3)</f>
        <v>59916856</v>
      </c>
      <c r="U64" s="7">
        <f t="shared" si="5"/>
        <v>305867735</v>
      </c>
      <c r="V64" s="7">
        <f>SUMIFS('Tong_hop_HQNV_2026Q1_2026-06-23'!$K:$K,'Tong_hop_HQNV_2026Q1_2026-06-23'!$A:$A,"="&amp;$V$2,'Tong_hop_HQNV_2026Q1_2026-06-23'!$B:$B, "="&amp;'CHECK_DT-BT_chi_tiet'!A64)</f>
        <v>343020320</v>
      </c>
      <c r="W64" s="7">
        <f>SUMIFS('HQ2'!$C:$C,'HQ2'!$A:$A, "="&amp;'CHECK_DT-BT_chi_tiet'!C64,'HQ2'!$B:$B, "="&amp;'CHECK_DT-BT_chi_tiet'!$V$3)</f>
        <v>343020320</v>
      </c>
      <c r="X64" s="7">
        <f t="shared" si="6"/>
        <v>0</v>
      </c>
      <c r="Y64" s="7">
        <f>SUMIFS('Tong_hop_HQNV_2026Q1_2026-06-23'!$K:$K,'Tong_hop_HQNV_2026Q1_2026-06-23'!$A:$A,"="&amp;$Y$2,'Tong_hop_HQNV_2026Q1_2026-06-23'!$B:$B, "="&amp;'CHECK_DT-BT_chi_tiet'!A64)</f>
        <v>59200000</v>
      </c>
      <c r="Z64" s="7">
        <f>SUMIFS('HQ2'!$C:$C,'HQ2'!$A:$A, "="&amp;'CHECK_DT-BT_chi_tiet'!C64,'HQ2'!$B:$B, "="&amp;'CHECK_DT-BT_chi_tiet'!$Y$3)</f>
        <v>59200000</v>
      </c>
      <c r="AA64" s="7">
        <f t="shared" si="7"/>
        <v>0</v>
      </c>
      <c r="AB64" s="7">
        <f>SUMIFS('Tong_hop_HQNV_2026Q1_2026-06-23'!$K:$K,'Tong_hop_HQNV_2026Q1_2026-06-23'!$A:$A,"="&amp;$AB$2,'Tong_hop_HQNV_2026Q1_2026-06-23'!$B:$B, "="&amp;'CHECK_DT-BT_chi_tiet'!A64)</f>
        <v>213994649</v>
      </c>
      <c r="AC64" s="7">
        <f>SUMIFS('HQ2'!$C:$C,'HQ2'!$A:$A, "="&amp;'CHECK_DT-BT_chi_tiet'!C64,'HQ2'!$B:$B, "="&amp;'CHECK_DT-BT_chi_tiet'!$AB$3)</f>
        <v>213994649</v>
      </c>
      <c r="AD64" s="7">
        <f t="shared" si="8"/>
        <v>0</v>
      </c>
      <c r="AE64" s="7">
        <f>SUMIFS('Tong_hop_HQNV_2026Q1_2026-06-23'!$K:$K,'Tong_hop_HQNV_2026Q1_2026-06-23'!$A:$A,"="&amp;$AE$2,'Tong_hop_HQNV_2026Q1_2026-06-23'!$B:$B, "="&amp;'CHECK_DT-BT_chi_tiet'!A64)</f>
        <v>332331458</v>
      </c>
      <c r="AF64" s="7">
        <f>SUMIFS('HQ2'!$C:$C,'HQ2'!$A:$A, "="&amp;'CHECK_DT-BT_chi_tiet'!C64,'HQ2'!$B:$B, "="&amp;'CHECK_DT-BT_chi_tiet'!$AE$3)</f>
        <v>332331458</v>
      </c>
      <c r="AG64" s="7">
        <f t="shared" si="9"/>
        <v>0</v>
      </c>
      <c r="AH64" s="7">
        <f>SUMIFS('Tong_hop_HQNV_2026Q1_2026-06-23'!$K:$K,'Tong_hop_HQNV_2026Q1_2026-06-23'!$A:$A,"="&amp;$AH$2,'Tong_hop_HQNV_2026Q1_2026-06-23'!$B:$B, "="&amp;'CHECK_DT-BT_chi_tiet'!A64)</f>
        <v>0</v>
      </c>
      <c r="AI64" s="7">
        <f>SUMIFS('HQ2'!$C:$C,'HQ2'!$A:$A, "="&amp;'CHECK_DT-BT_chi_tiet'!C64,'HQ2'!$B:$B, "="&amp;'CHECK_DT-BT_chi_tiet'!$AH$3)</f>
        <v>0</v>
      </c>
      <c r="AJ64" s="7">
        <f t="shared" si="10"/>
        <v>0</v>
      </c>
      <c r="AK64" s="7">
        <f>SUMIFS('Tong_hop_HQNV_2026Q1_2026-06-23'!$K:$K,'Tong_hop_HQNV_2026Q1_2026-06-23'!$A:$A,"="&amp;$AK$2,'Tong_hop_HQNV_2026Q1_2026-06-23'!$B:$B, "="&amp;'CHECK_DT-BT_chi_tiet'!A64)</f>
        <v>0</v>
      </c>
      <c r="AL64" s="7">
        <f>SUMIFS('Tong_hop_HQNV_2026Q1_2026-06-23'!$K:$K,'Tong_hop_HQNV_2026Q1_2026-06-23'!$A:$A,"="&amp;$AL$2,'Tong_hop_HQNV_2026Q1_2026-06-23'!$B:$B, "="&amp;'CHECK_DT-BT_chi_tiet'!A64)</f>
        <v>0</v>
      </c>
      <c r="AM64" s="23">
        <f>SUMIFS('Tong_hop_HQNV_2026Q1_2026-06-23'!$L:$L,'Tong_hop_HQNV_2026Q1_2026-06-23'!$B:$B, "="&amp;'CHECK_DT-BT_chi_tiet'!A64, 'Tong_hop_HQNV_2026Q1_2026-06-23'!$A:$A, "="&amp;'CHECK_DT-BT_chi_tiet'!$AM$2)</f>
        <v>1428546670</v>
      </c>
      <c r="AN64" s="29">
        <f>SUMIFS('HQ1'!$D:$D,'HQ1'!$A:$A, "="&amp;'CHECK_DT-BT_chi_tiet'!C64,'HQ1'!$B:$B,"="&amp;'CHECK_DT-BT_chi_tiet'!$AM$3)</f>
        <v>1428546670</v>
      </c>
      <c r="AO64" s="29">
        <f t="shared" si="11"/>
        <v>0</v>
      </c>
      <c r="AP64" s="7">
        <f>SUMIFS('Tong_hop_HQNV_2026Q1_2026-06-23'!$L:$L,'Tong_hop_HQNV_2026Q1_2026-06-23'!$B:$B, "="&amp;'CHECK_DT-BT_chi_tiet'!A64, 'Tong_hop_HQNV_2026Q1_2026-06-23'!$A:$A, "="&amp;'CHECK_DT-BT_chi_tiet'!$AP$2)</f>
        <v>0</v>
      </c>
      <c r="AQ64" s="29">
        <f>SUMIFS('HQ1'!$D:$D,'HQ1'!$A:$A, "="&amp;'CHECK_DT-BT_chi_tiet'!C64,'HQ1'!$B:$B,"="&amp;'CHECK_DT-BT_chi_tiet'!$AP$3)</f>
        <v>0</v>
      </c>
      <c r="AR64" s="7">
        <f t="shared" si="12"/>
        <v>0</v>
      </c>
      <c r="AS64" s="7">
        <f>SUMIFS('Tong_hop_HQNV_2026Q1_2026-06-23'!$L:$L,'Tong_hop_HQNV_2026Q1_2026-06-23'!$B:$B, "="&amp;'CHECK_DT-BT_chi_tiet'!A64, 'Tong_hop_HQNV_2026Q1_2026-06-23'!$A:$A, "="&amp;'CHECK_DT-BT_chi_tiet'!$AS$2)</f>
        <v>3556043706</v>
      </c>
      <c r="AT64" s="29">
        <f>SUMIFS('HQ1'!$D:$D,'HQ1'!$A:$A, "="&amp;'CHECK_DT-BT_chi_tiet'!C64,'HQ1'!$B:$B,"="&amp;'CHECK_DT-BT_chi_tiet'!$AS$3)</f>
        <v>3556043706</v>
      </c>
      <c r="AU64" s="7">
        <f t="shared" si="13"/>
        <v>0</v>
      </c>
      <c r="AV64" s="7">
        <f>SUMIFS('Tong_hop_HQNV_2026Q1_2026-06-23'!$L:$L,'Tong_hop_HQNV_2026Q1_2026-06-23'!$B:$B, "="&amp;'CHECK_DT-BT_chi_tiet'!A64, 'Tong_hop_HQNV_2026Q1_2026-06-23'!$A:$A, "="&amp;'CHECK_DT-BT_chi_tiet'!$AV$2)</f>
        <v>376313274</v>
      </c>
      <c r="AW64" s="29">
        <f>SUMIFS('HQ1'!$D:$D,'HQ1'!$A:$A, "="&amp;'CHECK_DT-BT_chi_tiet'!C64,'HQ1'!$B:$B,"="&amp;'CHECK_DT-BT_chi_tiet'!$AV$3)</f>
        <v>243027347</v>
      </c>
      <c r="AX64" s="7">
        <f t="shared" si="14"/>
        <v>133285927</v>
      </c>
      <c r="AY64" s="7">
        <f>SUMIFS('Tong_hop_HQNV_2026Q1_2026-06-23'!$L:$L,'Tong_hop_HQNV_2026Q1_2026-06-23'!$B:$B, "="&amp;'CHECK_DT-BT_chi_tiet'!A64, 'Tong_hop_HQNV_2026Q1_2026-06-23'!$A:$A, "="&amp;$AY$2)</f>
        <v>0</v>
      </c>
      <c r="AZ64" s="29">
        <f>SUMIFS('HQ2'!$J:$J,'HQ2'!$A:$A, "="&amp;'CHECK_DT-BT_chi_tiet'!C64,'HQ2'!$B:$B,"="&amp;'CHECK_DT-BT_chi_tiet'!$AY$3)</f>
        <v>0</v>
      </c>
      <c r="BA64" s="7">
        <f t="shared" si="15"/>
        <v>0</v>
      </c>
      <c r="BB64" s="7">
        <f>SUMIFS('Tong_hop_HQNV_2026Q1_2026-06-23'!$L:$L,'Tong_hop_HQNV_2026Q1_2026-06-23'!$B:$B, "="&amp;'CHECK_DT-BT_chi_tiet'!A64, 'Tong_hop_HQNV_2026Q1_2026-06-23'!$A:$A, "="&amp;$BB$2)</f>
        <v>815215082</v>
      </c>
      <c r="BC64" s="29">
        <f>SUMIFS('HQ2'!$J:$J,'HQ2'!$A:$A, "="&amp;'CHECK_DT-BT_chi_tiet'!C64,'HQ2'!$B:$B,"="&amp;'CHECK_DT-BT_chi_tiet'!$BB$3)</f>
        <v>668200000</v>
      </c>
      <c r="BD64" s="7">
        <f t="shared" si="16"/>
        <v>147015082</v>
      </c>
      <c r="BE64" s="7">
        <f>SUMIFS('Tong_hop_HQNV_2026Q1_2026-06-23'!$L:$L,'Tong_hop_HQNV_2026Q1_2026-06-23'!$B:$B, "="&amp;'CHECK_DT-BT_chi_tiet'!A64, 'Tong_hop_HQNV_2026Q1_2026-06-23'!$A:$A, "="&amp;$BE$2)</f>
        <v>0</v>
      </c>
      <c r="BF64" s="29">
        <f>SUMIFS('HQ2'!$J:$J,'HQ2'!$A:$A, "="&amp;'CHECK_DT-BT_chi_tiet'!C64,'HQ2'!$B:$B,"="&amp;'CHECK_DT-BT_chi_tiet'!$BE$3)</f>
        <v>0</v>
      </c>
      <c r="BG64" s="7">
        <f t="shared" si="17"/>
        <v>0</v>
      </c>
      <c r="BH64" s="7">
        <f>SUMIFS('Tong_hop_HQNV_2026Q1_2026-06-23'!$L:$L,'Tong_hop_HQNV_2026Q1_2026-06-23'!$B:$B, "="&amp;'CHECK_DT-BT_chi_tiet'!A64, 'Tong_hop_HQNV_2026Q1_2026-06-23'!$A:$A, "="&amp;$BH$2)</f>
        <v>512683000</v>
      </c>
      <c r="BI64" s="29">
        <f>SUMIFS('HQ2'!$J:$J,'HQ2'!$A:$A, "="&amp;'CHECK_DT-BT_chi_tiet'!C64,'HQ2'!$B:$B,"="&amp;'CHECK_DT-BT_chi_tiet'!$BH$3)</f>
        <v>512683000</v>
      </c>
      <c r="BJ64" s="7">
        <f t="shared" si="18"/>
        <v>0</v>
      </c>
      <c r="BK64" s="7">
        <f>SUMIFS('Tong_hop_HQNV_2026Q1_2026-06-23'!$L:$L,'Tong_hop_HQNV_2026Q1_2026-06-23'!$B:$B, "="&amp;'CHECK_DT-BT_chi_tiet'!A64, 'Tong_hop_HQNV_2026Q1_2026-06-23'!$A:$A, "="&amp;$BK$2)</f>
        <v>0</v>
      </c>
      <c r="BL64" s="29">
        <f>SUMIFS('HQ2'!$J:$J,'HQ2'!$A:$A, "="&amp;'CHECK_DT-BT_chi_tiet'!C64,'HQ2'!$B:$B,"="&amp;'CHECK_DT-BT_chi_tiet'!$BK$3)</f>
        <v>0</v>
      </c>
      <c r="BM64" s="7">
        <f t="shared" si="19"/>
        <v>0</v>
      </c>
      <c r="BN64" s="7">
        <f>SUMIFS('Tong_hop_HQNV_2026Q1_2026-06-23'!$L:$L,'Tong_hop_HQNV_2026Q1_2026-06-23'!$B:$B, "="&amp;'CHECK_DT-BT_chi_tiet'!A64, 'Tong_hop_HQNV_2026Q1_2026-06-23'!$A:$A, "="&amp;$BN$2)</f>
        <v>0</v>
      </c>
      <c r="BO64" s="29">
        <f>SUMIFS('HQ2'!$J:$J,'HQ2'!$A:$A, "="&amp;'CHECK_DT-BT_chi_tiet'!C64,'HQ2'!$B:$B,"="&amp;'CHECK_DT-BT_chi_tiet'!$BN$3)</f>
        <v>0</v>
      </c>
      <c r="BP64" s="7">
        <f t="shared" si="20"/>
        <v>0</v>
      </c>
      <c r="BQ64" s="7">
        <f>SUMIFS('Tong_hop_HQNV_2026Q1_2026-06-23'!$L:$L,'Tong_hop_HQNV_2026Q1_2026-06-23'!$B:$B, "="&amp;'CHECK_DT-BT_chi_tiet'!A64, 'Tong_hop_HQNV_2026Q1_2026-06-23'!$A:$A, "="&amp;$BQ$2)</f>
        <v>0</v>
      </c>
      <c r="BR64" s="29">
        <f>SUMIFS('HQ2'!$J:$J,'HQ2'!$A:$A, "="&amp;'CHECK_DT-BT_chi_tiet'!C64,'HQ2'!$B:$B,"="&amp;'CHECK_DT-BT_chi_tiet'!$BQ$3)</f>
        <v>0</v>
      </c>
      <c r="BS64" s="7">
        <f t="shared" si="21"/>
        <v>0</v>
      </c>
      <c r="BT64" s="7">
        <f>SUMIFS('Tong_hop_HQNV_2026Q1_2026-06-23'!$L:$L,'Tong_hop_HQNV_2026Q1_2026-06-23'!$B:$B, "="&amp;'CHECK_DT-BT_chi_tiet'!A64, 'Tong_hop_HQNV_2026Q1_2026-06-23'!$A:$A, "="&amp;$BT$2)</f>
        <v>0</v>
      </c>
      <c r="BU64" s="7">
        <f>SUMIFS('Tong_hop_HQNV_2026Q1_2026-06-23'!$L:$L,'Tong_hop_HQNV_2026Q1_2026-06-23'!$B:$B, "="&amp;'CHECK_DT-BT_chi_tiet'!A64, 'Tong_hop_HQNV_2026Q1_2026-06-23'!$A:$A, "="&amp;$BU$2)</f>
        <v>0</v>
      </c>
    </row>
    <row r="65" spans="1:73" x14ac:dyDescent="0.25">
      <c r="A65" s="9" t="s">
        <v>345</v>
      </c>
      <c r="B65" t="s">
        <v>203</v>
      </c>
      <c r="C65" t="s">
        <v>46</v>
      </c>
      <c r="D65" s="7">
        <f>SUMIFS('Tong_hop_HQNV_2026Q1_2026-06-23'!$K:$K,'Tong_hop_HQNV_2026Q1_2026-06-23'!$A:$A,"="&amp;'CHECK_DT-BT_chi_tiet'!$D$2,'Tong_hop_HQNV_2026Q1_2026-06-23'!$B:$B, "="&amp;'CHECK_DT-BT_chi_tiet'!A65)</f>
        <v>5067283702</v>
      </c>
      <c r="E65" s="7">
        <f>SUMIFS('HQ1'!$C:$C,'HQ1'!$A:$A, "="&amp;'CHECK_DT-BT_chi_tiet'!C65,'HQ1'!$B:$B, "="&amp;'CHECK_DT-BT_chi_tiet'!$D$3)</f>
        <v>5067283702</v>
      </c>
      <c r="F65" s="7">
        <f t="shared" si="0"/>
        <v>0</v>
      </c>
      <c r="G65" s="7">
        <f>SUMIFS('Tong_hop_HQNV_2026Q1_2026-06-23'!$K:$K,'Tong_hop_HQNV_2026Q1_2026-06-23'!$A:$A,"="&amp;'CHECK_DT-BT_chi_tiet'!$G$2,'Tong_hop_HQNV_2026Q1_2026-06-23'!$B:$B, "="&amp;'CHECK_DT-BT_chi_tiet'!A65)</f>
        <v>1344565037</v>
      </c>
      <c r="H65" s="7">
        <f>SUMIFS('HQ1'!$C:$C,'HQ1'!$A:$A, "="&amp;'CHECK_DT-BT_chi_tiet'!C65,'HQ1'!$B:$B, "="&amp;'CHECK_DT-BT_chi_tiet'!$G$3)</f>
        <v>1344565037</v>
      </c>
      <c r="I65" s="7">
        <f t="shared" si="1"/>
        <v>0</v>
      </c>
      <c r="J65" s="7">
        <f>SUMIFS('Tong_hop_HQNV_2026Q1_2026-06-23'!$K:$K,'Tong_hop_HQNV_2026Q1_2026-06-23'!$A:$A,"="&amp;'CHECK_DT-BT_chi_tiet'!$J$2,'Tong_hop_HQNV_2026Q1_2026-06-23'!$B:$B, "="&amp;'CHECK_DT-BT_chi_tiet'!A65)</f>
        <v>24035896107</v>
      </c>
      <c r="K65" s="7">
        <f>SUMIFS('HQ1'!$C:$C,'HQ1'!$A:$A, "="&amp;'CHECK_DT-BT_chi_tiet'!C65,'HQ1'!$B:$B, "="&amp;'CHECK_DT-BT_chi_tiet'!$J$3)</f>
        <v>24035896107</v>
      </c>
      <c r="L65" s="7">
        <f t="shared" si="2"/>
        <v>0</v>
      </c>
      <c r="M65" s="7">
        <f>SUMIFS('Tong_hop_HQNV_2026Q1_2026-06-23'!$K:$K,'Tong_hop_HQNV_2026Q1_2026-06-23'!$A:$A,"="&amp;'CHECK_DT-BT_chi_tiet'!$M$2,'Tong_hop_HQNV_2026Q1_2026-06-23'!$B:$B, "="&amp;'CHECK_DT-BT_chi_tiet'!A65)</f>
        <v>82675815788</v>
      </c>
      <c r="N65" s="7">
        <f>SUMIFS('HQ1'!$C:$C,'HQ1'!$A:$A, "="&amp;'CHECK_DT-BT_chi_tiet'!C65,'HQ1'!$B:$B, "="&amp;'CHECK_DT-BT_chi_tiet'!$M$3)</f>
        <v>82675815788</v>
      </c>
      <c r="O65" s="7">
        <f t="shared" si="3"/>
        <v>0</v>
      </c>
      <c r="P65" s="7">
        <f>SUMIFS('Tong_hop_HQNV_2026Q1_2026-06-23'!$K:$K,'Tong_hop_HQNV_2026Q1_2026-06-23'!$A:$A,"="&amp;$P$2,'Tong_hop_HQNV_2026Q1_2026-06-23'!$B:$B, "="&amp;'CHECK_DT-BT_chi_tiet'!A65)</f>
        <v>22286811440</v>
      </c>
      <c r="Q65" s="7">
        <f>SUMIFS('HQ2'!$C:$C,'HQ2'!$A:$A, "="&amp;'CHECK_DT-BT_chi_tiet'!C65,'HQ2'!$B:$B, "="&amp;'CHECK_DT-BT_chi_tiet'!$P$3)</f>
        <v>22286811440</v>
      </c>
      <c r="R65" s="7">
        <f t="shared" si="4"/>
        <v>0</v>
      </c>
      <c r="S65" s="7">
        <f>SUMIFS('Tong_hop_HQNV_2026Q1_2026-06-23'!$K:$K,'Tong_hop_HQNV_2026Q1_2026-06-23'!$A:$A,"="&amp;$S$2,'Tong_hop_HQNV_2026Q1_2026-06-23'!$B:$B, "="&amp;'CHECK_DT-BT_chi_tiet'!A65)</f>
        <v>11091919355</v>
      </c>
      <c r="T65" s="7">
        <f>SUMIFS('HQ2'!$C:$C,'HQ2'!$A:$A, "="&amp;'CHECK_DT-BT_chi_tiet'!C65,'HQ2'!$B:$B, "="&amp;'CHECK_DT-BT_chi_tiet'!$S$3)</f>
        <v>11091919355</v>
      </c>
      <c r="U65" s="7">
        <f t="shared" si="5"/>
        <v>0</v>
      </c>
      <c r="V65" s="7">
        <f>SUMIFS('Tong_hop_HQNV_2026Q1_2026-06-23'!$K:$K,'Tong_hop_HQNV_2026Q1_2026-06-23'!$A:$A,"="&amp;$V$2,'Tong_hop_HQNV_2026Q1_2026-06-23'!$B:$B, "="&amp;'CHECK_DT-BT_chi_tiet'!A65)</f>
        <v>2562545641</v>
      </c>
      <c r="W65" s="7">
        <f>SUMIFS('HQ2'!$C:$C,'HQ2'!$A:$A, "="&amp;'CHECK_DT-BT_chi_tiet'!C65,'HQ2'!$B:$B, "="&amp;'CHECK_DT-BT_chi_tiet'!$V$3)</f>
        <v>2562545641</v>
      </c>
      <c r="X65" s="7">
        <f t="shared" si="6"/>
        <v>0</v>
      </c>
      <c r="Y65" s="7">
        <f>SUMIFS('Tong_hop_HQNV_2026Q1_2026-06-23'!$K:$K,'Tong_hop_HQNV_2026Q1_2026-06-23'!$A:$A,"="&amp;$Y$2,'Tong_hop_HQNV_2026Q1_2026-06-23'!$B:$B, "="&amp;'CHECK_DT-BT_chi_tiet'!A65)</f>
        <v>1961954335</v>
      </c>
      <c r="Z65" s="7">
        <f>SUMIFS('HQ2'!$C:$C,'HQ2'!$A:$A, "="&amp;'CHECK_DT-BT_chi_tiet'!C65,'HQ2'!$B:$B, "="&amp;'CHECK_DT-BT_chi_tiet'!$Y$3)</f>
        <v>1961954335</v>
      </c>
      <c r="AA65" s="7">
        <f t="shared" si="7"/>
        <v>0</v>
      </c>
      <c r="AB65" s="7">
        <f>SUMIFS('Tong_hop_HQNV_2026Q1_2026-06-23'!$K:$K,'Tong_hop_HQNV_2026Q1_2026-06-23'!$A:$A,"="&amp;$AB$2,'Tong_hop_HQNV_2026Q1_2026-06-23'!$B:$B, "="&amp;'CHECK_DT-BT_chi_tiet'!A65)</f>
        <v>23535327613</v>
      </c>
      <c r="AC65" s="7">
        <f>SUMIFS('HQ2'!$C:$C,'HQ2'!$A:$A, "="&amp;'CHECK_DT-BT_chi_tiet'!C65,'HQ2'!$B:$B, "="&amp;'CHECK_DT-BT_chi_tiet'!$AB$3)</f>
        <v>23535327613</v>
      </c>
      <c r="AD65" s="7">
        <f t="shared" si="8"/>
        <v>0</v>
      </c>
      <c r="AE65" s="7">
        <f>SUMIFS('Tong_hop_HQNV_2026Q1_2026-06-23'!$K:$K,'Tong_hop_HQNV_2026Q1_2026-06-23'!$A:$A,"="&amp;$AE$2,'Tong_hop_HQNV_2026Q1_2026-06-23'!$B:$B, "="&amp;'CHECK_DT-BT_chi_tiet'!A65)</f>
        <v>3552949433</v>
      </c>
      <c r="AF65" s="7">
        <f>SUMIFS('HQ2'!$C:$C,'HQ2'!$A:$A, "="&amp;'CHECK_DT-BT_chi_tiet'!C65,'HQ2'!$B:$B, "="&amp;'CHECK_DT-BT_chi_tiet'!$AE$3)</f>
        <v>3552949433</v>
      </c>
      <c r="AG65" s="7">
        <f t="shared" si="9"/>
        <v>0</v>
      </c>
      <c r="AH65" s="7">
        <f>SUMIFS('Tong_hop_HQNV_2026Q1_2026-06-23'!$K:$K,'Tong_hop_HQNV_2026Q1_2026-06-23'!$A:$A,"="&amp;$AH$2,'Tong_hop_HQNV_2026Q1_2026-06-23'!$B:$B, "="&amp;'CHECK_DT-BT_chi_tiet'!A65)</f>
        <v>7133918677</v>
      </c>
      <c r="AI65" s="7">
        <f>SUMIFS('HQ2'!$C:$C,'HQ2'!$A:$A, "="&amp;'CHECK_DT-BT_chi_tiet'!C65,'HQ2'!$B:$B, "="&amp;'CHECK_DT-BT_chi_tiet'!$AH$3)</f>
        <v>7133918677</v>
      </c>
      <c r="AJ65" s="7">
        <f t="shared" si="10"/>
        <v>0</v>
      </c>
      <c r="AK65" s="7">
        <f>SUMIFS('Tong_hop_HQNV_2026Q1_2026-06-23'!$K:$K,'Tong_hop_HQNV_2026Q1_2026-06-23'!$A:$A,"="&amp;$AK$2,'Tong_hop_HQNV_2026Q1_2026-06-23'!$B:$B, "="&amp;'CHECK_DT-BT_chi_tiet'!A65)</f>
        <v>0</v>
      </c>
      <c r="AL65" s="7">
        <f>SUMIFS('Tong_hop_HQNV_2026Q1_2026-06-23'!$K:$K,'Tong_hop_HQNV_2026Q1_2026-06-23'!$A:$A,"="&amp;$AL$2,'Tong_hop_HQNV_2026Q1_2026-06-23'!$B:$B, "="&amp;'CHECK_DT-BT_chi_tiet'!A65)</f>
        <v>0</v>
      </c>
      <c r="AM65" s="23">
        <f>SUMIFS('Tong_hop_HQNV_2026Q1_2026-06-23'!$L:$L,'Tong_hop_HQNV_2026Q1_2026-06-23'!$B:$B, "="&amp;'CHECK_DT-BT_chi_tiet'!A65, 'Tong_hop_HQNV_2026Q1_2026-06-23'!$A:$A, "="&amp;'CHECK_DT-BT_chi_tiet'!$AM$2)</f>
        <v>1299041929</v>
      </c>
      <c r="AN65" s="29">
        <f>SUMIFS('HQ1'!$D:$D,'HQ1'!$A:$A, "="&amp;'CHECK_DT-BT_chi_tiet'!C65,'HQ1'!$B:$B,"="&amp;'CHECK_DT-BT_chi_tiet'!$AM$3)</f>
        <v>1299041929</v>
      </c>
      <c r="AO65" s="29">
        <f t="shared" si="11"/>
        <v>0</v>
      </c>
      <c r="AP65" s="7">
        <f>SUMIFS('Tong_hop_HQNV_2026Q1_2026-06-23'!$L:$L,'Tong_hop_HQNV_2026Q1_2026-06-23'!$B:$B, "="&amp;'CHECK_DT-BT_chi_tiet'!A65, 'Tong_hop_HQNV_2026Q1_2026-06-23'!$A:$A, "="&amp;'CHECK_DT-BT_chi_tiet'!$AP$2)</f>
        <v>60501605</v>
      </c>
      <c r="AQ65" s="29">
        <f>SUMIFS('HQ1'!$D:$D,'HQ1'!$A:$A, "="&amp;'CHECK_DT-BT_chi_tiet'!C65,'HQ1'!$B:$B,"="&amp;'CHECK_DT-BT_chi_tiet'!$AP$3)</f>
        <v>60501605</v>
      </c>
      <c r="AR65" s="7">
        <f t="shared" si="12"/>
        <v>0</v>
      </c>
      <c r="AS65" s="7">
        <f>SUMIFS('Tong_hop_HQNV_2026Q1_2026-06-23'!$L:$L,'Tong_hop_HQNV_2026Q1_2026-06-23'!$B:$B, "="&amp;'CHECK_DT-BT_chi_tiet'!A65, 'Tong_hop_HQNV_2026Q1_2026-06-23'!$A:$A, "="&amp;'CHECK_DT-BT_chi_tiet'!$AS$2)</f>
        <v>10666287719</v>
      </c>
      <c r="AT65" s="29">
        <f>SUMIFS('HQ1'!$D:$D,'HQ1'!$A:$A, "="&amp;'CHECK_DT-BT_chi_tiet'!C65,'HQ1'!$B:$B,"="&amp;'CHECK_DT-BT_chi_tiet'!$AS$3)</f>
        <v>10666287719</v>
      </c>
      <c r="AU65" s="7">
        <f t="shared" si="13"/>
        <v>0</v>
      </c>
      <c r="AV65" s="7">
        <f>SUMIFS('Tong_hop_HQNV_2026Q1_2026-06-23'!$L:$L,'Tong_hop_HQNV_2026Q1_2026-06-23'!$B:$B, "="&amp;'CHECK_DT-BT_chi_tiet'!A65, 'Tong_hop_HQNV_2026Q1_2026-06-23'!$A:$A, "="&amp;'CHECK_DT-BT_chi_tiet'!$AV$2)</f>
        <v>39245869603</v>
      </c>
      <c r="AW65" s="29">
        <f>SUMIFS('HQ1'!$D:$D,'HQ1'!$A:$A, "="&amp;'CHECK_DT-BT_chi_tiet'!C65,'HQ1'!$B:$B,"="&amp;'CHECK_DT-BT_chi_tiet'!$AV$3)</f>
        <v>39245869603</v>
      </c>
      <c r="AX65" s="7">
        <f t="shared" si="14"/>
        <v>0</v>
      </c>
      <c r="AY65" s="7">
        <f>SUMIFS('Tong_hop_HQNV_2026Q1_2026-06-23'!$L:$L,'Tong_hop_HQNV_2026Q1_2026-06-23'!$B:$B, "="&amp;'CHECK_DT-BT_chi_tiet'!A65, 'Tong_hop_HQNV_2026Q1_2026-06-23'!$A:$A, "="&amp;$AY$2)</f>
        <v>5913718324</v>
      </c>
      <c r="AZ65" s="29">
        <f>SUMIFS('HQ2'!$J:$J,'HQ2'!$A:$A, "="&amp;'CHECK_DT-BT_chi_tiet'!C65,'HQ2'!$B:$B,"="&amp;'CHECK_DT-BT_chi_tiet'!$AY$3)</f>
        <v>5890583324</v>
      </c>
      <c r="BA65" s="7">
        <f t="shared" si="15"/>
        <v>-23135000</v>
      </c>
      <c r="BB65" s="7">
        <f>SUMIFS('Tong_hop_HQNV_2026Q1_2026-06-23'!$L:$L,'Tong_hop_HQNV_2026Q1_2026-06-23'!$B:$B, "="&amp;'CHECK_DT-BT_chi_tiet'!A65, 'Tong_hop_HQNV_2026Q1_2026-06-23'!$A:$A, "="&amp;$BB$2)</f>
        <v>307257690</v>
      </c>
      <c r="BC65" s="29">
        <f>SUMIFS('HQ2'!$J:$J,'HQ2'!$A:$A, "="&amp;'CHECK_DT-BT_chi_tiet'!C65,'HQ2'!$B:$B,"="&amp;'CHECK_DT-BT_chi_tiet'!$BB$3)</f>
        <v>307257690</v>
      </c>
      <c r="BD65" s="7">
        <f t="shared" si="16"/>
        <v>0</v>
      </c>
      <c r="BE65" s="7">
        <f>SUMIFS('Tong_hop_HQNV_2026Q1_2026-06-23'!$L:$L,'Tong_hop_HQNV_2026Q1_2026-06-23'!$B:$B, "="&amp;'CHECK_DT-BT_chi_tiet'!A65, 'Tong_hop_HQNV_2026Q1_2026-06-23'!$A:$A, "="&amp;$BE$2)</f>
        <v>242910781</v>
      </c>
      <c r="BF65" s="29">
        <f>SUMIFS('HQ2'!$J:$J,'HQ2'!$A:$A, "="&amp;'CHECK_DT-BT_chi_tiet'!C65,'HQ2'!$B:$B,"="&amp;'CHECK_DT-BT_chi_tiet'!$BE$3)</f>
        <v>242910781</v>
      </c>
      <c r="BG65" s="7">
        <f t="shared" si="17"/>
        <v>0</v>
      </c>
      <c r="BH65" s="7">
        <f>SUMIFS('Tong_hop_HQNV_2026Q1_2026-06-23'!$L:$L,'Tong_hop_HQNV_2026Q1_2026-06-23'!$B:$B, "="&amp;'CHECK_DT-BT_chi_tiet'!A65, 'Tong_hop_HQNV_2026Q1_2026-06-23'!$A:$A, "="&amp;$BH$2)</f>
        <v>288649666</v>
      </c>
      <c r="BI65" s="29">
        <f>SUMIFS('HQ2'!$J:$J,'HQ2'!$A:$A, "="&amp;'CHECK_DT-BT_chi_tiet'!C65,'HQ2'!$B:$B,"="&amp;'CHECK_DT-BT_chi_tiet'!$BH$3)</f>
        <v>288649666</v>
      </c>
      <c r="BJ65" s="7">
        <f t="shared" si="18"/>
        <v>0</v>
      </c>
      <c r="BK65" s="7">
        <f>SUMIFS('Tong_hop_HQNV_2026Q1_2026-06-23'!$L:$L,'Tong_hop_HQNV_2026Q1_2026-06-23'!$B:$B, "="&amp;'CHECK_DT-BT_chi_tiet'!A65, 'Tong_hop_HQNV_2026Q1_2026-06-23'!$A:$A, "="&amp;$BK$2)</f>
        <v>5022564961</v>
      </c>
      <c r="BL65" s="29">
        <f>SUMIFS('HQ2'!$J:$J,'HQ2'!$A:$A, "="&amp;'CHECK_DT-BT_chi_tiet'!C65,'HQ2'!$B:$B,"="&amp;'CHECK_DT-BT_chi_tiet'!$BK$3)</f>
        <v>5022564961</v>
      </c>
      <c r="BM65" s="7">
        <f t="shared" si="19"/>
        <v>0</v>
      </c>
      <c r="BN65" s="7">
        <f>SUMIFS('Tong_hop_HQNV_2026Q1_2026-06-23'!$L:$L,'Tong_hop_HQNV_2026Q1_2026-06-23'!$B:$B, "="&amp;'CHECK_DT-BT_chi_tiet'!A65, 'Tong_hop_HQNV_2026Q1_2026-06-23'!$A:$A, "="&amp;$BN$2)</f>
        <v>1988253976</v>
      </c>
      <c r="BO65" s="29">
        <f>SUMIFS('HQ2'!$J:$J,'HQ2'!$A:$A, "="&amp;'CHECK_DT-BT_chi_tiet'!C65,'HQ2'!$B:$B,"="&amp;'CHECK_DT-BT_chi_tiet'!$BN$3)</f>
        <v>1988253976</v>
      </c>
      <c r="BP65" s="7">
        <f t="shared" si="20"/>
        <v>0</v>
      </c>
      <c r="BQ65" s="7">
        <f>SUMIFS('Tong_hop_HQNV_2026Q1_2026-06-23'!$L:$L,'Tong_hop_HQNV_2026Q1_2026-06-23'!$B:$B, "="&amp;'CHECK_DT-BT_chi_tiet'!A65, 'Tong_hop_HQNV_2026Q1_2026-06-23'!$A:$A, "="&amp;$BQ$2)</f>
        <v>-5658255</v>
      </c>
      <c r="BR65" s="29">
        <f>SUMIFS('HQ2'!$J:$J,'HQ2'!$A:$A, "="&amp;'CHECK_DT-BT_chi_tiet'!C65,'HQ2'!$B:$B,"="&amp;'CHECK_DT-BT_chi_tiet'!$BQ$3)</f>
        <v>-5658255</v>
      </c>
      <c r="BS65" s="7">
        <f t="shared" si="21"/>
        <v>0</v>
      </c>
      <c r="BT65" s="7">
        <f>SUMIFS('Tong_hop_HQNV_2026Q1_2026-06-23'!$L:$L,'Tong_hop_HQNV_2026Q1_2026-06-23'!$B:$B, "="&amp;'CHECK_DT-BT_chi_tiet'!A65, 'Tong_hop_HQNV_2026Q1_2026-06-23'!$A:$A, "="&amp;$BT$2)</f>
        <v>0</v>
      </c>
      <c r="BU65" s="7">
        <f>SUMIFS('Tong_hop_HQNV_2026Q1_2026-06-23'!$L:$L,'Tong_hop_HQNV_2026Q1_2026-06-23'!$B:$B, "="&amp;'CHECK_DT-BT_chi_tiet'!A65, 'Tong_hop_HQNV_2026Q1_2026-06-23'!$A:$A, "="&amp;$BU$2)</f>
        <v>0</v>
      </c>
    </row>
    <row r="66" spans="1:73" x14ac:dyDescent="0.25">
      <c r="A66" s="9" t="s">
        <v>346</v>
      </c>
      <c r="B66" t="s">
        <v>204</v>
      </c>
      <c r="C66" t="s">
        <v>114</v>
      </c>
      <c r="D66" s="7">
        <f>SUMIFS('Tong_hop_HQNV_2026Q1_2026-06-23'!$K:$K,'Tong_hop_HQNV_2026Q1_2026-06-23'!$A:$A,"="&amp;'CHECK_DT-BT_chi_tiet'!$D$2,'Tong_hop_HQNV_2026Q1_2026-06-23'!$B:$B, "="&amp;'CHECK_DT-BT_chi_tiet'!A66)</f>
        <v>1163675060</v>
      </c>
      <c r="E66" s="7">
        <f>SUMIFS('HQ1'!$C:$C,'HQ1'!$A:$A, "="&amp;'CHECK_DT-BT_chi_tiet'!C66,'HQ1'!$B:$B, "="&amp;'CHECK_DT-BT_chi_tiet'!$D$3)</f>
        <v>1163675060</v>
      </c>
      <c r="F66" s="7">
        <f t="shared" si="0"/>
        <v>0</v>
      </c>
      <c r="G66" s="7">
        <f>SUMIFS('Tong_hop_HQNV_2026Q1_2026-06-23'!$K:$K,'Tong_hop_HQNV_2026Q1_2026-06-23'!$A:$A,"="&amp;'CHECK_DT-BT_chi_tiet'!$G$2,'Tong_hop_HQNV_2026Q1_2026-06-23'!$B:$B, "="&amp;'CHECK_DT-BT_chi_tiet'!A66)</f>
        <v>15698700</v>
      </c>
      <c r="H66" s="7">
        <f>SUMIFS('HQ1'!$C:$C,'HQ1'!$A:$A, "="&amp;'CHECK_DT-BT_chi_tiet'!C66,'HQ1'!$B:$B, "="&amp;'CHECK_DT-BT_chi_tiet'!$G$3)</f>
        <v>15698700</v>
      </c>
      <c r="I66" s="7">
        <f t="shared" si="1"/>
        <v>0</v>
      </c>
      <c r="J66" s="7">
        <f>SUMIFS('Tong_hop_HQNV_2026Q1_2026-06-23'!$K:$K,'Tong_hop_HQNV_2026Q1_2026-06-23'!$A:$A,"="&amp;'CHECK_DT-BT_chi_tiet'!$J$2,'Tong_hop_HQNV_2026Q1_2026-06-23'!$B:$B, "="&amp;'CHECK_DT-BT_chi_tiet'!A66)</f>
        <v>2738078035</v>
      </c>
      <c r="K66" s="7">
        <f>SUMIFS('HQ1'!$C:$C,'HQ1'!$A:$A, "="&amp;'CHECK_DT-BT_chi_tiet'!C66,'HQ1'!$B:$B, "="&amp;'CHECK_DT-BT_chi_tiet'!$J$3)</f>
        <v>2738078035</v>
      </c>
      <c r="L66" s="7">
        <f t="shared" si="2"/>
        <v>0</v>
      </c>
      <c r="M66" s="7">
        <f>SUMIFS('Tong_hop_HQNV_2026Q1_2026-06-23'!$K:$K,'Tong_hop_HQNV_2026Q1_2026-06-23'!$A:$A,"="&amp;'CHECK_DT-BT_chi_tiet'!$M$2,'Tong_hop_HQNV_2026Q1_2026-06-23'!$B:$B, "="&amp;'CHECK_DT-BT_chi_tiet'!A66)</f>
        <v>682475310</v>
      </c>
      <c r="N66" s="7">
        <f>SUMIFS('HQ1'!$C:$C,'HQ1'!$A:$A, "="&amp;'CHECK_DT-BT_chi_tiet'!C66,'HQ1'!$B:$B, "="&amp;'CHECK_DT-BT_chi_tiet'!$M$3)</f>
        <v>682475310</v>
      </c>
      <c r="O66" s="7">
        <f t="shared" si="3"/>
        <v>0</v>
      </c>
      <c r="P66" s="7">
        <f>SUMIFS('Tong_hop_HQNV_2026Q1_2026-06-23'!$K:$K,'Tong_hop_HQNV_2026Q1_2026-06-23'!$A:$A,"="&amp;$P$2,'Tong_hop_HQNV_2026Q1_2026-06-23'!$B:$B, "="&amp;'CHECK_DT-BT_chi_tiet'!A66)</f>
        <v>0</v>
      </c>
      <c r="Q66" s="7">
        <f>SUMIFS('HQ2'!$C:$C,'HQ2'!$A:$A, "="&amp;'CHECK_DT-BT_chi_tiet'!C66,'HQ2'!$B:$B, "="&amp;'CHECK_DT-BT_chi_tiet'!$P$3)</f>
        <v>0</v>
      </c>
      <c r="R66" s="7">
        <f t="shared" si="4"/>
        <v>0</v>
      </c>
      <c r="S66" s="7">
        <f>SUMIFS('Tong_hop_HQNV_2026Q1_2026-06-23'!$K:$K,'Tong_hop_HQNV_2026Q1_2026-06-23'!$A:$A,"="&amp;$S$2,'Tong_hop_HQNV_2026Q1_2026-06-23'!$B:$B, "="&amp;'CHECK_DT-BT_chi_tiet'!A66)</f>
        <v>0</v>
      </c>
      <c r="T66" s="7">
        <f>SUMIFS('HQ2'!$C:$C,'HQ2'!$A:$A, "="&amp;'CHECK_DT-BT_chi_tiet'!C66,'HQ2'!$B:$B, "="&amp;'CHECK_DT-BT_chi_tiet'!$S$3)</f>
        <v>0</v>
      </c>
      <c r="U66" s="7">
        <f t="shared" si="5"/>
        <v>0</v>
      </c>
      <c r="V66" s="7">
        <f>SUMIFS('Tong_hop_HQNV_2026Q1_2026-06-23'!$K:$K,'Tong_hop_HQNV_2026Q1_2026-06-23'!$A:$A,"="&amp;$V$2,'Tong_hop_HQNV_2026Q1_2026-06-23'!$B:$B, "="&amp;'CHECK_DT-BT_chi_tiet'!A66)</f>
        <v>0</v>
      </c>
      <c r="W66" s="7">
        <f>SUMIFS('HQ2'!$C:$C,'HQ2'!$A:$A, "="&amp;'CHECK_DT-BT_chi_tiet'!C66,'HQ2'!$B:$B, "="&amp;'CHECK_DT-BT_chi_tiet'!$V$3)</f>
        <v>0</v>
      </c>
      <c r="X66" s="7">
        <f t="shared" si="6"/>
        <v>0</v>
      </c>
      <c r="Y66" s="7">
        <f>SUMIFS('Tong_hop_HQNV_2026Q1_2026-06-23'!$K:$K,'Tong_hop_HQNV_2026Q1_2026-06-23'!$A:$A,"="&amp;$Y$2,'Tong_hop_HQNV_2026Q1_2026-06-23'!$B:$B, "="&amp;'CHECK_DT-BT_chi_tiet'!A66)</f>
        <v>38940075</v>
      </c>
      <c r="Z66" s="7">
        <f>SUMIFS('HQ2'!$C:$C,'HQ2'!$A:$A, "="&amp;'CHECK_DT-BT_chi_tiet'!C66,'HQ2'!$B:$B, "="&amp;'CHECK_DT-BT_chi_tiet'!$Y$3)</f>
        <v>38940075</v>
      </c>
      <c r="AA66" s="7">
        <f t="shared" si="7"/>
        <v>0</v>
      </c>
      <c r="AB66" s="7">
        <f>SUMIFS('Tong_hop_HQNV_2026Q1_2026-06-23'!$K:$K,'Tong_hop_HQNV_2026Q1_2026-06-23'!$A:$A,"="&amp;$AB$2,'Tong_hop_HQNV_2026Q1_2026-06-23'!$B:$B, "="&amp;'CHECK_DT-BT_chi_tiet'!A66)</f>
        <v>862063265</v>
      </c>
      <c r="AC66" s="7">
        <f>SUMIFS('HQ2'!$C:$C,'HQ2'!$A:$A, "="&amp;'CHECK_DT-BT_chi_tiet'!C66,'HQ2'!$B:$B, "="&amp;'CHECK_DT-BT_chi_tiet'!$AB$3)</f>
        <v>862063265</v>
      </c>
      <c r="AD66" s="7">
        <f t="shared" si="8"/>
        <v>0</v>
      </c>
      <c r="AE66" s="7">
        <f>SUMIFS('Tong_hop_HQNV_2026Q1_2026-06-23'!$K:$K,'Tong_hop_HQNV_2026Q1_2026-06-23'!$A:$A,"="&amp;$AE$2,'Tong_hop_HQNV_2026Q1_2026-06-23'!$B:$B, "="&amp;'CHECK_DT-BT_chi_tiet'!A66)</f>
        <v>61033636</v>
      </c>
      <c r="AF66" s="7">
        <f>SUMIFS('HQ2'!$C:$C,'HQ2'!$A:$A, "="&amp;'CHECK_DT-BT_chi_tiet'!C66,'HQ2'!$B:$B, "="&amp;'CHECK_DT-BT_chi_tiet'!$AE$3)</f>
        <v>61033636</v>
      </c>
      <c r="AG66" s="7">
        <f t="shared" si="9"/>
        <v>0</v>
      </c>
      <c r="AH66" s="7">
        <f>SUMIFS('Tong_hop_HQNV_2026Q1_2026-06-23'!$K:$K,'Tong_hop_HQNV_2026Q1_2026-06-23'!$A:$A,"="&amp;$AH$2,'Tong_hop_HQNV_2026Q1_2026-06-23'!$B:$B, "="&amp;'CHECK_DT-BT_chi_tiet'!A66)</f>
        <v>59509091</v>
      </c>
      <c r="AI66" s="7">
        <f>SUMIFS('HQ2'!$C:$C,'HQ2'!$A:$A, "="&amp;'CHECK_DT-BT_chi_tiet'!C66,'HQ2'!$B:$B, "="&amp;'CHECK_DT-BT_chi_tiet'!$AH$3)</f>
        <v>59509091</v>
      </c>
      <c r="AJ66" s="7">
        <f t="shared" si="10"/>
        <v>0</v>
      </c>
      <c r="AK66" s="7">
        <f>SUMIFS('Tong_hop_HQNV_2026Q1_2026-06-23'!$K:$K,'Tong_hop_HQNV_2026Q1_2026-06-23'!$A:$A,"="&amp;$AK$2,'Tong_hop_HQNV_2026Q1_2026-06-23'!$B:$B, "="&amp;'CHECK_DT-BT_chi_tiet'!A66)</f>
        <v>0</v>
      </c>
      <c r="AL66" s="7">
        <f>SUMIFS('Tong_hop_HQNV_2026Q1_2026-06-23'!$K:$K,'Tong_hop_HQNV_2026Q1_2026-06-23'!$A:$A,"="&amp;$AL$2,'Tong_hop_HQNV_2026Q1_2026-06-23'!$B:$B, "="&amp;'CHECK_DT-BT_chi_tiet'!A66)</f>
        <v>0</v>
      </c>
      <c r="AM66" s="23">
        <f>SUMIFS('Tong_hop_HQNV_2026Q1_2026-06-23'!$L:$L,'Tong_hop_HQNV_2026Q1_2026-06-23'!$B:$B, "="&amp;'CHECK_DT-BT_chi_tiet'!A66, 'Tong_hop_HQNV_2026Q1_2026-06-23'!$A:$A, "="&amp;'CHECK_DT-BT_chi_tiet'!$AM$2)</f>
        <v>1926670751</v>
      </c>
      <c r="AN66" s="29">
        <f>SUMIFS('HQ1'!$D:$D,'HQ1'!$A:$A, "="&amp;'CHECK_DT-BT_chi_tiet'!C66,'HQ1'!$B:$B,"="&amp;'CHECK_DT-BT_chi_tiet'!$AM$3)</f>
        <v>1926670751</v>
      </c>
      <c r="AO66" s="29">
        <f t="shared" si="11"/>
        <v>0</v>
      </c>
      <c r="AP66" s="7">
        <f>SUMIFS('Tong_hop_HQNV_2026Q1_2026-06-23'!$L:$L,'Tong_hop_HQNV_2026Q1_2026-06-23'!$B:$B, "="&amp;'CHECK_DT-BT_chi_tiet'!A66, 'Tong_hop_HQNV_2026Q1_2026-06-23'!$A:$A, "="&amp;'CHECK_DT-BT_chi_tiet'!$AP$2)</f>
        <v>0</v>
      </c>
      <c r="AQ66" s="29">
        <f>SUMIFS('HQ1'!$D:$D,'HQ1'!$A:$A, "="&amp;'CHECK_DT-BT_chi_tiet'!C66,'HQ1'!$B:$B,"="&amp;'CHECK_DT-BT_chi_tiet'!$AP$3)</f>
        <v>0</v>
      </c>
      <c r="AR66" s="7">
        <f t="shared" si="12"/>
        <v>0</v>
      </c>
      <c r="AS66" s="7">
        <f>SUMIFS('Tong_hop_HQNV_2026Q1_2026-06-23'!$L:$L,'Tong_hop_HQNV_2026Q1_2026-06-23'!$B:$B, "="&amp;'CHECK_DT-BT_chi_tiet'!A66, 'Tong_hop_HQNV_2026Q1_2026-06-23'!$A:$A, "="&amp;'CHECK_DT-BT_chi_tiet'!$AS$2)</f>
        <v>1079234884</v>
      </c>
      <c r="AT66" s="29">
        <f>SUMIFS('HQ1'!$D:$D,'HQ1'!$A:$A, "="&amp;'CHECK_DT-BT_chi_tiet'!C66,'HQ1'!$B:$B,"="&amp;'CHECK_DT-BT_chi_tiet'!$AS$3)</f>
        <v>1079234884</v>
      </c>
      <c r="AU66" s="7">
        <f t="shared" si="13"/>
        <v>0</v>
      </c>
      <c r="AV66" s="7">
        <f>SUMIFS('Tong_hop_HQNV_2026Q1_2026-06-23'!$L:$L,'Tong_hop_HQNV_2026Q1_2026-06-23'!$B:$B, "="&amp;'CHECK_DT-BT_chi_tiet'!A66, 'Tong_hop_HQNV_2026Q1_2026-06-23'!$A:$A, "="&amp;'CHECK_DT-BT_chi_tiet'!$AV$2)</f>
        <v>213904143</v>
      </c>
      <c r="AW66" s="29">
        <f>SUMIFS('HQ1'!$D:$D,'HQ1'!$A:$A, "="&amp;'CHECK_DT-BT_chi_tiet'!C66,'HQ1'!$B:$B,"="&amp;'CHECK_DT-BT_chi_tiet'!$AV$3)</f>
        <v>213904143</v>
      </c>
      <c r="AX66" s="7">
        <f t="shared" si="14"/>
        <v>0</v>
      </c>
      <c r="AY66" s="7">
        <f>SUMIFS('Tong_hop_HQNV_2026Q1_2026-06-23'!$L:$L,'Tong_hop_HQNV_2026Q1_2026-06-23'!$B:$B, "="&amp;'CHECK_DT-BT_chi_tiet'!A66, 'Tong_hop_HQNV_2026Q1_2026-06-23'!$A:$A, "="&amp;$AY$2)</f>
        <v>0</v>
      </c>
      <c r="AZ66" s="29">
        <f>SUMIFS('HQ2'!$J:$J,'HQ2'!$A:$A, "="&amp;'CHECK_DT-BT_chi_tiet'!C66,'HQ2'!$B:$B,"="&amp;'CHECK_DT-BT_chi_tiet'!$AY$3)</f>
        <v>0</v>
      </c>
      <c r="BA66" s="7">
        <f t="shared" si="15"/>
        <v>0</v>
      </c>
      <c r="BB66" s="7">
        <f>SUMIFS('Tong_hop_HQNV_2026Q1_2026-06-23'!$L:$L,'Tong_hop_HQNV_2026Q1_2026-06-23'!$B:$B, "="&amp;'CHECK_DT-BT_chi_tiet'!A66, 'Tong_hop_HQNV_2026Q1_2026-06-23'!$A:$A, "="&amp;$BB$2)</f>
        <v>0</v>
      </c>
      <c r="BC66" s="29">
        <f>SUMIFS('HQ2'!$J:$J,'HQ2'!$A:$A, "="&amp;'CHECK_DT-BT_chi_tiet'!C66,'HQ2'!$B:$B,"="&amp;'CHECK_DT-BT_chi_tiet'!$BB$3)</f>
        <v>0</v>
      </c>
      <c r="BD66" s="7">
        <f t="shared" si="16"/>
        <v>0</v>
      </c>
      <c r="BE66" s="7">
        <f>SUMIFS('Tong_hop_HQNV_2026Q1_2026-06-23'!$L:$L,'Tong_hop_HQNV_2026Q1_2026-06-23'!$B:$B, "="&amp;'CHECK_DT-BT_chi_tiet'!A66, 'Tong_hop_HQNV_2026Q1_2026-06-23'!$A:$A, "="&amp;$BE$2)</f>
        <v>0</v>
      </c>
      <c r="BF66" s="29">
        <f>SUMIFS('HQ2'!$J:$J,'HQ2'!$A:$A, "="&amp;'CHECK_DT-BT_chi_tiet'!C66,'HQ2'!$B:$B,"="&amp;'CHECK_DT-BT_chi_tiet'!$BE$3)</f>
        <v>0</v>
      </c>
      <c r="BG66" s="7">
        <f t="shared" si="17"/>
        <v>0</v>
      </c>
      <c r="BH66" s="7">
        <f>SUMIFS('Tong_hop_HQNV_2026Q1_2026-06-23'!$L:$L,'Tong_hop_HQNV_2026Q1_2026-06-23'!$B:$B, "="&amp;'CHECK_DT-BT_chi_tiet'!A66, 'Tong_hop_HQNV_2026Q1_2026-06-23'!$A:$A, "="&amp;$BH$2)</f>
        <v>0</v>
      </c>
      <c r="BI66" s="29">
        <f>SUMIFS('HQ2'!$J:$J,'HQ2'!$A:$A, "="&amp;'CHECK_DT-BT_chi_tiet'!C66,'HQ2'!$B:$B,"="&amp;'CHECK_DT-BT_chi_tiet'!$BH$3)</f>
        <v>0</v>
      </c>
      <c r="BJ66" s="7">
        <f t="shared" si="18"/>
        <v>0</v>
      </c>
      <c r="BK66" s="7">
        <f>SUMIFS('Tong_hop_HQNV_2026Q1_2026-06-23'!$L:$L,'Tong_hop_HQNV_2026Q1_2026-06-23'!$B:$B, "="&amp;'CHECK_DT-BT_chi_tiet'!A66, 'Tong_hop_HQNV_2026Q1_2026-06-23'!$A:$A, "="&amp;$BK$2)</f>
        <v>0</v>
      </c>
      <c r="BL66" s="29">
        <f>SUMIFS('HQ2'!$J:$J,'HQ2'!$A:$A, "="&amp;'CHECK_DT-BT_chi_tiet'!C66,'HQ2'!$B:$B,"="&amp;'CHECK_DT-BT_chi_tiet'!$BK$3)</f>
        <v>0</v>
      </c>
      <c r="BM66" s="7">
        <f t="shared" si="19"/>
        <v>0</v>
      </c>
      <c r="BN66" s="7">
        <f>SUMIFS('Tong_hop_HQNV_2026Q1_2026-06-23'!$L:$L,'Tong_hop_HQNV_2026Q1_2026-06-23'!$B:$B, "="&amp;'CHECK_DT-BT_chi_tiet'!A66, 'Tong_hop_HQNV_2026Q1_2026-06-23'!$A:$A, "="&amp;$BN$2)</f>
        <v>110685000</v>
      </c>
      <c r="BO66" s="29">
        <f>SUMIFS('HQ2'!$J:$J,'HQ2'!$A:$A, "="&amp;'CHECK_DT-BT_chi_tiet'!C66,'HQ2'!$B:$B,"="&amp;'CHECK_DT-BT_chi_tiet'!$BN$3)</f>
        <v>110685000</v>
      </c>
      <c r="BP66" s="7">
        <f t="shared" si="20"/>
        <v>0</v>
      </c>
      <c r="BQ66" s="7">
        <f>SUMIFS('Tong_hop_HQNV_2026Q1_2026-06-23'!$L:$L,'Tong_hop_HQNV_2026Q1_2026-06-23'!$B:$B, "="&amp;'CHECK_DT-BT_chi_tiet'!A66, 'Tong_hop_HQNV_2026Q1_2026-06-23'!$A:$A, "="&amp;$BQ$2)</f>
        <v>0</v>
      </c>
      <c r="BR66" s="29">
        <f>SUMIFS('HQ2'!$J:$J,'HQ2'!$A:$A, "="&amp;'CHECK_DT-BT_chi_tiet'!C66,'HQ2'!$B:$B,"="&amp;'CHECK_DT-BT_chi_tiet'!$BQ$3)</f>
        <v>0</v>
      </c>
      <c r="BS66" s="7">
        <f t="shared" si="21"/>
        <v>0</v>
      </c>
      <c r="BT66" s="7">
        <f>SUMIFS('Tong_hop_HQNV_2026Q1_2026-06-23'!$L:$L,'Tong_hop_HQNV_2026Q1_2026-06-23'!$B:$B, "="&amp;'CHECK_DT-BT_chi_tiet'!A66, 'Tong_hop_HQNV_2026Q1_2026-06-23'!$A:$A, "="&amp;$BT$2)</f>
        <v>0</v>
      </c>
      <c r="BU66" s="7">
        <f>SUMIFS('Tong_hop_HQNV_2026Q1_2026-06-23'!$L:$L,'Tong_hop_HQNV_2026Q1_2026-06-23'!$B:$B, "="&amp;'CHECK_DT-BT_chi_tiet'!A66, 'Tong_hop_HQNV_2026Q1_2026-06-23'!$A:$A, "="&amp;$BU$2)</f>
        <v>0</v>
      </c>
    </row>
    <row r="67" spans="1:73" x14ac:dyDescent="0.25">
      <c r="A67" s="9" t="s">
        <v>347</v>
      </c>
      <c r="B67" t="s">
        <v>205</v>
      </c>
      <c r="C67" t="s">
        <v>107</v>
      </c>
      <c r="D67" s="7">
        <f>SUMIFS('Tong_hop_HQNV_2026Q1_2026-06-23'!$K:$K,'Tong_hop_HQNV_2026Q1_2026-06-23'!$A:$A,"="&amp;'CHECK_DT-BT_chi_tiet'!$D$2,'Tong_hop_HQNV_2026Q1_2026-06-23'!$B:$B, "="&amp;'CHECK_DT-BT_chi_tiet'!A67)</f>
        <v>1603986023</v>
      </c>
      <c r="E67" s="7">
        <f>SUMIFS('HQ1'!$C:$C,'HQ1'!$A:$A, "="&amp;'CHECK_DT-BT_chi_tiet'!C67,'HQ1'!$B:$B, "="&amp;'CHECK_DT-BT_chi_tiet'!$D$3)</f>
        <v>1602080023</v>
      </c>
      <c r="F67" s="7">
        <f t="shared" si="0"/>
        <v>1906000</v>
      </c>
      <c r="G67" s="7">
        <f>SUMIFS('Tong_hop_HQNV_2026Q1_2026-06-23'!$K:$K,'Tong_hop_HQNV_2026Q1_2026-06-23'!$A:$A,"="&amp;'CHECK_DT-BT_chi_tiet'!$G$2,'Tong_hop_HQNV_2026Q1_2026-06-23'!$B:$B, "="&amp;'CHECK_DT-BT_chi_tiet'!A67)</f>
        <v>11559000</v>
      </c>
      <c r="H67" s="7">
        <f>SUMIFS('HQ1'!$C:$C,'HQ1'!$A:$A, "="&amp;'CHECK_DT-BT_chi_tiet'!C67,'HQ1'!$B:$B, "="&amp;'CHECK_DT-BT_chi_tiet'!$G$3)</f>
        <v>11559000</v>
      </c>
      <c r="I67" s="7">
        <f t="shared" si="1"/>
        <v>0</v>
      </c>
      <c r="J67" s="7">
        <f>SUMIFS('Tong_hop_HQNV_2026Q1_2026-06-23'!$K:$K,'Tong_hop_HQNV_2026Q1_2026-06-23'!$A:$A,"="&amp;'CHECK_DT-BT_chi_tiet'!$J$2,'Tong_hop_HQNV_2026Q1_2026-06-23'!$B:$B, "="&amp;'CHECK_DT-BT_chi_tiet'!A67)</f>
        <v>6568454367</v>
      </c>
      <c r="K67" s="7">
        <f>SUMIFS('HQ1'!$C:$C,'HQ1'!$A:$A, "="&amp;'CHECK_DT-BT_chi_tiet'!C67,'HQ1'!$B:$B, "="&amp;'CHECK_DT-BT_chi_tiet'!$J$3)</f>
        <v>6568454367</v>
      </c>
      <c r="L67" s="7">
        <f t="shared" si="2"/>
        <v>0</v>
      </c>
      <c r="M67" s="7">
        <f>SUMIFS('Tong_hop_HQNV_2026Q1_2026-06-23'!$K:$K,'Tong_hop_HQNV_2026Q1_2026-06-23'!$A:$A,"="&amp;'CHECK_DT-BT_chi_tiet'!$M$2,'Tong_hop_HQNV_2026Q1_2026-06-23'!$B:$B, "="&amp;'CHECK_DT-BT_chi_tiet'!A67)</f>
        <v>302386595</v>
      </c>
      <c r="N67" s="7">
        <f>SUMIFS('HQ1'!$C:$C,'HQ1'!$A:$A, "="&amp;'CHECK_DT-BT_chi_tiet'!C67,'HQ1'!$B:$B, "="&amp;'CHECK_DT-BT_chi_tiet'!$M$3)</f>
        <v>302386595</v>
      </c>
      <c r="O67" s="7">
        <f t="shared" si="3"/>
        <v>0</v>
      </c>
      <c r="P67" s="7">
        <f>SUMIFS('Tong_hop_HQNV_2026Q1_2026-06-23'!$K:$K,'Tong_hop_HQNV_2026Q1_2026-06-23'!$A:$A,"="&amp;$P$2,'Tong_hop_HQNV_2026Q1_2026-06-23'!$B:$B, "="&amp;'CHECK_DT-BT_chi_tiet'!A67)</f>
        <v>0</v>
      </c>
      <c r="Q67" s="7">
        <f>SUMIFS('HQ2'!$C:$C,'HQ2'!$A:$A, "="&amp;'CHECK_DT-BT_chi_tiet'!C67,'HQ2'!$B:$B, "="&amp;'CHECK_DT-BT_chi_tiet'!$P$3)</f>
        <v>0</v>
      </c>
      <c r="R67" s="7">
        <f t="shared" si="4"/>
        <v>0</v>
      </c>
      <c r="S67" s="7">
        <f>SUMIFS('Tong_hop_HQNV_2026Q1_2026-06-23'!$K:$K,'Tong_hop_HQNV_2026Q1_2026-06-23'!$A:$A,"="&amp;$S$2,'Tong_hop_HQNV_2026Q1_2026-06-23'!$B:$B, "="&amp;'CHECK_DT-BT_chi_tiet'!A67)</f>
        <v>0</v>
      </c>
      <c r="T67" s="7">
        <f>SUMIFS('HQ2'!$C:$C,'HQ2'!$A:$A, "="&amp;'CHECK_DT-BT_chi_tiet'!C67,'HQ2'!$B:$B, "="&amp;'CHECK_DT-BT_chi_tiet'!$S$3)</f>
        <v>0</v>
      </c>
      <c r="U67" s="7">
        <f t="shared" si="5"/>
        <v>0</v>
      </c>
      <c r="V67" s="7">
        <f>SUMIFS('Tong_hop_HQNV_2026Q1_2026-06-23'!$K:$K,'Tong_hop_HQNV_2026Q1_2026-06-23'!$A:$A,"="&amp;$V$2,'Tong_hop_HQNV_2026Q1_2026-06-23'!$B:$B, "="&amp;'CHECK_DT-BT_chi_tiet'!A67)</f>
        <v>0</v>
      </c>
      <c r="W67" s="7">
        <f>SUMIFS('HQ2'!$C:$C,'HQ2'!$A:$A, "="&amp;'CHECK_DT-BT_chi_tiet'!C67,'HQ2'!$B:$B, "="&amp;'CHECK_DT-BT_chi_tiet'!$V$3)</f>
        <v>0</v>
      </c>
      <c r="X67" s="7">
        <f t="shared" si="6"/>
        <v>0</v>
      </c>
      <c r="Y67" s="7">
        <f>SUMIFS('Tong_hop_HQNV_2026Q1_2026-06-23'!$K:$K,'Tong_hop_HQNV_2026Q1_2026-06-23'!$A:$A,"="&amp;$Y$2,'Tong_hop_HQNV_2026Q1_2026-06-23'!$B:$B, "="&amp;'CHECK_DT-BT_chi_tiet'!A67)</f>
        <v>0</v>
      </c>
      <c r="Z67" s="7">
        <f>SUMIFS('HQ2'!$C:$C,'HQ2'!$A:$A, "="&amp;'CHECK_DT-BT_chi_tiet'!C67,'HQ2'!$B:$B, "="&amp;'CHECK_DT-BT_chi_tiet'!$Y$3)</f>
        <v>0</v>
      </c>
      <c r="AA67" s="7">
        <f t="shared" si="7"/>
        <v>0</v>
      </c>
      <c r="AB67" s="7">
        <f>SUMIFS('Tong_hop_HQNV_2026Q1_2026-06-23'!$K:$K,'Tong_hop_HQNV_2026Q1_2026-06-23'!$A:$A,"="&amp;$AB$2,'Tong_hop_HQNV_2026Q1_2026-06-23'!$B:$B, "="&amp;'CHECK_DT-BT_chi_tiet'!A67)</f>
        <v>178148805</v>
      </c>
      <c r="AC67" s="7">
        <f>SUMIFS('HQ2'!$C:$C,'HQ2'!$A:$A, "="&amp;'CHECK_DT-BT_chi_tiet'!C67,'HQ2'!$B:$B, "="&amp;'CHECK_DT-BT_chi_tiet'!$AB$3)</f>
        <v>178148805</v>
      </c>
      <c r="AD67" s="7">
        <f t="shared" si="8"/>
        <v>0</v>
      </c>
      <c r="AE67" s="7">
        <f>SUMIFS('Tong_hop_HQNV_2026Q1_2026-06-23'!$K:$K,'Tong_hop_HQNV_2026Q1_2026-06-23'!$A:$A,"="&amp;$AE$2,'Tong_hop_HQNV_2026Q1_2026-06-23'!$B:$B, "="&amp;'CHECK_DT-BT_chi_tiet'!A67)</f>
        <v>1189570000</v>
      </c>
      <c r="AF67" s="7">
        <f>SUMIFS('HQ2'!$C:$C,'HQ2'!$A:$A, "="&amp;'CHECK_DT-BT_chi_tiet'!C67,'HQ2'!$B:$B, "="&amp;'CHECK_DT-BT_chi_tiet'!$AE$3)</f>
        <v>1189570000</v>
      </c>
      <c r="AG67" s="7">
        <f t="shared" si="9"/>
        <v>0</v>
      </c>
      <c r="AH67" s="7">
        <f>SUMIFS('Tong_hop_HQNV_2026Q1_2026-06-23'!$K:$K,'Tong_hop_HQNV_2026Q1_2026-06-23'!$A:$A,"="&amp;$AH$2,'Tong_hop_HQNV_2026Q1_2026-06-23'!$B:$B, "="&amp;'CHECK_DT-BT_chi_tiet'!A67)</f>
        <v>0</v>
      </c>
      <c r="AI67" s="7">
        <f>SUMIFS('HQ2'!$C:$C,'HQ2'!$A:$A, "="&amp;'CHECK_DT-BT_chi_tiet'!C67,'HQ2'!$B:$B, "="&amp;'CHECK_DT-BT_chi_tiet'!$AH$3)</f>
        <v>0</v>
      </c>
      <c r="AJ67" s="7">
        <f t="shared" si="10"/>
        <v>0</v>
      </c>
      <c r="AK67" s="7">
        <f>SUMIFS('Tong_hop_HQNV_2026Q1_2026-06-23'!$K:$K,'Tong_hop_HQNV_2026Q1_2026-06-23'!$A:$A,"="&amp;$AK$2,'Tong_hop_HQNV_2026Q1_2026-06-23'!$B:$B, "="&amp;'CHECK_DT-BT_chi_tiet'!A67)</f>
        <v>0</v>
      </c>
      <c r="AL67" s="7">
        <f>SUMIFS('Tong_hop_HQNV_2026Q1_2026-06-23'!$K:$K,'Tong_hop_HQNV_2026Q1_2026-06-23'!$A:$A,"="&amp;$AL$2,'Tong_hop_HQNV_2026Q1_2026-06-23'!$B:$B, "="&amp;'CHECK_DT-BT_chi_tiet'!A67)</f>
        <v>0</v>
      </c>
      <c r="AM67" s="23">
        <f>SUMIFS('Tong_hop_HQNV_2026Q1_2026-06-23'!$L:$L,'Tong_hop_HQNV_2026Q1_2026-06-23'!$B:$B, "="&amp;'CHECK_DT-BT_chi_tiet'!A67, 'Tong_hop_HQNV_2026Q1_2026-06-23'!$A:$A, "="&amp;'CHECK_DT-BT_chi_tiet'!$AM$2)</f>
        <v>1071437000</v>
      </c>
      <c r="AN67" s="29">
        <f>SUMIFS('HQ1'!$D:$D,'HQ1'!$A:$A, "="&amp;'CHECK_DT-BT_chi_tiet'!C67,'HQ1'!$B:$B,"="&amp;'CHECK_DT-BT_chi_tiet'!$AM$3)</f>
        <v>1071437000</v>
      </c>
      <c r="AO67" s="29">
        <f t="shared" si="11"/>
        <v>0</v>
      </c>
      <c r="AP67" s="7">
        <f>SUMIFS('Tong_hop_HQNV_2026Q1_2026-06-23'!$L:$L,'Tong_hop_HQNV_2026Q1_2026-06-23'!$B:$B, "="&amp;'CHECK_DT-BT_chi_tiet'!A67, 'Tong_hop_HQNV_2026Q1_2026-06-23'!$A:$A, "="&amp;'CHECK_DT-BT_chi_tiet'!$AP$2)</f>
        <v>0</v>
      </c>
      <c r="AQ67" s="29">
        <f>SUMIFS('HQ1'!$D:$D,'HQ1'!$A:$A, "="&amp;'CHECK_DT-BT_chi_tiet'!C67,'HQ1'!$B:$B,"="&amp;'CHECK_DT-BT_chi_tiet'!$AP$3)</f>
        <v>0</v>
      </c>
      <c r="AR67" s="7">
        <f t="shared" si="12"/>
        <v>0</v>
      </c>
      <c r="AS67" s="7">
        <f>SUMIFS('Tong_hop_HQNV_2026Q1_2026-06-23'!$L:$L,'Tong_hop_HQNV_2026Q1_2026-06-23'!$B:$B, "="&amp;'CHECK_DT-BT_chi_tiet'!A67, 'Tong_hop_HQNV_2026Q1_2026-06-23'!$A:$A, "="&amp;'CHECK_DT-BT_chi_tiet'!$AS$2)</f>
        <v>1316512794</v>
      </c>
      <c r="AT67" s="29">
        <f>SUMIFS('HQ1'!$D:$D,'HQ1'!$A:$A, "="&amp;'CHECK_DT-BT_chi_tiet'!C67,'HQ1'!$B:$B,"="&amp;'CHECK_DT-BT_chi_tiet'!$AS$3)</f>
        <v>1316512794</v>
      </c>
      <c r="AU67" s="7">
        <f t="shared" si="13"/>
        <v>0</v>
      </c>
      <c r="AV67" s="7">
        <f>SUMIFS('Tong_hop_HQNV_2026Q1_2026-06-23'!$L:$L,'Tong_hop_HQNV_2026Q1_2026-06-23'!$B:$B, "="&amp;'CHECK_DT-BT_chi_tiet'!A67, 'Tong_hop_HQNV_2026Q1_2026-06-23'!$A:$A, "="&amp;'CHECK_DT-BT_chi_tiet'!$AV$2)</f>
        <v>85298433</v>
      </c>
      <c r="AW67" s="29">
        <f>SUMIFS('HQ1'!$D:$D,'HQ1'!$A:$A, "="&amp;'CHECK_DT-BT_chi_tiet'!C67,'HQ1'!$B:$B,"="&amp;'CHECK_DT-BT_chi_tiet'!$AV$3)</f>
        <v>85298433</v>
      </c>
      <c r="AX67" s="7">
        <f t="shared" si="14"/>
        <v>0</v>
      </c>
      <c r="AY67" s="7">
        <f>SUMIFS('Tong_hop_HQNV_2026Q1_2026-06-23'!$L:$L,'Tong_hop_HQNV_2026Q1_2026-06-23'!$B:$B, "="&amp;'CHECK_DT-BT_chi_tiet'!A67, 'Tong_hop_HQNV_2026Q1_2026-06-23'!$A:$A, "="&amp;$AY$2)</f>
        <v>0</v>
      </c>
      <c r="AZ67" s="29">
        <f>SUMIFS('HQ2'!$J:$J,'HQ2'!$A:$A, "="&amp;'CHECK_DT-BT_chi_tiet'!C67,'HQ2'!$B:$B,"="&amp;'CHECK_DT-BT_chi_tiet'!$AY$3)</f>
        <v>0</v>
      </c>
      <c r="BA67" s="7">
        <f t="shared" si="15"/>
        <v>0</v>
      </c>
      <c r="BB67" s="7">
        <f>SUMIFS('Tong_hop_HQNV_2026Q1_2026-06-23'!$L:$L,'Tong_hop_HQNV_2026Q1_2026-06-23'!$B:$B, "="&amp;'CHECK_DT-BT_chi_tiet'!A67, 'Tong_hop_HQNV_2026Q1_2026-06-23'!$A:$A, "="&amp;$BB$2)</f>
        <v>0</v>
      </c>
      <c r="BC67" s="29">
        <f>SUMIFS('HQ2'!$J:$J,'HQ2'!$A:$A, "="&amp;'CHECK_DT-BT_chi_tiet'!C67,'HQ2'!$B:$B,"="&amp;'CHECK_DT-BT_chi_tiet'!$BB$3)</f>
        <v>0</v>
      </c>
      <c r="BD67" s="7">
        <f t="shared" si="16"/>
        <v>0</v>
      </c>
      <c r="BE67" s="7">
        <f>SUMIFS('Tong_hop_HQNV_2026Q1_2026-06-23'!$L:$L,'Tong_hop_HQNV_2026Q1_2026-06-23'!$B:$B, "="&amp;'CHECK_DT-BT_chi_tiet'!A67, 'Tong_hop_HQNV_2026Q1_2026-06-23'!$A:$A, "="&amp;$BE$2)</f>
        <v>0</v>
      </c>
      <c r="BF67" s="29">
        <f>SUMIFS('HQ2'!$J:$J,'HQ2'!$A:$A, "="&amp;'CHECK_DT-BT_chi_tiet'!C67,'HQ2'!$B:$B,"="&amp;'CHECK_DT-BT_chi_tiet'!$BE$3)</f>
        <v>0</v>
      </c>
      <c r="BG67" s="7">
        <f t="shared" si="17"/>
        <v>0</v>
      </c>
      <c r="BH67" s="7">
        <f>SUMIFS('Tong_hop_HQNV_2026Q1_2026-06-23'!$L:$L,'Tong_hop_HQNV_2026Q1_2026-06-23'!$B:$B, "="&amp;'CHECK_DT-BT_chi_tiet'!A67, 'Tong_hop_HQNV_2026Q1_2026-06-23'!$A:$A, "="&amp;$BH$2)</f>
        <v>0</v>
      </c>
      <c r="BI67" s="29">
        <f>SUMIFS('HQ2'!$J:$J,'HQ2'!$A:$A, "="&amp;'CHECK_DT-BT_chi_tiet'!C67,'HQ2'!$B:$B,"="&amp;'CHECK_DT-BT_chi_tiet'!$BH$3)</f>
        <v>0</v>
      </c>
      <c r="BJ67" s="7">
        <f t="shared" si="18"/>
        <v>0</v>
      </c>
      <c r="BK67" s="7">
        <f>SUMIFS('Tong_hop_HQNV_2026Q1_2026-06-23'!$L:$L,'Tong_hop_HQNV_2026Q1_2026-06-23'!$B:$B, "="&amp;'CHECK_DT-BT_chi_tiet'!A67, 'Tong_hop_HQNV_2026Q1_2026-06-23'!$A:$A, "="&amp;$BK$2)</f>
        <v>0</v>
      </c>
      <c r="BL67" s="29">
        <f>SUMIFS('HQ2'!$J:$J,'HQ2'!$A:$A, "="&amp;'CHECK_DT-BT_chi_tiet'!C67,'HQ2'!$B:$B,"="&amp;'CHECK_DT-BT_chi_tiet'!$BK$3)</f>
        <v>0</v>
      </c>
      <c r="BM67" s="7">
        <f t="shared" si="19"/>
        <v>0</v>
      </c>
      <c r="BN67" s="7">
        <f>SUMIFS('Tong_hop_HQNV_2026Q1_2026-06-23'!$L:$L,'Tong_hop_HQNV_2026Q1_2026-06-23'!$B:$B, "="&amp;'CHECK_DT-BT_chi_tiet'!A67, 'Tong_hop_HQNV_2026Q1_2026-06-23'!$A:$A, "="&amp;$BN$2)</f>
        <v>0</v>
      </c>
      <c r="BO67" s="29">
        <f>SUMIFS('HQ2'!$J:$J,'HQ2'!$A:$A, "="&amp;'CHECK_DT-BT_chi_tiet'!C67,'HQ2'!$B:$B,"="&amp;'CHECK_DT-BT_chi_tiet'!$BN$3)</f>
        <v>0</v>
      </c>
      <c r="BP67" s="7">
        <f t="shared" si="20"/>
        <v>0</v>
      </c>
      <c r="BQ67" s="7">
        <f>SUMIFS('Tong_hop_HQNV_2026Q1_2026-06-23'!$L:$L,'Tong_hop_HQNV_2026Q1_2026-06-23'!$B:$B, "="&amp;'CHECK_DT-BT_chi_tiet'!A67, 'Tong_hop_HQNV_2026Q1_2026-06-23'!$A:$A, "="&amp;$BQ$2)</f>
        <v>3200000</v>
      </c>
      <c r="BR67" s="29">
        <f>SUMIFS('HQ2'!$J:$J,'HQ2'!$A:$A, "="&amp;'CHECK_DT-BT_chi_tiet'!C67,'HQ2'!$B:$B,"="&amp;'CHECK_DT-BT_chi_tiet'!$BQ$3)</f>
        <v>3200000</v>
      </c>
      <c r="BS67" s="7">
        <f t="shared" si="21"/>
        <v>0</v>
      </c>
      <c r="BT67" s="7">
        <f>SUMIFS('Tong_hop_HQNV_2026Q1_2026-06-23'!$L:$L,'Tong_hop_HQNV_2026Q1_2026-06-23'!$B:$B, "="&amp;'CHECK_DT-BT_chi_tiet'!A67, 'Tong_hop_HQNV_2026Q1_2026-06-23'!$A:$A, "="&amp;$BT$2)</f>
        <v>0</v>
      </c>
      <c r="BU67" s="7">
        <f>SUMIFS('Tong_hop_HQNV_2026Q1_2026-06-23'!$L:$L,'Tong_hop_HQNV_2026Q1_2026-06-23'!$B:$B, "="&amp;'CHECK_DT-BT_chi_tiet'!A67, 'Tong_hop_HQNV_2026Q1_2026-06-23'!$A:$A, "="&amp;$BU$2)</f>
        <v>0</v>
      </c>
    </row>
    <row r="68" spans="1:73" x14ac:dyDescent="0.25">
      <c r="A68" s="9" t="s">
        <v>348</v>
      </c>
      <c r="B68" t="s">
        <v>206</v>
      </c>
      <c r="C68" t="s">
        <v>90</v>
      </c>
      <c r="D68" s="7">
        <f>SUMIFS('Tong_hop_HQNV_2026Q1_2026-06-23'!$K:$K,'Tong_hop_HQNV_2026Q1_2026-06-23'!$A:$A,"="&amp;'CHECK_DT-BT_chi_tiet'!$D$2,'Tong_hop_HQNV_2026Q1_2026-06-23'!$B:$B, "="&amp;'CHECK_DT-BT_chi_tiet'!A68)</f>
        <v>7814487340</v>
      </c>
      <c r="E68" s="7">
        <f>SUMIFS('HQ1'!$C:$C,'HQ1'!$A:$A, "="&amp;'CHECK_DT-BT_chi_tiet'!C68,'HQ1'!$B:$B, "="&amp;'CHECK_DT-BT_chi_tiet'!$D$3)</f>
        <v>7814487340</v>
      </c>
      <c r="F68" s="7">
        <f t="shared" si="0"/>
        <v>0</v>
      </c>
      <c r="G68" s="7">
        <f>SUMIFS('Tong_hop_HQNV_2026Q1_2026-06-23'!$K:$K,'Tong_hop_HQNV_2026Q1_2026-06-23'!$A:$A,"="&amp;'CHECK_DT-BT_chi_tiet'!$G$2,'Tong_hop_HQNV_2026Q1_2026-06-23'!$B:$B, "="&amp;'CHECK_DT-BT_chi_tiet'!A68)</f>
        <v>54952500</v>
      </c>
      <c r="H68" s="7">
        <f>SUMIFS('HQ1'!$C:$C,'HQ1'!$A:$A, "="&amp;'CHECK_DT-BT_chi_tiet'!C68,'HQ1'!$B:$B, "="&amp;'CHECK_DT-BT_chi_tiet'!$G$3)</f>
        <v>54952500</v>
      </c>
      <c r="I68" s="7">
        <f t="shared" si="1"/>
        <v>0</v>
      </c>
      <c r="J68" s="7">
        <f>SUMIFS('Tong_hop_HQNV_2026Q1_2026-06-23'!$K:$K,'Tong_hop_HQNV_2026Q1_2026-06-23'!$A:$A,"="&amp;'CHECK_DT-BT_chi_tiet'!$J$2,'Tong_hop_HQNV_2026Q1_2026-06-23'!$B:$B, "="&amp;'CHECK_DT-BT_chi_tiet'!A68)</f>
        <v>2427433905</v>
      </c>
      <c r="K68" s="7">
        <f>SUMIFS('HQ1'!$C:$C,'HQ1'!$A:$A, "="&amp;'CHECK_DT-BT_chi_tiet'!C68,'HQ1'!$B:$B, "="&amp;'CHECK_DT-BT_chi_tiet'!$J$3)</f>
        <v>2427433905</v>
      </c>
      <c r="L68" s="7">
        <f t="shared" si="2"/>
        <v>0</v>
      </c>
      <c r="M68" s="7">
        <f>SUMIFS('Tong_hop_HQNV_2026Q1_2026-06-23'!$K:$K,'Tong_hop_HQNV_2026Q1_2026-06-23'!$A:$A,"="&amp;'CHECK_DT-BT_chi_tiet'!$M$2,'Tong_hop_HQNV_2026Q1_2026-06-23'!$B:$B, "="&amp;'CHECK_DT-BT_chi_tiet'!A68)</f>
        <v>2398509294</v>
      </c>
      <c r="N68" s="7">
        <f>SUMIFS('HQ1'!$C:$C,'HQ1'!$A:$A, "="&amp;'CHECK_DT-BT_chi_tiet'!C68,'HQ1'!$B:$B, "="&amp;'CHECK_DT-BT_chi_tiet'!$M$3)</f>
        <v>2398509294</v>
      </c>
      <c r="O68" s="7">
        <f t="shared" si="3"/>
        <v>0</v>
      </c>
      <c r="P68" s="7">
        <f>SUMIFS('Tong_hop_HQNV_2026Q1_2026-06-23'!$K:$K,'Tong_hop_HQNV_2026Q1_2026-06-23'!$A:$A,"="&amp;$P$2,'Tong_hop_HQNV_2026Q1_2026-06-23'!$B:$B, "="&amp;'CHECK_DT-BT_chi_tiet'!A68)</f>
        <v>8149773</v>
      </c>
      <c r="Q68" s="7">
        <f>SUMIFS('HQ2'!$C:$C,'HQ2'!$A:$A, "="&amp;'CHECK_DT-BT_chi_tiet'!C68,'HQ2'!$B:$B, "="&amp;'CHECK_DT-BT_chi_tiet'!$P$3)</f>
        <v>8149773</v>
      </c>
      <c r="R68" s="7">
        <f t="shared" si="4"/>
        <v>0</v>
      </c>
      <c r="S68" s="7">
        <f>SUMIFS('Tong_hop_HQNV_2026Q1_2026-06-23'!$K:$K,'Tong_hop_HQNV_2026Q1_2026-06-23'!$A:$A,"="&amp;$S$2,'Tong_hop_HQNV_2026Q1_2026-06-23'!$B:$B, "="&amp;'CHECK_DT-BT_chi_tiet'!A68)</f>
        <v>0</v>
      </c>
      <c r="T68" s="7">
        <f>SUMIFS('HQ2'!$C:$C,'HQ2'!$A:$A, "="&amp;'CHECK_DT-BT_chi_tiet'!C68,'HQ2'!$B:$B, "="&amp;'CHECK_DT-BT_chi_tiet'!$S$3)</f>
        <v>0</v>
      </c>
      <c r="U68" s="7">
        <f t="shared" si="5"/>
        <v>0</v>
      </c>
      <c r="V68" s="7">
        <f>SUMIFS('Tong_hop_HQNV_2026Q1_2026-06-23'!$K:$K,'Tong_hop_HQNV_2026Q1_2026-06-23'!$A:$A,"="&amp;$V$2,'Tong_hop_HQNV_2026Q1_2026-06-23'!$B:$B, "="&amp;'CHECK_DT-BT_chi_tiet'!A68)</f>
        <v>0</v>
      </c>
      <c r="W68" s="7">
        <f>SUMIFS('HQ2'!$C:$C,'HQ2'!$A:$A, "="&amp;'CHECK_DT-BT_chi_tiet'!C68,'HQ2'!$B:$B, "="&amp;'CHECK_DT-BT_chi_tiet'!$V$3)</f>
        <v>0</v>
      </c>
      <c r="X68" s="7">
        <f t="shared" si="6"/>
        <v>0</v>
      </c>
      <c r="Y68" s="7">
        <f>SUMIFS('Tong_hop_HQNV_2026Q1_2026-06-23'!$K:$K,'Tong_hop_HQNV_2026Q1_2026-06-23'!$A:$A,"="&amp;$Y$2,'Tong_hop_HQNV_2026Q1_2026-06-23'!$B:$B, "="&amp;'CHECK_DT-BT_chi_tiet'!A68)</f>
        <v>0</v>
      </c>
      <c r="Z68" s="7">
        <f>SUMIFS('HQ2'!$C:$C,'HQ2'!$A:$A, "="&amp;'CHECK_DT-BT_chi_tiet'!C68,'HQ2'!$B:$B, "="&amp;'CHECK_DT-BT_chi_tiet'!$Y$3)</f>
        <v>0</v>
      </c>
      <c r="AA68" s="7">
        <f t="shared" si="7"/>
        <v>0</v>
      </c>
      <c r="AB68" s="7">
        <f>SUMIFS('Tong_hop_HQNV_2026Q1_2026-06-23'!$K:$K,'Tong_hop_HQNV_2026Q1_2026-06-23'!$A:$A,"="&amp;$AB$2,'Tong_hop_HQNV_2026Q1_2026-06-23'!$B:$B, "="&amp;'CHECK_DT-BT_chi_tiet'!A68)</f>
        <v>232912715</v>
      </c>
      <c r="AC68" s="7">
        <f>SUMIFS('HQ2'!$C:$C,'HQ2'!$A:$A, "="&amp;'CHECK_DT-BT_chi_tiet'!C68,'HQ2'!$B:$B, "="&amp;'CHECK_DT-BT_chi_tiet'!$AB$3)</f>
        <v>232912715</v>
      </c>
      <c r="AD68" s="7">
        <f t="shared" si="8"/>
        <v>0</v>
      </c>
      <c r="AE68" s="7">
        <f>SUMIFS('Tong_hop_HQNV_2026Q1_2026-06-23'!$K:$K,'Tong_hop_HQNV_2026Q1_2026-06-23'!$A:$A,"="&amp;$AE$2,'Tong_hop_HQNV_2026Q1_2026-06-23'!$B:$B, "="&amp;'CHECK_DT-BT_chi_tiet'!A68)</f>
        <v>2849648861</v>
      </c>
      <c r="AF68" s="7">
        <f>SUMIFS('HQ2'!$C:$C,'HQ2'!$A:$A, "="&amp;'CHECK_DT-BT_chi_tiet'!C68,'HQ2'!$B:$B, "="&amp;'CHECK_DT-BT_chi_tiet'!$AE$3)</f>
        <v>2849648861</v>
      </c>
      <c r="AG68" s="7">
        <f t="shared" si="9"/>
        <v>0</v>
      </c>
      <c r="AH68" s="7">
        <f>SUMIFS('Tong_hop_HQNV_2026Q1_2026-06-23'!$K:$K,'Tong_hop_HQNV_2026Q1_2026-06-23'!$A:$A,"="&amp;$AH$2,'Tong_hop_HQNV_2026Q1_2026-06-23'!$B:$B, "="&amp;'CHECK_DT-BT_chi_tiet'!A68)</f>
        <v>5900000</v>
      </c>
      <c r="AI68" s="7">
        <f>SUMIFS('HQ2'!$C:$C,'HQ2'!$A:$A, "="&amp;'CHECK_DT-BT_chi_tiet'!C68,'HQ2'!$B:$B, "="&amp;'CHECK_DT-BT_chi_tiet'!$AH$3)</f>
        <v>5900000</v>
      </c>
      <c r="AJ68" s="7">
        <f t="shared" si="10"/>
        <v>0</v>
      </c>
      <c r="AK68" s="7">
        <f>SUMIFS('Tong_hop_HQNV_2026Q1_2026-06-23'!$K:$K,'Tong_hop_HQNV_2026Q1_2026-06-23'!$A:$A,"="&amp;$AK$2,'Tong_hop_HQNV_2026Q1_2026-06-23'!$B:$B, "="&amp;'CHECK_DT-BT_chi_tiet'!A68)</f>
        <v>0</v>
      </c>
      <c r="AL68" s="7">
        <f>SUMIFS('Tong_hop_HQNV_2026Q1_2026-06-23'!$K:$K,'Tong_hop_HQNV_2026Q1_2026-06-23'!$A:$A,"="&amp;$AL$2,'Tong_hop_HQNV_2026Q1_2026-06-23'!$B:$B, "="&amp;'CHECK_DT-BT_chi_tiet'!A68)</f>
        <v>0</v>
      </c>
      <c r="AM68" s="23">
        <f>SUMIFS('Tong_hop_HQNV_2026Q1_2026-06-23'!$L:$L,'Tong_hop_HQNV_2026Q1_2026-06-23'!$B:$B, "="&amp;'CHECK_DT-BT_chi_tiet'!A68, 'Tong_hop_HQNV_2026Q1_2026-06-23'!$A:$A, "="&amp;'CHECK_DT-BT_chi_tiet'!$AM$2)</f>
        <v>6191721860</v>
      </c>
      <c r="AN68" s="29">
        <f>SUMIFS('HQ1'!$D:$D,'HQ1'!$A:$A, "="&amp;'CHECK_DT-BT_chi_tiet'!C68,'HQ1'!$B:$B,"="&amp;'CHECK_DT-BT_chi_tiet'!$AM$3)</f>
        <v>6191721860</v>
      </c>
      <c r="AO68" s="29">
        <f t="shared" si="11"/>
        <v>0</v>
      </c>
      <c r="AP68" s="7">
        <f>SUMIFS('Tong_hop_HQNV_2026Q1_2026-06-23'!$L:$L,'Tong_hop_HQNV_2026Q1_2026-06-23'!$B:$B, "="&amp;'CHECK_DT-BT_chi_tiet'!A68, 'Tong_hop_HQNV_2026Q1_2026-06-23'!$A:$A, "="&amp;'CHECK_DT-BT_chi_tiet'!$AP$2)</f>
        <v>1500000</v>
      </c>
      <c r="AQ68" s="29">
        <f>SUMIFS('HQ1'!$D:$D,'HQ1'!$A:$A, "="&amp;'CHECK_DT-BT_chi_tiet'!C68,'HQ1'!$B:$B,"="&amp;'CHECK_DT-BT_chi_tiet'!$AP$3)</f>
        <v>1500000</v>
      </c>
      <c r="AR68" s="7">
        <f t="shared" si="12"/>
        <v>0</v>
      </c>
      <c r="AS68" s="7">
        <f>SUMIFS('Tong_hop_HQNV_2026Q1_2026-06-23'!$L:$L,'Tong_hop_HQNV_2026Q1_2026-06-23'!$B:$B, "="&amp;'CHECK_DT-BT_chi_tiet'!A68, 'Tong_hop_HQNV_2026Q1_2026-06-23'!$A:$A, "="&amp;'CHECK_DT-BT_chi_tiet'!$AS$2)</f>
        <v>1010940449</v>
      </c>
      <c r="AT68" s="29">
        <f>SUMIFS('HQ1'!$D:$D,'HQ1'!$A:$A, "="&amp;'CHECK_DT-BT_chi_tiet'!C68,'HQ1'!$B:$B,"="&amp;'CHECK_DT-BT_chi_tiet'!$AS$3)</f>
        <v>1010940449</v>
      </c>
      <c r="AU68" s="7">
        <f t="shared" si="13"/>
        <v>0</v>
      </c>
      <c r="AV68" s="7">
        <f>SUMIFS('Tong_hop_HQNV_2026Q1_2026-06-23'!$L:$L,'Tong_hop_HQNV_2026Q1_2026-06-23'!$B:$B, "="&amp;'CHECK_DT-BT_chi_tiet'!A68, 'Tong_hop_HQNV_2026Q1_2026-06-23'!$A:$A, "="&amp;'CHECK_DT-BT_chi_tiet'!$AV$2)</f>
        <v>1267778125</v>
      </c>
      <c r="AW68" s="29">
        <f>SUMIFS('HQ1'!$D:$D,'HQ1'!$A:$A, "="&amp;'CHECK_DT-BT_chi_tiet'!C68,'HQ1'!$B:$B,"="&amp;'CHECK_DT-BT_chi_tiet'!$AV$3)</f>
        <v>1267778125</v>
      </c>
      <c r="AX68" s="7">
        <f t="shared" si="14"/>
        <v>0</v>
      </c>
      <c r="AY68" s="7">
        <f>SUMIFS('Tong_hop_HQNV_2026Q1_2026-06-23'!$L:$L,'Tong_hop_HQNV_2026Q1_2026-06-23'!$B:$B, "="&amp;'CHECK_DT-BT_chi_tiet'!A68, 'Tong_hop_HQNV_2026Q1_2026-06-23'!$A:$A, "="&amp;$AY$2)</f>
        <v>0</v>
      </c>
      <c r="AZ68" s="29">
        <f>SUMIFS('HQ2'!$J:$J,'HQ2'!$A:$A, "="&amp;'CHECK_DT-BT_chi_tiet'!C68,'HQ2'!$B:$B,"="&amp;'CHECK_DT-BT_chi_tiet'!$AY$3)</f>
        <v>0</v>
      </c>
      <c r="BA68" s="7">
        <f t="shared" si="15"/>
        <v>0</v>
      </c>
      <c r="BB68" s="7">
        <f>SUMIFS('Tong_hop_HQNV_2026Q1_2026-06-23'!$L:$L,'Tong_hop_HQNV_2026Q1_2026-06-23'!$B:$B, "="&amp;'CHECK_DT-BT_chi_tiet'!A68, 'Tong_hop_HQNV_2026Q1_2026-06-23'!$A:$A, "="&amp;$BB$2)</f>
        <v>0</v>
      </c>
      <c r="BC68" s="29">
        <f>SUMIFS('HQ2'!$J:$J,'HQ2'!$A:$A, "="&amp;'CHECK_DT-BT_chi_tiet'!C68,'HQ2'!$B:$B,"="&amp;'CHECK_DT-BT_chi_tiet'!$BB$3)</f>
        <v>0</v>
      </c>
      <c r="BD68" s="7">
        <f t="shared" si="16"/>
        <v>0</v>
      </c>
      <c r="BE68" s="7">
        <f>SUMIFS('Tong_hop_HQNV_2026Q1_2026-06-23'!$L:$L,'Tong_hop_HQNV_2026Q1_2026-06-23'!$B:$B, "="&amp;'CHECK_DT-BT_chi_tiet'!A68, 'Tong_hop_HQNV_2026Q1_2026-06-23'!$A:$A, "="&amp;$BE$2)</f>
        <v>0</v>
      </c>
      <c r="BF68" s="29">
        <f>SUMIFS('HQ2'!$J:$J,'HQ2'!$A:$A, "="&amp;'CHECK_DT-BT_chi_tiet'!C68,'HQ2'!$B:$B,"="&amp;'CHECK_DT-BT_chi_tiet'!$BE$3)</f>
        <v>0</v>
      </c>
      <c r="BG68" s="7">
        <f t="shared" si="17"/>
        <v>0</v>
      </c>
      <c r="BH68" s="7">
        <f>SUMIFS('Tong_hop_HQNV_2026Q1_2026-06-23'!$L:$L,'Tong_hop_HQNV_2026Q1_2026-06-23'!$B:$B, "="&amp;'CHECK_DT-BT_chi_tiet'!A68, 'Tong_hop_HQNV_2026Q1_2026-06-23'!$A:$A, "="&amp;$BH$2)</f>
        <v>0</v>
      </c>
      <c r="BI68" s="29">
        <f>SUMIFS('HQ2'!$J:$J,'HQ2'!$A:$A, "="&amp;'CHECK_DT-BT_chi_tiet'!C68,'HQ2'!$B:$B,"="&amp;'CHECK_DT-BT_chi_tiet'!$BH$3)</f>
        <v>0</v>
      </c>
      <c r="BJ68" s="7">
        <f t="shared" si="18"/>
        <v>0</v>
      </c>
      <c r="BK68" s="7">
        <f>SUMIFS('Tong_hop_HQNV_2026Q1_2026-06-23'!$L:$L,'Tong_hop_HQNV_2026Q1_2026-06-23'!$B:$B, "="&amp;'CHECK_DT-BT_chi_tiet'!A68, 'Tong_hop_HQNV_2026Q1_2026-06-23'!$A:$A, "="&amp;$BK$2)</f>
        <v>0</v>
      </c>
      <c r="BL68" s="29">
        <f>SUMIFS('HQ2'!$J:$J,'HQ2'!$A:$A, "="&amp;'CHECK_DT-BT_chi_tiet'!C68,'HQ2'!$B:$B,"="&amp;'CHECK_DT-BT_chi_tiet'!$BK$3)</f>
        <v>0</v>
      </c>
      <c r="BM68" s="7">
        <f t="shared" si="19"/>
        <v>0</v>
      </c>
      <c r="BN68" s="7">
        <f>SUMIFS('Tong_hop_HQNV_2026Q1_2026-06-23'!$L:$L,'Tong_hop_HQNV_2026Q1_2026-06-23'!$B:$B, "="&amp;'CHECK_DT-BT_chi_tiet'!A68, 'Tong_hop_HQNV_2026Q1_2026-06-23'!$A:$A, "="&amp;$BN$2)</f>
        <v>0</v>
      </c>
      <c r="BO68" s="29">
        <f>SUMIFS('HQ2'!$J:$J,'HQ2'!$A:$A, "="&amp;'CHECK_DT-BT_chi_tiet'!C68,'HQ2'!$B:$B,"="&amp;'CHECK_DT-BT_chi_tiet'!$BN$3)</f>
        <v>0</v>
      </c>
      <c r="BP68" s="7">
        <f t="shared" si="20"/>
        <v>0</v>
      </c>
      <c r="BQ68" s="7">
        <f>SUMIFS('Tong_hop_HQNV_2026Q1_2026-06-23'!$L:$L,'Tong_hop_HQNV_2026Q1_2026-06-23'!$B:$B, "="&amp;'CHECK_DT-BT_chi_tiet'!A68, 'Tong_hop_HQNV_2026Q1_2026-06-23'!$A:$A, "="&amp;$BQ$2)</f>
        <v>5000000</v>
      </c>
      <c r="BR68" s="29">
        <f>SUMIFS('HQ2'!$J:$J,'HQ2'!$A:$A, "="&amp;'CHECK_DT-BT_chi_tiet'!C68,'HQ2'!$B:$B,"="&amp;'CHECK_DT-BT_chi_tiet'!$BQ$3)</f>
        <v>5000000</v>
      </c>
      <c r="BS68" s="7">
        <f t="shared" si="21"/>
        <v>0</v>
      </c>
      <c r="BT68" s="7">
        <f>SUMIFS('Tong_hop_HQNV_2026Q1_2026-06-23'!$L:$L,'Tong_hop_HQNV_2026Q1_2026-06-23'!$B:$B, "="&amp;'CHECK_DT-BT_chi_tiet'!A68, 'Tong_hop_HQNV_2026Q1_2026-06-23'!$A:$A, "="&amp;$BT$2)</f>
        <v>0</v>
      </c>
      <c r="BU68" s="7">
        <f>SUMIFS('Tong_hop_HQNV_2026Q1_2026-06-23'!$L:$L,'Tong_hop_HQNV_2026Q1_2026-06-23'!$B:$B, "="&amp;'CHECK_DT-BT_chi_tiet'!A68, 'Tong_hop_HQNV_2026Q1_2026-06-23'!$A:$A, "="&amp;$BU$2)</f>
        <v>0</v>
      </c>
    </row>
    <row r="69" spans="1:73" x14ac:dyDescent="0.25">
      <c r="A69" s="9" t="s">
        <v>349</v>
      </c>
      <c r="B69" t="s">
        <v>207</v>
      </c>
      <c r="C69" t="s">
        <v>96</v>
      </c>
      <c r="D69" s="7">
        <f>SUMIFS('Tong_hop_HQNV_2026Q1_2026-06-23'!$K:$K,'Tong_hop_HQNV_2026Q1_2026-06-23'!$A:$A,"="&amp;'CHECK_DT-BT_chi_tiet'!$D$2,'Tong_hop_HQNV_2026Q1_2026-06-23'!$B:$B, "="&amp;'CHECK_DT-BT_chi_tiet'!A69)</f>
        <v>1124466600</v>
      </c>
      <c r="E69" s="7">
        <f>SUMIFS('HQ1'!$C:$C,'HQ1'!$A:$A, "="&amp;'CHECK_DT-BT_chi_tiet'!C69,'HQ1'!$B:$B, "="&amp;'CHECK_DT-BT_chi_tiet'!$D$3)</f>
        <v>1124466600</v>
      </c>
      <c r="F69" s="7">
        <f t="shared" ref="F69:F92" si="22">D69-E69</f>
        <v>0</v>
      </c>
      <c r="G69" s="7">
        <f>SUMIFS('Tong_hop_HQNV_2026Q1_2026-06-23'!$K:$K,'Tong_hop_HQNV_2026Q1_2026-06-23'!$A:$A,"="&amp;'CHECK_DT-BT_chi_tiet'!$G$2,'Tong_hop_HQNV_2026Q1_2026-06-23'!$B:$B, "="&amp;'CHECK_DT-BT_chi_tiet'!A69)</f>
        <v>6231000</v>
      </c>
      <c r="H69" s="7">
        <f>SUMIFS('HQ1'!$C:$C,'HQ1'!$A:$A, "="&amp;'CHECK_DT-BT_chi_tiet'!C69,'HQ1'!$B:$B, "="&amp;'CHECK_DT-BT_chi_tiet'!$G$3)</f>
        <v>6231000</v>
      </c>
      <c r="I69" s="7">
        <f t="shared" ref="I69:I92" si="23">G69-H69</f>
        <v>0</v>
      </c>
      <c r="J69" s="7">
        <f>SUMIFS('Tong_hop_HQNV_2026Q1_2026-06-23'!$K:$K,'Tong_hop_HQNV_2026Q1_2026-06-23'!$A:$A,"="&amp;'CHECK_DT-BT_chi_tiet'!$J$2,'Tong_hop_HQNV_2026Q1_2026-06-23'!$B:$B, "="&amp;'CHECK_DT-BT_chi_tiet'!A69)</f>
        <v>3613290312</v>
      </c>
      <c r="K69" s="7">
        <f>SUMIFS('HQ1'!$C:$C,'HQ1'!$A:$A, "="&amp;'CHECK_DT-BT_chi_tiet'!C69,'HQ1'!$B:$B, "="&amp;'CHECK_DT-BT_chi_tiet'!$J$3)</f>
        <v>3613290312</v>
      </c>
      <c r="L69" s="7">
        <f t="shared" ref="L69:L92" si="24">J69-K69</f>
        <v>0</v>
      </c>
      <c r="M69" s="7">
        <f>SUMIFS('Tong_hop_HQNV_2026Q1_2026-06-23'!$K:$K,'Tong_hop_HQNV_2026Q1_2026-06-23'!$A:$A,"="&amp;'CHECK_DT-BT_chi_tiet'!$M$2,'Tong_hop_HQNV_2026Q1_2026-06-23'!$B:$B, "="&amp;'CHECK_DT-BT_chi_tiet'!A69)</f>
        <v>773020088</v>
      </c>
      <c r="N69" s="7">
        <f>SUMIFS('HQ1'!$C:$C,'HQ1'!$A:$A, "="&amp;'CHECK_DT-BT_chi_tiet'!C69,'HQ1'!$B:$B, "="&amp;'CHECK_DT-BT_chi_tiet'!$M$3)</f>
        <v>782951488</v>
      </c>
      <c r="O69" s="7">
        <f t="shared" ref="O69:O92" si="25">M69-N69</f>
        <v>-9931400</v>
      </c>
      <c r="P69" s="7">
        <f>SUMIFS('Tong_hop_HQNV_2026Q1_2026-06-23'!$K:$K,'Tong_hop_HQNV_2026Q1_2026-06-23'!$A:$A,"="&amp;$P$2,'Tong_hop_HQNV_2026Q1_2026-06-23'!$B:$B, "="&amp;'CHECK_DT-BT_chi_tiet'!A69)</f>
        <v>63707577</v>
      </c>
      <c r="Q69" s="7">
        <f>SUMIFS('HQ2'!$C:$C,'HQ2'!$A:$A, "="&amp;'CHECK_DT-BT_chi_tiet'!C69,'HQ2'!$B:$B, "="&amp;'CHECK_DT-BT_chi_tiet'!$P$3)</f>
        <v>63707577</v>
      </c>
      <c r="R69" s="7">
        <f t="shared" ref="R69:R92" si="26">P69-Q69</f>
        <v>0</v>
      </c>
      <c r="S69" s="7">
        <f>SUMIFS('Tong_hop_HQNV_2026Q1_2026-06-23'!$K:$K,'Tong_hop_HQNV_2026Q1_2026-06-23'!$A:$A,"="&amp;$S$2,'Tong_hop_HQNV_2026Q1_2026-06-23'!$B:$B, "="&amp;'CHECK_DT-BT_chi_tiet'!A69)</f>
        <v>0</v>
      </c>
      <c r="T69" s="7">
        <f>SUMIFS('HQ2'!$C:$C,'HQ2'!$A:$A, "="&amp;'CHECK_DT-BT_chi_tiet'!C69,'HQ2'!$B:$B, "="&amp;'CHECK_DT-BT_chi_tiet'!$S$3)</f>
        <v>0</v>
      </c>
      <c r="U69" s="7">
        <f t="shared" ref="U69:U92" si="27">S69-T69</f>
        <v>0</v>
      </c>
      <c r="V69" s="7">
        <f>SUMIFS('Tong_hop_HQNV_2026Q1_2026-06-23'!$K:$K,'Tong_hop_HQNV_2026Q1_2026-06-23'!$A:$A,"="&amp;$V$2,'Tong_hop_HQNV_2026Q1_2026-06-23'!$B:$B, "="&amp;'CHECK_DT-BT_chi_tiet'!A69)</f>
        <v>0</v>
      </c>
      <c r="W69" s="7">
        <f>SUMIFS('HQ2'!$C:$C,'HQ2'!$A:$A, "="&amp;'CHECK_DT-BT_chi_tiet'!C69,'HQ2'!$B:$B, "="&amp;'CHECK_DT-BT_chi_tiet'!$V$3)</f>
        <v>0</v>
      </c>
      <c r="X69" s="7">
        <f t="shared" ref="X69:X92" si="28">V69-W69</f>
        <v>0</v>
      </c>
      <c r="Y69" s="7">
        <f>SUMIFS('Tong_hop_HQNV_2026Q1_2026-06-23'!$K:$K,'Tong_hop_HQNV_2026Q1_2026-06-23'!$A:$A,"="&amp;$Y$2,'Tong_hop_HQNV_2026Q1_2026-06-23'!$B:$B, "="&amp;'CHECK_DT-BT_chi_tiet'!A69)</f>
        <v>0</v>
      </c>
      <c r="Z69" s="7">
        <f>SUMIFS('HQ2'!$C:$C,'HQ2'!$A:$A, "="&amp;'CHECK_DT-BT_chi_tiet'!C69,'HQ2'!$B:$B, "="&amp;'CHECK_DT-BT_chi_tiet'!$Y$3)</f>
        <v>0</v>
      </c>
      <c r="AA69" s="7">
        <f t="shared" ref="AA69:AA92" si="29">Y69-Z69</f>
        <v>0</v>
      </c>
      <c r="AB69" s="7">
        <f>SUMIFS('Tong_hop_HQNV_2026Q1_2026-06-23'!$K:$K,'Tong_hop_HQNV_2026Q1_2026-06-23'!$A:$A,"="&amp;$AB$2,'Tong_hop_HQNV_2026Q1_2026-06-23'!$B:$B, "="&amp;'CHECK_DT-BT_chi_tiet'!A69)</f>
        <v>2140869054</v>
      </c>
      <c r="AC69" s="7">
        <f>SUMIFS('HQ2'!$C:$C,'HQ2'!$A:$A, "="&amp;'CHECK_DT-BT_chi_tiet'!C69,'HQ2'!$B:$B, "="&amp;'CHECK_DT-BT_chi_tiet'!$AB$3)</f>
        <v>2140869054</v>
      </c>
      <c r="AD69" s="7">
        <f t="shared" ref="AD69:AD92" si="30">AB69-AC69</f>
        <v>0</v>
      </c>
      <c r="AE69" s="7">
        <f>SUMIFS('Tong_hop_HQNV_2026Q1_2026-06-23'!$K:$K,'Tong_hop_HQNV_2026Q1_2026-06-23'!$A:$A,"="&amp;$AE$2,'Tong_hop_HQNV_2026Q1_2026-06-23'!$B:$B, "="&amp;'CHECK_DT-BT_chi_tiet'!A69)</f>
        <v>76328533</v>
      </c>
      <c r="AF69" s="7">
        <f>SUMIFS('HQ2'!$C:$C,'HQ2'!$A:$A, "="&amp;'CHECK_DT-BT_chi_tiet'!C69,'HQ2'!$B:$B, "="&amp;'CHECK_DT-BT_chi_tiet'!$AE$3)</f>
        <v>76328533</v>
      </c>
      <c r="AG69" s="7">
        <f t="shared" ref="AG69:AG92" si="31">AE69-AF69</f>
        <v>0</v>
      </c>
      <c r="AH69" s="7">
        <f>SUMIFS('Tong_hop_HQNV_2026Q1_2026-06-23'!$K:$K,'Tong_hop_HQNV_2026Q1_2026-06-23'!$A:$A,"="&amp;$AH$2,'Tong_hop_HQNV_2026Q1_2026-06-23'!$B:$B, "="&amp;'CHECK_DT-BT_chi_tiet'!A69)</f>
        <v>88627970</v>
      </c>
      <c r="AI69" s="7">
        <f>SUMIFS('HQ2'!$C:$C,'HQ2'!$A:$A, "="&amp;'CHECK_DT-BT_chi_tiet'!C69,'HQ2'!$B:$B, "="&amp;'CHECK_DT-BT_chi_tiet'!$AH$3)</f>
        <v>88627970</v>
      </c>
      <c r="AJ69" s="7">
        <f t="shared" ref="AJ69:AJ92" si="32">AH69-AI69</f>
        <v>0</v>
      </c>
      <c r="AK69" s="7">
        <f>SUMIFS('Tong_hop_HQNV_2026Q1_2026-06-23'!$K:$K,'Tong_hop_HQNV_2026Q1_2026-06-23'!$A:$A,"="&amp;$AK$2,'Tong_hop_HQNV_2026Q1_2026-06-23'!$B:$B, "="&amp;'CHECK_DT-BT_chi_tiet'!A69)</f>
        <v>0</v>
      </c>
      <c r="AL69" s="7">
        <f>SUMIFS('Tong_hop_HQNV_2026Q1_2026-06-23'!$K:$K,'Tong_hop_HQNV_2026Q1_2026-06-23'!$A:$A,"="&amp;$AL$2,'Tong_hop_HQNV_2026Q1_2026-06-23'!$B:$B, "="&amp;'CHECK_DT-BT_chi_tiet'!A69)</f>
        <v>0</v>
      </c>
      <c r="AM69" s="23">
        <f>SUMIFS('Tong_hop_HQNV_2026Q1_2026-06-23'!$L:$L,'Tong_hop_HQNV_2026Q1_2026-06-23'!$B:$B, "="&amp;'CHECK_DT-BT_chi_tiet'!A69, 'Tong_hop_HQNV_2026Q1_2026-06-23'!$A:$A, "="&amp;'CHECK_DT-BT_chi_tiet'!$AM$2)</f>
        <v>1832714900</v>
      </c>
      <c r="AN69" s="29">
        <f>SUMIFS('HQ1'!$D:$D,'HQ1'!$A:$A, "="&amp;'CHECK_DT-BT_chi_tiet'!C69,'HQ1'!$B:$B,"="&amp;'CHECK_DT-BT_chi_tiet'!$AM$3)</f>
        <v>1832714900</v>
      </c>
      <c r="AO69" s="29">
        <f t="shared" ref="AO69:AO92" si="33">AM69-AN69</f>
        <v>0</v>
      </c>
      <c r="AP69" s="7">
        <f>SUMIFS('Tong_hop_HQNV_2026Q1_2026-06-23'!$L:$L,'Tong_hop_HQNV_2026Q1_2026-06-23'!$B:$B, "="&amp;'CHECK_DT-BT_chi_tiet'!A69, 'Tong_hop_HQNV_2026Q1_2026-06-23'!$A:$A, "="&amp;'CHECK_DT-BT_chi_tiet'!$AP$2)</f>
        <v>0</v>
      </c>
      <c r="AQ69" s="29">
        <f>SUMIFS('HQ1'!$D:$D,'HQ1'!$A:$A, "="&amp;'CHECK_DT-BT_chi_tiet'!C69,'HQ1'!$B:$B,"="&amp;'CHECK_DT-BT_chi_tiet'!$AP$3)</f>
        <v>0</v>
      </c>
      <c r="AR69" s="7">
        <f t="shared" ref="AR69:AR92" si="34">AP69-AQ69</f>
        <v>0</v>
      </c>
      <c r="AS69" s="7">
        <f>SUMIFS('Tong_hop_HQNV_2026Q1_2026-06-23'!$L:$L,'Tong_hop_HQNV_2026Q1_2026-06-23'!$B:$B, "="&amp;'CHECK_DT-BT_chi_tiet'!A69, 'Tong_hop_HQNV_2026Q1_2026-06-23'!$A:$A, "="&amp;'CHECK_DT-BT_chi_tiet'!$AS$2)</f>
        <v>1990694683</v>
      </c>
      <c r="AT69" s="29">
        <f>SUMIFS('HQ1'!$D:$D,'HQ1'!$A:$A, "="&amp;'CHECK_DT-BT_chi_tiet'!C69,'HQ1'!$B:$B,"="&amp;'CHECK_DT-BT_chi_tiet'!$AS$3)</f>
        <v>1987331047</v>
      </c>
      <c r="AU69" s="7">
        <f t="shared" ref="AU69:AU92" si="35">AS69-AT69</f>
        <v>3363636</v>
      </c>
      <c r="AV69" s="7">
        <f>SUMIFS('Tong_hop_HQNV_2026Q1_2026-06-23'!$L:$L,'Tong_hop_HQNV_2026Q1_2026-06-23'!$B:$B, "="&amp;'CHECK_DT-BT_chi_tiet'!A69, 'Tong_hop_HQNV_2026Q1_2026-06-23'!$A:$A, "="&amp;'CHECK_DT-BT_chi_tiet'!$AV$2)</f>
        <v>2813222977</v>
      </c>
      <c r="AW69" s="29">
        <f>SUMIFS('HQ1'!$D:$D,'HQ1'!$A:$A, "="&amp;'CHECK_DT-BT_chi_tiet'!C69,'HQ1'!$B:$B,"="&amp;'CHECK_DT-BT_chi_tiet'!$AV$3)</f>
        <v>2813222977</v>
      </c>
      <c r="AX69" s="7">
        <f t="shared" ref="AX69:AX92" si="36">AV69-AW69</f>
        <v>0</v>
      </c>
      <c r="AY69" s="7">
        <f>SUMIFS('Tong_hop_HQNV_2026Q1_2026-06-23'!$L:$L,'Tong_hop_HQNV_2026Q1_2026-06-23'!$B:$B, "="&amp;'CHECK_DT-BT_chi_tiet'!A69, 'Tong_hop_HQNV_2026Q1_2026-06-23'!$A:$A, "="&amp;$AY$2)</f>
        <v>0</v>
      </c>
      <c r="AZ69" s="29">
        <f>SUMIFS('HQ2'!$J:$J,'HQ2'!$A:$A, "="&amp;'CHECK_DT-BT_chi_tiet'!C69,'HQ2'!$B:$B,"="&amp;'CHECK_DT-BT_chi_tiet'!$AY$3)</f>
        <v>0</v>
      </c>
      <c r="BA69" s="7">
        <f t="shared" ref="BA69:BA92" si="37">AZ69-AY69</f>
        <v>0</v>
      </c>
      <c r="BB69" s="7">
        <f>SUMIFS('Tong_hop_HQNV_2026Q1_2026-06-23'!$L:$L,'Tong_hop_HQNV_2026Q1_2026-06-23'!$B:$B, "="&amp;'CHECK_DT-BT_chi_tiet'!A69, 'Tong_hop_HQNV_2026Q1_2026-06-23'!$A:$A, "="&amp;$BB$2)</f>
        <v>0</v>
      </c>
      <c r="BC69" s="29">
        <f>SUMIFS('HQ2'!$J:$J,'HQ2'!$A:$A, "="&amp;'CHECK_DT-BT_chi_tiet'!C69,'HQ2'!$B:$B,"="&amp;'CHECK_DT-BT_chi_tiet'!$BB$3)</f>
        <v>0</v>
      </c>
      <c r="BD69" s="7">
        <f t="shared" ref="BD69:BD92" si="38">BB69-BC69</f>
        <v>0</v>
      </c>
      <c r="BE69" s="7">
        <f>SUMIFS('Tong_hop_HQNV_2026Q1_2026-06-23'!$L:$L,'Tong_hop_HQNV_2026Q1_2026-06-23'!$B:$B, "="&amp;'CHECK_DT-BT_chi_tiet'!A69, 'Tong_hop_HQNV_2026Q1_2026-06-23'!$A:$A, "="&amp;$BE$2)</f>
        <v>0</v>
      </c>
      <c r="BF69" s="29">
        <f>SUMIFS('HQ2'!$J:$J,'HQ2'!$A:$A, "="&amp;'CHECK_DT-BT_chi_tiet'!C69,'HQ2'!$B:$B,"="&amp;'CHECK_DT-BT_chi_tiet'!$BE$3)</f>
        <v>0</v>
      </c>
      <c r="BG69" s="7">
        <f t="shared" ref="BG69:BG92" si="39">BE69-BF69</f>
        <v>0</v>
      </c>
      <c r="BH69" s="7">
        <f>SUMIFS('Tong_hop_HQNV_2026Q1_2026-06-23'!$L:$L,'Tong_hop_HQNV_2026Q1_2026-06-23'!$B:$B, "="&amp;'CHECK_DT-BT_chi_tiet'!A69, 'Tong_hop_HQNV_2026Q1_2026-06-23'!$A:$A, "="&amp;$BH$2)</f>
        <v>0</v>
      </c>
      <c r="BI69" s="29">
        <f>SUMIFS('HQ2'!$J:$J,'HQ2'!$A:$A, "="&amp;'CHECK_DT-BT_chi_tiet'!C69,'HQ2'!$B:$B,"="&amp;'CHECK_DT-BT_chi_tiet'!$BH$3)</f>
        <v>0</v>
      </c>
      <c r="BJ69" s="7">
        <f t="shared" ref="BJ69:BJ92" si="40">BH69-BI69</f>
        <v>0</v>
      </c>
      <c r="BK69" s="7">
        <f>SUMIFS('Tong_hop_HQNV_2026Q1_2026-06-23'!$L:$L,'Tong_hop_HQNV_2026Q1_2026-06-23'!$B:$B, "="&amp;'CHECK_DT-BT_chi_tiet'!A69, 'Tong_hop_HQNV_2026Q1_2026-06-23'!$A:$A, "="&amp;$BK$2)</f>
        <v>0</v>
      </c>
      <c r="BL69" s="29">
        <f>SUMIFS('HQ2'!$J:$J,'HQ2'!$A:$A, "="&amp;'CHECK_DT-BT_chi_tiet'!C69,'HQ2'!$B:$B,"="&amp;'CHECK_DT-BT_chi_tiet'!$BK$3)</f>
        <v>0</v>
      </c>
      <c r="BM69" s="7">
        <f t="shared" ref="BM69:BM92" si="41">BK69-BL69</f>
        <v>0</v>
      </c>
      <c r="BN69" s="7">
        <f>SUMIFS('Tong_hop_HQNV_2026Q1_2026-06-23'!$L:$L,'Tong_hop_HQNV_2026Q1_2026-06-23'!$B:$B, "="&amp;'CHECK_DT-BT_chi_tiet'!A69, 'Tong_hop_HQNV_2026Q1_2026-06-23'!$A:$A, "="&amp;$BN$2)</f>
        <v>0</v>
      </c>
      <c r="BO69" s="29">
        <f>SUMIFS('HQ2'!$J:$J,'HQ2'!$A:$A, "="&amp;'CHECK_DT-BT_chi_tiet'!C69,'HQ2'!$B:$B,"="&amp;'CHECK_DT-BT_chi_tiet'!$BN$3)</f>
        <v>0</v>
      </c>
      <c r="BP69" s="7">
        <f t="shared" ref="BP69:BP92" si="42">BN69-BO69</f>
        <v>0</v>
      </c>
      <c r="BQ69" s="7">
        <f>SUMIFS('Tong_hop_HQNV_2026Q1_2026-06-23'!$L:$L,'Tong_hop_HQNV_2026Q1_2026-06-23'!$B:$B, "="&amp;'CHECK_DT-BT_chi_tiet'!A69, 'Tong_hop_HQNV_2026Q1_2026-06-23'!$A:$A, "="&amp;$BQ$2)</f>
        <v>0</v>
      </c>
      <c r="BR69" s="29">
        <f>SUMIFS('HQ2'!$J:$J,'HQ2'!$A:$A, "="&amp;'CHECK_DT-BT_chi_tiet'!C69,'HQ2'!$B:$B,"="&amp;'CHECK_DT-BT_chi_tiet'!$BQ$3)</f>
        <v>0</v>
      </c>
      <c r="BS69" s="7">
        <f t="shared" ref="BS69:BS92" si="43">BQ69-BR69</f>
        <v>0</v>
      </c>
      <c r="BT69" s="7">
        <f>SUMIFS('Tong_hop_HQNV_2026Q1_2026-06-23'!$L:$L,'Tong_hop_HQNV_2026Q1_2026-06-23'!$B:$B, "="&amp;'CHECK_DT-BT_chi_tiet'!A69, 'Tong_hop_HQNV_2026Q1_2026-06-23'!$A:$A, "="&amp;$BT$2)</f>
        <v>0</v>
      </c>
      <c r="BU69" s="7">
        <f>SUMIFS('Tong_hop_HQNV_2026Q1_2026-06-23'!$L:$L,'Tong_hop_HQNV_2026Q1_2026-06-23'!$B:$B, "="&amp;'CHECK_DT-BT_chi_tiet'!A69, 'Tong_hop_HQNV_2026Q1_2026-06-23'!$A:$A, "="&amp;$BU$2)</f>
        <v>0</v>
      </c>
    </row>
    <row r="70" spans="1:73" x14ac:dyDescent="0.25">
      <c r="A70" s="9" t="s">
        <v>350</v>
      </c>
      <c r="B70" t="s">
        <v>208</v>
      </c>
      <c r="C70" t="s">
        <v>108</v>
      </c>
      <c r="D70" s="7">
        <f>SUMIFS('Tong_hop_HQNV_2026Q1_2026-06-23'!$K:$K,'Tong_hop_HQNV_2026Q1_2026-06-23'!$A:$A,"="&amp;'CHECK_DT-BT_chi_tiet'!$D$2,'Tong_hop_HQNV_2026Q1_2026-06-23'!$B:$B, "="&amp;'CHECK_DT-BT_chi_tiet'!A70)</f>
        <v>6736502350</v>
      </c>
      <c r="E70" s="7">
        <f>SUMIFS('HQ1'!$C:$C,'HQ1'!$A:$A, "="&amp;'CHECK_DT-BT_chi_tiet'!C70,'HQ1'!$B:$B, "="&amp;'CHECK_DT-BT_chi_tiet'!$D$3)</f>
        <v>6736502350</v>
      </c>
      <c r="F70" s="7">
        <f t="shared" si="22"/>
        <v>0</v>
      </c>
      <c r="G70" s="7">
        <f>SUMIFS('Tong_hop_HQNV_2026Q1_2026-06-23'!$K:$K,'Tong_hop_HQNV_2026Q1_2026-06-23'!$A:$A,"="&amp;'CHECK_DT-BT_chi_tiet'!$G$2,'Tong_hop_HQNV_2026Q1_2026-06-23'!$B:$B, "="&amp;'CHECK_DT-BT_chi_tiet'!A70)</f>
        <v>9023800</v>
      </c>
      <c r="H70" s="7">
        <f>SUMIFS('HQ1'!$C:$C,'HQ1'!$A:$A, "="&amp;'CHECK_DT-BT_chi_tiet'!C70,'HQ1'!$B:$B, "="&amp;'CHECK_DT-BT_chi_tiet'!$G$3)</f>
        <v>9023800</v>
      </c>
      <c r="I70" s="7">
        <f t="shared" si="23"/>
        <v>0</v>
      </c>
      <c r="J70" s="7">
        <f>SUMIFS('Tong_hop_HQNV_2026Q1_2026-06-23'!$K:$K,'Tong_hop_HQNV_2026Q1_2026-06-23'!$A:$A,"="&amp;'CHECK_DT-BT_chi_tiet'!$J$2,'Tong_hop_HQNV_2026Q1_2026-06-23'!$B:$B, "="&amp;'CHECK_DT-BT_chi_tiet'!A70)</f>
        <v>1910827559</v>
      </c>
      <c r="K70" s="7">
        <f>SUMIFS('HQ1'!$C:$C,'HQ1'!$A:$A, "="&amp;'CHECK_DT-BT_chi_tiet'!C70,'HQ1'!$B:$B, "="&amp;'CHECK_DT-BT_chi_tiet'!$J$3)</f>
        <v>1910827559</v>
      </c>
      <c r="L70" s="7">
        <f t="shared" si="24"/>
        <v>0</v>
      </c>
      <c r="M70" s="7">
        <f>SUMIFS('Tong_hop_HQNV_2026Q1_2026-06-23'!$K:$K,'Tong_hop_HQNV_2026Q1_2026-06-23'!$A:$A,"="&amp;'CHECK_DT-BT_chi_tiet'!$M$2,'Tong_hop_HQNV_2026Q1_2026-06-23'!$B:$B, "="&amp;'CHECK_DT-BT_chi_tiet'!A70)</f>
        <v>753545880</v>
      </c>
      <c r="N70" s="7">
        <f>SUMIFS('HQ1'!$C:$C,'HQ1'!$A:$A, "="&amp;'CHECK_DT-BT_chi_tiet'!C70,'HQ1'!$B:$B, "="&amp;'CHECK_DT-BT_chi_tiet'!$M$3)</f>
        <v>753545880</v>
      </c>
      <c r="O70" s="7">
        <f t="shared" si="25"/>
        <v>0</v>
      </c>
      <c r="P70" s="7">
        <f>SUMIFS('Tong_hop_HQNV_2026Q1_2026-06-23'!$K:$K,'Tong_hop_HQNV_2026Q1_2026-06-23'!$A:$A,"="&amp;$P$2,'Tong_hop_HQNV_2026Q1_2026-06-23'!$B:$B, "="&amp;'CHECK_DT-BT_chi_tiet'!A70)</f>
        <v>7218609</v>
      </c>
      <c r="Q70" s="7">
        <f>SUMIFS('HQ2'!$C:$C,'HQ2'!$A:$A, "="&amp;'CHECK_DT-BT_chi_tiet'!C70,'HQ2'!$B:$B, "="&amp;'CHECK_DT-BT_chi_tiet'!$P$3)</f>
        <v>7218609</v>
      </c>
      <c r="R70" s="7">
        <f t="shared" si="26"/>
        <v>0</v>
      </c>
      <c r="S70" s="7">
        <f>SUMIFS('Tong_hop_HQNV_2026Q1_2026-06-23'!$K:$K,'Tong_hop_HQNV_2026Q1_2026-06-23'!$A:$A,"="&amp;$S$2,'Tong_hop_HQNV_2026Q1_2026-06-23'!$B:$B, "="&amp;'CHECK_DT-BT_chi_tiet'!A70)</f>
        <v>0</v>
      </c>
      <c r="T70" s="7">
        <f>SUMIFS('HQ2'!$C:$C,'HQ2'!$A:$A, "="&amp;'CHECK_DT-BT_chi_tiet'!C70,'HQ2'!$B:$B, "="&amp;'CHECK_DT-BT_chi_tiet'!$S$3)</f>
        <v>0</v>
      </c>
      <c r="U70" s="7">
        <f t="shared" si="27"/>
        <v>0</v>
      </c>
      <c r="V70" s="7">
        <f>SUMIFS('Tong_hop_HQNV_2026Q1_2026-06-23'!$K:$K,'Tong_hop_HQNV_2026Q1_2026-06-23'!$A:$A,"="&amp;$V$2,'Tong_hop_HQNV_2026Q1_2026-06-23'!$B:$B, "="&amp;'CHECK_DT-BT_chi_tiet'!A70)</f>
        <v>94500000</v>
      </c>
      <c r="W70" s="7">
        <f>SUMIFS('HQ2'!$C:$C,'HQ2'!$A:$A, "="&amp;'CHECK_DT-BT_chi_tiet'!C70,'HQ2'!$B:$B, "="&amp;'CHECK_DT-BT_chi_tiet'!$V$3)</f>
        <v>94500000</v>
      </c>
      <c r="X70" s="7">
        <f t="shared" si="28"/>
        <v>0</v>
      </c>
      <c r="Y70" s="7">
        <f>SUMIFS('Tong_hop_HQNV_2026Q1_2026-06-23'!$K:$K,'Tong_hop_HQNV_2026Q1_2026-06-23'!$A:$A,"="&amp;$Y$2,'Tong_hop_HQNV_2026Q1_2026-06-23'!$B:$B, "="&amp;'CHECK_DT-BT_chi_tiet'!A70)</f>
        <v>0</v>
      </c>
      <c r="Z70" s="7">
        <f>SUMIFS('HQ2'!$C:$C,'HQ2'!$A:$A, "="&amp;'CHECK_DT-BT_chi_tiet'!C70,'HQ2'!$B:$B, "="&amp;'CHECK_DT-BT_chi_tiet'!$Y$3)</f>
        <v>0</v>
      </c>
      <c r="AA70" s="7">
        <f t="shared" si="29"/>
        <v>0</v>
      </c>
      <c r="AB70" s="7">
        <f>SUMIFS('Tong_hop_HQNV_2026Q1_2026-06-23'!$K:$K,'Tong_hop_HQNV_2026Q1_2026-06-23'!$A:$A,"="&amp;$AB$2,'Tong_hop_HQNV_2026Q1_2026-06-23'!$B:$B, "="&amp;'CHECK_DT-BT_chi_tiet'!A70)</f>
        <v>871087074</v>
      </c>
      <c r="AC70" s="7">
        <f>SUMIFS('HQ2'!$C:$C,'HQ2'!$A:$A, "="&amp;'CHECK_DT-BT_chi_tiet'!C70,'HQ2'!$B:$B, "="&amp;'CHECK_DT-BT_chi_tiet'!$AB$3)</f>
        <v>871087074</v>
      </c>
      <c r="AD70" s="7">
        <f t="shared" si="30"/>
        <v>0</v>
      </c>
      <c r="AE70" s="7">
        <f>SUMIFS('Tong_hop_HQNV_2026Q1_2026-06-23'!$K:$K,'Tong_hop_HQNV_2026Q1_2026-06-23'!$A:$A,"="&amp;$AE$2,'Tong_hop_HQNV_2026Q1_2026-06-23'!$B:$B, "="&amp;'CHECK_DT-BT_chi_tiet'!A70)</f>
        <v>294481560</v>
      </c>
      <c r="AF70" s="7">
        <f>SUMIFS('HQ2'!$C:$C,'HQ2'!$A:$A, "="&amp;'CHECK_DT-BT_chi_tiet'!C70,'HQ2'!$B:$B, "="&amp;'CHECK_DT-BT_chi_tiet'!$AE$3)</f>
        <v>294481560</v>
      </c>
      <c r="AG70" s="7">
        <f t="shared" si="31"/>
        <v>0</v>
      </c>
      <c r="AH70" s="7">
        <f>SUMIFS('Tong_hop_HQNV_2026Q1_2026-06-23'!$K:$K,'Tong_hop_HQNV_2026Q1_2026-06-23'!$A:$A,"="&amp;$AH$2,'Tong_hop_HQNV_2026Q1_2026-06-23'!$B:$B, "="&amp;'CHECK_DT-BT_chi_tiet'!A70)</f>
        <v>259089886</v>
      </c>
      <c r="AI70" s="7">
        <f>SUMIFS('HQ2'!$C:$C,'HQ2'!$A:$A, "="&amp;'CHECK_DT-BT_chi_tiet'!C70,'HQ2'!$B:$B, "="&amp;'CHECK_DT-BT_chi_tiet'!$AH$3)</f>
        <v>259089886</v>
      </c>
      <c r="AJ70" s="7">
        <f t="shared" si="32"/>
        <v>0</v>
      </c>
      <c r="AK70" s="7">
        <f>SUMIFS('Tong_hop_HQNV_2026Q1_2026-06-23'!$K:$K,'Tong_hop_HQNV_2026Q1_2026-06-23'!$A:$A,"="&amp;$AK$2,'Tong_hop_HQNV_2026Q1_2026-06-23'!$B:$B, "="&amp;'CHECK_DT-BT_chi_tiet'!A70)</f>
        <v>0</v>
      </c>
      <c r="AL70" s="7">
        <f>SUMIFS('Tong_hop_HQNV_2026Q1_2026-06-23'!$K:$K,'Tong_hop_HQNV_2026Q1_2026-06-23'!$A:$A,"="&amp;$AL$2,'Tong_hop_HQNV_2026Q1_2026-06-23'!$B:$B, "="&amp;'CHECK_DT-BT_chi_tiet'!A70)</f>
        <v>0</v>
      </c>
      <c r="AM70" s="23">
        <f>SUMIFS('Tong_hop_HQNV_2026Q1_2026-06-23'!$L:$L,'Tong_hop_HQNV_2026Q1_2026-06-23'!$B:$B, "="&amp;'CHECK_DT-BT_chi_tiet'!A70, 'Tong_hop_HQNV_2026Q1_2026-06-23'!$A:$A, "="&amp;'CHECK_DT-BT_chi_tiet'!$AM$2)</f>
        <v>5388601913</v>
      </c>
      <c r="AN70" s="29">
        <f>SUMIFS('HQ1'!$D:$D,'HQ1'!$A:$A, "="&amp;'CHECK_DT-BT_chi_tiet'!C70,'HQ1'!$B:$B,"="&amp;'CHECK_DT-BT_chi_tiet'!$AM$3)</f>
        <v>5386332839</v>
      </c>
      <c r="AO70" s="29">
        <f t="shared" si="33"/>
        <v>2269074</v>
      </c>
      <c r="AP70" s="7">
        <f>SUMIFS('Tong_hop_HQNV_2026Q1_2026-06-23'!$L:$L,'Tong_hop_HQNV_2026Q1_2026-06-23'!$B:$B, "="&amp;'CHECK_DT-BT_chi_tiet'!A70, 'Tong_hop_HQNV_2026Q1_2026-06-23'!$A:$A, "="&amp;'CHECK_DT-BT_chi_tiet'!$AP$2)</f>
        <v>50000000</v>
      </c>
      <c r="AQ70" s="29">
        <f>SUMIFS('HQ1'!$D:$D,'HQ1'!$A:$A, "="&amp;'CHECK_DT-BT_chi_tiet'!C70,'HQ1'!$B:$B,"="&amp;'CHECK_DT-BT_chi_tiet'!$AP$3)</f>
        <v>50000000</v>
      </c>
      <c r="AR70" s="7">
        <f t="shared" si="34"/>
        <v>0</v>
      </c>
      <c r="AS70" s="7">
        <f>SUMIFS('Tong_hop_HQNV_2026Q1_2026-06-23'!$L:$L,'Tong_hop_HQNV_2026Q1_2026-06-23'!$B:$B, "="&amp;'CHECK_DT-BT_chi_tiet'!A70, 'Tong_hop_HQNV_2026Q1_2026-06-23'!$A:$A, "="&amp;'CHECK_DT-BT_chi_tiet'!$AS$2)</f>
        <v>517856924</v>
      </c>
      <c r="AT70" s="29">
        <f>SUMIFS('HQ1'!$D:$D,'HQ1'!$A:$A, "="&amp;'CHECK_DT-BT_chi_tiet'!C70,'HQ1'!$B:$B,"="&amp;'CHECK_DT-BT_chi_tiet'!$AS$3)</f>
        <v>520125998</v>
      </c>
      <c r="AU70" s="7">
        <f t="shared" si="35"/>
        <v>-2269074</v>
      </c>
      <c r="AV70" s="7">
        <f>SUMIFS('Tong_hop_HQNV_2026Q1_2026-06-23'!$L:$L,'Tong_hop_HQNV_2026Q1_2026-06-23'!$B:$B, "="&amp;'CHECK_DT-BT_chi_tiet'!A70, 'Tong_hop_HQNV_2026Q1_2026-06-23'!$A:$A, "="&amp;'CHECK_DT-BT_chi_tiet'!$AV$2)</f>
        <v>115400924</v>
      </c>
      <c r="AW70" s="29">
        <f>SUMIFS('HQ1'!$D:$D,'HQ1'!$A:$A, "="&amp;'CHECK_DT-BT_chi_tiet'!C70,'HQ1'!$B:$B,"="&amp;'CHECK_DT-BT_chi_tiet'!$AV$3)</f>
        <v>115400924</v>
      </c>
      <c r="AX70" s="7">
        <f t="shared" si="36"/>
        <v>0</v>
      </c>
      <c r="AY70" s="7">
        <f>SUMIFS('Tong_hop_HQNV_2026Q1_2026-06-23'!$L:$L,'Tong_hop_HQNV_2026Q1_2026-06-23'!$B:$B, "="&amp;'CHECK_DT-BT_chi_tiet'!A70, 'Tong_hop_HQNV_2026Q1_2026-06-23'!$A:$A, "="&amp;$AY$2)</f>
        <v>9600000</v>
      </c>
      <c r="AZ70" s="29">
        <f>SUMIFS('HQ2'!$J:$J,'HQ2'!$A:$A, "="&amp;'CHECK_DT-BT_chi_tiet'!C70,'HQ2'!$B:$B,"="&amp;'CHECK_DT-BT_chi_tiet'!$AY$3)</f>
        <v>9600000</v>
      </c>
      <c r="BA70" s="7">
        <f t="shared" si="37"/>
        <v>0</v>
      </c>
      <c r="BB70" s="7">
        <f>SUMIFS('Tong_hop_HQNV_2026Q1_2026-06-23'!$L:$L,'Tong_hop_HQNV_2026Q1_2026-06-23'!$B:$B, "="&amp;'CHECK_DT-BT_chi_tiet'!A70, 'Tong_hop_HQNV_2026Q1_2026-06-23'!$A:$A, "="&amp;$BB$2)</f>
        <v>38769800</v>
      </c>
      <c r="BC70" s="29">
        <f>SUMIFS('HQ2'!$J:$J,'HQ2'!$A:$A, "="&amp;'CHECK_DT-BT_chi_tiet'!C70,'HQ2'!$B:$B,"="&amp;'CHECK_DT-BT_chi_tiet'!$BB$3)</f>
        <v>38769800</v>
      </c>
      <c r="BD70" s="7">
        <f t="shared" si="38"/>
        <v>0</v>
      </c>
      <c r="BE70" s="7">
        <f>SUMIFS('Tong_hop_HQNV_2026Q1_2026-06-23'!$L:$L,'Tong_hop_HQNV_2026Q1_2026-06-23'!$B:$B, "="&amp;'CHECK_DT-BT_chi_tiet'!A70, 'Tong_hop_HQNV_2026Q1_2026-06-23'!$A:$A, "="&amp;$BE$2)</f>
        <v>0</v>
      </c>
      <c r="BF70" s="29">
        <f>SUMIFS('HQ2'!$J:$J,'HQ2'!$A:$A, "="&amp;'CHECK_DT-BT_chi_tiet'!C70,'HQ2'!$B:$B,"="&amp;'CHECK_DT-BT_chi_tiet'!$BE$3)</f>
        <v>0</v>
      </c>
      <c r="BG70" s="7">
        <f t="shared" si="39"/>
        <v>0</v>
      </c>
      <c r="BH70" s="7">
        <f>SUMIFS('Tong_hop_HQNV_2026Q1_2026-06-23'!$L:$L,'Tong_hop_HQNV_2026Q1_2026-06-23'!$B:$B, "="&amp;'CHECK_DT-BT_chi_tiet'!A70, 'Tong_hop_HQNV_2026Q1_2026-06-23'!$A:$A, "="&amp;$BH$2)</f>
        <v>0</v>
      </c>
      <c r="BI70" s="29">
        <f>SUMIFS('HQ2'!$J:$J,'HQ2'!$A:$A, "="&amp;'CHECK_DT-BT_chi_tiet'!C70,'HQ2'!$B:$B,"="&amp;'CHECK_DT-BT_chi_tiet'!$BH$3)</f>
        <v>0</v>
      </c>
      <c r="BJ70" s="7">
        <f t="shared" si="40"/>
        <v>0</v>
      </c>
      <c r="BK70" s="7">
        <f>SUMIFS('Tong_hop_HQNV_2026Q1_2026-06-23'!$L:$L,'Tong_hop_HQNV_2026Q1_2026-06-23'!$B:$B, "="&amp;'CHECK_DT-BT_chi_tiet'!A70, 'Tong_hop_HQNV_2026Q1_2026-06-23'!$A:$A, "="&amp;$BK$2)</f>
        <v>1240000000</v>
      </c>
      <c r="BL70" s="29">
        <f>SUMIFS('HQ2'!$J:$J,'HQ2'!$A:$A, "="&amp;'CHECK_DT-BT_chi_tiet'!C70,'HQ2'!$B:$B,"="&amp;'CHECK_DT-BT_chi_tiet'!$BK$3)</f>
        <v>1240000000</v>
      </c>
      <c r="BM70" s="7">
        <f t="shared" si="41"/>
        <v>0</v>
      </c>
      <c r="BN70" s="7">
        <f>SUMIFS('Tong_hop_HQNV_2026Q1_2026-06-23'!$L:$L,'Tong_hop_HQNV_2026Q1_2026-06-23'!$B:$B, "="&amp;'CHECK_DT-BT_chi_tiet'!A70, 'Tong_hop_HQNV_2026Q1_2026-06-23'!$A:$A, "="&amp;$BN$2)</f>
        <v>0</v>
      </c>
      <c r="BO70" s="29">
        <f>SUMIFS('HQ2'!$J:$J,'HQ2'!$A:$A, "="&amp;'CHECK_DT-BT_chi_tiet'!C70,'HQ2'!$B:$B,"="&amp;'CHECK_DT-BT_chi_tiet'!$BN$3)</f>
        <v>0</v>
      </c>
      <c r="BP70" s="7">
        <f t="shared" si="42"/>
        <v>0</v>
      </c>
      <c r="BQ70" s="7">
        <f>SUMIFS('Tong_hop_HQNV_2026Q1_2026-06-23'!$L:$L,'Tong_hop_HQNV_2026Q1_2026-06-23'!$B:$B, "="&amp;'CHECK_DT-BT_chi_tiet'!A70, 'Tong_hop_HQNV_2026Q1_2026-06-23'!$A:$A, "="&amp;$BQ$2)</f>
        <v>0</v>
      </c>
      <c r="BR70" s="29">
        <f>SUMIFS('HQ2'!$J:$J,'HQ2'!$A:$A, "="&amp;'CHECK_DT-BT_chi_tiet'!C70,'HQ2'!$B:$B,"="&amp;'CHECK_DT-BT_chi_tiet'!$BQ$3)</f>
        <v>0</v>
      </c>
      <c r="BS70" s="7">
        <f t="shared" si="43"/>
        <v>0</v>
      </c>
      <c r="BT70" s="7">
        <f>SUMIFS('Tong_hop_HQNV_2026Q1_2026-06-23'!$L:$L,'Tong_hop_HQNV_2026Q1_2026-06-23'!$B:$B, "="&amp;'CHECK_DT-BT_chi_tiet'!A70, 'Tong_hop_HQNV_2026Q1_2026-06-23'!$A:$A, "="&amp;$BT$2)</f>
        <v>0</v>
      </c>
      <c r="BU70" s="7">
        <f>SUMIFS('Tong_hop_HQNV_2026Q1_2026-06-23'!$L:$L,'Tong_hop_HQNV_2026Q1_2026-06-23'!$B:$B, "="&amp;'CHECK_DT-BT_chi_tiet'!A70, 'Tong_hop_HQNV_2026Q1_2026-06-23'!$A:$A, "="&amp;$BU$2)</f>
        <v>0</v>
      </c>
    </row>
    <row r="71" spans="1:73" x14ac:dyDescent="0.25">
      <c r="A71" s="9" t="s">
        <v>351</v>
      </c>
      <c r="B71" t="s">
        <v>209</v>
      </c>
      <c r="C71" t="s">
        <v>98</v>
      </c>
      <c r="D71" s="7">
        <f>SUMIFS('Tong_hop_HQNV_2026Q1_2026-06-23'!$K:$K,'Tong_hop_HQNV_2026Q1_2026-06-23'!$A:$A,"="&amp;'CHECK_DT-BT_chi_tiet'!$D$2,'Tong_hop_HQNV_2026Q1_2026-06-23'!$B:$B, "="&amp;'CHECK_DT-BT_chi_tiet'!A71)</f>
        <v>4218137100</v>
      </c>
      <c r="E71" s="7">
        <f>SUMIFS('HQ1'!$C:$C,'HQ1'!$A:$A, "="&amp;'CHECK_DT-BT_chi_tiet'!C71,'HQ1'!$B:$B, "="&amp;'CHECK_DT-BT_chi_tiet'!$D$3)</f>
        <v>4218137100</v>
      </c>
      <c r="F71" s="7">
        <f t="shared" si="22"/>
        <v>0</v>
      </c>
      <c r="G71" s="7">
        <f>SUMIFS('Tong_hop_HQNV_2026Q1_2026-06-23'!$K:$K,'Tong_hop_HQNV_2026Q1_2026-06-23'!$A:$A,"="&amp;'CHECK_DT-BT_chi_tiet'!$G$2,'Tong_hop_HQNV_2026Q1_2026-06-23'!$B:$B, "="&amp;'CHECK_DT-BT_chi_tiet'!A71)</f>
        <v>35172600</v>
      </c>
      <c r="H71" s="7">
        <f>SUMIFS('HQ1'!$C:$C,'HQ1'!$A:$A, "="&amp;'CHECK_DT-BT_chi_tiet'!C71,'HQ1'!$B:$B, "="&amp;'CHECK_DT-BT_chi_tiet'!$G$3)</f>
        <v>35172600</v>
      </c>
      <c r="I71" s="7">
        <f t="shared" si="23"/>
        <v>0</v>
      </c>
      <c r="J71" s="7">
        <f>SUMIFS('Tong_hop_HQNV_2026Q1_2026-06-23'!$K:$K,'Tong_hop_HQNV_2026Q1_2026-06-23'!$A:$A,"="&amp;'CHECK_DT-BT_chi_tiet'!$J$2,'Tong_hop_HQNV_2026Q1_2026-06-23'!$B:$B, "="&amp;'CHECK_DT-BT_chi_tiet'!A71)</f>
        <v>5399477120</v>
      </c>
      <c r="K71" s="7">
        <f>SUMIFS('HQ1'!$C:$C,'HQ1'!$A:$A, "="&amp;'CHECK_DT-BT_chi_tiet'!C71,'HQ1'!$B:$B, "="&amp;'CHECK_DT-BT_chi_tiet'!$J$3)</f>
        <v>5399477120</v>
      </c>
      <c r="L71" s="7">
        <f t="shared" si="24"/>
        <v>0</v>
      </c>
      <c r="M71" s="7">
        <f>SUMIFS('Tong_hop_HQNV_2026Q1_2026-06-23'!$K:$K,'Tong_hop_HQNV_2026Q1_2026-06-23'!$A:$A,"="&amp;'CHECK_DT-BT_chi_tiet'!$M$2,'Tong_hop_HQNV_2026Q1_2026-06-23'!$B:$B, "="&amp;'CHECK_DT-BT_chi_tiet'!A71)</f>
        <v>978217802</v>
      </c>
      <c r="N71" s="7">
        <f>SUMIFS('HQ1'!$C:$C,'HQ1'!$A:$A, "="&amp;'CHECK_DT-BT_chi_tiet'!C71,'HQ1'!$B:$B, "="&amp;'CHECK_DT-BT_chi_tiet'!$M$3)</f>
        <v>978217802</v>
      </c>
      <c r="O71" s="7">
        <f t="shared" si="25"/>
        <v>0</v>
      </c>
      <c r="P71" s="7">
        <f>SUMIFS('Tong_hop_HQNV_2026Q1_2026-06-23'!$K:$K,'Tong_hop_HQNV_2026Q1_2026-06-23'!$A:$A,"="&amp;$P$2,'Tong_hop_HQNV_2026Q1_2026-06-23'!$B:$B, "="&amp;'CHECK_DT-BT_chi_tiet'!A71)</f>
        <v>769731243</v>
      </c>
      <c r="Q71" s="7">
        <f>SUMIFS('HQ2'!$C:$C,'HQ2'!$A:$A, "="&amp;'CHECK_DT-BT_chi_tiet'!C71,'HQ2'!$B:$B, "="&amp;'CHECK_DT-BT_chi_tiet'!$P$3)</f>
        <v>769731243</v>
      </c>
      <c r="R71" s="7">
        <f t="shared" si="26"/>
        <v>0</v>
      </c>
      <c r="S71" s="7">
        <f>SUMIFS('Tong_hop_HQNV_2026Q1_2026-06-23'!$K:$K,'Tong_hop_HQNV_2026Q1_2026-06-23'!$A:$A,"="&amp;$S$2,'Tong_hop_HQNV_2026Q1_2026-06-23'!$B:$B, "="&amp;'CHECK_DT-BT_chi_tiet'!A71)</f>
        <v>0</v>
      </c>
      <c r="T71" s="7">
        <f>SUMIFS('HQ2'!$C:$C,'HQ2'!$A:$A, "="&amp;'CHECK_DT-BT_chi_tiet'!C71,'HQ2'!$B:$B, "="&amp;'CHECK_DT-BT_chi_tiet'!$S$3)</f>
        <v>0</v>
      </c>
      <c r="U71" s="7">
        <f t="shared" si="27"/>
        <v>0</v>
      </c>
      <c r="V71" s="7">
        <f>SUMIFS('Tong_hop_HQNV_2026Q1_2026-06-23'!$K:$K,'Tong_hop_HQNV_2026Q1_2026-06-23'!$A:$A,"="&amp;$V$2,'Tong_hop_HQNV_2026Q1_2026-06-23'!$B:$B, "="&amp;'CHECK_DT-BT_chi_tiet'!A71)</f>
        <v>0</v>
      </c>
      <c r="W71" s="7">
        <f>SUMIFS('HQ2'!$C:$C,'HQ2'!$A:$A, "="&amp;'CHECK_DT-BT_chi_tiet'!C71,'HQ2'!$B:$B, "="&amp;'CHECK_DT-BT_chi_tiet'!$V$3)</f>
        <v>0</v>
      </c>
      <c r="X71" s="7">
        <f t="shared" si="28"/>
        <v>0</v>
      </c>
      <c r="Y71" s="7">
        <f>SUMIFS('Tong_hop_HQNV_2026Q1_2026-06-23'!$K:$K,'Tong_hop_HQNV_2026Q1_2026-06-23'!$A:$A,"="&amp;$Y$2,'Tong_hop_HQNV_2026Q1_2026-06-23'!$B:$B, "="&amp;'CHECK_DT-BT_chi_tiet'!A71)</f>
        <v>0</v>
      </c>
      <c r="Z71" s="7">
        <f>SUMIFS('HQ2'!$C:$C,'HQ2'!$A:$A, "="&amp;'CHECK_DT-BT_chi_tiet'!C71,'HQ2'!$B:$B, "="&amp;'CHECK_DT-BT_chi_tiet'!$Y$3)</f>
        <v>0</v>
      </c>
      <c r="AA71" s="7">
        <f t="shared" si="29"/>
        <v>0</v>
      </c>
      <c r="AB71" s="7">
        <f>SUMIFS('Tong_hop_HQNV_2026Q1_2026-06-23'!$K:$K,'Tong_hop_HQNV_2026Q1_2026-06-23'!$A:$A,"="&amp;$AB$2,'Tong_hop_HQNV_2026Q1_2026-06-23'!$B:$B, "="&amp;'CHECK_DT-BT_chi_tiet'!A71)</f>
        <v>342971449</v>
      </c>
      <c r="AC71" s="7">
        <f>SUMIFS('HQ2'!$C:$C,'HQ2'!$A:$A, "="&amp;'CHECK_DT-BT_chi_tiet'!C71,'HQ2'!$B:$B, "="&amp;'CHECK_DT-BT_chi_tiet'!$AB$3)</f>
        <v>342971449</v>
      </c>
      <c r="AD71" s="7">
        <f t="shared" si="30"/>
        <v>0</v>
      </c>
      <c r="AE71" s="7">
        <f>SUMIFS('Tong_hop_HQNV_2026Q1_2026-06-23'!$K:$K,'Tong_hop_HQNV_2026Q1_2026-06-23'!$A:$A,"="&amp;$AE$2,'Tong_hop_HQNV_2026Q1_2026-06-23'!$B:$B, "="&amp;'CHECK_DT-BT_chi_tiet'!A71)</f>
        <v>856169787</v>
      </c>
      <c r="AF71" s="7">
        <f>SUMIFS('HQ2'!$C:$C,'HQ2'!$A:$A, "="&amp;'CHECK_DT-BT_chi_tiet'!C71,'HQ2'!$B:$B, "="&amp;'CHECK_DT-BT_chi_tiet'!$AE$3)</f>
        <v>856169787</v>
      </c>
      <c r="AG71" s="7">
        <f t="shared" si="31"/>
        <v>0</v>
      </c>
      <c r="AH71" s="7">
        <f>SUMIFS('Tong_hop_HQNV_2026Q1_2026-06-23'!$K:$K,'Tong_hop_HQNV_2026Q1_2026-06-23'!$A:$A,"="&amp;$AH$2,'Tong_hop_HQNV_2026Q1_2026-06-23'!$B:$B, "="&amp;'CHECK_DT-BT_chi_tiet'!A71)</f>
        <v>86363639</v>
      </c>
      <c r="AI71" s="7">
        <f>SUMIFS('HQ2'!$C:$C,'HQ2'!$A:$A, "="&amp;'CHECK_DT-BT_chi_tiet'!C71,'HQ2'!$B:$B, "="&amp;'CHECK_DT-BT_chi_tiet'!$AH$3)</f>
        <v>86363639</v>
      </c>
      <c r="AJ71" s="7">
        <f t="shared" si="32"/>
        <v>0</v>
      </c>
      <c r="AK71" s="7">
        <f>SUMIFS('Tong_hop_HQNV_2026Q1_2026-06-23'!$K:$K,'Tong_hop_HQNV_2026Q1_2026-06-23'!$A:$A,"="&amp;$AK$2,'Tong_hop_HQNV_2026Q1_2026-06-23'!$B:$B, "="&amp;'CHECK_DT-BT_chi_tiet'!A71)</f>
        <v>0</v>
      </c>
      <c r="AL71" s="7">
        <f>SUMIFS('Tong_hop_HQNV_2026Q1_2026-06-23'!$K:$K,'Tong_hop_HQNV_2026Q1_2026-06-23'!$A:$A,"="&amp;$AL$2,'Tong_hop_HQNV_2026Q1_2026-06-23'!$B:$B, "="&amp;'CHECK_DT-BT_chi_tiet'!A71)</f>
        <v>0</v>
      </c>
      <c r="AM71" s="23">
        <f>SUMIFS('Tong_hop_HQNV_2026Q1_2026-06-23'!$L:$L,'Tong_hop_HQNV_2026Q1_2026-06-23'!$B:$B, "="&amp;'CHECK_DT-BT_chi_tiet'!A71, 'Tong_hop_HQNV_2026Q1_2026-06-23'!$A:$A, "="&amp;'CHECK_DT-BT_chi_tiet'!$AM$2)</f>
        <v>3010321143</v>
      </c>
      <c r="AN71" s="29">
        <f>SUMIFS('HQ1'!$D:$D,'HQ1'!$A:$A, "="&amp;'CHECK_DT-BT_chi_tiet'!C71,'HQ1'!$B:$B,"="&amp;'CHECK_DT-BT_chi_tiet'!$AM$3)</f>
        <v>2997361143</v>
      </c>
      <c r="AO71" s="29">
        <f t="shared" si="33"/>
        <v>12960000</v>
      </c>
      <c r="AP71" s="7">
        <f>SUMIFS('Tong_hop_HQNV_2026Q1_2026-06-23'!$L:$L,'Tong_hop_HQNV_2026Q1_2026-06-23'!$B:$B, "="&amp;'CHECK_DT-BT_chi_tiet'!A71, 'Tong_hop_HQNV_2026Q1_2026-06-23'!$A:$A, "="&amp;'CHECK_DT-BT_chi_tiet'!$AP$2)</f>
        <v>0</v>
      </c>
      <c r="AQ71" s="29">
        <f>SUMIFS('HQ1'!$D:$D,'HQ1'!$A:$A, "="&amp;'CHECK_DT-BT_chi_tiet'!C71,'HQ1'!$B:$B,"="&amp;'CHECK_DT-BT_chi_tiet'!$AP$3)</f>
        <v>0</v>
      </c>
      <c r="AR71" s="7">
        <f t="shared" si="34"/>
        <v>0</v>
      </c>
      <c r="AS71" s="7">
        <f>SUMIFS('Tong_hop_HQNV_2026Q1_2026-06-23'!$L:$L,'Tong_hop_HQNV_2026Q1_2026-06-23'!$B:$B, "="&amp;'CHECK_DT-BT_chi_tiet'!A71, 'Tong_hop_HQNV_2026Q1_2026-06-23'!$A:$A, "="&amp;'CHECK_DT-BT_chi_tiet'!$AS$2)</f>
        <v>6737003929</v>
      </c>
      <c r="AT71" s="29">
        <f>SUMIFS('HQ1'!$D:$D,'HQ1'!$A:$A, "="&amp;'CHECK_DT-BT_chi_tiet'!C71,'HQ1'!$B:$B,"="&amp;'CHECK_DT-BT_chi_tiet'!$AS$3)</f>
        <v>6737003929</v>
      </c>
      <c r="AU71" s="7">
        <f t="shared" si="35"/>
        <v>0</v>
      </c>
      <c r="AV71" s="7">
        <f>SUMIFS('Tong_hop_HQNV_2026Q1_2026-06-23'!$L:$L,'Tong_hop_HQNV_2026Q1_2026-06-23'!$B:$B, "="&amp;'CHECK_DT-BT_chi_tiet'!A71, 'Tong_hop_HQNV_2026Q1_2026-06-23'!$A:$A, "="&amp;'CHECK_DT-BT_chi_tiet'!$AV$2)</f>
        <v>252176041</v>
      </c>
      <c r="AW71" s="29">
        <f>SUMIFS('HQ1'!$D:$D,'HQ1'!$A:$A, "="&amp;'CHECK_DT-BT_chi_tiet'!C71,'HQ1'!$B:$B,"="&amp;'CHECK_DT-BT_chi_tiet'!$AV$3)</f>
        <v>265136041</v>
      </c>
      <c r="AX71" s="7">
        <f t="shared" si="36"/>
        <v>-12960000</v>
      </c>
      <c r="AY71" s="7">
        <f>SUMIFS('Tong_hop_HQNV_2026Q1_2026-06-23'!$L:$L,'Tong_hop_HQNV_2026Q1_2026-06-23'!$B:$B, "="&amp;'CHECK_DT-BT_chi_tiet'!A71, 'Tong_hop_HQNV_2026Q1_2026-06-23'!$A:$A, "="&amp;$AY$2)</f>
        <v>77467780</v>
      </c>
      <c r="AZ71" s="29">
        <f>SUMIFS('HQ2'!$J:$J,'HQ2'!$A:$A, "="&amp;'CHECK_DT-BT_chi_tiet'!C71,'HQ2'!$B:$B,"="&amp;'CHECK_DT-BT_chi_tiet'!$AY$3)</f>
        <v>77467780</v>
      </c>
      <c r="BA71" s="7">
        <f t="shared" si="37"/>
        <v>0</v>
      </c>
      <c r="BB71" s="7">
        <f>SUMIFS('Tong_hop_HQNV_2026Q1_2026-06-23'!$L:$L,'Tong_hop_HQNV_2026Q1_2026-06-23'!$B:$B, "="&amp;'CHECK_DT-BT_chi_tiet'!A71, 'Tong_hop_HQNV_2026Q1_2026-06-23'!$A:$A, "="&amp;$BB$2)</f>
        <v>0</v>
      </c>
      <c r="BC71" s="29">
        <f>SUMIFS('HQ2'!$J:$J,'HQ2'!$A:$A, "="&amp;'CHECK_DT-BT_chi_tiet'!C71,'HQ2'!$B:$B,"="&amp;'CHECK_DT-BT_chi_tiet'!$BB$3)</f>
        <v>0</v>
      </c>
      <c r="BD71" s="7">
        <f t="shared" si="38"/>
        <v>0</v>
      </c>
      <c r="BE71" s="7">
        <f>SUMIFS('Tong_hop_HQNV_2026Q1_2026-06-23'!$L:$L,'Tong_hop_HQNV_2026Q1_2026-06-23'!$B:$B, "="&amp;'CHECK_DT-BT_chi_tiet'!A71, 'Tong_hop_HQNV_2026Q1_2026-06-23'!$A:$A, "="&amp;$BE$2)</f>
        <v>0</v>
      </c>
      <c r="BF71" s="29">
        <f>SUMIFS('HQ2'!$J:$J,'HQ2'!$A:$A, "="&amp;'CHECK_DT-BT_chi_tiet'!C71,'HQ2'!$B:$B,"="&amp;'CHECK_DT-BT_chi_tiet'!$BE$3)</f>
        <v>0</v>
      </c>
      <c r="BG71" s="7">
        <f t="shared" si="39"/>
        <v>0</v>
      </c>
      <c r="BH71" s="7">
        <f>SUMIFS('Tong_hop_HQNV_2026Q1_2026-06-23'!$L:$L,'Tong_hop_HQNV_2026Q1_2026-06-23'!$B:$B, "="&amp;'CHECK_DT-BT_chi_tiet'!A71, 'Tong_hop_HQNV_2026Q1_2026-06-23'!$A:$A, "="&amp;$BH$2)</f>
        <v>0</v>
      </c>
      <c r="BI71" s="29">
        <f>SUMIFS('HQ2'!$J:$J,'HQ2'!$A:$A, "="&amp;'CHECK_DT-BT_chi_tiet'!C71,'HQ2'!$B:$B,"="&amp;'CHECK_DT-BT_chi_tiet'!$BH$3)</f>
        <v>0</v>
      </c>
      <c r="BJ71" s="7">
        <f t="shared" si="40"/>
        <v>0</v>
      </c>
      <c r="BK71" s="7">
        <f>SUMIFS('Tong_hop_HQNV_2026Q1_2026-06-23'!$L:$L,'Tong_hop_HQNV_2026Q1_2026-06-23'!$B:$B, "="&amp;'CHECK_DT-BT_chi_tiet'!A71, 'Tong_hop_HQNV_2026Q1_2026-06-23'!$A:$A, "="&amp;$BK$2)</f>
        <v>4370000000</v>
      </c>
      <c r="BL71" s="29">
        <f>SUMIFS('HQ2'!$J:$J,'HQ2'!$A:$A, "="&amp;'CHECK_DT-BT_chi_tiet'!C71,'HQ2'!$B:$B,"="&amp;'CHECK_DT-BT_chi_tiet'!$BK$3)</f>
        <v>4370000000</v>
      </c>
      <c r="BM71" s="7">
        <f t="shared" si="41"/>
        <v>0</v>
      </c>
      <c r="BN71" s="7">
        <f>SUMIFS('Tong_hop_HQNV_2026Q1_2026-06-23'!$L:$L,'Tong_hop_HQNV_2026Q1_2026-06-23'!$B:$B, "="&amp;'CHECK_DT-BT_chi_tiet'!A71, 'Tong_hop_HQNV_2026Q1_2026-06-23'!$A:$A, "="&amp;$BN$2)</f>
        <v>0</v>
      </c>
      <c r="BO71" s="29">
        <f>SUMIFS('HQ2'!$J:$J,'HQ2'!$A:$A, "="&amp;'CHECK_DT-BT_chi_tiet'!C71,'HQ2'!$B:$B,"="&amp;'CHECK_DT-BT_chi_tiet'!$BN$3)</f>
        <v>0</v>
      </c>
      <c r="BP71" s="7">
        <f t="shared" si="42"/>
        <v>0</v>
      </c>
      <c r="BQ71" s="7">
        <f>SUMIFS('Tong_hop_HQNV_2026Q1_2026-06-23'!$L:$L,'Tong_hop_HQNV_2026Q1_2026-06-23'!$B:$B, "="&amp;'CHECK_DT-BT_chi_tiet'!A71, 'Tong_hop_HQNV_2026Q1_2026-06-23'!$A:$A, "="&amp;$BQ$2)</f>
        <v>33070000</v>
      </c>
      <c r="BR71" s="29">
        <f>SUMIFS('HQ2'!$J:$J,'HQ2'!$A:$A, "="&amp;'CHECK_DT-BT_chi_tiet'!C71,'HQ2'!$B:$B,"="&amp;'CHECK_DT-BT_chi_tiet'!$BQ$3)</f>
        <v>33070000</v>
      </c>
      <c r="BS71" s="7">
        <f t="shared" si="43"/>
        <v>0</v>
      </c>
      <c r="BT71" s="7">
        <f>SUMIFS('Tong_hop_HQNV_2026Q1_2026-06-23'!$L:$L,'Tong_hop_HQNV_2026Q1_2026-06-23'!$B:$B, "="&amp;'CHECK_DT-BT_chi_tiet'!A71, 'Tong_hop_HQNV_2026Q1_2026-06-23'!$A:$A, "="&amp;$BT$2)</f>
        <v>0</v>
      </c>
      <c r="BU71" s="7">
        <f>SUMIFS('Tong_hop_HQNV_2026Q1_2026-06-23'!$L:$L,'Tong_hop_HQNV_2026Q1_2026-06-23'!$B:$B, "="&amp;'CHECK_DT-BT_chi_tiet'!A71, 'Tong_hop_HQNV_2026Q1_2026-06-23'!$A:$A, "="&amp;$BU$2)</f>
        <v>0</v>
      </c>
    </row>
    <row r="72" spans="1:73" x14ac:dyDescent="0.25">
      <c r="A72" s="9" t="s">
        <v>352</v>
      </c>
      <c r="B72" t="s">
        <v>210</v>
      </c>
      <c r="C72" t="s">
        <v>58</v>
      </c>
      <c r="D72" s="7">
        <f>SUMIFS('Tong_hop_HQNV_2026Q1_2026-06-23'!$K:$K,'Tong_hop_HQNV_2026Q1_2026-06-23'!$A:$A,"="&amp;'CHECK_DT-BT_chi_tiet'!$D$2,'Tong_hop_HQNV_2026Q1_2026-06-23'!$B:$B, "="&amp;'CHECK_DT-BT_chi_tiet'!A72)</f>
        <v>1143293282</v>
      </c>
      <c r="E72" s="7">
        <f>SUMIFS('HQ1'!$C:$C,'HQ1'!$A:$A, "="&amp;'CHECK_DT-BT_chi_tiet'!C72,'HQ1'!$B:$B, "="&amp;'CHECK_DT-BT_chi_tiet'!$D$3)</f>
        <v>681946664</v>
      </c>
      <c r="F72" s="7">
        <f t="shared" si="22"/>
        <v>461346618</v>
      </c>
      <c r="G72" s="7">
        <f>SUMIFS('Tong_hop_HQNV_2026Q1_2026-06-23'!$K:$K,'Tong_hop_HQNV_2026Q1_2026-06-23'!$A:$A,"="&amp;'CHECK_DT-BT_chi_tiet'!$G$2,'Tong_hop_HQNV_2026Q1_2026-06-23'!$B:$B, "="&amp;'CHECK_DT-BT_chi_tiet'!A72)</f>
        <v>463007150</v>
      </c>
      <c r="H72" s="7">
        <f>SUMIFS('HQ1'!$C:$C,'HQ1'!$A:$A, "="&amp;'CHECK_DT-BT_chi_tiet'!C72,'HQ1'!$B:$B, "="&amp;'CHECK_DT-BT_chi_tiet'!$G$3)</f>
        <v>463007150</v>
      </c>
      <c r="I72" s="7">
        <f t="shared" si="23"/>
        <v>0</v>
      </c>
      <c r="J72" s="7">
        <f>SUMIFS('Tong_hop_HQNV_2026Q1_2026-06-23'!$K:$K,'Tong_hop_HQNV_2026Q1_2026-06-23'!$A:$A,"="&amp;'CHECK_DT-BT_chi_tiet'!$J$2,'Tong_hop_HQNV_2026Q1_2026-06-23'!$B:$B, "="&amp;'CHECK_DT-BT_chi_tiet'!A72)</f>
        <v>12129958280</v>
      </c>
      <c r="K72" s="7">
        <f>SUMIFS('HQ1'!$C:$C,'HQ1'!$A:$A, "="&amp;'CHECK_DT-BT_chi_tiet'!C72,'HQ1'!$B:$B, "="&amp;'CHECK_DT-BT_chi_tiet'!$J$3)</f>
        <v>12129958280</v>
      </c>
      <c r="L72" s="7">
        <f t="shared" si="24"/>
        <v>0</v>
      </c>
      <c r="M72" s="7">
        <f>SUMIFS('Tong_hop_HQNV_2026Q1_2026-06-23'!$K:$K,'Tong_hop_HQNV_2026Q1_2026-06-23'!$A:$A,"="&amp;'CHECK_DT-BT_chi_tiet'!$M$2,'Tong_hop_HQNV_2026Q1_2026-06-23'!$B:$B, "="&amp;'CHECK_DT-BT_chi_tiet'!A72)</f>
        <v>12877553142</v>
      </c>
      <c r="N72" s="7">
        <f>SUMIFS('HQ1'!$C:$C,'HQ1'!$A:$A, "="&amp;'CHECK_DT-BT_chi_tiet'!C72,'HQ1'!$B:$B, "="&amp;'CHECK_DT-BT_chi_tiet'!$M$3)</f>
        <v>12877553142</v>
      </c>
      <c r="O72" s="7">
        <f t="shared" si="25"/>
        <v>0</v>
      </c>
      <c r="P72" s="7">
        <f>SUMIFS('Tong_hop_HQNV_2026Q1_2026-06-23'!$K:$K,'Tong_hop_HQNV_2026Q1_2026-06-23'!$A:$A,"="&amp;$P$2,'Tong_hop_HQNV_2026Q1_2026-06-23'!$B:$B, "="&amp;'CHECK_DT-BT_chi_tiet'!A72)</f>
        <v>803180946</v>
      </c>
      <c r="Q72" s="7">
        <f>SUMIFS('HQ2'!$C:$C,'HQ2'!$A:$A, "="&amp;'CHECK_DT-BT_chi_tiet'!C72,'HQ2'!$B:$B, "="&amp;'CHECK_DT-BT_chi_tiet'!$P$3)</f>
        <v>803180946</v>
      </c>
      <c r="R72" s="7">
        <f t="shared" si="26"/>
        <v>0</v>
      </c>
      <c r="S72" s="7">
        <f>SUMIFS('Tong_hop_HQNV_2026Q1_2026-06-23'!$K:$K,'Tong_hop_HQNV_2026Q1_2026-06-23'!$A:$A,"="&amp;$S$2,'Tong_hop_HQNV_2026Q1_2026-06-23'!$B:$B, "="&amp;'CHECK_DT-BT_chi_tiet'!A72)</f>
        <v>1233192344</v>
      </c>
      <c r="T72" s="7">
        <f>SUMIFS('HQ2'!$C:$C,'HQ2'!$A:$A, "="&amp;'CHECK_DT-BT_chi_tiet'!C72,'HQ2'!$B:$B, "="&amp;'CHECK_DT-BT_chi_tiet'!$S$3)</f>
        <v>1233192344</v>
      </c>
      <c r="U72" s="7">
        <f t="shared" si="27"/>
        <v>0</v>
      </c>
      <c r="V72" s="7">
        <f>SUMIFS('Tong_hop_HQNV_2026Q1_2026-06-23'!$K:$K,'Tong_hop_HQNV_2026Q1_2026-06-23'!$A:$A,"="&amp;$V$2,'Tong_hop_HQNV_2026Q1_2026-06-23'!$B:$B, "="&amp;'CHECK_DT-BT_chi_tiet'!A72)</f>
        <v>1086762102</v>
      </c>
      <c r="W72" s="7">
        <f>SUMIFS('HQ2'!$C:$C,'HQ2'!$A:$A, "="&amp;'CHECK_DT-BT_chi_tiet'!C72,'HQ2'!$B:$B, "="&amp;'CHECK_DT-BT_chi_tiet'!$V$3)</f>
        <v>1086762102</v>
      </c>
      <c r="X72" s="7">
        <f t="shared" si="28"/>
        <v>0</v>
      </c>
      <c r="Y72" s="7">
        <f>SUMIFS('Tong_hop_HQNV_2026Q1_2026-06-23'!$K:$K,'Tong_hop_HQNV_2026Q1_2026-06-23'!$A:$A,"="&amp;$Y$2,'Tong_hop_HQNV_2026Q1_2026-06-23'!$B:$B, "="&amp;'CHECK_DT-BT_chi_tiet'!A72)</f>
        <v>0</v>
      </c>
      <c r="Z72" s="7">
        <f>SUMIFS('HQ2'!$C:$C,'HQ2'!$A:$A, "="&amp;'CHECK_DT-BT_chi_tiet'!C72,'HQ2'!$B:$B, "="&amp;'CHECK_DT-BT_chi_tiet'!$Y$3)</f>
        <v>0</v>
      </c>
      <c r="AA72" s="7">
        <f t="shared" si="29"/>
        <v>0</v>
      </c>
      <c r="AB72" s="7">
        <f>SUMIFS('Tong_hop_HQNV_2026Q1_2026-06-23'!$K:$K,'Tong_hop_HQNV_2026Q1_2026-06-23'!$A:$A,"="&amp;$AB$2,'Tong_hop_HQNV_2026Q1_2026-06-23'!$B:$B, "="&amp;'CHECK_DT-BT_chi_tiet'!A72)</f>
        <v>7974867596</v>
      </c>
      <c r="AC72" s="7">
        <f>SUMIFS('HQ2'!$C:$C,'HQ2'!$A:$A, "="&amp;'CHECK_DT-BT_chi_tiet'!C72,'HQ2'!$B:$B, "="&amp;'CHECK_DT-BT_chi_tiet'!$AB$3)</f>
        <v>7974867596</v>
      </c>
      <c r="AD72" s="7">
        <f t="shared" si="30"/>
        <v>0</v>
      </c>
      <c r="AE72" s="7">
        <f>SUMIFS('Tong_hop_HQNV_2026Q1_2026-06-23'!$K:$K,'Tong_hop_HQNV_2026Q1_2026-06-23'!$A:$A,"="&amp;$AE$2,'Tong_hop_HQNV_2026Q1_2026-06-23'!$B:$B, "="&amp;'CHECK_DT-BT_chi_tiet'!A72)</f>
        <v>3262818102</v>
      </c>
      <c r="AF72" s="7">
        <f>SUMIFS('HQ2'!$C:$C,'HQ2'!$A:$A, "="&amp;'CHECK_DT-BT_chi_tiet'!C72,'HQ2'!$B:$B, "="&amp;'CHECK_DT-BT_chi_tiet'!$AE$3)</f>
        <v>3262818102</v>
      </c>
      <c r="AG72" s="7">
        <f t="shared" si="31"/>
        <v>0</v>
      </c>
      <c r="AH72" s="7">
        <f>SUMIFS('Tong_hop_HQNV_2026Q1_2026-06-23'!$K:$K,'Tong_hop_HQNV_2026Q1_2026-06-23'!$A:$A,"="&amp;$AH$2,'Tong_hop_HQNV_2026Q1_2026-06-23'!$B:$B, "="&amp;'CHECK_DT-BT_chi_tiet'!A72)</f>
        <v>163508688</v>
      </c>
      <c r="AI72" s="7">
        <f>SUMIFS('HQ2'!$C:$C,'HQ2'!$A:$A, "="&amp;'CHECK_DT-BT_chi_tiet'!C72,'HQ2'!$B:$B, "="&amp;'CHECK_DT-BT_chi_tiet'!$AH$3)</f>
        <v>624855306</v>
      </c>
      <c r="AJ72" s="7">
        <f t="shared" si="32"/>
        <v>-461346618</v>
      </c>
      <c r="AK72" s="7">
        <f>SUMIFS('Tong_hop_HQNV_2026Q1_2026-06-23'!$K:$K,'Tong_hop_HQNV_2026Q1_2026-06-23'!$A:$A,"="&amp;$AK$2,'Tong_hop_HQNV_2026Q1_2026-06-23'!$B:$B, "="&amp;'CHECK_DT-BT_chi_tiet'!A72)</f>
        <v>0</v>
      </c>
      <c r="AL72" s="7">
        <f>SUMIFS('Tong_hop_HQNV_2026Q1_2026-06-23'!$K:$K,'Tong_hop_HQNV_2026Q1_2026-06-23'!$A:$A,"="&amp;$AL$2,'Tong_hop_HQNV_2026Q1_2026-06-23'!$B:$B, "="&amp;'CHECK_DT-BT_chi_tiet'!A72)</f>
        <v>0</v>
      </c>
      <c r="AM72" s="23">
        <f>SUMIFS('Tong_hop_HQNV_2026Q1_2026-06-23'!$L:$L,'Tong_hop_HQNV_2026Q1_2026-06-23'!$B:$B, "="&amp;'CHECK_DT-BT_chi_tiet'!A72, 'Tong_hop_HQNV_2026Q1_2026-06-23'!$A:$A, "="&amp;'CHECK_DT-BT_chi_tiet'!$AM$2)</f>
        <v>731147000</v>
      </c>
      <c r="AN72" s="29">
        <f>SUMIFS('HQ1'!$D:$D,'HQ1'!$A:$A, "="&amp;'CHECK_DT-BT_chi_tiet'!C72,'HQ1'!$B:$B,"="&amp;'CHECK_DT-BT_chi_tiet'!$AM$3)</f>
        <v>731147000</v>
      </c>
      <c r="AO72" s="29">
        <f t="shared" si="33"/>
        <v>0</v>
      </c>
      <c r="AP72" s="7">
        <f>SUMIFS('Tong_hop_HQNV_2026Q1_2026-06-23'!$L:$L,'Tong_hop_HQNV_2026Q1_2026-06-23'!$B:$B, "="&amp;'CHECK_DT-BT_chi_tiet'!A72, 'Tong_hop_HQNV_2026Q1_2026-06-23'!$A:$A, "="&amp;'CHECK_DT-BT_chi_tiet'!$AP$2)</f>
        <v>1163775296</v>
      </c>
      <c r="AQ72" s="29">
        <f>SUMIFS('HQ1'!$D:$D,'HQ1'!$A:$A, "="&amp;'CHECK_DT-BT_chi_tiet'!C72,'HQ1'!$B:$B,"="&amp;'CHECK_DT-BT_chi_tiet'!$AP$3)</f>
        <v>1163775296</v>
      </c>
      <c r="AR72" s="7">
        <f t="shared" si="34"/>
        <v>0</v>
      </c>
      <c r="AS72" s="7">
        <f>SUMIFS('Tong_hop_HQNV_2026Q1_2026-06-23'!$L:$L,'Tong_hop_HQNV_2026Q1_2026-06-23'!$B:$B, "="&amp;'CHECK_DT-BT_chi_tiet'!A72, 'Tong_hop_HQNV_2026Q1_2026-06-23'!$A:$A, "="&amp;'CHECK_DT-BT_chi_tiet'!$AS$2)</f>
        <v>8536444336</v>
      </c>
      <c r="AT72" s="29">
        <f>SUMIFS('HQ1'!$D:$D,'HQ1'!$A:$A, "="&amp;'CHECK_DT-BT_chi_tiet'!C72,'HQ1'!$B:$B,"="&amp;'CHECK_DT-BT_chi_tiet'!$AS$3)</f>
        <v>8536444336</v>
      </c>
      <c r="AU72" s="7">
        <f t="shared" si="35"/>
        <v>0</v>
      </c>
      <c r="AV72" s="7">
        <f>SUMIFS('Tong_hop_HQNV_2026Q1_2026-06-23'!$L:$L,'Tong_hop_HQNV_2026Q1_2026-06-23'!$B:$B, "="&amp;'CHECK_DT-BT_chi_tiet'!A72, 'Tong_hop_HQNV_2026Q1_2026-06-23'!$A:$A, "="&amp;'CHECK_DT-BT_chi_tiet'!$AV$2)</f>
        <v>6017789217</v>
      </c>
      <c r="AW72" s="29">
        <f>SUMIFS('HQ1'!$D:$D,'HQ1'!$A:$A, "="&amp;'CHECK_DT-BT_chi_tiet'!C72,'HQ1'!$B:$B,"="&amp;'CHECK_DT-BT_chi_tiet'!$AV$3)</f>
        <v>6017789217</v>
      </c>
      <c r="AX72" s="7">
        <f t="shared" si="36"/>
        <v>0</v>
      </c>
      <c r="AY72" s="7">
        <f>SUMIFS('Tong_hop_HQNV_2026Q1_2026-06-23'!$L:$L,'Tong_hop_HQNV_2026Q1_2026-06-23'!$B:$B, "="&amp;'CHECK_DT-BT_chi_tiet'!A72, 'Tong_hop_HQNV_2026Q1_2026-06-23'!$A:$A, "="&amp;$AY$2)</f>
        <v>307117773</v>
      </c>
      <c r="AZ72" s="29">
        <f>SUMIFS('HQ2'!$J:$J,'HQ2'!$A:$A, "="&amp;'CHECK_DT-BT_chi_tiet'!C72,'HQ2'!$B:$B,"="&amp;'CHECK_DT-BT_chi_tiet'!$AY$3)</f>
        <v>307117773</v>
      </c>
      <c r="BA72" s="7">
        <f t="shared" si="37"/>
        <v>0</v>
      </c>
      <c r="BB72" s="7">
        <f>SUMIFS('Tong_hop_HQNV_2026Q1_2026-06-23'!$L:$L,'Tong_hop_HQNV_2026Q1_2026-06-23'!$B:$B, "="&amp;'CHECK_DT-BT_chi_tiet'!A72, 'Tong_hop_HQNV_2026Q1_2026-06-23'!$A:$A, "="&amp;$BB$2)</f>
        <v>0</v>
      </c>
      <c r="BC72" s="29">
        <f>SUMIFS('HQ2'!$J:$J,'HQ2'!$A:$A, "="&amp;'CHECK_DT-BT_chi_tiet'!C72,'HQ2'!$B:$B,"="&amp;'CHECK_DT-BT_chi_tiet'!$BB$3)</f>
        <v>0</v>
      </c>
      <c r="BD72" s="7">
        <f t="shared" si="38"/>
        <v>0</v>
      </c>
      <c r="BE72" s="7">
        <f>SUMIFS('Tong_hop_HQNV_2026Q1_2026-06-23'!$L:$L,'Tong_hop_HQNV_2026Q1_2026-06-23'!$B:$B, "="&amp;'CHECK_DT-BT_chi_tiet'!A72, 'Tong_hop_HQNV_2026Q1_2026-06-23'!$A:$A, "="&amp;$BE$2)</f>
        <v>0</v>
      </c>
      <c r="BF72" s="29">
        <f>SUMIFS('HQ2'!$J:$J,'HQ2'!$A:$A, "="&amp;'CHECK_DT-BT_chi_tiet'!C72,'HQ2'!$B:$B,"="&amp;'CHECK_DT-BT_chi_tiet'!$BE$3)</f>
        <v>0</v>
      </c>
      <c r="BG72" s="7">
        <f t="shared" si="39"/>
        <v>0</v>
      </c>
      <c r="BH72" s="7">
        <f>SUMIFS('Tong_hop_HQNV_2026Q1_2026-06-23'!$L:$L,'Tong_hop_HQNV_2026Q1_2026-06-23'!$B:$B, "="&amp;'CHECK_DT-BT_chi_tiet'!A72, 'Tong_hop_HQNV_2026Q1_2026-06-23'!$A:$A, "="&amp;$BH$2)</f>
        <v>0</v>
      </c>
      <c r="BI72" s="29">
        <f>SUMIFS('HQ2'!$J:$J,'HQ2'!$A:$A, "="&amp;'CHECK_DT-BT_chi_tiet'!C72,'HQ2'!$B:$B,"="&amp;'CHECK_DT-BT_chi_tiet'!$BH$3)</f>
        <v>0</v>
      </c>
      <c r="BJ72" s="7">
        <f t="shared" si="40"/>
        <v>0</v>
      </c>
      <c r="BK72" s="7">
        <f>SUMIFS('Tong_hop_HQNV_2026Q1_2026-06-23'!$L:$L,'Tong_hop_HQNV_2026Q1_2026-06-23'!$B:$B, "="&amp;'CHECK_DT-BT_chi_tiet'!A72, 'Tong_hop_HQNV_2026Q1_2026-06-23'!$A:$A, "="&amp;$BK$2)</f>
        <v>764974277</v>
      </c>
      <c r="BL72" s="29">
        <f>SUMIFS('HQ2'!$J:$J,'HQ2'!$A:$A, "="&amp;'CHECK_DT-BT_chi_tiet'!C72,'HQ2'!$B:$B,"="&amp;'CHECK_DT-BT_chi_tiet'!$BK$3)</f>
        <v>761511733</v>
      </c>
      <c r="BM72" s="7">
        <f t="shared" si="41"/>
        <v>3462544</v>
      </c>
      <c r="BN72" s="7">
        <f>SUMIFS('Tong_hop_HQNV_2026Q1_2026-06-23'!$L:$L,'Tong_hop_HQNV_2026Q1_2026-06-23'!$B:$B, "="&amp;'CHECK_DT-BT_chi_tiet'!A72, 'Tong_hop_HQNV_2026Q1_2026-06-23'!$A:$A, "="&amp;$BN$2)</f>
        <v>5610000</v>
      </c>
      <c r="BO72" s="29">
        <f>SUMIFS('HQ2'!$J:$J,'HQ2'!$A:$A, "="&amp;'CHECK_DT-BT_chi_tiet'!C72,'HQ2'!$B:$B,"="&amp;'CHECK_DT-BT_chi_tiet'!$BN$3)</f>
        <v>5610000</v>
      </c>
      <c r="BP72" s="7">
        <f t="shared" si="42"/>
        <v>0</v>
      </c>
      <c r="BQ72" s="7">
        <f>SUMIFS('Tong_hop_HQNV_2026Q1_2026-06-23'!$L:$L,'Tong_hop_HQNV_2026Q1_2026-06-23'!$B:$B, "="&amp;'CHECK_DT-BT_chi_tiet'!A72, 'Tong_hop_HQNV_2026Q1_2026-06-23'!$A:$A, "="&amp;$BQ$2)</f>
        <v>0</v>
      </c>
      <c r="BR72" s="29">
        <f>SUMIFS('HQ2'!$J:$J,'HQ2'!$A:$A, "="&amp;'CHECK_DT-BT_chi_tiet'!C72,'HQ2'!$B:$B,"="&amp;'CHECK_DT-BT_chi_tiet'!$BQ$3)</f>
        <v>0</v>
      </c>
      <c r="BS72" s="7">
        <f t="shared" si="43"/>
        <v>0</v>
      </c>
      <c r="BT72" s="7">
        <f>SUMIFS('Tong_hop_HQNV_2026Q1_2026-06-23'!$L:$L,'Tong_hop_HQNV_2026Q1_2026-06-23'!$B:$B, "="&amp;'CHECK_DT-BT_chi_tiet'!A72, 'Tong_hop_HQNV_2026Q1_2026-06-23'!$A:$A, "="&amp;$BT$2)</f>
        <v>0</v>
      </c>
      <c r="BU72" s="7">
        <f>SUMIFS('Tong_hop_HQNV_2026Q1_2026-06-23'!$L:$L,'Tong_hop_HQNV_2026Q1_2026-06-23'!$B:$B, "="&amp;'CHECK_DT-BT_chi_tiet'!A72, 'Tong_hop_HQNV_2026Q1_2026-06-23'!$A:$A, "="&amp;$BU$2)</f>
        <v>0</v>
      </c>
    </row>
    <row r="73" spans="1:73" x14ac:dyDescent="0.25">
      <c r="A73" s="9" t="s">
        <v>353</v>
      </c>
      <c r="B73" t="s">
        <v>211</v>
      </c>
      <c r="C73" t="s">
        <v>97</v>
      </c>
      <c r="D73" s="7">
        <f>SUMIFS('Tong_hop_HQNV_2026Q1_2026-06-23'!$K:$K,'Tong_hop_HQNV_2026Q1_2026-06-23'!$A:$A,"="&amp;'CHECK_DT-BT_chi_tiet'!$D$2,'Tong_hop_HQNV_2026Q1_2026-06-23'!$B:$B, "="&amp;'CHECK_DT-BT_chi_tiet'!A73)</f>
        <v>3517306077</v>
      </c>
      <c r="E73" s="7">
        <f>SUMIFS('HQ1'!$C:$C,'HQ1'!$A:$A, "="&amp;'CHECK_DT-BT_chi_tiet'!C73,'HQ1'!$B:$B, "="&amp;'CHECK_DT-BT_chi_tiet'!$D$3)</f>
        <v>3517306077</v>
      </c>
      <c r="F73" s="7">
        <f t="shared" si="22"/>
        <v>0</v>
      </c>
      <c r="G73" s="7">
        <f>SUMIFS('Tong_hop_HQNV_2026Q1_2026-06-23'!$K:$K,'Tong_hop_HQNV_2026Q1_2026-06-23'!$A:$A,"="&amp;'CHECK_DT-BT_chi_tiet'!$G$2,'Tong_hop_HQNV_2026Q1_2026-06-23'!$B:$B, "="&amp;'CHECK_DT-BT_chi_tiet'!A73)</f>
        <v>19682900</v>
      </c>
      <c r="H73" s="7">
        <f>SUMIFS('HQ1'!$C:$C,'HQ1'!$A:$A, "="&amp;'CHECK_DT-BT_chi_tiet'!C73,'HQ1'!$B:$B, "="&amp;'CHECK_DT-BT_chi_tiet'!$G$3)</f>
        <v>19682900</v>
      </c>
      <c r="I73" s="7">
        <f t="shared" si="23"/>
        <v>0</v>
      </c>
      <c r="J73" s="7">
        <f>SUMIFS('Tong_hop_HQNV_2026Q1_2026-06-23'!$K:$K,'Tong_hop_HQNV_2026Q1_2026-06-23'!$A:$A,"="&amp;'CHECK_DT-BT_chi_tiet'!$J$2,'Tong_hop_HQNV_2026Q1_2026-06-23'!$B:$B, "="&amp;'CHECK_DT-BT_chi_tiet'!A73)</f>
        <v>5016010720</v>
      </c>
      <c r="K73" s="7">
        <f>SUMIFS('HQ1'!$C:$C,'HQ1'!$A:$A, "="&amp;'CHECK_DT-BT_chi_tiet'!C73,'HQ1'!$B:$B, "="&amp;'CHECK_DT-BT_chi_tiet'!$J$3)</f>
        <v>5016010720</v>
      </c>
      <c r="L73" s="7">
        <f t="shared" si="24"/>
        <v>0</v>
      </c>
      <c r="M73" s="7">
        <f>SUMIFS('Tong_hop_HQNV_2026Q1_2026-06-23'!$K:$K,'Tong_hop_HQNV_2026Q1_2026-06-23'!$A:$A,"="&amp;'CHECK_DT-BT_chi_tiet'!$M$2,'Tong_hop_HQNV_2026Q1_2026-06-23'!$B:$B, "="&amp;'CHECK_DT-BT_chi_tiet'!A73)</f>
        <v>409181300</v>
      </c>
      <c r="N73" s="7">
        <f>SUMIFS('HQ1'!$C:$C,'HQ1'!$A:$A, "="&amp;'CHECK_DT-BT_chi_tiet'!C73,'HQ1'!$B:$B, "="&amp;'CHECK_DT-BT_chi_tiet'!$M$3)</f>
        <v>409181300</v>
      </c>
      <c r="O73" s="7">
        <f t="shared" si="25"/>
        <v>0</v>
      </c>
      <c r="P73" s="7">
        <f>SUMIFS('Tong_hop_HQNV_2026Q1_2026-06-23'!$K:$K,'Tong_hop_HQNV_2026Q1_2026-06-23'!$A:$A,"="&amp;$P$2,'Tong_hop_HQNV_2026Q1_2026-06-23'!$B:$B, "="&amp;'CHECK_DT-BT_chi_tiet'!A73)</f>
        <v>0</v>
      </c>
      <c r="Q73" s="7">
        <f>SUMIFS('HQ2'!$C:$C,'HQ2'!$A:$A, "="&amp;'CHECK_DT-BT_chi_tiet'!C73,'HQ2'!$B:$B, "="&amp;'CHECK_DT-BT_chi_tiet'!$P$3)</f>
        <v>0</v>
      </c>
      <c r="R73" s="7">
        <f t="shared" si="26"/>
        <v>0</v>
      </c>
      <c r="S73" s="7">
        <f>SUMIFS('Tong_hop_HQNV_2026Q1_2026-06-23'!$K:$K,'Tong_hop_HQNV_2026Q1_2026-06-23'!$A:$A,"="&amp;$S$2,'Tong_hop_HQNV_2026Q1_2026-06-23'!$B:$B, "="&amp;'CHECK_DT-BT_chi_tiet'!A73)</f>
        <v>1329255158</v>
      </c>
      <c r="T73" s="7">
        <f>SUMIFS('HQ2'!$C:$C,'HQ2'!$A:$A, "="&amp;'CHECK_DT-BT_chi_tiet'!C73,'HQ2'!$B:$B, "="&amp;'CHECK_DT-BT_chi_tiet'!$S$3)</f>
        <v>1329255158</v>
      </c>
      <c r="U73" s="7">
        <f t="shared" si="27"/>
        <v>0</v>
      </c>
      <c r="V73" s="7">
        <f>SUMIFS('Tong_hop_HQNV_2026Q1_2026-06-23'!$K:$K,'Tong_hop_HQNV_2026Q1_2026-06-23'!$A:$A,"="&amp;$V$2,'Tong_hop_HQNV_2026Q1_2026-06-23'!$B:$B, "="&amp;'CHECK_DT-BT_chi_tiet'!A73)</f>
        <v>530493749</v>
      </c>
      <c r="W73" s="7">
        <f>SUMIFS('HQ2'!$C:$C,'HQ2'!$A:$A, "="&amp;'CHECK_DT-BT_chi_tiet'!C73,'HQ2'!$B:$B, "="&amp;'CHECK_DT-BT_chi_tiet'!$V$3)</f>
        <v>530493749</v>
      </c>
      <c r="X73" s="7">
        <f t="shared" si="28"/>
        <v>0</v>
      </c>
      <c r="Y73" s="7">
        <f>SUMIFS('Tong_hop_HQNV_2026Q1_2026-06-23'!$K:$K,'Tong_hop_HQNV_2026Q1_2026-06-23'!$A:$A,"="&amp;$Y$2,'Tong_hop_HQNV_2026Q1_2026-06-23'!$B:$B, "="&amp;'CHECK_DT-BT_chi_tiet'!A73)</f>
        <v>95454546</v>
      </c>
      <c r="Z73" s="7">
        <f>SUMIFS('HQ2'!$C:$C,'HQ2'!$A:$A, "="&amp;'CHECK_DT-BT_chi_tiet'!C73,'HQ2'!$B:$B, "="&amp;'CHECK_DT-BT_chi_tiet'!$Y$3)</f>
        <v>95454546</v>
      </c>
      <c r="AA73" s="7">
        <f t="shared" si="29"/>
        <v>0</v>
      </c>
      <c r="AB73" s="7">
        <f>SUMIFS('Tong_hop_HQNV_2026Q1_2026-06-23'!$K:$K,'Tong_hop_HQNV_2026Q1_2026-06-23'!$A:$A,"="&amp;$AB$2,'Tong_hop_HQNV_2026Q1_2026-06-23'!$B:$B, "="&amp;'CHECK_DT-BT_chi_tiet'!A73)</f>
        <v>863578146</v>
      </c>
      <c r="AC73" s="7">
        <f>SUMIFS('HQ2'!$C:$C,'HQ2'!$A:$A, "="&amp;'CHECK_DT-BT_chi_tiet'!C73,'HQ2'!$B:$B, "="&amp;'CHECK_DT-BT_chi_tiet'!$AB$3)</f>
        <v>863578146</v>
      </c>
      <c r="AD73" s="7">
        <f t="shared" si="30"/>
        <v>0</v>
      </c>
      <c r="AE73" s="7">
        <f>SUMIFS('Tong_hop_HQNV_2026Q1_2026-06-23'!$K:$K,'Tong_hop_HQNV_2026Q1_2026-06-23'!$A:$A,"="&amp;$AE$2,'Tong_hop_HQNV_2026Q1_2026-06-23'!$B:$B, "="&amp;'CHECK_DT-BT_chi_tiet'!A73)</f>
        <v>307104175</v>
      </c>
      <c r="AF73" s="7">
        <f>SUMIFS('HQ2'!$C:$C,'HQ2'!$A:$A, "="&amp;'CHECK_DT-BT_chi_tiet'!C73,'HQ2'!$B:$B, "="&amp;'CHECK_DT-BT_chi_tiet'!$AE$3)</f>
        <v>307104175</v>
      </c>
      <c r="AG73" s="7">
        <f t="shared" si="31"/>
        <v>0</v>
      </c>
      <c r="AH73" s="7">
        <f>SUMIFS('Tong_hop_HQNV_2026Q1_2026-06-23'!$K:$K,'Tong_hop_HQNV_2026Q1_2026-06-23'!$A:$A,"="&amp;$AH$2,'Tong_hop_HQNV_2026Q1_2026-06-23'!$B:$B, "="&amp;'CHECK_DT-BT_chi_tiet'!A73)</f>
        <v>21000000</v>
      </c>
      <c r="AI73" s="7">
        <f>SUMIFS('HQ2'!$C:$C,'HQ2'!$A:$A, "="&amp;'CHECK_DT-BT_chi_tiet'!C73,'HQ2'!$B:$B, "="&amp;'CHECK_DT-BT_chi_tiet'!$AH$3)</f>
        <v>21000000</v>
      </c>
      <c r="AJ73" s="7">
        <f t="shared" si="32"/>
        <v>0</v>
      </c>
      <c r="AK73" s="7">
        <f>SUMIFS('Tong_hop_HQNV_2026Q1_2026-06-23'!$K:$K,'Tong_hop_HQNV_2026Q1_2026-06-23'!$A:$A,"="&amp;$AK$2,'Tong_hop_HQNV_2026Q1_2026-06-23'!$B:$B, "="&amp;'CHECK_DT-BT_chi_tiet'!A73)</f>
        <v>0</v>
      </c>
      <c r="AL73" s="7">
        <f>SUMIFS('Tong_hop_HQNV_2026Q1_2026-06-23'!$K:$K,'Tong_hop_HQNV_2026Q1_2026-06-23'!$A:$A,"="&amp;$AL$2,'Tong_hop_HQNV_2026Q1_2026-06-23'!$B:$B, "="&amp;'CHECK_DT-BT_chi_tiet'!A73)</f>
        <v>0</v>
      </c>
      <c r="AM73" s="23">
        <f>SUMIFS('Tong_hop_HQNV_2026Q1_2026-06-23'!$L:$L,'Tong_hop_HQNV_2026Q1_2026-06-23'!$B:$B, "="&amp;'CHECK_DT-BT_chi_tiet'!A73, 'Tong_hop_HQNV_2026Q1_2026-06-23'!$A:$A, "="&amp;'CHECK_DT-BT_chi_tiet'!$AM$2)</f>
        <v>2795106000</v>
      </c>
      <c r="AN73" s="29">
        <f>SUMIFS('HQ1'!$D:$D,'HQ1'!$A:$A, "="&amp;'CHECK_DT-BT_chi_tiet'!C73,'HQ1'!$B:$B,"="&amp;'CHECK_DT-BT_chi_tiet'!$AM$3)</f>
        <v>2795106000</v>
      </c>
      <c r="AO73" s="29">
        <f t="shared" si="33"/>
        <v>0</v>
      </c>
      <c r="AP73" s="7">
        <f>SUMIFS('Tong_hop_HQNV_2026Q1_2026-06-23'!$L:$L,'Tong_hop_HQNV_2026Q1_2026-06-23'!$B:$B, "="&amp;'CHECK_DT-BT_chi_tiet'!A73, 'Tong_hop_HQNV_2026Q1_2026-06-23'!$A:$A, "="&amp;'CHECK_DT-BT_chi_tiet'!$AP$2)</f>
        <v>0</v>
      </c>
      <c r="AQ73" s="29">
        <f>SUMIFS('HQ1'!$D:$D,'HQ1'!$A:$A, "="&amp;'CHECK_DT-BT_chi_tiet'!C73,'HQ1'!$B:$B,"="&amp;'CHECK_DT-BT_chi_tiet'!$AP$3)</f>
        <v>0</v>
      </c>
      <c r="AR73" s="7">
        <f t="shared" si="34"/>
        <v>0</v>
      </c>
      <c r="AS73" s="7">
        <f>SUMIFS('Tong_hop_HQNV_2026Q1_2026-06-23'!$L:$L,'Tong_hop_HQNV_2026Q1_2026-06-23'!$B:$B, "="&amp;'CHECK_DT-BT_chi_tiet'!A73, 'Tong_hop_HQNV_2026Q1_2026-06-23'!$A:$A, "="&amp;'CHECK_DT-BT_chi_tiet'!$AS$2)</f>
        <v>2002002982</v>
      </c>
      <c r="AT73" s="29">
        <f>SUMIFS('HQ1'!$D:$D,'HQ1'!$A:$A, "="&amp;'CHECK_DT-BT_chi_tiet'!C73,'HQ1'!$B:$B,"="&amp;'CHECK_DT-BT_chi_tiet'!$AS$3)</f>
        <v>2002002982</v>
      </c>
      <c r="AU73" s="7">
        <f t="shared" si="35"/>
        <v>0</v>
      </c>
      <c r="AV73" s="7">
        <f>SUMIFS('Tong_hop_HQNV_2026Q1_2026-06-23'!$L:$L,'Tong_hop_HQNV_2026Q1_2026-06-23'!$B:$B, "="&amp;'CHECK_DT-BT_chi_tiet'!A73, 'Tong_hop_HQNV_2026Q1_2026-06-23'!$A:$A, "="&amp;'CHECK_DT-BT_chi_tiet'!$AV$2)</f>
        <v>119394839</v>
      </c>
      <c r="AW73" s="29">
        <f>SUMIFS('HQ1'!$D:$D,'HQ1'!$A:$A, "="&amp;'CHECK_DT-BT_chi_tiet'!C73,'HQ1'!$B:$B,"="&amp;'CHECK_DT-BT_chi_tiet'!$AV$3)</f>
        <v>119394839</v>
      </c>
      <c r="AX73" s="7">
        <f t="shared" si="36"/>
        <v>0</v>
      </c>
      <c r="AY73" s="7">
        <f>SUMIFS('Tong_hop_HQNV_2026Q1_2026-06-23'!$L:$L,'Tong_hop_HQNV_2026Q1_2026-06-23'!$B:$B, "="&amp;'CHECK_DT-BT_chi_tiet'!A73, 'Tong_hop_HQNV_2026Q1_2026-06-23'!$A:$A, "="&amp;$AY$2)</f>
        <v>0</v>
      </c>
      <c r="AZ73" s="29">
        <f>SUMIFS('HQ2'!$J:$J,'HQ2'!$A:$A, "="&amp;'CHECK_DT-BT_chi_tiet'!C73,'HQ2'!$B:$B,"="&amp;'CHECK_DT-BT_chi_tiet'!$AY$3)</f>
        <v>0</v>
      </c>
      <c r="BA73" s="7">
        <f t="shared" si="37"/>
        <v>0</v>
      </c>
      <c r="BB73" s="7">
        <f>SUMIFS('Tong_hop_HQNV_2026Q1_2026-06-23'!$L:$L,'Tong_hop_HQNV_2026Q1_2026-06-23'!$B:$B, "="&amp;'CHECK_DT-BT_chi_tiet'!A73, 'Tong_hop_HQNV_2026Q1_2026-06-23'!$A:$A, "="&amp;$BB$2)</f>
        <v>25486590</v>
      </c>
      <c r="BC73" s="29">
        <f>SUMIFS('HQ2'!$J:$J,'HQ2'!$A:$A, "="&amp;'CHECK_DT-BT_chi_tiet'!C73,'HQ2'!$B:$B,"="&amp;'CHECK_DT-BT_chi_tiet'!$BB$3)</f>
        <v>25486590</v>
      </c>
      <c r="BD73" s="7">
        <f t="shared" si="38"/>
        <v>0</v>
      </c>
      <c r="BE73" s="7">
        <f>SUMIFS('Tong_hop_HQNV_2026Q1_2026-06-23'!$L:$L,'Tong_hop_HQNV_2026Q1_2026-06-23'!$B:$B, "="&amp;'CHECK_DT-BT_chi_tiet'!A73, 'Tong_hop_HQNV_2026Q1_2026-06-23'!$A:$A, "="&amp;$BE$2)</f>
        <v>0</v>
      </c>
      <c r="BF73" s="29">
        <f>SUMIFS('HQ2'!$J:$J,'HQ2'!$A:$A, "="&amp;'CHECK_DT-BT_chi_tiet'!C73,'HQ2'!$B:$B,"="&amp;'CHECK_DT-BT_chi_tiet'!$BE$3)</f>
        <v>0</v>
      </c>
      <c r="BG73" s="7">
        <f t="shared" si="39"/>
        <v>0</v>
      </c>
      <c r="BH73" s="7">
        <f>SUMIFS('Tong_hop_HQNV_2026Q1_2026-06-23'!$L:$L,'Tong_hop_HQNV_2026Q1_2026-06-23'!$B:$B, "="&amp;'CHECK_DT-BT_chi_tiet'!A73, 'Tong_hop_HQNV_2026Q1_2026-06-23'!$A:$A, "="&amp;$BH$2)</f>
        <v>0</v>
      </c>
      <c r="BI73" s="29">
        <f>SUMIFS('HQ2'!$J:$J,'HQ2'!$A:$A, "="&amp;'CHECK_DT-BT_chi_tiet'!C73,'HQ2'!$B:$B,"="&amp;'CHECK_DT-BT_chi_tiet'!$BH$3)</f>
        <v>0</v>
      </c>
      <c r="BJ73" s="7">
        <f t="shared" si="40"/>
        <v>0</v>
      </c>
      <c r="BK73" s="7">
        <f>SUMIFS('Tong_hop_HQNV_2026Q1_2026-06-23'!$L:$L,'Tong_hop_HQNV_2026Q1_2026-06-23'!$B:$B, "="&amp;'CHECK_DT-BT_chi_tiet'!A73, 'Tong_hop_HQNV_2026Q1_2026-06-23'!$A:$A, "="&amp;$BK$2)</f>
        <v>0</v>
      </c>
      <c r="BL73" s="29">
        <f>SUMIFS('HQ2'!$J:$J,'HQ2'!$A:$A, "="&amp;'CHECK_DT-BT_chi_tiet'!C73,'HQ2'!$B:$B,"="&amp;'CHECK_DT-BT_chi_tiet'!$BK$3)</f>
        <v>0</v>
      </c>
      <c r="BM73" s="7">
        <f t="shared" si="41"/>
        <v>0</v>
      </c>
      <c r="BN73" s="7">
        <f>SUMIFS('Tong_hop_HQNV_2026Q1_2026-06-23'!$L:$L,'Tong_hop_HQNV_2026Q1_2026-06-23'!$B:$B, "="&amp;'CHECK_DT-BT_chi_tiet'!A73, 'Tong_hop_HQNV_2026Q1_2026-06-23'!$A:$A, "="&amp;$BN$2)</f>
        <v>0</v>
      </c>
      <c r="BO73" s="29">
        <f>SUMIFS('HQ2'!$J:$J,'HQ2'!$A:$A, "="&amp;'CHECK_DT-BT_chi_tiet'!C73,'HQ2'!$B:$B,"="&amp;'CHECK_DT-BT_chi_tiet'!$BN$3)</f>
        <v>0</v>
      </c>
      <c r="BP73" s="7">
        <f t="shared" si="42"/>
        <v>0</v>
      </c>
      <c r="BQ73" s="7">
        <f>SUMIFS('Tong_hop_HQNV_2026Q1_2026-06-23'!$L:$L,'Tong_hop_HQNV_2026Q1_2026-06-23'!$B:$B, "="&amp;'CHECK_DT-BT_chi_tiet'!A73, 'Tong_hop_HQNV_2026Q1_2026-06-23'!$A:$A, "="&amp;$BQ$2)</f>
        <v>0</v>
      </c>
      <c r="BR73" s="29">
        <f>SUMIFS('HQ2'!$J:$J,'HQ2'!$A:$A, "="&amp;'CHECK_DT-BT_chi_tiet'!C73,'HQ2'!$B:$B,"="&amp;'CHECK_DT-BT_chi_tiet'!$BQ$3)</f>
        <v>0</v>
      </c>
      <c r="BS73" s="7">
        <f t="shared" si="43"/>
        <v>0</v>
      </c>
      <c r="BT73" s="7">
        <f>SUMIFS('Tong_hop_HQNV_2026Q1_2026-06-23'!$L:$L,'Tong_hop_HQNV_2026Q1_2026-06-23'!$B:$B, "="&amp;'CHECK_DT-BT_chi_tiet'!A73, 'Tong_hop_HQNV_2026Q1_2026-06-23'!$A:$A, "="&amp;$BT$2)</f>
        <v>0</v>
      </c>
      <c r="BU73" s="7">
        <f>SUMIFS('Tong_hop_HQNV_2026Q1_2026-06-23'!$L:$L,'Tong_hop_HQNV_2026Q1_2026-06-23'!$B:$B, "="&amp;'CHECK_DT-BT_chi_tiet'!A73, 'Tong_hop_HQNV_2026Q1_2026-06-23'!$A:$A, "="&amp;$BU$2)</f>
        <v>0</v>
      </c>
    </row>
    <row r="74" spans="1:73" x14ac:dyDescent="0.25">
      <c r="A74" s="9" t="s">
        <v>354</v>
      </c>
      <c r="B74" t="s">
        <v>212</v>
      </c>
      <c r="C74" t="s">
        <v>51</v>
      </c>
      <c r="D74" s="7">
        <f>SUMIFS('Tong_hop_HQNV_2026Q1_2026-06-23'!$K:$K,'Tong_hop_HQNV_2026Q1_2026-06-23'!$A:$A,"="&amp;'CHECK_DT-BT_chi_tiet'!$D$2,'Tong_hop_HQNV_2026Q1_2026-06-23'!$B:$B, "="&amp;'CHECK_DT-BT_chi_tiet'!A74)</f>
        <v>1972162099</v>
      </c>
      <c r="E74" s="7">
        <f>SUMIFS('HQ1'!$C:$C,'HQ1'!$A:$A, "="&amp;'CHECK_DT-BT_chi_tiet'!C74,'HQ1'!$B:$B, "="&amp;'CHECK_DT-BT_chi_tiet'!$D$3)</f>
        <v>1972162099</v>
      </c>
      <c r="F74" s="7">
        <f t="shared" si="22"/>
        <v>0</v>
      </c>
      <c r="G74" s="7">
        <f>SUMIFS('Tong_hop_HQNV_2026Q1_2026-06-23'!$K:$K,'Tong_hop_HQNV_2026Q1_2026-06-23'!$A:$A,"="&amp;'CHECK_DT-BT_chi_tiet'!$G$2,'Tong_hop_HQNV_2026Q1_2026-06-23'!$B:$B, "="&amp;'CHECK_DT-BT_chi_tiet'!A74)</f>
        <v>945665265</v>
      </c>
      <c r="H74" s="7">
        <f>SUMIFS('HQ1'!$C:$C,'HQ1'!$A:$A, "="&amp;'CHECK_DT-BT_chi_tiet'!C74,'HQ1'!$B:$B, "="&amp;'CHECK_DT-BT_chi_tiet'!$G$3)</f>
        <v>945925265</v>
      </c>
      <c r="I74" s="7">
        <f t="shared" si="23"/>
        <v>-260000</v>
      </c>
      <c r="J74" s="7">
        <f>SUMIFS('Tong_hop_HQNV_2026Q1_2026-06-23'!$K:$K,'Tong_hop_HQNV_2026Q1_2026-06-23'!$A:$A,"="&amp;'CHECK_DT-BT_chi_tiet'!$J$2,'Tong_hop_HQNV_2026Q1_2026-06-23'!$B:$B, "="&amp;'CHECK_DT-BT_chi_tiet'!A74)</f>
        <v>14635242048</v>
      </c>
      <c r="K74" s="7">
        <f>SUMIFS('HQ1'!$C:$C,'HQ1'!$A:$A, "="&amp;'CHECK_DT-BT_chi_tiet'!C74,'HQ1'!$B:$B, "="&amp;'CHECK_DT-BT_chi_tiet'!$J$3)</f>
        <v>14635242048</v>
      </c>
      <c r="L74" s="7">
        <f t="shared" si="24"/>
        <v>0</v>
      </c>
      <c r="M74" s="7">
        <f>SUMIFS('Tong_hop_HQNV_2026Q1_2026-06-23'!$K:$K,'Tong_hop_HQNV_2026Q1_2026-06-23'!$A:$A,"="&amp;'CHECK_DT-BT_chi_tiet'!$M$2,'Tong_hop_HQNV_2026Q1_2026-06-23'!$B:$B, "="&amp;'CHECK_DT-BT_chi_tiet'!A74)</f>
        <v>42211297445</v>
      </c>
      <c r="N74" s="7">
        <f>SUMIFS('HQ1'!$C:$C,'HQ1'!$A:$A, "="&amp;'CHECK_DT-BT_chi_tiet'!C74,'HQ1'!$B:$B, "="&amp;'CHECK_DT-BT_chi_tiet'!$M$3)</f>
        <v>42211317445</v>
      </c>
      <c r="O74" s="7">
        <f t="shared" si="25"/>
        <v>-20000</v>
      </c>
      <c r="P74" s="7">
        <f>SUMIFS('Tong_hop_HQNV_2026Q1_2026-06-23'!$K:$K,'Tong_hop_HQNV_2026Q1_2026-06-23'!$A:$A,"="&amp;$P$2,'Tong_hop_HQNV_2026Q1_2026-06-23'!$B:$B, "="&amp;'CHECK_DT-BT_chi_tiet'!A74)</f>
        <v>5242002145</v>
      </c>
      <c r="Q74" s="7">
        <f>SUMIFS('HQ2'!$C:$C,'HQ2'!$A:$A, "="&amp;'CHECK_DT-BT_chi_tiet'!C74,'HQ2'!$B:$B, "="&amp;'CHECK_DT-BT_chi_tiet'!$P$3)</f>
        <v>5242002145</v>
      </c>
      <c r="R74" s="7">
        <f t="shared" si="26"/>
        <v>0</v>
      </c>
      <c r="S74" s="7">
        <f>SUMIFS('Tong_hop_HQNV_2026Q1_2026-06-23'!$K:$K,'Tong_hop_HQNV_2026Q1_2026-06-23'!$A:$A,"="&amp;$S$2,'Tong_hop_HQNV_2026Q1_2026-06-23'!$B:$B, "="&amp;'CHECK_DT-BT_chi_tiet'!A74)</f>
        <v>8712036705</v>
      </c>
      <c r="T74" s="7">
        <f>SUMIFS('HQ2'!$C:$C,'HQ2'!$A:$A, "="&amp;'CHECK_DT-BT_chi_tiet'!C74,'HQ2'!$B:$B, "="&amp;'CHECK_DT-BT_chi_tiet'!$S$3)</f>
        <v>8712036705</v>
      </c>
      <c r="U74" s="7">
        <f t="shared" si="27"/>
        <v>0</v>
      </c>
      <c r="V74" s="7">
        <f>SUMIFS('Tong_hop_HQNV_2026Q1_2026-06-23'!$K:$K,'Tong_hop_HQNV_2026Q1_2026-06-23'!$A:$A,"="&amp;$V$2,'Tong_hop_HQNV_2026Q1_2026-06-23'!$B:$B, "="&amp;'CHECK_DT-BT_chi_tiet'!A74)</f>
        <v>3088467662</v>
      </c>
      <c r="W74" s="7">
        <f>SUMIFS('HQ2'!$C:$C,'HQ2'!$A:$A, "="&amp;'CHECK_DT-BT_chi_tiet'!C74,'HQ2'!$B:$B, "="&amp;'CHECK_DT-BT_chi_tiet'!$V$3)</f>
        <v>3088467662</v>
      </c>
      <c r="X74" s="7">
        <f t="shared" si="28"/>
        <v>0</v>
      </c>
      <c r="Y74" s="7">
        <f>SUMIFS('Tong_hop_HQNV_2026Q1_2026-06-23'!$K:$K,'Tong_hop_HQNV_2026Q1_2026-06-23'!$A:$A,"="&amp;$Y$2,'Tong_hop_HQNV_2026Q1_2026-06-23'!$B:$B, "="&amp;'CHECK_DT-BT_chi_tiet'!A74)</f>
        <v>744911619</v>
      </c>
      <c r="Z74" s="7">
        <f>SUMIFS('HQ2'!$C:$C,'HQ2'!$A:$A, "="&amp;'CHECK_DT-BT_chi_tiet'!C74,'HQ2'!$B:$B, "="&amp;'CHECK_DT-BT_chi_tiet'!$Y$3)</f>
        <v>744911619</v>
      </c>
      <c r="AA74" s="7">
        <f t="shared" si="29"/>
        <v>0</v>
      </c>
      <c r="AB74" s="7">
        <f>SUMIFS('Tong_hop_HQNV_2026Q1_2026-06-23'!$K:$K,'Tong_hop_HQNV_2026Q1_2026-06-23'!$A:$A,"="&amp;$AB$2,'Tong_hop_HQNV_2026Q1_2026-06-23'!$B:$B, "="&amp;'CHECK_DT-BT_chi_tiet'!A74)</f>
        <v>8885872378</v>
      </c>
      <c r="AC74" s="7">
        <f>SUMIFS('HQ2'!$C:$C,'HQ2'!$A:$A, "="&amp;'CHECK_DT-BT_chi_tiet'!C74,'HQ2'!$B:$B, "="&amp;'CHECK_DT-BT_chi_tiet'!$AB$3)</f>
        <v>8885872378</v>
      </c>
      <c r="AD74" s="7">
        <f t="shared" si="30"/>
        <v>0</v>
      </c>
      <c r="AE74" s="7">
        <f>SUMIFS('Tong_hop_HQNV_2026Q1_2026-06-23'!$K:$K,'Tong_hop_HQNV_2026Q1_2026-06-23'!$A:$A,"="&amp;$AE$2,'Tong_hop_HQNV_2026Q1_2026-06-23'!$B:$B, "="&amp;'CHECK_DT-BT_chi_tiet'!A74)</f>
        <v>2420019864</v>
      </c>
      <c r="AF74" s="7">
        <f>SUMIFS('HQ2'!$C:$C,'HQ2'!$A:$A, "="&amp;'CHECK_DT-BT_chi_tiet'!C74,'HQ2'!$B:$B, "="&amp;'CHECK_DT-BT_chi_tiet'!$AE$3)</f>
        <v>2420019864</v>
      </c>
      <c r="AG74" s="7">
        <f t="shared" si="31"/>
        <v>0</v>
      </c>
      <c r="AH74" s="7">
        <f>SUMIFS('Tong_hop_HQNV_2026Q1_2026-06-23'!$K:$K,'Tong_hop_HQNV_2026Q1_2026-06-23'!$A:$A,"="&amp;$AH$2,'Tong_hop_HQNV_2026Q1_2026-06-23'!$B:$B, "="&amp;'CHECK_DT-BT_chi_tiet'!A74)</f>
        <v>836791851</v>
      </c>
      <c r="AI74" s="7">
        <f>SUMIFS('HQ2'!$C:$C,'HQ2'!$A:$A, "="&amp;'CHECK_DT-BT_chi_tiet'!C74,'HQ2'!$B:$B, "="&amp;'CHECK_DT-BT_chi_tiet'!$AH$3)</f>
        <v>836791851</v>
      </c>
      <c r="AJ74" s="7">
        <f t="shared" si="32"/>
        <v>0</v>
      </c>
      <c r="AK74" s="7">
        <f>SUMIFS('Tong_hop_HQNV_2026Q1_2026-06-23'!$K:$K,'Tong_hop_HQNV_2026Q1_2026-06-23'!$A:$A,"="&amp;$AK$2,'Tong_hop_HQNV_2026Q1_2026-06-23'!$B:$B, "="&amp;'CHECK_DT-BT_chi_tiet'!A74)</f>
        <v>0</v>
      </c>
      <c r="AL74" s="7">
        <f>SUMIFS('Tong_hop_HQNV_2026Q1_2026-06-23'!$K:$K,'Tong_hop_HQNV_2026Q1_2026-06-23'!$A:$A,"="&amp;$AL$2,'Tong_hop_HQNV_2026Q1_2026-06-23'!$B:$B, "="&amp;'CHECK_DT-BT_chi_tiet'!A74)</f>
        <v>0</v>
      </c>
      <c r="AM74" s="23">
        <f>SUMIFS('Tong_hop_HQNV_2026Q1_2026-06-23'!$L:$L,'Tong_hop_HQNV_2026Q1_2026-06-23'!$B:$B, "="&amp;'CHECK_DT-BT_chi_tiet'!A74, 'Tong_hop_HQNV_2026Q1_2026-06-23'!$A:$A, "="&amp;'CHECK_DT-BT_chi_tiet'!$AM$2)</f>
        <v>128877882</v>
      </c>
      <c r="AN74" s="29">
        <f>SUMIFS('HQ1'!$D:$D,'HQ1'!$A:$A, "="&amp;'CHECK_DT-BT_chi_tiet'!C74,'HQ1'!$B:$B,"="&amp;'CHECK_DT-BT_chi_tiet'!$AM$3)</f>
        <v>128877882</v>
      </c>
      <c r="AO74" s="29">
        <f t="shared" si="33"/>
        <v>0</v>
      </c>
      <c r="AP74" s="7">
        <f>SUMIFS('Tong_hop_HQNV_2026Q1_2026-06-23'!$L:$L,'Tong_hop_HQNV_2026Q1_2026-06-23'!$B:$B, "="&amp;'CHECK_DT-BT_chi_tiet'!A74, 'Tong_hop_HQNV_2026Q1_2026-06-23'!$A:$A, "="&amp;'CHECK_DT-BT_chi_tiet'!$AP$2)</f>
        <v>124678214</v>
      </c>
      <c r="AQ74" s="29">
        <f>SUMIFS('HQ1'!$D:$D,'HQ1'!$A:$A, "="&amp;'CHECK_DT-BT_chi_tiet'!C74,'HQ1'!$B:$B,"="&amp;'CHECK_DT-BT_chi_tiet'!$AP$3)</f>
        <v>124678214</v>
      </c>
      <c r="AR74" s="7">
        <f t="shared" si="34"/>
        <v>0</v>
      </c>
      <c r="AS74" s="7">
        <f>SUMIFS('Tong_hop_HQNV_2026Q1_2026-06-23'!$L:$L,'Tong_hop_HQNV_2026Q1_2026-06-23'!$B:$B, "="&amp;'CHECK_DT-BT_chi_tiet'!A74, 'Tong_hop_HQNV_2026Q1_2026-06-23'!$A:$A, "="&amp;'CHECK_DT-BT_chi_tiet'!$AS$2)</f>
        <v>6897086279</v>
      </c>
      <c r="AT74" s="29">
        <f>SUMIFS('HQ1'!$D:$D,'HQ1'!$A:$A, "="&amp;'CHECK_DT-BT_chi_tiet'!C74,'HQ1'!$B:$B,"="&amp;'CHECK_DT-BT_chi_tiet'!$AS$3)</f>
        <v>6897086279</v>
      </c>
      <c r="AU74" s="7">
        <f t="shared" si="35"/>
        <v>0</v>
      </c>
      <c r="AV74" s="7">
        <f>SUMIFS('Tong_hop_HQNV_2026Q1_2026-06-23'!$L:$L,'Tong_hop_HQNV_2026Q1_2026-06-23'!$B:$B, "="&amp;'CHECK_DT-BT_chi_tiet'!A74, 'Tong_hop_HQNV_2026Q1_2026-06-23'!$A:$A, "="&amp;'CHECK_DT-BT_chi_tiet'!$AV$2)</f>
        <v>17138888707</v>
      </c>
      <c r="AW74" s="29">
        <f>SUMIFS('HQ1'!$D:$D,'HQ1'!$A:$A, "="&amp;'CHECK_DT-BT_chi_tiet'!C74,'HQ1'!$B:$B,"="&amp;'CHECK_DT-BT_chi_tiet'!$AV$3)</f>
        <v>17138888707</v>
      </c>
      <c r="AX74" s="7">
        <f t="shared" si="36"/>
        <v>0</v>
      </c>
      <c r="AY74" s="7">
        <f>SUMIFS('Tong_hop_HQNV_2026Q1_2026-06-23'!$L:$L,'Tong_hop_HQNV_2026Q1_2026-06-23'!$B:$B, "="&amp;'CHECK_DT-BT_chi_tiet'!A74, 'Tong_hop_HQNV_2026Q1_2026-06-23'!$A:$A, "="&amp;$AY$2)</f>
        <v>432845669</v>
      </c>
      <c r="AZ74" s="29">
        <f>SUMIFS('HQ2'!$J:$J,'HQ2'!$A:$A, "="&amp;'CHECK_DT-BT_chi_tiet'!C74,'HQ2'!$B:$B,"="&amp;'CHECK_DT-BT_chi_tiet'!$AY$3)</f>
        <v>432845669</v>
      </c>
      <c r="BA74" s="7">
        <f t="shared" si="37"/>
        <v>0</v>
      </c>
      <c r="BB74" s="7">
        <f>SUMIFS('Tong_hop_HQNV_2026Q1_2026-06-23'!$L:$L,'Tong_hop_HQNV_2026Q1_2026-06-23'!$B:$B, "="&amp;'CHECK_DT-BT_chi_tiet'!A74, 'Tong_hop_HQNV_2026Q1_2026-06-23'!$A:$A, "="&amp;$BB$2)</f>
        <v>645806840</v>
      </c>
      <c r="BC74" s="29">
        <f>SUMIFS('HQ2'!$J:$J,'HQ2'!$A:$A, "="&amp;'CHECK_DT-BT_chi_tiet'!C74,'HQ2'!$B:$B,"="&amp;'CHECK_DT-BT_chi_tiet'!$BB$3)</f>
        <v>645806840</v>
      </c>
      <c r="BD74" s="7">
        <f t="shared" si="38"/>
        <v>0</v>
      </c>
      <c r="BE74" s="7">
        <f>SUMIFS('Tong_hop_HQNV_2026Q1_2026-06-23'!$L:$L,'Tong_hop_HQNV_2026Q1_2026-06-23'!$B:$B, "="&amp;'CHECK_DT-BT_chi_tiet'!A74, 'Tong_hop_HQNV_2026Q1_2026-06-23'!$A:$A, "="&amp;$BE$2)</f>
        <v>0</v>
      </c>
      <c r="BF74" s="29">
        <f>SUMIFS('HQ2'!$J:$J,'HQ2'!$A:$A, "="&amp;'CHECK_DT-BT_chi_tiet'!C74,'HQ2'!$B:$B,"="&amp;'CHECK_DT-BT_chi_tiet'!$BE$3)</f>
        <v>0</v>
      </c>
      <c r="BG74" s="7">
        <f t="shared" si="39"/>
        <v>0</v>
      </c>
      <c r="BH74" s="7">
        <f>SUMIFS('Tong_hop_HQNV_2026Q1_2026-06-23'!$L:$L,'Tong_hop_HQNV_2026Q1_2026-06-23'!$B:$B, "="&amp;'CHECK_DT-BT_chi_tiet'!A74, 'Tong_hop_HQNV_2026Q1_2026-06-23'!$A:$A, "="&amp;$BH$2)</f>
        <v>0</v>
      </c>
      <c r="BI74" s="29">
        <f>SUMIFS('HQ2'!$J:$J,'HQ2'!$A:$A, "="&amp;'CHECK_DT-BT_chi_tiet'!C74,'HQ2'!$B:$B,"="&amp;'CHECK_DT-BT_chi_tiet'!$BH$3)</f>
        <v>0</v>
      </c>
      <c r="BJ74" s="7">
        <f t="shared" si="40"/>
        <v>0</v>
      </c>
      <c r="BK74" s="7">
        <f>SUMIFS('Tong_hop_HQNV_2026Q1_2026-06-23'!$L:$L,'Tong_hop_HQNV_2026Q1_2026-06-23'!$B:$B, "="&amp;'CHECK_DT-BT_chi_tiet'!A74, 'Tong_hop_HQNV_2026Q1_2026-06-23'!$A:$A, "="&amp;$BK$2)</f>
        <v>8168033003</v>
      </c>
      <c r="BL74" s="29">
        <f>SUMIFS('HQ2'!$J:$J,'HQ2'!$A:$A, "="&amp;'CHECK_DT-BT_chi_tiet'!C74,'HQ2'!$B:$B,"="&amp;'CHECK_DT-BT_chi_tiet'!$BK$3)</f>
        <v>8168033003</v>
      </c>
      <c r="BM74" s="7">
        <f t="shared" si="41"/>
        <v>0</v>
      </c>
      <c r="BN74" s="7">
        <f>SUMIFS('Tong_hop_HQNV_2026Q1_2026-06-23'!$L:$L,'Tong_hop_HQNV_2026Q1_2026-06-23'!$B:$B, "="&amp;'CHECK_DT-BT_chi_tiet'!A74, 'Tong_hop_HQNV_2026Q1_2026-06-23'!$A:$A, "="&amp;$BN$2)</f>
        <v>17987068</v>
      </c>
      <c r="BO74" s="29">
        <f>SUMIFS('HQ2'!$J:$J,'HQ2'!$A:$A, "="&amp;'CHECK_DT-BT_chi_tiet'!C74,'HQ2'!$B:$B,"="&amp;'CHECK_DT-BT_chi_tiet'!$BN$3)</f>
        <v>17987068</v>
      </c>
      <c r="BP74" s="7">
        <f t="shared" si="42"/>
        <v>0</v>
      </c>
      <c r="BQ74" s="7">
        <f>SUMIFS('Tong_hop_HQNV_2026Q1_2026-06-23'!$L:$L,'Tong_hop_HQNV_2026Q1_2026-06-23'!$B:$B, "="&amp;'CHECK_DT-BT_chi_tiet'!A74, 'Tong_hop_HQNV_2026Q1_2026-06-23'!$A:$A, "="&amp;$BQ$2)</f>
        <v>7992607</v>
      </c>
      <c r="BR74" s="29">
        <f>SUMIFS('HQ2'!$J:$J,'HQ2'!$A:$A, "="&amp;'CHECK_DT-BT_chi_tiet'!C74,'HQ2'!$B:$B,"="&amp;'CHECK_DT-BT_chi_tiet'!$BQ$3)</f>
        <v>7992607</v>
      </c>
      <c r="BS74" s="7">
        <f t="shared" si="43"/>
        <v>0</v>
      </c>
      <c r="BT74" s="7">
        <f>SUMIFS('Tong_hop_HQNV_2026Q1_2026-06-23'!$L:$L,'Tong_hop_HQNV_2026Q1_2026-06-23'!$B:$B, "="&amp;'CHECK_DT-BT_chi_tiet'!A74, 'Tong_hop_HQNV_2026Q1_2026-06-23'!$A:$A, "="&amp;$BT$2)</f>
        <v>0</v>
      </c>
      <c r="BU74" s="7">
        <f>SUMIFS('Tong_hop_HQNV_2026Q1_2026-06-23'!$L:$L,'Tong_hop_HQNV_2026Q1_2026-06-23'!$B:$B, "="&amp;'CHECK_DT-BT_chi_tiet'!A74, 'Tong_hop_HQNV_2026Q1_2026-06-23'!$A:$A, "="&amp;$BU$2)</f>
        <v>0</v>
      </c>
    </row>
    <row r="75" spans="1:73" x14ac:dyDescent="0.25">
      <c r="A75" s="9" t="s">
        <v>355</v>
      </c>
      <c r="B75" t="s">
        <v>213</v>
      </c>
      <c r="C75" t="s">
        <v>109</v>
      </c>
      <c r="D75" s="7">
        <f>SUMIFS('Tong_hop_HQNV_2026Q1_2026-06-23'!$K:$K,'Tong_hop_HQNV_2026Q1_2026-06-23'!$A:$A,"="&amp;'CHECK_DT-BT_chi_tiet'!$D$2,'Tong_hop_HQNV_2026Q1_2026-06-23'!$B:$B, "="&amp;'CHECK_DT-BT_chi_tiet'!A75)</f>
        <v>3237376471</v>
      </c>
      <c r="E75" s="7">
        <f>SUMIFS('HQ1'!$C:$C,'HQ1'!$A:$A, "="&amp;'CHECK_DT-BT_chi_tiet'!C75,'HQ1'!$B:$B, "="&amp;'CHECK_DT-BT_chi_tiet'!$D$3)</f>
        <v>3237376471</v>
      </c>
      <c r="F75" s="7">
        <f t="shared" si="22"/>
        <v>0</v>
      </c>
      <c r="G75" s="7">
        <f>SUMIFS('Tong_hop_HQNV_2026Q1_2026-06-23'!$K:$K,'Tong_hop_HQNV_2026Q1_2026-06-23'!$A:$A,"="&amp;'CHECK_DT-BT_chi_tiet'!$G$2,'Tong_hop_HQNV_2026Q1_2026-06-23'!$B:$B, "="&amp;'CHECK_DT-BT_chi_tiet'!A75)</f>
        <v>71911765</v>
      </c>
      <c r="H75" s="7">
        <f>SUMIFS('HQ1'!$C:$C,'HQ1'!$A:$A, "="&amp;'CHECK_DT-BT_chi_tiet'!C75,'HQ1'!$B:$B, "="&amp;'CHECK_DT-BT_chi_tiet'!$G$3)</f>
        <v>71911765</v>
      </c>
      <c r="I75" s="7">
        <f t="shared" si="23"/>
        <v>0</v>
      </c>
      <c r="J75" s="7">
        <f>SUMIFS('Tong_hop_HQNV_2026Q1_2026-06-23'!$K:$K,'Tong_hop_HQNV_2026Q1_2026-06-23'!$A:$A,"="&amp;'CHECK_DT-BT_chi_tiet'!$J$2,'Tong_hop_HQNV_2026Q1_2026-06-23'!$B:$B, "="&amp;'CHECK_DT-BT_chi_tiet'!A75)</f>
        <v>4834695247</v>
      </c>
      <c r="K75" s="7">
        <f>SUMIFS('HQ1'!$C:$C,'HQ1'!$A:$A, "="&amp;'CHECK_DT-BT_chi_tiet'!C75,'HQ1'!$B:$B, "="&amp;'CHECK_DT-BT_chi_tiet'!$J$3)</f>
        <v>4834695247</v>
      </c>
      <c r="L75" s="7">
        <f t="shared" si="24"/>
        <v>0</v>
      </c>
      <c r="M75" s="7">
        <f>SUMIFS('Tong_hop_HQNV_2026Q1_2026-06-23'!$K:$K,'Tong_hop_HQNV_2026Q1_2026-06-23'!$A:$A,"="&amp;'CHECK_DT-BT_chi_tiet'!$M$2,'Tong_hop_HQNV_2026Q1_2026-06-23'!$B:$B, "="&amp;'CHECK_DT-BT_chi_tiet'!A75)</f>
        <v>2686227105</v>
      </c>
      <c r="N75" s="7">
        <f>SUMIFS('HQ1'!$C:$C,'HQ1'!$A:$A, "="&amp;'CHECK_DT-BT_chi_tiet'!C75,'HQ1'!$B:$B, "="&amp;'CHECK_DT-BT_chi_tiet'!$M$3)</f>
        <v>2686227105</v>
      </c>
      <c r="O75" s="7">
        <f t="shared" si="25"/>
        <v>0</v>
      </c>
      <c r="P75" s="7">
        <f>SUMIFS('Tong_hop_HQNV_2026Q1_2026-06-23'!$K:$K,'Tong_hop_HQNV_2026Q1_2026-06-23'!$A:$A,"="&amp;$P$2,'Tong_hop_HQNV_2026Q1_2026-06-23'!$B:$B, "="&amp;'CHECK_DT-BT_chi_tiet'!A75)</f>
        <v>176161679</v>
      </c>
      <c r="Q75" s="7">
        <f>SUMIFS('HQ2'!$C:$C,'HQ2'!$A:$A, "="&amp;'CHECK_DT-BT_chi_tiet'!C75,'HQ2'!$B:$B, "="&amp;'CHECK_DT-BT_chi_tiet'!$P$3)</f>
        <v>176161679</v>
      </c>
      <c r="R75" s="7">
        <f t="shared" si="26"/>
        <v>0</v>
      </c>
      <c r="S75" s="7">
        <f>SUMIFS('Tong_hop_HQNV_2026Q1_2026-06-23'!$K:$K,'Tong_hop_HQNV_2026Q1_2026-06-23'!$A:$A,"="&amp;$S$2,'Tong_hop_HQNV_2026Q1_2026-06-23'!$B:$B, "="&amp;'CHECK_DT-BT_chi_tiet'!A75)</f>
        <v>0</v>
      </c>
      <c r="T75" s="7">
        <f>SUMIFS('HQ2'!$C:$C,'HQ2'!$A:$A, "="&amp;'CHECK_DT-BT_chi_tiet'!C75,'HQ2'!$B:$B, "="&amp;'CHECK_DT-BT_chi_tiet'!$S$3)</f>
        <v>0</v>
      </c>
      <c r="U75" s="7">
        <f t="shared" si="27"/>
        <v>0</v>
      </c>
      <c r="V75" s="7">
        <f>SUMIFS('Tong_hop_HQNV_2026Q1_2026-06-23'!$K:$K,'Tong_hop_HQNV_2026Q1_2026-06-23'!$A:$A,"="&amp;$V$2,'Tong_hop_HQNV_2026Q1_2026-06-23'!$B:$B, "="&amp;'CHECK_DT-BT_chi_tiet'!A75)</f>
        <v>0</v>
      </c>
      <c r="W75" s="7">
        <f>SUMIFS('HQ2'!$C:$C,'HQ2'!$A:$A, "="&amp;'CHECK_DT-BT_chi_tiet'!C75,'HQ2'!$B:$B, "="&amp;'CHECK_DT-BT_chi_tiet'!$V$3)</f>
        <v>0</v>
      </c>
      <c r="X75" s="7">
        <f t="shared" si="28"/>
        <v>0</v>
      </c>
      <c r="Y75" s="7">
        <f>SUMIFS('Tong_hop_HQNV_2026Q1_2026-06-23'!$K:$K,'Tong_hop_HQNV_2026Q1_2026-06-23'!$A:$A,"="&amp;$Y$2,'Tong_hop_HQNV_2026Q1_2026-06-23'!$B:$B, "="&amp;'CHECK_DT-BT_chi_tiet'!A75)</f>
        <v>320325503</v>
      </c>
      <c r="Z75" s="7">
        <f>SUMIFS('HQ2'!$C:$C,'HQ2'!$A:$A, "="&amp;'CHECK_DT-BT_chi_tiet'!C75,'HQ2'!$B:$B, "="&amp;'CHECK_DT-BT_chi_tiet'!$Y$3)</f>
        <v>320325503</v>
      </c>
      <c r="AA75" s="7">
        <f t="shared" si="29"/>
        <v>0</v>
      </c>
      <c r="AB75" s="7">
        <f>SUMIFS('Tong_hop_HQNV_2026Q1_2026-06-23'!$K:$K,'Tong_hop_HQNV_2026Q1_2026-06-23'!$A:$A,"="&amp;$AB$2,'Tong_hop_HQNV_2026Q1_2026-06-23'!$B:$B, "="&amp;'CHECK_DT-BT_chi_tiet'!A75)</f>
        <v>677968982</v>
      </c>
      <c r="AC75" s="7">
        <f>SUMIFS('HQ2'!$C:$C,'HQ2'!$A:$A, "="&amp;'CHECK_DT-BT_chi_tiet'!C75,'HQ2'!$B:$B, "="&amp;'CHECK_DT-BT_chi_tiet'!$AB$3)</f>
        <v>677968982</v>
      </c>
      <c r="AD75" s="7">
        <f t="shared" si="30"/>
        <v>0</v>
      </c>
      <c r="AE75" s="7">
        <f>SUMIFS('Tong_hop_HQNV_2026Q1_2026-06-23'!$K:$K,'Tong_hop_HQNV_2026Q1_2026-06-23'!$A:$A,"="&amp;$AE$2,'Tong_hop_HQNV_2026Q1_2026-06-23'!$B:$B, "="&amp;'CHECK_DT-BT_chi_tiet'!A75)</f>
        <v>26048999</v>
      </c>
      <c r="AF75" s="7">
        <f>SUMIFS('HQ2'!$C:$C,'HQ2'!$A:$A, "="&amp;'CHECK_DT-BT_chi_tiet'!C75,'HQ2'!$B:$B, "="&amp;'CHECK_DT-BT_chi_tiet'!$AE$3)</f>
        <v>26048999</v>
      </c>
      <c r="AG75" s="7">
        <f t="shared" si="31"/>
        <v>0</v>
      </c>
      <c r="AH75" s="7">
        <f>SUMIFS('Tong_hop_HQNV_2026Q1_2026-06-23'!$K:$K,'Tong_hop_HQNV_2026Q1_2026-06-23'!$A:$A,"="&amp;$AH$2,'Tong_hop_HQNV_2026Q1_2026-06-23'!$B:$B, "="&amp;'CHECK_DT-BT_chi_tiet'!A75)</f>
        <v>2000000</v>
      </c>
      <c r="AI75" s="7">
        <f>SUMIFS('HQ2'!$C:$C,'HQ2'!$A:$A, "="&amp;'CHECK_DT-BT_chi_tiet'!C75,'HQ2'!$B:$B, "="&amp;'CHECK_DT-BT_chi_tiet'!$AH$3)</f>
        <v>2000000</v>
      </c>
      <c r="AJ75" s="7">
        <f t="shared" si="32"/>
        <v>0</v>
      </c>
      <c r="AK75" s="7">
        <f>SUMIFS('Tong_hop_HQNV_2026Q1_2026-06-23'!$K:$K,'Tong_hop_HQNV_2026Q1_2026-06-23'!$A:$A,"="&amp;$AK$2,'Tong_hop_HQNV_2026Q1_2026-06-23'!$B:$B, "="&amp;'CHECK_DT-BT_chi_tiet'!A75)</f>
        <v>0</v>
      </c>
      <c r="AL75" s="7">
        <f>SUMIFS('Tong_hop_HQNV_2026Q1_2026-06-23'!$K:$K,'Tong_hop_HQNV_2026Q1_2026-06-23'!$A:$A,"="&amp;$AL$2,'Tong_hop_HQNV_2026Q1_2026-06-23'!$B:$B, "="&amp;'CHECK_DT-BT_chi_tiet'!A75)</f>
        <v>0</v>
      </c>
      <c r="AM75" s="23">
        <f>SUMIFS('Tong_hop_HQNV_2026Q1_2026-06-23'!$L:$L,'Tong_hop_HQNV_2026Q1_2026-06-23'!$B:$B, "="&amp;'CHECK_DT-BT_chi_tiet'!A75, 'Tong_hop_HQNV_2026Q1_2026-06-23'!$A:$A, "="&amp;'CHECK_DT-BT_chi_tiet'!$AM$2)</f>
        <v>2027793873</v>
      </c>
      <c r="AN75" s="29">
        <f>SUMIFS('HQ1'!$D:$D,'HQ1'!$A:$A, "="&amp;'CHECK_DT-BT_chi_tiet'!C75,'HQ1'!$B:$B,"="&amp;'CHECK_DT-BT_chi_tiet'!$AM$3)</f>
        <v>2027793873</v>
      </c>
      <c r="AO75" s="29">
        <f t="shared" si="33"/>
        <v>0</v>
      </c>
      <c r="AP75" s="7">
        <f>SUMIFS('Tong_hop_HQNV_2026Q1_2026-06-23'!$L:$L,'Tong_hop_HQNV_2026Q1_2026-06-23'!$B:$B, "="&amp;'CHECK_DT-BT_chi_tiet'!A75, 'Tong_hop_HQNV_2026Q1_2026-06-23'!$A:$A, "="&amp;'CHECK_DT-BT_chi_tiet'!$AP$2)</f>
        <v>4044536</v>
      </c>
      <c r="AQ75" s="29">
        <f>SUMIFS('HQ1'!$D:$D,'HQ1'!$A:$A, "="&amp;'CHECK_DT-BT_chi_tiet'!C75,'HQ1'!$B:$B,"="&amp;'CHECK_DT-BT_chi_tiet'!$AP$3)</f>
        <v>4044536</v>
      </c>
      <c r="AR75" s="7">
        <f t="shared" si="34"/>
        <v>0</v>
      </c>
      <c r="AS75" s="7">
        <f>SUMIFS('Tong_hop_HQNV_2026Q1_2026-06-23'!$L:$L,'Tong_hop_HQNV_2026Q1_2026-06-23'!$B:$B, "="&amp;'CHECK_DT-BT_chi_tiet'!A75, 'Tong_hop_HQNV_2026Q1_2026-06-23'!$A:$A, "="&amp;'CHECK_DT-BT_chi_tiet'!$AS$2)</f>
        <v>2901333897</v>
      </c>
      <c r="AT75" s="29">
        <f>SUMIFS('HQ1'!$D:$D,'HQ1'!$A:$A, "="&amp;'CHECK_DT-BT_chi_tiet'!C75,'HQ1'!$B:$B,"="&amp;'CHECK_DT-BT_chi_tiet'!$AS$3)</f>
        <v>2901333897</v>
      </c>
      <c r="AU75" s="7">
        <f t="shared" si="35"/>
        <v>0</v>
      </c>
      <c r="AV75" s="7">
        <f>SUMIFS('Tong_hop_HQNV_2026Q1_2026-06-23'!$L:$L,'Tong_hop_HQNV_2026Q1_2026-06-23'!$B:$B, "="&amp;'CHECK_DT-BT_chi_tiet'!A75, 'Tong_hop_HQNV_2026Q1_2026-06-23'!$A:$A, "="&amp;'CHECK_DT-BT_chi_tiet'!$AV$2)</f>
        <v>938683435</v>
      </c>
      <c r="AW75" s="29">
        <f>SUMIFS('HQ1'!$D:$D,'HQ1'!$A:$A, "="&amp;'CHECK_DT-BT_chi_tiet'!C75,'HQ1'!$B:$B,"="&amp;'CHECK_DT-BT_chi_tiet'!$AV$3)</f>
        <v>938683435</v>
      </c>
      <c r="AX75" s="7">
        <f t="shared" si="36"/>
        <v>0</v>
      </c>
      <c r="AY75" s="7">
        <f>SUMIFS('Tong_hop_HQNV_2026Q1_2026-06-23'!$L:$L,'Tong_hop_HQNV_2026Q1_2026-06-23'!$B:$B, "="&amp;'CHECK_DT-BT_chi_tiet'!A75, 'Tong_hop_HQNV_2026Q1_2026-06-23'!$A:$A, "="&amp;$AY$2)</f>
        <v>0</v>
      </c>
      <c r="AZ75" s="29">
        <f>SUMIFS('HQ2'!$J:$J,'HQ2'!$A:$A, "="&amp;'CHECK_DT-BT_chi_tiet'!C75,'HQ2'!$B:$B,"="&amp;'CHECK_DT-BT_chi_tiet'!$AY$3)</f>
        <v>0</v>
      </c>
      <c r="BA75" s="7">
        <f t="shared" si="37"/>
        <v>0</v>
      </c>
      <c r="BB75" s="7">
        <f>SUMIFS('Tong_hop_HQNV_2026Q1_2026-06-23'!$L:$L,'Tong_hop_HQNV_2026Q1_2026-06-23'!$B:$B, "="&amp;'CHECK_DT-BT_chi_tiet'!A75, 'Tong_hop_HQNV_2026Q1_2026-06-23'!$A:$A, "="&amp;$BB$2)</f>
        <v>0</v>
      </c>
      <c r="BC75" s="29">
        <f>SUMIFS('HQ2'!$J:$J,'HQ2'!$A:$A, "="&amp;'CHECK_DT-BT_chi_tiet'!C75,'HQ2'!$B:$B,"="&amp;'CHECK_DT-BT_chi_tiet'!$BB$3)</f>
        <v>0</v>
      </c>
      <c r="BD75" s="7">
        <f t="shared" si="38"/>
        <v>0</v>
      </c>
      <c r="BE75" s="7">
        <f>SUMIFS('Tong_hop_HQNV_2026Q1_2026-06-23'!$L:$L,'Tong_hop_HQNV_2026Q1_2026-06-23'!$B:$B, "="&amp;'CHECK_DT-BT_chi_tiet'!A75, 'Tong_hop_HQNV_2026Q1_2026-06-23'!$A:$A, "="&amp;$BE$2)</f>
        <v>0</v>
      </c>
      <c r="BF75" s="29">
        <f>SUMIFS('HQ2'!$J:$J,'HQ2'!$A:$A, "="&amp;'CHECK_DT-BT_chi_tiet'!C75,'HQ2'!$B:$B,"="&amp;'CHECK_DT-BT_chi_tiet'!$BE$3)</f>
        <v>0</v>
      </c>
      <c r="BG75" s="7">
        <f t="shared" si="39"/>
        <v>0</v>
      </c>
      <c r="BH75" s="7">
        <f>SUMIFS('Tong_hop_HQNV_2026Q1_2026-06-23'!$L:$L,'Tong_hop_HQNV_2026Q1_2026-06-23'!$B:$B, "="&amp;'CHECK_DT-BT_chi_tiet'!A75, 'Tong_hop_HQNV_2026Q1_2026-06-23'!$A:$A, "="&amp;$BH$2)</f>
        <v>-91046000</v>
      </c>
      <c r="BI75" s="29">
        <f>SUMIFS('HQ2'!$J:$J,'HQ2'!$A:$A, "="&amp;'CHECK_DT-BT_chi_tiet'!C75,'HQ2'!$B:$B,"="&amp;'CHECK_DT-BT_chi_tiet'!$BH$3)</f>
        <v>-91046000</v>
      </c>
      <c r="BJ75" s="7">
        <f t="shared" si="40"/>
        <v>0</v>
      </c>
      <c r="BK75" s="7">
        <f>SUMIFS('Tong_hop_HQNV_2026Q1_2026-06-23'!$L:$L,'Tong_hop_HQNV_2026Q1_2026-06-23'!$B:$B, "="&amp;'CHECK_DT-BT_chi_tiet'!A75, 'Tong_hop_HQNV_2026Q1_2026-06-23'!$A:$A, "="&amp;$BK$2)</f>
        <v>13550000</v>
      </c>
      <c r="BL75" s="29">
        <f>SUMIFS('HQ2'!$J:$J,'HQ2'!$A:$A, "="&amp;'CHECK_DT-BT_chi_tiet'!C75,'HQ2'!$B:$B,"="&amp;'CHECK_DT-BT_chi_tiet'!$BK$3)</f>
        <v>13550000</v>
      </c>
      <c r="BM75" s="7">
        <f t="shared" si="41"/>
        <v>0</v>
      </c>
      <c r="BN75" s="7">
        <f>SUMIFS('Tong_hop_HQNV_2026Q1_2026-06-23'!$L:$L,'Tong_hop_HQNV_2026Q1_2026-06-23'!$B:$B, "="&amp;'CHECK_DT-BT_chi_tiet'!A75, 'Tong_hop_HQNV_2026Q1_2026-06-23'!$A:$A, "="&amp;$BN$2)</f>
        <v>246241655</v>
      </c>
      <c r="BO75" s="29">
        <f>SUMIFS('HQ2'!$J:$J,'HQ2'!$A:$A, "="&amp;'CHECK_DT-BT_chi_tiet'!C75,'HQ2'!$B:$B,"="&amp;'CHECK_DT-BT_chi_tiet'!$BN$3)</f>
        <v>246241655</v>
      </c>
      <c r="BP75" s="7">
        <f t="shared" si="42"/>
        <v>0</v>
      </c>
      <c r="BQ75" s="7">
        <f>SUMIFS('Tong_hop_HQNV_2026Q1_2026-06-23'!$L:$L,'Tong_hop_HQNV_2026Q1_2026-06-23'!$B:$B, "="&amp;'CHECK_DT-BT_chi_tiet'!A75, 'Tong_hop_HQNV_2026Q1_2026-06-23'!$A:$A, "="&amp;$BQ$2)</f>
        <v>0</v>
      </c>
      <c r="BR75" s="29">
        <f>SUMIFS('HQ2'!$J:$J,'HQ2'!$A:$A, "="&amp;'CHECK_DT-BT_chi_tiet'!C75,'HQ2'!$B:$B,"="&amp;'CHECK_DT-BT_chi_tiet'!$BQ$3)</f>
        <v>0</v>
      </c>
      <c r="BS75" s="7">
        <f t="shared" si="43"/>
        <v>0</v>
      </c>
      <c r="BT75" s="7">
        <f>SUMIFS('Tong_hop_HQNV_2026Q1_2026-06-23'!$L:$L,'Tong_hop_HQNV_2026Q1_2026-06-23'!$B:$B, "="&amp;'CHECK_DT-BT_chi_tiet'!A75, 'Tong_hop_HQNV_2026Q1_2026-06-23'!$A:$A, "="&amp;$BT$2)</f>
        <v>0</v>
      </c>
      <c r="BU75" s="7">
        <f>SUMIFS('Tong_hop_HQNV_2026Q1_2026-06-23'!$L:$L,'Tong_hop_HQNV_2026Q1_2026-06-23'!$B:$B, "="&amp;'CHECK_DT-BT_chi_tiet'!A75, 'Tong_hop_HQNV_2026Q1_2026-06-23'!$A:$A, "="&amp;$BU$2)</f>
        <v>0</v>
      </c>
    </row>
    <row r="76" spans="1:73" x14ac:dyDescent="0.25">
      <c r="A76" s="9" t="s">
        <v>356</v>
      </c>
      <c r="B76" t="s">
        <v>214</v>
      </c>
      <c r="C76" t="s">
        <v>80</v>
      </c>
      <c r="D76" s="7">
        <f>SUMIFS('Tong_hop_HQNV_2026Q1_2026-06-23'!$K:$K,'Tong_hop_HQNV_2026Q1_2026-06-23'!$A:$A,"="&amp;'CHECK_DT-BT_chi_tiet'!$D$2,'Tong_hop_HQNV_2026Q1_2026-06-23'!$B:$B, "="&amp;'CHECK_DT-BT_chi_tiet'!A76)</f>
        <v>2192254162</v>
      </c>
      <c r="E76" s="7">
        <f>SUMIFS('HQ1'!$C:$C,'HQ1'!$A:$A, "="&amp;'CHECK_DT-BT_chi_tiet'!C76,'HQ1'!$B:$B, "="&amp;'CHECK_DT-BT_chi_tiet'!$D$3)</f>
        <v>2192254162</v>
      </c>
      <c r="F76" s="7">
        <f t="shared" si="22"/>
        <v>0</v>
      </c>
      <c r="G76" s="7">
        <f>SUMIFS('Tong_hop_HQNV_2026Q1_2026-06-23'!$K:$K,'Tong_hop_HQNV_2026Q1_2026-06-23'!$A:$A,"="&amp;'CHECK_DT-BT_chi_tiet'!$G$2,'Tong_hop_HQNV_2026Q1_2026-06-23'!$B:$B, "="&amp;'CHECK_DT-BT_chi_tiet'!A76)</f>
        <v>59082800</v>
      </c>
      <c r="H76" s="7">
        <f>SUMIFS('HQ1'!$C:$C,'HQ1'!$A:$A, "="&amp;'CHECK_DT-BT_chi_tiet'!C76,'HQ1'!$B:$B, "="&amp;'CHECK_DT-BT_chi_tiet'!$G$3)</f>
        <v>59082800</v>
      </c>
      <c r="I76" s="7">
        <f t="shared" si="23"/>
        <v>0</v>
      </c>
      <c r="J76" s="7">
        <f>SUMIFS('Tong_hop_HQNV_2026Q1_2026-06-23'!$K:$K,'Tong_hop_HQNV_2026Q1_2026-06-23'!$A:$A,"="&amp;'CHECK_DT-BT_chi_tiet'!$J$2,'Tong_hop_HQNV_2026Q1_2026-06-23'!$B:$B, "="&amp;'CHECK_DT-BT_chi_tiet'!A76)</f>
        <v>3434242487</v>
      </c>
      <c r="K76" s="7">
        <f>SUMIFS('HQ1'!$C:$C,'HQ1'!$A:$A, "="&amp;'CHECK_DT-BT_chi_tiet'!C76,'HQ1'!$B:$B, "="&amp;'CHECK_DT-BT_chi_tiet'!$J$3)</f>
        <v>3434242487</v>
      </c>
      <c r="L76" s="7">
        <f t="shared" si="24"/>
        <v>0</v>
      </c>
      <c r="M76" s="7">
        <f>SUMIFS('Tong_hop_HQNV_2026Q1_2026-06-23'!$K:$K,'Tong_hop_HQNV_2026Q1_2026-06-23'!$A:$A,"="&amp;'CHECK_DT-BT_chi_tiet'!$M$2,'Tong_hop_HQNV_2026Q1_2026-06-23'!$B:$B, "="&amp;'CHECK_DT-BT_chi_tiet'!A76)</f>
        <v>972074710</v>
      </c>
      <c r="N76" s="7">
        <f>SUMIFS('HQ1'!$C:$C,'HQ1'!$A:$A, "="&amp;'CHECK_DT-BT_chi_tiet'!C76,'HQ1'!$B:$B, "="&amp;'CHECK_DT-BT_chi_tiet'!$M$3)</f>
        <v>972074710</v>
      </c>
      <c r="O76" s="7">
        <f t="shared" si="25"/>
        <v>0</v>
      </c>
      <c r="P76" s="7">
        <f>SUMIFS('Tong_hop_HQNV_2026Q1_2026-06-23'!$K:$K,'Tong_hop_HQNV_2026Q1_2026-06-23'!$A:$A,"="&amp;$P$2,'Tong_hop_HQNV_2026Q1_2026-06-23'!$B:$B, "="&amp;'CHECK_DT-BT_chi_tiet'!A76)</f>
        <v>691466051</v>
      </c>
      <c r="Q76" s="7">
        <f>SUMIFS('HQ2'!$C:$C,'HQ2'!$A:$A, "="&amp;'CHECK_DT-BT_chi_tiet'!C76,'HQ2'!$B:$B, "="&amp;'CHECK_DT-BT_chi_tiet'!$P$3)</f>
        <v>691466051</v>
      </c>
      <c r="R76" s="7">
        <f t="shared" si="26"/>
        <v>0</v>
      </c>
      <c r="S76" s="7">
        <f>SUMIFS('Tong_hop_HQNV_2026Q1_2026-06-23'!$K:$K,'Tong_hop_HQNV_2026Q1_2026-06-23'!$A:$A,"="&amp;$S$2,'Tong_hop_HQNV_2026Q1_2026-06-23'!$B:$B, "="&amp;'CHECK_DT-BT_chi_tiet'!A76)</f>
        <v>0</v>
      </c>
      <c r="T76" s="7">
        <f>SUMIFS('HQ2'!$C:$C,'HQ2'!$A:$A, "="&amp;'CHECK_DT-BT_chi_tiet'!C76,'HQ2'!$B:$B, "="&amp;'CHECK_DT-BT_chi_tiet'!$S$3)</f>
        <v>0</v>
      </c>
      <c r="U76" s="7">
        <f t="shared" si="27"/>
        <v>0</v>
      </c>
      <c r="V76" s="7">
        <f>SUMIFS('Tong_hop_HQNV_2026Q1_2026-06-23'!$K:$K,'Tong_hop_HQNV_2026Q1_2026-06-23'!$A:$A,"="&amp;$V$2,'Tong_hop_HQNV_2026Q1_2026-06-23'!$B:$B, "="&amp;'CHECK_DT-BT_chi_tiet'!A76)</f>
        <v>0</v>
      </c>
      <c r="W76" s="7">
        <f>SUMIFS('HQ2'!$C:$C,'HQ2'!$A:$A, "="&amp;'CHECK_DT-BT_chi_tiet'!C76,'HQ2'!$B:$B, "="&amp;'CHECK_DT-BT_chi_tiet'!$V$3)</f>
        <v>0</v>
      </c>
      <c r="X76" s="7">
        <f t="shared" si="28"/>
        <v>0</v>
      </c>
      <c r="Y76" s="7">
        <f>SUMIFS('Tong_hop_HQNV_2026Q1_2026-06-23'!$K:$K,'Tong_hop_HQNV_2026Q1_2026-06-23'!$A:$A,"="&amp;$Y$2,'Tong_hop_HQNV_2026Q1_2026-06-23'!$B:$B, "="&amp;'CHECK_DT-BT_chi_tiet'!A76)</f>
        <v>1414176833</v>
      </c>
      <c r="Z76" s="7">
        <f>SUMIFS('HQ2'!$C:$C,'HQ2'!$A:$A, "="&amp;'CHECK_DT-BT_chi_tiet'!C76,'HQ2'!$B:$B, "="&amp;'CHECK_DT-BT_chi_tiet'!$Y$3)</f>
        <v>1414176833</v>
      </c>
      <c r="AA76" s="7">
        <f t="shared" si="29"/>
        <v>0</v>
      </c>
      <c r="AB76" s="7">
        <f>SUMIFS('Tong_hop_HQNV_2026Q1_2026-06-23'!$K:$K,'Tong_hop_HQNV_2026Q1_2026-06-23'!$A:$A,"="&amp;$AB$2,'Tong_hop_HQNV_2026Q1_2026-06-23'!$B:$B, "="&amp;'CHECK_DT-BT_chi_tiet'!A76)</f>
        <v>1331108739</v>
      </c>
      <c r="AC76" s="7">
        <f>SUMIFS('HQ2'!$C:$C,'HQ2'!$A:$A, "="&amp;'CHECK_DT-BT_chi_tiet'!C76,'HQ2'!$B:$B, "="&amp;'CHECK_DT-BT_chi_tiet'!$AB$3)</f>
        <v>1331108739</v>
      </c>
      <c r="AD76" s="7">
        <f t="shared" si="30"/>
        <v>0</v>
      </c>
      <c r="AE76" s="7">
        <f>SUMIFS('Tong_hop_HQNV_2026Q1_2026-06-23'!$K:$K,'Tong_hop_HQNV_2026Q1_2026-06-23'!$A:$A,"="&amp;$AE$2,'Tong_hop_HQNV_2026Q1_2026-06-23'!$B:$B, "="&amp;'CHECK_DT-BT_chi_tiet'!A76)</f>
        <v>355177019</v>
      </c>
      <c r="AF76" s="7">
        <f>SUMIFS('HQ2'!$C:$C,'HQ2'!$A:$A, "="&amp;'CHECK_DT-BT_chi_tiet'!C76,'HQ2'!$B:$B, "="&amp;'CHECK_DT-BT_chi_tiet'!$AE$3)</f>
        <v>355177019</v>
      </c>
      <c r="AG76" s="7">
        <f t="shared" si="31"/>
        <v>0</v>
      </c>
      <c r="AH76" s="7">
        <f>SUMIFS('Tong_hop_HQNV_2026Q1_2026-06-23'!$K:$K,'Tong_hop_HQNV_2026Q1_2026-06-23'!$A:$A,"="&amp;$AH$2,'Tong_hop_HQNV_2026Q1_2026-06-23'!$B:$B, "="&amp;'CHECK_DT-BT_chi_tiet'!A76)</f>
        <v>0</v>
      </c>
      <c r="AI76" s="7">
        <f>SUMIFS('HQ2'!$C:$C,'HQ2'!$A:$A, "="&amp;'CHECK_DT-BT_chi_tiet'!C76,'HQ2'!$B:$B, "="&amp;'CHECK_DT-BT_chi_tiet'!$AH$3)</f>
        <v>0</v>
      </c>
      <c r="AJ76" s="7">
        <f t="shared" si="32"/>
        <v>0</v>
      </c>
      <c r="AK76" s="7">
        <f>SUMIFS('Tong_hop_HQNV_2026Q1_2026-06-23'!$K:$K,'Tong_hop_HQNV_2026Q1_2026-06-23'!$A:$A,"="&amp;$AK$2,'Tong_hop_HQNV_2026Q1_2026-06-23'!$B:$B, "="&amp;'CHECK_DT-BT_chi_tiet'!A76)</f>
        <v>0</v>
      </c>
      <c r="AL76" s="7">
        <f>SUMIFS('Tong_hop_HQNV_2026Q1_2026-06-23'!$K:$K,'Tong_hop_HQNV_2026Q1_2026-06-23'!$A:$A,"="&amp;$AL$2,'Tong_hop_HQNV_2026Q1_2026-06-23'!$B:$B, "="&amp;'CHECK_DT-BT_chi_tiet'!A76)</f>
        <v>0</v>
      </c>
      <c r="AM76" s="23">
        <f>SUMIFS('Tong_hop_HQNV_2026Q1_2026-06-23'!$L:$L,'Tong_hop_HQNV_2026Q1_2026-06-23'!$B:$B, "="&amp;'CHECK_DT-BT_chi_tiet'!A76, 'Tong_hop_HQNV_2026Q1_2026-06-23'!$A:$A, "="&amp;'CHECK_DT-BT_chi_tiet'!$AM$2)</f>
        <v>4239324600</v>
      </c>
      <c r="AN76" s="29">
        <f>SUMIFS('HQ1'!$D:$D,'HQ1'!$A:$A, "="&amp;'CHECK_DT-BT_chi_tiet'!C76,'HQ1'!$B:$B,"="&amp;'CHECK_DT-BT_chi_tiet'!$AM$3)</f>
        <v>4239324600</v>
      </c>
      <c r="AO76" s="29">
        <f t="shared" si="33"/>
        <v>0</v>
      </c>
      <c r="AP76" s="7">
        <f>SUMIFS('Tong_hop_HQNV_2026Q1_2026-06-23'!$L:$L,'Tong_hop_HQNV_2026Q1_2026-06-23'!$B:$B, "="&amp;'CHECK_DT-BT_chi_tiet'!A76, 'Tong_hop_HQNV_2026Q1_2026-06-23'!$A:$A, "="&amp;'CHECK_DT-BT_chi_tiet'!$AP$2)</f>
        <v>0</v>
      </c>
      <c r="AQ76" s="29">
        <f>SUMIFS('HQ1'!$D:$D,'HQ1'!$A:$A, "="&amp;'CHECK_DT-BT_chi_tiet'!C76,'HQ1'!$B:$B,"="&amp;'CHECK_DT-BT_chi_tiet'!$AP$3)</f>
        <v>0</v>
      </c>
      <c r="AR76" s="7">
        <f t="shared" si="34"/>
        <v>0</v>
      </c>
      <c r="AS76" s="7">
        <f>SUMIFS('Tong_hop_HQNV_2026Q1_2026-06-23'!$L:$L,'Tong_hop_HQNV_2026Q1_2026-06-23'!$B:$B, "="&amp;'CHECK_DT-BT_chi_tiet'!A76, 'Tong_hop_HQNV_2026Q1_2026-06-23'!$A:$A, "="&amp;'CHECK_DT-BT_chi_tiet'!$AS$2)</f>
        <v>1122375046</v>
      </c>
      <c r="AT76" s="29">
        <f>SUMIFS('HQ1'!$D:$D,'HQ1'!$A:$A, "="&amp;'CHECK_DT-BT_chi_tiet'!C76,'HQ1'!$B:$B,"="&amp;'CHECK_DT-BT_chi_tiet'!$AS$3)</f>
        <v>1122375046</v>
      </c>
      <c r="AU76" s="7">
        <f t="shared" si="35"/>
        <v>0</v>
      </c>
      <c r="AV76" s="7">
        <f>SUMIFS('Tong_hop_HQNV_2026Q1_2026-06-23'!$L:$L,'Tong_hop_HQNV_2026Q1_2026-06-23'!$B:$B, "="&amp;'CHECK_DT-BT_chi_tiet'!A76, 'Tong_hop_HQNV_2026Q1_2026-06-23'!$A:$A, "="&amp;'CHECK_DT-BT_chi_tiet'!$AV$2)</f>
        <v>123319141</v>
      </c>
      <c r="AW76" s="29">
        <f>SUMIFS('HQ1'!$D:$D,'HQ1'!$A:$A, "="&amp;'CHECK_DT-BT_chi_tiet'!C76,'HQ1'!$B:$B,"="&amp;'CHECK_DT-BT_chi_tiet'!$AV$3)</f>
        <v>123319141</v>
      </c>
      <c r="AX76" s="7">
        <f t="shared" si="36"/>
        <v>0</v>
      </c>
      <c r="AY76" s="7">
        <f>SUMIFS('Tong_hop_HQNV_2026Q1_2026-06-23'!$L:$L,'Tong_hop_HQNV_2026Q1_2026-06-23'!$B:$B, "="&amp;'CHECK_DT-BT_chi_tiet'!A76, 'Tong_hop_HQNV_2026Q1_2026-06-23'!$A:$A, "="&amp;$AY$2)</f>
        <v>0</v>
      </c>
      <c r="AZ76" s="29">
        <f>SUMIFS('HQ2'!$J:$J,'HQ2'!$A:$A, "="&amp;'CHECK_DT-BT_chi_tiet'!C76,'HQ2'!$B:$B,"="&amp;'CHECK_DT-BT_chi_tiet'!$AY$3)</f>
        <v>0</v>
      </c>
      <c r="BA76" s="7">
        <f t="shared" si="37"/>
        <v>0</v>
      </c>
      <c r="BB76" s="7">
        <f>SUMIFS('Tong_hop_HQNV_2026Q1_2026-06-23'!$L:$L,'Tong_hop_HQNV_2026Q1_2026-06-23'!$B:$B, "="&amp;'CHECK_DT-BT_chi_tiet'!A76, 'Tong_hop_HQNV_2026Q1_2026-06-23'!$A:$A, "="&amp;$BB$2)</f>
        <v>0</v>
      </c>
      <c r="BC76" s="29">
        <f>SUMIFS('HQ2'!$J:$J,'HQ2'!$A:$A, "="&amp;'CHECK_DT-BT_chi_tiet'!C76,'HQ2'!$B:$B,"="&amp;'CHECK_DT-BT_chi_tiet'!$BB$3)</f>
        <v>0</v>
      </c>
      <c r="BD76" s="7">
        <f t="shared" si="38"/>
        <v>0</v>
      </c>
      <c r="BE76" s="7">
        <f>SUMIFS('Tong_hop_HQNV_2026Q1_2026-06-23'!$L:$L,'Tong_hop_HQNV_2026Q1_2026-06-23'!$B:$B, "="&amp;'CHECK_DT-BT_chi_tiet'!A76, 'Tong_hop_HQNV_2026Q1_2026-06-23'!$A:$A, "="&amp;$BE$2)</f>
        <v>0</v>
      </c>
      <c r="BF76" s="29">
        <f>SUMIFS('HQ2'!$J:$J,'HQ2'!$A:$A, "="&amp;'CHECK_DT-BT_chi_tiet'!C76,'HQ2'!$B:$B,"="&amp;'CHECK_DT-BT_chi_tiet'!$BE$3)</f>
        <v>0</v>
      </c>
      <c r="BG76" s="7">
        <f t="shared" si="39"/>
        <v>0</v>
      </c>
      <c r="BH76" s="7">
        <f>SUMIFS('Tong_hop_HQNV_2026Q1_2026-06-23'!$L:$L,'Tong_hop_HQNV_2026Q1_2026-06-23'!$B:$B, "="&amp;'CHECK_DT-BT_chi_tiet'!A76, 'Tong_hop_HQNV_2026Q1_2026-06-23'!$A:$A, "="&amp;$BH$2)</f>
        <v>720859379</v>
      </c>
      <c r="BI76" s="29">
        <f>SUMIFS('HQ2'!$J:$J,'HQ2'!$A:$A, "="&amp;'CHECK_DT-BT_chi_tiet'!C76,'HQ2'!$B:$B,"="&amp;'CHECK_DT-BT_chi_tiet'!$BH$3)</f>
        <v>720859379</v>
      </c>
      <c r="BJ76" s="7">
        <f t="shared" si="40"/>
        <v>0</v>
      </c>
      <c r="BK76" s="7">
        <f>SUMIFS('Tong_hop_HQNV_2026Q1_2026-06-23'!$L:$L,'Tong_hop_HQNV_2026Q1_2026-06-23'!$B:$B, "="&amp;'CHECK_DT-BT_chi_tiet'!A76, 'Tong_hop_HQNV_2026Q1_2026-06-23'!$A:$A, "="&amp;$BK$2)</f>
        <v>0</v>
      </c>
      <c r="BL76" s="29">
        <f>SUMIFS('HQ2'!$J:$J,'HQ2'!$A:$A, "="&amp;'CHECK_DT-BT_chi_tiet'!C76,'HQ2'!$B:$B,"="&amp;'CHECK_DT-BT_chi_tiet'!$BK$3)</f>
        <v>0</v>
      </c>
      <c r="BM76" s="7">
        <f t="shared" si="41"/>
        <v>0</v>
      </c>
      <c r="BN76" s="7">
        <f>SUMIFS('Tong_hop_HQNV_2026Q1_2026-06-23'!$L:$L,'Tong_hop_HQNV_2026Q1_2026-06-23'!$B:$B, "="&amp;'CHECK_DT-BT_chi_tiet'!A76, 'Tong_hop_HQNV_2026Q1_2026-06-23'!$A:$A, "="&amp;$BN$2)</f>
        <v>0</v>
      </c>
      <c r="BO76" s="29">
        <f>SUMIFS('HQ2'!$J:$J,'HQ2'!$A:$A, "="&amp;'CHECK_DT-BT_chi_tiet'!C76,'HQ2'!$B:$B,"="&amp;'CHECK_DT-BT_chi_tiet'!$BN$3)</f>
        <v>0</v>
      </c>
      <c r="BP76" s="7">
        <f t="shared" si="42"/>
        <v>0</v>
      </c>
      <c r="BQ76" s="7">
        <f>SUMIFS('Tong_hop_HQNV_2026Q1_2026-06-23'!$L:$L,'Tong_hop_HQNV_2026Q1_2026-06-23'!$B:$B, "="&amp;'CHECK_DT-BT_chi_tiet'!A76, 'Tong_hop_HQNV_2026Q1_2026-06-23'!$A:$A, "="&amp;$BQ$2)</f>
        <v>0</v>
      </c>
      <c r="BR76" s="29">
        <f>SUMIFS('HQ2'!$J:$J,'HQ2'!$A:$A, "="&amp;'CHECK_DT-BT_chi_tiet'!C76,'HQ2'!$B:$B,"="&amp;'CHECK_DT-BT_chi_tiet'!$BQ$3)</f>
        <v>0</v>
      </c>
      <c r="BS76" s="7">
        <f t="shared" si="43"/>
        <v>0</v>
      </c>
      <c r="BT76" s="7">
        <f>SUMIFS('Tong_hop_HQNV_2026Q1_2026-06-23'!$L:$L,'Tong_hop_HQNV_2026Q1_2026-06-23'!$B:$B, "="&amp;'CHECK_DT-BT_chi_tiet'!A76, 'Tong_hop_HQNV_2026Q1_2026-06-23'!$A:$A, "="&amp;$BT$2)</f>
        <v>0</v>
      </c>
      <c r="BU76" s="7">
        <f>SUMIFS('Tong_hop_HQNV_2026Q1_2026-06-23'!$L:$L,'Tong_hop_HQNV_2026Q1_2026-06-23'!$B:$B, "="&amp;'CHECK_DT-BT_chi_tiet'!A76, 'Tong_hop_HQNV_2026Q1_2026-06-23'!$A:$A, "="&amp;$BU$2)</f>
        <v>0</v>
      </c>
    </row>
    <row r="77" spans="1:73" x14ac:dyDescent="0.25">
      <c r="A77" s="9" t="s">
        <v>357</v>
      </c>
      <c r="B77" t="s">
        <v>215</v>
      </c>
      <c r="C77" t="s">
        <v>99</v>
      </c>
      <c r="D77" s="7">
        <f>SUMIFS('Tong_hop_HQNV_2026Q1_2026-06-23'!$K:$K,'Tong_hop_HQNV_2026Q1_2026-06-23'!$A:$A,"="&amp;'CHECK_DT-BT_chi_tiet'!$D$2,'Tong_hop_HQNV_2026Q1_2026-06-23'!$B:$B, "="&amp;'CHECK_DT-BT_chi_tiet'!A77)</f>
        <v>437691650</v>
      </c>
      <c r="E77" s="7">
        <f>SUMIFS('HQ1'!$C:$C,'HQ1'!$A:$A, "="&amp;'CHECK_DT-BT_chi_tiet'!C77,'HQ1'!$B:$B, "="&amp;'CHECK_DT-BT_chi_tiet'!$D$3)</f>
        <v>437085650</v>
      </c>
      <c r="F77" s="7">
        <f t="shared" si="22"/>
        <v>606000</v>
      </c>
      <c r="G77" s="7">
        <f>SUMIFS('Tong_hop_HQNV_2026Q1_2026-06-23'!$K:$K,'Tong_hop_HQNV_2026Q1_2026-06-23'!$A:$A,"="&amp;'CHECK_DT-BT_chi_tiet'!$G$2,'Tong_hop_HQNV_2026Q1_2026-06-23'!$B:$B, "="&amp;'CHECK_DT-BT_chi_tiet'!A77)</f>
        <v>42701500</v>
      </c>
      <c r="H77" s="7">
        <f>SUMIFS('HQ1'!$C:$C,'HQ1'!$A:$A, "="&amp;'CHECK_DT-BT_chi_tiet'!C77,'HQ1'!$B:$B, "="&amp;'CHECK_DT-BT_chi_tiet'!$G$3)</f>
        <v>42701500</v>
      </c>
      <c r="I77" s="7">
        <f t="shared" si="23"/>
        <v>0</v>
      </c>
      <c r="J77" s="7">
        <f>SUMIFS('Tong_hop_HQNV_2026Q1_2026-06-23'!$K:$K,'Tong_hop_HQNV_2026Q1_2026-06-23'!$A:$A,"="&amp;'CHECK_DT-BT_chi_tiet'!$J$2,'Tong_hop_HQNV_2026Q1_2026-06-23'!$B:$B, "="&amp;'CHECK_DT-BT_chi_tiet'!A77)</f>
        <v>3147149837</v>
      </c>
      <c r="K77" s="7">
        <f>SUMIFS('HQ1'!$C:$C,'HQ1'!$A:$A, "="&amp;'CHECK_DT-BT_chi_tiet'!C77,'HQ1'!$B:$B, "="&amp;'CHECK_DT-BT_chi_tiet'!$J$3)</f>
        <v>3147149837</v>
      </c>
      <c r="L77" s="7">
        <f t="shared" si="24"/>
        <v>0</v>
      </c>
      <c r="M77" s="7">
        <f>SUMIFS('Tong_hop_HQNV_2026Q1_2026-06-23'!$K:$K,'Tong_hop_HQNV_2026Q1_2026-06-23'!$A:$A,"="&amp;'CHECK_DT-BT_chi_tiet'!$M$2,'Tong_hop_HQNV_2026Q1_2026-06-23'!$B:$B, "="&amp;'CHECK_DT-BT_chi_tiet'!A77)</f>
        <v>1356708050</v>
      </c>
      <c r="N77" s="7">
        <f>SUMIFS('HQ1'!$C:$C,'HQ1'!$A:$A, "="&amp;'CHECK_DT-BT_chi_tiet'!C77,'HQ1'!$B:$B, "="&amp;'CHECK_DT-BT_chi_tiet'!$M$3)</f>
        <v>1356708050</v>
      </c>
      <c r="O77" s="7">
        <f t="shared" si="25"/>
        <v>0</v>
      </c>
      <c r="P77" s="7">
        <f>SUMIFS('Tong_hop_HQNV_2026Q1_2026-06-23'!$K:$K,'Tong_hop_HQNV_2026Q1_2026-06-23'!$A:$A,"="&amp;$P$2,'Tong_hop_HQNV_2026Q1_2026-06-23'!$B:$B, "="&amp;'CHECK_DT-BT_chi_tiet'!A77)</f>
        <v>0</v>
      </c>
      <c r="Q77" s="7">
        <f>SUMIFS('HQ2'!$C:$C,'HQ2'!$A:$A, "="&amp;'CHECK_DT-BT_chi_tiet'!C77,'HQ2'!$B:$B, "="&amp;'CHECK_DT-BT_chi_tiet'!$P$3)</f>
        <v>0</v>
      </c>
      <c r="R77" s="7">
        <f t="shared" si="26"/>
        <v>0</v>
      </c>
      <c r="S77" s="7">
        <f>SUMIFS('Tong_hop_HQNV_2026Q1_2026-06-23'!$K:$K,'Tong_hop_HQNV_2026Q1_2026-06-23'!$A:$A,"="&amp;$S$2,'Tong_hop_HQNV_2026Q1_2026-06-23'!$B:$B, "="&amp;'CHECK_DT-BT_chi_tiet'!A77)</f>
        <v>0</v>
      </c>
      <c r="T77" s="7">
        <f>SUMIFS('HQ2'!$C:$C,'HQ2'!$A:$A, "="&amp;'CHECK_DT-BT_chi_tiet'!C77,'HQ2'!$B:$B, "="&amp;'CHECK_DT-BT_chi_tiet'!$S$3)</f>
        <v>0</v>
      </c>
      <c r="U77" s="7">
        <f t="shared" si="27"/>
        <v>0</v>
      </c>
      <c r="V77" s="7">
        <f>SUMIFS('Tong_hop_HQNV_2026Q1_2026-06-23'!$K:$K,'Tong_hop_HQNV_2026Q1_2026-06-23'!$A:$A,"="&amp;$V$2,'Tong_hop_HQNV_2026Q1_2026-06-23'!$B:$B, "="&amp;'CHECK_DT-BT_chi_tiet'!A77)</f>
        <v>0</v>
      </c>
      <c r="W77" s="7">
        <f>SUMIFS('HQ2'!$C:$C,'HQ2'!$A:$A, "="&amp;'CHECK_DT-BT_chi_tiet'!C77,'HQ2'!$B:$B, "="&amp;'CHECK_DT-BT_chi_tiet'!$V$3)</f>
        <v>0</v>
      </c>
      <c r="X77" s="7">
        <f t="shared" si="28"/>
        <v>0</v>
      </c>
      <c r="Y77" s="7">
        <f>SUMIFS('Tong_hop_HQNV_2026Q1_2026-06-23'!$K:$K,'Tong_hop_HQNV_2026Q1_2026-06-23'!$A:$A,"="&amp;$Y$2,'Tong_hop_HQNV_2026Q1_2026-06-23'!$B:$B, "="&amp;'CHECK_DT-BT_chi_tiet'!A77)</f>
        <v>711507734</v>
      </c>
      <c r="Z77" s="7">
        <f>SUMIFS('HQ2'!$C:$C,'HQ2'!$A:$A, "="&amp;'CHECK_DT-BT_chi_tiet'!C77,'HQ2'!$B:$B, "="&amp;'CHECK_DT-BT_chi_tiet'!$Y$3)</f>
        <v>711507734</v>
      </c>
      <c r="AA77" s="7">
        <f t="shared" si="29"/>
        <v>0</v>
      </c>
      <c r="AB77" s="7">
        <f>SUMIFS('Tong_hop_HQNV_2026Q1_2026-06-23'!$K:$K,'Tong_hop_HQNV_2026Q1_2026-06-23'!$A:$A,"="&amp;$AB$2,'Tong_hop_HQNV_2026Q1_2026-06-23'!$B:$B, "="&amp;'CHECK_DT-BT_chi_tiet'!A77)</f>
        <v>635614428</v>
      </c>
      <c r="AC77" s="7">
        <f>SUMIFS('HQ2'!$C:$C,'HQ2'!$A:$A, "="&amp;'CHECK_DT-BT_chi_tiet'!C77,'HQ2'!$B:$B, "="&amp;'CHECK_DT-BT_chi_tiet'!$AB$3)</f>
        <v>635614428</v>
      </c>
      <c r="AD77" s="7">
        <f t="shared" si="30"/>
        <v>0</v>
      </c>
      <c r="AE77" s="7">
        <f>SUMIFS('Tong_hop_HQNV_2026Q1_2026-06-23'!$K:$K,'Tong_hop_HQNV_2026Q1_2026-06-23'!$A:$A,"="&amp;$AE$2,'Tong_hop_HQNV_2026Q1_2026-06-23'!$B:$B, "="&amp;'CHECK_DT-BT_chi_tiet'!A77)</f>
        <v>454305982</v>
      </c>
      <c r="AF77" s="7">
        <f>SUMIFS('HQ2'!$C:$C,'HQ2'!$A:$A, "="&amp;'CHECK_DT-BT_chi_tiet'!C77,'HQ2'!$B:$B, "="&amp;'CHECK_DT-BT_chi_tiet'!$AE$3)</f>
        <v>454305982</v>
      </c>
      <c r="AG77" s="7">
        <f t="shared" si="31"/>
        <v>0</v>
      </c>
      <c r="AH77" s="7">
        <f>SUMIFS('Tong_hop_HQNV_2026Q1_2026-06-23'!$K:$K,'Tong_hop_HQNV_2026Q1_2026-06-23'!$A:$A,"="&amp;$AH$2,'Tong_hop_HQNV_2026Q1_2026-06-23'!$B:$B, "="&amp;'CHECK_DT-BT_chi_tiet'!A77)</f>
        <v>0</v>
      </c>
      <c r="AI77" s="7">
        <f>SUMIFS('HQ2'!$C:$C,'HQ2'!$A:$A, "="&amp;'CHECK_DT-BT_chi_tiet'!C77,'HQ2'!$B:$B, "="&amp;'CHECK_DT-BT_chi_tiet'!$AH$3)</f>
        <v>0</v>
      </c>
      <c r="AJ77" s="7">
        <f t="shared" si="32"/>
        <v>0</v>
      </c>
      <c r="AK77" s="7">
        <f>SUMIFS('Tong_hop_HQNV_2026Q1_2026-06-23'!$K:$K,'Tong_hop_HQNV_2026Q1_2026-06-23'!$A:$A,"="&amp;$AK$2,'Tong_hop_HQNV_2026Q1_2026-06-23'!$B:$B, "="&amp;'CHECK_DT-BT_chi_tiet'!A77)</f>
        <v>0</v>
      </c>
      <c r="AL77" s="7">
        <f>SUMIFS('Tong_hop_HQNV_2026Q1_2026-06-23'!$K:$K,'Tong_hop_HQNV_2026Q1_2026-06-23'!$A:$A,"="&amp;$AL$2,'Tong_hop_HQNV_2026Q1_2026-06-23'!$B:$B, "="&amp;'CHECK_DT-BT_chi_tiet'!A77)</f>
        <v>0</v>
      </c>
      <c r="AM77" s="23">
        <f>SUMIFS('Tong_hop_HQNV_2026Q1_2026-06-23'!$L:$L,'Tong_hop_HQNV_2026Q1_2026-06-23'!$B:$B, "="&amp;'CHECK_DT-BT_chi_tiet'!A77, 'Tong_hop_HQNV_2026Q1_2026-06-23'!$A:$A, "="&amp;'CHECK_DT-BT_chi_tiet'!$AM$2)</f>
        <v>731029000</v>
      </c>
      <c r="AN77" s="29">
        <f>SUMIFS('HQ1'!$D:$D,'HQ1'!$A:$A, "="&amp;'CHECK_DT-BT_chi_tiet'!C77,'HQ1'!$B:$B,"="&amp;'CHECK_DT-BT_chi_tiet'!$AM$3)</f>
        <v>731029000</v>
      </c>
      <c r="AO77" s="29">
        <f t="shared" si="33"/>
        <v>0</v>
      </c>
      <c r="AP77" s="7">
        <f>SUMIFS('Tong_hop_HQNV_2026Q1_2026-06-23'!$L:$L,'Tong_hop_HQNV_2026Q1_2026-06-23'!$B:$B, "="&amp;'CHECK_DT-BT_chi_tiet'!A77, 'Tong_hop_HQNV_2026Q1_2026-06-23'!$A:$A, "="&amp;'CHECK_DT-BT_chi_tiet'!$AP$2)</f>
        <v>0</v>
      </c>
      <c r="AQ77" s="29">
        <f>SUMIFS('HQ1'!$D:$D,'HQ1'!$A:$A, "="&amp;'CHECK_DT-BT_chi_tiet'!C77,'HQ1'!$B:$B,"="&amp;'CHECK_DT-BT_chi_tiet'!$AP$3)</f>
        <v>0</v>
      </c>
      <c r="AR77" s="7">
        <f t="shared" si="34"/>
        <v>0</v>
      </c>
      <c r="AS77" s="7">
        <f>SUMIFS('Tong_hop_HQNV_2026Q1_2026-06-23'!$L:$L,'Tong_hop_HQNV_2026Q1_2026-06-23'!$B:$B, "="&amp;'CHECK_DT-BT_chi_tiet'!A77, 'Tong_hop_HQNV_2026Q1_2026-06-23'!$A:$A, "="&amp;'CHECK_DT-BT_chi_tiet'!$AS$2)</f>
        <v>1471997938</v>
      </c>
      <c r="AT77" s="29">
        <f>SUMIFS('HQ1'!$D:$D,'HQ1'!$A:$A, "="&amp;'CHECK_DT-BT_chi_tiet'!C77,'HQ1'!$B:$B,"="&amp;'CHECK_DT-BT_chi_tiet'!$AS$3)</f>
        <v>1471997938</v>
      </c>
      <c r="AU77" s="7">
        <f t="shared" si="35"/>
        <v>0</v>
      </c>
      <c r="AV77" s="7">
        <f>SUMIFS('Tong_hop_HQNV_2026Q1_2026-06-23'!$L:$L,'Tong_hop_HQNV_2026Q1_2026-06-23'!$B:$B, "="&amp;'CHECK_DT-BT_chi_tiet'!A77, 'Tong_hop_HQNV_2026Q1_2026-06-23'!$A:$A, "="&amp;'CHECK_DT-BT_chi_tiet'!$AV$2)</f>
        <v>90459265</v>
      </c>
      <c r="AW77" s="29">
        <f>SUMIFS('HQ1'!$D:$D,'HQ1'!$A:$A, "="&amp;'CHECK_DT-BT_chi_tiet'!C77,'HQ1'!$B:$B,"="&amp;'CHECK_DT-BT_chi_tiet'!$AV$3)</f>
        <v>90459265</v>
      </c>
      <c r="AX77" s="7">
        <f t="shared" si="36"/>
        <v>0</v>
      </c>
      <c r="AY77" s="7">
        <f>SUMIFS('Tong_hop_HQNV_2026Q1_2026-06-23'!$L:$L,'Tong_hop_HQNV_2026Q1_2026-06-23'!$B:$B, "="&amp;'CHECK_DT-BT_chi_tiet'!A77, 'Tong_hop_HQNV_2026Q1_2026-06-23'!$A:$A, "="&amp;$AY$2)</f>
        <v>0</v>
      </c>
      <c r="AZ77" s="29">
        <f>SUMIFS('HQ2'!$J:$J,'HQ2'!$A:$A, "="&amp;'CHECK_DT-BT_chi_tiet'!C77,'HQ2'!$B:$B,"="&amp;'CHECK_DT-BT_chi_tiet'!$AY$3)</f>
        <v>0</v>
      </c>
      <c r="BA77" s="7">
        <f t="shared" si="37"/>
        <v>0</v>
      </c>
      <c r="BB77" s="7">
        <f>SUMIFS('Tong_hop_HQNV_2026Q1_2026-06-23'!$L:$L,'Tong_hop_HQNV_2026Q1_2026-06-23'!$B:$B, "="&amp;'CHECK_DT-BT_chi_tiet'!A77, 'Tong_hop_HQNV_2026Q1_2026-06-23'!$A:$A, "="&amp;$BB$2)</f>
        <v>0</v>
      </c>
      <c r="BC77" s="29">
        <f>SUMIFS('HQ2'!$J:$J,'HQ2'!$A:$A, "="&amp;'CHECK_DT-BT_chi_tiet'!C77,'HQ2'!$B:$B,"="&amp;'CHECK_DT-BT_chi_tiet'!$BB$3)</f>
        <v>0</v>
      </c>
      <c r="BD77" s="7">
        <f t="shared" si="38"/>
        <v>0</v>
      </c>
      <c r="BE77" s="7">
        <f>SUMIFS('Tong_hop_HQNV_2026Q1_2026-06-23'!$L:$L,'Tong_hop_HQNV_2026Q1_2026-06-23'!$B:$B, "="&amp;'CHECK_DT-BT_chi_tiet'!A77, 'Tong_hop_HQNV_2026Q1_2026-06-23'!$A:$A, "="&amp;$BE$2)</f>
        <v>0</v>
      </c>
      <c r="BF77" s="29">
        <f>SUMIFS('HQ2'!$J:$J,'HQ2'!$A:$A, "="&amp;'CHECK_DT-BT_chi_tiet'!C77,'HQ2'!$B:$B,"="&amp;'CHECK_DT-BT_chi_tiet'!$BE$3)</f>
        <v>0</v>
      </c>
      <c r="BG77" s="7">
        <f t="shared" si="39"/>
        <v>0</v>
      </c>
      <c r="BH77" s="7">
        <f>SUMIFS('Tong_hop_HQNV_2026Q1_2026-06-23'!$L:$L,'Tong_hop_HQNV_2026Q1_2026-06-23'!$B:$B, "="&amp;'CHECK_DT-BT_chi_tiet'!A77, 'Tong_hop_HQNV_2026Q1_2026-06-23'!$A:$A, "="&amp;$BH$2)</f>
        <v>9000000</v>
      </c>
      <c r="BI77" s="29">
        <f>SUMIFS('HQ2'!$J:$J,'HQ2'!$A:$A, "="&amp;'CHECK_DT-BT_chi_tiet'!C77,'HQ2'!$B:$B,"="&amp;'CHECK_DT-BT_chi_tiet'!$BH$3)</f>
        <v>9000000</v>
      </c>
      <c r="BJ77" s="7">
        <f t="shared" si="40"/>
        <v>0</v>
      </c>
      <c r="BK77" s="7">
        <f>SUMIFS('Tong_hop_HQNV_2026Q1_2026-06-23'!$L:$L,'Tong_hop_HQNV_2026Q1_2026-06-23'!$B:$B, "="&amp;'CHECK_DT-BT_chi_tiet'!A77, 'Tong_hop_HQNV_2026Q1_2026-06-23'!$A:$A, "="&amp;$BK$2)</f>
        <v>0</v>
      </c>
      <c r="BL77" s="29">
        <f>SUMIFS('HQ2'!$J:$J,'HQ2'!$A:$A, "="&amp;'CHECK_DT-BT_chi_tiet'!C77,'HQ2'!$B:$B,"="&amp;'CHECK_DT-BT_chi_tiet'!$BK$3)</f>
        <v>0</v>
      </c>
      <c r="BM77" s="7">
        <f t="shared" si="41"/>
        <v>0</v>
      </c>
      <c r="BN77" s="7">
        <f>SUMIFS('Tong_hop_HQNV_2026Q1_2026-06-23'!$L:$L,'Tong_hop_HQNV_2026Q1_2026-06-23'!$B:$B, "="&amp;'CHECK_DT-BT_chi_tiet'!A77, 'Tong_hop_HQNV_2026Q1_2026-06-23'!$A:$A, "="&amp;$BN$2)</f>
        <v>0</v>
      </c>
      <c r="BO77" s="29">
        <f>SUMIFS('HQ2'!$J:$J,'HQ2'!$A:$A, "="&amp;'CHECK_DT-BT_chi_tiet'!C77,'HQ2'!$B:$B,"="&amp;'CHECK_DT-BT_chi_tiet'!$BN$3)</f>
        <v>0</v>
      </c>
      <c r="BP77" s="7">
        <f t="shared" si="42"/>
        <v>0</v>
      </c>
      <c r="BQ77" s="7">
        <f>SUMIFS('Tong_hop_HQNV_2026Q1_2026-06-23'!$L:$L,'Tong_hop_HQNV_2026Q1_2026-06-23'!$B:$B, "="&amp;'CHECK_DT-BT_chi_tiet'!A77, 'Tong_hop_HQNV_2026Q1_2026-06-23'!$A:$A, "="&amp;$BQ$2)</f>
        <v>0</v>
      </c>
      <c r="BR77" s="29">
        <f>SUMIFS('HQ2'!$J:$J,'HQ2'!$A:$A, "="&amp;'CHECK_DT-BT_chi_tiet'!C77,'HQ2'!$B:$B,"="&amp;'CHECK_DT-BT_chi_tiet'!$BQ$3)</f>
        <v>0</v>
      </c>
      <c r="BS77" s="7">
        <f t="shared" si="43"/>
        <v>0</v>
      </c>
      <c r="BT77" s="7">
        <f>SUMIFS('Tong_hop_HQNV_2026Q1_2026-06-23'!$L:$L,'Tong_hop_HQNV_2026Q1_2026-06-23'!$B:$B, "="&amp;'CHECK_DT-BT_chi_tiet'!A77, 'Tong_hop_HQNV_2026Q1_2026-06-23'!$A:$A, "="&amp;$BT$2)</f>
        <v>0</v>
      </c>
      <c r="BU77" s="7">
        <f>SUMIFS('Tong_hop_HQNV_2026Q1_2026-06-23'!$L:$L,'Tong_hop_HQNV_2026Q1_2026-06-23'!$B:$B, "="&amp;'CHECK_DT-BT_chi_tiet'!A77, 'Tong_hop_HQNV_2026Q1_2026-06-23'!$A:$A, "="&amp;$BU$2)</f>
        <v>0</v>
      </c>
    </row>
    <row r="78" spans="1:73" x14ac:dyDescent="0.25">
      <c r="A78" s="9" t="s">
        <v>358</v>
      </c>
      <c r="B78" t="s">
        <v>216</v>
      </c>
      <c r="C78" t="s">
        <v>66</v>
      </c>
      <c r="D78" s="7">
        <f>SUMIFS('Tong_hop_HQNV_2026Q1_2026-06-23'!$K:$K,'Tong_hop_HQNV_2026Q1_2026-06-23'!$A:$A,"="&amp;'CHECK_DT-BT_chi_tiet'!$D$2,'Tong_hop_HQNV_2026Q1_2026-06-23'!$B:$B, "="&amp;'CHECK_DT-BT_chi_tiet'!A78)</f>
        <v>4307165996</v>
      </c>
      <c r="E78" s="7">
        <f>SUMIFS('HQ1'!$C:$C,'HQ1'!$A:$A, "="&amp;'CHECK_DT-BT_chi_tiet'!C78,'HQ1'!$B:$B, "="&amp;'CHECK_DT-BT_chi_tiet'!$D$3)</f>
        <v>4307165996</v>
      </c>
      <c r="F78" s="7">
        <f t="shared" si="22"/>
        <v>0</v>
      </c>
      <c r="G78" s="7">
        <f>SUMIFS('Tong_hop_HQNV_2026Q1_2026-06-23'!$K:$K,'Tong_hop_HQNV_2026Q1_2026-06-23'!$A:$A,"="&amp;'CHECK_DT-BT_chi_tiet'!$G$2,'Tong_hop_HQNV_2026Q1_2026-06-23'!$B:$B, "="&amp;'CHECK_DT-BT_chi_tiet'!A78)</f>
        <v>753234396</v>
      </c>
      <c r="H78" s="7">
        <f>SUMIFS('HQ1'!$C:$C,'HQ1'!$A:$A, "="&amp;'CHECK_DT-BT_chi_tiet'!C78,'HQ1'!$B:$B, "="&amp;'CHECK_DT-BT_chi_tiet'!$G$3)</f>
        <v>753234396</v>
      </c>
      <c r="I78" s="7">
        <f t="shared" si="23"/>
        <v>0</v>
      </c>
      <c r="J78" s="7">
        <f>SUMIFS('Tong_hop_HQNV_2026Q1_2026-06-23'!$K:$K,'Tong_hop_HQNV_2026Q1_2026-06-23'!$A:$A,"="&amp;'CHECK_DT-BT_chi_tiet'!$J$2,'Tong_hop_HQNV_2026Q1_2026-06-23'!$B:$B, "="&amp;'CHECK_DT-BT_chi_tiet'!A78)</f>
        <v>5677768890</v>
      </c>
      <c r="K78" s="7">
        <f>SUMIFS('HQ1'!$C:$C,'HQ1'!$A:$A, "="&amp;'CHECK_DT-BT_chi_tiet'!C78,'HQ1'!$B:$B, "="&amp;'CHECK_DT-BT_chi_tiet'!$J$3)</f>
        <v>5677768890</v>
      </c>
      <c r="L78" s="7">
        <f t="shared" si="24"/>
        <v>0</v>
      </c>
      <c r="M78" s="7">
        <f>SUMIFS('Tong_hop_HQNV_2026Q1_2026-06-23'!$K:$K,'Tong_hop_HQNV_2026Q1_2026-06-23'!$A:$A,"="&amp;'CHECK_DT-BT_chi_tiet'!$M$2,'Tong_hop_HQNV_2026Q1_2026-06-23'!$B:$B, "="&amp;'CHECK_DT-BT_chi_tiet'!A78)</f>
        <v>7662063881</v>
      </c>
      <c r="N78" s="7">
        <f>SUMIFS('HQ1'!$C:$C,'HQ1'!$A:$A, "="&amp;'CHECK_DT-BT_chi_tiet'!C78,'HQ1'!$B:$B, "="&amp;'CHECK_DT-BT_chi_tiet'!$M$3)</f>
        <v>7662063881</v>
      </c>
      <c r="O78" s="7">
        <f t="shared" si="25"/>
        <v>0</v>
      </c>
      <c r="P78" s="7">
        <f>SUMIFS('Tong_hop_HQNV_2026Q1_2026-06-23'!$K:$K,'Tong_hop_HQNV_2026Q1_2026-06-23'!$A:$A,"="&amp;$P$2,'Tong_hop_HQNV_2026Q1_2026-06-23'!$B:$B, "="&amp;'CHECK_DT-BT_chi_tiet'!A78)</f>
        <v>210167932</v>
      </c>
      <c r="Q78" s="7">
        <f>SUMIFS('HQ2'!$C:$C,'HQ2'!$A:$A, "="&amp;'CHECK_DT-BT_chi_tiet'!C78,'HQ2'!$B:$B, "="&amp;'CHECK_DT-BT_chi_tiet'!$P$3)</f>
        <v>210167932</v>
      </c>
      <c r="R78" s="7">
        <f t="shared" si="26"/>
        <v>0</v>
      </c>
      <c r="S78" s="7">
        <f>SUMIFS('Tong_hop_HQNV_2026Q1_2026-06-23'!$K:$K,'Tong_hop_HQNV_2026Q1_2026-06-23'!$A:$A,"="&amp;$S$2,'Tong_hop_HQNV_2026Q1_2026-06-23'!$B:$B, "="&amp;'CHECK_DT-BT_chi_tiet'!A78)</f>
        <v>441818184</v>
      </c>
      <c r="T78" s="7">
        <f>SUMIFS('HQ2'!$C:$C,'HQ2'!$A:$A, "="&amp;'CHECK_DT-BT_chi_tiet'!C78,'HQ2'!$B:$B, "="&amp;'CHECK_DT-BT_chi_tiet'!$S$3)</f>
        <v>441818184</v>
      </c>
      <c r="U78" s="7">
        <f t="shared" si="27"/>
        <v>0</v>
      </c>
      <c r="V78" s="7">
        <f>SUMIFS('Tong_hop_HQNV_2026Q1_2026-06-23'!$K:$K,'Tong_hop_HQNV_2026Q1_2026-06-23'!$A:$A,"="&amp;$V$2,'Tong_hop_HQNV_2026Q1_2026-06-23'!$B:$B, "="&amp;'CHECK_DT-BT_chi_tiet'!A78)</f>
        <v>1736146939</v>
      </c>
      <c r="W78" s="7">
        <f>SUMIFS('HQ2'!$C:$C,'HQ2'!$A:$A, "="&amp;'CHECK_DT-BT_chi_tiet'!C78,'HQ2'!$B:$B, "="&amp;'CHECK_DT-BT_chi_tiet'!$V$3)</f>
        <v>1736146939</v>
      </c>
      <c r="X78" s="7">
        <f t="shared" si="28"/>
        <v>0</v>
      </c>
      <c r="Y78" s="7">
        <f>SUMIFS('Tong_hop_HQNV_2026Q1_2026-06-23'!$K:$K,'Tong_hop_HQNV_2026Q1_2026-06-23'!$A:$A,"="&amp;$Y$2,'Tong_hop_HQNV_2026Q1_2026-06-23'!$B:$B, "="&amp;'CHECK_DT-BT_chi_tiet'!A78)</f>
        <v>0</v>
      </c>
      <c r="Z78" s="7">
        <f>SUMIFS('HQ2'!$C:$C,'HQ2'!$A:$A, "="&amp;'CHECK_DT-BT_chi_tiet'!C78,'HQ2'!$B:$B, "="&amp;'CHECK_DT-BT_chi_tiet'!$Y$3)</f>
        <v>0</v>
      </c>
      <c r="AA78" s="7">
        <f t="shared" si="29"/>
        <v>0</v>
      </c>
      <c r="AB78" s="7">
        <f>SUMIFS('Tong_hop_HQNV_2026Q1_2026-06-23'!$K:$K,'Tong_hop_HQNV_2026Q1_2026-06-23'!$A:$A,"="&amp;$AB$2,'Tong_hop_HQNV_2026Q1_2026-06-23'!$B:$B, "="&amp;'CHECK_DT-BT_chi_tiet'!A78)</f>
        <v>4227294113</v>
      </c>
      <c r="AC78" s="7">
        <f>SUMIFS('HQ2'!$C:$C,'HQ2'!$A:$A, "="&amp;'CHECK_DT-BT_chi_tiet'!C78,'HQ2'!$B:$B, "="&amp;'CHECK_DT-BT_chi_tiet'!$AB$3)</f>
        <v>4227294113</v>
      </c>
      <c r="AD78" s="7">
        <f t="shared" si="30"/>
        <v>0</v>
      </c>
      <c r="AE78" s="7">
        <f>SUMIFS('Tong_hop_HQNV_2026Q1_2026-06-23'!$K:$K,'Tong_hop_HQNV_2026Q1_2026-06-23'!$A:$A,"="&amp;$AE$2,'Tong_hop_HQNV_2026Q1_2026-06-23'!$B:$B, "="&amp;'CHECK_DT-BT_chi_tiet'!A78)</f>
        <v>3327655073</v>
      </c>
      <c r="AF78" s="7">
        <f>SUMIFS('HQ2'!$C:$C,'HQ2'!$A:$A, "="&amp;'CHECK_DT-BT_chi_tiet'!C78,'HQ2'!$B:$B, "="&amp;'CHECK_DT-BT_chi_tiet'!$AE$3)</f>
        <v>3327655073</v>
      </c>
      <c r="AG78" s="7">
        <f t="shared" si="31"/>
        <v>0</v>
      </c>
      <c r="AH78" s="7">
        <f>SUMIFS('Tong_hop_HQNV_2026Q1_2026-06-23'!$K:$K,'Tong_hop_HQNV_2026Q1_2026-06-23'!$A:$A,"="&amp;$AH$2,'Tong_hop_HQNV_2026Q1_2026-06-23'!$B:$B, "="&amp;'CHECK_DT-BT_chi_tiet'!A78)</f>
        <v>62244592</v>
      </c>
      <c r="AI78" s="7">
        <f>SUMIFS('HQ2'!$C:$C,'HQ2'!$A:$A, "="&amp;'CHECK_DT-BT_chi_tiet'!C78,'HQ2'!$B:$B, "="&amp;'CHECK_DT-BT_chi_tiet'!$AH$3)</f>
        <v>62244592</v>
      </c>
      <c r="AJ78" s="7">
        <f t="shared" si="32"/>
        <v>0</v>
      </c>
      <c r="AK78" s="7">
        <f>SUMIFS('Tong_hop_HQNV_2026Q1_2026-06-23'!$K:$K,'Tong_hop_HQNV_2026Q1_2026-06-23'!$A:$A,"="&amp;$AK$2,'Tong_hop_HQNV_2026Q1_2026-06-23'!$B:$B, "="&amp;'CHECK_DT-BT_chi_tiet'!A78)</f>
        <v>0</v>
      </c>
      <c r="AL78" s="7">
        <f>SUMIFS('Tong_hop_HQNV_2026Q1_2026-06-23'!$K:$K,'Tong_hop_HQNV_2026Q1_2026-06-23'!$A:$A,"="&amp;$AL$2,'Tong_hop_HQNV_2026Q1_2026-06-23'!$B:$B, "="&amp;'CHECK_DT-BT_chi_tiet'!A78)</f>
        <v>0</v>
      </c>
      <c r="AM78" s="23">
        <f>SUMIFS('Tong_hop_HQNV_2026Q1_2026-06-23'!$L:$L,'Tong_hop_HQNV_2026Q1_2026-06-23'!$B:$B, "="&amp;'CHECK_DT-BT_chi_tiet'!A78, 'Tong_hop_HQNV_2026Q1_2026-06-23'!$A:$A, "="&amp;'CHECK_DT-BT_chi_tiet'!$AM$2)</f>
        <v>1728141383</v>
      </c>
      <c r="AN78" s="29">
        <f>SUMIFS('HQ1'!$D:$D,'HQ1'!$A:$A, "="&amp;'CHECK_DT-BT_chi_tiet'!C78,'HQ1'!$B:$B,"="&amp;'CHECK_DT-BT_chi_tiet'!$AM$3)</f>
        <v>1728141383</v>
      </c>
      <c r="AO78" s="29">
        <f t="shared" si="33"/>
        <v>0</v>
      </c>
      <c r="AP78" s="7">
        <f>SUMIFS('Tong_hop_HQNV_2026Q1_2026-06-23'!$L:$L,'Tong_hop_HQNV_2026Q1_2026-06-23'!$B:$B, "="&amp;'CHECK_DT-BT_chi_tiet'!A78, 'Tong_hop_HQNV_2026Q1_2026-06-23'!$A:$A, "="&amp;'CHECK_DT-BT_chi_tiet'!$AP$2)</f>
        <v>0</v>
      </c>
      <c r="AQ78" s="29">
        <f>SUMIFS('HQ1'!$D:$D,'HQ1'!$A:$A, "="&amp;'CHECK_DT-BT_chi_tiet'!C78,'HQ1'!$B:$B,"="&amp;'CHECK_DT-BT_chi_tiet'!$AP$3)</f>
        <v>0</v>
      </c>
      <c r="AR78" s="7">
        <f t="shared" si="34"/>
        <v>0</v>
      </c>
      <c r="AS78" s="7">
        <f>SUMIFS('Tong_hop_HQNV_2026Q1_2026-06-23'!$L:$L,'Tong_hop_HQNV_2026Q1_2026-06-23'!$B:$B, "="&amp;'CHECK_DT-BT_chi_tiet'!A78, 'Tong_hop_HQNV_2026Q1_2026-06-23'!$A:$A, "="&amp;'CHECK_DT-BT_chi_tiet'!$AS$2)</f>
        <v>4212671883</v>
      </c>
      <c r="AT78" s="29">
        <f>SUMIFS('HQ1'!$D:$D,'HQ1'!$A:$A, "="&amp;'CHECK_DT-BT_chi_tiet'!C78,'HQ1'!$B:$B,"="&amp;'CHECK_DT-BT_chi_tiet'!$AS$3)</f>
        <v>4212671883</v>
      </c>
      <c r="AU78" s="7">
        <f t="shared" si="35"/>
        <v>0</v>
      </c>
      <c r="AV78" s="7">
        <f>SUMIFS('Tong_hop_HQNV_2026Q1_2026-06-23'!$L:$L,'Tong_hop_HQNV_2026Q1_2026-06-23'!$B:$B, "="&amp;'CHECK_DT-BT_chi_tiet'!A78, 'Tong_hop_HQNV_2026Q1_2026-06-23'!$A:$A, "="&amp;'CHECK_DT-BT_chi_tiet'!$AV$2)</f>
        <v>2195234045</v>
      </c>
      <c r="AW78" s="29">
        <f>SUMIFS('HQ1'!$D:$D,'HQ1'!$A:$A, "="&amp;'CHECK_DT-BT_chi_tiet'!C78,'HQ1'!$B:$B,"="&amp;'CHECK_DT-BT_chi_tiet'!$AV$3)</f>
        <v>2195234045</v>
      </c>
      <c r="AX78" s="7">
        <f t="shared" si="36"/>
        <v>0</v>
      </c>
      <c r="AY78" s="7">
        <f>SUMIFS('Tong_hop_HQNV_2026Q1_2026-06-23'!$L:$L,'Tong_hop_HQNV_2026Q1_2026-06-23'!$B:$B, "="&amp;'CHECK_DT-BT_chi_tiet'!A78, 'Tong_hop_HQNV_2026Q1_2026-06-23'!$A:$A, "="&amp;$AY$2)</f>
        <v>51363155</v>
      </c>
      <c r="AZ78" s="29">
        <f>SUMIFS('HQ2'!$J:$J,'HQ2'!$A:$A, "="&amp;'CHECK_DT-BT_chi_tiet'!C78,'HQ2'!$B:$B,"="&amp;'CHECK_DT-BT_chi_tiet'!$AY$3)</f>
        <v>51363155</v>
      </c>
      <c r="BA78" s="7">
        <f t="shared" si="37"/>
        <v>0</v>
      </c>
      <c r="BB78" s="7">
        <f>SUMIFS('Tong_hop_HQNV_2026Q1_2026-06-23'!$L:$L,'Tong_hop_HQNV_2026Q1_2026-06-23'!$B:$B, "="&amp;'CHECK_DT-BT_chi_tiet'!A78, 'Tong_hop_HQNV_2026Q1_2026-06-23'!$A:$A, "="&amp;$BB$2)</f>
        <v>0</v>
      </c>
      <c r="BC78" s="29">
        <f>SUMIFS('HQ2'!$J:$J,'HQ2'!$A:$A, "="&amp;'CHECK_DT-BT_chi_tiet'!C78,'HQ2'!$B:$B,"="&amp;'CHECK_DT-BT_chi_tiet'!$BB$3)</f>
        <v>0</v>
      </c>
      <c r="BD78" s="7">
        <f t="shared" si="38"/>
        <v>0</v>
      </c>
      <c r="BE78" s="7">
        <f>SUMIFS('Tong_hop_HQNV_2026Q1_2026-06-23'!$L:$L,'Tong_hop_HQNV_2026Q1_2026-06-23'!$B:$B, "="&amp;'CHECK_DT-BT_chi_tiet'!A78, 'Tong_hop_HQNV_2026Q1_2026-06-23'!$A:$A, "="&amp;$BE$2)</f>
        <v>0</v>
      </c>
      <c r="BF78" s="29">
        <f>SUMIFS('HQ2'!$J:$J,'HQ2'!$A:$A, "="&amp;'CHECK_DT-BT_chi_tiet'!C78,'HQ2'!$B:$B,"="&amp;'CHECK_DT-BT_chi_tiet'!$BE$3)</f>
        <v>0</v>
      </c>
      <c r="BG78" s="7">
        <f t="shared" si="39"/>
        <v>0</v>
      </c>
      <c r="BH78" s="7">
        <f>SUMIFS('Tong_hop_HQNV_2026Q1_2026-06-23'!$L:$L,'Tong_hop_HQNV_2026Q1_2026-06-23'!$B:$B, "="&amp;'CHECK_DT-BT_chi_tiet'!A78, 'Tong_hop_HQNV_2026Q1_2026-06-23'!$A:$A, "="&amp;$BH$2)</f>
        <v>0</v>
      </c>
      <c r="BI78" s="29">
        <f>SUMIFS('HQ2'!$J:$J,'HQ2'!$A:$A, "="&amp;'CHECK_DT-BT_chi_tiet'!C78,'HQ2'!$B:$B,"="&amp;'CHECK_DT-BT_chi_tiet'!$BH$3)</f>
        <v>0</v>
      </c>
      <c r="BJ78" s="7">
        <f t="shared" si="40"/>
        <v>0</v>
      </c>
      <c r="BK78" s="7">
        <f>SUMIFS('Tong_hop_HQNV_2026Q1_2026-06-23'!$L:$L,'Tong_hop_HQNV_2026Q1_2026-06-23'!$B:$B, "="&amp;'CHECK_DT-BT_chi_tiet'!A78, 'Tong_hop_HQNV_2026Q1_2026-06-23'!$A:$A, "="&amp;$BK$2)</f>
        <v>92745466</v>
      </c>
      <c r="BL78" s="29">
        <f>SUMIFS('HQ2'!$J:$J,'HQ2'!$A:$A, "="&amp;'CHECK_DT-BT_chi_tiet'!C78,'HQ2'!$B:$B,"="&amp;'CHECK_DT-BT_chi_tiet'!$BK$3)</f>
        <v>92745466</v>
      </c>
      <c r="BM78" s="7">
        <f t="shared" si="41"/>
        <v>0</v>
      </c>
      <c r="BN78" s="7">
        <f>SUMIFS('Tong_hop_HQNV_2026Q1_2026-06-23'!$L:$L,'Tong_hop_HQNV_2026Q1_2026-06-23'!$B:$B, "="&amp;'CHECK_DT-BT_chi_tiet'!A78, 'Tong_hop_HQNV_2026Q1_2026-06-23'!$A:$A, "="&amp;$BN$2)</f>
        <v>0</v>
      </c>
      <c r="BO78" s="29">
        <f>SUMIFS('HQ2'!$J:$J,'HQ2'!$A:$A, "="&amp;'CHECK_DT-BT_chi_tiet'!C78,'HQ2'!$B:$B,"="&amp;'CHECK_DT-BT_chi_tiet'!$BN$3)</f>
        <v>0</v>
      </c>
      <c r="BP78" s="7">
        <f t="shared" si="42"/>
        <v>0</v>
      </c>
      <c r="BQ78" s="7">
        <f>SUMIFS('Tong_hop_HQNV_2026Q1_2026-06-23'!$L:$L,'Tong_hop_HQNV_2026Q1_2026-06-23'!$B:$B, "="&amp;'CHECK_DT-BT_chi_tiet'!A78, 'Tong_hop_HQNV_2026Q1_2026-06-23'!$A:$A, "="&amp;$BQ$2)</f>
        <v>0</v>
      </c>
      <c r="BR78" s="29">
        <f>SUMIFS('HQ2'!$J:$J,'HQ2'!$A:$A, "="&amp;'CHECK_DT-BT_chi_tiet'!C78,'HQ2'!$B:$B,"="&amp;'CHECK_DT-BT_chi_tiet'!$BQ$3)</f>
        <v>0</v>
      </c>
      <c r="BS78" s="7">
        <f t="shared" si="43"/>
        <v>0</v>
      </c>
      <c r="BT78" s="7">
        <f>SUMIFS('Tong_hop_HQNV_2026Q1_2026-06-23'!$L:$L,'Tong_hop_HQNV_2026Q1_2026-06-23'!$B:$B, "="&amp;'CHECK_DT-BT_chi_tiet'!A78, 'Tong_hop_HQNV_2026Q1_2026-06-23'!$A:$A, "="&amp;$BT$2)</f>
        <v>0</v>
      </c>
      <c r="BU78" s="7">
        <f>SUMIFS('Tong_hop_HQNV_2026Q1_2026-06-23'!$L:$L,'Tong_hop_HQNV_2026Q1_2026-06-23'!$B:$B, "="&amp;'CHECK_DT-BT_chi_tiet'!A78, 'Tong_hop_HQNV_2026Q1_2026-06-23'!$A:$A, "="&amp;$BU$2)</f>
        <v>0</v>
      </c>
    </row>
    <row r="79" spans="1:73" x14ac:dyDescent="0.25">
      <c r="A79" s="9" t="s">
        <v>359</v>
      </c>
      <c r="B79" t="s">
        <v>217</v>
      </c>
      <c r="C79" t="s">
        <v>116</v>
      </c>
      <c r="D79" s="7">
        <f>SUMIFS('Tong_hop_HQNV_2026Q1_2026-06-23'!$K:$K,'Tong_hop_HQNV_2026Q1_2026-06-23'!$A:$A,"="&amp;'CHECK_DT-BT_chi_tiet'!$D$2,'Tong_hop_HQNV_2026Q1_2026-06-23'!$B:$B, "="&amp;'CHECK_DT-BT_chi_tiet'!A79)</f>
        <v>2451140900</v>
      </c>
      <c r="E79" s="7">
        <f>SUMIFS('HQ1'!$C:$C,'HQ1'!$A:$A, "="&amp;'CHECK_DT-BT_chi_tiet'!C79,'HQ1'!$B:$B, "="&amp;'CHECK_DT-BT_chi_tiet'!$D$3)</f>
        <v>2451080900</v>
      </c>
      <c r="F79" s="7">
        <f t="shared" si="22"/>
        <v>60000</v>
      </c>
      <c r="G79" s="7">
        <f>SUMIFS('Tong_hop_HQNV_2026Q1_2026-06-23'!$K:$K,'Tong_hop_HQNV_2026Q1_2026-06-23'!$A:$A,"="&amp;'CHECK_DT-BT_chi_tiet'!$G$2,'Tong_hop_HQNV_2026Q1_2026-06-23'!$B:$B, "="&amp;'CHECK_DT-BT_chi_tiet'!A79)</f>
        <v>5550000</v>
      </c>
      <c r="H79" s="7">
        <f>SUMIFS('HQ1'!$C:$C,'HQ1'!$A:$A, "="&amp;'CHECK_DT-BT_chi_tiet'!C79,'HQ1'!$B:$B, "="&amp;'CHECK_DT-BT_chi_tiet'!$G$3)</f>
        <v>5550000</v>
      </c>
      <c r="I79" s="7">
        <f t="shared" si="23"/>
        <v>0</v>
      </c>
      <c r="J79" s="7">
        <f>SUMIFS('Tong_hop_HQNV_2026Q1_2026-06-23'!$K:$K,'Tong_hop_HQNV_2026Q1_2026-06-23'!$A:$A,"="&amp;'CHECK_DT-BT_chi_tiet'!$J$2,'Tong_hop_HQNV_2026Q1_2026-06-23'!$B:$B, "="&amp;'CHECK_DT-BT_chi_tiet'!A79)</f>
        <v>2054058575</v>
      </c>
      <c r="K79" s="7">
        <f>SUMIFS('HQ1'!$C:$C,'HQ1'!$A:$A, "="&amp;'CHECK_DT-BT_chi_tiet'!C79,'HQ1'!$B:$B, "="&amp;'CHECK_DT-BT_chi_tiet'!$J$3)</f>
        <v>2054118575</v>
      </c>
      <c r="L79" s="7">
        <f t="shared" si="24"/>
        <v>-60000</v>
      </c>
      <c r="M79" s="7">
        <f>SUMIFS('Tong_hop_HQNV_2026Q1_2026-06-23'!$K:$K,'Tong_hop_HQNV_2026Q1_2026-06-23'!$A:$A,"="&amp;'CHECK_DT-BT_chi_tiet'!$M$2,'Tong_hop_HQNV_2026Q1_2026-06-23'!$B:$B, "="&amp;'CHECK_DT-BT_chi_tiet'!A79)</f>
        <v>344029705</v>
      </c>
      <c r="N79" s="7">
        <f>SUMIFS('HQ1'!$C:$C,'HQ1'!$A:$A, "="&amp;'CHECK_DT-BT_chi_tiet'!C79,'HQ1'!$B:$B, "="&amp;'CHECK_DT-BT_chi_tiet'!$M$3)</f>
        <v>344029705</v>
      </c>
      <c r="O79" s="7">
        <f t="shared" si="25"/>
        <v>0</v>
      </c>
      <c r="P79" s="7">
        <f>SUMIFS('Tong_hop_HQNV_2026Q1_2026-06-23'!$K:$K,'Tong_hop_HQNV_2026Q1_2026-06-23'!$A:$A,"="&amp;$P$2,'Tong_hop_HQNV_2026Q1_2026-06-23'!$B:$B, "="&amp;'CHECK_DT-BT_chi_tiet'!A79)</f>
        <v>0</v>
      </c>
      <c r="Q79" s="7">
        <f>SUMIFS('HQ2'!$C:$C,'HQ2'!$A:$A, "="&amp;'CHECK_DT-BT_chi_tiet'!C79,'HQ2'!$B:$B, "="&amp;'CHECK_DT-BT_chi_tiet'!$P$3)</f>
        <v>0</v>
      </c>
      <c r="R79" s="7">
        <f t="shared" si="26"/>
        <v>0</v>
      </c>
      <c r="S79" s="7">
        <f>SUMIFS('Tong_hop_HQNV_2026Q1_2026-06-23'!$K:$K,'Tong_hop_HQNV_2026Q1_2026-06-23'!$A:$A,"="&amp;$S$2,'Tong_hop_HQNV_2026Q1_2026-06-23'!$B:$B, "="&amp;'CHECK_DT-BT_chi_tiet'!A79)</f>
        <v>0</v>
      </c>
      <c r="T79" s="7">
        <f>SUMIFS('HQ2'!$C:$C,'HQ2'!$A:$A, "="&amp;'CHECK_DT-BT_chi_tiet'!C79,'HQ2'!$B:$B, "="&amp;'CHECK_DT-BT_chi_tiet'!$S$3)</f>
        <v>0</v>
      </c>
      <c r="U79" s="7">
        <f t="shared" si="27"/>
        <v>0</v>
      </c>
      <c r="V79" s="7">
        <f>SUMIFS('Tong_hop_HQNV_2026Q1_2026-06-23'!$K:$K,'Tong_hop_HQNV_2026Q1_2026-06-23'!$A:$A,"="&amp;$V$2,'Tong_hop_HQNV_2026Q1_2026-06-23'!$B:$B, "="&amp;'CHECK_DT-BT_chi_tiet'!A79)</f>
        <v>0</v>
      </c>
      <c r="W79" s="7">
        <f>SUMIFS('HQ2'!$C:$C,'HQ2'!$A:$A, "="&amp;'CHECK_DT-BT_chi_tiet'!C79,'HQ2'!$B:$B, "="&amp;'CHECK_DT-BT_chi_tiet'!$V$3)</f>
        <v>0</v>
      </c>
      <c r="X79" s="7">
        <f t="shared" si="28"/>
        <v>0</v>
      </c>
      <c r="Y79" s="7">
        <f>SUMIFS('Tong_hop_HQNV_2026Q1_2026-06-23'!$K:$K,'Tong_hop_HQNV_2026Q1_2026-06-23'!$A:$A,"="&amp;$Y$2,'Tong_hop_HQNV_2026Q1_2026-06-23'!$B:$B, "="&amp;'CHECK_DT-BT_chi_tiet'!A79)</f>
        <v>2100000</v>
      </c>
      <c r="Z79" s="7">
        <f>SUMIFS('HQ2'!$C:$C,'HQ2'!$A:$A, "="&amp;'CHECK_DT-BT_chi_tiet'!C79,'HQ2'!$B:$B, "="&amp;'CHECK_DT-BT_chi_tiet'!$Y$3)</f>
        <v>2100000</v>
      </c>
      <c r="AA79" s="7">
        <f t="shared" si="29"/>
        <v>0</v>
      </c>
      <c r="AB79" s="7">
        <f>SUMIFS('Tong_hop_HQNV_2026Q1_2026-06-23'!$K:$K,'Tong_hop_HQNV_2026Q1_2026-06-23'!$A:$A,"="&amp;$AB$2,'Tong_hop_HQNV_2026Q1_2026-06-23'!$B:$B, "="&amp;'CHECK_DT-BT_chi_tiet'!A79)</f>
        <v>608153177</v>
      </c>
      <c r="AC79" s="7">
        <f>SUMIFS('HQ2'!$C:$C,'HQ2'!$A:$A, "="&amp;'CHECK_DT-BT_chi_tiet'!C79,'HQ2'!$B:$B, "="&amp;'CHECK_DT-BT_chi_tiet'!$AB$3)</f>
        <v>608153177</v>
      </c>
      <c r="AD79" s="7">
        <f t="shared" si="30"/>
        <v>0</v>
      </c>
      <c r="AE79" s="7">
        <f>SUMIFS('Tong_hop_HQNV_2026Q1_2026-06-23'!$K:$K,'Tong_hop_HQNV_2026Q1_2026-06-23'!$A:$A,"="&amp;$AE$2,'Tong_hop_HQNV_2026Q1_2026-06-23'!$B:$B, "="&amp;'CHECK_DT-BT_chi_tiet'!A79)</f>
        <v>271523120</v>
      </c>
      <c r="AF79" s="7">
        <f>SUMIFS('HQ2'!$C:$C,'HQ2'!$A:$A, "="&amp;'CHECK_DT-BT_chi_tiet'!C79,'HQ2'!$B:$B, "="&amp;'CHECK_DT-BT_chi_tiet'!$AE$3)</f>
        <v>271523120</v>
      </c>
      <c r="AG79" s="7">
        <f t="shared" si="31"/>
        <v>0</v>
      </c>
      <c r="AH79" s="7">
        <f>SUMIFS('Tong_hop_HQNV_2026Q1_2026-06-23'!$K:$K,'Tong_hop_HQNV_2026Q1_2026-06-23'!$A:$A,"="&amp;$AH$2,'Tong_hop_HQNV_2026Q1_2026-06-23'!$B:$B, "="&amp;'CHECK_DT-BT_chi_tiet'!A79)</f>
        <v>0</v>
      </c>
      <c r="AI79" s="7">
        <f>SUMIFS('HQ2'!$C:$C,'HQ2'!$A:$A, "="&amp;'CHECK_DT-BT_chi_tiet'!C79,'HQ2'!$B:$B, "="&amp;'CHECK_DT-BT_chi_tiet'!$AH$3)</f>
        <v>0</v>
      </c>
      <c r="AJ79" s="7">
        <f t="shared" si="32"/>
        <v>0</v>
      </c>
      <c r="AK79" s="7">
        <f>SUMIFS('Tong_hop_HQNV_2026Q1_2026-06-23'!$K:$K,'Tong_hop_HQNV_2026Q1_2026-06-23'!$A:$A,"="&amp;$AK$2,'Tong_hop_HQNV_2026Q1_2026-06-23'!$B:$B, "="&amp;'CHECK_DT-BT_chi_tiet'!A79)</f>
        <v>0</v>
      </c>
      <c r="AL79" s="7">
        <f>SUMIFS('Tong_hop_HQNV_2026Q1_2026-06-23'!$K:$K,'Tong_hop_HQNV_2026Q1_2026-06-23'!$A:$A,"="&amp;$AL$2,'Tong_hop_HQNV_2026Q1_2026-06-23'!$B:$B, "="&amp;'CHECK_DT-BT_chi_tiet'!A79)</f>
        <v>0</v>
      </c>
      <c r="AM79" s="23">
        <f>SUMIFS('Tong_hop_HQNV_2026Q1_2026-06-23'!$L:$L,'Tong_hop_HQNV_2026Q1_2026-06-23'!$B:$B, "="&amp;'CHECK_DT-BT_chi_tiet'!A79, 'Tong_hop_HQNV_2026Q1_2026-06-23'!$A:$A, "="&amp;'CHECK_DT-BT_chi_tiet'!$AM$2)</f>
        <v>1959093954</v>
      </c>
      <c r="AN79" s="29">
        <f>SUMIFS('HQ1'!$D:$D,'HQ1'!$A:$A, "="&amp;'CHECK_DT-BT_chi_tiet'!C79,'HQ1'!$B:$B,"="&amp;'CHECK_DT-BT_chi_tiet'!$AM$3)</f>
        <v>1959093954</v>
      </c>
      <c r="AO79" s="29">
        <f t="shared" si="33"/>
        <v>0</v>
      </c>
      <c r="AP79" s="7">
        <f>SUMIFS('Tong_hop_HQNV_2026Q1_2026-06-23'!$L:$L,'Tong_hop_HQNV_2026Q1_2026-06-23'!$B:$B, "="&amp;'CHECK_DT-BT_chi_tiet'!A79, 'Tong_hop_HQNV_2026Q1_2026-06-23'!$A:$A, "="&amp;'CHECK_DT-BT_chi_tiet'!$AP$2)</f>
        <v>0</v>
      </c>
      <c r="AQ79" s="29">
        <f>SUMIFS('HQ1'!$D:$D,'HQ1'!$A:$A, "="&amp;'CHECK_DT-BT_chi_tiet'!C79,'HQ1'!$B:$B,"="&amp;'CHECK_DT-BT_chi_tiet'!$AP$3)</f>
        <v>0</v>
      </c>
      <c r="AR79" s="7">
        <f t="shared" si="34"/>
        <v>0</v>
      </c>
      <c r="AS79" s="7">
        <f>SUMIFS('Tong_hop_HQNV_2026Q1_2026-06-23'!$L:$L,'Tong_hop_HQNV_2026Q1_2026-06-23'!$B:$B, "="&amp;'CHECK_DT-BT_chi_tiet'!A79, 'Tong_hop_HQNV_2026Q1_2026-06-23'!$A:$A, "="&amp;'CHECK_DT-BT_chi_tiet'!$AS$2)</f>
        <v>156201109</v>
      </c>
      <c r="AT79" s="29">
        <f>SUMIFS('HQ1'!$D:$D,'HQ1'!$A:$A, "="&amp;'CHECK_DT-BT_chi_tiet'!C79,'HQ1'!$B:$B,"="&amp;'CHECK_DT-BT_chi_tiet'!$AS$3)</f>
        <v>156201109</v>
      </c>
      <c r="AU79" s="7">
        <f t="shared" si="35"/>
        <v>0</v>
      </c>
      <c r="AV79" s="7">
        <f>SUMIFS('Tong_hop_HQNV_2026Q1_2026-06-23'!$L:$L,'Tong_hop_HQNV_2026Q1_2026-06-23'!$B:$B, "="&amp;'CHECK_DT-BT_chi_tiet'!A79, 'Tong_hop_HQNV_2026Q1_2026-06-23'!$A:$A, "="&amp;'CHECK_DT-BT_chi_tiet'!$AV$2)</f>
        <v>75386242</v>
      </c>
      <c r="AW79" s="29">
        <f>SUMIFS('HQ1'!$D:$D,'HQ1'!$A:$A, "="&amp;'CHECK_DT-BT_chi_tiet'!C79,'HQ1'!$B:$B,"="&amp;'CHECK_DT-BT_chi_tiet'!$AV$3)</f>
        <v>75386242</v>
      </c>
      <c r="AX79" s="7">
        <f t="shared" si="36"/>
        <v>0</v>
      </c>
      <c r="AY79" s="7">
        <f>SUMIFS('Tong_hop_HQNV_2026Q1_2026-06-23'!$L:$L,'Tong_hop_HQNV_2026Q1_2026-06-23'!$B:$B, "="&amp;'CHECK_DT-BT_chi_tiet'!A79, 'Tong_hop_HQNV_2026Q1_2026-06-23'!$A:$A, "="&amp;$AY$2)</f>
        <v>0</v>
      </c>
      <c r="AZ79" s="29">
        <f>SUMIFS('HQ2'!$J:$J,'HQ2'!$A:$A, "="&amp;'CHECK_DT-BT_chi_tiet'!C79,'HQ2'!$B:$B,"="&amp;'CHECK_DT-BT_chi_tiet'!$AY$3)</f>
        <v>0</v>
      </c>
      <c r="BA79" s="7">
        <f t="shared" si="37"/>
        <v>0</v>
      </c>
      <c r="BB79" s="7">
        <f>SUMIFS('Tong_hop_HQNV_2026Q1_2026-06-23'!$L:$L,'Tong_hop_HQNV_2026Q1_2026-06-23'!$B:$B, "="&amp;'CHECK_DT-BT_chi_tiet'!A79, 'Tong_hop_HQNV_2026Q1_2026-06-23'!$A:$A, "="&amp;$BB$2)</f>
        <v>0</v>
      </c>
      <c r="BC79" s="29">
        <f>SUMIFS('HQ2'!$J:$J,'HQ2'!$A:$A, "="&amp;'CHECK_DT-BT_chi_tiet'!C79,'HQ2'!$B:$B,"="&amp;'CHECK_DT-BT_chi_tiet'!$BB$3)</f>
        <v>0</v>
      </c>
      <c r="BD79" s="7">
        <f t="shared" si="38"/>
        <v>0</v>
      </c>
      <c r="BE79" s="7">
        <f>SUMIFS('Tong_hop_HQNV_2026Q1_2026-06-23'!$L:$L,'Tong_hop_HQNV_2026Q1_2026-06-23'!$B:$B, "="&amp;'CHECK_DT-BT_chi_tiet'!A79, 'Tong_hop_HQNV_2026Q1_2026-06-23'!$A:$A, "="&amp;$BE$2)</f>
        <v>0</v>
      </c>
      <c r="BF79" s="29">
        <f>SUMIFS('HQ2'!$J:$J,'HQ2'!$A:$A, "="&amp;'CHECK_DT-BT_chi_tiet'!C79,'HQ2'!$B:$B,"="&amp;'CHECK_DT-BT_chi_tiet'!$BE$3)</f>
        <v>0</v>
      </c>
      <c r="BG79" s="7">
        <f t="shared" si="39"/>
        <v>0</v>
      </c>
      <c r="BH79" s="7">
        <f>SUMIFS('Tong_hop_HQNV_2026Q1_2026-06-23'!$L:$L,'Tong_hop_HQNV_2026Q1_2026-06-23'!$B:$B, "="&amp;'CHECK_DT-BT_chi_tiet'!A79, 'Tong_hop_HQNV_2026Q1_2026-06-23'!$A:$A, "="&amp;$BH$2)</f>
        <v>0</v>
      </c>
      <c r="BI79" s="29">
        <f>SUMIFS('HQ2'!$J:$J,'HQ2'!$A:$A, "="&amp;'CHECK_DT-BT_chi_tiet'!C79,'HQ2'!$B:$B,"="&amp;'CHECK_DT-BT_chi_tiet'!$BH$3)</f>
        <v>0</v>
      </c>
      <c r="BJ79" s="7">
        <f t="shared" si="40"/>
        <v>0</v>
      </c>
      <c r="BK79" s="7">
        <f>SUMIFS('Tong_hop_HQNV_2026Q1_2026-06-23'!$L:$L,'Tong_hop_HQNV_2026Q1_2026-06-23'!$B:$B, "="&amp;'CHECK_DT-BT_chi_tiet'!A79, 'Tong_hop_HQNV_2026Q1_2026-06-23'!$A:$A, "="&amp;$BK$2)</f>
        <v>0</v>
      </c>
      <c r="BL79" s="29">
        <f>SUMIFS('HQ2'!$J:$J,'HQ2'!$A:$A, "="&amp;'CHECK_DT-BT_chi_tiet'!C79,'HQ2'!$B:$B,"="&amp;'CHECK_DT-BT_chi_tiet'!$BK$3)</f>
        <v>0</v>
      </c>
      <c r="BM79" s="7">
        <f t="shared" si="41"/>
        <v>0</v>
      </c>
      <c r="BN79" s="7">
        <f>SUMIFS('Tong_hop_HQNV_2026Q1_2026-06-23'!$L:$L,'Tong_hop_HQNV_2026Q1_2026-06-23'!$B:$B, "="&amp;'CHECK_DT-BT_chi_tiet'!A79, 'Tong_hop_HQNV_2026Q1_2026-06-23'!$A:$A, "="&amp;$BN$2)</f>
        <v>0</v>
      </c>
      <c r="BO79" s="29">
        <f>SUMIFS('HQ2'!$J:$J,'HQ2'!$A:$A, "="&amp;'CHECK_DT-BT_chi_tiet'!C79,'HQ2'!$B:$B,"="&amp;'CHECK_DT-BT_chi_tiet'!$BN$3)</f>
        <v>0</v>
      </c>
      <c r="BP79" s="7">
        <f t="shared" si="42"/>
        <v>0</v>
      </c>
      <c r="BQ79" s="7">
        <f>SUMIFS('Tong_hop_HQNV_2026Q1_2026-06-23'!$L:$L,'Tong_hop_HQNV_2026Q1_2026-06-23'!$B:$B, "="&amp;'CHECK_DT-BT_chi_tiet'!A79, 'Tong_hop_HQNV_2026Q1_2026-06-23'!$A:$A, "="&amp;$BQ$2)</f>
        <v>0</v>
      </c>
      <c r="BR79" s="29">
        <f>SUMIFS('HQ2'!$J:$J,'HQ2'!$A:$A, "="&amp;'CHECK_DT-BT_chi_tiet'!C79,'HQ2'!$B:$B,"="&amp;'CHECK_DT-BT_chi_tiet'!$BQ$3)</f>
        <v>0</v>
      </c>
      <c r="BS79" s="7">
        <f t="shared" si="43"/>
        <v>0</v>
      </c>
      <c r="BT79" s="7">
        <f>SUMIFS('Tong_hop_HQNV_2026Q1_2026-06-23'!$L:$L,'Tong_hop_HQNV_2026Q1_2026-06-23'!$B:$B, "="&amp;'CHECK_DT-BT_chi_tiet'!A79, 'Tong_hop_HQNV_2026Q1_2026-06-23'!$A:$A, "="&amp;$BT$2)</f>
        <v>0</v>
      </c>
      <c r="BU79" s="7">
        <f>SUMIFS('Tong_hop_HQNV_2026Q1_2026-06-23'!$L:$L,'Tong_hop_HQNV_2026Q1_2026-06-23'!$B:$B, "="&amp;'CHECK_DT-BT_chi_tiet'!A79, 'Tong_hop_HQNV_2026Q1_2026-06-23'!$A:$A, "="&amp;$BU$2)</f>
        <v>0</v>
      </c>
    </row>
    <row r="80" spans="1:73" x14ac:dyDescent="0.25">
      <c r="A80" s="9" t="s">
        <v>360</v>
      </c>
      <c r="B80" t="s">
        <v>218</v>
      </c>
      <c r="C80" t="s">
        <v>86</v>
      </c>
      <c r="D80" s="7">
        <f>SUMIFS('Tong_hop_HQNV_2026Q1_2026-06-23'!$K:$K,'Tong_hop_HQNV_2026Q1_2026-06-23'!$A:$A,"="&amp;'CHECK_DT-BT_chi_tiet'!$D$2,'Tong_hop_HQNV_2026Q1_2026-06-23'!$B:$B, "="&amp;'CHECK_DT-BT_chi_tiet'!A80)</f>
        <v>1364467106</v>
      </c>
      <c r="E80" s="7">
        <f>SUMIFS('HQ1'!$C:$C,'HQ1'!$A:$A, "="&amp;'CHECK_DT-BT_chi_tiet'!C80,'HQ1'!$B:$B, "="&amp;'CHECK_DT-BT_chi_tiet'!$D$3)</f>
        <v>1364467106</v>
      </c>
      <c r="F80" s="7">
        <f t="shared" si="22"/>
        <v>0</v>
      </c>
      <c r="G80" s="7">
        <f>SUMIFS('Tong_hop_HQNV_2026Q1_2026-06-23'!$K:$K,'Tong_hop_HQNV_2026Q1_2026-06-23'!$A:$A,"="&amp;'CHECK_DT-BT_chi_tiet'!$G$2,'Tong_hop_HQNV_2026Q1_2026-06-23'!$B:$B, "="&amp;'CHECK_DT-BT_chi_tiet'!A80)</f>
        <v>19242300</v>
      </c>
      <c r="H80" s="7">
        <f>SUMIFS('HQ1'!$C:$C,'HQ1'!$A:$A, "="&amp;'CHECK_DT-BT_chi_tiet'!C80,'HQ1'!$B:$B, "="&amp;'CHECK_DT-BT_chi_tiet'!$G$3)</f>
        <v>19242300</v>
      </c>
      <c r="I80" s="7">
        <f t="shared" si="23"/>
        <v>0</v>
      </c>
      <c r="J80" s="7">
        <f>SUMIFS('Tong_hop_HQNV_2026Q1_2026-06-23'!$K:$K,'Tong_hop_HQNV_2026Q1_2026-06-23'!$A:$A,"="&amp;'CHECK_DT-BT_chi_tiet'!$J$2,'Tong_hop_HQNV_2026Q1_2026-06-23'!$B:$B, "="&amp;'CHECK_DT-BT_chi_tiet'!A80)</f>
        <v>3846640405</v>
      </c>
      <c r="K80" s="7">
        <f>SUMIFS('HQ1'!$C:$C,'HQ1'!$A:$A, "="&amp;'CHECK_DT-BT_chi_tiet'!C80,'HQ1'!$B:$B, "="&amp;'CHECK_DT-BT_chi_tiet'!$J$3)</f>
        <v>3846640405</v>
      </c>
      <c r="L80" s="7">
        <f t="shared" si="24"/>
        <v>0</v>
      </c>
      <c r="M80" s="7">
        <f>SUMIFS('Tong_hop_HQNV_2026Q1_2026-06-23'!$K:$K,'Tong_hop_HQNV_2026Q1_2026-06-23'!$A:$A,"="&amp;'CHECK_DT-BT_chi_tiet'!$M$2,'Tong_hop_HQNV_2026Q1_2026-06-23'!$B:$B, "="&amp;'CHECK_DT-BT_chi_tiet'!A80)</f>
        <v>1402443390</v>
      </c>
      <c r="N80" s="7">
        <f>SUMIFS('HQ1'!$C:$C,'HQ1'!$A:$A, "="&amp;'CHECK_DT-BT_chi_tiet'!C80,'HQ1'!$B:$B, "="&amp;'CHECK_DT-BT_chi_tiet'!$M$3)</f>
        <v>1402443390</v>
      </c>
      <c r="O80" s="7">
        <f t="shared" si="25"/>
        <v>0</v>
      </c>
      <c r="P80" s="7">
        <f>SUMIFS('Tong_hop_HQNV_2026Q1_2026-06-23'!$K:$K,'Tong_hop_HQNV_2026Q1_2026-06-23'!$A:$A,"="&amp;$P$2,'Tong_hop_HQNV_2026Q1_2026-06-23'!$B:$B, "="&amp;'CHECK_DT-BT_chi_tiet'!A80)</f>
        <v>307719672</v>
      </c>
      <c r="Q80" s="7">
        <f>SUMIFS('HQ2'!$C:$C,'HQ2'!$A:$A, "="&amp;'CHECK_DT-BT_chi_tiet'!C80,'HQ2'!$B:$B, "="&amp;'CHECK_DT-BT_chi_tiet'!$P$3)</f>
        <v>307719672</v>
      </c>
      <c r="R80" s="7">
        <f t="shared" si="26"/>
        <v>0</v>
      </c>
      <c r="S80" s="7">
        <f>SUMIFS('Tong_hop_HQNV_2026Q1_2026-06-23'!$K:$K,'Tong_hop_HQNV_2026Q1_2026-06-23'!$A:$A,"="&amp;$S$2,'Tong_hop_HQNV_2026Q1_2026-06-23'!$B:$B, "="&amp;'CHECK_DT-BT_chi_tiet'!A80)</f>
        <v>0</v>
      </c>
      <c r="T80" s="7">
        <f>SUMIFS('HQ2'!$C:$C,'HQ2'!$A:$A, "="&amp;'CHECK_DT-BT_chi_tiet'!C80,'HQ2'!$B:$B, "="&amp;'CHECK_DT-BT_chi_tiet'!$S$3)</f>
        <v>0</v>
      </c>
      <c r="U80" s="7">
        <f t="shared" si="27"/>
        <v>0</v>
      </c>
      <c r="V80" s="7">
        <f>SUMIFS('Tong_hop_HQNV_2026Q1_2026-06-23'!$K:$K,'Tong_hop_HQNV_2026Q1_2026-06-23'!$A:$A,"="&amp;$V$2,'Tong_hop_HQNV_2026Q1_2026-06-23'!$B:$B, "="&amp;'CHECK_DT-BT_chi_tiet'!A80)</f>
        <v>0</v>
      </c>
      <c r="W80" s="7">
        <f>SUMIFS('HQ2'!$C:$C,'HQ2'!$A:$A, "="&amp;'CHECK_DT-BT_chi_tiet'!C80,'HQ2'!$B:$B, "="&amp;'CHECK_DT-BT_chi_tiet'!$V$3)</f>
        <v>0</v>
      </c>
      <c r="X80" s="7">
        <f t="shared" si="28"/>
        <v>0</v>
      </c>
      <c r="Y80" s="7">
        <f>SUMIFS('Tong_hop_HQNV_2026Q1_2026-06-23'!$K:$K,'Tong_hop_HQNV_2026Q1_2026-06-23'!$A:$A,"="&amp;$Y$2,'Tong_hop_HQNV_2026Q1_2026-06-23'!$B:$B, "="&amp;'CHECK_DT-BT_chi_tiet'!A80)</f>
        <v>280493364</v>
      </c>
      <c r="Z80" s="7">
        <f>SUMIFS('HQ2'!$C:$C,'HQ2'!$A:$A, "="&amp;'CHECK_DT-BT_chi_tiet'!C80,'HQ2'!$B:$B, "="&amp;'CHECK_DT-BT_chi_tiet'!$Y$3)</f>
        <v>280493364</v>
      </c>
      <c r="AA80" s="7">
        <f t="shared" si="29"/>
        <v>0</v>
      </c>
      <c r="AB80" s="7">
        <f>SUMIFS('Tong_hop_HQNV_2026Q1_2026-06-23'!$K:$K,'Tong_hop_HQNV_2026Q1_2026-06-23'!$A:$A,"="&amp;$AB$2,'Tong_hop_HQNV_2026Q1_2026-06-23'!$B:$B, "="&amp;'CHECK_DT-BT_chi_tiet'!A80)</f>
        <v>2190965471</v>
      </c>
      <c r="AC80" s="7">
        <f>SUMIFS('HQ2'!$C:$C,'HQ2'!$A:$A, "="&amp;'CHECK_DT-BT_chi_tiet'!C80,'HQ2'!$B:$B, "="&amp;'CHECK_DT-BT_chi_tiet'!$AB$3)</f>
        <v>2190965471</v>
      </c>
      <c r="AD80" s="7">
        <f t="shared" si="30"/>
        <v>0</v>
      </c>
      <c r="AE80" s="7">
        <f>SUMIFS('Tong_hop_HQNV_2026Q1_2026-06-23'!$K:$K,'Tong_hop_HQNV_2026Q1_2026-06-23'!$A:$A,"="&amp;$AE$2,'Tong_hop_HQNV_2026Q1_2026-06-23'!$B:$B, "="&amp;'CHECK_DT-BT_chi_tiet'!A80)</f>
        <v>288854053</v>
      </c>
      <c r="AF80" s="7">
        <f>SUMIFS('HQ2'!$C:$C,'HQ2'!$A:$A, "="&amp;'CHECK_DT-BT_chi_tiet'!C80,'HQ2'!$B:$B, "="&amp;'CHECK_DT-BT_chi_tiet'!$AE$3)</f>
        <v>288854053</v>
      </c>
      <c r="AG80" s="7">
        <f t="shared" si="31"/>
        <v>0</v>
      </c>
      <c r="AH80" s="7">
        <f>SUMIFS('Tong_hop_HQNV_2026Q1_2026-06-23'!$K:$K,'Tong_hop_HQNV_2026Q1_2026-06-23'!$A:$A,"="&amp;$AH$2,'Tong_hop_HQNV_2026Q1_2026-06-23'!$B:$B, "="&amp;'CHECK_DT-BT_chi_tiet'!A80)</f>
        <v>36401818</v>
      </c>
      <c r="AI80" s="7">
        <f>SUMIFS('HQ2'!$C:$C,'HQ2'!$A:$A, "="&amp;'CHECK_DT-BT_chi_tiet'!C80,'HQ2'!$B:$B, "="&amp;'CHECK_DT-BT_chi_tiet'!$AH$3)</f>
        <v>36401818</v>
      </c>
      <c r="AJ80" s="7">
        <f t="shared" si="32"/>
        <v>0</v>
      </c>
      <c r="AK80" s="7">
        <f>SUMIFS('Tong_hop_HQNV_2026Q1_2026-06-23'!$K:$K,'Tong_hop_HQNV_2026Q1_2026-06-23'!$A:$A,"="&amp;$AK$2,'Tong_hop_HQNV_2026Q1_2026-06-23'!$B:$B, "="&amp;'CHECK_DT-BT_chi_tiet'!A80)</f>
        <v>0</v>
      </c>
      <c r="AL80" s="7">
        <f>SUMIFS('Tong_hop_HQNV_2026Q1_2026-06-23'!$K:$K,'Tong_hop_HQNV_2026Q1_2026-06-23'!$A:$A,"="&amp;$AL$2,'Tong_hop_HQNV_2026Q1_2026-06-23'!$B:$B, "="&amp;'CHECK_DT-BT_chi_tiet'!A80)</f>
        <v>0</v>
      </c>
      <c r="AM80" s="23">
        <f>SUMIFS('Tong_hop_HQNV_2026Q1_2026-06-23'!$L:$L,'Tong_hop_HQNV_2026Q1_2026-06-23'!$B:$B, "="&amp;'CHECK_DT-BT_chi_tiet'!A80, 'Tong_hop_HQNV_2026Q1_2026-06-23'!$A:$A, "="&amp;'CHECK_DT-BT_chi_tiet'!$AM$2)</f>
        <v>3262052000</v>
      </c>
      <c r="AN80" s="29">
        <f>SUMIFS('HQ1'!$D:$D,'HQ1'!$A:$A, "="&amp;'CHECK_DT-BT_chi_tiet'!C80,'HQ1'!$B:$B,"="&amp;'CHECK_DT-BT_chi_tiet'!$AM$3)</f>
        <v>3262052000</v>
      </c>
      <c r="AO80" s="29">
        <f t="shared" si="33"/>
        <v>0</v>
      </c>
      <c r="AP80" s="7">
        <f>SUMIFS('Tong_hop_HQNV_2026Q1_2026-06-23'!$L:$L,'Tong_hop_HQNV_2026Q1_2026-06-23'!$B:$B, "="&amp;'CHECK_DT-BT_chi_tiet'!A80, 'Tong_hop_HQNV_2026Q1_2026-06-23'!$A:$A, "="&amp;'CHECK_DT-BT_chi_tiet'!$AP$2)</f>
        <v>0</v>
      </c>
      <c r="AQ80" s="29">
        <f>SUMIFS('HQ1'!$D:$D,'HQ1'!$A:$A, "="&amp;'CHECK_DT-BT_chi_tiet'!C80,'HQ1'!$B:$B,"="&amp;'CHECK_DT-BT_chi_tiet'!$AP$3)</f>
        <v>0</v>
      </c>
      <c r="AR80" s="7">
        <f t="shared" si="34"/>
        <v>0</v>
      </c>
      <c r="AS80" s="7">
        <f>SUMIFS('Tong_hop_HQNV_2026Q1_2026-06-23'!$L:$L,'Tong_hop_HQNV_2026Q1_2026-06-23'!$B:$B, "="&amp;'CHECK_DT-BT_chi_tiet'!A80, 'Tong_hop_HQNV_2026Q1_2026-06-23'!$A:$A, "="&amp;'CHECK_DT-BT_chi_tiet'!$AS$2)</f>
        <v>1550539877</v>
      </c>
      <c r="AT80" s="29">
        <f>SUMIFS('HQ1'!$D:$D,'HQ1'!$A:$A, "="&amp;'CHECK_DT-BT_chi_tiet'!C80,'HQ1'!$B:$B,"="&amp;'CHECK_DT-BT_chi_tiet'!$AS$3)</f>
        <v>1550539877</v>
      </c>
      <c r="AU80" s="7">
        <f t="shared" si="35"/>
        <v>0</v>
      </c>
      <c r="AV80" s="7">
        <f>SUMIFS('Tong_hop_HQNV_2026Q1_2026-06-23'!$L:$L,'Tong_hop_HQNV_2026Q1_2026-06-23'!$B:$B, "="&amp;'CHECK_DT-BT_chi_tiet'!A80, 'Tong_hop_HQNV_2026Q1_2026-06-23'!$A:$A, "="&amp;'CHECK_DT-BT_chi_tiet'!$AV$2)</f>
        <v>525316533</v>
      </c>
      <c r="AW80" s="29">
        <f>SUMIFS('HQ1'!$D:$D,'HQ1'!$A:$A, "="&amp;'CHECK_DT-BT_chi_tiet'!C80,'HQ1'!$B:$B,"="&amp;'CHECK_DT-BT_chi_tiet'!$AV$3)</f>
        <v>525316533</v>
      </c>
      <c r="AX80" s="7">
        <f t="shared" si="36"/>
        <v>0</v>
      </c>
      <c r="AY80" s="7">
        <f>SUMIFS('Tong_hop_HQNV_2026Q1_2026-06-23'!$L:$L,'Tong_hop_HQNV_2026Q1_2026-06-23'!$B:$B, "="&amp;'CHECK_DT-BT_chi_tiet'!A80, 'Tong_hop_HQNV_2026Q1_2026-06-23'!$A:$A, "="&amp;$AY$2)</f>
        <v>35090600</v>
      </c>
      <c r="AZ80" s="29">
        <f>SUMIFS('HQ2'!$J:$J,'HQ2'!$A:$A, "="&amp;'CHECK_DT-BT_chi_tiet'!C80,'HQ2'!$B:$B,"="&amp;'CHECK_DT-BT_chi_tiet'!$AY$3)</f>
        <v>35090600</v>
      </c>
      <c r="BA80" s="7">
        <f t="shared" si="37"/>
        <v>0</v>
      </c>
      <c r="BB80" s="7">
        <f>SUMIFS('Tong_hop_HQNV_2026Q1_2026-06-23'!$L:$L,'Tong_hop_HQNV_2026Q1_2026-06-23'!$B:$B, "="&amp;'CHECK_DT-BT_chi_tiet'!A80, 'Tong_hop_HQNV_2026Q1_2026-06-23'!$A:$A, "="&amp;$BB$2)</f>
        <v>0</v>
      </c>
      <c r="BC80" s="29">
        <f>SUMIFS('HQ2'!$J:$J,'HQ2'!$A:$A, "="&amp;'CHECK_DT-BT_chi_tiet'!C80,'HQ2'!$B:$B,"="&amp;'CHECK_DT-BT_chi_tiet'!$BB$3)</f>
        <v>0</v>
      </c>
      <c r="BD80" s="7">
        <f t="shared" si="38"/>
        <v>0</v>
      </c>
      <c r="BE80" s="7">
        <f>SUMIFS('Tong_hop_HQNV_2026Q1_2026-06-23'!$L:$L,'Tong_hop_HQNV_2026Q1_2026-06-23'!$B:$B, "="&amp;'CHECK_DT-BT_chi_tiet'!A80, 'Tong_hop_HQNV_2026Q1_2026-06-23'!$A:$A, "="&amp;$BE$2)</f>
        <v>0</v>
      </c>
      <c r="BF80" s="29">
        <f>SUMIFS('HQ2'!$J:$J,'HQ2'!$A:$A, "="&amp;'CHECK_DT-BT_chi_tiet'!C80,'HQ2'!$B:$B,"="&amp;'CHECK_DT-BT_chi_tiet'!$BE$3)</f>
        <v>0</v>
      </c>
      <c r="BG80" s="7">
        <f t="shared" si="39"/>
        <v>0</v>
      </c>
      <c r="BH80" s="7">
        <f>SUMIFS('Tong_hop_HQNV_2026Q1_2026-06-23'!$L:$L,'Tong_hop_HQNV_2026Q1_2026-06-23'!$B:$B, "="&amp;'CHECK_DT-BT_chi_tiet'!A80, 'Tong_hop_HQNV_2026Q1_2026-06-23'!$A:$A, "="&amp;$BH$2)</f>
        <v>50645519</v>
      </c>
      <c r="BI80" s="29">
        <f>SUMIFS('HQ2'!$J:$J,'HQ2'!$A:$A, "="&amp;'CHECK_DT-BT_chi_tiet'!C80,'HQ2'!$B:$B,"="&amp;'CHECK_DT-BT_chi_tiet'!$BH$3)</f>
        <v>50645519</v>
      </c>
      <c r="BJ80" s="7">
        <f t="shared" si="40"/>
        <v>0</v>
      </c>
      <c r="BK80" s="7">
        <f>SUMIFS('Tong_hop_HQNV_2026Q1_2026-06-23'!$L:$L,'Tong_hop_HQNV_2026Q1_2026-06-23'!$B:$B, "="&amp;'CHECK_DT-BT_chi_tiet'!A80, 'Tong_hop_HQNV_2026Q1_2026-06-23'!$A:$A, "="&amp;$BK$2)</f>
        <v>0</v>
      </c>
      <c r="BL80" s="29">
        <f>SUMIFS('HQ2'!$J:$J,'HQ2'!$A:$A, "="&amp;'CHECK_DT-BT_chi_tiet'!C80,'HQ2'!$B:$B,"="&amp;'CHECK_DT-BT_chi_tiet'!$BK$3)</f>
        <v>0</v>
      </c>
      <c r="BM80" s="7">
        <f t="shared" si="41"/>
        <v>0</v>
      </c>
      <c r="BN80" s="7">
        <f>SUMIFS('Tong_hop_HQNV_2026Q1_2026-06-23'!$L:$L,'Tong_hop_HQNV_2026Q1_2026-06-23'!$B:$B, "="&amp;'CHECK_DT-BT_chi_tiet'!A80, 'Tong_hop_HQNV_2026Q1_2026-06-23'!$A:$A, "="&amp;$BN$2)</f>
        <v>0</v>
      </c>
      <c r="BO80" s="29">
        <f>SUMIFS('HQ2'!$J:$J,'HQ2'!$A:$A, "="&amp;'CHECK_DT-BT_chi_tiet'!C80,'HQ2'!$B:$B,"="&amp;'CHECK_DT-BT_chi_tiet'!$BN$3)</f>
        <v>0</v>
      </c>
      <c r="BP80" s="7">
        <f t="shared" si="42"/>
        <v>0</v>
      </c>
      <c r="BQ80" s="7">
        <f>SUMIFS('Tong_hop_HQNV_2026Q1_2026-06-23'!$L:$L,'Tong_hop_HQNV_2026Q1_2026-06-23'!$B:$B, "="&amp;'CHECK_DT-BT_chi_tiet'!A80, 'Tong_hop_HQNV_2026Q1_2026-06-23'!$A:$A, "="&amp;$BQ$2)</f>
        <v>0</v>
      </c>
      <c r="BR80" s="29">
        <f>SUMIFS('HQ2'!$J:$J,'HQ2'!$A:$A, "="&amp;'CHECK_DT-BT_chi_tiet'!C80,'HQ2'!$B:$B,"="&amp;'CHECK_DT-BT_chi_tiet'!$BQ$3)</f>
        <v>0</v>
      </c>
      <c r="BS80" s="7">
        <f t="shared" si="43"/>
        <v>0</v>
      </c>
      <c r="BT80" s="7">
        <f>SUMIFS('Tong_hop_HQNV_2026Q1_2026-06-23'!$L:$L,'Tong_hop_HQNV_2026Q1_2026-06-23'!$B:$B, "="&amp;'CHECK_DT-BT_chi_tiet'!A80, 'Tong_hop_HQNV_2026Q1_2026-06-23'!$A:$A, "="&amp;$BT$2)</f>
        <v>0</v>
      </c>
      <c r="BU80" s="7">
        <f>SUMIFS('Tong_hop_HQNV_2026Q1_2026-06-23'!$L:$L,'Tong_hop_HQNV_2026Q1_2026-06-23'!$B:$B, "="&amp;'CHECK_DT-BT_chi_tiet'!A80, 'Tong_hop_HQNV_2026Q1_2026-06-23'!$A:$A, "="&amp;$BU$2)</f>
        <v>0</v>
      </c>
    </row>
    <row r="81" spans="1:73" x14ac:dyDescent="0.25">
      <c r="A81" s="9" t="s">
        <v>361</v>
      </c>
      <c r="B81" t="s">
        <v>219</v>
      </c>
      <c r="C81" t="s">
        <v>85</v>
      </c>
      <c r="D81" s="7">
        <f>SUMIFS('Tong_hop_HQNV_2026Q1_2026-06-23'!$K:$K,'Tong_hop_HQNV_2026Q1_2026-06-23'!$A:$A,"="&amp;'CHECK_DT-BT_chi_tiet'!$D$2,'Tong_hop_HQNV_2026Q1_2026-06-23'!$B:$B, "="&amp;'CHECK_DT-BT_chi_tiet'!A81)</f>
        <v>3836121865</v>
      </c>
      <c r="E81" s="7">
        <f>SUMIFS('HQ1'!$C:$C,'HQ1'!$A:$A, "="&amp;'CHECK_DT-BT_chi_tiet'!C81,'HQ1'!$B:$B, "="&amp;'CHECK_DT-BT_chi_tiet'!$D$3)</f>
        <v>3836121865</v>
      </c>
      <c r="F81" s="7">
        <f t="shared" si="22"/>
        <v>0</v>
      </c>
      <c r="G81" s="7">
        <f>SUMIFS('Tong_hop_HQNV_2026Q1_2026-06-23'!$K:$K,'Tong_hop_HQNV_2026Q1_2026-06-23'!$A:$A,"="&amp;'CHECK_DT-BT_chi_tiet'!$G$2,'Tong_hop_HQNV_2026Q1_2026-06-23'!$B:$B, "="&amp;'CHECK_DT-BT_chi_tiet'!A81)</f>
        <v>55692400</v>
      </c>
      <c r="H81" s="7">
        <f>SUMIFS('HQ1'!$C:$C,'HQ1'!$A:$A, "="&amp;'CHECK_DT-BT_chi_tiet'!C81,'HQ1'!$B:$B, "="&amp;'CHECK_DT-BT_chi_tiet'!$G$3)</f>
        <v>55692400</v>
      </c>
      <c r="I81" s="7">
        <f t="shared" si="23"/>
        <v>0</v>
      </c>
      <c r="J81" s="7">
        <f>SUMIFS('Tong_hop_HQNV_2026Q1_2026-06-23'!$K:$K,'Tong_hop_HQNV_2026Q1_2026-06-23'!$A:$A,"="&amp;'CHECK_DT-BT_chi_tiet'!$J$2,'Tong_hop_HQNV_2026Q1_2026-06-23'!$B:$B, "="&amp;'CHECK_DT-BT_chi_tiet'!A81)</f>
        <v>2337341258</v>
      </c>
      <c r="K81" s="7">
        <f>SUMIFS('HQ1'!$C:$C,'HQ1'!$A:$A, "="&amp;'CHECK_DT-BT_chi_tiet'!C81,'HQ1'!$B:$B, "="&amp;'CHECK_DT-BT_chi_tiet'!$J$3)</f>
        <v>2337341258</v>
      </c>
      <c r="L81" s="7">
        <f t="shared" si="24"/>
        <v>0</v>
      </c>
      <c r="M81" s="7">
        <f>SUMIFS('Tong_hop_HQNV_2026Q1_2026-06-23'!$K:$K,'Tong_hop_HQNV_2026Q1_2026-06-23'!$A:$A,"="&amp;'CHECK_DT-BT_chi_tiet'!$M$2,'Tong_hop_HQNV_2026Q1_2026-06-23'!$B:$B, "="&amp;'CHECK_DT-BT_chi_tiet'!A81)</f>
        <v>2716688805</v>
      </c>
      <c r="N81" s="7">
        <f>SUMIFS('HQ1'!$C:$C,'HQ1'!$A:$A, "="&amp;'CHECK_DT-BT_chi_tiet'!C81,'HQ1'!$B:$B, "="&amp;'CHECK_DT-BT_chi_tiet'!$M$3)</f>
        <v>2716688805</v>
      </c>
      <c r="O81" s="7">
        <f t="shared" si="25"/>
        <v>0</v>
      </c>
      <c r="P81" s="7">
        <f>SUMIFS('Tong_hop_HQNV_2026Q1_2026-06-23'!$K:$K,'Tong_hop_HQNV_2026Q1_2026-06-23'!$A:$A,"="&amp;$P$2,'Tong_hop_HQNV_2026Q1_2026-06-23'!$B:$B, "="&amp;'CHECK_DT-BT_chi_tiet'!A81)</f>
        <v>186522983</v>
      </c>
      <c r="Q81" s="7">
        <f>SUMIFS('HQ2'!$C:$C,'HQ2'!$A:$A, "="&amp;'CHECK_DT-BT_chi_tiet'!C81,'HQ2'!$B:$B, "="&amp;'CHECK_DT-BT_chi_tiet'!$P$3)</f>
        <v>186522983</v>
      </c>
      <c r="R81" s="7">
        <f t="shared" si="26"/>
        <v>0</v>
      </c>
      <c r="S81" s="7">
        <f>SUMIFS('Tong_hop_HQNV_2026Q1_2026-06-23'!$K:$K,'Tong_hop_HQNV_2026Q1_2026-06-23'!$A:$A,"="&amp;$S$2,'Tong_hop_HQNV_2026Q1_2026-06-23'!$B:$B, "="&amp;'CHECK_DT-BT_chi_tiet'!A81)</f>
        <v>0</v>
      </c>
      <c r="T81" s="7">
        <f>SUMIFS('HQ2'!$C:$C,'HQ2'!$A:$A, "="&amp;'CHECK_DT-BT_chi_tiet'!C81,'HQ2'!$B:$B, "="&amp;'CHECK_DT-BT_chi_tiet'!$S$3)</f>
        <v>0</v>
      </c>
      <c r="U81" s="7">
        <f t="shared" si="27"/>
        <v>0</v>
      </c>
      <c r="V81" s="7">
        <f>SUMIFS('Tong_hop_HQNV_2026Q1_2026-06-23'!$K:$K,'Tong_hop_HQNV_2026Q1_2026-06-23'!$A:$A,"="&amp;$V$2,'Tong_hop_HQNV_2026Q1_2026-06-23'!$B:$B, "="&amp;'CHECK_DT-BT_chi_tiet'!A81)</f>
        <v>0</v>
      </c>
      <c r="W81" s="7">
        <f>SUMIFS('HQ2'!$C:$C,'HQ2'!$A:$A, "="&amp;'CHECK_DT-BT_chi_tiet'!C81,'HQ2'!$B:$B, "="&amp;'CHECK_DT-BT_chi_tiet'!$V$3)</f>
        <v>0</v>
      </c>
      <c r="X81" s="7">
        <f t="shared" si="28"/>
        <v>0</v>
      </c>
      <c r="Y81" s="7">
        <f>SUMIFS('Tong_hop_HQNV_2026Q1_2026-06-23'!$K:$K,'Tong_hop_HQNV_2026Q1_2026-06-23'!$A:$A,"="&amp;$Y$2,'Tong_hop_HQNV_2026Q1_2026-06-23'!$B:$B, "="&amp;'CHECK_DT-BT_chi_tiet'!A81)</f>
        <v>39600000</v>
      </c>
      <c r="Z81" s="7">
        <f>SUMIFS('HQ2'!$C:$C,'HQ2'!$A:$A, "="&amp;'CHECK_DT-BT_chi_tiet'!C81,'HQ2'!$B:$B, "="&amp;'CHECK_DT-BT_chi_tiet'!$Y$3)</f>
        <v>39600000</v>
      </c>
      <c r="AA81" s="7">
        <f t="shared" si="29"/>
        <v>0</v>
      </c>
      <c r="AB81" s="7">
        <f>SUMIFS('Tong_hop_HQNV_2026Q1_2026-06-23'!$K:$K,'Tong_hop_HQNV_2026Q1_2026-06-23'!$A:$A,"="&amp;$AB$2,'Tong_hop_HQNV_2026Q1_2026-06-23'!$B:$B, "="&amp;'CHECK_DT-BT_chi_tiet'!A81)</f>
        <v>2775981020</v>
      </c>
      <c r="AC81" s="7">
        <f>SUMIFS('HQ2'!$C:$C,'HQ2'!$A:$A, "="&amp;'CHECK_DT-BT_chi_tiet'!C81,'HQ2'!$B:$B, "="&amp;'CHECK_DT-BT_chi_tiet'!$AB$3)</f>
        <v>2775981020</v>
      </c>
      <c r="AD81" s="7">
        <f t="shared" si="30"/>
        <v>0</v>
      </c>
      <c r="AE81" s="7">
        <f>SUMIFS('Tong_hop_HQNV_2026Q1_2026-06-23'!$K:$K,'Tong_hop_HQNV_2026Q1_2026-06-23'!$A:$A,"="&amp;$AE$2,'Tong_hop_HQNV_2026Q1_2026-06-23'!$B:$B, "="&amp;'CHECK_DT-BT_chi_tiet'!A81)</f>
        <v>205208267</v>
      </c>
      <c r="AF81" s="7">
        <f>SUMIFS('HQ2'!$C:$C,'HQ2'!$A:$A, "="&amp;'CHECK_DT-BT_chi_tiet'!C81,'HQ2'!$B:$B, "="&amp;'CHECK_DT-BT_chi_tiet'!$AE$3)</f>
        <v>205208267</v>
      </c>
      <c r="AG81" s="7">
        <f t="shared" si="31"/>
        <v>0</v>
      </c>
      <c r="AH81" s="7">
        <f>SUMIFS('Tong_hop_HQNV_2026Q1_2026-06-23'!$K:$K,'Tong_hop_HQNV_2026Q1_2026-06-23'!$A:$A,"="&amp;$AH$2,'Tong_hop_HQNV_2026Q1_2026-06-23'!$B:$B, "="&amp;'CHECK_DT-BT_chi_tiet'!A81)</f>
        <v>183000000</v>
      </c>
      <c r="AI81" s="7">
        <f>SUMIFS('HQ2'!$C:$C,'HQ2'!$A:$A, "="&amp;'CHECK_DT-BT_chi_tiet'!C81,'HQ2'!$B:$B, "="&amp;'CHECK_DT-BT_chi_tiet'!$AH$3)</f>
        <v>183000000</v>
      </c>
      <c r="AJ81" s="7">
        <f t="shared" si="32"/>
        <v>0</v>
      </c>
      <c r="AK81" s="7">
        <f>SUMIFS('Tong_hop_HQNV_2026Q1_2026-06-23'!$K:$K,'Tong_hop_HQNV_2026Q1_2026-06-23'!$A:$A,"="&amp;$AK$2,'Tong_hop_HQNV_2026Q1_2026-06-23'!$B:$B, "="&amp;'CHECK_DT-BT_chi_tiet'!A81)</f>
        <v>0</v>
      </c>
      <c r="AL81" s="7">
        <f>SUMIFS('Tong_hop_HQNV_2026Q1_2026-06-23'!$K:$K,'Tong_hop_HQNV_2026Q1_2026-06-23'!$A:$A,"="&amp;$AL$2,'Tong_hop_HQNV_2026Q1_2026-06-23'!$B:$B, "="&amp;'CHECK_DT-BT_chi_tiet'!A81)</f>
        <v>0</v>
      </c>
      <c r="AM81" s="23">
        <f>SUMIFS('Tong_hop_HQNV_2026Q1_2026-06-23'!$L:$L,'Tong_hop_HQNV_2026Q1_2026-06-23'!$B:$B, "="&amp;'CHECK_DT-BT_chi_tiet'!A81, 'Tong_hop_HQNV_2026Q1_2026-06-23'!$A:$A, "="&amp;'CHECK_DT-BT_chi_tiet'!$AM$2)</f>
        <v>2259772407</v>
      </c>
      <c r="AN81" s="29">
        <f>SUMIFS('HQ1'!$D:$D,'HQ1'!$A:$A, "="&amp;'CHECK_DT-BT_chi_tiet'!C81,'HQ1'!$B:$B,"="&amp;'CHECK_DT-BT_chi_tiet'!$AM$3)</f>
        <v>2258772407</v>
      </c>
      <c r="AO81" s="29">
        <f t="shared" si="33"/>
        <v>1000000</v>
      </c>
      <c r="AP81" s="7">
        <f>SUMIFS('Tong_hop_HQNV_2026Q1_2026-06-23'!$L:$L,'Tong_hop_HQNV_2026Q1_2026-06-23'!$B:$B, "="&amp;'CHECK_DT-BT_chi_tiet'!A81, 'Tong_hop_HQNV_2026Q1_2026-06-23'!$A:$A, "="&amp;'CHECK_DT-BT_chi_tiet'!$AP$2)</f>
        <v>0</v>
      </c>
      <c r="AQ81" s="29">
        <f>SUMIFS('HQ1'!$D:$D,'HQ1'!$A:$A, "="&amp;'CHECK_DT-BT_chi_tiet'!C81,'HQ1'!$B:$B,"="&amp;'CHECK_DT-BT_chi_tiet'!$AP$3)</f>
        <v>0</v>
      </c>
      <c r="AR81" s="7">
        <f t="shared" si="34"/>
        <v>0</v>
      </c>
      <c r="AS81" s="7">
        <f>SUMIFS('Tong_hop_HQNV_2026Q1_2026-06-23'!$L:$L,'Tong_hop_HQNV_2026Q1_2026-06-23'!$B:$B, "="&amp;'CHECK_DT-BT_chi_tiet'!A81, 'Tong_hop_HQNV_2026Q1_2026-06-23'!$A:$A, "="&amp;'CHECK_DT-BT_chi_tiet'!$AS$2)</f>
        <v>569970628</v>
      </c>
      <c r="AT81" s="29">
        <f>SUMIFS('HQ1'!$D:$D,'HQ1'!$A:$A, "="&amp;'CHECK_DT-BT_chi_tiet'!C81,'HQ1'!$B:$B,"="&amp;'CHECK_DT-BT_chi_tiet'!$AS$3)</f>
        <v>569970628</v>
      </c>
      <c r="AU81" s="7">
        <f t="shared" si="35"/>
        <v>0</v>
      </c>
      <c r="AV81" s="7">
        <f>SUMIFS('Tong_hop_HQNV_2026Q1_2026-06-23'!$L:$L,'Tong_hop_HQNV_2026Q1_2026-06-23'!$B:$B, "="&amp;'CHECK_DT-BT_chi_tiet'!A81, 'Tong_hop_HQNV_2026Q1_2026-06-23'!$A:$A, "="&amp;'CHECK_DT-BT_chi_tiet'!$AV$2)</f>
        <v>766381418</v>
      </c>
      <c r="AW81" s="29">
        <f>SUMIFS('HQ1'!$D:$D,'HQ1'!$A:$A, "="&amp;'CHECK_DT-BT_chi_tiet'!C81,'HQ1'!$B:$B,"="&amp;'CHECK_DT-BT_chi_tiet'!$AV$3)</f>
        <v>767381418</v>
      </c>
      <c r="AX81" s="7">
        <f t="shared" si="36"/>
        <v>-1000000</v>
      </c>
      <c r="AY81" s="7">
        <f>SUMIFS('Tong_hop_HQNV_2026Q1_2026-06-23'!$L:$L,'Tong_hop_HQNV_2026Q1_2026-06-23'!$B:$B, "="&amp;'CHECK_DT-BT_chi_tiet'!A81, 'Tong_hop_HQNV_2026Q1_2026-06-23'!$A:$A, "="&amp;$AY$2)</f>
        <v>0</v>
      </c>
      <c r="AZ81" s="29">
        <f>SUMIFS('HQ2'!$J:$J,'HQ2'!$A:$A, "="&amp;'CHECK_DT-BT_chi_tiet'!C81,'HQ2'!$B:$B,"="&amp;'CHECK_DT-BT_chi_tiet'!$AY$3)</f>
        <v>0</v>
      </c>
      <c r="BA81" s="7">
        <f t="shared" si="37"/>
        <v>0</v>
      </c>
      <c r="BB81" s="7">
        <f>SUMIFS('Tong_hop_HQNV_2026Q1_2026-06-23'!$L:$L,'Tong_hop_HQNV_2026Q1_2026-06-23'!$B:$B, "="&amp;'CHECK_DT-BT_chi_tiet'!A81, 'Tong_hop_HQNV_2026Q1_2026-06-23'!$A:$A, "="&amp;$BB$2)</f>
        <v>0</v>
      </c>
      <c r="BC81" s="29">
        <f>SUMIFS('HQ2'!$J:$J,'HQ2'!$A:$A, "="&amp;'CHECK_DT-BT_chi_tiet'!C81,'HQ2'!$B:$B,"="&amp;'CHECK_DT-BT_chi_tiet'!$BB$3)</f>
        <v>0</v>
      </c>
      <c r="BD81" s="7">
        <f t="shared" si="38"/>
        <v>0</v>
      </c>
      <c r="BE81" s="7">
        <f>SUMIFS('Tong_hop_HQNV_2026Q1_2026-06-23'!$L:$L,'Tong_hop_HQNV_2026Q1_2026-06-23'!$B:$B, "="&amp;'CHECK_DT-BT_chi_tiet'!A81, 'Tong_hop_HQNV_2026Q1_2026-06-23'!$A:$A, "="&amp;$BE$2)</f>
        <v>0</v>
      </c>
      <c r="BF81" s="29">
        <f>SUMIFS('HQ2'!$J:$J,'HQ2'!$A:$A, "="&amp;'CHECK_DT-BT_chi_tiet'!C81,'HQ2'!$B:$B,"="&amp;'CHECK_DT-BT_chi_tiet'!$BE$3)</f>
        <v>0</v>
      </c>
      <c r="BG81" s="7">
        <f t="shared" si="39"/>
        <v>0</v>
      </c>
      <c r="BH81" s="7">
        <f>SUMIFS('Tong_hop_HQNV_2026Q1_2026-06-23'!$L:$L,'Tong_hop_HQNV_2026Q1_2026-06-23'!$B:$B, "="&amp;'CHECK_DT-BT_chi_tiet'!A81, 'Tong_hop_HQNV_2026Q1_2026-06-23'!$A:$A, "="&amp;$BH$2)</f>
        <v>0</v>
      </c>
      <c r="BI81" s="29">
        <f>SUMIFS('HQ2'!$J:$J,'HQ2'!$A:$A, "="&amp;'CHECK_DT-BT_chi_tiet'!C81,'HQ2'!$B:$B,"="&amp;'CHECK_DT-BT_chi_tiet'!$BH$3)</f>
        <v>0</v>
      </c>
      <c r="BJ81" s="7">
        <f t="shared" si="40"/>
        <v>0</v>
      </c>
      <c r="BK81" s="7">
        <f>SUMIFS('Tong_hop_HQNV_2026Q1_2026-06-23'!$L:$L,'Tong_hop_HQNV_2026Q1_2026-06-23'!$B:$B, "="&amp;'CHECK_DT-BT_chi_tiet'!A81, 'Tong_hop_HQNV_2026Q1_2026-06-23'!$A:$A, "="&amp;$BK$2)</f>
        <v>0</v>
      </c>
      <c r="BL81" s="29">
        <f>SUMIFS('HQ2'!$J:$J,'HQ2'!$A:$A, "="&amp;'CHECK_DT-BT_chi_tiet'!C81,'HQ2'!$B:$B,"="&amp;'CHECK_DT-BT_chi_tiet'!$BK$3)</f>
        <v>0</v>
      </c>
      <c r="BM81" s="7">
        <f t="shared" si="41"/>
        <v>0</v>
      </c>
      <c r="BN81" s="7">
        <f>SUMIFS('Tong_hop_HQNV_2026Q1_2026-06-23'!$L:$L,'Tong_hop_HQNV_2026Q1_2026-06-23'!$B:$B, "="&amp;'CHECK_DT-BT_chi_tiet'!A81, 'Tong_hop_HQNV_2026Q1_2026-06-23'!$A:$A, "="&amp;$BN$2)</f>
        <v>0</v>
      </c>
      <c r="BO81" s="29">
        <f>SUMIFS('HQ2'!$J:$J,'HQ2'!$A:$A, "="&amp;'CHECK_DT-BT_chi_tiet'!C81,'HQ2'!$B:$B,"="&amp;'CHECK_DT-BT_chi_tiet'!$BN$3)</f>
        <v>0</v>
      </c>
      <c r="BP81" s="7">
        <f t="shared" si="42"/>
        <v>0</v>
      </c>
      <c r="BQ81" s="7">
        <f>SUMIFS('Tong_hop_HQNV_2026Q1_2026-06-23'!$L:$L,'Tong_hop_HQNV_2026Q1_2026-06-23'!$B:$B, "="&amp;'CHECK_DT-BT_chi_tiet'!A81, 'Tong_hop_HQNV_2026Q1_2026-06-23'!$A:$A, "="&amp;$BQ$2)</f>
        <v>0</v>
      </c>
      <c r="BR81" s="29">
        <f>SUMIFS('HQ2'!$J:$J,'HQ2'!$A:$A, "="&amp;'CHECK_DT-BT_chi_tiet'!C81,'HQ2'!$B:$B,"="&amp;'CHECK_DT-BT_chi_tiet'!$BQ$3)</f>
        <v>0</v>
      </c>
      <c r="BS81" s="7">
        <f t="shared" si="43"/>
        <v>0</v>
      </c>
      <c r="BT81" s="7">
        <f>SUMIFS('Tong_hop_HQNV_2026Q1_2026-06-23'!$L:$L,'Tong_hop_HQNV_2026Q1_2026-06-23'!$B:$B, "="&amp;'CHECK_DT-BT_chi_tiet'!A81, 'Tong_hop_HQNV_2026Q1_2026-06-23'!$A:$A, "="&amp;$BT$2)</f>
        <v>0</v>
      </c>
      <c r="BU81" s="7">
        <f>SUMIFS('Tong_hop_HQNV_2026Q1_2026-06-23'!$L:$L,'Tong_hop_HQNV_2026Q1_2026-06-23'!$B:$B, "="&amp;'CHECK_DT-BT_chi_tiet'!A81, 'Tong_hop_HQNV_2026Q1_2026-06-23'!$A:$A, "="&amp;$BU$2)</f>
        <v>0</v>
      </c>
    </row>
    <row r="82" spans="1:73" x14ac:dyDescent="0.25">
      <c r="A82" s="9" t="s">
        <v>362</v>
      </c>
      <c r="B82" t="s">
        <v>220</v>
      </c>
      <c r="C82" t="s">
        <v>129</v>
      </c>
      <c r="D82" s="7">
        <f>SUMIFS('Tong_hop_HQNV_2026Q1_2026-06-23'!$K:$K,'Tong_hop_HQNV_2026Q1_2026-06-23'!$A:$A,"="&amp;'CHECK_DT-BT_chi_tiet'!$D$2,'Tong_hop_HQNV_2026Q1_2026-06-23'!$B:$B, "="&amp;'CHECK_DT-BT_chi_tiet'!A82)</f>
        <v>1488547865</v>
      </c>
      <c r="E82" s="7">
        <f>SUMIFS('HQ1'!$C:$C,'HQ1'!$A:$A, "="&amp;'CHECK_DT-BT_chi_tiet'!C82,'HQ1'!$B:$B, "="&amp;'CHECK_DT-BT_chi_tiet'!$D$3)</f>
        <v>1488547865</v>
      </c>
      <c r="F82" s="7">
        <f t="shared" si="22"/>
        <v>0</v>
      </c>
      <c r="G82" s="7">
        <f>SUMIFS('Tong_hop_HQNV_2026Q1_2026-06-23'!$K:$K,'Tong_hop_HQNV_2026Q1_2026-06-23'!$A:$A,"="&amp;'CHECK_DT-BT_chi_tiet'!$G$2,'Tong_hop_HQNV_2026Q1_2026-06-23'!$B:$B, "="&amp;'CHECK_DT-BT_chi_tiet'!A82)</f>
        <v>49529025</v>
      </c>
      <c r="H82" s="7">
        <f>SUMIFS('HQ1'!$C:$C,'HQ1'!$A:$A, "="&amp;'CHECK_DT-BT_chi_tiet'!C82,'HQ1'!$B:$B, "="&amp;'CHECK_DT-BT_chi_tiet'!$G$3)</f>
        <v>49529025</v>
      </c>
      <c r="I82" s="7">
        <f t="shared" si="23"/>
        <v>0</v>
      </c>
      <c r="J82" s="7">
        <f>SUMIFS('Tong_hop_HQNV_2026Q1_2026-06-23'!$K:$K,'Tong_hop_HQNV_2026Q1_2026-06-23'!$A:$A,"="&amp;'CHECK_DT-BT_chi_tiet'!$J$2,'Tong_hop_HQNV_2026Q1_2026-06-23'!$B:$B, "="&amp;'CHECK_DT-BT_chi_tiet'!A82)</f>
        <v>1819003363</v>
      </c>
      <c r="K82" s="7">
        <f>SUMIFS('HQ1'!$C:$C,'HQ1'!$A:$A, "="&amp;'CHECK_DT-BT_chi_tiet'!C82,'HQ1'!$B:$B, "="&amp;'CHECK_DT-BT_chi_tiet'!$J$3)</f>
        <v>1819003363</v>
      </c>
      <c r="L82" s="7">
        <f t="shared" si="24"/>
        <v>0</v>
      </c>
      <c r="M82" s="7">
        <f>SUMIFS('Tong_hop_HQNV_2026Q1_2026-06-23'!$K:$K,'Tong_hop_HQNV_2026Q1_2026-06-23'!$A:$A,"="&amp;'CHECK_DT-BT_chi_tiet'!$M$2,'Tong_hop_HQNV_2026Q1_2026-06-23'!$B:$B, "="&amp;'CHECK_DT-BT_chi_tiet'!A82)</f>
        <v>106144300</v>
      </c>
      <c r="N82" s="7">
        <f>SUMIFS('HQ1'!$C:$C,'HQ1'!$A:$A, "="&amp;'CHECK_DT-BT_chi_tiet'!C82,'HQ1'!$B:$B, "="&amp;'CHECK_DT-BT_chi_tiet'!$M$3)</f>
        <v>106144300</v>
      </c>
      <c r="O82" s="7">
        <f t="shared" si="25"/>
        <v>0</v>
      </c>
      <c r="P82" s="7">
        <f>SUMIFS('Tong_hop_HQNV_2026Q1_2026-06-23'!$K:$K,'Tong_hop_HQNV_2026Q1_2026-06-23'!$A:$A,"="&amp;$P$2,'Tong_hop_HQNV_2026Q1_2026-06-23'!$B:$B, "="&amp;'CHECK_DT-BT_chi_tiet'!A82)</f>
        <v>0</v>
      </c>
      <c r="Q82" s="7">
        <f>SUMIFS('HQ2'!$C:$C,'HQ2'!$A:$A, "="&amp;'CHECK_DT-BT_chi_tiet'!C82,'HQ2'!$B:$B, "="&amp;'CHECK_DT-BT_chi_tiet'!$P$3)</f>
        <v>0</v>
      </c>
      <c r="R82" s="7">
        <f t="shared" si="26"/>
        <v>0</v>
      </c>
      <c r="S82" s="7">
        <f>SUMIFS('Tong_hop_HQNV_2026Q1_2026-06-23'!$K:$K,'Tong_hop_HQNV_2026Q1_2026-06-23'!$A:$A,"="&amp;$S$2,'Tong_hop_HQNV_2026Q1_2026-06-23'!$B:$B, "="&amp;'CHECK_DT-BT_chi_tiet'!A82)</f>
        <v>0</v>
      </c>
      <c r="T82" s="7">
        <f>SUMIFS('HQ2'!$C:$C,'HQ2'!$A:$A, "="&amp;'CHECK_DT-BT_chi_tiet'!C82,'HQ2'!$B:$B, "="&amp;'CHECK_DT-BT_chi_tiet'!$S$3)</f>
        <v>0</v>
      </c>
      <c r="U82" s="7">
        <f t="shared" si="27"/>
        <v>0</v>
      </c>
      <c r="V82" s="7">
        <f>SUMIFS('Tong_hop_HQNV_2026Q1_2026-06-23'!$K:$K,'Tong_hop_HQNV_2026Q1_2026-06-23'!$A:$A,"="&amp;$V$2,'Tong_hop_HQNV_2026Q1_2026-06-23'!$B:$B, "="&amp;'CHECK_DT-BT_chi_tiet'!A82)</f>
        <v>0</v>
      </c>
      <c r="W82" s="7">
        <f>SUMIFS('HQ2'!$C:$C,'HQ2'!$A:$A, "="&amp;'CHECK_DT-BT_chi_tiet'!C82,'HQ2'!$B:$B, "="&amp;'CHECK_DT-BT_chi_tiet'!$V$3)</f>
        <v>0</v>
      </c>
      <c r="X82" s="7">
        <f t="shared" si="28"/>
        <v>0</v>
      </c>
      <c r="Y82" s="7">
        <f>SUMIFS('Tong_hop_HQNV_2026Q1_2026-06-23'!$K:$K,'Tong_hop_HQNV_2026Q1_2026-06-23'!$A:$A,"="&amp;$Y$2,'Tong_hop_HQNV_2026Q1_2026-06-23'!$B:$B, "="&amp;'CHECK_DT-BT_chi_tiet'!A82)</f>
        <v>0</v>
      </c>
      <c r="Z82" s="7">
        <f>SUMIFS('HQ2'!$C:$C,'HQ2'!$A:$A, "="&amp;'CHECK_DT-BT_chi_tiet'!C82,'HQ2'!$B:$B, "="&amp;'CHECK_DT-BT_chi_tiet'!$Y$3)</f>
        <v>0</v>
      </c>
      <c r="AA82" s="7">
        <f t="shared" si="29"/>
        <v>0</v>
      </c>
      <c r="AB82" s="7">
        <f>SUMIFS('Tong_hop_HQNV_2026Q1_2026-06-23'!$K:$K,'Tong_hop_HQNV_2026Q1_2026-06-23'!$A:$A,"="&amp;$AB$2,'Tong_hop_HQNV_2026Q1_2026-06-23'!$B:$B, "="&amp;'CHECK_DT-BT_chi_tiet'!A82)</f>
        <v>24274579</v>
      </c>
      <c r="AC82" s="7">
        <f>SUMIFS('HQ2'!$C:$C,'HQ2'!$A:$A, "="&amp;'CHECK_DT-BT_chi_tiet'!C82,'HQ2'!$B:$B, "="&amp;'CHECK_DT-BT_chi_tiet'!$AB$3)</f>
        <v>24274579</v>
      </c>
      <c r="AD82" s="7">
        <f t="shared" si="30"/>
        <v>0</v>
      </c>
      <c r="AE82" s="7">
        <f>SUMIFS('Tong_hop_HQNV_2026Q1_2026-06-23'!$K:$K,'Tong_hop_HQNV_2026Q1_2026-06-23'!$A:$A,"="&amp;$AE$2,'Tong_hop_HQNV_2026Q1_2026-06-23'!$B:$B, "="&amp;'CHECK_DT-BT_chi_tiet'!A82)</f>
        <v>20838182</v>
      </c>
      <c r="AF82" s="7">
        <f>SUMIFS('HQ2'!$C:$C,'HQ2'!$A:$A, "="&amp;'CHECK_DT-BT_chi_tiet'!C82,'HQ2'!$B:$B, "="&amp;'CHECK_DT-BT_chi_tiet'!$AE$3)</f>
        <v>20838182</v>
      </c>
      <c r="AG82" s="7">
        <f t="shared" si="31"/>
        <v>0</v>
      </c>
      <c r="AH82" s="7">
        <f>SUMIFS('Tong_hop_HQNV_2026Q1_2026-06-23'!$K:$K,'Tong_hop_HQNV_2026Q1_2026-06-23'!$A:$A,"="&amp;$AH$2,'Tong_hop_HQNV_2026Q1_2026-06-23'!$B:$B, "="&amp;'CHECK_DT-BT_chi_tiet'!A82)</f>
        <v>0</v>
      </c>
      <c r="AI82" s="7">
        <f>SUMIFS('HQ2'!$C:$C,'HQ2'!$A:$A, "="&amp;'CHECK_DT-BT_chi_tiet'!C82,'HQ2'!$B:$B, "="&amp;'CHECK_DT-BT_chi_tiet'!$AH$3)</f>
        <v>0</v>
      </c>
      <c r="AJ82" s="7">
        <f t="shared" si="32"/>
        <v>0</v>
      </c>
      <c r="AK82" s="7">
        <f>SUMIFS('Tong_hop_HQNV_2026Q1_2026-06-23'!$K:$K,'Tong_hop_HQNV_2026Q1_2026-06-23'!$A:$A,"="&amp;$AK$2,'Tong_hop_HQNV_2026Q1_2026-06-23'!$B:$B, "="&amp;'CHECK_DT-BT_chi_tiet'!A82)</f>
        <v>0</v>
      </c>
      <c r="AL82" s="7">
        <f>SUMIFS('Tong_hop_HQNV_2026Q1_2026-06-23'!$K:$K,'Tong_hop_HQNV_2026Q1_2026-06-23'!$A:$A,"="&amp;$AL$2,'Tong_hop_HQNV_2026Q1_2026-06-23'!$B:$B, "="&amp;'CHECK_DT-BT_chi_tiet'!A82)</f>
        <v>0</v>
      </c>
      <c r="AM82" s="23">
        <f>SUMIFS('Tong_hop_HQNV_2026Q1_2026-06-23'!$L:$L,'Tong_hop_HQNV_2026Q1_2026-06-23'!$B:$B, "="&amp;'CHECK_DT-BT_chi_tiet'!A82, 'Tong_hop_HQNV_2026Q1_2026-06-23'!$A:$A, "="&amp;'CHECK_DT-BT_chi_tiet'!$AM$2)</f>
        <v>1471665828</v>
      </c>
      <c r="AN82" s="29">
        <f>SUMIFS('HQ1'!$D:$D,'HQ1'!$A:$A, "="&amp;'CHECK_DT-BT_chi_tiet'!C82,'HQ1'!$B:$B,"="&amp;'CHECK_DT-BT_chi_tiet'!$AM$3)</f>
        <v>1415665828</v>
      </c>
      <c r="AO82" s="29">
        <f t="shared" si="33"/>
        <v>56000000</v>
      </c>
      <c r="AP82" s="7">
        <f>SUMIFS('Tong_hop_HQNV_2026Q1_2026-06-23'!$L:$L,'Tong_hop_HQNV_2026Q1_2026-06-23'!$B:$B, "="&amp;'CHECK_DT-BT_chi_tiet'!A82, 'Tong_hop_HQNV_2026Q1_2026-06-23'!$A:$A, "="&amp;'CHECK_DT-BT_chi_tiet'!$AP$2)</f>
        <v>0</v>
      </c>
      <c r="AQ82" s="29">
        <f>SUMIFS('HQ1'!$D:$D,'HQ1'!$A:$A, "="&amp;'CHECK_DT-BT_chi_tiet'!C82,'HQ1'!$B:$B,"="&amp;'CHECK_DT-BT_chi_tiet'!$AP$3)</f>
        <v>0</v>
      </c>
      <c r="AR82" s="7">
        <f t="shared" si="34"/>
        <v>0</v>
      </c>
      <c r="AS82" s="7">
        <f>SUMIFS('Tong_hop_HQNV_2026Q1_2026-06-23'!$L:$L,'Tong_hop_HQNV_2026Q1_2026-06-23'!$B:$B, "="&amp;'CHECK_DT-BT_chi_tiet'!A82, 'Tong_hop_HQNV_2026Q1_2026-06-23'!$A:$A, "="&amp;'CHECK_DT-BT_chi_tiet'!$AS$2)</f>
        <v>204850883</v>
      </c>
      <c r="AT82" s="29">
        <f>SUMIFS('HQ1'!$D:$D,'HQ1'!$A:$A, "="&amp;'CHECK_DT-BT_chi_tiet'!C82,'HQ1'!$B:$B,"="&amp;'CHECK_DT-BT_chi_tiet'!$AS$3)</f>
        <v>201669065</v>
      </c>
      <c r="AU82" s="7">
        <f t="shared" si="35"/>
        <v>3181818</v>
      </c>
      <c r="AV82" s="7">
        <f>SUMIFS('Tong_hop_HQNV_2026Q1_2026-06-23'!$L:$L,'Tong_hop_HQNV_2026Q1_2026-06-23'!$B:$B, "="&amp;'CHECK_DT-BT_chi_tiet'!A82, 'Tong_hop_HQNV_2026Q1_2026-06-23'!$A:$A, "="&amp;'CHECK_DT-BT_chi_tiet'!$AV$2)</f>
        <v>57569944</v>
      </c>
      <c r="AW82" s="29">
        <f>SUMIFS('HQ1'!$D:$D,'HQ1'!$A:$A, "="&amp;'CHECK_DT-BT_chi_tiet'!C82,'HQ1'!$B:$B,"="&amp;'CHECK_DT-BT_chi_tiet'!$AV$3)</f>
        <v>113569944</v>
      </c>
      <c r="AX82" s="7">
        <f t="shared" si="36"/>
        <v>-56000000</v>
      </c>
      <c r="AY82" s="7">
        <f>SUMIFS('Tong_hop_HQNV_2026Q1_2026-06-23'!$L:$L,'Tong_hop_HQNV_2026Q1_2026-06-23'!$B:$B, "="&amp;'CHECK_DT-BT_chi_tiet'!A82, 'Tong_hop_HQNV_2026Q1_2026-06-23'!$A:$A, "="&amp;$AY$2)</f>
        <v>0</v>
      </c>
      <c r="AZ82" s="29">
        <f>SUMIFS('HQ2'!$J:$J,'HQ2'!$A:$A, "="&amp;'CHECK_DT-BT_chi_tiet'!C82,'HQ2'!$B:$B,"="&amp;'CHECK_DT-BT_chi_tiet'!$AY$3)</f>
        <v>0</v>
      </c>
      <c r="BA82" s="7">
        <f t="shared" si="37"/>
        <v>0</v>
      </c>
      <c r="BB82" s="7">
        <f>SUMIFS('Tong_hop_HQNV_2026Q1_2026-06-23'!$L:$L,'Tong_hop_HQNV_2026Q1_2026-06-23'!$B:$B, "="&amp;'CHECK_DT-BT_chi_tiet'!A82, 'Tong_hop_HQNV_2026Q1_2026-06-23'!$A:$A, "="&amp;$BB$2)</f>
        <v>0</v>
      </c>
      <c r="BC82" s="29">
        <f>SUMIFS('HQ2'!$J:$J,'HQ2'!$A:$A, "="&amp;'CHECK_DT-BT_chi_tiet'!C82,'HQ2'!$B:$B,"="&amp;'CHECK_DT-BT_chi_tiet'!$BB$3)</f>
        <v>0</v>
      </c>
      <c r="BD82" s="7">
        <f t="shared" si="38"/>
        <v>0</v>
      </c>
      <c r="BE82" s="7">
        <f>SUMIFS('Tong_hop_HQNV_2026Q1_2026-06-23'!$L:$L,'Tong_hop_HQNV_2026Q1_2026-06-23'!$B:$B, "="&amp;'CHECK_DT-BT_chi_tiet'!A82, 'Tong_hop_HQNV_2026Q1_2026-06-23'!$A:$A, "="&amp;$BE$2)</f>
        <v>0</v>
      </c>
      <c r="BF82" s="29">
        <f>SUMIFS('HQ2'!$J:$J,'HQ2'!$A:$A, "="&amp;'CHECK_DT-BT_chi_tiet'!C82,'HQ2'!$B:$B,"="&amp;'CHECK_DT-BT_chi_tiet'!$BE$3)</f>
        <v>0</v>
      </c>
      <c r="BG82" s="7">
        <f t="shared" si="39"/>
        <v>0</v>
      </c>
      <c r="BH82" s="7">
        <f>SUMIFS('Tong_hop_HQNV_2026Q1_2026-06-23'!$L:$L,'Tong_hop_HQNV_2026Q1_2026-06-23'!$B:$B, "="&amp;'CHECK_DT-BT_chi_tiet'!A82, 'Tong_hop_HQNV_2026Q1_2026-06-23'!$A:$A, "="&amp;$BH$2)</f>
        <v>0</v>
      </c>
      <c r="BI82" s="29">
        <f>SUMIFS('HQ2'!$J:$J,'HQ2'!$A:$A, "="&amp;'CHECK_DT-BT_chi_tiet'!C82,'HQ2'!$B:$B,"="&amp;'CHECK_DT-BT_chi_tiet'!$BH$3)</f>
        <v>0</v>
      </c>
      <c r="BJ82" s="7">
        <f t="shared" si="40"/>
        <v>0</v>
      </c>
      <c r="BK82" s="7">
        <f>SUMIFS('Tong_hop_HQNV_2026Q1_2026-06-23'!$L:$L,'Tong_hop_HQNV_2026Q1_2026-06-23'!$B:$B, "="&amp;'CHECK_DT-BT_chi_tiet'!A82, 'Tong_hop_HQNV_2026Q1_2026-06-23'!$A:$A, "="&amp;$BK$2)</f>
        <v>0</v>
      </c>
      <c r="BL82" s="29">
        <f>SUMIFS('HQ2'!$J:$J,'HQ2'!$A:$A, "="&amp;'CHECK_DT-BT_chi_tiet'!C82,'HQ2'!$B:$B,"="&amp;'CHECK_DT-BT_chi_tiet'!$BK$3)</f>
        <v>0</v>
      </c>
      <c r="BM82" s="7">
        <f t="shared" si="41"/>
        <v>0</v>
      </c>
      <c r="BN82" s="7">
        <f>SUMIFS('Tong_hop_HQNV_2026Q1_2026-06-23'!$L:$L,'Tong_hop_HQNV_2026Q1_2026-06-23'!$B:$B, "="&amp;'CHECK_DT-BT_chi_tiet'!A82, 'Tong_hop_HQNV_2026Q1_2026-06-23'!$A:$A, "="&amp;$BN$2)</f>
        <v>0</v>
      </c>
      <c r="BO82" s="29">
        <f>SUMIFS('HQ2'!$J:$J,'HQ2'!$A:$A, "="&amp;'CHECK_DT-BT_chi_tiet'!C82,'HQ2'!$B:$B,"="&amp;'CHECK_DT-BT_chi_tiet'!$BN$3)</f>
        <v>0</v>
      </c>
      <c r="BP82" s="7">
        <f t="shared" si="42"/>
        <v>0</v>
      </c>
      <c r="BQ82" s="7">
        <f>SUMIFS('Tong_hop_HQNV_2026Q1_2026-06-23'!$L:$L,'Tong_hop_HQNV_2026Q1_2026-06-23'!$B:$B, "="&amp;'CHECK_DT-BT_chi_tiet'!A82, 'Tong_hop_HQNV_2026Q1_2026-06-23'!$A:$A, "="&amp;$BQ$2)</f>
        <v>2400000</v>
      </c>
      <c r="BR82" s="29">
        <f>SUMIFS('HQ2'!$J:$J,'HQ2'!$A:$A, "="&amp;'CHECK_DT-BT_chi_tiet'!C82,'HQ2'!$B:$B,"="&amp;'CHECK_DT-BT_chi_tiet'!$BQ$3)</f>
        <v>2400000</v>
      </c>
      <c r="BS82" s="7">
        <f t="shared" si="43"/>
        <v>0</v>
      </c>
      <c r="BT82" s="7">
        <f>SUMIFS('Tong_hop_HQNV_2026Q1_2026-06-23'!$L:$L,'Tong_hop_HQNV_2026Q1_2026-06-23'!$B:$B, "="&amp;'CHECK_DT-BT_chi_tiet'!A82, 'Tong_hop_HQNV_2026Q1_2026-06-23'!$A:$A, "="&amp;$BT$2)</f>
        <v>0</v>
      </c>
      <c r="BU82" s="7">
        <f>SUMIFS('Tong_hop_HQNV_2026Q1_2026-06-23'!$L:$L,'Tong_hop_HQNV_2026Q1_2026-06-23'!$B:$B, "="&amp;'CHECK_DT-BT_chi_tiet'!A82, 'Tong_hop_HQNV_2026Q1_2026-06-23'!$A:$A, "="&amp;$BU$2)</f>
        <v>0</v>
      </c>
    </row>
    <row r="83" spans="1:73" x14ac:dyDescent="0.25">
      <c r="A83" s="9" t="s">
        <v>233</v>
      </c>
      <c r="B83" t="str">
        <f>VLOOKUP(A83,[1]Sheet1!$A$82:$B$94,2,FALSE)</f>
        <v>Trụ sở chính</v>
      </c>
      <c r="C83" t="str">
        <f>B83</f>
        <v>Trụ sở chính</v>
      </c>
      <c r="D83" s="7">
        <f>SUMIFS('Tong_hop_HQNV_2026Q1_2026-06-23'!$K:$K,'Tong_hop_HQNV_2026Q1_2026-06-23'!$A:$A,"="&amp;'CHECK_DT-BT_chi_tiet'!$D$2,'Tong_hop_HQNV_2026Q1_2026-06-23'!$B:$B, "="&amp;'CHECK_DT-BT_chi_tiet'!A83)</f>
        <v>0</v>
      </c>
      <c r="E83" s="7">
        <f>SUMIFS('HQ1'!$C:$C,'HQ1'!$A:$A, "="&amp;'CHECK_DT-BT_chi_tiet'!C83,'HQ1'!$B:$B, "="&amp;'CHECK_DT-BT_chi_tiet'!$D$3)</f>
        <v>0</v>
      </c>
      <c r="F83" s="7">
        <f t="shared" si="22"/>
        <v>0</v>
      </c>
      <c r="G83" s="7">
        <f>SUMIFS('Tong_hop_HQNV_2026Q1_2026-06-23'!$K:$K,'Tong_hop_HQNV_2026Q1_2026-06-23'!$A:$A,"="&amp;'CHECK_DT-BT_chi_tiet'!$G$2,'Tong_hop_HQNV_2026Q1_2026-06-23'!$B:$B, "="&amp;'CHECK_DT-BT_chi_tiet'!A83)</f>
        <v>0</v>
      </c>
      <c r="H83" s="7">
        <f>SUMIFS('HQ1'!$C:$C,'HQ1'!$A:$A, "="&amp;'CHECK_DT-BT_chi_tiet'!C83,'HQ1'!$B:$B, "="&amp;'CHECK_DT-BT_chi_tiet'!$G$3)</f>
        <v>0</v>
      </c>
      <c r="I83" s="7">
        <f t="shared" si="23"/>
        <v>0</v>
      </c>
      <c r="J83" s="7">
        <f>SUMIFS('Tong_hop_HQNV_2026Q1_2026-06-23'!$K:$K,'Tong_hop_HQNV_2026Q1_2026-06-23'!$A:$A,"="&amp;'CHECK_DT-BT_chi_tiet'!$J$2,'Tong_hop_HQNV_2026Q1_2026-06-23'!$B:$B, "="&amp;'CHECK_DT-BT_chi_tiet'!A83)</f>
        <v>0</v>
      </c>
      <c r="K83" s="7">
        <f>SUMIFS('HQ1'!$C:$C,'HQ1'!$A:$A, "="&amp;'CHECK_DT-BT_chi_tiet'!C83,'HQ1'!$B:$B, "="&amp;'CHECK_DT-BT_chi_tiet'!$J$3)</f>
        <v>0</v>
      </c>
      <c r="L83" s="7">
        <f t="shared" si="24"/>
        <v>0</v>
      </c>
      <c r="M83" s="7">
        <f>SUMIFS('Tong_hop_HQNV_2026Q1_2026-06-23'!$K:$K,'Tong_hop_HQNV_2026Q1_2026-06-23'!$A:$A,"="&amp;'CHECK_DT-BT_chi_tiet'!$M$2,'Tong_hop_HQNV_2026Q1_2026-06-23'!$B:$B, "="&amp;'CHECK_DT-BT_chi_tiet'!A83)</f>
        <v>0</v>
      </c>
      <c r="N83" s="7">
        <f>SUMIFS('HQ1'!$C:$C,'HQ1'!$A:$A, "="&amp;'CHECK_DT-BT_chi_tiet'!C83,'HQ1'!$B:$B, "="&amp;'CHECK_DT-BT_chi_tiet'!$M$3)</f>
        <v>0</v>
      </c>
      <c r="O83" s="7">
        <f t="shared" si="25"/>
        <v>0</v>
      </c>
      <c r="P83" s="7">
        <f>SUMIFS('Tong_hop_HQNV_2026Q1_2026-06-23'!$K:$K,'Tong_hop_HQNV_2026Q1_2026-06-23'!$A:$A,"="&amp;$P$2,'Tong_hop_HQNV_2026Q1_2026-06-23'!$B:$B, "="&amp;'CHECK_DT-BT_chi_tiet'!A83)</f>
        <v>0</v>
      </c>
      <c r="Q83" s="7">
        <f>SUMIFS('HQ2'!$C:$C,'HQ2'!$A:$A, "="&amp;'CHECK_DT-BT_chi_tiet'!C83,'HQ2'!$B:$B, "="&amp;'CHECK_DT-BT_chi_tiet'!$P$3)</f>
        <v>0</v>
      </c>
      <c r="R83" s="7">
        <f t="shared" si="26"/>
        <v>0</v>
      </c>
      <c r="S83" s="7">
        <f>SUMIFS('Tong_hop_HQNV_2026Q1_2026-06-23'!$K:$K,'Tong_hop_HQNV_2026Q1_2026-06-23'!$A:$A,"="&amp;$S$2,'Tong_hop_HQNV_2026Q1_2026-06-23'!$B:$B, "="&amp;'CHECK_DT-BT_chi_tiet'!A83)</f>
        <v>0</v>
      </c>
      <c r="T83" s="7">
        <f>SUMIFS('HQ2'!$C:$C,'HQ2'!$A:$A, "="&amp;'CHECK_DT-BT_chi_tiet'!C83,'HQ2'!$B:$B, "="&amp;'CHECK_DT-BT_chi_tiet'!$S$3)</f>
        <v>0</v>
      </c>
      <c r="U83" s="7">
        <f t="shared" si="27"/>
        <v>0</v>
      </c>
      <c r="V83" s="7">
        <f>SUMIFS('Tong_hop_HQNV_2026Q1_2026-06-23'!$K:$K,'Tong_hop_HQNV_2026Q1_2026-06-23'!$A:$A,"="&amp;$V$2,'Tong_hop_HQNV_2026Q1_2026-06-23'!$B:$B, "="&amp;'CHECK_DT-BT_chi_tiet'!A83)</f>
        <v>0</v>
      </c>
      <c r="W83" s="7">
        <f>SUMIFS('HQ2'!$C:$C,'HQ2'!$A:$A, "="&amp;'CHECK_DT-BT_chi_tiet'!C83,'HQ2'!$B:$B, "="&amp;'CHECK_DT-BT_chi_tiet'!$V$3)</f>
        <v>0</v>
      </c>
      <c r="X83" s="7">
        <f t="shared" si="28"/>
        <v>0</v>
      </c>
      <c r="Y83" s="7">
        <f>SUMIFS('Tong_hop_HQNV_2026Q1_2026-06-23'!$K:$K,'Tong_hop_HQNV_2026Q1_2026-06-23'!$A:$A,"="&amp;$Y$2,'Tong_hop_HQNV_2026Q1_2026-06-23'!$B:$B, "="&amp;'CHECK_DT-BT_chi_tiet'!A83)</f>
        <v>0</v>
      </c>
      <c r="Z83" s="7">
        <f>SUMIFS('HQ2'!$C:$C,'HQ2'!$A:$A, "="&amp;'CHECK_DT-BT_chi_tiet'!C83,'HQ2'!$B:$B, "="&amp;'CHECK_DT-BT_chi_tiet'!$Y$3)</f>
        <v>0</v>
      </c>
      <c r="AA83" s="7">
        <f t="shared" si="29"/>
        <v>0</v>
      </c>
      <c r="AB83" s="7">
        <f>SUMIFS('Tong_hop_HQNV_2026Q1_2026-06-23'!$K:$K,'Tong_hop_HQNV_2026Q1_2026-06-23'!$A:$A,"="&amp;$AB$2,'Tong_hop_HQNV_2026Q1_2026-06-23'!$B:$B, "="&amp;'CHECK_DT-BT_chi_tiet'!A83)</f>
        <v>0</v>
      </c>
      <c r="AC83" s="7">
        <f>SUMIFS('HQ2'!$C:$C,'HQ2'!$A:$A, "="&amp;'CHECK_DT-BT_chi_tiet'!C83,'HQ2'!$B:$B, "="&amp;'CHECK_DT-BT_chi_tiet'!$AB$3)</f>
        <v>0</v>
      </c>
      <c r="AD83" s="7">
        <f t="shared" si="30"/>
        <v>0</v>
      </c>
      <c r="AE83" s="7">
        <f>SUMIFS('Tong_hop_HQNV_2026Q1_2026-06-23'!$K:$K,'Tong_hop_HQNV_2026Q1_2026-06-23'!$A:$A,"="&amp;$AE$2,'Tong_hop_HQNV_2026Q1_2026-06-23'!$B:$B, "="&amp;'CHECK_DT-BT_chi_tiet'!A83)</f>
        <v>0</v>
      </c>
      <c r="AF83" s="7">
        <f>SUMIFS('HQ2'!$C:$C,'HQ2'!$A:$A, "="&amp;'CHECK_DT-BT_chi_tiet'!C83,'HQ2'!$B:$B, "="&amp;'CHECK_DT-BT_chi_tiet'!$AE$3)</f>
        <v>0</v>
      </c>
      <c r="AG83" s="7">
        <f t="shared" si="31"/>
        <v>0</v>
      </c>
      <c r="AH83" s="7">
        <f>SUMIFS('Tong_hop_HQNV_2026Q1_2026-06-23'!$K:$K,'Tong_hop_HQNV_2026Q1_2026-06-23'!$A:$A,"="&amp;$AH$2,'Tong_hop_HQNV_2026Q1_2026-06-23'!$B:$B, "="&amp;'CHECK_DT-BT_chi_tiet'!A83)</f>
        <v>0</v>
      </c>
      <c r="AI83" s="7">
        <f>SUMIFS('HQ2'!$C:$C,'HQ2'!$A:$A, "="&amp;'CHECK_DT-BT_chi_tiet'!C83,'HQ2'!$B:$B, "="&amp;'CHECK_DT-BT_chi_tiet'!$AH$3)</f>
        <v>0</v>
      </c>
      <c r="AJ83" s="7">
        <f t="shared" si="32"/>
        <v>0</v>
      </c>
      <c r="AK83" s="7">
        <f>SUMIFS('Tong_hop_HQNV_2026Q1_2026-06-23'!$K:$K,'Tong_hop_HQNV_2026Q1_2026-06-23'!$A:$A,"="&amp;$AK$2,'Tong_hop_HQNV_2026Q1_2026-06-23'!$B:$B, "="&amp;'CHECK_DT-BT_chi_tiet'!A83)</f>
        <v>736808700</v>
      </c>
      <c r="AL83" s="7">
        <f>SUMIFS('Tong_hop_HQNV_2026Q1_2026-06-23'!$K:$K,'Tong_hop_HQNV_2026Q1_2026-06-23'!$A:$A,"="&amp;$AL$2,'Tong_hop_HQNV_2026Q1_2026-06-23'!$B:$B, "="&amp;'CHECK_DT-BT_chi_tiet'!A83)</f>
        <v>0</v>
      </c>
      <c r="AM83" s="23">
        <f>SUMIFS('Tong_hop_HQNV_2026Q1_2026-06-23'!$L:$L,'Tong_hop_HQNV_2026Q1_2026-06-23'!$B:$B, "="&amp;'CHECK_DT-BT_chi_tiet'!A83, 'Tong_hop_HQNV_2026Q1_2026-06-23'!$A:$A, "="&amp;'CHECK_DT-BT_chi_tiet'!$AM$2)</f>
        <v>0</v>
      </c>
      <c r="AN83" s="29">
        <f>SUMIFS('HQ1'!$D:$D,'HQ1'!$A:$A, "="&amp;'CHECK_DT-BT_chi_tiet'!C83,'HQ1'!$B:$B,"="&amp;'CHECK_DT-BT_chi_tiet'!$AM$3)</f>
        <v>0</v>
      </c>
      <c r="AO83" s="29">
        <f t="shared" si="33"/>
        <v>0</v>
      </c>
      <c r="AP83" s="7">
        <f>SUMIFS('Tong_hop_HQNV_2026Q1_2026-06-23'!$L:$L,'Tong_hop_HQNV_2026Q1_2026-06-23'!$B:$B, "="&amp;'CHECK_DT-BT_chi_tiet'!A83, 'Tong_hop_HQNV_2026Q1_2026-06-23'!$A:$A, "="&amp;'CHECK_DT-BT_chi_tiet'!$AP$2)</f>
        <v>0</v>
      </c>
      <c r="AQ83" s="29">
        <f>SUMIFS('HQ1'!$D:$D,'HQ1'!$A:$A, "="&amp;'CHECK_DT-BT_chi_tiet'!C83,'HQ1'!$B:$B,"="&amp;'CHECK_DT-BT_chi_tiet'!$AP$3)</f>
        <v>0</v>
      </c>
      <c r="AR83" s="7">
        <f t="shared" si="34"/>
        <v>0</v>
      </c>
      <c r="AS83" s="7">
        <f>SUMIFS('Tong_hop_HQNV_2026Q1_2026-06-23'!$L:$L,'Tong_hop_HQNV_2026Q1_2026-06-23'!$B:$B, "="&amp;'CHECK_DT-BT_chi_tiet'!A83, 'Tong_hop_HQNV_2026Q1_2026-06-23'!$A:$A, "="&amp;'CHECK_DT-BT_chi_tiet'!$AS$2)</f>
        <v>0</v>
      </c>
      <c r="AT83" s="29">
        <f>SUMIFS('HQ1'!$D:$D,'HQ1'!$A:$A, "="&amp;'CHECK_DT-BT_chi_tiet'!C83,'HQ1'!$B:$B,"="&amp;'CHECK_DT-BT_chi_tiet'!$AS$3)</f>
        <v>0</v>
      </c>
      <c r="AU83" s="7">
        <f t="shared" si="35"/>
        <v>0</v>
      </c>
      <c r="AV83" s="7">
        <f>SUMIFS('Tong_hop_HQNV_2026Q1_2026-06-23'!$L:$L,'Tong_hop_HQNV_2026Q1_2026-06-23'!$B:$B, "="&amp;'CHECK_DT-BT_chi_tiet'!A83, 'Tong_hop_HQNV_2026Q1_2026-06-23'!$A:$A, "="&amp;'CHECK_DT-BT_chi_tiet'!$AV$2)</f>
        <v>0</v>
      </c>
      <c r="AW83" s="29">
        <f>SUMIFS('HQ1'!$D:$D,'HQ1'!$A:$A, "="&amp;'CHECK_DT-BT_chi_tiet'!C83,'HQ1'!$B:$B,"="&amp;'CHECK_DT-BT_chi_tiet'!$AV$3)</f>
        <v>0</v>
      </c>
      <c r="AX83" s="7">
        <f t="shared" si="36"/>
        <v>0</v>
      </c>
      <c r="AY83" s="7">
        <f>SUMIFS('Tong_hop_HQNV_2026Q1_2026-06-23'!$L:$L,'Tong_hop_HQNV_2026Q1_2026-06-23'!$B:$B, "="&amp;'CHECK_DT-BT_chi_tiet'!A83, 'Tong_hop_HQNV_2026Q1_2026-06-23'!$A:$A, "="&amp;$AY$2)</f>
        <v>0</v>
      </c>
      <c r="AZ83" s="29">
        <f>SUMIFS('HQ2'!$J:$J,'HQ2'!$A:$A, "="&amp;'CHECK_DT-BT_chi_tiet'!C83,'HQ2'!$B:$B,"="&amp;'CHECK_DT-BT_chi_tiet'!$AY$3)</f>
        <v>0</v>
      </c>
      <c r="BA83" s="7">
        <f t="shared" si="37"/>
        <v>0</v>
      </c>
      <c r="BB83" s="7">
        <f>SUMIFS('Tong_hop_HQNV_2026Q1_2026-06-23'!$L:$L,'Tong_hop_HQNV_2026Q1_2026-06-23'!$B:$B, "="&amp;'CHECK_DT-BT_chi_tiet'!A83, 'Tong_hop_HQNV_2026Q1_2026-06-23'!$A:$A, "="&amp;$BB$2)</f>
        <v>0</v>
      </c>
      <c r="BC83" s="29">
        <f>SUMIFS('HQ2'!$J:$J,'HQ2'!$A:$A, "="&amp;'CHECK_DT-BT_chi_tiet'!C83,'HQ2'!$B:$B,"="&amp;'CHECK_DT-BT_chi_tiet'!$BB$3)</f>
        <v>0</v>
      </c>
      <c r="BD83" s="7">
        <f t="shared" si="38"/>
        <v>0</v>
      </c>
      <c r="BE83" s="7">
        <f>SUMIFS('Tong_hop_HQNV_2026Q1_2026-06-23'!$L:$L,'Tong_hop_HQNV_2026Q1_2026-06-23'!$B:$B, "="&amp;'CHECK_DT-BT_chi_tiet'!A83, 'Tong_hop_HQNV_2026Q1_2026-06-23'!$A:$A, "="&amp;$BE$2)</f>
        <v>0</v>
      </c>
      <c r="BF83" s="29">
        <f>SUMIFS('HQ2'!$J:$J,'HQ2'!$A:$A, "="&amp;'CHECK_DT-BT_chi_tiet'!C83,'HQ2'!$B:$B,"="&amp;'CHECK_DT-BT_chi_tiet'!$BE$3)</f>
        <v>0</v>
      </c>
      <c r="BG83" s="7">
        <f t="shared" si="39"/>
        <v>0</v>
      </c>
      <c r="BH83" s="7">
        <f>SUMIFS('Tong_hop_HQNV_2026Q1_2026-06-23'!$L:$L,'Tong_hop_HQNV_2026Q1_2026-06-23'!$B:$B, "="&amp;'CHECK_DT-BT_chi_tiet'!A83, 'Tong_hop_HQNV_2026Q1_2026-06-23'!$A:$A, "="&amp;$BH$2)</f>
        <v>0</v>
      </c>
      <c r="BI83" s="29">
        <f>SUMIFS('HQ2'!$J:$J,'HQ2'!$A:$A, "="&amp;'CHECK_DT-BT_chi_tiet'!C83,'HQ2'!$B:$B,"="&amp;'CHECK_DT-BT_chi_tiet'!$BH$3)</f>
        <v>0</v>
      </c>
      <c r="BJ83" s="7">
        <f t="shared" si="40"/>
        <v>0</v>
      </c>
      <c r="BK83" s="7">
        <f>SUMIFS('Tong_hop_HQNV_2026Q1_2026-06-23'!$L:$L,'Tong_hop_HQNV_2026Q1_2026-06-23'!$B:$B, "="&amp;'CHECK_DT-BT_chi_tiet'!A83, 'Tong_hop_HQNV_2026Q1_2026-06-23'!$A:$A, "="&amp;$BK$2)</f>
        <v>0</v>
      </c>
      <c r="BL83" s="29">
        <f>SUMIFS('HQ2'!$J:$J,'HQ2'!$A:$A, "="&amp;'CHECK_DT-BT_chi_tiet'!C83,'HQ2'!$B:$B,"="&amp;'CHECK_DT-BT_chi_tiet'!$BK$3)</f>
        <v>0</v>
      </c>
      <c r="BM83" s="7">
        <f t="shared" si="41"/>
        <v>0</v>
      </c>
      <c r="BN83" s="7">
        <f>SUMIFS('Tong_hop_HQNV_2026Q1_2026-06-23'!$L:$L,'Tong_hop_HQNV_2026Q1_2026-06-23'!$B:$B, "="&amp;'CHECK_DT-BT_chi_tiet'!A83, 'Tong_hop_HQNV_2026Q1_2026-06-23'!$A:$A, "="&amp;$BN$2)</f>
        <v>0</v>
      </c>
      <c r="BO83" s="29">
        <f>SUMIFS('HQ2'!$J:$J,'HQ2'!$A:$A, "="&amp;'CHECK_DT-BT_chi_tiet'!C83,'HQ2'!$B:$B,"="&amp;'CHECK_DT-BT_chi_tiet'!$BN$3)</f>
        <v>0</v>
      </c>
      <c r="BP83" s="7">
        <f t="shared" si="42"/>
        <v>0</v>
      </c>
      <c r="BQ83" s="7">
        <f>SUMIFS('Tong_hop_HQNV_2026Q1_2026-06-23'!$L:$L,'Tong_hop_HQNV_2026Q1_2026-06-23'!$B:$B, "="&amp;'CHECK_DT-BT_chi_tiet'!A83, 'Tong_hop_HQNV_2026Q1_2026-06-23'!$A:$A, "="&amp;$BQ$2)</f>
        <v>0</v>
      </c>
      <c r="BR83" s="29">
        <f>SUMIFS('HQ2'!$J:$J,'HQ2'!$A:$A, "="&amp;'CHECK_DT-BT_chi_tiet'!C83,'HQ2'!$B:$B,"="&amp;'CHECK_DT-BT_chi_tiet'!$BQ$3)</f>
        <v>0</v>
      </c>
      <c r="BS83" s="7">
        <f t="shared" si="43"/>
        <v>0</v>
      </c>
      <c r="BT83" s="7">
        <f>SUMIFS('Tong_hop_HQNV_2026Q1_2026-06-23'!$L:$L,'Tong_hop_HQNV_2026Q1_2026-06-23'!$B:$B, "="&amp;'CHECK_DT-BT_chi_tiet'!A83, 'Tong_hop_HQNV_2026Q1_2026-06-23'!$A:$A, "="&amp;$BT$2)</f>
        <v>0</v>
      </c>
      <c r="BU83" s="7">
        <f>SUMIFS('Tong_hop_HQNV_2026Q1_2026-06-23'!$L:$L,'Tong_hop_HQNV_2026Q1_2026-06-23'!$B:$B, "="&amp;'CHECK_DT-BT_chi_tiet'!A83, 'Tong_hop_HQNV_2026Q1_2026-06-23'!$A:$A, "="&amp;$BU$2)</f>
        <v>0</v>
      </c>
    </row>
    <row r="84" spans="1:73" x14ac:dyDescent="0.25">
      <c r="A84" s="9" t="s">
        <v>229</v>
      </c>
      <c r="B84" s="98" t="s">
        <v>115</v>
      </c>
      <c r="C84" s="98" t="s">
        <v>115</v>
      </c>
      <c r="D84" s="7">
        <f>SUMIFS('Tong_hop_HQNV_2026Q1_2026-06-23'!$K:$K,'Tong_hop_HQNV_2026Q1_2026-06-23'!$A:$A,"="&amp;'CHECK_DT-BT_chi_tiet'!$D$2,'Tong_hop_HQNV_2026Q1_2026-06-23'!$B:$B, "="&amp;'CHECK_DT-BT_chi_tiet'!A84)</f>
        <v>2002318061</v>
      </c>
      <c r="E84" s="7">
        <f>SUMIFS('HQ1'!$C:$C,'HQ1'!$A:$A, "="&amp;'CHECK_DT-BT_chi_tiet'!C84,'HQ1'!$B:$B, "="&amp;'CHECK_DT-BT_chi_tiet'!$D$3)</f>
        <v>2002318061</v>
      </c>
      <c r="F84" s="7">
        <f t="shared" si="22"/>
        <v>0</v>
      </c>
      <c r="G84" s="7">
        <f>SUMIFS('Tong_hop_HQNV_2026Q1_2026-06-23'!$K:$K,'Tong_hop_HQNV_2026Q1_2026-06-23'!$A:$A,"="&amp;'CHECK_DT-BT_chi_tiet'!$G$2,'Tong_hop_HQNV_2026Q1_2026-06-23'!$B:$B, "="&amp;'CHECK_DT-BT_chi_tiet'!A84)</f>
        <v>14147840510</v>
      </c>
      <c r="H84" s="7">
        <f>SUMIFS('HQ1'!$C:$C,'HQ1'!$A:$A, "="&amp;'CHECK_DT-BT_chi_tiet'!C84,'HQ1'!$B:$B, "="&amp;'CHECK_DT-BT_chi_tiet'!$G$3)</f>
        <v>14147840510</v>
      </c>
      <c r="I84" s="7">
        <f t="shared" si="23"/>
        <v>0</v>
      </c>
      <c r="J84" s="7">
        <f>SUMIFS('Tong_hop_HQNV_2026Q1_2026-06-23'!$K:$K,'Tong_hop_HQNV_2026Q1_2026-06-23'!$A:$A,"="&amp;'CHECK_DT-BT_chi_tiet'!$J$2,'Tong_hop_HQNV_2026Q1_2026-06-23'!$B:$B, "="&amp;'CHECK_DT-BT_chi_tiet'!A84)</f>
        <v>642418696</v>
      </c>
      <c r="K84" s="7">
        <f>SUMIFS('HQ1'!$C:$C,'HQ1'!$A:$A, "="&amp;'CHECK_DT-BT_chi_tiet'!C84,'HQ1'!$B:$B, "="&amp;'CHECK_DT-BT_chi_tiet'!$J$3)</f>
        <v>642418696</v>
      </c>
      <c r="L84" s="7">
        <f t="shared" si="24"/>
        <v>0</v>
      </c>
      <c r="M84" s="7">
        <f>SUMIFS('Tong_hop_HQNV_2026Q1_2026-06-23'!$K:$K,'Tong_hop_HQNV_2026Q1_2026-06-23'!$A:$A,"="&amp;'CHECK_DT-BT_chi_tiet'!$M$2,'Tong_hop_HQNV_2026Q1_2026-06-23'!$B:$B, "="&amp;'CHECK_DT-BT_chi_tiet'!A84)</f>
        <v>1720303035</v>
      </c>
      <c r="N84" s="7">
        <f>SUMIFS('HQ1'!$C:$C,'HQ1'!$A:$A, "="&amp;'CHECK_DT-BT_chi_tiet'!C84,'HQ1'!$B:$B, "="&amp;'CHECK_DT-BT_chi_tiet'!$M$3)</f>
        <v>1720303035</v>
      </c>
      <c r="O84" s="7">
        <f t="shared" si="25"/>
        <v>0</v>
      </c>
      <c r="P84" s="7">
        <f>SUMIFS('Tong_hop_HQNV_2026Q1_2026-06-23'!$K:$K,'Tong_hop_HQNV_2026Q1_2026-06-23'!$A:$A,"="&amp;$P$2,'Tong_hop_HQNV_2026Q1_2026-06-23'!$B:$B, "="&amp;'CHECK_DT-BT_chi_tiet'!A84)</f>
        <v>0</v>
      </c>
      <c r="Q84" s="7">
        <f>SUMIFS('HQ2'!$C:$C,'HQ2'!$A:$A, "="&amp;'CHECK_DT-BT_chi_tiet'!C84,'HQ2'!$B:$B, "="&amp;'CHECK_DT-BT_chi_tiet'!$P$3)</f>
        <v>0</v>
      </c>
      <c r="R84" s="7">
        <f t="shared" si="26"/>
        <v>0</v>
      </c>
      <c r="S84" s="7">
        <f>SUMIFS('Tong_hop_HQNV_2026Q1_2026-06-23'!$K:$K,'Tong_hop_HQNV_2026Q1_2026-06-23'!$A:$A,"="&amp;$S$2,'Tong_hop_HQNV_2026Q1_2026-06-23'!$B:$B, "="&amp;'CHECK_DT-BT_chi_tiet'!A84)</f>
        <v>0</v>
      </c>
      <c r="T84" s="7">
        <f>SUMIFS('HQ2'!$C:$C,'HQ2'!$A:$A, "="&amp;'CHECK_DT-BT_chi_tiet'!C84,'HQ2'!$B:$B, "="&amp;'CHECK_DT-BT_chi_tiet'!$S$3)</f>
        <v>0</v>
      </c>
      <c r="U84" s="7">
        <f t="shared" si="27"/>
        <v>0</v>
      </c>
      <c r="V84" s="7">
        <f>SUMIFS('Tong_hop_HQNV_2026Q1_2026-06-23'!$K:$K,'Tong_hop_HQNV_2026Q1_2026-06-23'!$A:$A,"="&amp;$V$2,'Tong_hop_HQNV_2026Q1_2026-06-23'!$B:$B, "="&amp;'CHECK_DT-BT_chi_tiet'!A84)</f>
        <v>0</v>
      </c>
      <c r="W84" s="7">
        <f>SUMIFS('HQ2'!$C:$C,'HQ2'!$A:$A, "="&amp;'CHECK_DT-BT_chi_tiet'!C84,'HQ2'!$B:$B, "="&amp;'CHECK_DT-BT_chi_tiet'!$V$3)</f>
        <v>0</v>
      </c>
      <c r="X84" s="7">
        <f t="shared" si="28"/>
        <v>0</v>
      </c>
      <c r="Y84" s="7">
        <f>SUMIFS('Tong_hop_HQNV_2026Q1_2026-06-23'!$K:$K,'Tong_hop_HQNV_2026Q1_2026-06-23'!$A:$A,"="&amp;$Y$2,'Tong_hop_HQNV_2026Q1_2026-06-23'!$B:$B, "="&amp;'CHECK_DT-BT_chi_tiet'!A84)</f>
        <v>0</v>
      </c>
      <c r="Z84" s="7">
        <f>SUMIFS('HQ2'!$C:$C,'HQ2'!$A:$A, "="&amp;'CHECK_DT-BT_chi_tiet'!C84,'HQ2'!$B:$B, "="&amp;'CHECK_DT-BT_chi_tiet'!$Y$3)</f>
        <v>0</v>
      </c>
      <c r="AA84" s="7">
        <f t="shared" si="29"/>
        <v>0</v>
      </c>
      <c r="AB84" s="7">
        <f>SUMIFS('Tong_hop_HQNV_2026Q1_2026-06-23'!$K:$K,'Tong_hop_HQNV_2026Q1_2026-06-23'!$A:$A,"="&amp;$AB$2,'Tong_hop_HQNV_2026Q1_2026-06-23'!$B:$B, "="&amp;'CHECK_DT-BT_chi_tiet'!A84)</f>
        <v>1093211591</v>
      </c>
      <c r="AC84" s="7">
        <f>SUMIFS('HQ2'!$C:$C,'HQ2'!$A:$A, "="&amp;'CHECK_DT-BT_chi_tiet'!C84,'HQ2'!$B:$B, "="&amp;'CHECK_DT-BT_chi_tiet'!$AB$3)</f>
        <v>1093211591</v>
      </c>
      <c r="AD84" s="7">
        <f t="shared" si="30"/>
        <v>0</v>
      </c>
      <c r="AE84" s="7">
        <f>SUMIFS('Tong_hop_HQNV_2026Q1_2026-06-23'!$K:$K,'Tong_hop_HQNV_2026Q1_2026-06-23'!$A:$A,"="&amp;$AE$2,'Tong_hop_HQNV_2026Q1_2026-06-23'!$B:$B, "="&amp;'CHECK_DT-BT_chi_tiet'!A84)</f>
        <v>0</v>
      </c>
      <c r="AF84" s="7">
        <f>SUMIFS('HQ2'!$C:$C,'HQ2'!$A:$A, "="&amp;'CHECK_DT-BT_chi_tiet'!C84,'HQ2'!$B:$B, "="&amp;'CHECK_DT-BT_chi_tiet'!$AE$3)</f>
        <v>0</v>
      </c>
      <c r="AG84" s="7">
        <f t="shared" si="31"/>
        <v>0</v>
      </c>
      <c r="AH84" s="7">
        <f>SUMIFS('Tong_hop_HQNV_2026Q1_2026-06-23'!$K:$K,'Tong_hop_HQNV_2026Q1_2026-06-23'!$A:$A,"="&amp;$AH$2,'Tong_hop_HQNV_2026Q1_2026-06-23'!$B:$B, "="&amp;'CHECK_DT-BT_chi_tiet'!A84)</f>
        <v>0</v>
      </c>
      <c r="AI84" s="7">
        <f>SUMIFS('HQ2'!$C:$C,'HQ2'!$A:$A, "="&amp;'CHECK_DT-BT_chi_tiet'!C84,'HQ2'!$B:$B, "="&amp;'CHECK_DT-BT_chi_tiet'!$AH$3)</f>
        <v>0</v>
      </c>
      <c r="AJ84" s="7">
        <f t="shared" si="32"/>
        <v>0</v>
      </c>
      <c r="AK84" s="7">
        <f>SUMIFS('Tong_hop_HQNV_2026Q1_2026-06-23'!$K:$K,'Tong_hop_HQNV_2026Q1_2026-06-23'!$A:$A,"="&amp;$AK$2,'Tong_hop_HQNV_2026Q1_2026-06-23'!$B:$B, "="&amp;'CHECK_DT-BT_chi_tiet'!A84)</f>
        <v>0</v>
      </c>
      <c r="AL84" s="7">
        <f>SUMIFS('Tong_hop_HQNV_2026Q1_2026-06-23'!$K:$K,'Tong_hop_HQNV_2026Q1_2026-06-23'!$A:$A,"="&amp;$AL$2,'Tong_hop_HQNV_2026Q1_2026-06-23'!$B:$B, "="&amp;'CHECK_DT-BT_chi_tiet'!A84)</f>
        <v>0</v>
      </c>
      <c r="AM84" s="23">
        <f>SUMIFS('Tong_hop_HQNV_2026Q1_2026-06-23'!$L:$L,'Tong_hop_HQNV_2026Q1_2026-06-23'!$B:$B, "="&amp;'CHECK_DT-BT_chi_tiet'!A84, 'Tong_hop_HQNV_2026Q1_2026-06-23'!$A:$A, "="&amp;'CHECK_DT-BT_chi_tiet'!$AM$2)</f>
        <v>5320000</v>
      </c>
      <c r="AN84" s="29">
        <f>SUMIFS('HQ1'!$D:$D,'HQ1'!$A:$A, "="&amp;'CHECK_DT-BT_chi_tiet'!C84,'HQ1'!$B:$B,"="&amp;'CHECK_DT-BT_chi_tiet'!$AM$3)</f>
        <v>5320000</v>
      </c>
      <c r="AO84" s="29">
        <f t="shared" si="33"/>
        <v>0</v>
      </c>
      <c r="AP84" s="7">
        <f>SUMIFS('Tong_hop_HQNV_2026Q1_2026-06-23'!$L:$L,'Tong_hop_HQNV_2026Q1_2026-06-23'!$B:$B, "="&amp;'CHECK_DT-BT_chi_tiet'!A84, 'Tong_hop_HQNV_2026Q1_2026-06-23'!$A:$A, "="&amp;'CHECK_DT-BT_chi_tiet'!$AP$2)</f>
        <v>2878712325</v>
      </c>
      <c r="AQ84" s="29">
        <f>SUMIFS('HQ1'!$D:$D,'HQ1'!$A:$A, "="&amp;'CHECK_DT-BT_chi_tiet'!C84,'HQ1'!$B:$B,"="&amp;'CHECK_DT-BT_chi_tiet'!$AP$3)</f>
        <v>2878712325</v>
      </c>
      <c r="AR84" s="7">
        <f t="shared" si="34"/>
        <v>0</v>
      </c>
      <c r="AS84" s="7">
        <f>SUMIFS('Tong_hop_HQNV_2026Q1_2026-06-23'!$L:$L,'Tong_hop_HQNV_2026Q1_2026-06-23'!$B:$B, "="&amp;'CHECK_DT-BT_chi_tiet'!A84, 'Tong_hop_HQNV_2026Q1_2026-06-23'!$A:$A, "="&amp;'CHECK_DT-BT_chi_tiet'!$AS$2)</f>
        <v>572163315</v>
      </c>
      <c r="AT84" s="29">
        <f>SUMIFS('HQ1'!$D:$D,'HQ1'!$A:$A, "="&amp;'CHECK_DT-BT_chi_tiet'!C84,'HQ1'!$B:$B,"="&amp;'CHECK_DT-BT_chi_tiet'!$AS$3)</f>
        <v>572163315</v>
      </c>
      <c r="AU84" s="7">
        <f t="shared" si="35"/>
        <v>0</v>
      </c>
      <c r="AV84" s="7">
        <f>SUMIFS('Tong_hop_HQNV_2026Q1_2026-06-23'!$L:$L,'Tong_hop_HQNV_2026Q1_2026-06-23'!$B:$B, "="&amp;'CHECK_DT-BT_chi_tiet'!A84, 'Tong_hop_HQNV_2026Q1_2026-06-23'!$A:$A, "="&amp;'CHECK_DT-BT_chi_tiet'!$AV$2)</f>
        <v>714710876</v>
      </c>
      <c r="AW84" s="29">
        <f>SUMIFS('HQ1'!$D:$D,'HQ1'!$A:$A, "="&amp;'CHECK_DT-BT_chi_tiet'!C84,'HQ1'!$B:$B,"="&amp;'CHECK_DT-BT_chi_tiet'!$AV$3)</f>
        <v>714710876</v>
      </c>
      <c r="AX84" s="7">
        <f t="shared" si="36"/>
        <v>0</v>
      </c>
      <c r="AY84" s="7">
        <f>SUMIFS('Tong_hop_HQNV_2026Q1_2026-06-23'!$L:$L,'Tong_hop_HQNV_2026Q1_2026-06-23'!$B:$B, "="&amp;'CHECK_DT-BT_chi_tiet'!A84, 'Tong_hop_HQNV_2026Q1_2026-06-23'!$A:$A, "="&amp;$AY$2)</f>
        <v>0</v>
      </c>
      <c r="AZ84" s="29">
        <f>SUMIFS('HQ2'!$J:$J,'HQ2'!$A:$A, "="&amp;'CHECK_DT-BT_chi_tiet'!C84,'HQ2'!$B:$B,"="&amp;'CHECK_DT-BT_chi_tiet'!$AY$3)</f>
        <v>0</v>
      </c>
      <c r="BA84" s="7">
        <f t="shared" si="37"/>
        <v>0</v>
      </c>
      <c r="BB84" s="7">
        <f>SUMIFS('Tong_hop_HQNV_2026Q1_2026-06-23'!$L:$L,'Tong_hop_HQNV_2026Q1_2026-06-23'!$B:$B, "="&amp;'CHECK_DT-BT_chi_tiet'!A84, 'Tong_hop_HQNV_2026Q1_2026-06-23'!$A:$A, "="&amp;$BB$2)</f>
        <v>0</v>
      </c>
      <c r="BC84" s="29">
        <f>SUMIFS('HQ2'!$J:$J,'HQ2'!$A:$A, "="&amp;'CHECK_DT-BT_chi_tiet'!C84,'HQ2'!$B:$B,"="&amp;'CHECK_DT-BT_chi_tiet'!$BB$3)</f>
        <v>0</v>
      </c>
      <c r="BD84" s="7">
        <f t="shared" si="38"/>
        <v>0</v>
      </c>
      <c r="BE84" s="7">
        <f>SUMIFS('Tong_hop_HQNV_2026Q1_2026-06-23'!$L:$L,'Tong_hop_HQNV_2026Q1_2026-06-23'!$B:$B, "="&amp;'CHECK_DT-BT_chi_tiet'!A84, 'Tong_hop_HQNV_2026Q1_2026-06-23'!$A:$A, "="&amp;$BE$2)</f>
        <v>0</v>
      </c>
      <c r="BF84" s="29">
        <f>SUMIFS('HQ2'!$J:$J,'HQ2'!$A:$A, "="&amp;'CHECK_DT-BT_chi_tiet'!C84,'HQ2'!$B:$B,"="&amp;'CHECK_DT-BT_chi_tiet'!$BE$3)</f>
        <v>0</v>
      </c>
      <c r="BG84" s="7">
        <f t="shared" si="39"/>
        <v>0</v>
      </c>
      <c r="BH84" s="7">
        <f>SUMIFS('Tong_hop_HQNV_2026Q1_2026-06-23'!$L:$L,'Tong_hop_HQNV_2026Q1_2026-06-23'!$B:$B, "="&amp;'CHECK_DT-BT_chi_tiet'!A84, 'Tong_hop_HQNV_2026Q1_2026-06-23'!$A:$A, "="&amp;$BH$2)</f>
        <v>0</v>
      </c>
      <c r="BI84" s="29">
        <f>SUMIFS('HQ2'!$J:$J,'HQ2'!$A:$A, "="&amp;'CHECK_DT-BT_chi_tiet'!C84,'HQ2'!$B:$B,"="&amp;'CHECK_DT-BT_chi_tiet'!$BH$3)</f>
        <v>0</v>
      </c>
      <c r="BJ84" s="7">
        <f t="shared" si="40"/>
        <v>0</v>
      </c>
      <c r="BK84" s="7">
        <f>SUMIFS('Tong_hop_HQNV_2026Q1_2026-06-23'!$L:$L,'Tong_hop_HQNV_2026Q1_2026-06-23'!$B:$B, "="&amp;'CHECK_DT-BT_chi_tiet'!A84, 'Tong_hop_HQNV_2026Q1_2026-06-23'!$A:$A, "="&amp;$BK$2)</f>
        <v>34432903</v>
      </c>
      <c r="BL84" s="29">
        <f>SUMIFS('HQ2'!$J:$J,'HQ2'!$A:$A, "="&amp;'CHECK_DT-BT_chi_tiet'!C84,'HQ2'!$B:$B,"="&amp;'CHECK_DT-BT_chi_tiet'!$BK$3)</f>
        <v>34432903</v>
      </c>
      <c r="BM84" s="7">
        <f t="shared" si="41"/>
        <v>0</v>
      </c>
      <c r="BN84" s="7">
        <f>SUMIFS('Tong_hop_HQNV_2026Q1_2026-06-23'!$L:$L,'Tong_hop_HQNV_2026Q1_2026-06-23'!$B:$B, "="&amp;'CHECK_DT-BT_chi_tiet'!A84, 'Tong_hop_HQNV_2026Q1_2026-06-23'!$A:$A, "="&amp;$BN$2)</f>
        <v>0</v>
      </c>
      <c r="BO84" s="29">
        <f>SUMIFS('HQ2'!$J:$J,'HQ2'!$A:$A, "="&amp;'CHECK_DT-BT_chi_tiet'!C84,'HQ2'!$B:$B,"="&amp;'CHECK_DT-BT_chi_tiet'!$BN$3)</f>
        <v>0</v>
      </c>
      <c r="BP84" s="7">
        <f t="shared" si="42"/>
        <v>0</v>
      </c>
      <c r="BQ84" s="7">
        <f>SUMIFS('Tong_hop_HQNV_2026Q1_2026-06-23'!$L:$L,'Tong_hop_HQNV_2026Q1_2026-06-23'!$B:$B, "="&amp;'CHECK_DT-BT_chi_tiet'!A84, 'Tong_hop_HQNV_2026Q1_2026-06-23'!$A:$A, "="&amp;$BQ$2)</f>
        <v>0</v>
      </c>
      <c r="BR84" s="29">
        <f>SUMIFS('HQ2'!$J:$J,'HQ2'!$A:$A, "="&amp;'CHECK_DT-BT_chi_tiet'!C84,'HQ2'!$B:$B,"="&amp;'CHECK_DT-BT_chi_tiet'!$BQ$3)</f>
        <v>0</v>
      </c>
      <c r="BS84" s="7">
        <f t="shared" si="43"/>
        <v>0</v>
      </c>
      <c r="BT84" s="7">
        <f>SUMIFS('Tong_hop_HQNV_2026Q1_2026-06-23'!$L:$L,'Tong_hop_HQNV_2026Q1_2026-06-23'!$B:$B, "="&amp;'CHECK_DT-BT_chi_tiet'!A84, 'Tong_hop_HQNV_2026Q1_2026-06-23'!$A:$A, "="&amp;$BT$2)</f>
        <v>0</v>
      </c>
      <c r="BU84" s="7">
        <f>SUMIFS('Tong_hop_HQNV_2026Q1_2026-06-23'!$L:$L,'Tong_hop_HQNV_2026Q1_2026-06-23'!$B:$B, "="&amp;'CHECK_DT-BT_chi_tiet'!A84, 'Tong_hop_HQNV_2026Q1_2026-06-23'!$A:$A, "="&amp;$BU$2)</f>
        <v>0</v>
      </c>
    </row>
    <row r="85" spans="1:73" x14ac:dyDescent="0.25">
      <c r="A85" s="9" t="s">
        <v>227</v>
      </c>
      <c r="B85" s="93" t="s">
        <v>423</v>
      </c>
      <c r="C85" s="93" t="s">
        <v>423</v>
      </c>
      <c r="D85" s="7">
        <f>SUMIFS('Tong_hop_HQNV_2026Q1_2026-06-23'!$K:$K,'Tong_hop_HQNV_2026Q1_2026-06-23'!$A:$A,"="&amp;'CHECK_DT-BT_chi_tiet'!$D$2,'Tong_hop_HQNV_2026Q1_2026-06-23'!$B:$B, "="&amp;'CHECK_DT-BT_chi_tiet'!A85)</f>
        <v>234507080</v>
      </c>
      <c r="E85" s="7">
        <f>SUMIFS('HQ1'!$C:$C,'HQ1'!$A:$A, "="&amp;'CHECK_DT-BT_chi_tiet'!C85,'HQ1'!$B:$B, "="&amp;'CHECK_DT-BT_chi_tiet'!$D$3)</f>
        <v>234339080</v>
      </c>
      <c r="F85" s="7">
        <f t="shared" si="22"/>
        <v>168000</v>
      </c>
      <c r="G85" s="7">
        <f>SUMIFS('Tong_hop_HQNV_2026Q1_2026-06-23'!$K:$K,'Tong_hop_HQNV_2026Q1_2026-06-23'!$A:$A,"="&amp;'CHECK_DT-BT_chi_tiet'!$G$2,'Tong_hop_HQNV_2026Q1_2026-06-23'!$B:$B, "="&amp;'CHECK_DT-BT_chi_tiet'!A85)</f>
        <v>223236000</v>
      </c>
      <c r="H85" s="7">
        <f>SUMIFS('HQ1'!$C:$C,'HQ1'!$A:$A, "="&amp;'CHECK_DT-BT_chi_tiet'!C85,'HQ1'!$B:$B, "="&amp;'CHECK_DT-BT_chi_tiet'!$G$3)</f>
        <v>223236000</v>
      </c>
      <c r="I85" s="7">
        <f t="shared" si="23"/>
        <v>0</v>
      </c>
      <c r="J85" s="7">
        <f>SUMIFS('Tong_hop_HQNV_2026Q1_2026-06-23'!$K:$K,'Tong_hop_HQNV_2026Q1_2026-06-23'!$A:$A,"="&amp;'CHECK_DT-BT_chi_tiet'!$J$2,'Tong_hop_HQNV_2026Q1_2026-06-23'!$B:$B, "="&amp;'CHECK_DT-BT_chi_tiet'!A85)</f>
        <v>30778478</v>
      </c>
      <c r="K85" s="7">
        <f>SUMIFS('HQ1'!$C:$C,'HQ1'!$A:$A, "="&amp;'CHECK_DT-BT_chi_tiet'!C85,'HQ1'!$B:$B, "="&amp;'CHECK_DT-BT_chi_tiet'!$J$3)</f>
        <v>0</v>
      </c>
      <c r="L85" s="7">
        <f t="shared" si="24"/>
        <v>30778478</v>
      </c>
      <c r="M85" s="7">
        <f>SUMIFS('Tong_hop_HQNV_2026Q1_2026-06-23'!$K:$K,'Tong_hop_HQNV_2026Q1_2026-06-23'!$A:$A,"="&amp;'CHECK_DT-BT_chi_tiet'!$M$2,'Tong_hop_HQNV_2026Q1_2026-06-23'!$B:$B, "="&amp;'CHECK_DT-BT_chi_tiet'!A85)</f>
        <v>5107233837</v>
      </c>
      <c r="N85" s="7">
        <f>SUMIFS('HQ1'!$C:$C,'HQ1'!$A:$A, "="&amp;'CHECK_DT-BT_chi_tiet'!C85,'HQ1'!$B:$B, "="&amp;'CHECK_DT-BT_chi_tiet'!$M$3)</f>
        <v>5068635034</v>
      </c>
      <c r="O85" s="7">
        <f t="shared" si="25"/>
        <v>38598803</v>
      </c>
      <c r="P85" s="7">
        <f>SUMIFS('Tong_hop_HQNV_2026Q1_2026-06-23'!$K:$K,'Tong_hop_HQNV_2026Q1_2026-06-23'!$A:$A,"="&amp;$P$2,'Tong_hop_HQNV_2026Q1_2026-06-23'!$B:$B, "="&amp;'CHECK_DT-BT_chi_tiet'!A85)</f>
        <v>23129113607</v>
      </c>
      <c r="Q85" s="7">
        <f>SUMIFS('HQ2'!$C:$C,'HQ2'!$A:$A, "="&amp;'CHECK_DT-BT_chi_tiet'!C85,'HQ2'!$B:$B, "="&amp;'CHECK_DT-BT_chi_tiet'!$P$3)</f>
        <v>32916923680</v>
      </c>
      <c r="R85" s="7">
        <f t="shared" si="26"/>
        <v>-9787810073</v>
      </c>
      <c r="S85" s="7">
        <f>SUMIFS('Tong_hop_HQNV_2026Q1_2026-06-23'!$K:$K,'Tong_hop_HQNV_2026Q1_2026-06-23'!$A:$A,"="&amp;$S$2,'Tong_hop_HQNV_2026Q1_2026-06-23'!$B:$B, "="&amp;'CHECK_DT-BT_chi_tiet'!A85)</f>
        <v>0</v>
      </c>
      <c r="T85" s="7">
        <f>SUMIFS('HQ2'!$C:$C,'HQ2'!$A:$A, "="&amp;'CHECK_DT-BT_chi_tiet'!C85,'HQ2'!$B:$B, "="&amp;'CHECK_DT-BT_chi_tiet'!$S$3)</f>
        <v>0</v>
      </c>
      <c r="U85" s="7">
        <f t="shared" si="27"/>
        <v>0</v>
      </c>
      <c r="V85" s="7">
        <f>SUMIFS('Tong_hop_HQNV_2026Q1_2026-06-23'!$K:$K,'Tong_hop_HQNV_2026Q1_2026-06-23'!$A:$A,"="&amp;$V$2,'Tong_hop_HQNV_2026Q1_2026-06-23'!$B:$B, "="&amp;'CHECK_DT-BT_chi_tiet'!A85)</f>
        <v>0</v>
      </c>
      <c r="W85" s="7">
        <f>SUMIFS('HQ2'!$C:$C,'HQ2'!$A:$A, "="&amp;'CHECK_DT-BT_chi_tiet'!C85,'HQ2'!$B:$B, "="&amp;'CHECK_DT-BT_chi_tiet'!$V$3)</f>
        <v>0</v>
      </c>
      <c r="X85" s="7">
        <f t="shared" si="28"/>
        <v>0</v>
      </c>
      <c r="Y85" s="7">
        <f>SUMIFS('Tong_hop_HQNV_2026Q1_2026-06-23'!$K:$K,'Tong_hop_HQNV_2026Q1_2026-06-23'!$A:$A,"="&amp;$Y$2,'Tong_hop_HQNV_2026Q1_2026-06-23'!$B:$B, "="&amp;'CHECK_DT-BT_chi_tiet'!A85)</f>
        <v>8439686660</v>
      </c>
      <c r="Z85" s="7">
        <f>SUMIFS('HQ2'!$C:$C,'HQ2'!$A:$A, "="&amp;'CHECK_DT-BT_chi_tiet'!C85,'HQ2'!$B:$B, "="&amp;'CHECK_DT-BT_chi_tiet'!$Y$3)</f>
        <v>8439686660</v>
      </c>
      <c r="AA85" s="7">
        <f t="shared" si="29"/>
        <v>0</v>
      </c>
      <c r="AB85" s="7">
        <f>SUMIFS('Tong_hop_HQNV_2026Q1_2026-06-23'!$K:$K,'Tong_hop_HQNV_2026Q1_2026-06-23'!$A:$A,"="&amp;$AB$2,'Tong_hop_HQNV_2026Q1_2026-06-23'!$B:$B, "="&amp;'CHECK_DT-BT_chi_tiet'!A85)</f>
        <v>268852880968</v>
      </c>
      <c r="AC85" s="7">
        <f>SUMIFS('HQ2'!$C:$C,'HQ2'!$A:$A, "="&amp;'CHECK_DT-BT_chi_tiet'!C85,'HQ2'!$B:$B, "="&amp;'CHECK_DT-BT_chi_tiet'!$AB$3)</f>
        <v>252674568117</v>
      </c>
      <c r="AD85" s="7">
        <f t="shared" si="30"/>
        <v>16178312851</v>
      </c>
      <c r="AE85" s="7">
        <f>SUMIFS('Tong_hop_HQNV_2026Q1_2026-06-23'!$K:$K,'Tong_hop_HQNV_2026Q1_2026-06-23'!$A:$A,"="&amp;$AE$2,'Tong_hop_HQNV_2026Q1_2026-06-23'!$B:$B, "="&amp;'CHECK_DT-BT_chi_tiet'!A85)</f>
        <v>18765299634</v>
      </c>
      <c r="AF85" s="7">
        <f>SUMIFS('HQ2'!$C:$C,'HQ2'!$A:$A, "="&amp;'CHECK_DT-BT_chi_tiet'!C85,'HQ2'!$B:$B, "="&amp;'CHECK_DT-BT_chi_tiet'!$AE$3)</f>
        <v>1851550303</v>
      </c>
      <c r="AG85" s="7">
        <f t="shared" si="31"/>
        <v>16913749331</v>
      </c>
      <c r="AH85" s="7">
        <f>SUMIFS('Tong_hop_HQNV_2026Q1_2026-06-23'!$K:$K,'Tong_hop_HQNV_2026Q1_2026-06-23'!$A:$A,"="&amp;$AH$2,'Tong_hop_HQNV_2026Q1_2026-06-23'!$B:$B, "="&amp;'CHECK_DT-BT_chi_tiet'!A85)</f>
        <v>63306610479</v>
      </c>
      <c r="AI85" s="7">
        <f>SUMIFS('HQ2'!$C:$C,'HQ2'!$A:$A, "="&amp;'CHECK_DT-BT_chi_tiet'!C85,'HQ2'!$B:$B, "="&amp;'CHECK_DT-BT_chi_tiet'!$AH$3)</f>
        <v>43976009773</v>
      </c>
      <c r="AJ85" s="7">
        <f t="shared" si="32"/>
        <v>19330600706</v>
      </c>
      <c r="AK85" s="7">
        <f>SUMIFS('Tong_hop_HQNV_2026Q1_2026-06-23'!$K:$K,'Tong_hop_HQNV_2026Q1_2026-06-23'!$A:$A,"="&amp;$AK$2,'Tong_hop_HQNV_2026Q1_2026-06-23'!$B:$B, "="&amp;'CHECK_DT-BT_chi_tiet'!A85)</f>
        <v>0</v>
      </c>
      <c r="AL85" s="7">
        <f>SUMIFS('Tong_hop_HQNV_2026Q1_2026-06-23'!$K:$K,'Tong_hop_HQNV_2026Q1_2026-06-23'!$A:$A,"="&amp;$AL$2,'Tong_hop_HQNV_2026Q1_2026-06-23'!$B:$B, "="&amp;'CHECK_DT-BT_chi_tiet'!A85)</f>
        <v>0</v>
      </c>
      <c r="AM85" s="23">
        <f>SUMIFS('Tong_hop_HQNV_2026Q1_2026-06-23'!$L:$L,'Tong_hop_HQNV_2026Q1_2026-06-23'!$B:$B, "="&amp;'CHECK_DT-BT_chi_tiet'!A85, 'Tong_hop_HQNV_2026Q1_2026-06-23'!$A:$A, "="&amp;'CHECK_DT-BT_chi_tiet'!$AM$2)</f>
        <v>57794008</v>
      </c>
      <c r="AN85" s="29">
        <f>SUMIFS('HQ1'!$D:$D,'HQ1'!$A:$A, "="&amp;'CHECK_DT-BT_chi_tiet'!C85,'HQ1'!$B:$B,"="&amp;'CHECK_DT-BT_chi_tiet'!$AM$3)</f>
        <v>0</v>
      </c>
      <c r="AO85" s="29">
        <f t="shared" si="33"/>
        <v>57794008</v>
      </c>
      <c r="AP85" s="7">
        <f>SUMIFS('Tong_hop_HQNV_2026Q1_2026-06-23'!$L:$L,'Tong_hop_HQNV_2026Q1_2026-06-23'!$B:$B, "="&amp;'CHECK_DT-BT_chi_tiet'!A85, 'Tong_hop_HQNV_2026Q1_2026-06-23'!$A:$A, "="&amp;'CHECK_DT-BT_chi_tiet'!$AP$2)</f>
        <v>0</v>
      </c>
      <c r="AQ85" s="29">
        <f>SUMIFS('HQ1'!$D:$D,'HQ1'!$A:$A, "="&amp;'CHECK_DT-BT_chi_tiet'!C85,'HQ1'!$B:$B,"="&amp;'CHECK_DT-BT_chi_tiet'!$AP$3)</f>
        <v>0</v>
      </c>
      <c r="AR85" s="7">
        <f t="shared" si="34"/>
        <v>0</v>
      </c>
      <c r="AS85" s="7">
        <f>SUMIFS('Tong_hop_HQNV_2026Q1_2026-06-23'!$L:$L,'Tong_hop_HQNV_2026Q1_2026-06-23'!$B:$B, "="&amp;'CHECK_DT-BT_chi_tiet'!A85, 'Tong_hop_HQNV_2026Q1_2026-06-23'!$A:$A, "="&amp;'CHECK_DT-BT_chi_tiet'!$AS$2)</f>
        <v>0</v>
      </c>
      <c r="AT85" s="29">
        <f>SUMIFS('HQ1'!$D:$D,'HQ1'!$A:$A, "="&amp;'CHECK_DT-BT_chi_tiet'!C85,'HQ1'!$B:$B,"="&amp;'CHECK_DT-BT_chi_tiet'!$AS$3)</f>
        <v>0</v>
      </c>
      <c r="AU85" s="7">
        <f t="shared" si="35"/>
        <v>0</v>
      </c>
      <c r="AV85" s="7">
        <f>SUMIFS('Tong_hop_HQNV_2026Q1_2026-06-23'!$L:$L,'Tong_hop_HQNV_2026Q1_2026-06-23'!$B:$B, "="&amp;'CHECK_DT-BT_chi_tiet'!A85, 'Tong_hop_HQNV_2026Q1_2026-06-23'!$A:$A, "="&amp;'CHECK_DT-BT_chi_tiet'!$AV$2)</f>
        <v>2581056163</v>
      </c>
      <c r="AW85" s="29">
        <f>SUMIFS('HQ1'!$D:$D,'HQ1'!$A:$A, "="&amp;'CHECK_DT-BT_chi_tiet'!C85,'HQ1'!$B:$B,"="&amp;'CHECK_DT-BT_chi_tiet'!$AV$3)</f>
        <v>0</v>
      </c>
      <c r="AX85" s="7">
        <f t="shared" si="36"/>
        <v>2581056163</v>
      </c>
      <c r="AY85" s="7">
        <f>SUMIFS('Tong_hop_HQNV_2026Q1_2026-06-23'!$L:$L,'Tong_hop_HQNV_2026Q1_2026-06-23'!$B:$B, "="&amp;'CHECK_DT-BT_chi_tiet'!A85, 'Tong_hop_HQNV_2026Q1_2026-06-23'!$A:$A, "="&amp;$AY$2)</f>
        <v>69828979638</v>
      </c>
      <c r="AZ85" s="29">
        <f>SUMIFS('HQ2'!$J:$J,'HQ2'!$A:$A, "="&amp;'CHECK_DT-BT_chi_tiet'!C85,'HQ2'!$B:$B,"="&amp;'CHECK_DT-BT_chi_tiet'!$AY$3)</f>
        <v>0</v>
      </c>
      <c r="BA85" s="7">
        <f t="shared" si="37"/>
        <v>-69828979638</v>
      </c>
      <c r="BB85" s="7">
        <f>SUMIFS('Tong_hop_HQNV_2026Q1_2026-06-23'!$L:$L,'Tong_hop_HQNV_2026Q1_2026-06-23'!$B:$B, "="&amp;'CHECK_DT-BT_chi_tiet'!A85, 'Tong_hop_HQNV_2026Q1_2026-06-23'!$A:$A, "="&amp;$BB$2)</f>
        <v>0</v>
      </c>
      <c r="BC85" s="29">
        <f>SUMIFS('HQ2'!$J:$J,'HQ2'!$A:$A, "="&amp;'CHECK_DT-BT_chi_tiet'!C85,'HQ2'!$B:$B,"="&amp;'CHECK_DT-BT_chi_tiet'!$BB$3)</f>
        <v>0</v>
      </c>
      <c r="BD85" s="7">
        <f t="shared" si="38"/>
        <v>0</v>
      </c>
      <c r="BE85" s="7">
        <f>SUMIFS('Tong_hop_HQNV_2026Q1_2026-06-23'!$L:$L,'Tong_hop_HQNV_2026Q1_2026-06-23'!$B:$B, "="&amp;'CHECK_DT-BT_chi_tiet'!A85, 'Tong_hop_HQNV_2026Q1_2026-06-23'!$A:$A, "="&amp;$BE$2)</f>
        <v>0</v>
      </c>
      <c r="BF85" s="29">
        <f>SUMIFS('HQ2'!$J:$J,'HQ2'!$A:$A, "="&amp;'CHECK_DT-BT_chi_tiet'!C85,'HQ2'!$B:$B,"="&amp;'CHECK_DT-BT_chi_tiet'!$BE$3)</f>
        <v>0</v>
      </c>
      <c r="BG85" s="7">
        <f t="shared" si="39"/>
        <v>0</v>
      </c>
      <c r="BH85" s="7">
        <f>SUMIFS('Tong_hop_HQNV_2026Q1_2026-06-23'!$L:$L,'Tong_hop_HQNV_2026Q1_2026-06-23'!$B:$B, "="&amp;'CHECK_DT-BT_chi_tiet'!A85, 'Tong_hop_HQNV_2026Q1_2026-06-23'!$A:$A, "="&amp;$BH$2)</f>
        <v>0</v>
      </c>
      <c r="BI85" s="29">
        <f>SUMIFS('HQ2'!$J:$J,'HQ2'!$A:$A, "="&amp;'CHECK_DT-BT_chi_tiet'!C85,'HQ2'!$B:$B,"="&amp;'CHECK_DT-BT_chi_tiet'!$BH$3)</f>
        <v>0</v>
      </c>
      <c r="BJ85" s="7">
        <f t="shared" si="40"/>
        <v>0</v>
      </c>
      <c r="BK85" s="7">
        <f>SUMIFS('Tong_hop_HQNV_2026Q1_2026-06-23'!$L:$L,'Tong_hop_HQNV_2026Q1_2026-06-23'!$B:$B, "="&amp;'CHECK_DT-BT_chi_tiet'!A85, 'Tong_hop_HQNV_2026Q1_2026-06-23'!$A:$A, "="&amp;$BK$2)</f>
        <v>5928810255</v>
      </c>
      <c r="BL85" s="29">
        <f>SUMIFS('HQ2'!$J:$J,'HQ2'!$A:$A, "="&amp;'CHECK_DT-BT_chi_tiet'!C85,'HQ2'!$B:$B,"="&amp;'CHECK_DT-BT_chi_tiet'!$BK$3)</f>
        <v>0</v>
      </c>
      <c r="BM85" s="7">
        <f t="shared" si="41"/>
        <v>5928810255</v>
      </c>
      <c r="BN85" s="7">
        <f>SUMIFS('Tong_hop_HQNV_2026Q1_2026-06-23'!$L:$L,'Tong_hop_HQNV_2026Q1_2026-06-23'!$B:$B, "="&amp;'CHECK_DT-BT_chi_tiet'!A85, 'Tong_hop_HQNV_2026Q1_2026-06-23'!$A:$A, "="&amp;$BN$2)</f>
        <v>5174014718</v>
      </c>
      <c r="BO85" s="29">
        <f>SUMIFS('HQ2'!$J:$J,'HQ2'!$A:$A, "="&amp;'CHECK_DT-BT_chi_tiet'!C85,'HQ2'!$B:$B,"="&amp;'CHECK_DT-BT_chi_tiet'!$BN$3)</f>
        <v>0</v>
      </c>
      <c r="BP85" s="7">
        <f t="shared" si="42"/>
        <v>5174014718</v>
      </c>
      <c r="BQ85" s="7">
        <f>SUMIFS('Tong_hop_HQNV_2026Q1_2026-06-23'!$L:$L,'Tong_hop_HQNV_2026Q1_2026-06-23'!$B:$B, "="&amp;'CHECK_DT-BT_chi_tiet'!A85, 'Tong_hop_HQNV_2026Q1_2026-06-23'!$A:$A, "="&amp;$BQ$2)</f>
        <v>91397591</v>
      </c>
      <c r="BR85" s="29">
        <f>SUMIFS('HQ2'!$J:$J,'HQ2'!$A:$A, "="&amp;'CHECK_DT-BT_chi_tiet'!C85,'HQ2'!$B:$B,"="&amp;'CHECK_DT-BT_chi_tiet'!$BQ$3)</f>
        <v>0</v>
      </c>
      <c r="BS85" s="7">
        <f t="shared" si="43"/>
        <v>91397591</v>
      </c>
      <c r="BT85" s="7">
        <f>SUMIFS('Tong_hop_HQNV_2026Q1_2026-06-23'!$L:$L,'Tong_hop_HQNV_2026Q1_2026-06-23'!$B:$B, "="&amp;'CHECK_DT-BT_chi_tiet'!A85, 'Tong_hop_HQNV_2026Q1_2026-06-23'!$A:$A, "="&amp;$BT$2)</f>
        <v>0</v>
      </c>
      <c r="BU85" s="7">
        <f>SUMIFS('Tong_hop_HQNV_2026Q1_2026-06-23'!$L:$L,'Tong_hop_HQNV_2026Q1_2026-06-23'!$B:$B, "="&amp;'CHECK_DT-BT_chi_tiet'!A85, 'Tong_hop_HQNV_2026Q1_2026-06-23'!$A:$A, "="&amp;$BU$2)</f>
        <v>0</v>
      </c>
    </row>
    <row r="86" spans="1:73" x14ac:dyDescent="0.25">
      <c r="A86" s="9"/>
      <c r="B86" s="93" t="s">
        <v>424</v>
      </c>
      <c r="C86" s="93" t="s">
        <v>424</v>
      </c>
      <c r="D86" s="7">
        <f>SUMIFS('Tong_hop_HQNV_2026Q1_2026-06-23'!$K:$K,'Tong_hop_HQNV_2026Q1_2026-06-23'!$A:$A,"="&amp;'CHECK_DT-BT_chi_tiet'!$D$2,'Tong_hop_HQNV_2026Q1_2026-06-23'!$B:$B, "="&amp;'CHECK_DT-BT_chi_tiet'!A86)</f>
        <v>0</v>
      </c>
      <c r="E86" s="7">
        <f>SUMIFS('HQ1'!$C:$C,'HQ1'!$A:$A, "="&amp;'CHECK_DT-BT_chi_tiet'!C86,'HQ1'!$B:$B, "="&amp;'CHECK_DT-BT_chi_tiet'!$D$3)</f>
        <v>168000</v>
      </c>
      <c r="F86" s="7">
        <f t="shared" si="22"/>
        <v>-168000</v>
      </c>
      <c r="G86" s="7">
        <f>SUMIFS('Tong_hop_HQNV_2026Q1_2026-06-23'!$K:$K,'Tong_hop_HQNV_2026Q1_2026-06-23'!$A:$A,"="&amp;'CHECK_DT-BT_chi_tiet'!$G$2,'Tong_hop_HQNV_2026Q1_2026-06-23'!$B:$B, "="&amp;'CHECK_DT-BT_chi_tiet'!A86)</f>
        <v>0</v>
      </c>
      <c r="H86" s="7">
        <f>SUMIFS('HQ1'!$C:$C,'HQ1'!$A:$A, "="&amp;'CHECK_DT-BT_chi_tiet'!C86,'HQ1'!$B:$B, "="&amp;'CHECK_DT-BT_chi_tiet'!$G$3)</f>
        <v>0</v>
      </c>
      <c r="I86" s="7">
        <f t="shared" si="23"/>
        <v>0</v>
      </c>
      <c r="J86" s="7">
        <f>SUMIFS('Tong_hop_HQNV_2026Q1_2026-06-23'!$K:$K,'Tong_hop_HQNV_2026Q1_2026-06-23'!$A:$A,"="&amp;'CHECK_DT-BT_chi_tiet'!$J$2,'Tong_hop_HQNV_2026Q1_2026-06-23'!$B:$B, "="&amp;'CHECK_DT-BT_chi_tiet'!A86)</f>
        <v>0</v>
      </c>
      <c r="K86" s="7">
        <f>SUMIFS('HQ1'!$C:$C,'HQ1'!$A:$A, "="&amp;'CHECK_DT-BT_chi_tiet'!C86,'HQ1'!$B:$B, "="&amp;'CHECK_DT-BT_chi_tiet'!$J$3)</f>
        <v>30778478</v>
      </c>
      <c r="L86" s="7">
        <f t="shared" si="24"/>
        <v>-30778478</v>
      </c>
      <c r="M86" s="7">
        <f>SUMIFS('Tong_hop_HQNV_2026Q1_2026-06-23'!$K:$K,'Tong_hop_HQNV_2026Q1_2026-06-23'!$A:$A,"="&amp;'CHECK_DT-BT_chi_tiet'!$M$2,'Tong_hop_HQNV_2026Q1_2026-06-23'!$B:$B, "="&amp;'CHECK_DT-BT_chi_tiet'!A86)</f>
        <v>0</v>
      </c>
      <c r="N86" s="7">
        <f>SUMIFS('HQ1'!$C:$C,'HQ1'!$A:$A, "="&amp;'CHECK_DT-BT_chi_tiet'!C86,'HQ1'!$B:$B, "="&amp;'CHECK_DT-BT_chi_tiet'!$M$3)</f>
        <v>38598803</v>
      </c>
      <c r="O86" s="7">
        <f t="shared" si="25"/>
        <v>-38598803</v>
      </c>
      <c r="P86" s="7">
        <f>SUMIFS('Tong_hop_HQNV_2026Q1_2026-06-23'!$K:$K,'Tong_hop_HQNV_2026Q1_2026-06-23'!$A:$A,"="&amp;$P$2,'Tong_hop_HQNV_2026Q1_2026-06-23'!$B:$B, "="&amp;'CHECK_DT-BT_chi_tiet'!A86)</f>
        <v>0</v>
      </c>
      <c r="Q86" s="7">
        <f>SUMIFS('HQ2'!$C:$C,'HQ2'!$A:$A, "="&amp;'CHECK_DT-BT_chi_tiet'!C86,'HQ2'!$B:$B, "="&amp;'CHECK_DT-BT_chi_tiet'!$P$3)</f>
        <v>3909042847</v>
      </c>
      <c r="R86" s="7">
        <f t="shared" si="26"/>
        <v>-3909042847</v>
      </c>
      <c r="S86" s="7">
        <f>SUMIFS('Tong_hop_HQNV_2026Q1_2026-06-23'!$K:$K,'Tong_hop_HQNV_2026Q1_2026-06-23'!$A:$A,"="&amp;$S$2,'Tong_hop_HQNV_2026Q1_2026-06-23'!$B:$B, "="&amp;'CHECK_DT-BT_chi_tiet'!A86)</f>
        <v>0</v>
      </c>
      <c r="T86" s="7">
        <f>SUMIFS('HQ2'!$C:$C,'HQ2'!$A:$A, "="&amp;'CHECK_DT-BT_chi_tiet'!C86,'HQ2'!$B:$B, "="&amp;'CHECK_DT-BT_chi_tiet'!$S$3)</f>
        <v>0</v>
      </c>
      <c r="U86" s="7">
        <f t="shared" si="27"/>
        <v>0</v>
      </c>
      <c r="V86" s="7">
        <f>SUMIFS('Tong_hop_HQNV_2026Q1_2026-06-23'!$K:$K,'Tong_hop_HQNV_2026Q1_2026-06-23'!$A:$A,"="&amp;$V$2,'Tong_hop_HQNV_2026Q1_2026-06-23'!$B:$B, "="&amp;'CHECK_DT-BT_chi_tiet'!A86)</f>
        <v>0</v>
      </c>
      <c r="W86" s="7">
        <f>SUMIFS('HQ2'!$C:$C,'HQ2'!$A:$A, "="&amp;'CHECK_DT-BT_chi_tiet'!C86,'HQ2'!$B:$B, "="&amp;'CHECK_DT-BT_chi_tiet'!$V$3)</f>
        <v>0</v>
      </c>
      <c r="X86" s="7">
        <f t="shared" si="28"/>
        <v>0</v>
      </c>
      <c r="Y86" s="7">
        <f>SUMIFS('Tong_hop_HQNV_2026Q1_2026-06-23'!$K:$K,'Tong_hop_HQNV_2026Q1_2026-06-23'!$A:$A,"="&amp;$Y$2,'Tong_hop_HQNV_2026Q1_2026-06-23'!$B:$B, "="&amp;'CHECK_DT-BT_chi_tiet'!A86)</f>
        <v>0</v>
      </c>
      <c r="Z86" s="7">
        <f>SUMIFS('HQ2'!$C:$C,'HQ2'!$A:$A, "="&amp;'CHECK_DT-BT_chi_tiet'!C86,'HQ2'!$B:$B, "="&amp;'CHECK_DT-BT_chi_tiet'!$Y$3)</f>
        <v>0</v>
      </c>
      <c r="AA86" s="7">
        <f t="shared" si="29"/>
        <v>0</v>
      </c>
      <c r="AB86" s="7">
        <f>SUMIFS('Tong_hop_HQNV_2026Q1_2026-06-23'!$K:$K,'Tong_hop_HQNV_2026Q1_2026-06-23'!$A:$A,"="&amp;$AB$2,'Tong_hop_HQNV_2026Q1_2026-06-23'!$B:$B, "="&amp;'CHECK_DT-BT_chi_tiet'!A86)</f>
        <v>0</v>
      </c>
      <c r="AC86" s="7">
        <f>SUMIFS('HQ2'!$C:$C,'HQ2'!$A:$A, "="&amp;'CHECK_DT-BT_chi_tiet'!C86,'HQ2'!$B:$B, "="&amp;'CHECK_DT-BT_chi_tiet'!$AB$3)</f>
        <v>12920949568</v>
      </c>
      <c r="AD86" s="7">
        <f t="shared" si="30"/>
        <v>-12920949568</v>
      </c>
      <c r="AE86" s="7">
        <f>SUMIFS('Tong_hop_HQNV_2026Q1_2026-06-23'!$K:$K,'Tong_hop_HQNV_2026Q1_2026-06-23'!$A:$A,"="&amp;$AE$2,'Tong_hop_HQNV_2026Q1_2026-06-23'!$B:$B, "="&amp;'CHECK_DT-BT_chi_tiet'!A86)</f>
        <v>0</v>
      </c>
      <c r="AF86" s="7">
        <f>SUMIFS('HQ2'!$C:$C,'HQ2'!$A:$A, "="&amp;'CHECK_DT-BT_chi_tiet'!C86,'HQ2'!$B:$B, "="&amp;'CHECK_DT-BT_chi_tiet'!$AE$3)</f>
        <v>20171112614</v>
      </c>
      <c r="AG86" s="7">
        <f t="shared" si="31"/>
        <v>-20171112614</v>
      </c>
      <c r="AH86" s="7">
        <f>SUMIFS('Tong_hop_HQNV_2026Q1_2026-06-23'!$K:$K,'Tong_hop_HQNV_2026Q1_2026-06-23'!$A:$A,"="&amp;$AH$2,'Tong_hop_HQNV_2026Q1_2026-06-23'!$B:$B, "="&amp;'CHECK_DT-BT_chi_tiet'!A86)</f>
        <v>0</v>
      </c>
      <c r="AI86" s="7">
        <f>SUMIFS('HQ2'!$C:$C,'HQ2'!$A:$A, "="&amp;'CHECK_DT-BT_chi_tiet'!C86,'HQ2'!$B:$B, "="&amp;'CHECK_DT-BT_chi_tiet'!$AH$3)</f>
        <v>5633747786</v>
      </c>
      <c r="AJ86" s="7">
        <f t="shared" si="32"/>
        <v>-5633747786</v>
      </c>
      <c r="AK86" s="7">
        <f>SUMIFS('Tong_hop_HQNV_2026Q1_2026-06-23'!$K:$K,'Tong_hop_HQNV_2026Q1_2026-06-23'!$A:$A,"="&amp;$AK$2,'Tong_hop_HQNV_2026Q1_2026-06-23'!$B:$B, "="&amp;'CHECK_DT-BT_chi_tiet'!A86)</f>
        <v>0</v>
      </c>
      <c r="AL86" s="7">
        <f>SUMIFS('Tong_hop_HQNV_2026Q1_2026-06-23'!$K:$K,'Tong_hop_HQNV_2026Q1_2026-06-23'!$A:$A,"="&amp;$AL$2,'Tong_hop_HQNV_2026Q1_2026-06-23'!$B:$B, "="&amp;'CHECK_DT-BT_chi_tiet'!A86)</f>
        <v>0</v>
      </c>
      <c r="AM86" s="23">
        <f>SUMIFS('Tong_hop_HQNV_2026Q1_2026-06-23'!$L:$L,'Tong_hop_HQNV_2026Q1_2026-06-23'!$B:$B, "="&amp;'CHECK_DT-BT_chi_tiet'!A86, 'Tong_hop_HQNV_2026Q1_2026-06-23'!$A:$A, "="&amp;'CHECK_DT-BT_chi_tiet'!$AM$2)</f>
        <v>0</v>
      </c>
      <c r="AN86" s="29">
        <f>SUMIFS('HQ1'!$D:$D,'HQ1'!$A:$A, "="&amp;'CHECK_DT-BT_chi_tiet'!C86,'HQ1'!$B:$B,"="&amp;'CHECK_DT-BT_chi_tiet'!$AM$3)</f>
        <v>57794008</v>
      </c>
      <c r="AO86" s="29">
        <f t="shared" si="33"/>
        <v>-57794008</v>
      </c>
      <c r="AP86" s="7">
        <f>SUMIFS('Tong_hop_HQNV_2026Q1_2026-06-23'!$L:$L,'Tong_hop_HQNV_2026Q1_2026-06-23'!$B:$B, "="&amp;'CHECK_DT-BT_chi_tiet'!A86, 'Tong_hop_HQNV_2026Q1_2026-06-23'!$A:$A, "="&amp;'CHECK_DT-BT_chi_tiet'!$AP$2)</f>
        <v>0</v>
      </c>
      <c r="AQ86" s="29">
        <f>SUMIFS('HQ1'!$D:$D,'HQ1'!$A:$A, "="&amp;'CHECK_DT-BT_chi_tiet'!C86,'HQ1'!$B:$B,"="&amp;'CHECK_DT-BT_chi_tiet'!$AP$3)</f>
        <v>0</v>
      </c>
      <c r="AR86" s="7">
        <f t="shared" si="34"/>
        <v>0</v>
      </c>
      <c r="AS86" s="7">
        <f>SUMIFS('Tong_hop_HQNV_2026Q1_2026-06-23'!$L:$L,'Tong_hop_HQNV_2026Q1_2026-06-23'!$B:$B, "="&amp;'CHECK_DT-BT_chi_tiet'!A86, 'Tong_hop_HQNV_2026Q1_2026-06-23'!$A:$A, "="&amp;'CHECK_DT-BT_chi_tiet'!$AS$2)</f>
        <v>0</v>
      </c>
      <c r="AT86" s="29">
        <f>SUMIFS('HQ1'!$D:$D,'HQ1'!$A:$A, "="&amp;'CHECK_DT-BT_chi_tiet'!C86,'HQ1'!$B:$B,"="&amp;'CHECK_DT-BT_chi_tiet'!$AS$3)</f>
        <v>0</v>
      </c>
      <c r="AU86" s="7">
        <f t="shared" si="35"/>
        <v>0</v>
      </c>
      <c r="AV86" s="7">
        <f>SUMIFS('Tong_hop_HQNV_2026Q1_2026-06-23'!$L:$L,'Tong_hop_HQNV_2026Q1_2026-06-23'!$B:$B, "="&amp;'CHECK_DT-BT_chi_tiet'!A86, 'Tong_hop_HQNV_2026Q1_2026-06-23'!$A:$A, "="&amp;'CHECK_DT-BT_chi_tiet'!$AV$2)</f>
        <v>0</v>
      </c>
      <c r="AW86" s="29">
        <f>SUMIFS('HQ1'!$D:$D,'HQ1'!$A:$A, "="&amp;'CHECK_DT-BT_chi_tiet'!C86,'HQ1'!$B:$B,"="&amp;'CHECK_DT-BT_chi_tiet'!$AV$3)</f>
        <v>2581056163</v>
      </c>
      <c r="AX86" s="7">
        <f t="shared" si="36"/>
        <v>-2581056163</v>
      </c>
      <c r="AY86" s="7">
        <f>SUMIFS('Tong_hop_HQNV_2026Q1_2026-06-23'!$L:$L,'Tong_hop_HQNV_2026Q1_2026-06-23'!$B:$B, "="&amp;'CHECK_DT-BT_chi_tiet'!A86, 'Tong_hop_HQNV_2026Q1_2026-06-23'!$A:$A, "="&amp;$AY$2)</f>
        <v>0</v>
      </c>
      <c r="AZ86" s="29">
        <f>SUMIFS('HQ2'!$J:$J,'HQ2'!$A:$A, "="&amp;'CHECK_DT-BT_chi_tiet'!C86,'HQ2'!$B:$B,"="&amp;'CHECK_DT-BT_chi_tiet'!$AY$3)</f>
        <v>69828979638</v>
      </c>
      <c r="BA86" s="7">
        <f t="shared" si="37"/>
        <v>69828979638</v>
      </c>
      <c r="BB86" s="7">
        <f>SUMIFS('Tong_hop_HQNV_2026Q1_2026-06-23'!$L:$L,'Tong_hop_HQNV_2026Q1_2026-06-23'!$B:$B, "="&amp;'CHECK_DT-BT_chi_tiet'!A86, 'Tong_hop_HQNV_2026Q1_2026-06-23'!$A:$A, "="&amp;$BB$2)</f>
        <v>0</v>
      </c>
      <c r="BC86" s="29">
        <f>SUMIFS('HQ2'!$J:$J,'HQ2'!$A:$A, "="&amp;'CHECK_DT-BT_chi_tiet'!C86,'HQ2'!$B:$B,"="&amp;'CHECK_DT-BT_chi_tiet'!$BB$3)</f>
        <v>0</v>
      </c>
      <c r="BD86" s="7">
        <f t="shared" si="38"/>
        <v>0</v>
      </c>
      <c r="BE86" s="7">
        <f>SUMIFS('Tong_hop_HQNV_2026Q1_2026-06-23'!$L:$L,'Tong_hop_HQNV_2026Q1_2026-06-23'!$B:$B, "="&amp;'CHECK_DT-BT_chi_tiet'!A86, 'Tong_hop_HQNV_2026Q1_2026-06-23'!$A:$A, "="&amp;$BE$2)</f>
        <v>0</v>
      </c>
      <c r="BF86" s="29">
        <f>SUMIFS('HQ2'!$J:$J,'HQ2'!$A:$A, "="&amp;'CHECK_DT-BT_chi_tiet'!C86,'HQ2'!$B:$B,"="&amp;'CHECK_DT-BT_chi_tiet'!$BE$3)</f>
        <v>0</v>
      </c>
      <c r="BG86" s="7">
        <f t="shared" si="39"/>
        <v>0</v>
      </c>
      <c r="BH86" s="7">
        <f>SUMIFS('Tong_hop_HQNV_2026Q1_2026-06-23'!$L:$L,'Tong_hop_HQNV_2026Q1_2026-06-23'!$B:$B, "="&amp;'CHECK_DT-BT_chi_tiet'!A86, 'Tong_hop_HQNV_2026Q1_2026-06-23'!$A:$A, "="&amp;$BH$2)</f>
        <v>0</v>
      </c>
      <c r="BI86" s="29">
        <f>SUMIFS('HQ2'!$J:$J,'HQ2'!$A:$A, "="&amp;'CHECK_DT-BT_chi_tiet'!C86,'HQ2'!$B:$B,"="&amp;'CHECK_DT-BT_chi_tiet'!$BH$3)</f>
        <v>0</v>
      </c>
      <c r="BJ86" s="7">
        <f t="shared" si="40"/>
        <v>0</v>
      </c>
      <c r="BK86" s="7">
        <f>SUMIFS('Tong_hop_HQNV_2026Q1_2026-06-23'!$L:$L,'Tong_hop_HQNV_2026Q1_2026-06-23'!$B:$B, "="&amp;'CHECK_DT-BT_chi_tiet'!A86, 'Tong_hop_HQNV_2026Q1_2026-06-23'!$A:$A, "="&amp;$BK$2)</f>
        <v>0</v>
      </c>
      <c r="BL86" s="29">
        <f>SUMIFS('HQ2'!$J:$J,'HQ2'!$A:$A, "="&amp;'CHECK_DT-BT_chi_tiet'!C86,'HQ2'!$B:$B,"="&amp;'CHECK_DT-BT_chi_tiet'!$BK$3)</f>
        <v>5923446619</v>
      </c>
      <c r="BM86" s="7">
        <f t="shared" si="41"/>
        <v>-5923446619</v>
      </c>
      <c r="BN86" s="7">
        <f>SUMIFS('Tong_hop_HQNV_2026Q1_2026-06-23'!$L:$L,'Tong_hop_HQNV_2026Q1_2026-06-23'!$B:$B, "="&amp;'CHECK_DT-BT_chi_tiet'!A86, 'Tong_hop_HQNV_2026Q1_2026-06-23'!$A:$A, "="&amp;$BN$2)</f>
        <v>0</v>
      </c>
      <c r="BO86" s="29">
        <f>SUMIFS('HQ2'!$J:$J,'HQ2'!$A:$A, "="&amp;'CHECK_DT-BT_chi_tiet'!C86,'HQ2'!$B:$B,"="&amp;'CHECK_DT-BT_chi_tiet'!$BN$3)</f>
        <v>5174014718</v>
      </c>
      <c r="BP86" s="7">
        <f t="shared" si="42"/>
        <v>-5174014718</v>
      </c>
      <c r="BQ86" s="7">
        <f>SUMIFS('Tong_hop_HQNV_2026Q1_2026-06-23'!$L:$L,'Tong_hop_HQNV_2026Q1_2026-06-23'!$B:$B, "="&amp;'CHECK_DT-BT_chi_tiet'!A86, 'Tong_hop_HQNV_2026Q1_2026-06-23'!$A:$A, "="&amp;$BQ$2)</f>
        <v>0</v>
      </c>
      <c r="BR86" s="29">
        <f>SUMIFS('HQ2'!$J:$J,'HQ2'!$A:$A, "="&amp;'CHECK_DT-BT_chi_tiet'!C86,'HQ2'!$B:$B,"="&amp;'CHECK_DT-BT_chi_tiet'!$BQ$3)</f>
        <v>91397591</v>
      </c>
      <c r="BS86" s="7">
        <f t="shared" si="43"/>
        <v>-91397591</v>
      </c>
      <c r="BT86" s="7">
        <f>SUMIFS('Tong_hop_HQNV_2026Q1_2026-06-23'!$L:$L,'Tong_hop_HQNV_2026Q1_2026-06-23'!$B:$B, "="&amp;'CHECK_DT-BT_chi_tiet'!A86, 'Tong_hop_HQNV_2026Q1_2026-06-23'!$A:$A, "="&amp;$BT$2)</f>
        <v>0</v>
      </c>
      <c r="BU86" s="7">
        <f>SUMIFS('Tong_hop_HQNV_2026Q1_2026-06-23'!$L:$L,'Tong_hop_HQNV_2026Q1_2026-06-23'!$B:$B, "="&amp;'CHECK_DT-BT_chi_tiet'!A86, 'Tong_hop_HQNV_2026Q1_2026-06-23'!$A:$A, "="&amp;$BU$2)</f>
        <v>0</v>
      </c>
    </row>
    <row r="87" spans="1:73" x14ac:dyDescent="0.25">
      <c r="A87" s="9" t="s">
        <v>230</v>
      </c>
      <c r="B87" s="93" t="s">
        <v>130</v>
      </c>
      <c r="C87" s="93" t="s">
        <v>130</v>
      </c>
      <c r="D87" s="7">
        <f>SUMIFS('Tong_hop_HQNV_2026Q1_2026-06-23'!$K:$K,'Tong_hop_HQNV_2026Q1_2026-06-23'!$A:$A,"="&amp;'CHECK_DT-BT_chi_tiet'!$D$2,'Tong_hop_HQNV_2026Q1_2026-06-23'!$B:$B, "="&amp;'CHECK_DT-BT_chi_tiet'!A87)</f>
        <v>3238181764</v>
      </c>
      <c r="E87" s="7">
        <f>SUMIFS('HQ1'!$C:$C,'HQ1'!$A:$A, "="&amp;'CHECK_DT-BT_chi_tiet'!C87,'HQ1'!$B:$B, "="&amp;'CHECK_DT-BT_chi_tiet'!$D$3)</f>
        <v>3238181764</v>
      </c>
      <c r="F87" s="7">
        <f t="shared" si="22"/>
        <v>0</v>
      </c>
      <c r="G87" s="7">
        <f>SUMIFS('Tong_hop_HQNV_2026Q1_2026-06-23'!$K:$K,'Tong_hop_HQNV_2026Q1_2026-06-23'!$A:$A,"="&amp;'CHECK_DT-BT_chi_tiet'!$G$2,'Tong_hop_HQNV_2026Q1_2026-06-23'!$B:$B, "="&amp;'CHECK_DT-BT_chi_tiet'!A87)</f>
        <v>108231145</v>
      </c>
      <c r="H87" s="7">
        <f>SUMIFS('HQ1'!$C:$C,'HQ1'!$A:$A, "="&amp;'CHECK_DT-BT_chi_tiet'!C87,'HQ1'!$B:$B, "="&amp;'CHECK_DT-BT_chi_tiet'!$G$3)</f>
        <v>108231145</v>
      </c>
      <c r="I87" s="7">
        <f t="shared" si="23"/>
        <v>0</v>
      </c>
      <c r="J87" s="7">
        <f>SUMIFS('Tong_hop_HQNV_2026Q1_2026-06-23'!$K:$K,'Tong_hop_HQNV_2026Q1_2026-06-23'!$A:$A,"="&amp;'CHECK_DT-BT_chi_tiet'!$J$2,'Tong_hop_HQNV_2026Q1_2026-06-23'!$B:$B, "="&amp;'CHECK_DT-BT_chi_tiet'!A87)</f>
        <v>0</v>
      </c>
      <c r="K87" s="7">
        <f>SUMIFS('HQ1'!$C:$C,'HQ1'!$A:$A, "="&amp;'CHECK_DT-BT_chi_tiet'!C87,'HQ1'!$B:$B, "="&amp;'CHECK_DT-BT_chi_tiet'!$J$3)</f>
        <v>0</v>
      </c>
      <c r="L87" s="7">
        <f t="shared" si="24"/>
        <v>0</v>
      </c>
      <c r="M87" s="7">
        <f>SUMIFS('Tong_hop_HQNV_2026Q1_2026-06-23'!$K:$K,'Tong_hop_HQNV_2026Q1_2026-06-23'!$A:$A,"="&amp;'CHECK_DT-BT_chi_tiet'!$M$2,'Tong_hop_HQNV_2026Q1_2026-06-23'!$B:$B, "="&amp;'CHECK_DT-BT_chi_tiet'!A87)</f>
        <v>485984163553</v>
      </c>
      <c r="N87" s="7">
        <f>SUMIFS('HQ1'!$C:$C,'HQ1'!$A:$A, "="&amp;'CHECK_DT-BT_chi_tiet'!C87,'HQ1'!$B:$B, "="&amp;'CHECK_DT-BT_chi_tiet'!$M$3)</f>
        <v>485980766553</v>
      </c>
      <c r="O87" s="7">
        <f t="shared" si="25"/>
        <v>3397000</v>
      </c>
      <c r="P87" s="7">
        <f>SUMIFS('Tong_hop_HQNV_2026Q1_2026-06-23'!$K:$K,'Tong_hop_HQNV_2026Q1_2026-06-23'!$A:$A,"="&amp;$P$2,'Tong_hop_HQNV_2026Q1_2026-06-23'!$B:$B, "="&amp;'CHECK_DT-BT_chi_tiet'!A87)</f>
        <v>0</v>
      </c>
      <c r="Q87" s="7">
        <f>SUMIFS('HQ2'!$C:$C,'HQ2'!$A:$A, "="&amp;'CHECK_DT-BT_chi_tiet'!C87,'HQ2'!$B:$B, "="&amp;'CHECK_DT-BT_chi_tiet'!$P$3)</f>
        <v>0</v>
      </c>
      <c r="R87" s="7">
        <f t="shared" si="26"/>
        <v>0</v>
      </c>
      <c r="S87" s="7">
        <f>SUMIFS('Tong_hop_HQNV_2026Q1_2026-06-23'!$K:$K,'Tong_hop_HQNV_2026Q1_2026-06-23'!$A:$A,"="&amp;$S$2,'Tong_hop_HQNV_2026Q1_2026-06-23'!$B:$B, "="&amp;'CHECK_DT-BT_chi_tiet'!A87)</f>
        <v>0</v>
      </c>
      <c r="T87" s="7">
        <f>SUMIFS('HQ2'!$C:$C,'HQ2'!$A:$A, "="&amp;'CHECK_DT-BT_chi_tiet'!C87,'HQ2'!$B:$B, "="&amp;'CHECK_DT-BT_chi_tiet'!$S$3)</f>
        <v>0</v>
      </c>
      <c r="U87" s="7">
        <f t="shared" si="27"/>
        <v>0</v>
      </c>
      <c r="V87" s="7">
        <f>SUMIFS('Tong_hop_HQNV_2026Q1_2026-06-23'!$K:$K,'Tong_hop_HQNV_2026Q1_2026-06-23'!$A:$A,"="&amp;$V$2,'Tong_hop_HQNV_2026Q1_2026-06-23'!$B:$B, "="&amp;'CHECK_DT-BT_chi_tiet'!A87)</f>
        <v>0</v>
      </c>
      <c r="W87" s="7">
        <f>SUMIFS('HQ2'!$C:$C,'HQ2'!$A:$A, "="&amp;'CHECK_DT-BT_chi_tiet'!C87,'HQ2'!$B:$B, "="&amp;'CHECK_DT-BT_chi_tiet'!$V$3)</f>
        <v>0</v>
      </c>
      <c r="X87" s="7">
        <f t="shared" si="28"/>
        <v>0</v>
      </c>
      <c r="Y87" s="7">
        <f>SUMIFS('Tong_hop_HQNV_2026Q1_2026-06-23'!$K:$K,'Tong_hop_HQNV_2026Q1_2026-06-23'!$A:$A,"="&amp;$Y$2,'Tong_hop_HQNV_2026Q1_2026-06-23'!$B:$B, "="&amp;'CHECK_DT-BT_chi_tiet'!A87)</f>
        <v>0</v>
      </c>
      <c r="Z87" s="7">
        <f>SUMIFS('HQ2'!$C:$C,'HQ2'!$A:$A, "="&amp;'CHECK_DT-BT_chi_tiet'!C87,'HQ2'!$B:$B, "="&amp;'CHECK_DT-BT_chi_tiet'!$Y$3)</f>
        <v>0</v>
      </c>
      <c r="AA87" s="7">
        <f t="shared" si="29"/>
        <v>0</v>
      </c>
      <c r="AB87" s="7">
        <f>SUMIFS('Tong_hop_HQNV_2026Q1_2026-06-23'!$K:$K,'Tong_hop_HQNV_2026Q1_2026-06-23'!$A:$A,"="&amp;$AB$2,'Tong_hop_HQNV_2026Q1_2026-06-23'!$B:$B, "="&amp;'CHECK_DT-BT_chi_tiet'!A87)</f>
        <v>0</v>
      </c>
      <c r="AC87" s="7">
        <f>SUMIFS('HQ2'!$C:$C,'HQ2'!$A:$A, "="&amp;'CHECK_DT-BT_chi_tiet'!C87,'HQ2'!$B:$B, "="&amp;'CHECK_DT-BT_chi_tiet'!$AB$3)</f>
        <v>0</v>
      </c>
      <c r="AD87" s="7">
        <f t="shared" si="30"/>
        <v>0</v>
      </c>
      <c r="AE87" s="7">
        <f>SUMIFS('Tong_hop_HQNV_2026Q1_2026-06-23'!$K:$K,'Tong_hop_HQNV_2026Q1_2026-06-23'!$A:$A,"="&amp;$AE$2,'Tong_hop_HQNV_2026Q1_2026-06-23'!$B:$B, "="&amp;'CHECK_DT-BT_chi_tiet'!A87)</f>
        <v>0</v>
      </c>
      <c r="AF87" s="7">
        <f>SUMIFS('HQ2'!$C:$C,'HQ2'!$A:$A, "="&amp;'CHECK_DT-BT_chi_tiet'!C87,'HQ2'!$B:$B, "="&amp;'CHECK_DT-BT_chi_tiet'!$AE$3)</f>
        <v>0</v>
      </c>
      <c r="AG87" s="7">
        <f t="shared" si="31"/>
        <v>0</v>
      </c>
      <c r="AH87" s="7">
        <f>SUMIFS('Tong_hop_HQNV_2026Q1_2026-06-23'!$K:$K,'Tong_hop_HQNV_2026Q1_2026-06-23'!$A:$A,"="&amp;$AH$2,'Tong_hop_HQNV_2026Q1_2026-06-23'!$B:$B, "="&amp;'CHECK_DT-BT_chi_tiet'!A87)</f>
        <v>3813093</v>
      </c>
      <c r="AI87" s="7">
        <f>SUMIFS('HQ2'!$C:$C,'HQ2'!$A:$A, "="&amp;'CHECK_DT-BT_chi_tiet'!C87,'HQ2'!$B:$B, "="&amp;'CHECK_DT-BT_chi_tiet'!$AH$3)</f>
        <v>3813093</v>
      </c>
      <c r="AJ87" s="7">
        <f t="shared" si="32"/>
        <v>0</v>
      </c>
      <c r="AK87" s="7">
        <f>SUMIFS('Tong_hop_HQNV_2026Q1_2026-06-23'!$K:$K,'Tong_hop_HQNV_2026Q1_2026-06-23'!$A:$A,"="&amp;$AK$2,'Tong_hop_HQNV_2026Q1_2026-06-23'!$B:$B, "="&amp;'CHECK_DT-BT_chi_tiet'!A87)</f>
        <v>0</v>
      </c>
      <c r="AL87" s="7">
        <f>SUMIFS('Tong_hop_HQNV_2026Q1_2026-06-23'!$K:$K,'Tong_hop_HQNV_2026Q1_2026-06-23'!$A:$A,"="&amp;$AL$2,'Tong_hop_HQNV_2026Q1_2026-06-23'!$B:$B, "="&amp;'CHECK_DT-BT_chi_tiet'!A87)</f>
        <v>0</v>
      </c>
      <c r="AM87" s="23">
        <f>SUMIFS('Tong_hop_HQNV_2026Q1_2026-06-23'!$L:$L,'Tong_hop_HQNV_2026Q1_2026-06-23'!$B:$B, "="&amp;'CHECK_DT-BT_chi_tiet'!A87, 'Tong_hop_HQNV_2026Q1_2026-06-23'!$A:$A, "="&amp;'CHECK_DT-BT_chi_tiet'!$AM$2)</f>
        <v>716276692</v>
      </c>
      <c r="AN87" s="29">
        <f>SUMIFS('HQ1'!$D:$D,'HQ1'!$A:$A, "="&amp;'CHECK_DT-BT_chi_tiet'!C87,'HQ1'!$B:$B,"="&amp;'CHECK_DT-BT_chi_tiet'!$AM$3)</f>
        <v>716276692</v>
      </c>
      <c r="AO87" s="29">
        <f t="shared" si="33"/>
        <v>0</v>
      </c>
      <c r="AP87" s="7">
        <f>SUMIFS('Tong_hop_HQNV_2026Q1_2026-06-23'!$L:$L,'Tong_hop_HQNV_2026Q1_2026-06-23'!$B:$B, "="&amp;'CHECK_DT-BT_chi_tiet'!A87, 'Tong_hop_HQNV_2026Q1_2026-06-23'!$A:$A, "="&amp;'CHECK_DT-BT_chi_tiet'!$AP$2)</f>
        <v>0</v>
      </c>
      <c r="AQ87" s="29">
        <f>SUMIFS('HQ1'!$D:$D,'HQ1'!$A:$A, "="&amp;'CHECK_DT-BT_chi_tiet'!C87,'HQ1'!$B:$B,"="&amp;'CHECK_DT-BT_chi_tiet'!$AP$3)</f>
        <v>0</v>
      </c>
      <c r="AR87" s="7">
        <f t="shared" si="34"/>
        <v>0</v>
      </c>
      <c r="AS87" s="7">
        <f>SUMIFS('Tong_hop_HQNV_2026Q1_2026-06-23'!$L:$L,'Tong_hop_HQNV_2026Q1_2026-06-23'!$B:$B, "="&amp;'CHECK_DT-BT_chi_tiet'!A87, 'Tong_hop_HQNV_2026Q1_2026-06-23'!$A:$A, "="&amp;'CHECK_DT-BT_chi_tiet'!$AS$2)</f>
        <v>0</v>
      </c>
      <c r="AT87" s="29">
        <f>SUMIFS('HQ1'!$D:$D,'HQ1'!$A:$A, "="&amp;'CHECK_DT-BT_chi_tiet'!C87,'HQ1'!$B:$B,"="&amp;'CHECK_DT-BT_chi_tiet'!$AS$3)</f>
        <v>0</v>
      </c>
      <c r="AU87" s="7">
        <f t="shared" si="35"/>
        <v>0</v>
      </c>
      <c r="AV87" s="7">
        <f>SUMIFS('Tong_hop_HQNV_2026Q1_2026-06-23'!$L:$L,'Tong_hop_HQNV_2026Q1_2026-06-23'!$B:$B, "="&amp;'CHECK_DT-BT_chi_tiet'!A87, 'Tong_hop_HQNV_2026Q1_2026-06-23'!$A:$A, "="&amp;'CHECK_DT-BT_chi_tiet'!$AV$2)</f>
        <v>137826067230</v>
      </c>
      <c r="AW87" s="29">
        <f>SUMIFS('HQ1'!$D:$D,'HQ1'!$A:$A, "="&amp;'CHECK_DT-BT_chi_tiet'!C87,'HQ1'!$B:$B,"="&amp;'CHECK_DT-BT_chi_tiet'!$AV$3)</f>
        <v>137826067230</v>
      </c>
      <c r="AX87" s="7">
        <f t="shared" si="36"/>
        <v>0</v>
      </c>
      <c r="AY87" s="7">
        <f>SUMIFS('Tong_hop_HQNV_2026Q1_2026-06-23'!$L:$L,'Tong_hop_HQNV_2026Q1_2026-06-23'!$B:$B, "="&amp;'CHECK_DT-BT_chi_tiet'!A87, 'Tong_hop_HQNV_2026Q1_2026-06-23'!$A:$A, "="&amp;$AY$2)</f>
        <v>0</v>
      </c>
      <c r="AZ87" s="29">
        <f>SUMIFS('HQ2'!$J:$J,'HQ2'!$A:$A, "="&amp;'CHECK_DT-BT_chi_tiet'!C87,'HQ2'!$B:$B,"="&amp;'CHECK_DT-BT_chi_tiet'!$AY$3)</f>
        <v>0</v>
      </c>
      <c r="BA87" s="7">
        <f t="shared" si="37"/>
        <v>0</v>
      </c>
      <c r="BB87" s="7">
        <f>SUMIFS('Tong_hop_HQNV_2026Q1_2026-06-23'!$L:$L,'Tong_hop_HQNV_2026Q1_2026-06-23'!$B:$B, "="&amp;'CHECK_DT-BT_chi_tiet'!A87, 'Tong_hop_HQNV_2026Q1_2026-06-23'!$A:$A, "="&amp;$BB$2)</f>
        <v>0</v>
      </c>
      <c r="BC87" s="29">
        <f>SUMIFS('HQ2'!$J:$J,'HQ2'!$A:$A, "="&amp;'CHECK_DT-BT_chi_tiet'!C87,'HQ2'!$B:$B,"="&amp;'CHECK_DT-BT_chi_tiet'!$BB$3)</f>
        <v>0</v>
      </c>
      <c r="BD87" s="7">
        <f t="shared" si="38"/>
        <v>0</v>
      </c>
      <c r="BE87" s="7">
        <f>SUMIFS('Tong_hop_HQNV_2026Q1_2026-06-23'!$L:$L,'Tong_hop_HQNV_2026Q1_2026-06-23'!$B:$B, "="&amp;'CHECK_DT-BT_chi_tiet'!A87, 'Tong_hop_HQNV_2026Q1_2026-06-23'!$A:$A, "="&amp;$BE$2)</f>
        <v>0</v>
      </c>
      <c r="BF87" s="29">
        <f>SUMIFS('HQ2'!$J:$J,'HQ2'!$A:$A, "="&amp;'CHECK_DT-BT_chi_tiet'!C87,'HQ2'!$B:$B,"="&amp;'CHECK_DT-BT_chi_tiet'!$BE$3)</f>
        <v>0</v>
      </c>
      <c r="BG87" s="7">
        <f t="shared" si="39"/>
        <v>0</v>
      </c>
      <c r="BH87" s="7">
        <f>SUMIFS('Tong_hop_HQNV_2026Q1_2026-06-23'!$L:$L,'Tong_hop_HQNV_2026Q1_2026-06-23'!$B:$B, "="&amp;'CHECK_DT-BT_chi_tiet'!A87, 'Tong_hop_HQNV_2026Q1_2026-06-23'!$A:$A, "="&amp;$BH$2)</f>
        <v>0</v>
      </c>
      <c r="BI87" s="29">
        <f>SUMIFS('HQ2'!$J:$J,'HQ2'!$A:$A, "="&amp;'CHECK_DT-BT_chi_tiet'!C87,'HQ2'!$B:$B,"="&amp;'CHECK_DT-BT_chi_tiet'!$BH$3)</f>
        <v>0</v>
      </c>
      <c r="BJ87" s="7">
        <f t="shared" si="40"/>
        <v>0</v>
      </c>
      <c r="BK87" s="7">
        <f>SUMIFS('Tong_hop_HQNV_2026Q1_2026-06-23'!$L:$L,'Tong_hop_HQNV_2026Q1_2026-06-23'!$B:$B, "="&amp;'CHECK_DT-BT_chi_tiet'!A87, 'Tong_hop_HQNV_2026Q1_2026-06-23'!$A:$A, "="&amp;$BK$2)</f>
        <v>0</v>
      </c>
      <c r="BL87" s="29">
        <f>SUMIFS('HQ2'!$J:$J,'HQ2'!$A:$A, "="&amp;'CHECK_DT-BT_chi_tiet'!C87,'HQ2'!$B:$B,"="&amp;'CHECK_DT-BT_chi_tiet'!$BK$3)</f>
        <v>0</v>
      </c>
      <c r="BM87" s="7">
        <f t="shared" si="41"/>
        <v>0</v>
      </c>
      <c r="BN87" s="7">
        <f>SUMIFS('Tong_hop_HQNV_2026Q1_2026-06-23'!$L:$L,'Tong_hop_HQNV_2026Q1_2026-06-23'!$B:$B, "="&amp;'CHECK_DT-BT_chi_tiet'!A87, 'Tong_hop_HQNV_2026Q1_2026-06-23'!$A:$A, "="&amp;$BN$2)</f>
        <v>0</v>
      </c>
      <c r="BO87" s="29">
        <f>SUMIFS('HQ2'!$J:$J,'HQ2'!$A:$A, "="&amp;'CHECK_DT-BT_chi_tiet'!C87,'HQ2'!$B:$B,"="&amp;'CHECK_DT-BT_chi_tiet'!$BN$3)</f>
        <v>0</v>
      </c>
      <c r="BP87" s="7">
        <f t="shared" si="42"/>
        <v>0</v>
      </c>
      <c r="BQ87" s="7">
        <f>SUMIFS('Tong_hop_HQNV_2026Q1_2026-06-23'!$L:$L,'Tong_hop_HQNV_2026Q1_2026-06-23'!$B:$B, "="&amp;'CHECK_DT-BT_chi_tiet'!A87, 'Tong_hop_HQNV_2026Q1_2026-06-23'!$A:$A, "="&amp;$BQ$2)</f>
        <v>0</v>
      </c>
      <c r="BR87" s="29">
        <f>SUMIFS('HQ2'!$J:$J,'HQ2'!$A:$A, "="&amp;'CHECK_DT-BT_chi_tiet'!C87,'HQ2'!$B:$B,"="&amp;'CHECK_DT-BT_chi_tiet'!$BQ$3)</f>
        <v>0</v>
      </c>
      <c r="BS87" s="7">
        <f t="shared" si="43"/>
        <v>0</v>
      </c>
      <c r="BT87" s="7">
        <f>SUMIFS('Tong_hop_HQNV_2026Q1_2026-06-23'!$L:$L,'Tong_hop_HQNV_2026Q1_2026-06-23'!$B:$B, "="&amp;'CHECK_DT-BT_chi_tiet'!A87, 'Tong_hop_HQNV_2026Q1_2026-06-23'!$A:$A, "="&amp;$BT$2)</f>
        <v>0</v>
      </c>
      <c r="BU87" s="7">
        <f>SUMIFS('Tong_hop_HQNV_2026Q1_2026-06-23'!$L:$L,'Tong_hop_HQNV_2026Q1_2026-06-23'!$B:$B, "="&amp;'CHECK_DT-BT_chi_tiet'!A87, 'Tong_hop_HQNV_2026Q1_2026-06-23'!$A:$A, "="&amp;$BU$2)</f>
        <v>0</v>
      </c>
    </row>
    <row r="88" spans="1:73" x14ac:dyDescent="0.25">
      <c r="A88" s="9" t="s">
        <v>223</v>
      </c>
      <c r="B88" s="93" t="s">
        <v>55</v>
      </c>
      <c r="C88" s="93" t="s">
        <v>55</v>
      </c>
      <c r="D88" s="7">
        <f>SUMIFS('Tong_hop_HQNV_2026Q1_2026-06-23'!$K:$K,'Tong_hop_HQNV_2026Q1_2026-06-23'!$A:$A,"="&amp;'CHECK_DT-BT_chi_tiet'!$D$2,'Tong_hop_HQNV_2026Q1_2026-06-23'!$B:$B, "="&amp;'CHECK_DT-BT_chi_tiet'!A88)</f>
        <v>7075450</v>
      </c>
      <c r="E88" s="7">
        <f>SUMIFS('HQ1'!$C:$C,'HQ1'!$A:$A, "="&amp;'CHECK_DT-BT_chi_tiet'!C88,'HQ1'!$B:$B, "="&amp;'CHECK_DT-BT_chi_tiet'!$D$3)</f>
        <v>7075450</v>
      </c>
      <c r="F88" s="7">
        <f t="shared" si="22"/>
        <v>0</v>
      </c>
      <c r="G88" s="7">
        <f>SUMIFS('Tong_hop_HQNV_2026Q1_2026-06-23'!$K:$K,'Tong_hop_HQNV_2026Q1_2026-06-23'!$A:$A,"="&amp;'CHECK_DT-BT_chi_tiet'!$G$2,'Tong_hop_HQNV_2026Q1_2026-06-23'!$B:$B, "="&amp;'CHECK_DT-BT_chi_tiet'!A88)</f>
        <v>4603200</v>
      </c>
      <c r="H88" s="7">
        <f>SUMIFS('HQ1'!$C:$C,'HQ1'!$A:$A, "="&amp;'CHECK_DT-BT_chi_tiet'!C88,'HQ1'!$B:$B, "="&amp;'CHECK_DT-BT_chi_tiet'!$G$3)</f>
        <v>4603200</v>
      </c>
      <c r="I88" s="7">
        <f t="shared" si="23"/>
        <v>0</v>
      </c>
      <c r="J88" s="7">
        <f>SUMIFS('Tong_hop_HQNV_2026Q1_2026-06-23'!$K:$K,'Tong_hop_HQNV_2026Q1_2026-06-23'!$A:$A,"="&amp;'CHECK_DT-BT_chi_tiet'!$J$2,'Tong_hop_HQNV_2026Q1_2026-06-23'!$B:$B, "="&amp;'CHECK_DT-BT_chi_tiet'!A88)</f>
        <v>253297609</v>
      </c>
      <c r="K88" s="7">
        <f>SUMIFS('HQ1'!$C:$C,'HQ1'!$A:$A, "="&amp;'CHECK_DT-BT_chi_tiet'!C88,'HQ1'!$B:$B, "="&amp;'CHECK_DT-BT_chi_tiet'!$J$3)</f>
        <v>253297609</v>
      </c>
      <c r="L88" s="7">
        <f t="shared" si="24"/>
        <v>0</v>
      </c>
      <c r="M88" s="7">
        <f>SUMIFS('Tong_hop_HQNV_2026Q1_2026-06-23'!$K:$K,'Tong_hop_HQNV_2026Q1_2026-06-23'!$A:$A,"="&amp;'CHECK_DT-BT_chi_tiet'!$M$2,'Tong_hop_HQNV_2026Q1_2026-06-23'!$B:$B, "="&amp;'CHECK_DT-BT_chi_tiet'!A88)</f>
        <v>486512843</v>
      </c>
      <c r="N88" s="7">
        <f>SUMIFS('HQ1'!$C:$C,'HQ1'!$A:$A, "="&amp;'CHECK_DT-BT_chi_tiet'!C88,'HQ1'!$B:$B, "="&amp;'CHECK_DT-BT_chi_tiet'!$M$3)</f>
        <v>486512843</v>
      </c>
      <c r="O88" s="7">
        <f t="shared" si="25"/>
        <v>0</v>
      </c>
      <c r="P88" s="7">
        <f>SUMIFS('Tong_hop_HQNV_2026Q1_2026-06-23'!$K:$K,'Tong_hop_HQNV_2026Q1_2026-06-23'!$A:$A,"="&amp;$P$2,'Tong_hop_HQNV_2026Q1_2026-06-23'!$B:$B, "="&amp;'CHECK_DT-BT_chi_tiet'!A88)</f>
        <v>11752986008</v>
      </c>
      <c r="Q88" s="7">
        <f>SUMIFS('HQ2'!$C:$C,'HQ2'!$A:$A, "="&amp;'CHECK_DT-BT_chi_tiet'!C88,'HQ2'!$B:$B, "="&amp;'CHECK_DT-BT_chi_tiet'!$P$3)</f>
        <v>11752986008</v>
      </c>
      <c r="R88" s="7">
        <f t="shared" si="26"/>
        <v>0</v>
      </c>
      <c r="S88" s="7">
        <f>SUMIFS('Tong_hop_HQNV_2026Q1_2026-06-23'!$K:$K,'Tong_hop_HQNV_2026Q1_2026-06-23'!$A:$A,"="&amp;$S$2,'Tong_hop_HQNV_2026Q1_2026-06-23'!$B:$B, "="&amp;'CHECK_DT-BT_chi_tiet'!A88)</f>
        <v>0</v>
      </c>
      <c r="T88" s="7">
        <f>SUMIFS('HQ2'!$C:$C,'HQ2'!$A:$A, "="&amp;'CHECK_DT-BT_chi_tiet'!C88,'HQ2'!$B:$B, "="&amp;'CHECK_DT-BT_chi_tiet'!$S$3)</f>
        <v>0</v>
      </c>
      <c r="U88" s="7">
        <f t="shared" si="27"/>
        <v>0</v>
      </c>
      <c r="V88" s="7">
        <f>SUMIFS('Tong_hop_HQNV_2026Q1_2026-06-23'!$K:$K,'Tong_hop_HQNV_2026Q1_2026-06-23'!$A:$A,"="&amp;$V$2,'Tong_hop_HQNV_2026Q1_2026-06-23'!$B:$B, "="&amp;'CHECK_DT-BT_chi_tiet'!A88)</f>
        <v>219710920</v>
      </c>
      <c r="W88" s="7">
        <f>SUMIFS('HQ2'!$C:$C,'HQ2'!$A:$A, "="&amp;'CHECK_DT-BT_chi_tiet'!C88,'HQ2'!$B:$B, "="&amp;'CHECK_DT-BT_chi_tiet'!$V$3)</f>
        <v>219710920</v>
      </c>
      <c r="X88" s="7">
        <f t="shared" si="28"/>
        <v>0</v>
      </c>
      <c r="Y88" s="7">
        <f>SUMIFS('Tong_hop_HQNV_2026Q1_2026-06-23'!$K:$K,'Tong_hop_HQNV_2026Q1_2026-06-23'!$A:$A,"="&amp;$Y$2,'Tong_hop_HQNV_2026Q1_2026-06-23'!$B:$B, "="&amp;'CHECK_DT-BT_chi_tiet'!A88)</f>
        <v>169322972</v>
      </c>
      <c r="Z88" s="7">
        <f>SUMIFS('HQ2'!$C:$C,'HQ2'!$A:$A, "="&amp;'CHECK_DT-BT_chi_tiet'!C88,'HQ2'!$B:$B, "="&amp;'CHECK_DT-BT_chi_tiet'!$Y$3)</f>
        <v>169322972</v>
      </c>
      <c r="AA88" s="7">
        <f t="shared" si="29"/>
        <v>0</v>
      </c>
      <c r="AB88" s="7">
        <f>SUMIFS('Tong_hop_HQNV_2026Q1_2026-06-23'!$K:$K,'Tong_hop_HQNV_2026Q1_2026-06-23'!$A:$A,"="&amp;$AB$2,'Tong_hop_HQNV_2026Q1_2026-06-23'!$B:$B, "="&amp;'CHECK_DT-BT_chi_tiet'!A88)</f>
        <v>1189221152</v>
      </c>
      <c r="AC88" s="7">
        <f>SUMIFS('HQ2'!$C:$C,'HQ2'!$A:$A, "="&amp;'CHECK_DT-BT_chi_tiet'!C88,'HQ2'!$B:$B, "="&amp;'CHECK_DT-BT_chi_tiet'!$AB$3)</f>
        <v>1189221152</v>
      </c>
      <c r="AD88" s="7">
        <f t="shared" si="30"/>
        <v>0</v>
      </c>
      <c r="AE88" s="7">
        <f>SUMIFS('Tong_hop_HQNV_2026Q1_2026-06-23'!$K:$K,'Tong_hop_HQNV_2026Q1_2026-06-23'!$A:$A,"="&amp;$AE$2,'Tong_hop_HQNV_2026Q1_2026-06-23'!$B:$B, "="&amp;'CHECK_DT-BT_chi_tiet'!A88)</f>
        <v>7705517</v>
      </c>
      <c r="AF88" s="7">
        <f>SUMIFS('HQ2'!$C:$C,'HQ2'!$A:$A, "="&amp;'CHECK_DT-BT_chi_tiet'!C88,'HQ2'!$B:$B, "="&amp;'CHECK_DT-BT_chi_tiet'!$AE$3)</f>
        <v>7705517</v>
      </c>
      <c r="AG88" s="7">
        <f t="shared" si="31"/>
        <v>0</v>
      </c>
      <c r="AH88" s="7">
        <f>SUMIFS('Tong_hop_HQNV_2026Q1_2026-06-23'!$K:$K,'Tong_hop_HQNV_2026Q1_2026-06-23'!$A:$A,"="&amp;$AH$2,'Tong_hop_HQNV_2026Q1_2026-06-23'!$B:$B, "="&amp;'CHECK_DT-BT_chi_tiet'!A88)</f>
        <v>8000000</v>
      </c>
      <c r="AI88" s="7">
        <f>SUMIFS('HQ2'!$C:$C,'HQ2'!$A:$A, "="&amp;'CHECK_DT-BT_chi_tiet'!C88,'HQ2'!$B:$B, "="&amp;'CHECK_DT-BT_chi_tiet'!$AH$3)</f>
        <v>8000000</v>
      </c>
      <c r="AJ88" s="7">
        <f t="shared" si="32"/>
        <v>0</v>
      </c>
      <c r="AK88" s="7">
        <f>SUMIFS('Tong_hop_HQNV_2026Q1_2026-06-23'!$K:$K,'Tong_hop_HQNV_2026Q1_2026-06-23'!$A:$A,"="&amp;$AK$2,'Tong_hop_HQNV_2026Q1_2026-06-23'!$B:$B, "="&amp;'CHECK_DT-BT_chi_tiet'!A88)</f>
        <v>0</v>
      </c>
      <c r="AL88" s="7">
        <f>SUMIFS('Tong_hop_HQNV_2026Q1_2026-06-23'!$K:$K,'Tong_hop_HQNV_2026Q1_2026-06-23'!$A:$A,"="&amp;$AL$2,'Tong_hop_HQNV_2026Q1_2026-06-23'!$B:$B, "="&amp;'CHECK_DT-BT_chi_tiet'!A88)</f>
        <v>0</v>
      </c>
      <c r="AM88" s="23">
        <f>SUMIFS('Tong_hop_HQNV_2026Q1_2026-06-23'!$L:$L,'Tong_hop_HQNV_2026Q1_2026-06-23'!$B:$B, "="&amp;'CHECK_DT-BT_chi_tiet'!A88, 'Tong_hop_HQNV_2026Q1_2026-06-23'!$A:$A, "="&amp;'CHECK_DT-BT_chi_tiet'!$AM$2)</f>
        <v>0</v>
      </c>
      <c r="AN88" s="29">
        <f>SUMIFS('HQ1'!$D:$D,'HQ1'!$A:$A, "="&amp;'CHECK_DT-BT_chi_tiet'!C88,'HQ1'!$B:$B,"="&amp;'CHECK_DT-BT_chi_tiet'!$AM$3)</f>
        <v>0</v>
      </c>
      <c r="AO88" s="29">
        <f t="shared" si="33"/>
        <v>0</v>
      </c>
      <c r="AP88" s="7">
        <f>SUMIFS('Tong_hop_HQNV_2026Q1_2026-06-23'!$L:$L,'Tong_hop_HQNV_2026Q1_2026-06-23'!$B:$B, "="&amp;'CHECK_DT-BT_chi_tiet'!A88, 'Tong_hop_HQNV_2026Q1_2026-06-23'!$A:$A, "="&amp;'CHECK_DT-BT_chi_tiet'!$AP$2)</f>
        <v>0</v>
      </c>
      <c r="AQ88" s="29">
        <f>SUMIFS('HQ1'!$D:$D,'HQ1'!$A:$A, "="&amp;'CHECK_DT-BT_chi_tiet'!C88,'HQ1'!$B:$B,"="&amp;'CHECK_DT-BT_chi_tiet'!$AP$3)</f>
        <v>0</v>
      </c>
      <c r="AR88" s="7">
        <f t="shared" si="34"/>
        <v>0</v>
      </c>
      <c r="AS88" s="7">
        <f>SUMIFS('Tong_hop_HQNV_2026Q1_2026-06-23'!$L:$L,'Tong_hop_HQNV_2026Q1_2026-06-23'!$B:$B, "="&amp;'CHECK_DT-BT_chi_tiet'!A88, 'Tong_hop_HQNV_2026Q1_2026-06-23'!$A:$A, "="&amp;'CHECK_DT-BT_chi_tiet'!$AS$2)</f>
        <v>35933452</v>
      </c>
      <c r="AT88" s="29">
        <f>SUMIFS('HQ1'!$D:$D,'HQ1'!$A:$A, "="&amp;'CHECK_DT-BT_chi_tiet'!C88,'HQ1'!$B:$B,"="&amp;'CHECK_DT-BT_chi_tiet'!$AS$3)</f>
        <v>35933452</v>
      </c>
      <c r="AU88" s="7">
        <f t="shared" si="35"/>
        <v>0</v>
      </c>
      <c r="AV88" s="7">
        <f>SUMIFS('Tong_hop_HQNV_2026Q1_2026-06-23'!$L:$L,'Tong_hop_HQNV_2026Q1_2026-06-23'!$B:$B, "="&amp;'CHECK_DT-BT_chi_tiet'!A88, 'Tong_hop_HQNV_2026Q1_2026-06-23'!$A:$A, "="&amp;'CHECK_DT-BT_chi_tiet'!$AV$2)</f>
        <v>1010021779</v>
      </c>
      <c r="AW88" s="29">
        <f>SUMIFS('HQ1'!$D:$D,'HQ1'!$A:$A, "="&amp;'CHECK_DT-BT_chi_tiet'!C88,'HQ1'!$B:$B,"="&amp;'CHECK_DT-BT_chi_tiet'!$AV$3)</f>
        <v>1010021779</v>
      </c>
      <c r="AX88" s="7">
        <f t="shared" si="36"/>
        <v>0</v>
      </c>
      <c r="AY88" s="7">
        <f>SUMIFS('Tong_hop_HQNV_2026Q1_2026-06-23'!$L:$L,'Tong_hop_HQNV_2026Q1_2026-06-23'!$B:$B, "="&amp;'CHECK_DT-BT_chi_tiet'!A88, 'Tong_hop_HQNV_2026Q1_2026-06-23'!$A:$A, "="&amp;$AY$2)</f>
        <v>5631285405</v>
      </c>
      <c r="AZ88" s="29">
        <f>SUMIFS('HQ2'!$J:$J,'HQ2'!$A:$A, "="&amp;'CHECK_DT-BT_chi_tiet'!C88,'HQ2'!$B:$B,"="&amp;'CHECK_DT-BT_chi_tiet'!$AY$3)</f>
        <v>5631285405</v>
      </c>
      <c r="BA88" s="7">
        <f t="shared" si="37"/>
        <v>0</v>
      </c>
      <c r="BB88" s="7">
        <f>SUMIFS('Tong_hop_HQNV_2026Q1_2026-06-23'!$L:$L,'Tong_hop_HQNV_2026Q1_2026-06-23'!$B:$B, "="&amp;'CHECK_DT-BT_chi_tiet'!A88, 'Tong_hop_HQNV_2026Q1_2026-06-23'!$A:$A, "="&amp;$BB$2)</f>
        <v>0</v>
      </c>
      <c r="BC88" s="29">
        <f>SUMIFS('HQ2'!$J:$J,'HQ2'!$A:$A, "="&amp;'CHECK_DT-BT_chi_tiet'!C88,'HQ2'!$B:$B,"="&amp;'CHECK_DT-BT_chi_tiet'!$BB$3)</f>
        <v>0</v>
      </c>
      <c r="BD88" s="7">
        <f t="shared" si="38"/>
        <v>0</v>
      </c>
      <c r="BE88" s="7">
        <f>SUMIFS('Tong_hop_HQNV_2026Q1_2026-06-23'!$L:$L,'Tong_hop_HQNV_2026Q1_2026-06-23'!$B:$B, "="&amp;'CHECK_DT-BT_chi_tiet'!A88, 'Tong_hop_HQNV_2026Q1_2026-06-23'!$A:$A, "="&amp;$BE$2)</f>
        <v>0</v>
      </c>
      <c r="BF88" s="29">
        <f>SUMIFS('HQ2'!$J:$J,'HQ2'!$A:$A, "="&amp;'CHECK_DT-BT_chi_tiet'!C88,'HQ2'!$B:$B,"="&amp;'CHECK_DT-BT_chi_tiet'!$BE$3)</f>
        <v>0</v>
      </c>
      <c r="BG88" s="7">
        <f t="shared" si="39"/>
        <v>0</v>
      </c>
      <c r="BH88" s="7">
        <f>SUMIFS('Tong_hop_HQNV_2026Q1_2026-06-23'!$L:$L,'Tong_hop_HQNV_2026Q1_2026-06-23'!$B:$B, "="&amp;'CHECK_DT-BT_chi_tiet'!A88, 'Tong_hop_HQNV_2026Q1_2026-06-23'!$A:$A, "="&amp;$BH$2)</f>
        <v>0</v>
      </c>
      <c r="BI88" s="29">
        <f>SUMIFS('HQ2'!$J:$J,'HQ2'!$A:$A, "="&amp;'CHECK_DT-BT_chi_tiet'!C88,'HQ2'!$B:$B,"="&amp;'CHECK_DT-BT_chi_tiet'!$BH$3)</f>
        <v>0</v>
      </c>
      <c r="BJ88" s="7">
        <f t="shared" si="40"/>
        <v>0</v>
      </c>
      <c r="BK88" s="7">
        <f>SUMIFS('Tong_hop_HQNV_2026Q1_2026-06-23'!$L:$L,'Tong_hop_HQNV_2026Q1_2026-06-23'!$B:$B, "="&amp;'CHECK_DT-BT_chi_tiet'!A88, 'Tong_hop_HQNV_2026Q1_2026-06-23'!$A:$A, "="&amp;$BK$2)</f>
        <v>91736306</v>
      </c>
      <c r="BL88" s="29">
        <f>SUMIFS('HQ2'!$J:$J,'HQ2'!$A:$A, "="&amp;'CHECK_DT-BT_chi_tiet'!C88,'HQ2'!$B:$B,"="&amp;'CHECK_DT-BT_chi_tiet'!$BK$3)</f>
        <v>46281761</v>
      </c>
      <c r="BM88" s="7">
        <f t="shared" si="41"/>
        <v>45454545</v>
      </c>
      <c r="BN88" s="7">
        <f>SUMIFS('Tong_hop_HQNV_2026Q1_2026-06-23'!$L:$L,'Tong_hop_HQNV_2026Q1_2026-06-23'!$B:$B, "="&amp;'CHECK_DT-BT_chi_tiet'!A88, 'Tong_hop_HQNV_2026Q1_2026-06-23'!$A:$A, "="&amp;$BN$2)</f>
        <v>0</v>
      </c>
      <c r="BO88" s="29">
        <f>SUMIFS('HQ2'!$J:$J,'HQ2'!$A:$A, "="&amp;'CHECK_DT-BT_chi_tiet'!C88,'HQ2'!$B:$B,"="&amp;'CHECK_DT-BT_chi_tiet'!$BN$3)</f>
        <v>0</v>
      </c>
      <c r="BP88" s="7">
        <f t="shared" si="42"/>
        <v>0</v>
      </c>
      <c r="BQ88" s="7">
        <f>SUMIFS('Tong_hop_HQNV_2026Q1_2026-06-23'!$L:$L,'Tong_hop_HQNV_2026Q1_2026-06-23'!$B:$B, "="&amp;'CHECK_DT-BT_chi_tiet'!A88, 'Tong_hop_HQNV_2026Q1_2026-06-23'!$A:$A, "="&amp;$BQ$2)</f>
        <v>0</v>
      </c>
      <c r="BR88" s="29">
        <f>SUMIFS('HQ2'!$J:$J,'HQ2'!$A:$A, "="&amp;'CHECK_DT-BT_chi_tiet'!C88,'HQ2'!$B:$B,"="&amp;'CHECK_DT-BT_chi_tiet'!$BQ$3)</f>
        <v>0</v>
      </c>
      <c r="BS88" s="7">
        <f t="shared" si="43"/>
        <v>0</v>
      </c>
      <c r="BT88" s="7">
        <f>SUMIFS('Tong_hop_HQNV_2026Q1_2026-06-23'!$L:$L,'Tong_hop_HQNV_2026Q1_2026-06-23'!$B:$B, "="&amp;'CHECK_DT-BT_chi_tiet'!A88, 'Tong_hop_HQNV_2026Q1_2026-06-23'!$A:$A, "="&amp;$BT$2)</f>
        <v>0</v>
      </c>
      <c r="BU88" s="7">
        <f>SUMIFS('Tong_hop_HQNV_2026Q1_2026-06-23'!$L:$L,'Tong_hop_HQNV_2026Q1_2026-06-23'!$B:$B, "="&amp;'CHECK_DT-BT_chi_tiet'!A88, 'Tong_hop_HQNV_2026Q1_2026-06-23'!$A:$A, "="&amp;$BU$2)</f>
        <v>0</v>
      </c>
    </row>
    <row r="89" spans="1:73" x14ac:dyDescent="0.25">
      <c r="A89" s="9" t="s">
        <v>234</v>
      </c>
      <c r="B89" s="93" t="s">
        <v>126</v>
      </c>
      <c r="C89" s="93" t="s">
        <v>126</v>
      </c>
      <c r="D89" s="7">
        <f>SUMIFS('Tong_hop_HQNV_2026Q1_2026-06-23'!$K:$K,'Tong_hop_HQNV_2026Q1_2026-06-23'!$A:$A,"="&amp;'CHECK_DT-BT_chi_tiet'!$D$2,'Tong_hop_HQNV_2026Q1_2026-06-23'!$B:$B, "="&amp;'CHECK_DT-BT_chi_tiet'!A89)</f>
        <v>857289275</v>
      </c>
      <c r="E89" s="7">
        <f>SUMIFS('HQ1'!$C:$C,'HQ1'!$A:$A, "="&amp;'CHECK_DT-BT_chi_tiet'!C89,'HQ1'!$B:$B, "="&amp;'CHECK_DT-BT_chi_tiet'!$D$3)</f>
        <v>857289275</v>
      </c>
      <c r="F89" s="7">
        <f t="shared" si="22"/>
        <v>0</v>
      </c>
      <c r="G89" s="7">
        <f>SUMIFS('Tong_hop_HQNV_2026Q1_2026-06-23'!$K:$K,'Tong_hop_HQNV_2026Q1_2026-06-23'!$A:$A,"="&amp;'CHECK_DT-BT_chi_tiet'!$G$2,'Tong_hop_HQNV_2026Q1_2026-06-23'!$B:$B, "="&amp;'CHECK_DT-BT_chi_tiet'!A89)</f>
        <v>165630349</v>
      </c>
      <c r="H89" s="7">
        <f>SUMIFS('HQ1'!$C:$C,'HQ1'!$A:$A, "="&amp;'CHECK_DT-BT_chi_tiet'!C89,'HQ1'!$B:$B, "="&amp;'CHECK_DT-BT_chi_tiet'!$G$3)</f>
        <v>165630349</v>
      </c>
      <c r="I89" s="7">
        <f t="shared" si="23"/>
        <v>0</v>
      </c>
      <c r="J89" s="7">
        <f>SUMIFS('Tong_hop_HQNV_2026Q1_2026-06-23'!$K:$K,'Tong_hop_HQNV_2026Q1_2026-06-23'!$A:$A,"="&amp;'CHECK_DT-BT_chi_tiet'!$J$2,'Tong_hop_HQNV_2026Q1_2026-06-23'!$B:$B, "="&amp;'CHECK_DT-BT_chi_tiet'!A89)</f>
        <v>1236479525</v>
      </c>
      <c r="K89" s="7">
        <f>SUMIFS('HQ1'!$C:$C,'HQ1'!$A:$A, "="&amp;'CHECK_DT-BT_chi_tiet'!C89,'HQ1'!$B:$B, "="&amp;'CHECK_DT-BT_chi_tiet'!$J$3)</f>
        <v>941368434</v>
      </c>
      <c r="L89" s="7">
        <f t="shared" si="24"/>
        <v>295111091</v>
      </c>
      <c r="M89" s="7">
        <f>SUMIFS('Tong_hop_HQNV_2026Q1_2026-06-23'!$K:$K,'Tong_hop_HQNV_2026Q1_2026-06-23'!$A:$A,"="&amp;'CHECK_DT-BT_chi_tiet'!$M$2,'Tong_hop_HQNV_2026Q1_2026-06-23'!$B:$B, "="&amp;'CHECK_DT-BT_chi_tiet'!A89)</f>
        <v>166773779807</v>
      </c>
      <c r="N89" s="7">
        <f>SUMIFS('HQ1'!$C:$C,'HQ1'!$A:$A, "="&amp;'CHECK_DT-BT_chi_tiet'!C89,'HQ1'!$B:$B, "="&amp;'CHECK_DT-BT_chi_tiet'!$M$3)</f>
        <v>166773779807</v>
      </c>
      <c r="O89" s="7">
        <f t="shared" si="25"/>
        <v>0</v>
      </c>
      <c r="P89" s="7">
        <f>SUMIFS('Tong_hop_HQNV_2026Q1_2026-06-23'!$K:$K,'Tong_hop_HQNV_2026Q1_2026-06-23'!$A:$A,"="&amp;$P$2,'Tong_hop_HQNV_2026Q1_2026-06-23'!$B:$B, "="&amp;'CHECK_DT-BT_chi_tiet'!A89)</f>
        <v>0</v>
      </c>
      <c r="Q89" s="7">
        <f>SUMIFS('HQ2'!$C:$C,'HQ2'!$A:$A, "="&amp;'CHECK_DT-BT_chi_tiet'!C89,'HQ2'!$B:$B, "="&amp;'CHECK_DT-BT_chi_tiet'!$P$3)</f>
        <v>0</v>
      </c>
      <c r="R89" s="7">
        <f t="shared" si="26"/>
        <v>0</v>
      </c>
      <c r="S89" s="7">
        <f>SUMIFS('Tong_hop_HQNV_2026Q1_2026-06-23'!$K:$K,'Tong_hop_HQNV_2026Q1_2026-06-23'!$A:$A,"="&amp;$S$2,'Tong_hop_HQNV_2026Q1_2026-06-23'!$B:$B, "="&amp;'CHECK_DT-BT_chi_tiet'!A89)</f>
        <v>0</v>
      </c>
      <c r="T89" s="7">
        <f>SUMIFS('HQ2'!$C:$C,'HQ2'!$A:$A, "="&amp;'CHECK_DT-BT_chi_tiet'!C89,'HQ2'!$B:$B, "="&amp;'CHECK_DT-BT_chi_tiet'!$S$3)</f>
        <v>0</v>
      </c>
      <c r="U89" s="7">
        <f t="shared" si="27"/>
        <v>0</v>
      </c>
      <c r="V89" s="7">
        <f>SUMIFS('Tong_hop_HQNV_2026Q1_2026-06-23'!$K:$K,'Tong_hop_HQNV_2026Q1_2026-06-23'!$A:$A,"="&amp;$V$2,'Tong_hop_HQNV_2026Q1_2026-06-23'!$B:$B, "="&amp;'CHECK_DT-BT_chi_tiet'!A89)</f>
        <v>0</v>
      </c>
      <c r="W89" s="7">
        <f>SUMIFS('HQ2'!$C:$C,'HQ2'!$A:$A, "="&amp;'CHECK_DT-BT_chi_tiet'!C89,'HQ2'!$B:$B, "="&amp;'CHECK_DT-BT_chi_tiet'!$V$3)</f>
        <v>0</v>
      </c>
      <c r="X89" s="7">
        <f t="shared" si="28"/>
        <v>0</v>
      </c>
      <c r="Y89" s="7">
        <f>SUMIFS('Tong_hop_HQNV_2026Q1_2026-06-23'!$K:$K,'Tong_hop_HQNV_2026Q1_2026-06-23'!$A:$A,"="&amp;$Y$2,'Tong_hop_HQNV_2026Q1_2026-06-23'!$B:$B, "="&amp;'CHECK_DT-BT_chi_tiet'!A89)</f>
        <v>0</v>
      </c>
      <c r="Z89" s="7">
        <f>SUMIFS('HQ2'!$C:$C,'HQ2'!$A:$A, "="&amp;'CHECK_DT-BT_chi_tiet'!C89,'HQ2'!$B:$B, "="&amp;'CHECK_DT-BT_chi_tiet'!$Y$3)</f>
        <v>0</v>
      </c>
      <c r="AA89" s="7">
        <f t="shared" si="29"/>
        <v>0</v>
      </c>
      <c r="AB89" s="7">
        <f>SUMIFS('Tong_hop_HQNV_2026Q1_2026-06-23'!$K:$K,'Tong_hop_HQNV_2026Q1_2026-06-23'!$A:$A,"="&amp;$AB$2,'Tong_hop_HQNV_2026Q1_2026-06-23'!$B:$B, "="&amp;'CHECK_DT-BT_chi_tiet'!A89)</f>
        <v>145781401</v>
      </c>
      <c r="AC89" s="7">
        <f>SUMIFS('HQ2'!$C:$C,'HQ2'!$A:$A, "="&amp;'CHECK_DT-BT_chi_tiet'!C89,'HQ2'!$B:$B, "="&amp;'CHECK_DT-BT_chi_tiet'!$AB$3)</f>
        <v>145781401</v>
      </c>
      <c r="AD89" s="7">
        <f t="shared" si="30"/>
        <v>0</v>
      </c>
      <c r="AE89" s="7">
        <f>SUMIFS('Tong_hop_HQNV_2026Q1_2026-06-23'!$K:$K,'Tong_hop_HQNV_2026Q1_2026-06-23'!$A:$A,"="&amp;$AE$2,'Tong_hop_HQNV_2026Q1_2026-06-23'!$B:$B, "="&amp;'CHECK_DT-BT_chi_tiet'!A89)</f>
        <v>0</v>
      </c>
      <c r="AF89" s="7">
        <f>SUMIFS('HQ2'!$C:$C,'HQ2'!$A:$A, "="&amp;'CHECK_DT-BT_chi_tiet'!C89,'HQ2'!$B:$B, "="&amp;'CHECK_DT-BT_chi_tiet'!$AE$3)</f>
        <v>0</v>
      </c>
      <c r="AG89" s="7">
        <f t="shared" si="31"/>
        <v>0</v>
      </c>
      <c r="AH89" s="7">
        <f>SUMIFS('Tong_hop_HQNV_2026Q1_2026-06-23'!$K:$K,'Tong_hop_HQNV_2026Q1_2026-06-23'!$A:$A,"="&amp;$AH$2,'Tong_hop_HQNV_2026Q1_2026-06-23'!$B:$B, "="&amp;'CHECK_DT-BT_chi_tiet'!A89)</f>
        <v>129432329</v>
      </c>
      <c r="AI89" s="7">
        <f>SUMIFS('HQ2'!$C:$C,'HQ2'!$A:$A, "="&amp;'CHECK_DT-BT_chi_tiet'!C89,'HQ2'!$B:$B, "="&amp;'CHECK_DT-BT_chi_tiet'!$AH$3)</f>
        <v>129432329</v>
      </c>
      <c r="AJ89" s="7">
        <f t="shared" si="32"/>
        <v>0</v>
      </c>
      <c r="AK89" s="7">
        <f>SUMIFS('Tong_hop_HQNV_2026Q1_2026-06-23'!$K:$K,'Tong_hop_HQNV_2026Q1_2026-06-23'!$A:$A,"="&amp;$AK$2,'Tong_hop_HQNV_2026Q1_2026-06-23'!$B:$B, "="&amp;'CHECK_DT-BT_chi_tiet'!A89)</f>
        <v>0</v>
      </c>
      <c r="AL89" s="7">
        <f>SUMIFS('Tong_hop_HQNV_2026Q1_2026-06-23'!$K:$K,'Tong_hop_HQNV_2026Q1_2026-06-23'!$A:$A,"="&amp;$AL$2,'Tong_hop_HQNV_2026Q1_2026-06-23'!$B:$B, "="&amp;'CHECK_DT-BT_chi_tiet'!A89)</f>
        <v>0</v>
      </c>
      <c r="AM89" s="23">
        <f>SUMIFS('Tong_hop_HQNV_2026Q1_2026-06-23'!$L:$L,'Tong_hop_HQNV_2026Q1_2026-06-23'!$B:$B, "="&amp;'CHECK_DT-BT_chi_tiet'!A89, 'Tong_hop_HQNV_2026Q1_2026-06-23'!$A:$A, "="&amp;'CHECK_DT-BT_chi_tiet'!$AM$2)</f>
        <v>156658400</v>
      </c>
      <c r="AN89" s="29">
        <f>SUMIFS('HQ1'!$D:$D,'HQ1'!$A:$A, "="&amp;'CHECK_DT-BT_chi_tiet'!C89,'HQ1'!$B:$B,"="&amp;'CHECK_DT-BT_chi_tiet'!$AM$3)</f>
        <v>156658400</v>
      </c>
      <c r="AO89" s="29">
        <f t="shared" si="33"/>
        <v>0</v>
      </c>
      <c r="AP89" s="7">
        <f>SUMIFS('Tong_hop_HQNV_2026Q1_2026-06-23'!$L:$L,'Tong_hop_HQNV_2026Q1_2026-06-23'!$B:$B, "="&amp;'CHECK_DT-BT_chi_tiet'!A89, 'Tong_hop_HQNV_2026Q1_2026-06-23'!$A:$A, "="&amp;'CHECK_DT-BT_chi_tiet'!$AP$2)</f>
        <v>15638844</v>
      </c>
      <c r="AQ89" s="29">
        <f>SUMIFS('HQ1'!$D:$D,'HQ1'!$A:$A, "="&amp;'CHECK_DT-BT_chi_tiet'!C89,'HQ1'!$B:$B,"="&amp;'CHECK_DT-BT_chi_tiet'!$AP$3)</f>
        <v>15638844</v>
      </c>
      <c r="AR89" s="7">
        <f t="shared" si="34"/>
        <v>0</v>
      </c>
      <c r="AS89" s="7">
        <f>SUMIFS('Tong_hop_HQNV_2026Q1_2026-06-23'!$L:$L,'Tong_hop_HQNV_2026Q1_2026-06-23'!$B:$B, "="&amp;'CHECK_DT-BT_chi_tiet'!A89, 'Tong_hop_HQNV_2026Q1_2026-06-23'!$A:$A, "="&amp;'CHECK_DT-BT_chi_tiet'!$AS$2)</f>
        <v>81351221</v>
      </c>
      <c r="AT89" s="29">
        <f>SUMIFS('HQ1'!$D:$D,'HQ1'!$A:$A, "="&amp;'CHECK_DT-BT_chi_tiet'!C89,'HQ1'!$B:$B,"="&amp;'CHECK_DT-BT_chi_tiet'!$AS$3)</f>
        <v>81351221</v>
      </c>
      <c r="AU89" s="7">
        <f t="shared" si="35"/>
        <v>0</v>
      </c>
      <c r="AV89" s="7">
        <f>SUMIFS('Tong_hop_HQNV_2026Q1_2026-06-23'!$L:$L,'Tong_hop_HQNV_2026Q1_2026-06-23'!$B:$B, "="&amp;'CHECK_DT-BT_chi_tiet'!A89, 'Tong_hop_HQNV_2026Q1_2026-06-23'!$A:$A, "="&amp;'CHECK_DT-BT_chi_tiet'!$AV$2)</f>
        <v>77872754857</v>
      </c>
      <c r="AW89" s="29">
        <f>SUMIFS('HQ1'!$D:$D,'HQ1'!$A:$A, "="&amp;'CHECK_DT-BT_chi_tiet'!C89,'HQ1'!$B:$B,"="&amp;'CHECK_DT-BT_chi_tiet'!$AV$3)</f>
        <v>77872754857</v>
      </c>
      <c r="AX89" s="7">
        <f t="shared" si="36"/>
        <v>0</v>
      </c>
      <c r="AY89" s="7">
        <f>SUMIFS('Tong_hop_HQNV_2026Q1_2026-06-23'!$L:$L,'Tong_hop_HQNV_2026Q1_2026-06-23'!$B:$B, "="&amp;'CHECK_DT-BT_chi_tiet'!A89, 'Tong_hop_HQNV_2026Q1_2026-06-23'!$A:$A, "="&amp;$AY$2)</f>
        <v>0</v>
      </c>
      <c r="AZ89" s="29">
        <f>SUMIFS('HQ2'!$J:$J,'HQ2'!$A:$A, "="&amp;'CHECK_DT-BT_chi_tiet'!C89,'HQ2'!$B:$B,"="&amp;'CHECK_DT-BT_chi_tiet'!$AY$3)</f>
        <v>0</v>
      </c>
      <c r="BA89" s="7">
        <f t="shared" si="37"/>
        <v>0</v>
      </c>
      <c r="BB89" s="7">
        <f>SUMIFS('Tong_hop_HQNV_2026Q1_2026-06-23'!$L:$L,'Tong_hop_HQNV_2026Q1_2026-06-23'!$B:$B, "="&amp;'CHECK_DT-BT_chi_tiet'!A89, 'Tong_hop_HQNV_2026Q1_2026-06-23'!$A:$A, "="&amp;$BB$2)</f>
        <v>0</v>
      </c>
      <c r="BC89" s="29">
        <f>SUMIFS('HQ2'!$J:$J,'HQ2'!$A:$A, "="&amp;'CHECK_DT-BT_chi_tiet'!C89,'HQ2'!$B:$B,"="&amp;'CHECK_DT-BT_chi_tiet'!$BB$3)</f>
        <v>0</v>
      </c>
      <c r="BD89" s="7">
        <f t="shared" si="38"/>
        <v>0</v>
      </c>
      <c r="BE89" s="7">
        <f>SUMIFS('Tong_hop_HQNV_2026Q1_2026-06-23'!$L:$L,'Tong_hop_HQNV_2026Q1_2026-06-23'!$B:$B, "="&amp;'CHECK_DT-BT_chi_tiet'!A89, 'Tong_hop_HQNV_2026Q1_2026-06-23'!$A:$A, "="&amp;$BE$2)</f>
        <v>0</v>
      </c>
      <c r="BF89" s="29">
        <f>SUMIFS('HQ2'!$J:$J,'HQ2'!$A:$A, "="&amp;'CHECK_DT-BT_chi_tiet'!C89,'HQ2'!$B:$B,"="&amp;'CHECK_DT-BT_chi_tiet'!$BE$3)</f>
        <v>0</v>
      </c>
      <c r="BG89" s="7">
        <f t="shared" si="39"/>
        <v>0</v>
      </c>
      <c r="BH89" s="7">
        <f>SUMIFS('Tong_hop_HQNV_2026Q1_2026-06-23'!$L:$L,'Tong_hop_HQNV_2026Q1_2026-06-23'!$B:$B, "="&amp;'CHECK_DT-BT_chi_tiet'!A89, 'Tong_hop_HQNV_2026Q1_2026-06-23'!$A:$A, "="&amp;$BH$2)</f>
        <v>0</v>
      </c>
      <c r="BI89" s="29">
        <f>SUMIFS('HQ2'!$J:$J,'HQ2'!$A:$A, "="&amp;'CHECK_DT-BT_chi_tiet'!C89,'HQ2'!$B:$B,"="&amp;'CHECK_DT-BT_chi_tiet'!$BH$3)</f>
        <v>0</v>
      </c>
      <c r="BJ89" s="7">
        <f t="shared" si="40"/>
        <v>0</v>
      </c>
      <c r="BK89" s="7">
        <f>SUMIFS('Tong_hop_HQNV_2026Q1_2026-06-23'!$L:$L,'Tong_hop_HQNV_2026Q1_2026-06-23'!$B:$B, "="&amp;'CHECK_DT-BT_chi_tiet'!A89, 'Tong_hop_HQNV_2026Q1_2026-06-23'!$A:$A, "="&amp;$BK$2)</f>
        <v>0</v>
      </c>
      <c r="BL89" s="29">
        <f>SUMIFS('HQ2'!$J:$J,'HQ2'!$A:$A, "="&amp;'CHECK_DT-BT_chi_tiet'!C89,'HQ2'!$B:$B,"="&amp;'CHECK_DT-BT_chi_tiet'!$BK$3)</f>
        <v>0</v>
      </c>
      <c r="BM89" s="7">
        <f t="shared" si="41"/>
        <v>0</v>
      </c>
      <c r="BN89" s="7">
        <f>SUMIFS('Tong_hop_HQNV_2026Q1_2026-06-23'!$L:$L,'Tong_hop_HQNV_2026Q1_2026-06-23'!$B:$B, "="&amp;'CHECK_DT-BT_chi_tiet'!A89, 'Tong_hop_HQNV_2026Q1_2026-06-23'!$A:$A, "="&amp;$BN$2)</f>
        <v>0</v>
      </c>
      <c r="BO89" s="29">
        <f>SUMIFS('HQ2'!$J:$J,'HQ2'!$A:$A, "="&amp;'CHECK_DT-BT_chi_tiet'!C89,'HQ2'!$B:$B,"="&amp;'CHECK_DT-BT_chi_tiet'!$BN$3)</f>
        <v>0</v>
      </c>
      <c r="BP89" s="7">
        <f t="shared" si="42"/>
        <v>0</v>
      </c>
      <c r="BQ89" s="7">
        <f>SUMIFS('Tong_hop_HQNV_2026Q1_2026-06-23'!$L:$L,'Tong_hop_HQNV_2026Q1_2026-06-23'!$B:$B, "="&amp;'CHECK_DT-BT_chi_tiet'!A89, 'Tong_hop_HQNV_2026Q1_2026-06-23'!$A:$A, "="&amp;$BQ$2)</f>
        <v>0</v>
      </c>
      <c r="BR89" s="29">
        <f>SUMIFS('HQ2'!$J:$J,'HQ2'!$A:$A, "="&amp;'CHECK_DT-BT_chi_tiet'!C89,'HQ2'!$B:$B,"="&amp;'CHECK_DT-BT_chi_tiet'!$BQ$3)</f>
        <v>0</v>
      </c>
      <c r="BS89" s="7">
        <f t="shared" si="43"/>
        <v>0</v>
      </c>
      <c r="BT89" s="7">
        <f>SUMIFS('Tong_hop_HQNV_2026Q1_2026-06-23'!$L:$L,'Tong_hop_HQNV_2026Q1_2026-06-23'!$B:$B, "="&amp;'CHECK_DT-BT_chi_tiet'!A89, 'Tong_hop_HQNV_2026Q1_2026-06-23'!$A:$A, "="&amp;$BT$2)</f>
        <v>0</v>
      </c>
      <c r="BU89" s="7">
        <f>SUMIFS('Tong_hop_HQNV_2026Q1_2026-06-23'!$L:$L,'Tong_hop_HQNV_2026Q1_2026-06-23'!$B:$B, "="&amp;'CHECK_DT-BT_chi_tiet'!A89, 'Tong_hop_HQNV_2026Q1_2026-06-23'!$A:$A, "="&amp;$BU$2)</f>
        <v>0</v>
      </c>
    </row>
    <row r="90" spans="1:73" x14ac:dyDescent="0.25">
      <c r="A90" s="9" t="s">
        <v>228</v>
      </c>
      <c r="B90" s="93" t="s">
        <v>50</v>
      </c>
      <c r="C90" s="93" t="s">
        <v>50</v>
      </c>
      <c r="D90" s="7">
        <f>SUMIFS('Tong_hop_HQNV_2026Q1_2026-06-23'!$K:$K,'Tong_hop_HQNV_2026Q1_2026-06-23'!$A:$A,"="&amp;'CHECK_DT-BT_chi_tiet'!$D$2,'Tong_hop_HQNV_2026Q1_2026-06-23'!$B:$B, "="&amp;'CHECK_DT-BT_chi_tiet'!A90)</f>
        <v>420366344</v>
      </c>
      <c r="E90" s="7">
        <f>SUMIFS('HQ1'!$C:$C,'HQ1'!$A:$A, "="&amp;'CHECK_DT-BT_chi_tiet'!C90,'HQ1'!$B:$B, "="&amp;'CHECK_DT-BT_chi_tiet'!$D$3)</f>
        <v>420366344</v>
      </c>
      <c r="F90" s="7">
        <f t="shared" si="22"/>
        <v>0</v>
      </c>
      <c r="G90" s="7">
        <f>SUMIFS('Tong_hop_HQNV_2026Q1_2026-06-23'!$K:$K,'Tong_hop_HQNV_2026Q1_2026-06-23'!$A:$A,"="&amp;'CHECK_DT-BT_chi_tiet'!$G$2,'Tong_hop_HQNV_2026Q1_2026-06-23'!$B:$B, "="&amp;'CHECK_DT-BT_chi_tiet'!A90)</f>
        <v>11981200</v>
      </c>
      <c r="H90" s="7">
        <f>SUMIFS('HQ1'!$C:$C,'HQ1'!$A:$A, "="&amp;'CHECK_DT-BT_chi_tiet'!C90,'HQ1'!$B:$B, "="&amp;'CHECK_DT-BT_chi_tiet'!$G$3)</f>
        <v>9692000</v>
      </c>
      <c r="I90" s="7">
        <f t="shared" si="23"/>
        <v>2289200</v>
      </c>
      <c r="J90" s="7">
        <f>SUMIFS('Tong_hop_HQNV_2026Q1_2026-06-23'!$K:$K,'Tong_hop_HQNV_2026Q1_2026-06-23'!$A:$A,"="&amp;'CHECK_DT-BT_chi_tiet'!$J$2,'Tong_hop_HQNV_2026Q1_2026-06-23'!$B:$B, "="&amp;'CHECK_DT-BT_chi_tiet'!A90)</f>
        <v>21334450</v>
      </c>
      <c r="K90" s="7">
        <f>SUMIFS('HQ1'!$C:$C,'HQ1'!$A:$A, "="&amp;'CHECK_DT-BT_chi_tiet'!C90,'HQ1'!$B:$B, "="&amp;'CHECK_DT-BT_chi_tiet'!$J$3)</f>
        <v>21334450</v>
      </c>
      <c r="L90" s="7">
        <f t="shared" si="24"/>
        <v>0</v>
      </c>
      <c r="M90" s="7">
        <f>SUMIFS('Tong_hop_HQNV_2026Q1_2026-06-23'!$K:$K,'Tong_hop_HQNV_2026Q1_2026-06-23'!$A:$A,"="&amp;'CHECK_DT-BT_chi_tiet'!$M$2,'Tong_hop_HQNV_2026Q1_2026-06-23'!$B:$B, "="&amp;'CHECK_DT-BT_chi_tiet'!A90)</f>
        <v>43291300</v>
      </c>
      <c r="N90" s="7">
        <f>SUMIFS('HQ1'!$C:$C,'HQ1'!$A:$A, "="&amp;'CHECK_DT-BT_chi_tiet'!C90,'HQ1'!$B:$B, "="&amp;'CHECK_DT-BT_chi_tiet'!$M$3)</f>
        <v>43291300</v>
      </c>
      <c r="O90" s="7">
        <f t="shared" si="25"/>
        <v>0</v>
      </c>
      <c r="P90" s="7">
        <f>SUMIFS('Tong_hop_HQNV_2026Q1_2026-06-23'!$K:$K,'Tong_hop_HQNV_2026Q1_2026-06-23'!$A:$A,"="&amp;$P$2,'Tong_hop_HQNV_2026Q1_2026-06-23'!$B:$B, "="&amp;'CHECK_DT-BT_chi_tiet'!A90)</f>
        <v>2427394331</v>
      </c>
      <c r="Q90" s="7">
        <f>SUMIFS('HQ2'!$C:$C,'HQ2'!$A:$A, "="&amp;'CHECK_DT-BT_chi_tiet'!C90,'HQ2'!$B:$B, "="&amp;'CHECK_DT-BT_chi_tiet'!$P$3)</f>
        <v>2160593437</v>
      </c>
      <c r="R90" s="7">
        <f t="shared" si="26"/>
        <v>266800894</v>
      </c>
      <c r="S90" s="7">
        <f>SUMIFS('Tong_hop_HQNV_2026Q1_2026-06-23'!$K:$K,'Tong_hop_HQNV_2026Q1_2026-06-23'!$A:$A,"="&amp;$S$2,'Tong_hop_HQNV_2026Q1_2026-06-23'!$B:$B, "="&amp;'CHECK_DT-BT_chi_tiet'!A90)</f>
        <v>30524312617</v>
      </c>
      <c r="T90" s="7">
        <f>SUMIFS('HQ2'!$C:$C,'HQ2'!$A:$A, "="&amp;'CHECK_DT-BT_chi_tiet'!C90,'HQ2'!$B:$B, "="&amp;'CHECK_DT-BT_chi_tiet'!$S$3)</f>
        <v>22138127185</v>
      </c>
      <c r="U90" s="7">
        <f t="shared" si="27"/>
        <v>8386185432</v>
      </c>
      <c r="V90" s="7">
        <f>SUMIFS('Tong_hop_HQNV_2026Q1_2026-06-23'!$K:$K,'Tong_hop_HQNV_2026Q1_2026-06-23'!$A:$A,"="&amp;$V$2,'Tong_hop_HQNV_2026Q1_2026-06-23'!$B:$B, "="&amp;'CHECK_DT-BT_chi_tiet'!A90)</f>
        <v>15427757185</v>
      </c>
      <c r="W90" s="7">
        <f>SUMIFS('HQ2'!$C:$C,'HQ2'!$A:$A, "="&amp;'CHECK_DT-BT_chi_tiet'!C90,'HQ2'!$B:$B, "="&amp;'CHECK_DT-BT_chi_tiet'!$V$3)</f>
        <v>14114425548</v>
      </c>
      <c r="X90" s="7">
        <f t="shared" si="28"/>
        <v>1313331637</v>
      </c>
      <c r="Y90" s="7">
        <f>SUMIFS('Tong_hop_HQNV_2026Q1_2026-06-23'!$K:$K,'Tong_hop_HQNV_2026Q1_2026-06-23'!$A:$A,"="&amp;$Y$2,'Tong_hop_HQNV_2026Q1_2026-06-23'!$B:$B, "="&amp;'CHECK_DT-BT_chi_tiet'!A90)</f>
        <v>1622389151</v>
      </c>
      <c r="Z90" s="7">
        <f>SUMIFS('HQ2'!$C:$C,'HQ2'!$A:$A, "="&amp;'CHECK_DT-BT_chi_tiet'!C90,'HQ2'!$B:$B, "="&amp;'CHECK_DT-BT_chi_tiet'!$Y$3)</f>
        <v>1539776151</v>
      </c>
      <c r="AA90" s="7">
        <f t="shared" si="29"/>
        <v>82613000</v>
      </c>
      <c r="AB90" s="7">
        <f>SUMIFS('Tong_hop_HQNV_2026Q1_2026-06-23'!$K:$K,'Tong_hop_HQNV_2026Q1_2026-06-23'!$A:$A,"="&amp;$AB$2,'Tong_hop_HQNV_2026Q1_2026-06-23'!$B:$B, "="&amp;'CHECK_DT-BT_chi_tiet'!A90)</f>
        <v>51869379</v>
      </c>
      <c r="AC90" s="7">
        <f>SUMIFS('HQ2'!$C:$C,'HQ2'!$A:$A, "="&amp;'CHECK_DT-BT_chi_tiet'!C90,'HQ2'!$B:$B, "="&amp;'CHECK_DT-BT_chi_tiet'!$AB$3)</f>
        <v>51869379</v>
      </c>
      <c r="AD90" s="7">
        <f t="shared" si="30"/>
        <v>0</v>
      </c>
      <c r="AE90" s="7">
        <f>SUMIFS('Tong_hop_HQNV_2026Q1_2026-06-23'!$K:$K,'Tong_hop_HQNV_2026Q1_2026-06-23'!$A:$A,"="&amp;$AE$2,'Tong_hop_HQNV_2026Q1_2026-06-23'!$B:$B, "="&amp;'CHECK_DT-BT_chi_tiet'!A90)</f>
        <v>42302455</v>
      </c>
      <c r="AF90" s="7">
        <f>SUMIFS('HQ2'!$C:$C,'HQ2'!$A:$A, "="&amp;'CHECK_DT-BT_chi_tiet'!C90,'HQ2'!$B:$B, "="&amp;'CHECK_DT-BT_chi_tiet'!$AE$3)</f>
        <v>42302455</v>
      </c>
      <c r="AG90" s="7">
        <f t="shared" si="31"/>
        <v>0</v>
      </c>
      <c r="AH90" s="7">
        <f>SUMIFS('Tong_hop_HQNV_2026Q1_2026-06-23'!$K:$K,'Tong_hop_HQNV_2026Q1_2026-06-23'!$A:$A,"="&amp;$AH$2,'Tong_hop_HQNV_2026Q1_2026-06-23'!$B:$B, "="&amp;'CHECK_DT-BT_chi_tiet'!A90)</f>
        <v>485800489</v>
      </c>
      <c r="AI90" s="7">
        <f>SUMIFS('HQ2'!$C:$C,'HQ2'!$A:$A, "="&amp;'CHECK_DT-BT_chi_tiet'!C90,'HQ2'!$B:$B, "="&amp;'CHECK_DT-BT_chi_tiet'!$AH$3)</f>
        <v>485800489</v>
      </c>
      <c r="AJ90" s="7">
        <f t="shared" si="32"/>
        <v>0</v>
      </c>
      <c r="AK90" s="7">
        <f>SUMIFS('Tong_hop_HQNV_2026Q1_2026-06-23'!$K:$K,'Tong_hop_HQNV_2026Q1_2026-06-23'!$A:$A,"="&amp;$AK$2,'Tong_hop_HQNV_2026Q1_2026-06-23'!$B:$B, "="&amp;'CHECK_DT-BT_chi_tiet'!A90)</f>
        <v>0</v>
      </c>
      <c r="AL90" s="7">
        <f>SUMIFS('Tong_hop_HQNV_2026Q1_2026-06-23'!$K:$K,'Tong_hop_HQNV_2026Q1_2026-06-23'!$A:$A,"="&amp;$AL$2,'Tong_hop_HQNV_2026Q1_2026-06-23'!$B:$B, "="&amp;'CHECK_DT-BT_chi_tiet'!A90)</f>
        <v>0</v>
      </c>
      <c r="AM90" s="23">
        <f>SUMIFS('Tong_hop_HQNV_2026Q1_2026-06-23'!$L:$L,'Tong_hop_HQNV_2026Q1_2026-06-23'!$B:$B, "="&amp;'CHECK_DT-BT_chi_tiet'!A90, 'Tong_hop_HQNV_2026Q1_2026-06-23'!$A:$A, "="&amp;'CHECK_DT-BT_chi_tiet'!$AM$2)</f>
        <v>0</v>
      </c>
      <c r="AN90" s="29">
        <f>SUMIFS('HQ1'!$D:$D,'HQ1'!$A:$A, "="&amp;'CHECK_DT-BT_chi_tiet'!C90,'HQ1'!$B:$B,"="&amp;'CHECK_DT-BT_chi_tiet'!$AM$3)</f>
        <v>0</v>
      </c>
      <c r="AO90" s="29">
        <f t="shared" si="33"/>
        <v>0</v>
      </c>
      <c r="AP90" s="7">
        <f>SUMIFS('Tong_hop_HQNV_2026Q1_2026-06-23'!$L:$L,'Tong_hop_HQNV_2026Q1_2026-06-23'!$B:$B, "="&amp;'CHECK_DT-BT_chi_tiet'!A90, 'Tong_hop_HQNV_2026Q1_2026-06-23'!$A:$A, "="&amp;'CHECK_DT-BT_chi_tiet'!$AP$2)</f>
        <v>0</v>
      </c>
      <c r="AQ90" s="29">
        <f>SUMIFS('HQ1'!$D:$D,'HQ1'!$A:$A, "="&amp;'CHECK_DT-BT_chi_tiet'!C90,'HQ1'!$B:$B,"="&amp;'CHECK_DT-BT_chi_tiet'!$AP$3)</f>
        <v>0</v>
      </c>
      <c r="AR90" s="7">
        <f t="shared" si="34"/>
        <v>0</v>
      </c>
      <c r="AS90" s="7">
        <f>SUMIFS('Tong_hop_HQNV_2026Q1_2026-06-23'!$L:$L,'Tong_hop_HQNV_2026Q1_2026-06-23'!$B:$B, "="&amp;'CHECK_DT-BT_chi_tiet'!A90, 'Tong_hop_HQNV_2026Q1_2026-06-23'!$A:$A, "="&amp;'CHECK_DT-BT_chi_tiet'!$AS$2)</f>
        <v>0</v>
      </c>
      <c r="AT90" s="29">
        <f>SUMIFS('HQ1'!$D:$D,'HQ1'!$A:$A, "="&amp;'CHECK_DT-BT_chi_tiet'!C90,'HQ1'!$B:$B,"="&amp;'CHECK_DT-BT_chi_tiet'!$AS$3)</f>
        <v>0</v>
      </c>
      <c r="AU90" s="7">
        <f t="shared" si="35"/>
        <v>0</v>
      </c>
      <c r="AV90" s="7">
        <f>SUMIFS('Tong_hop_HQNV_2026Q1_2026-06-23'!$L:$L,'Tong_hop_HQNV_2026Q1_2026-06-23'!$B:$B, "="&amp;'CHECK_DT-BT_chi_tiet'!A90, 'Tong_hop_HQNV_2026Q1_2026-06-23'!$A:$A, "="&amp;'CHECK_DT-BT_chi_tiet'!$AV$2)</f>
        <v>95915134</v>
      </c>
      <c r="AW90" s="29">
        <f>SUMIFS('HQ1'!$D:$D,'HQ1'!$A:$A, "="&amp;'CHECK_DT-BT_chi_tiet'!C90,'HQ1'!$B:$B,"="&amp;'CHECK_DT-BT_chi_tiet'!$AV$3)</f>
        <v>95915134</v>
      </c>
      <c r="AX90" s="7">
        <f t="shared" si="36"/>
        <v>0</v>
      </c>
      <c r="AY90" s="7">
        <f>SUMIFS('Tong_hop_HQNV_2026Q1_2026-06-23'!$L:$L,'Tong_hop_HQNV_2026Q1_2026-06-23'!$B:$B, "="&amp;'CHECK_DT-BT_chi_tiet'!A90, 'Tong_hop_HQNV_2026Q1_2026-06-23'!$A:$A, "="&amp;$AY$2)</f>
        <v>0</v>
      </c>
      <c r="AZ90" s="29">
        <f>SUMIFS('HQ2'!$J:$J,'HQ2'!$A:$A, "="&amp;'CHECK_DT-BT_chi_tiet'!C90,'HQ2'!$B:$B,"="&amp;'CHECK_DT-BT_chi_tiet'!$AY$3)</f>
        <v>0</v>
      </c>
      <c r="BA90" s="7">
        <f t="shared" si="37"/>
        <v>0</v>
      </c>
      <c r="BB90" s="7">
        <f>SUMIFS('Tong_hop_HQNV_2026Q1_2026-06-23'!$L:$L,'Tong_hop_HQNV_2026Q1_2026-06-23'!$B:$B, "="&amp;'CHECK_DT-BT_chi_tiet'!A90, 'Tong_hop_HQNV_2026Q1_2026-06-23'!$A:$A, "="&amp;$BB$2)</f>
        <v>5165112876</v>
      </c>
      <c r="BC90" s="29">
        <f>SUMIFS('HQ2'!$J:$J,'HQ2'!$A:$A, "="&amp;'CHECK_DT-BT_chi_tiet'!C90,'HQ2'!$B:$B,"="&amp;'CHECK_DT-BT_chi_tiet'!$BB$3)</f>
        <v>5165112876</v>
      </c>
      <c r="BD90" s="7">
        <f t="shared" si="38"/>
        <v>0</v>
      </c>
      <c r="BE90" s="7">
        <f>SUMIFS('Tong_hop_HQNV_2026Q1_2026-06-23'!$L:$L,'Tong_hop_HQNV_2026Q1_2026-06-23'!$B:$B, "="&amp;'CHECK_DT-BT_chi_tiet'!A90, 'Tong_hop_HQNV_2026Q1_2026-06-23'!$A:$A, "="&amp;$BE$2)</f>
        <v>2908190971</v>
      </c>
      <c r="BF90" s="29">
        <f>SUMIFS('HQ2'!$J:$J,'HQ2'!$A:$A, "="&amp;'CHECK_DT-BT_chi_tiet'!C90,'HQ2'!$B:$B,"="&amp;'CHECK_DT-BT_chi_tiet'!$BE$3)</f>
        <v>2908190971</v>
      </c>
      <c r="BG90" s="7">
        <f t="shared" si="39"/>
        <v>0</v>
      </c>
      <c r="BH90" s="7">
        <f>SUMIFS('Tong_hop_HQNV_2026Q1_2026-06-23'!$L:$L,'Tong_hop_HQNV_2026Q1_2026-06-23'!$B:$B, "="&amp;'CHECK_DT-BT_chi_tiet'!A90, 'Tong_hop_HQNV_2026Q1_2026-06-23'!$A:$A, "="&amp;$BH$2)</f>
        <v>0</v>
      </c>
      <c r="BI90" s="29">
        <f>SUMIFS('HQ2'!$J:$J,'HQ2'!$A:$A, "="&amp;'CHECK_DT-BT_chi_tiet'!C90,'HQ2'!$B:$B,"="&amp;'CHECK_DT-BT_chi_tiet'!$BH$3)</f>
        <v>0</v>
      </c>
      <c r="BJ90" s="7">
        <f t="shared" si="40"/>
        <v>0</v>
      </c>
      <c r="BK90" s="7">
        <f>SUMIFS('Tong_hop_HQNV_2026Q1_2026-06-23'!$L:$L,'Tong_hop_HQNV_2026Q1_2026-06-23'!$B:$B, "="&amp;'CHECK_DT-BT_chi_tiet'!A90, 'Tong_hop_HQNV_2026Q1_2026-06-23'!$A:$A, "="&amp;$BK$2)</f>
        <v>0</v>
      </c>
      <c r="BL90" s="29">
        <f>SUMIFS('HQ2'!$J:$J,'HQ2'!$A:$A, "="&amp;'CHECK_DT-BT_chi_tiet'!C90,'HQ2'!$B:$B,"="&amp;'CHECK_DT-BT_chi_tiet'!$BK$3)</f>
        <v>0</v>
      </c>
      <c r="BM90" s="7">
        <f t="shared" si="41"/>
        <v>0</v>
      </c>
      <c r="BN90" s="7">
        <f>SUMIFS('Tong_hop_HQNV_2026Q1_2026-06-23'!$L:$L,'Tong_hop_HQNV_2026Q1_2026-06-23'!$B:$B, "="&amp;'CHECK_DT-BT_chi_tiet'!A90, 'Tong_hop_HQNV_2026Q1_2026-06-23'!$A:$A, "="&amp;$BN$2)</f>
        <v>404268084</v>
      </c>
      <c r="BO90" s="29">
        <f>SUMIFS('HQ2'!$J:$J,'HQ2'!$A:$A, "="&amp;'CHECK_DT-BT_chi_tiet'!C90,'HQ2'!$B:$B,"="&amp;'CHECK_DT-BT_chi_tiet'!$BN$3)</f>
        <v>404268084</v>
      </c>
      <c r="BP90" s="7">
        <f t="shared" si="42"/>
        <v>0</v>
      </c>
      <c r="BQ90" s="7">
        <f>SUMIFS('Tong_hop_HQNV_2026Q1_2026-06-23'!$L:$L,'Tong_hop_HQNV_2026Q1_2026-06-23'!$B:$B, "="&amp;'CHECK_DT-BT_chi_tiet'!A90, 'Tong_hop_HQNV_2026Q1_2026-06-23'!$A:$A, "="&amp;$BQ$2)</f>
        <v>0</v>
      </c>
      <c r="BR90" s="29">
        <f>SUMIFS('HQ2'!$J:$J,'HQ2'!$A:$A, "="&amp;'CHECK_DT-BT_chi_tiet'!C90,'HQ2'!$B:$B,"="&amp;'CHECK_DT-BT_chi_tiet'!$BQ$3)</f>
        <v>0</v>
      </c>
      <c r="BS90" s="7">
        <f t="shared" si="43"/>
        <v>0</v>
      </c>
      <c r="BT90" s="7">
        <f>SUMIFS('Tong_hop_HQNV_2026Q1_2026-06-23'!$L:$L,'Tong_hop_HQNV_2026Q1_2026-06-23'!$B:$B, "="&amp;'CHECK_DT-BT_chi_tiet'!A90, 'Tong_hop_HQNV_2026Q1_2026-06-23'!$A:$A, "="&amp;$BT$2)</f>
        <v>0</v>
      </c>
      <c r="BU90" s="7">
        <f>SUMIFS('Tong_hop_HQNV_2026Q1_2026-06-23'!$L:$L,'Tong_hop_HQNV_2026Q1_2026-06-23'!$B:$B, "="&amp;'CHECK_DT-BT_chi_tiet'!A90, 'Tong_hop_HQNV_2026Q1_2026-06-23'!$A:$A, "="&amp;$BU$2)</f>
        <v>0</v>
      </c>
    </row>
    <row r="91" spans="1:73" x14ac:dyDescent="0.25">
      <c r="A91" s="9" t="s">
        <v>231</v>
      </c>
      <c r="B91" s="93" t="s">
        <v>56</v>
      </c>
      <c r="C91" s="93" t="s">
        <v>56</v>
      </c>
      <c r="D91" s="7">
        <f>SUMIFS('Tong_hop_HQNV_2026Q1_2026-06-23'!$K:$K,'Tong_hop_HQNV_2026Q1_2026-06-23'!$A:$A,"="&amp;'CHECK_DT-BT_chi_tiet'!$D$2,'Tong_hop_HQNV_2026Q1_2026-06-23'!$B:$B, "="&amp;'CHECK_DT-BT_chi_tiet'!A91)</f>
        <v>0</v>
      </c>
      <c r="E91" s="7">
        <f>SUMIFS('HQ1'!$C:$C,'HQ1'!$A:$A, "="&amp;'CHECK_DT-BT_chi_tiet'!C91,'HQ1'!$B:$B, "="&amp;'CHECK_DT-BT_chi_tiet'!$D$3)</f>
        <v>0</v>
      </c>
      <c r="F91" s="7">
        <f t="shared" si="22"/>
        <v>0</v>
      </c>
      <c r="G91" s="7">
        <f>SUMIFS('Tong_hop_HQNV_2026Q1_2026-06-23'!$K:$K,'Tong_hop_HQNV_2026Q1_2026-06-23'!$A:$A,"="&amp;'CHECK_DT-BT_chi_tiet'!$G$2,'Tong_hop_HQNV_2026Q1_2026-06-23'!$B:$B, "="&amp;'CHECK_DT-BT_chi_tiet'!A91)</f>
        <v>0</v>
      </c>
      <c r="H91" s="7">
        <f>SUMIFS('HQ1'!$C:$C,'HQ1'!$A:$A, "="&amp;'CHECK_DT-BT_chi_tiet'!C91,'HQ1'!$B:$B, "="&amp;'CHECK_DT-BT_chi_tiet'!$G$3)</f>
        <v>0</v>
      </c>
      <c r="I91" s="7">
        <f t="shared" si="23"/>
        <v>0</v>
      </c>
      <c r="J91" s="7">
        <f>SUMIFS('Tong_hop_HQNV_2026Q1_2026-06-23'!$K:$K,'Tong_hop_HQNV_2026Q1_2026-06-23'!$A:$A,"="&amp;'CHECK_DT-BT_chi_tiet'!$J$2,'Tong_hop_HQNV_2026Q1_2026-06-23'!$B:$B, "="&amp;'CHECK_DT-BT_chi_tiet'!A91)</f>
        <v>22350000</v>
      </c>
      <c r="K91" s="7">
        <f>SUMIFS('HQ1'!$C:$C,'HQ1'!$A:$A, "="&amp;'CHECK_DT-BT_chi_tiet'!C91,'HQ1'!$B:$B, "="&amp;'CHECK_DT-BT_chi_tiet'!$J$3)</f>
        <v>22350000</v>
      </c>
      <c r="L91" s="7">
        <f t="shared" si="24"/>
        <v>0</v>
      </c>
      <c r="M91" s="7">
        <f>SUMIFS('Tong_hop_HQNV_2026Q1_2026-06-23'!$K:$K,'Tong_hop_HQNV_2026Q1_2026-06-23'!$A:$A,"="&amp;'CHECK_DT-BT_chi_tiet'!$M$2,'Tong_hop_HQNV_2026Q1_2026-06-23'!$B:$B, "="&amp;'CHECK_DT-BT_chi_tiet'!A91)</f>
        <v>0</v>
      </c>
      <c r="N91" s="7">
        <f>SUMIFS('HQ1'!$C:$C,'HQ1'!$A:$A, "="&amp;'CHECK_DT-BT_chi_tiet'!C91,'HQ1'!$B:$B, "="&amp;'CHECK_DT-BT_chi_tiet'!$M$3)</f>
        <v>0</v>
      </c>
      <c r="O91" s="7">
        <f t="shared" si="25"/>
        <v>0</v>
      </c>
      <c r="P91" s="7">
        <f>SUMIFS('Tong_hop_HQNV_2026Q1_2026-06-23'!$K:$K,'Tong_hop_HQNV_2026Q1_2026-06-23'!$A:$A,"="&amp;$P$2,'Tong_hop_HQNV_2026Q1_2026-06-23'!$B:$B, "="&amp;'CHECK_DT-BT_chi_tiet'!A91)</f>
        <v>1111878112</v>
      </c>
      <c r="Q91" s="7">
        <f>SUMIFS('HQ2'!$C:$C,'HQ2'!$A:$A, "="&amp;'CHECK_DT-BT_chi_tiet'!C91,'HQ2'!$B:$B, "="&amp;'CHECK_DT-BT_chi_tiet'!$P$3)</f>
        <v>1111878112</v>
      </c>
      <c r="R91" s="7">
        <f t="shared" si="26"/>
        <v>0</v>
      </c>
      <c r="S91" s="7">
        <f>SUMIFS('Tong_hop_HQNV_2026Q1_2026-06-23'!$K:$K,'Tong_hop_HQNV_2026Q1_2026-06-23'!$A:$A,"="&amp;$S$2,'Tong_hop_HQNV_2026Q1_2026-06-23'!$B:$B, "="&amp;'CHECK_DT-BT_chi_tiet'!A91)</f>
        <v>0</v>
      </c>
      <c r="T91" s="7">
        <f>SUMIFS('HQ2'!$C:$C,'HQ2'!$A:$A, "="&amp;'CHECK_DT-BT_chi_tiet'!C91,'HQ2'!$B:$B, "="&amp;'CHECK_DT-BT_chi_tiet'!$S$3)</f>
        <v>0</v>
      </c>
      <c r="U91" s="7">
        <f t="shared" si="27"/>
        <v>0</v>
      </c>
      <c r="V91" s="7">
        <f>SUMIFS('Tong_hop_HQNV_2026Q1_2026-06-23'!$K:$K,'Tong_hop_HQNV_2026Q1_2026-06-23'!$A:$A,"="&amp;$V$2,'Tong_hop_HQNV_2026Q1_2026-06-23'!$B:$B, "="&amp;'CHECK_DT-BT_chi_tiet'!A91)</f>
        <v>0</v>
      </c>
      <c r="W91" s="7">
        <f>SUMIFS('HQ2'!$C:$C,'HQ2'!$A:$A, "="&amp;'CHECK_DT-BT_chi_tiet'!C91,'HQ2'!$B:$B, "="&amp;'CHECK_DT-BT_chi_tiet'!$V$3)</f>
        <v>0</v>
      </c>
      <c r="X91" s="7">
        <f t="shared" si="28"/>
        <v>0</v>
      </c>
      <c r="Y91" s="7">
        <f>SUMIFS('Tong_hop_HQNV_2026Q1_2026-06-23'!$K:$K,'Tong_hop_HQNV_2026Q1_2026-06-23'!$A:$A,"="&amp;$Y$2,'Tong_hop_HQNV_2026Q1_2026-06-23'!$B:$B, "="&amp;'CHECK_DT-BT_chi_tiet'!A91)</f>
        <v>0</v>
      </c>
      <c r="Z91" s="7">
        <f>SUMIFS('HQ2'!$C:$C,'HQ2'!$A:$A, "="&amp;'CHECK_DT-BT_chi_tiet'!C91,'HQ2'!$B:$B, "="&amp;'CHECK_DT-BT_chi_tiet'!$Y$3)</f>
        <v>0</v>
      </c>
      <c r="AA91" s="7">
        <f t="shared" si="29"/>
        <v>0</v>
      </c>
      <c r="AB91" s="7">
        <f>SUMIFS('Tong_hop_HQNV_2026Q1_2026-06-23'!$K:$K,'Tong_hop_HQNV_2026Q1_2026-06-23'!$A:$A,"="&amp;$AB$2,'Tong_hop_HQNV_2026Q1_2026-06-23'!$B:$B, "="&amp;'CHECK_DT-BT_chi_tiet'!A91)</f>
        <v>12691412720</v>
      </c>
      <c r="AC91" s="7">
        <f>SUMIFS('HQ2'!$C:$C,'HQ2'!$A:$A, "="&amp;'CHECK_DT-BT_chi_tiet'!C91,'HQ2'!$B:$B, "="&amp;'CHECK_DT-BT_chi_tiet'!$AB$3)</f>
        <v>12691412720</v>
      </c>
      <c r="AD91" s="7">
        <f t="shared" si="30"/>
        <v>0</v>
      </c>
      <c r="AE91" s="7">
        <f>SUMIFS('Tong_hop_HQNV_2026Q1_2026-06-23'!$K:$K,'Tong_hop_HQNV_2026Q1_2026-06-23'!$A:$A,"="&amp;$AE$2,'Tong_hop_HQNV_2026Q1_2026-06-23'!$B:$B, "="&amp;'CHECK_DT-BT_chi_tiet'!A91)</f>
        <v>1136094335</v>
      </c>
      <c r="AF91" s="7">
        <f>SUMIFS('HQ2'!$C:$C,'HQ2'!$A:$A, "="&amp;'CHECK_DT-BT_chi_tiet'!C91,'HQ2'!$B:$B, "="&amp;'CHECK_DT-BT_chi_tiet'!$AE$3)</f>
        <v>1136094335</v>
      </c>
      <c r="AG91" s="7">
        <f t="shared" si="31"/>
        <v>0</v>
      </c>
      <c r="AH91" s="7">
        <f>SUMIFS('Tong_hop_HQNV_2026Q1_2026-06-23'!$K:$K,'Tong_hop_HQNV_2026Q1_2026-06-23'!$A:$A,"="&amp;$AH$2,'Tong_hop_HQNV_2026Q1_2026-06-23'!$B:$B, "="&amp;'CHECK_DT-BT_chi_tiet'!A91)</f>
        <v>407272127</v>
      </c>
      <c r="AI91" s="7">
        <f>SUMIFS('HQ2'!$C:$C,'HQ2'!$A:$A, "="&amp;'CHECK_DT-BT_chi_tiet'!C91,'HQ2'!$B:$B, "="&amp;'CHECK_DT-BT_chi_tiet'!$AH$3)</f>
        <v>407272127</v>
      </c>
      <c r="AJ91" s="7">
        <f t="shared" si="32"/>
        <v>0</v>
      </c>
      <c r="AK91" s="7">
        <f>SUMIFS('Tong_hop_HQNV_2026Q1_2026-06-23'!$K:$K,'Tong_hop_HQNV_2026Q1_2026-06-23'!$A:$A,"="&amp;$AK$2,'Tong_hop_HQNV_2026Q1_2026-06-23'!$B:$B, "="&amp;'CHECK_DT-BT_chi_tiet'!A91)</f>
        <v>0</v>
      </c>
      <c r="AL91" s="7">
        <f>SUMIFS('Tong_hop_HQNV_2026Q1_2026-06-23'!$K:$K,'Tong_hop_HQNV_2026Q1_2026-06-23'!$A:$A,"="&amp;$AL$2,'Tong_hop_HQNV_2026Q1_2026-06-23'!$B:$B, "="&amp;'CHECK_DT-BT_chi_tiet'!A91)</f>
        <v>0</v>
      </c>
      <c r="AM91" s="23">
        <f>SUMIFS('Tong_hop_HQNV_2026Q1_2026-06-23'!$L:$L,'Tong_hop_HQNV_2026Q1_2026-06-23'!$B:$B, "="&amp;'CHECK_DT-BT_chi_tiet'!A91, 'Tong_hop_HQNV_2026Q1_2026-06-23'!$A:$A, "="&amp;'CHECK_DT-BT_chi_tiet'!$AM$2)</f>
        <v>0</v>
      </c>
      <c r="AN91" s="29">
        <f>SUMIFS('HQ1'!$D:$D,'HQ1'!$A:$A, "="&amp;'CHECK_DT-BT_chi_tiet'!C91,'HQ1'!$B:$B,"="&amp;'CHECK_DT-BT_chi_tiet'!$AM$3)</f>
        <v>0</v>
      </c>
      <c r="AO91" s="29">
        <f t="shared" si="33"/>
        <v>0</v>
      </c>
      <c r="AP91" s="7">
        <f>SUMIFS('Tong_hop_HQNV_2026Q1_2026-06-23'!$L:$L,'Tong_hop_HQNV_2026Q1_2026-06-23'!$B:$B, "="&amp;'CHECK_DT-BT_chi_tiet'!A91, 'Tong_hop_HQNV_2026Q1_2026-06-23'!$A:$A, "="&amp;'CHECK_DT-BT_chi_tiet'!$AP$2)</f>
        <v>0</v>
      </c>
      <c r="AQ91" s="29">
        <f>SUMIFS('HQ1'!$D:$D,'HQ1'!$A:$A, "="&amp;'CHECK_DT-BT_chi_tiet'!C91,'HQ1'!$B:$B,"="&amp;'CHECK_DT-BT_chi_tiet'!$AP$3)</f>
        <v>0</v>
      </c>
      <c r="AR91" s="7">
        <f t="shared" si="34"/>
        <v>0</v>
      </c>
      <c r="AS91" s="7">
        <f>SUMIFS('Tong_hop_HQNV_2026Q1_2026-06-23'!$L:$L,'Tong_hop_HQNV_2026Q1_2026-06-23'!$B:$B, "="&amp;'CHECK_DT-BT_chi_tiet'!A91, 'Tong_hop_HQNV_2026Q1_2026-06-23'!$A:$A, "="&amp;'CHECK_DT-BT_chi_tiet'!$AS$2)</f>
        <v>0</v>
      </c>
      <c r="AT91" s="29">
        <f>SUMIFS('HQ1'!$D:$D,'HQ1'!$A:$A, "="&amp;'CHECK_DT-BT_chi_tiet'!C91,'HQ1'!$B:$B,"="&amp;'CHECK_DT-BT_chi_tiet'!$AS$3)</f>
        <v>0</v>
      </c>
      <c r="AU91" s="7">
        <f t="shared" si="35"/>
        <v>0</v>
      </c>
      <c r="AV91" s="7">
        <f>SUMIFS('Tong_hop_HQNV_2026Q1_2026-06-23'!$L:$L,'Tong_hop_HQNV_2026Q1_2026-06-23'!$B:$B, "="&amp;'CHECK_DT-BT_chi_tiet'!A91, 'Tong_hop_HQNV_2026Q1_2026-06-23'!$A:$A, "="&amp;'CHECK_DT-BT_chi_tiet'!$AV$2)</f>
        <v>0</v>
      </c>
      <c r="AW91" s="29">
        <f>SUMIFS('HQ1'!$D:$D,'HQ1'!$A:$A, "="&amp;'CHECK_DT-BT_chi_tiet'!C91,'HQ1'!$B:$B,"="&amp;'CHECK_DT-BT_chi_tiet'!$AV$3)</f>
        <v>0</v>
      </c>
      <c r="AX91" s="7">
        <f t="shared" si="36"/>
        <v>0</v>
      </c>
      <c r="AY91" s="7">
        <f>SUMIFS('Tong_hop_HQNV_2026Q1_2026-06-23'!$L:$L,'Tong_hop_HQNV_2026Q1_2026-06-23'!$B:$B, "="&amp;'CHECK_DT-BT_chi_tiet'!A91, 'Tong_hop_HQNV_2026Q1_2026-06-23'!$A:$A, "="&amp;$AY$2)</f>
        <v>0</v>
      </c>
      <c r="AZ91" s="29">
        <f>SUMIFS('HQ2'!$J:$J,'HQ2'!$A:$A, "="&amp;'CHECK_DT-BT_chi_tiet'!C91,'HQ2'!$B:$B,"="&amp;'CHECK_DT-BT_chi_tiet'!$AY$3)</f>
        <v>0</v>
      </c>
      <c r="BA91" s="7">
        <f t="shared" si="37"/>
        <v>0</v>
      </c>
      <c r="BB91" s="7">
        <f>SUMIFS('Tong_hop_HQNV_2026Q1_2026-06-23'!$L:$L,'Tong_hop_HQNV_2026Q1_2026-06-23'!$B:$B, "="&amp;'CHECK_DT-BT_chi_tiet'!A91, 'Tong_hop_HQNV_2026Q1_2026-06-23'!$A:$A, "="&amp;$BB$2)</f>
        <v>0</v>
      </c>
      <c r="BC91" s="29">
        <f>SUMIFS('HQ2'!$J:$J,'HQ2'!$A:$A, "="&amp;'CHECK_DT-BT_chi_tiet'!C91,'HQ2'!$B:$B,"="&amp;'CHECK_DT-BT_chi_tiet'!$BB$3)</f>
        <v>0</v>
      </c>
      <c r="BD91" s="7">
        <f t="shared" si="38"/>
        <v>0</v>
      </c>
      <c r="BE91" s="7">
        <f>SUMIFS('Tong_hop_HQNV_2026Q1_2026-06-23'!$L:$L,'Tong_hop_HQNV_2026Q1_2026-06-23'!$B:$B, "="&amp;'CHECK_DT-BT_chi_tiet'!A91, 'Tong_hop_HQNV_2026Q1_2026-06-23'!$A:$A, "="&amp;$BE$2)</f>
        <v>0</v>
      </c>
      <c r="BF91" s="29">
        <f>SUMIFS('HQ2'!$J:$J,'HQ2'!$A:$A, "="&amp;'CHECK_DT-BT_chi_tiet'!C91,'HQ2'!$B:$B,"="&amp;'CHECK_DT-BT_chi_tiet'!$BE$3)</f>
        <v>0</v>
      </c>
      <c r="BG91" s="7">
        <f t="shared" si="39"/>
        <v>0</v>
      </c>
      <c r="BH91" s="7">
        <f>SUMIFS('Tong_hop_HQNV_2026Q1_2026-06-23'!$L:$L,'Tong_hop_HQNV_2026Q1_2026-06-23'!$B:$B, "="&amp;'CHECK_DT-BT_chi_tiet'!A91, 'Tong_hop_HQNV_2026Q1_2026-06-23'!$A:$A, "="&amp;$BH$2)</f>
        <v>0</v>
      </c>
      <c r="BI91" s="29">
        <f>SUMIFS('HQ2'!$J:$J,'HQ2'!$A:$A, "="&amp;'CHECK_DT-BT_chi_tiet'!C91,'HQ2'!$B:$B,"="&amp;'CHECK_DT-BT_chi_tiet'!$BH$3)</f>
        <v>0</v>
      </c>
      <c r="BJ91" s="7">
        <f t="shared" si="40"/>
        <v>0</v>
      </c>
      <c r="BK91" s="7">
        <f>SUMIFS('Tong_hop_HQNV_2026Q1_2026-06-23'!$L:$L,'Tong_hop_HQNV_2026Q1_2026-06-23'!$B:$B, "="&amp;'CHECK_DT-BT_chi_tiet'!A91, 'Tong_hop_HQNV_2026Q1_2026-06-23'!$A:$A, "="&amp;$BK$2)</f>
        <v>0</v>
      </c>
      <c r="BL91" s="29">
        <f>SUMIFS('HQ2'!$J:$J,'HQ2'!$A:$A, "="&amp;'CHECK_DT-BT_chi_tiet'!C91,'HQ2'!$B:$B,"="&amp;'CHECK_DT-BT_chi_tiet'!$BK$3)</f>
        <v>0</v>
      </c>
      <c r="BM91" s="7">
        <f t="shared" si="41"/>
        <v>0</v>
      </c>
      <c r="BN91" s="7">
        <f>SUMIFS('Tong_hop_HQNV_2026Q1_2026-06-23'!$L:$L,'Tong_hop_HQNV_2026Q1_2026-06-23'!$B:$B, "="&amp;'CHECK_DT-BT_chi_tiet'!A91, 'Tong_hop_HQNV_2026Q1_2026-06-23'!$A:$A, "="&amp;$BN$2)</f>
        <v>0</v>
      </c>
      <c r="BO91" s="29">
        <f>SUMIFS('HQ2'!$J:$J,'HQ2'!$A:$A, "="&amp;'CHECK_DT-BT_chi_tiet'!C91,'HQ2'!$B:$B,"="&amp;'CHECK_DT-BT_chi_tiet'!$BN$3)</f>
        <v>0</v>
      </c>
      <c r="BP91" s="7">
        <f t="shared" si="42"/>
        <v>0</v>
      </c>
      <c r="BQ91" s="7">
        <f>SUMIFS('Tong_hop_HQNV_2026Q1_2026-06-23'!$L:$L,'Tong_hop_HQNV_2026Q1_2026-06-23'!$B:$B, "="&amp;'CHECK_DT-BT_chi_tiet'!A91, 'Tong_hop_HQNV_2026Q1_2026-06-23'!$A:$A, "="&amp;$BQ$2)</f>
        <v>0</v>
      </c>
      <c r="BR91" s="29">
        <f>SUMIFS('HQ2'!$J:$J,'HQ2'!$A:$A, "="&amp;'CHECK_DT-BT_chi_tiet'!C91,'HQ2'!$B:$B,"="&amp;'CHECK_DT-BT_chi_tiet'!$BQ$3)</f>
        <v>0</v>
      </c>
      <c r="BS91" s="7">
        <f t="shared" si="43"/>
        <v>0</v>
      </c>
      <c r="BT91" s="7">
        <f>SUMIFS('Tong_hop_HQNV_2026Q1_2026-06-23'!$L:$L,'Tong_hop_HQNV_2026Q1_2026-06-23'!$B:$B, "="&amp;'CHECK_DT-BT_chi_tiet'!A91, 'Tong_hop_HQNV_2026Q1_2026-06-23'!$A:$A, "="&amp;$BT$2)</f>
        <v>0</v>
      </c>
      <c r="BU91" s="7">
        <f>SUMIFS('Tong_hop_HQNV_2026Q1_2026-06-23'!$L:$L,'Tong_hop_HQNV_2026Q1_2026-06-23'!$B:$B, "="&amp;'CHECK_DT-BT_chi_tiet'!A91, 'Tong_hop_HQNV_2026Q1_2026-06-23'!$A:$A, "="&amp;$BU$2)</f>
        <v>0</v>
      </c>
    </row>
    <row r="92" spans="1:73" x14ac:dyDescent="0.25">
      <c r="A92" s="9" t="s">
        <v>225</v>
      </c>
      <c r="B92" s="93" t="s">
        <v>139</v>
      </c>
      <c r="C92" s="93" t="s">
        <v>139</v>
      </c>
      <c r="D92" s="7">
        <f>SUMIFS('Tong_hop_HQNV_2026Q1_2026-06-23'!$K:$K,'Tong_hop_HQNV_2026Q1_2026-06-23'!$A:$A,"="&amp;'CHECK_DT-BT_chi_tiet'!$D$2,'Tong_hop_HQNV_2026Q1_2026-06-23'!$B:$B, "="&amp;'CHECK_DT-BT_chi_tiet'!A92)</f>
        <v>0</v>
      </c>
      <c r="E92" s="7">
        <f>SUMIFS('HQ1'!$C:$C,'HQ1'!$A:$A, "="&amp;'CHECK_DT-BT_chi_tiet'!C92,'HQ1'!$B:$B, "="&amp;'CHECK_DT-BT_chi_tiet'!$D$3)</f>
        <v>0</v>
      </c>
      <c r="F92" s="7">
        <f t="shared" si="22"/>
        <v>0</v>
      </c>
      <c r="G92" s="7">
        <f>SUMIFS('Tong_hop_HQNV_2026Q1_2026-06-23'!$K:$K,'Tong_hop_HQNV_2026Q1_2026-06-23'!$A:$A,"="&amp;'CHECK_DT-BT_chi_tiet'!$G$2,'Tong_hop_HQNV_2026Q1_2026-06-23'!$B:$B, "="&amp;'CHECK_DT-BT_chi_tiet'!A92)</f>
        <v>0</v>
      </c>
      <c r="H92" s="7">
        <f>SUMIFS('HQ1'!$C:$C,'HQ1'!$A:$A, "="&amp;'CHECK_DT-BT_chi_tiet'!C92,'HQ1'!$B:$B, "="&amp;'CHECK_DT-BT_chi_tiet'!$G$3)</f>
        <v>0</v>
      </c>
      <c r="I92" s="7">
        <f t="shared" si="23"/>
        <v>0</v>
      </c>
      <c r="J92" s="7">
        <f>SUMIFS('Tong_hop_HQNV_2026Q1_2026-06-23'!$K:$K,'Tong_hop_HQNV_2026Q1_2026-06-23'!$A:$A,"="&amp;'CHECK_DT-BT_chi_tiet'!$J$2,'Tong_hop_HQNV_2026Q1_2026-06-23'!$B:$B, "="&amp;'CHECK_DT-BT_chi_tiet'!A92)</f>
        <v>0</v>
      </c>
      <c r="K92" s="7">
        <f>SUMIFS('HQ1'!$C:$C,'HQ1'!$A:$A, "="&amp;'CHECK_DT-BT_chi_tiet'!C92,'HQ1'!$B:$B, "="&amp;'CHECK_DT-BT_chi_tiet'!$J$3)</f>
        <v>0</v>
      </c>
      <c r="L92" s="7">
        <f t="shared" si="24"/>
        <v>0</v>
      </c>
      <c r="M92" s="7">
        <f>SUMIFS('Tong_hop_HQNV_2026Q1_2026-06-23'!$K:$K,'Tong_hop_HQNV_2026Q1_2026-06-23'!$A:$A,"="&amp;'CHECK_DT-BT_chi_tiet'!$M$2,'Tong_hop_HQNV_2026Q1_2026-06-23'!$B:$B, "="&amp;'CHECK_DT-BT_chi_tiet'!A92)</f>
        <v>83568545350</v>
      </c>
      <c r="N92" s="7">
        <f>SUMIFS('HQ1'!$C:$C,'HQ1'!$A:$A, "="&amp;'CHECK_DT-BT_chi_tiet'!C92,'HQ1'!$B:$B, "="&amp;'CHECK_DT-BT_chi_tiet'!$M$3)</f>
        <v>83568545350</v>
      </c>
      <c r="O92" s="7">
        <f t="shared" si="25"/>
        <v>0</v>
      </c>
      <c r="P92" s="7">
        <f>SUMIFS('Tong_hop_HQNV_2026Q1_2026-06-23'!$K:$K,'Tong_hop_HQNV_2026Q1_2026-06-23'!$A:$A,"="&amp;$P$2,'Tong_hop_HQNV_2026Q1_2026-06-23'!$B:$B, "="&amp;'CHECK_DT-BT_chi_tiet'!A92)</f>
        <v>0</v>
      </c>
      <c r="Q92" s="7">
        <f>SUMIFS('HQ2'!$C:$C,'HQ2'!$A:$A, "="&amp;'CHECK_DT-BT_chi_tiet'!C92,'HQ2'!$B:$B, "="&amp;'CHECK_DT-BT_chi_tiet'!$P$3)</f>
        <v>0</v>
      </c>
      <c r="R92" s="7">
        <f t="shared" si="26"/>
        <v>0</v>
      </c>
      <c r="S92" s="7">
        <f>SUMIFS('Tong_hop_HQNV_2026Q1_2026-06-23'!$K:$K,'Tong_hop_HQNV_2026Q1_2026-06-23'!$A:$A,"="&amp;$S$2,'Tong_hop_HQNV_2026Q1_2026-06-23'!$B:$B, "="&amp;'CHECK_DT-BT_chi_tiet'!A92)</f>
        <v>0</v>
      </c>
      <c r="T92" s="7">
        <f>SUMIFS('HQ2'!$C:$C,'HQ2'!$A:$A, "="&amp;'CHECK_DT-BT_chi_tiet'!C92,'HQ2'!$B:$B, "="&amp;'CHECK_DT-BT_chi_tiet'!$S$3)</f>
        <v>0</v>
      </c>
      <c r="U92" s="7">
        <f t="shared" si="27"/>
        <v>0</v>
      </c>
      <c r="V92" s="7">
        <f>SUMIFS('Tong_hop_HQNV_2026Q1_2026-06-23'!$K:$K,'Tong_hop_HQNV_2026Q1_2026-06-23'!$A:$A,"="&amp;$V$2,'Tong_hop_HQNV_2026Q1_2026-06-23'!$B:$B, "="&amp;'CHECK_DT-BT_chi_tiet'!A92)</f>
        <v>0</v>
      </c>
      <c r="W92" s="7">
        <f>SUMIFS('HQ2'!$C:$C,'HQ2'!$A:$A, "="&amp;'CHECK_DT-BT_chi_tiet'!C92,'HQ2'!$B:$B, "="&amp;'CHECK_DT-BT_chi_tiet'!$V$3)</f>
        <v>0</v>
      </c>
      <c r="X92" s="7">
        <f t="shared" si="28"/>
        <v>0</v>
      </c>
      <c r="Y92" s="7">
        <f>SUMIFS('Tong_hop_HQNV_2026Q1_2026-06-23'!$K:$K,'Tong_hop_HQNV_2026Q1_2026-06-23'!$A:$A,"="&amp;$Y$2,'Tong_hop_HQNV_2026Q1_2026-06-23'!$B:$B, "="&amp;'CHECK_DT-BT_chi_tiet'!A92)</f>
        <v>0</v>
      </c>
      <c r="Z92" s="7">
        <f>SUMIFS('HQ2'!$C:$C,'HQ2'!$A:$A, "="&amp;'CHECK_DT-BT_chi_tiet'!C92,'HQ2'!$B:$B, "="&amp;'CHECK_DT-BT_chi_tiet'!$Y$3)</f>
        <v>0</v>
      </c>
      <c r="AA92" s="7">
        <f t="shared" si="29"/>
        <v>0</v>
      </c>
      <c r="AB92" s="7">
        <f>SUMIFS('Tong_hop_HQNV_2026Q1_2026-06-23'!$K:$K,'Tong_hop_HQNV_2026Q1_2026-06-23'!$A:$A,"="&amp;$AB$2,'Tong_hop_HQNV_2026Q1_2026-06-23'!$B:$B, "="&amp;'CHECK_DT-BT_chi_tiet'!A92)</f>
        <v>0</v>
      </c>
      <c r="AC92" s="7">
        <f>SUMIFS('HQ2'!$C:$C,'HQ2'!$A:$A, "="&amp;'CHECK_DT-BT_chi_tiet'!C92,'HQ2'!$B:$B, "="&amp;'CHECK_DT-BT_chi_tiet'!$AB$3)</f>
        <v>0</v>
      </c>
      <c r="AD92" s="7">
        <f t="shared" si="30"/>
        <v>0</v>
      </c>
      <c r="AE92" s="7">
        <f>SUMIFS('Tong_hop_HQNV_2026Q1_2026-06-23'!$K:$K,'Tong_hop_HQNV_2026Q1_2026-06-23'!$A:$A,"="&amp;$AE$2,'Tong_hop_HQNV_2026Q1_2026-06-23'!$B:$B, "="&amp;'CHECK_DT-BT_chi_tiet'!A92)</f>
        <v>0</v>
      </c>
      <c r="AF92" s="7">
        <f>SUMIFS('HQ2'!$C:$C,'HQ2'!$A:$A, "="&amp;'CHECK_DT-BT_chi_tiet'!C92,'HQ2'!$B:$B, "="&amp;'CHECK_DT-BT_chi_tiet'!$AE$3)</f>
        <v>0</v>
      </c>
      <c r="AG92" s="7">
        <f t="shared" si="31"/>
        <v>0</v>
      </c>
      <c r="AH92" s="7">
        <f>SUMIFS('Tong_hop_HQNV_2026Q1_2026-06-23'!$K:$K,'Tong_hop_HQNV_2026Q1_2026-06-23'!$A:$A,"="&amp;$AH$2,'Tong_hop_HQNV_2026Q1_2026-06-23'!$B:$B, "="&amp;'CHECK_DT-BT_chi_tiet'!A92)</f>
        <v>0</v>
      </c>
      <c r="AI92" s="7">
        <f>SUMIFS('HQ2'!$C:$C,'HQ2'!$A:$A, "="&amp;'CHECK_DT-BT_chi_tiet'!C92,'HQ2'!$B:$B, "="&amp;'CHECK_DT-BT_chi_tiet'!$AH$3)</f>
        <v>0</v>
      </c>
      <c r="AJ92" s="7">
        <f t="shared" si="32"/>
        <v>0</v>
      </c>
      <c r="AK92" s="7">
        <f>SUMIFS('Tong_hop_HQNV_2026Q1_2026-06-23'!$K:$K,'Tong_hop_HQNV_2026Q1_2026-06-23'!$A:$A,"="&amp;$AK$2,'Tong_hop_HQNV_2026Q1_2026-06-23'!$B:$B, "="&amp;'CHECK_DT-BT_chi_tiet'!A92)</f>
        <v>0</v>
      </c>
      <c r="AL92" s="7">
        <f>SUMIFS('Tong_hop_HQNV_2026Q1_2026-06-23'!$K:$K,'Tong_hop_HQNV_2026Q1_2026-06-23'!$A:$A,"="&amp;$AL$2,'Tong_hop_HQNV_2026Q1_2026-06-23'!$B:$B, "="&amp;'CHECK_DT-BT_chi_tiet'!A92)</f>
        <v>0</v>
      </c>
      <c r="AM92" s="23">
        <f>SUMIFS('Tong_hop_HQNV_2026Q1_2026-06-23'!$L:$L,'Tong_hop_HQNV_2026Q1_2026-06-23'!$B:$B, "="&amp;'CHECK_DT-BT_chi_tiet'!A92, 'Tong_hop_HQNV_2026Q1_2026-06-23'!$A:$A, "="&amp;'CHECK_DT-BT_chi_tiet'!$AM$2)</f>
        <v>0</v>
      </c>
      <c r="AN92" s="29">
        <f>SUMIFS('HQ1'!$D:$D,'HQ1'!$A:$A, "="&amp;'CHECK_DT-BT_chi_tiet'!C92,'HQ1'!$B:$B,"="&amp;'CHECK_DT-BT_chi_tiet'!$AM$3)</f>
        <v>0</v>
      </c>
      <c r="AO92" s="29">
        <f t="shared" si="33"/>
        <v>0</v>
      </c>
      <c r="AP92" s="7">
        <f>SUMIFS('Tong_hop_HQNV_2026Q1_2026-06-23'!$L:$L,'Tong_hop_HQNV_2026Q1_2026-06-23'!$B:$B, "="&amp;'CHECK_DT-BT_chi_tiet'!A92, 'Tong_hop_HQNV_2026Q1_2026-06-23'!$A:$A, "="&amp;'CHECK_DT-BT_chi_tiet'!$AP$2)</f>
        <v>0</v>
      </c>
      <c r="AQ92" s="29">
        <f>SUMIFS('HQ1'!$D:$D,'HQ1'!$A:$A, "="&amp;'CHECK_DT-BT_chi_tiet'!C92,'HQ1'!$B:$B,"="&amp;'CHECK_DT-BT_chi_tiet'!$AP$3)</f>
        <v>0</v>
      </c>
      <c r="AR92" s="7">
        <f t="shared" si="34"/>
        <v>0</v>
      </c>
      <c r="AS92" s="7">
        <f>SUMIFS('Tong_hop_HQNV_2026Q1_2026-06-23'!$L:$L,'Tong_hop_HQNV_2026Q1_2026-06-23'!$B:$B, "="&amp;'CHECK_DT-BT_chi_tiet'!A92, 'Tong_hop_HQNV_2026Q1_2026-06-23'!$A:$A, "="&amp;'CHECK_DT-BT_chi_tiet'!$AS$2)</f>
        <v>0</v>
      </c>
      <c r="AT92" s="29">
        <f>SUMIFS('HQ1'!$D:$D,'HQ1'!$A:$A, "="&amp;'CHECK_DT-BT_chi_tiet'!C92,'HQ1'!$B:$B,"="&amp;'CHECK_DT-BT_chi_tiet'!$AS$3)</f>
        <v>0</v>
      </c>
      <c r="AU92" s="7">
        <f t="shared" si="35"/>
        <v>0</v>
      </c>
      <c r="AV92" s="7">
        <f>SUMIFS('Tong_hop_HQNV_2026Q1_2026-06-23'!$L:$L,'Tong_hop_HQNV_2026Q1_2026-06-23'!$B:$B, "="&amp;'CHECK_DT-BT_chi_tiet'!A92, 'Tong_hop_HQNV_2026Q1_2026-06-23'!$A:$A, "="&amp;'CHECK_DT-BT_chi_tiet'!$AV$2)</f>
        <v>26906398361</v>
      </c>
      <c r="AW92" s="29">
        <f>SUMIFS('HQ1'!$D:$D,'HQ1'!$A:$A, "="&amp;'CHECK_DT-BT_chi_tiet'!C92,'HQ1'!$B:$B,"="&amp;'CHECK_DT-BT_chi_tiet'!$AV$3)</f>
        <v>26906398361</v>
      </c>
      <c r="AX92" s="7">
        <f t="shared" si="36"/>
        <v>0</v>
      </c>
      <c r="AY92" s="7">
        <f>SUMIFS('Tong_hop_HQNV_2026Q1_2026-06-23'!$L:$L,'Tong_hop_HQNV_2026Q1_2026-06-23'!$B:$B, "="&amp;'CHECK_DT-BT_chi_tiet'!A92, 'Tong_hop_HQNV_2026Q1_2026-06-23'!$A:$A, "="&amp;$AY$2)</f>
        <v>0</v>
      </c>
      <c r="AZ92" s="29">
        <f>SUMIFS('HQ2'!$J:$J,'HQ2'!$A:$A, "="&amp;'CHECK_DT-BT_chi_tiet'!C92,'HQ2'!$B:$B,"="&amp;'CHECK_DT-BT_chi_tiet'!$AY$3)</f>
        <v>0</v>
      </c>
      <c r="BA92" s="7">
        <f t="shared" si="37"/>
        <v>0</v>
      </c>
      <c r="BB92" s="7">
        <f>SUMIFS('Tong_hop_HQNV_2026Q1_2026-06-23'!$L:$L,'Tong_hop_HQNV_2026Q1_2026-06-23'!$B:$B, "="&amp;'CHECK_DT-BT_chi_tiet'!A92, 'Tong_hop_HQNV_2026Q1_2026-06-23'!$A:$A, "="&amp;$BB$2)</f>
        <v>0</v>
      </c>
      <c r="BC92" s="29">
        <f>SUMIFS('HQ2'!$J:$J,'HQ2'!$A:$A, "="&amp;'CHECK_DT-BT_chi_tiet'!C92,'HQ2'!$B:$B,"="&amp;'CHECK_DT-BT_chi_tiet'!$BB$3)</f>
        <v>0</v>
      </c>
      <c r="BD92" s="7">
        <f t="shared" si="38"/>
        <v>0</v>
      </c>
      <c r="BE92" s="7">
        <f>SUMIFS('Tong_hop_HQNV_2026Q1_2026-06-23'!$L:$L,'Tong_hop_HQNV_2026Q1_2026-06-23'!$B:$B, "="&amp;'CHECK_DT-BT_chi_tiet'!A92, 'Tong_hop_HQNV_2026Q1_2026-06-23'!$A:$A, "="&amp;$BE$2)</f>
        <v>0</v>
      </c>
      <c r="BF92" s="29">
        <f>SUMIFS('HQ2'!$J:$J,'HQ2'!$A:$A, "="&amp;'CHECK_DT-BT_chi_tiet'!C92,'HQ2'!$B:$B,"="&amp;'CHECK_DT-BT_chi_tiet'!$BE$3)</f>
        <v>0</v>
      </c>
      <c r="BG92" s="7">
        <f t="shared" si="39"/>
        <v>0</v>
      </c>
      <c r="BH92" s="7">
        <f>SUMIFS('Tong_hop_HQNV_2026Q1_2026-06-23'!$L:$L,'Tong_hop_HQNV_2026Q1_2026-06-23'!$B:$B, "="&amp;'CHECK_DT-BT_chi_tiet'!A92, 'Tong_hop_HQNV_2026Q1_2026-06-23'!$A:$A, "="&amp;$BH$2)</f>
        <v>0</v>
      </c>
      <c r="BI92" s="29">
        <f>SUMIFS('HQ2'!$J:$J,'HQ2'!$A:$A, "="&amp;'CHECK_DT-BT_chi_tiet'!C92,'HQ2'!$B:$B,"="&amp;'CHECK_DT-BT_chi_tiet'!$BH$3)</f>
        <v>0</v>
      </c>
      <c r="BJ92" s="7">
        <f t="shared" si="40"/>
        <v>0</v>
      </c>
      <c r="BK92" s="7">
        <f>SUMIFS('Tong_hop_HQNV_2026Q1_2026-06-23'!$L:$L,'Tong_hop_HQNV_2026Q1_2026-06-23'!$B:$B, "="&amp;'CHECK_DT-BT_chi_tiet'!A92, 'Tong_hop_HQNV_2026Q1_2026-06-23'!$A:$A, "="&amp;$BK$2)</f>
        <v>0</v>
      </c>
      <c r="BL92" s="29">
        <f>SUMIFS('HQ2'!$J:$J,'HQ2'!$A:$A, "="&amp;'CHECK_DT-BT_chi_tiet'!C92,'HQ2'!$B:$B,"="&amp;'CHECK_DT-BT_chi_tiet'!$BK$3)</f>
        <v>0</v>
      </c>
      <c r="BM92" s="7">
        <f t="shared" si="41"/>
        <v>0</v>
      </c>
      <c r="BN92" s="7">
        <f>SUMIFS('Tong_hop_HQNV_2026Q1_2026-06-23'!$L:$L,'Tong_hop_HQNV_2026Q1_2026-06-23'!$B:$B, "="&amp;'CHECK_DT-BT_chi_tiet'!A92, 'Tong_hop_HQNV_2026Q1_2026-06-23'!$A:$A, "="&amp;$BN$2)</f>
        <v>0</v>
      </c>
      <c r="BO92" s="29">
        <f>SUMIFS('HQ2'!$J:$J,'HQ2'!$A:$A, "="&amp;'CHECK_DT-BT_chi_tiet'!C92,'HQ2'!$B:$B,"="&amp;'CHECK_DT-BT_chi_tiet'!$BN$3)</f>
        <v>0</v>
      </c>
      <c r="BP92" s="7">
        <f t="shared" si="42"/>
        <v>0</v>
      </c>
      <c r="BQ92" s="7">
        <f>SUMIFS('Tong_hop_HQNV_2026Q1_2026-06-23'!$L:$L,'Tong_hop_HQNV_2026Q1_2026-06-23'!$B:$B, "="&amp;'CHECK_DT-BT_chi_tiet'!A92, 'Tong_hop_HQNV_2026Q1_2026-06-23'!$A:$A, "="&amp;$BQ$2)</f>
        <v>0</v>
      </c>
      <c r="BR92" s="29">
        <f>SUMIFS('HQ2'!$J:$J,'HQ2'!$A:$A, "="&amp;'CHECK_DT-BT_chi_tiet'!C92,'HQ2'!$B:$B,"="&amp;'CHECK_DT-BT_chi_tiet'!$BQ$3)</f>
        <v>0</v>
      </c>
      <c r="BS92" s="7">
        <f t="shared" si="43"/>
        <v>0</v>
      </c>
      <c r="BT92" s="7">
        <f>SUMIFS('Tong_hop_HQNV_2026Q1_2026-06-23'!$L:$L,'Tong_hop_HQNV_2026Q1_2026-06-23'!$B:$B, "="&amp;'CHECK_DT-BT_chi_tiet'!A92, 'Tong_hop_HQNV_2026Q1_2026-06-23'!$A:$A, "="&amp;$BT$2)</f>
        <v>0</v>
      </c>
      <c r="BU92" s="7">
        <f>SUMIFS('Tong_hop_HQNV_2026Q1_2026-06-23'!$L:$L,'Tong_hop_HQNV_2026Q1_2026-06-23'!$B:$B, "="&amp;'CHECK_DT-BT_chi_tiet'!A92, 'Tong_hop_HQNV_2026Q1_2026-06-23'!$A:$A, "="&amp;$BU$2)</f>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5"/>
  <sheetViews>
    <sheetView workbookViewId="0">
      <pane xSplit="3" ySplit="6" topLeftCell="D13" activePane="bottomRight" state="frozen"/>
      <selection pane="topRight" activeCell="D1" sqref="D1"/>
      <selection pane="bottomLeft" activeCell="A7" sqref="A7"/>
      <selection pane="bottomRight" activeCell="G95" sqref="G95"/>
    </sheetView>
  </sheetViews>
  <sheetFormatPr defaultRowHeight="15" x14ac:dyDescent="0.25"/>
  <cols>
    <col min="1" max="1" width="10.28515625" customWidth="1"/>
    <col min="2" max="2" width="18.140625" hidden="1" customWidth="1"/>
    <col min="3" max="3" width="29.5703125" customWidth="1"/>
    <col min="4" max="4" width="18.5703125" style="7" customWidth="1"/>
    <col min="5" max="5" width="20" style="7" bestFit="1" customWidth="1"/>
    <col min="6" max="6" width="18.5703125" style="7" bestFit="1" customWidth="1"/>
    <col min="7" max="7" width="20" style="7" bestFit="1" customWidth="1"/>
    <col min="8" max="8" width="23.42578125" style="7" customWidth="1"/>
    <col min="9" max="9" width="19" customWidth="1"/>
  </cols>
  <sheetData>
    <row r="1" spans="1:10" x14ac:dyDescent="0.25">
      <c r="C1" t="s">
        <v>368</v>
      </c>
    </row>
    <row r="2" spans="1:10" x14ac:dyDescent="0.25">
      <c r="C2" t="s">
        <v>369</v>
      </c>
    </row>
    <row r="3" spans="1:10" x14ac:dyDescent="0.25">
      <c r="C3" s="37" t="s">
        <v>370</v>
      </c>
      <c r="D3" s="7">
        <f t="shared" ref="D3:G3" si="0">SUMIF(D7:D85, "&lt;0")</f>
        <v>-45147189992.649986</v>
      </c>
      <c r="E3" s="7">
        <f t="shared" si="0"/>
        <v>-4727015920.3000002</v>
      </c>
      <c r="F3" s="7">
        <f t="shared" si="0"/>
        <v>-1065705876</v>
      </c>
      <c r="G3" s="7">
        <f t="shared" si="0"/>
        <v>-15983207682.550003</v>
      </c>
      <c r="H3" s="7">
        <f>SUMIF(H7:H85, "&lt;0")</f>
        <v>-37617804950.900002</v>
      </c>
    </row>
    <row r="4" spans="1:10" x14ac:dyDescent="0.25">
      <c r="C4" s="37" t="s">
        <v>371</v>
      </c>
      <c r="D4" s="7">
        <f t="shared" ref="D4:G4" si="1">SUMIF(D7:D85, "&gt;=0")</f>
        <v>34687372937.520004</v>
      </c>
      <c r="E4" s="7">
        <f t="shared" si="1"/>
        <v>168243277016.68008</v>
      </c>
      <c r="F4" s="7">
        <f t="shared" si="1"/>
        <v>9054576324.8299999</v>
      </c>
      <c r="G4" s="7">
        <f t="shared" si="1"/>
        <v>80738201447.470001</v>
      </c>
      <c r="H4" s="7">
        <f>SUMIF(H7:H85, "&gt;=0")</f>
        <v>263418113205.90009</v>
      </c>
    </row>
    <row r="5" spans="1:10" x14ac:dyDescent="0.25">
      <c r="D5" s="7">
        <f t="shared" ref="D5:G5" si="2">SUM(D7:D85)</f>
        <v>-10459817055.130003</v>
      </c>
      <c r="E5" s="7">
        <f t="shared" si="2"/>
        <v>163516261096.3801</v>
      </c>
      <c r="F5" s="7">
        <f t="shared" si="2"/>
        <v>7988870448.8300009</v>
      </c>
      <c r="G5" s="7">
        <f t="shared" si="2"/>
        <v>64754993764.919975</v>
      </c>
      <c r="H5" s="7">
        <f>SUM(H7:H85)</f>
        <v>225800308255.00009</v>
      </c>
    </row>
    <row r="6" spans="1:10" x14ac:dyDescent="0.25">
      <c r="A6" s="6" t="s">
        <v>140</v>
      </c>
      <c r="C6" s="6" t="s">
        <v>141</v>
      </c>
      <c r="D6" s="38" t="s">
        <v>135</v>
      </c>
      <c r="E6" s="38" t="s">
        <v>138</v>
      </c>
      <c r="F6" s="38" t="s">
        <v>136</v>
      </c>
      <c r="G6" s="38" t="s">
        <v>137</v>
      </c>
      <c r="H6" s="38" t="s">
        <v>277</v>
      </c>
      <c r="I6" s="38" t="s">
        <v>372</v>
      </c>
    </row>
    <row r="7" spans="1:10" x14ac:dyDescent="0.25">
      <c r="A7" s="9" t="s">
        <v>284</v>
      </c>
      <c r="B7" t="s">
        <v>142</v>
      </c>
      <c r="C7" t="s">
        <v>82</v>
      </c>
      <c r="D7" s="7">
        <f>SUMIFS('HQ1'!$I:$I,'HQ1'!$A:$A, "="&amp;Report_HQ1!C7,'HQ1'!$B:$B, "="&amp;Report_HQ1!$D$6)</f>
        <v>431006559.98000002</v>
      </c>
      <c r="E7" s="7">
        <f>SUMIFS('HQ1'!$I:$I,'HQ1'!$A:$A, "="&amp;Report_HQ1!C7,'HQ1'!$B:$B, "="&amp;Report_HQ1!$E$6)</f>
        <v>509553593</v>
      </c>
      <c r="F7" s="7">
        <f>SUMIFS('HQ1'!$I:$I,'HQ1'!$A:$A, "="&amp;Report_HQ1!C7,'HQ1'!$B:$B, "="&amp;Report_HQ1!$F$6)</f>
        <v>60640590</v>
      </c>
      <c r="G7" s="7">
        <f>SUMIFS('HQ1'!$I:$I,'HQ1'!$A:$A, "="&amp;Report_HQ1!C7,'HQ1'!$B:$B, "="&amp;Report_HQ1!$G$6)</f>
        <v>47910184.370000005</v>
      </c>
      <c r="H7" s="7">
        <f>SUM(D7:G7)</f>
        <v>1049110927.35</v>
      </c>
      <c r="I7" s="7">
        <f>SUMIFS('HQ1'!$I:$I,'HQ1'!$A:$A, "="&amp;Report_HQ1!C7,'HQ1'!$B:$B, "Total")</f>
        <v>1049110927.35</v>
      </c>
      <c r="J7" s="24">
        <f>H7-I7</f>
        <v>0</v>
      </c>
    </row>
    <row r="8" spans="1:10" x14ac:dyDescent="0.25">
      <c r="A8" s="9" t="s">
        <v>285</v>
      </c>
      <c r="B8" t="s">
        <v>143</v>
      </c>
      <c r="C8" t="s">
        <v>61</v>
      </c>
      <c r="D8" s="7">
        <f>SUMIFS('HQ1'!$I:$I,'HQ1'!$A:$A, "="&amp;Report_HQ1!C8,'HQ1'!$B:$B, "="&amp;Report_HQ1!$D$6)</f>
        <v>479087850.37</v>
      </c>
      <c r="E8" s="7">
        <f>SUMIFS('HQ1'!$I:$I,'HQ1'!$A:$A, "="&amp;Report_HQ1!C8,'HQ1'!$B:$B, "="&amp;Report_HQ1!$E$6)</f>
        <v>4479864885.8299999</v>
      </c>
      <c r="F8" s="7">
        <f>SUMIFS('HQ1'!$I:$I,'HQ1'!$A:$A, "="&amp;Report_HQ1!C8,'HQ1'!$B:$B, "="&amp;Report_HQ1!$F$6)</f>
        <v>71199025</v>
      </c>
      <c r="G8" s="7">
        <f>SUMIFS('HQ1'!$I:$I,'HQ1'!$A:$A, "="&amp;Report_HQ1!C8,'HQ1'!$B:$B, "="&amp;Report_HQ1!$G$6)</f>
        <v>1404988337.4300001</v>
      </c>
      <c r="H8" s="7">
        <f t="shared" ref="H8:H71" si="3">SUM(D8:G8)</f>
        <v>6435140098.6300001</v>
      </c>
      <c r="I8" s="7">
        <f>SUMIFS('HQ1'!$I:$I,'HQ1'!$A:$A, "="&amp;Report_HQ1!C8,'HQ1'!$B:$B, "Total")</f>
        <v>6435140098.6300001</v>
      </c>
      <c r="J8" s="24">
        <f t="shared" ref="J8:J71" si="4">H8-I8</f>
        <v>0</v>
      </c>
    </row>
    <row r="9" spans="1:10" x14ac:dyDescent="0.25">
      <c r="A9" s="9" t="s">
        <v>286</v>
      </c>
      <c r="B9" t="s">
        <v>144</v>
      </c>
      <c r="C9" t="s">
        <v>76</v>
      </c>
      <c r="D9" s="7">
        <f>SUMIFS('HQ1'!$I:$I,'HQ1'!$A:$A, "="&amp;Report_HQ1!C9,'HQ1'!$B:$B, "="&amp;Report_HQ1!$D$6)</f>
        <v>2785880968.1599998</v>
      </c>
      <c r="E9" s="7">
        <f>SUMIFS('HQ1'!$I:$I,'HQ1'!$A:$A, "="&amp;Report_HQ1!C9,'HQ1'!$B:$B, "="&amp;Report_HQ1!$E$6)</f>
        <v>4007467741.6000004</v>
      </c>
      <c r="F9" s="7">
        <f>SUMIFS('HQ1'!$I:$I,'HQ1'!$A:$A, "="&amp;Report_HQ1!C9,'HQ1'!$B:$B, "="&amp;Report_HQ1!$F$6)</f>
        <v>961778248.5</v>
      </c>
      <c r="G9" s="7">
        <f>SUMIFS('HQ1'!$I:$I,'HQ1'!$A:$A, "="&amp;Report_HQ1!C9,'HQ1'!$B:$B, "="&amp;Report_HQ1!$G$6)</f>
        <v>417395300.97000015</v>
      </c>
      <c r="H9" s="7">
        <f t="shared" si="3"/>
        <v>8172522259.2300005</v>
      </c>
      <c r="I9" s="7">
        <f>SUMIFS('HQ1'!$I:$I,'HQ1'!$A:$A, "="&amp;Report_HQ1!C9,'HQ1'!$B:$B, "Total")</f>
        <v>8172522259.2300005</v>
      </c>
      <c r="J9" s="24">
        <f t="shared" si="4"/>
        <v>0</v>
      </c>
    </row>
    <row r="10" spans="1:10" x14ac:dyDescent="0.25">
      <c r="A10" s="9" t="s">
        <v>287</v>
      </c>
      <c r="B10" t="s">
        <v>145</v>
      </c>
      <c r="C10" t="s">
        <v>127</v>
      </c>
      <c r="D10" s="7">
        <f>SUMIFS('HQ1'!$I:$I,'HQ1'!$A:$A, "="&amp;Report_HQ1!C10,'HQ1'!$B:$B, "="&amp;Report_HQ1!$D$6)</f>
        <v>-26096737</v>
      </c>
      <c r="E10" s="7">
        <f>SUMIFS('HQ1'!$I:$I,'HQ1'!$A:$A, "="&amp;Report_HQ1!C10,'HQ1'!$B:$B, "="&amp;Report_HQ1!$E$6)</f>
        <v>20800072</v>
      </c>
      <c r="F10" s="7">
        <f>SUMIFS('HQ1'!$I:$I,'HQ1'!$A:$A, "="&amp;Report_HQ1!C10,'HQ1'!$B:$B, "="&amp;Report_HQ1!$F$6)</f>
        <v>-7247332</v>
      </c>
      <c r="G10" s="7">
        <f>SUMIFS('HQ1'!$I:$I,'HQ1'!$A:$A, "="&amp;Report_HQ1!C10,'HQ1'!$B:$B, "="&amp;Report_HQ1!$G$6)</f>
        <v>246734339.53</v>
      </c>
      <c r="H10" s="7">
        <f t="shared" si="3"/>
        <v>234190342.53</v>
      </c>
      <c r="I10" s="7">
        <f>SUMIFS('HQ1'!$I:$I,'HQ1'!$A:$A, "="&amp;Report_HQ1!C10,'HQ1'!$B:$B, "Total")</f>
        <v>234190342.53</v>
      </c>
      <c r="J10" s="24">
        <f>H10-I10</f>
        <v>0</v>
      </c>
    </row>
    <row r="11" spans="1:10" x14ac:dyDescent="0.25">
      <c r="A11" s="9" t="s">
        <v>288</v>
      </c>
      <c r="B11" t="s">
        <v>146</v>
      </c>
      <c r="C11" t="s">
        <v>91</v>
      </c>
      <c r="D11" s="7">
        <f>SUMIFS('HQ1'!$I:$I,'HQ1'!$A:$A, "="&amp;Report_HQ1!C11,'HQ1'!$B:$B, "="&amp;Report_HQ1!$D$6)</f>
        <v>-923879435.12</v>
      </c>
      <c r="E11" s="7">
        <f>SUMIFS('HQ1'!$I:$I,'HQ1'!$A:$A, "="&amp;Report_HQ1!C11,'HQ1'!$B:$B, "="&amp;Report_HQ1!$E$6)</f>
        <v>73809452.979999974</v>
      </c>
      <c r="F11" s="7">
        <f>SUMIFS('HQ1'!$I:$I,'HQ1'!$A:$A, "="&amp;Report_HQ1!C11,'HQ1'!$B:$B, "="&amp;Report_HQ1!$F$6)</f>
        <v>31695228</v>
      </c>
      <c r="G11" s="7">
        <f>SUMIFS('HQ1'!$I:$I,'HQ1'!$A:$A, "="&amp;Report_HQ1!C11,'HQ1'!$B:$B, "="&amp;Report_HQ1!$G$6)</f>
        <v>1192778203.48</v>
      </c>
      <c r="H11" s="7">
        <f t="shared" si="3"/>
        <v>374403449.34000003</v>
      </c>
      <c r="I11" s="7">
        <f>SUMIFS('HQ1'!$I:$I,'HQ1'!$A:$A, "="&amp;Report_HQ1!C11,'HQ1'!$B:$B, "Total")</f>
        <v>374403449.34000003</v>
      </c>
      <c r="J11" s="24">
        <f t="shared" si="4"/>
        <v>0</v>
      </c>
    </row>
    <row r="12" spans="1:10" x14ac:dyDescent="0.25">
      <c r="A12" s="9" t="s">
        <v>289</v>
      </c>
      <c r="B12" t="s">
        <v>147</v>
      </c>
      <c r="C12" t="s">
        <v>123</v>
      </c>
      <c r="D12" s="7">
        <f>SUMIFS('HQ1'!$I:$I,'HQ1'!$A:$A, "="&amp;Report_HQ1!C12,'HQ1'!$B:$B, "="&amp;Report_HQ1!$D$6)</f>
        <v>-242610005.75</v>
      </c>
      <c r="E12" s="7">
        <f>SUMIFS('HQ1'!$I:$I,'HQ1'!$A:$A, "="&amp;Report_HQ1!C12,'HQ1'!$B:$B, "="&amp;Report_HQ1!$E$6)</f>
        <v>177196266.26000002</v>
      </c>
      <c r="F12" s="7">
        <f>SUMIFS('HQ1'!$I:$I,'HQ1'!$A:$A, "="&amp;Report_HQ1!C12,'HQ1'!$B:$B, "="&amp;Report_HQ1!$F$6)</f>
        <v>111292783.8</v>
      </c>
      <c r="G12" s="7">
        <f>SUMIFS('HQ1'!$I:$I,'HQ1'!$A:$A, "="&amp;Report_HQ1!C12,'HQ1'!$B:$B, "="&amp;Report_HQ1!$G$6)</f>
        <v>771803703.85000002</v>
      </c>
      <c r="H12" s="7">
        <f t="shared" si="3"/>
        <v>817682748.16000009</v>
      </c>
      <c r="I12" s="7">
        <f>SUMIFS('HQ1'!$I:$I,'HQ1'!$A:$A, "="&amp;Report_HQ1!C12,'HQ1'!$B:$B, "Total")</f>
        <v>817682748.16000009</v>
      </c>
      <c r="J12" s="24">
        <f t="shared" si="4"/>
        <v>0</v>
      </c>
    </row>
    <row r="13" spans="1:10" x14ac:dyDescent="0.25">
      <c r="A13" s="9" t="s">
        <v>290</v>
      </c>
      <c r="B13" t="s">
        <v>148</v>
      </c>
      <c r="C13" t="s">
        <v>49</v>
      </c>
      <c r="D13" s="7">
        <f>SUMIFS('HQ1'!$I:$I,'HQ1'!$A:$A, "="&amp;Report_HQ1!C13,'HQ1'!$B:$B, "="&amp;Report_HQ1!$D$6)</f>
        <v>-1416548194.8599999</v>
      </c>
      <c r="E13" s="7">
        <f>SUMIFS('HQ1'!$I:$I,'HQ1'!$A:$A, "="&amp;Report_HQ1!C13,'HQ1'!$B:$B, "="&amp;Report_HQ1!$E$6)</f>
        <v>854291319.39999998</v>
      </c>
      <c r="F13" s="7">
        <f>SUMIFS('HQ1'!$I:$I,'HQ1'!$A:$A, "="&amp;Report_HQ1!C13,'HQ1'!$B:$B, "="&amp;Report_HQ1!$F$6)</f>
        <v>37642045</v>
      </c>
      <c r="G13" s="7">
        <f>SUMIFS('HQ1'!$I:$I,'HQ1'!$A:$A, "="&amp;Report_HQ1!C13,'HQ1'!$B:$B, "="&amp;Report_HQ1!$G$6)</f>
        <v>998691753.15999973</v>
      </c>
      <c r="H13" s="7">
        <f t="shared" si="3"/>
        <v>474076922.69999981</v>
      </c>
      <c r="I13" s="7">
        <f>SUMIFS('HQ1'!$I:$I,'HQ1'!$A:$A, "="&amp;Report_HQ1!C13,'HQ1'!$B:$B, "Total")</f>
        <v>474076922.69999981</v>
      </c>
      <c r="J13" s="24">
        <f t="shared" si="4"/>
        <v>0</v>
      </c>
    </row>
    <row r="14" spans="1:10" x14ac:dyDescent="0.25">
      <c r="A14" s="9" t="s">
        <v>291</v>
      </c>
      <c r="B14" t="s">
        <v>149</v>
      </c>
      <c r="C14" t="s">
        <v>79</v>
      </c>
      <c r="D14" s="7">
        <f>SUMIFS('HQ1'!$I:$I,'HQ1'!$A:$A, "="&amp;Report_HQ1!C14,'HQ1'!$B:$B, "="&amp;Report_HQ1!$D$6)</f>
        <v>119002644.21000001</v>
      </c>
      <c r="E14" s="7">
        <f>SUMIFS('HQ1'!$I:$I,'HQ1'!$A:$A, "="&amp;Report_HQ1!C14,'HQ1'!$B:$B, "="&amp;Report_HQ1!$E$6)</f>
        <v>2741154878.0099998</v>
      </c>
      <c r="F14" s="7">
        <f>SUMIFS('HQ1'!$I:$I,'HQ1'!$A:$A, "="&amp;Report_HQ1!C14,'HQ1'!$B:$B, "="&amp;Report_HQ1!$F$6)</f>
        <v>86464822</v>
      </c>
      <c r="G14" s="7">
        <f>SUMIFS('HQ1'!$I:$I,'HQ1'!$A:$A, "="&amp;Report_HQ1!C14,'HQ1'!$B:$B, "="&amp;Report_HQ1!$G$6)</f>
        <v>1402841262.8600001</v>
      </c>
      <c r="H14" s="7">
        <f t="shared" si="3"/>
        <v>4349463607.0799999</v>
      </c>
      <c r="I14" s="7">
        <f>SUMIFS('HQ1'!$I:$I,'HQ1'!$A:$A, "="&amp;Report_HQ1!C14,'HQ1'!$B:$B, "Total")</f>
        <v>4349463607.0799999</v>
      </c>
      <c r="J14" s="24">
        <f t="shared" si="4"/>
        <v>0</v>
      </c>
    </row>
    <row r="15" spans="1:10" x14ac:dyDescent="0.25">
      <c r="A15" s="9" t="s">
        <v>292</v>
      </c>
      <c r="B15" t="s">
        <v>150</v>
      </c>
      <c r="C15" t="s">
        <v>100</v>
      </c>
      <c r="D15" s="7">
        <f>SUMIFS('HQ1'!$I:$I,'HQ1'!$A:$A, "="&amp;Report_HQ1!C15,'HQ1'!$B:$B, "="&amp;Report_HQ1!$D$6)</f>
        <v>-3760707020.25</v>
      </c>
      <c r="E15" s="7">
        <f>SUMIFS('HQ1'!$I:$I,'HQ1'!$A:$A, "="&amp;Report_HQ1!C15,'HQ1'!$B:$B, "="&amp;Report_HQ1!$E$6)</f>
        <v>57812372.350000024</v>
      </c>
      <c r="F15" s="7">
        <f>SUMIFS('HQ1'!$I:$I,'HQ1'!$A:$A, "="&amp;Report_HQ1!C15,'HQ1'!$B:$B, "="&amp;Report_HQ1!$F$6)</f>
        <v>5217386</v>
      </c>
      <c r="G15" s="7">
        <f>SUMIFS('HQ1'!$I:$I,'HQ1'!$A:$A, "="&amp;Report_HQ1!C15,'HQ1'!$B:$B, "="&amp;Report_HQ1!$G$6)</f>
        <v>-102018537.16999996</v>
      </c>
      <c r="H15" s="7">
        <f t="shared" si="3"/>
        <v>-3799695799.0700002</v>
      </c>
      <c r="I15" s="7">
        <f>SUMIFS('HQ1'!$I:$I,'HQ1'!$A:$A, "="&amp;Report_HQ1!C15,'HQ1'!$B:$B, "Total")</f>
        <v>-3799695799.0700002</v>
      </c>
      <c r="J15" s="24">
        <f t="shared" si="4"/>
        <v>0</v>
      </c>
    </row>
    <row r="16" spans="1:10" x14ac:dyDescent="0.25">
      <c r="A16" s="9" t="s">
        <v>293</v>
      </c>
      <c r="B16" t="s">
        <v>151</v>
      </c>
      <c r="C16" t="s">
        <v>62</v>
      </c>
      <c r="D16" s="7">
        <f>SUMIFS('HQ1'!$I:$I,'HQ1'!$A:$A, "="&amp;Report_HQ1!C16,'HQ1'!$B:$B, "="&amp;Report_HQ1!$D$6)</f>
        <v>1564271532.3099999</v>
      </c>
      <c r="E16" s="7">
        <f>SUMIFS('HQ1'!$I:$I,'HQ1'!$A:$A, "="&amp;Report_HQ1!C16,'HQ1'!$B:$B, "="&amp;Report_HQ1!$E$6)</f>
        <v>121282330</v>
      </c>
      <c r="F16" s="7">
        <f>SUMIFS('HQ1'!$I:$I,'HQ1'!$A:$A, "="&amp;Report_HQ1!C16,'HQ1'!$B:$B, "="&amp;Report_HQ1!$F$6)</f>
        <v>22435312</v>
      </c>
      <c r="G16" s="7">
        <f>SUMIFS('HQ1'!$I:$I,'HQ1'!$A:$A, "="&amp;Report_HQ1!C16,'HQ1'!$B:$B, "="&amp;Report_HQ1!$G$6)</f>
        <v>210799581.16</v>
      </c>
      <c r="H16" s="7">
        <f t="shared" si="3"/>
        <v>1918788755.47</v>
      </c>
      <c r="I16" s="7">
        <f>SUMIFS('HQ1'!$I:$I,'HQ1'!$A:$A, "="&amp;Report_HQ1!C16,'HQ1'!$B:$B, "Total")</f>
        <v>1918788755.47</v>
      </c>
      <c r="J16" s="24">
        <f t="shared" si="4"/>
        <v>0</v>
      </c>
    </row>
    <row r="17" spans="1:10" x14ac:dyDescent="0.25">
      <c r="A17" s="9" t="s">
        <v>294</v>
      </c>
      <c r="B17" t="s">
        <v>152</v>
      </c>
      <c r="C17" t="s">
        <v>54</v>
      </c>
      <c r="D17" s="7">
        <f>SUMIFS('HQ1'!$I:$I,'HQ1'!$A:$A, "="&amp;Report_HQ1!C17,'HQ1'!$B:$B, "="&amp;Report_HQ1!$D$6)</f>
        <v>121122362.02000001</v>
      </c>
      <c r="E17" s="7">
        <f>SUMIFS('HQ1'!$I:$I,'HQ1'!$A:$A, "="&amp;Report_HQ1!C17,'HQ1'!$B:$B, "="&amp;Report_HQ1!$E$6)</f>
        <v>-507164586.10999995</v>
      </c>
      <c r="F17" s="7">
        <f>SUMIFS('HQ1'!$I:$I,'HQ1'!$A:$A, "="&amp;Report_HQ1!C17,'HQ1'!$B:$B, "="&amp;Report_HQ1!$F$6)</f>
        <v>23633530</v>
      </c>
      <c r="G17" s="7">
        <f>SUMIFS('HQ1'!$I:$I,'HQ1'!$A:$A, "="&amp;Report_HQ1!C17,'HQ1'!$B:$B, "="&amp;Report_HQ1!$G$6)</f>
        <v>1318349669.26</v>
      </c>
      <c r="H17" s="7">
        <f t="shared" si="3"/>
        <v>955940975.17000008</v>
      </c>
      <c r="I17" s="7">
        <f>SUMIFS('HQ1'!$I:$I,'HQ1'!$A:$A, "="&amp;Report_HQ1!C17,'HQ1'!$B:$B, "Total")</f>
        <v>955940975.17000008</v>
      </c>
      <c r="J17" s="24">
        <f t="shared" si="4"/>
        <v>0</v>
      </c>
    </row>
    <row r="18" spans="1:10" x14ac:dyDescent="0.25">
      <c r="A18" s="9" t="s">
        <v>295</v>
      </c>
      <c r="B18" t="s">
        <v>153</v>
      </c>
      <c r="C18" t="s">
        <v>78</v>
      </c>
      <c r="D18" s="7">
        <f>SUMIFS('HQ1'!$I:$I,'HQ1'!$A:$A, "="&amp;Report_HQ1!C18,'HQ1'!$B:$B, "="&amp;Report_HQ1!$D$6)</f>
        <v>288349180.75</v>
      </c>
      <c r="E18" s="7">
        <f>SUMIFS('HQ1'!$I:$I,'HQ1'!$A:$A, "="&amp;Report_HQ1!C18,'HQ1'!$B:$B, "="&amp;Report_HQ1!$E$6)</f>
        <v>-65883518.700000003</v>
      </c>
      <c r="F18" s="7">
        <f>SUMIFS('HQ1'!$I:$I,'HQ1'!$A:$A, "="&amp;Report_HQ1!C18,'HQ1'!$B:$B, "="&amp;Report_HQ1!$F$6)</f>
        <v>15407956</v>
      </c>
      <c r="G18" s="7">
        <f>SUMIFS('HQ1'!$I:$I,'HQ1'!$A:$A, "="&amp;Report_HQ1!C18,'HQ1'!$B:$B, "="&amp;Report_HQ1!$G$6)</f>
        <v>1193659781.29</v>
      </c>
      <c r="H18" s="7">
        <f t="shared" si="3"/>
        <v>1431533399.3399999</v>
      </c>
      <c r="I18" s="7">
        <f>SUMIFS('HQ1'!$I:$I,'HQ1'!$A:$A, "="&amp;Report_HQ1!C18,'HQ1'!$B:$B, "Total")</f>
        <v>1431533399.3399999</v>
      </c>
      <c r="J18" s="24">
        <f t="shared" si="4"/>
        <v>0</v>
      </c>
    </row>
    <row r="19" spans="1:10" x14ac:dyDescent="0.25">
      <c r="A19" s="9" t="s">
        <v>296</v>
      </c>
      <c r="B19" t="s">
        <v>154</v>
      </c>
      <c r="C19" t="s">
        <v>88</v>
      </c>
      <c r="D19" s="7">
        <f>SUMIFS('HQ1'!$I:$I,'HQ1'!$A:$A, "="&amp;Report_HQ1!C19,'HQ1'!$B:$B, "="&amp;Report_HQ1!$D$6)</f>
        <v>-3078884964.5</v>
      </c>
      <c r="E19" s="7">
        <f>SUMIFS('HQ1'!$I:$I,'HQ1'!$A:$A, "="&amp;Report_HQ1!C19,'HQ1'!$B:$B, "="&amp;Report_HQ1!$E$6)</f>
        <v>521311756.30000001</v>
      </c>
      <c r="F19" s="7">
        <f>SUMIFS('HQ1'!$I:$I,'HQ1'!$A:$A, "="&amp;Report_HQ1!C19,'HQ1'!$B:$B, "="&amp;Report_HQ1!$F$6)</f>
        <v>49131395</v>
      </c>
      <c r="G19" s="7">
        <f>SUMIFS('HQ1'!$I:$I,'HQ1'!$A:$A, "="&amp;Report_HQ1!C19,'HQ1'!$B:$B, "="&amp;Report_HQ1!$G$6)</f>
        <v>1859599648.8900001</v>
      </c>
      <c r="H19" s="7">
        <f t="shared" si="3"/>
        <v>-648842164.3099997</v>
      </c>
      <c r="I19" s="7">
        <f>SUMIFS('HQ1'!$I:$I,'HQ1'!$A:$A, "="&amp;Report_HQ1!C19,'HQ1'!$B:$B, "Total")</f>
        <v>-648842164.3099997</v>
      </c>
      <c r="J19" s="24">
        <f t="shared" si="4"/>
        <v>0</v>
      </c>
    </row>
    <row r="20" spans="1:10" x14ac:dyDescent="0.25">
      <c r="A20" s="9" t="s">
        <v>297</v>
      </c>
      <c r="B20" t="s">
        <v>155</v>
      </c>
      <c r="C20" t="s">
        <v>106</v>
      </c>
      <c r="D20" s="7">
        <f>SUMIFS('HQ1'!$I:$I,'HQ1'!$A:$A, "="&amp;Report_HQ1!C20,'HQ1'!$B:$B, "="&amp;Report_HQ1!$D$6)</f>
        <v>-352542822.35000002</v>
      </c>
      <c r="E20" s="7">
        <f>SUMIFS('HQ1'!$I:$I,'HQ1'!$A:$A, "="&amp;Report_HQ1!C20,'HQ1'!$B:$B, "="&amp;Report_HQ1!$E$6)</f>
        <v>64978111.410000026</v>
      </c>
      <c r="F20" s="7">
        <f>SUMIFS('HQ1'!$I:$I,'HQ1'!$A:$A, "="&amp;Report_HQ1!C20,'HQ1'!$B:$B, "="&amp;Report_HQ1!$F$6)</f>
        <v>926049</v>
      </c>
      <c r="G20" s="7">
        <f>SUMIFS('HQ1'!$I:$I,'HQ1'!$A:$A, "="&amp;Report_HQ1!C20,'HQ1'!$B:$B, "="&amp;Report_HQ1!$G$6)</f>
        <v>43201159.21999976</v>
      </c>
      <c r="H20" s="7">
        <f t="shared" si="3"/>
        <v>-243437502.72000024</v>
      </c>
      <c r="I20" s="7">
        <f>SUMIFS('HQ1'!$I:$I,'HQ1'!$A:$A, "="&amp;Report_HQ1!C20,'HQ1'!$B:$B, "Total")</f>
        <v>-243437502.72000024</v>
      </c>
      <c r="J20" s="24">
        <f t="shared" si="4"/>
        <v>0</v>
      </c>
    </row>
    <row r="21" spans="1:10" x14ac:dyDescent="0.25">
      <c r="A21" s="9" t="s">
        <v>298</v>
      </c>
      <c r="B21" t="s">
        <v>156</v>
      </c>
      <c r="C21" t="s">
        <v>83</v>
      </c>
      <c r="D21" s="7">
        <f>SUMIFS('HQ1'!$I:$I,'HQ1'!$A:$A, "="&amp;Report_HQ1!C21,'HQ1'!$B:$B, "="&amp;Report_HQ1!$D$6)</f>
        <v>-843433129.84000003</v>
      </c>
      <c r="E21" s="7">
        <f>SUMIFS('HQ1'!$I:$I,'HQ1'!$A:$A, "="&amp;Report_HQ1!C21,'HQ1'!$B:$B, "="&amp;Report_HQ1!$E$6)</f>
        <v>1261673830.3800001</v>
      </c>
      <c r="F21" s="7">
        <f>SUMIFS('HQ1'!$I:$I,'HQ1'!$A:$A, "="&amp;Report_HQ1!C21,'HQ1'!$B:$B, "="&amp;Report_HQ1!$F$6)</f>
        <v>47403558</v>
      </c>
      <c r="G21" s="7">
        <f>SUMIFS('HQ1'!$I:$I,'HQ1'!$A:$A, "="&amp;Report_HQ1!C21,'HQ1'!$B:$B, "="&amp;Report_HQ1!$G$6)</f>
        <v>1414582636.95</v>
      </c>
      <c r="H21" s="7">
        <f t="shared" si="3"/>
        <v>1880226895.4900002</v>
      </c>
      <c r="I21" s="7">
        <f>SUMIFS('HQ1'!$I:$I,'HQ1'!$A:$A, "="&amp;Report_HQ1!C21,'HQ1'!$B:$B, "Total")</f>
        <v>1880226895.4900002</v>
      </c>
      <c r="J21" s="24">
        <f t="shared" si="4"/>
        <v>0</v>
      </c>
    </row>
    <row r="22" spans="1:10" x14ac:dyDescent="0.25">
      <c r="A22" s="9" t="s">
        <v>299</v>
      </c>
      <c r="B22" t="s">
        <v>157</v>
      </c>
      <c r="C22" t="s">
        <v>124</v>
      </c>
      <c r="D22" s="7">
        <f>SUMIFS('HQ1'!$I:$I,'HQ1'!$A:$A, "="&amp;Report_HQ1!C22,'HQ1'!$B:$B, "="&amp;Report_HQ1!$D$6)</f>
        <v>-38410928</v>
      </c>
      <c r="E22" s="7">
        <f>SUMIFS('HQ1'!$I:$I,'HQ1'!$A:$A, "="&amp;Report_HQ1!C22,'HQ1'!$B:$B, "="&amp;Report_HQ1!$E$6)</f>
        <v>45473900.5</v>
      </c>
      <c r="F22" s="7">
        <f>SUMIFS('HQ1'!$I:$I,'HQ1'!$A:$A, "="&amp;Report_HQ1!C22,'HQ1'!$B:$B, "="&amp;Report_HQ1!$F$6)</f>
        <v>95621680</v>
      </c>
      <c r="G22" s="7">
        <f>SUMIFS('HQ1'!$I:$I,'HQ1'!$A:$A, "="&amp;Report_HQ1!C22,'HQ1'!$B:$B, "="&amp;Report_HQ1!$G$6)</f>
        <v>1011953285.63</v>
      </c>
      <c r="H22" s="7">
        <f t="shared" si="3"/>
        <v>1114637938.1300001</v>
      </c>
      <c r="I22" s="7">
        <f>SUMIFS('HQ1'!$I:$I,'HQ1'!$A:$A, "="&amp;Report_HQ1!C22,'HQ1'!$B:$B, "Total")</f>
        <v>1114637938.1300001</v>
      </c>
      <c r="J22" s="24">
        <f t="shared" si="4"/>
        <v>0</v>
      </c>
    </row>
    <row r="23" spans="1:10" x14ac:dyDescent="0.25">
      <c r="A23" s="9" t="s">
        <v>300</v>
      </c>
      <c r="B23" t="s">
        <v>158</v>
      </c>
      <c r="C23" t="s">
        <v>59</v>
      </c>
      <c r="D23" s="7">
        <f>SUMIFS('HQ1'!$I:$I,'HQ1'!$A:$A, "="&amp;Report_HQ1!C23,'HQ1'!$B:$B, "="&amp;Report_HQ1!$D$6)</f>
        <v>527615650.88</v>
      </c>
      <c r="E23" s="7">
        <f>SUMIFS('HQ1'!$I:$I,'HQ1'!$A:$A, "="&amp;Report_HQ1!C23,'HQ1'!$B:$B, "="&amp;Report_HQ1!$E$6)</f>
        <v>9999122187.4400005</v>
      </c>
      <c r="F23" s="7">
        <f>SUMIFS('HQ1'!$I:$I,'HQ1'!$A:$A, "="&amp;Report_HQ1!C23,'HQ1'!$B:$B, "="&amp;Report_HQ1!$F$6)</f>
        <v>441632382</v>
      </c>
      <c r="G23" s="7">
        <f>SUMIFS('HQ1'!$I:$I,'HQ1'!$A:$A, "="&amp;Report_HQ1!C23,'HQ1'!$B:$B, "="&amp;Report_HQ1!$G$6)</f>
        <v>2892949938.79</v>
      </c>
      <c r="H23" s="7">
        <f t="shared" si="3"/>
        <v>13861320159.110001</v>
      </c>
      <c r="I23" s="7">
        <f>SUMIFS('HQ1'!$I:$I,'HQ1'!$A:$A, "="&amp;Report_HQ1!C23,'HQ1'!$B:$B, "Total")</f>
        <v>13861320159.110001</v>
      </c>
      <c r="J23" s="24">
        <f t="shared" si="4"/>
        <v>0</v>
      </c>
    </row>
    <row r="24" spans="1:10" x14ac:dyDescent="0.25">
      <c r="A24" s="9" t="s">
        <v>301</v>
      </c>
      <c r="B24" t="s">
        <v>159</v>
      </c>
      <c r="C24" t="s">
        <v>81</v>
      </c>
      <c r="D24" s="7">
        <f>SUMIFS('HQ1'!$I:$I,'HQ1'!$A:$A, "="&amp;Report_HQ1!C24,'HQ1'!$B:$B, "="&amp;Report_HQ1!$D$6)</f>
        <v>602552689.24000001</v>
      </c>
      <c r="E24" s="7">
        <f>SUMIFS('HQ1'!$I:$I,'HQ1'!$A:$A, "="&amp;Report_HQ1!C24,'HQ1'!$B:$B, "="&amp;Report_HQ1!$E$6)</f>
        <v>172193517.55000001</v>
      </c>
      <c r="F24" s="7">
        <f>SUMIFS('HQ1'!$I:$I,'HQ1'!$A:$A, "="&amp;Report_HQ1!C24,'HQ1'!$B:$B, "="&amp;Report_HQ1!$F$6)</f>
        <v>83164613</v>
      </c>
      <c r="G24" s="7">
        <f>SUMIFS('HQ1'!$I:$I,'HQ1'!$A:$A, "="&amp;Report_HQ1!C24,'HQ1'!$B:$B, "="&amp;Report_HQ1!$G$6)</f>
        <v>-1233913704.6399999</v>
      </c>
      <c r="H24" s="7">
        <f t="shared" si="3"/>
        <v>-376002884.8499999</v>
      </c>
      <c r="I24" s="7">
        <f>SUMIFS('HQ1'!$I:$I,'HQ1'!$A:$A, "="&amp;Report_HQ1!C24,'HQ1'!$B:$B, "Total")</f>
        <v>-376002884.8499999</v>
      </c>
      <c r="J24" s="24">
        <f t="shared" si="4"/>
        <v>0</v>
      </c>
    </row>
    <row r="25" spans="1:10" x14ac:dyDescent="0.25">
      <c r="A25" s="9" t="s">
        <v>302</v>
      </c>
      <c r="B25" t="s">
        <v>160</v>
      </c>
      <c r="C25" t="s">
        <v>120</v>
      </c>
      <c r="D25" s="7">
        <f>SUMIFS('HQ1'!$I:$I,'HQ1'!$A:$A, "="&amp;Report_HQ1!C25,'HQ1'!$B:$B, "="&amp;Report_HQ1!$D$6)</f>
        <v>278100874.25</v>
      </c>
      <c r="E25" s="7">
        <f>SUMIFS('HQ1'!$I:$I,'HQ1'!$A:$A, "="&amp;Report_HQ1!C25,'HQ1'!$B:$B, "="&amp;Report_HQ1!$E$6)</f>
        <v>1550317.5</v>
      </c>
      <c r="F25" s="7">
        <f>SUMIFS('HQ1'!$I:$I,'HQ1'!$A:$A, "="&amp;Report_HQ1!C25,'HQ1'!$B:$B, "="&amp;Report_HQ1!$F$6)</f>
        <v>640704</v>
      </c>
      <c r="G25" s="7">
        <f>SUMIFS('HQ1'!$I:$I,'HQ1'!$A:$A, "="&amp;Report_HQ1!C25,'HQ1'!$B:$B, "="&amp;Report_HQ1!$G$6)</f>
        <v>529033251.50999999</v>
      </c>
      <c r="H25" s="7">
        <f t="shared" si="3"/>
        <v>809325147.25999999</v>
      </c>
      <c r="I25" s="7">
        <f>SUMIFS('HQ1'!$I:$I,'HQ1'!$A:$A, "="&amp;Report_HQ1!C25,'HQ1'!$B:$B, "Total")</f>
        <v>809325147.25999999</v>
      </c>
      <c r="J25" s="24">
        <f t="shared" si="4"/>
        <v>0</v>
      </c>
    </row>
    <row r="26" spans="1:10" x14ac:dyDescent="0.25">
      <c r="A26" s="9" t="s">
        <v>303</v>
      </c>
      <c r="B26" t="s">
        <v>161</v>
      </c>
      <c r="C26" t="s">
        <v>111</v>
      </c>
      <c r="D26" s="7">
        <f>SUMIFS('HQ1'!$I:$I,'HQ1'!$A:$A, "="&amp;Report_HQ1!C26,'HQ1'!$B:$B, "="&amp;Report_HQ1!$D$6)</f>
        <v>-1865654344.25</v>
      </c>
      <c r="E26" s="7">
        <f>SUMIFS('HQ1'!$I:$I,'HQ1'!$A:$A, "="&amp;Report_HQ1!C26,'HQ1'!$B:$B, "="&amp;Report_HQ1!$E$6)</f>
        <v>19967146</v>
      </c>
      <c r="F26" s="7">
        <f>SUMIFS('HQ1'!$I:$I,'HQ1'!$A:$A, "="&amp;Report_HQ1!C26,'HQ1'!$B:$B, "="&amp;Report_HQ1!$F$6)</f>
        <v>763799</v>
      </c>
      <c r="G26" s="7">
        <f>SUMIFS('HQ1'!$I:$I,'HQ1'!$A:$A, "="&amp;Report_HQ1!C26,'HQ1'!$B:$B, "="&amp;Report_HQ1!$G$6)</f>
        <v>1043148204.4</v>
      </c>
      <c r="H26" s="7">
        <f t="shared" si="3"/>
        <v>-801775194.85000002</v>
      </c>
      <c r="I26" s="7">
        <f>SUMIFS('HQ1'!$I:$I,'HQ1'!$A:$A, "="&amp;Report_HQ1!C26,'HQ1'!$B:$B, "Total")</f>
        <v>-801775194.85000002</v>
      </c>
      <c r="J26" s="24">
        <f t="shared" si="4"/>
        <v>0</v>
      </c>
    </row>
    <row r="27" spans="1:10" x14ac:dyDescent="0.25">
      <c r="A27" s="9" t="s">
        <v>304</v>
      </c>
      <c r="B27" t="s">
        <v>162</v>
      </c>
      <c r="C27" t="s">
        <v>48</v>
      </c>
      <c r="D27" s="7">
        <f>SUMIFS('HQ1'!$I:$I,'HQ1'!$A:$A, "="&amp;Report_HQ1!C27,'HQ1'!$B:$B, "="&amp;Report_HQ1!$D$6)</f>
        <v>83139715.120000005</v>
      </c>
      <c r="E27" s="7">
        <f>SUMIFS('HQ1'!$I:$I,'HQ1'!$A:$A, "="&amp;Report_HQ1!C27,'HQ1'!$B:$B, "="&amp;Report_HQ1!$E$6)</f>
        <v>162851834.33999997</v>
      </c>
      <c r="F27" s="7">
        <f>SUMIFS('HQ1'!$I:$I,'HQ1'!$A:$A, "="&amp;Report_HQ1!C27,'HQ1'!$B:$B, "="&amp;Report_HQ1!$F$6)</f>
        <v>5904367</v>
      </c>
      <c r="G27" s="7">
        <f>SUMIFS('HQ1'!$I:$I,'HQ1'!$A:$A, "="&amp;Report_HQ1!C27,'HQ1'!$B:$B, "="&amp;Report_HQ1!$G$6)</f>
        <v>154114977.57000005</v>
      </c>
      <c r="H27" s="7">
        <f t="shared" si="3"/>
        <v>406010894.03000003</v>
      </c>
      <c r="I27" s="7">
        <f>SUMIFS('HQ1'!$I:$I,'HQ1'!$A:$A, "="&amp;Report_HQ1!C27,'HQ1'!$B:$B, "Total")</f>
        <v>406010894.03000003</v>
      </c>
      <c r="J27" s="24">
        <f t="shared" si="4"/>
        <v>0</v>
      </c>
    </row>
    <row r="28" spans="1:10" x14ac:dyDescent="0.25">
      <c r="A28" s="9" t="s">
        <v>305</v>
      </c>
      <c r="B28" t="s">
        <v>163</v>
      </c>
      <c r="C28" t="s">
        <v>118</v>
      </c>
      <c r="D28" s="7">
        <f>SUMIFS('HQ1'!$I:$I,'HQ1'!$A:$A, "="&amp;Report_HQ1!C28,'HQ1'!$B:$B, "="&amp;Report_HQ1!$D$6)</f>
        <v>79241782.430000007</v>
      </c>
      <c r="E28" s="7">
        <f>SUMIFS('HQ1'!$I:$I,'HQ1'!$A:$A, "="&amp;Report_HQ1!C28,'HQ1'!$B:$B, "="&amp;Report_HQ1!$E$6)</f>
        <v>575499840.89999998</v>
      </c>
      <c r="F28" s="7">
        <f>SUMIFS('HQ1'!$I:$I,'HQ1'!$A:$A, "="&amp;Report_HQ1!C28,'HQ1'!$B:$B, "="&amp;Report_HQ1!$F$6)</f>
        <v>6627730</v>
      </c>
      <c r="G28" s="7">
        <f>SUMIFS('HQ1'!$I:$I,'HQ1'!$A:$A, "="&amp;Report_HQ1!C28,'HQ1'!$B:$B, "="&amp;Report_HQ1!$G$6)</f>
        <v>1019064575.4300001</v>
      </c>
      <c r="H28" s="7">
        <f t="shared" si="3"/>
        <v>1680433928.76</v>
      </c>
      <c r="I28" s="7">
        <f>SUMIFS('HQ1'!$I:$I,'HQ1'!$A:$A, "="&amp;Report_HQ1!C28,'HQ1'!$B:$B, "Total")</f>
        <v>1680433928.76</v>
      </c>
      <c r="J28" s="24">
        <f t="shared" si="4"/>
        <v>0</v>
      </c>
    </row>
    <row r="29" spans="1:10" x14ac:dyDescent="0.25">
      <c r="A29" s="9" t="s">
        <v>306</v>
      </c>
      <c r="B29" t="s">
        <v>164</v>
      </c>
      <c r="C29" t="s">
        <v>71</v>
      </c>
      <c r="D29" s="7">
        <f>SUMIFS('HQ1'!$I:$I,'HQ1'!$A:$A, "="&amp;Report_HQ1!C29,'HQ1'!$B:$B, "="&amp;Report_HQ1!$D$6)</f>
        <v>896161467.28999996</v>
      </c>
      <c r="E29" s="7">
        <f>SUMIFS('HQ1'!$I:$I,'HQ1'!$A:$A, "="&amp;Report_HQ1!C29,'HQ1'!$B:$B, "="&amp;Report_HQ1!$E$6)</f>
        <v>-1160396634.3000002</v>
      </c>
      <c r="F29" s="7">
        <f>SUMIFS('HQ1'!$I:$I,'HQ1'!$A:$A, "="&amp;Report_HQ1!C29,'HQ1'!$B:$B, "="&amp;Report_HQ1!$F$6)</f>
        <v>1204611670.8000002</v>
      </c>
      <c r="G29" s="7">
        <f>SUMIFS('HQ1'!$I:$I,'HQ1'!$A:$A, "="&amp;Report_HQ1!C29,'HQ1'!$B:$B, "="&amp;Report_HQ1!$G$6)</f>
        <v>-9991564082.7200012</v>
      </c>
      <c r="H29" s="7">
        <f t="shared" si="3"/>
        <v>-9051187578.9300003</v>
      </c>
      <c r="I29" s="7">
        <f>SUMIFS('HQ1'!$I:$I,'HQ1'!$A:$A, "="&amp;Report_HQ1!C29,'HQ1'!$B:$B, "Total")</f>
        <v>-9051187578.9300003</v>
      </c>
      <c r="J29" s="24">
        <f t="shared" si="4"/>
        <v>0</v>
      </c>
    </row>
    <row r="30" spans="1:10" x14ac:dyDescent="0.25">
      <c r="A30" s="9" t="s">
        <v>307</v>
      </c>
      <c r="B30" t="s">
        <v>165</v>
      </c>
      <c r="C30" t="s">
        <v>92</v>
      </c>
      <c r="D30" s="7">
        <f>SUMIFS('HQ1'!$I:$I,'HQ1'!$A:$A, "="&amp;Report_HQ1!C30,'HQ1'!$B:$B, "="&amp;Report_HQ1!$D$6)</f>
        <v>-2764657906.9200001</v>
      </c>
      <c r="E30" s="7">
        <f>SUMIFS('HQ1'!$I:$I,'HQ1'!$A:$A, "="&amp;Report_HQ1!C30,'HQ1'!$B:$B, "="&amp;Report_HQ1!$E$6)</f>
        <v>1005974812.0900002</v>
      </c>
      <c r="F30" s="7">
        <f>SUMIFS('HQ1'!$I:$I,'HQ1'!$A:$A, "="&amp;Report_HQ1!C30,'HQ1'!$B:$B, "="&amp;Report_HQ1!$F$6)</f>
        <v>80033073.699999988</v>
      </c>
      <c r="G30" s="7">
        <f>SUMIFS('HQ1'!$I:$I,'HQ1'!$A:$A, "="&amp;Report_HQ1!C30,'HQ1'!$B:$B, "="&amp;Report_HQ1!$G$6)</f>
        <v>1330982591.0799999</v>
      </c>
      <c r="H30" s="7">
        <f t="shared" si="3"/>
        <v>-347667430.04999995</v>
      </c>
      <c r="I30" s="7">
        <f>SUMIFS('HQ1'!$I:$I,'HQ1'!$A:$A, "="&amp;Report_HQ1!C30,'HQ1'!$B:$B, "Total")</f>
        <v>-347667430.04999995</v>
      </c>
      <c r="J30" s="24">
        <f t="shared" si="4"/>
        <v>0</v>
      </c>
    </row>
    <row r="31" spans="1:10" x14ac:dyDescent="0.25">
      <c r="A31" s="9" t="s">
        <v>308</v>
      </c>
      <c r="B31" t="s">
        <v>166</v>
      </c>
      <c r="C31" t="s">
        <v>60</v>
      </c>
      <c r="D31" s="7">
        <f>SUMIFS('HQ1'!$I:$I,'HQ1'!$A:$A, "="&amp;Report_HQ1!C31,'HQ1'!$B:$B, "="&amp;Report_HQ1!$D$6)</f>
        <v>-6563517821.0799999</v>
      </c>
      <c r="E31" s="7">
        <f>SUMIFS('HQ1'!$I:$I,'HQ1'!$A:$A, "="&amp;Report_HQ1!C31,'HQ1'!$B:$B, "="&amp;Report_HQ1!$E$6)</f>
        <v>60464580.410000004</v>
      </c>
      <c r="F31" s="7">
        <f>SUMIFS('HQ1'!$I:$I,'HQ1'!$A:$A, "="&amp;Report_HQ1!C31,'HQ1'!$B:$B, "="&amp;Report_HQ1!$F$6)</f>
        <v>11905791.800000001</v>
      </c>
      <c r="G31" s="7">
        <f>SUMIFS('HQ1'!$I:$I,'HQ1'!$A:$A, "="&amp;Report_HQ1!C31,'HQ1'!$B:$B, "="&amp;Report_HQ1!$G$6)</f>
        <v>1361734486.54</v>
      </c>
      <c r="H31" s="7">
        <f t="shared" si="3"/>
        <v>-5129412962.3299999</v>
      </c>
      <c r="I31" s="7">
        <f>SUMIFS('HQ1'!$I:$I,'HQ1'!$A:$A, "="&amp;Report_HQ1!C31,'HQ1'!$B:$B, "Total")</f>
        <v>-5129412962.3299999</v>
      </c>
      <c r="J31" s="24">
        <f t="shared" si="4"/>
        <v>0</v>
      </c>
    </row>
    <row r="32" spans="1:10" x14ac:dyDescent="0.25">
      <c r="A32" s="9" t="s">
        <v>309</v>
      </c>
      <c r="B32" t="s">
        <v>167</v>
      </c>
      <c r="C32" t="s">
        <v>65</v>
      </c>
      <c r="D32" s="7">
        <f>SUMIFS('HQ1'!$I:$I,'HQ1'!$A:$A, "="&amp;Report_HQ1!C32,'HQ1'!$B:$B, "="&amp;Report_HQ1!$D$6)</f>
        <v>777419494.42999995</v>
      </c>
      <c r="E32" s="7">
        <f>SUMIFS('HQ1'!$I:$I,'HQ1'!$A:$A, "="&amp;Report_HQ1!C32,'HQ1'!$B:$B, "="&amp;Report_HQ1!$E$6)</f>
        <v>2822520256.1799998</v>
      </c>
      <c r="F32" s="7">
        <f>SUMIFS('HQ1'!$I:$I,'HQ1'!$A:$A, "="&amp;Report_HQ1!C32,'HQ1'!$B:$B, "="&amp;Report_HQ1!$F$6)</f>
        <v>147700054.60000002</v>
      </c>
      <c r="G32" s="7">
        <f>SUMIFS('HQ1'!$I:$I,'HQ1'!$A:$A, "="&amp;Report_HQ1!C32,'HQ1'!$B:$B, "="&amp;Report_HQ1!$G$6)</f>
        <v>1828377202.8299999</v>
      </c>
      <c r="H32" s="7">
        <f t="shared" si="3"/>
        <v>5576017008.039999</v>
      </c>
      <c r="I32" s="7">
        <f>SUMIFS('HQ1'!$I:$I,'HQ1'!$A:$A, "="&amp;Report_HQ1!C32,'HQ1'!$B:$B, "Total")</f>
        <v>5576017008.039999</v>
      </c>
      <c r="J32" s="24">
        <f t="shared" si="4"/>
        <v>0</v>
      </c>
    </row>
    <row r="33" spans="1:10" x14ac:dyDescent="0.25">
      <c r="A33" s="9" t="s">
        <v>310</v>
      </c>
      <c r="B33" t="s">
        <v>168</v>
      </c>
      <c r="C33" t="s">
        <v>74</v>
      </c>
      <c r="D33" s="7">
        <f>SUMIFS('HQ1'!$I:$I,'HQ1'!$A:$A, "="&amp;Report_HQ1!C33,'HQ1'!$B:$B, "="&amp;Report_HQ1!$D$6)</f>
        <v>692263921.25</v>
      </c>
      <c r="E33" s="7">
        <f>SUMIFS('HQ1'!$I:$I,'HQ1'!$A:$A, "="&amp;Report_HQ1!C33,'HQ1'!$B:$B, "="&amp;Report_HQ1!$E$6)</f>
        <v>696416153.87</v>
      </c>
      <c r="F33" s="7">
        <f>SUMIFS('HQ1'!$I:$I,'HQ1'!$A:$A, "="&amp;Report_HQ1!C33,'HQ1'!$B:$B, "="&amp;Report_HQ1!$F$6)</f>
        <v>-1504405</v>
      </c>
      <c r="G33" s="7">
        <f>SUMIFS('HQ1'!$I:$I,'HQ1'!$A:$A, "="&amp;Report_HQ1!C33,'HQ1'!$B:$B, "="&amp;Report_HQ1!$G$6)</f>
        <v>2083591686.9100001</v>
      </c>
      <c r="H33" s="7">
        <f t="shared" si="3"/>
        <v>3470767357.0299997</v>
      </c>
      <c r="I33" s="7">
        <f>SUMIFS('HQ1'!$I:$I,'HQ1'!$A:$A, "="&amp;Report_HQ1!C33,'HQ1'!$B:$B, "Total")</f>
        <v>3470767357.0299997</v>
      </c>
      <c r="J33" s="24">
        <f t="shared" si="4"/>
        <v>0</v>
      </c>
    </row>
    <row r="34" spans="1:10" x14ac:dyDescent="0.25">
      <c r="A34" s="9" t="s">
        <v>311</v>
      </c>
      <c r="B34" t="s">
        <v>169</v>
      </c>
      <c r="C34" t="s">
        <v>119</v>
      </c>
      <c r="D34" s="7">
        <f>SUMIFS('HQ1'!$I:$I,'HQ1'!$A:$A, "="&amp;Report_HQ1!C34,'HQ1'!$B:$B, "="&amp;Report_HQ1!$D$6)</f>
        <v>117899653.58</v>
      </c>
      <c r="E34" s="7">
        <f>SUMIFS('HQ1'!$I:$I,'HQ1'!$A:$A, "="&amp;Report_HQ1!C34,'HQ1'!$B:$B, "="&amp;Report_HQ1!$E$6)</f>
        <v>-42851571.279999994</v>
      </c>
      <c r="F34" s="7">
        <f>SUMIFS('HQ1'!$I:$I,'HQ1'!$A:$A, "="&amp;Report_HQ1!C34,'HQ1'!$B:$B, "="&amp;Report_HQ1!$F$6)</f>
        <v>39232925</v>
      </c>
      <c r="G34" s="7">
        <f>SUMIFS('HQ1'!$I:$I,'HQ1'!$A:$A, "="&amp;Report_HQ1!C34,'HQ1'!$B:$B, "="&amp;Report_HQ1!$G$6)</f>
        <v>440490205.40000021</v>
      </c>
      <c r="H34" s="7">
        <f t="shared" si="3"/>
        <v>554771212.70000029</v>
      </c>
      <c r="I34" s="7">
        <f>SUMIFS('HQ1'!$I:$I,'HQ1'!$A:$A, "="&amp;Report_HQ1!C34,'HQ1'!$B:$B, "Total")</f>
        <v>554771212.70000029</v>
      </c>
      <c r="J34" s="24">
        <f t="shared" si="4"/>
        <v>0</v>
      </c>
    </row>
    <row r="35" spans="1:10" x14ac:dyDescent="0.25">
      <c r="A35" s="9" t="s">
        <v>312</v>
      </c>
      <c r="B35" t="s">
        <v>170</v>
      </c>
      <c r="C35" t="s">
        <v>103</v>
      </c>
      <c r="D35" s="7">
        <f>SUMIFS('HQ1'!$I:$I,'HQ1'!$A:$A, "="&amp;Report_HQ1!C35,'HQ1'!$B:$B, "="&amp;Report_HQ1!$D$6)</f>
        <v>-976814830.02999997</v>
      </c>
      <c r="E35" s="7">
        <f>SUMIFS('HQ1'!$I:$I,'HQ1'!$A:$A, "="&amp;Report_HQ1!C35,'HQ1'!$B:$B, "="&amp;Report_HQ1!$E$6)</f>
        <v>57571990.5</v>
      </c>
      <c r="F35" s="7">
        <f>SUMIFS('HQ1'!$I:$I,'HQ1'!$A:$A, "="&amp;Report_HQ1!C35,'HQ1'!$B:$B, "="&amp;Report_HQ1!$F$6)</f>
        <v>2158387</v>
      </c>
      <c r="G35" s="7">
        <f>SUMIFS('HQ1'!$I:$I,'HQ1'!$A:$A, "="&amp;Report_HQ1!C35,'HQ1'!$B:$B, "="&amp;Report_HQ1!$G$6)</f>
        <v>672098748.54000056</v>
      </c>
      <c r="H35" s="7">
        <f t="shared" si="3"/>
        <v>-244985703.98999941</v>
      </c>
      <c r="I35" s="7">
        <f>SUMIFS('HQ1'!$I:$I,'HQ1'!$A:$A, "="&amp;Report_HQ1!C35,'HQ1'!$B:$B, "Total")</f>
        <v>-244985703.98999941</v>
      </c>
      <c r="J35" s="24">
        <f t="shared" si="4"/>
        <v>0</v>
      </c>
    </row>
    <row r="36" spans="1:10" x14ac:dyDescent="0.25">
      <c r="A36" s="9" t="s">
        <v>313</v>
      </c>
      <c r="B36" t="s">
        <v>171</v>
      </c>
      <c r="C36" t="s">
        <v>53</v>
      </c>
      <c r="D36" s="7">
        <f>SUMIFS('HQ1'!$I:$I,'HQ1'!$A:$A, "="&amp;Report_HQ1!C36,'HQ1'!$B:$B, "="&amp;Report_HQ1!$D$6)</f>
        <v>4028347286.5700002</v>
      </c>
      <c r="E36" s="7">
        <f>SUMIFS('HQ1'!$I:$I,'HQ1'!$A:$A, "="&amp;Report_HQ1!C36,'HQ1'!$B:$B, "="&amp;Report_HQ1!$E$6)</f>
        <v>23598486295.439999</v>
      </c>
      <c r="F36" s="7">
        <f>SUMIFS('HQ1'!$I:$I,'HQ1'!$A:$A, "="&amp;Report_HQ1!C36,'HQ1'!$B:$B, "="&amp;Report_HQ1!$F$6)</f>
        <v>954007784.26999986</v>
      </c>
      <c r="G36" s="7">
        <f>SUMIFS('HQ1'!$I:$I,'HQ1'!$A:$A, "="&amp;Report_HQ1!C36,'HQ1'!$B:$B, "="&amp;Report_HQ1!$G$6)</f>
        <v>4519140933.4400015</v>
      </c>
      <c r="H36" s="7">
        <f t="shared" si="3"/>
        <v>33099982299.720001</v>
      </c>
      <c r="I36" s="7">
        <f>SUMIFS('HQ1'!$I:$I,'HQ1'!$A:$A, "="&amp;Report_HQ1!C36,'HQ1'!$B:$B, "Total")</f>
        <v>33099982299.720001</v>
      </c>
      <c r="J36" s="24">
        <f t="shared" si="4"/>
        <v>0</v>
      </c>
    </row>
    <row r="37" spans="1:10" x14ac:dyDescent="0.25">
      <c r="A37" s="9" t="s">
        <v>314</v>
      </c>
      <c r="B37" t="s">
        <v>172</v>
      </c>
      <c r="C37" t="s">
        <v>64</v>
      </c>
      <c r="D37" s="7">
        <f>SUMIFS('HQ1'!$I:$I,'HQ1'!$A:$A, "="&amp;Report_HQ1!C37,'HQ1'!$B:$B, "="&amp;Report_HQ1!$D$6)</f>
        <v>470475705.52999997</v>
      </c>
      <c r="E37" s="7">
        <f>SUMIFS('HQ1'!$I:$I,'HQ1'!$A:$A, "="&amp;Report_HQ1!C37,'HQ1'!$B:$B, "="&amp;Report_HQ1!$E$6)</f>
        <v>37608919151.200005</v>
      </c>
      <c r="F37" s="7">
        <f>SUMIFS('HQ1'!$I:$I,'HQ1'!$A:$A, "="&amp;Report_HQ1!C37,'HQ1'!$B:$B, "="&amp;Report_HQ1!$F$6)</f>
        <v>247375271.10000002</v>
      </c>
      <c r="G37" s="7">
        <f>SUMIFS('HQ1'!$I:$I,'HQ1'!$A:$A, "="&amp;Report_HQ1!C37,'HQ1'!$B:$B, "="&amp;Report_HQ1!$G$6)</f>
        <v>8036901064.4199982</v>
      </c>
      <c r="H37" s="7">
        <f t="shared" si="3"/>
        <v>46363671192.25</v>
      </c>
      <c r="I37" s="7">
        <f>SUMIFS('HQ1'!$I:$I,'HQ1'!$A:$A, "="&amp;Report_HQ1!C37,'HQ1'!$B:$B, "Total")</f>
        <v>46363671192.25</v>
      </c>
      <c r="J37" s="24">
        <f t="shared" si="4"/>
        <v>0</v>
      </c>
    </row>
    <row r="38" spans="1:10" x14ac:dyDescent="0.25">
      <c r="A38" s="9" t="s">
        <v>315</v>
      </c>
      <c r="B38" t="s">
        <v>173</v>
      </c>
      <c r="C38" t="s">
        <v>104</v>
      </c>
      <c r="D38" s="7">
        <f>SUMIFS('HQ1'!$I:$I,'HQ1'!$A:$A, "="&amp;Report_HQ1!C38,'HQ1'!$B:$B, "="&amp;Report_HQ1!$D$6)</f>
        <v>708435910.84000003</v>
      </c>
      <c r="E38" s="7">
        <f>SUMIFS('HQ1'!$I:$I,'HQ1'!$A:$A, "="&amp;Report_HQ1!C38,'HQ1'!$B:$B, "="&amp;Report_HQ1!$E$6)</f>
        <v>72288817</v>
      </c>
      <c r="F38" s="7">
        <f>SUMIFS('HQ1'!$I:$I,'HQ1'!$A:$A, "="&amp;Report_HQ1!C38,'HQ1'!$B:$B, "="&amp;Report_HQ1!$F$6)</f>
        <v>23478704</v>
      </c>
      <c r="G38" s="7">
        <f>SUMIFS('HQ1'!$I:$I,'HQ1'!$A:$A, "="&amp;Report_HQ1!C38,'HQ1'!$B:$B, "="&amp;Report_HQ1!$G$6)</f>
        <v>309052237.83999944</v>
      </c>
      <c r="H38" s="7">
        <f t="shared" si="3"/>
        <v>1113255669.6799994</v>
      </c>
      <c r="I38" s="7">
        <f>SUMIFS('HQ1'!$I:$I,'HQ1'!$A:$A, "="&amp;Report_HQ1!C38,'HQ1'!$B:$B, "Total")</f>
        <v>1113255669.6799994</v>
      </c>
      <c r="J38" s="24">
        <f t="shared" si="4"/>
        <v>0</v>
      </c>
    </row>
    <row r="39" spans="1:10" x14ac:dyDescent="0.25">
      <c r="A39" s="9" t="s">
        <v>316</v>
      </c>
      <c r="B39" t="s">
        <v>174</v>
      </c>
      <c r="C39" t="s">
        <v>87</v>
      </c>
      <c r="D39" s="7">
        <f>SUMIFS('HQ1'!$I:$I,'HQ1'!$A:$A, "="&amp;Report_HQ1!C39,'HQ1'!$B:$B, "="&amp;Report_HQ1!$D$6)</f>
        <v>-3674068193.75</v>
      </c>
      <c r="E39" s="7">
        <f>SUMIFS('HQ1'!$I:$I,'HQ1'!$A:$A, "="&amp;Report_HQ1!C39,'HQ1'!$B:$B, "="&amp;Report_HQ1!$E$6)</f>
        <v>53055605.600000024</v>
      </c>
      <c r="F39" s="7">
        <f>SUMIFS('HQ1'!$I:$I,'HQ1'!$A:$A, "="&amp;Report_HQ1!C39,'HQ1'!$B:$B, "="&amp;Report_HQ1!$F$6)</f>
        <v>63537153.599999994</v>
      </c>
      <c r="G39" s="7">
        <f>SUMIFS('HQ1'!$I:$I,'HQ1'!$A:$A, "="&amp;Report_HQ1!C39,'HQ1'!$B:$B, "="&amp;Report_HQ1!$G$6)</f>
        <v>808116595.47000003</v>
      </c>
      <c r="H39" s="7">
        <f t="shared" si="3"/>
        <v>-2749358839.0799999</v>
      </c>
      <c r="I39" s="7">
        <f>SUMIFS('HQ1'!$I:$I,'HQ1'!$A:$A, "="&amp;Report_HQ1!C39,'HQ1'!$B:$B, "Total")</f>
        <v>-2749358839.0799999</v>
      </c>
      <c r="J39" s="24">
        <f t="shared" si="4"/>
        <v>0</v>
      </c>
    </row>
    <row r="40" spans="1:10" x14ac:dyDescent="0.25">
      <c r="A40" s="9" t="s">
        <v>317</v>
      </c>
      <c r="B40" t="s">
        <v>175</v>
      </c>
      <c r="C40" t="s">
        <v>47</v>
      </c>
      <c r="D40" s="7">
        <f>SUMIFS('HQ1'!$I:$I,'HQ1'!$A:$A, "="&amp;Report_HQ1!C40,'HQ1'!$B:$B, "="&amp;Report_HQ1!$D$6)</f>
        <v>777674827.06999993</v>
      </c>
      <c r="E40" s="7">
        <f>SUMIFS('HQ1'!$I:$I,'HQ1'!$A:$A, "="&amp;Report_HQ1!C40,'HQ1'!$B:$B, "="&amp;Report_HQ1!$E$6)</f>
        <v>2263898720.6499996</v>
      </c>
      <c r="F40" s="7">
        <f>SUMIFS('HQ1'!$I:$I,'HQ1'!$A:$A, "="&amp;Report_HQ1!C40,'HQ1'!$B:$B, "="&amp;Report_HQ1!$F$6)</f>
        <v>70275092.899999991</v>
      </c>
      <c r="G40" s="7">
        <f>SUMIFS('HQ1'!$I:$I,'HQ1'!$A:$A, "="&amp;Report_HQ1!C40,'HQ1'!$B:$B, "="&amp;Report_HQ1!$G$6)</f>
        <v>1643231652.9400001</v>
      </c>
      <c r="H40" s="7">
        <f t="shared" si="3"/>
        <v>4755080293.5599995</v>
      </c>
      <c r="I40" s="7">
        <f>SUMIFS('HQ1'!$I:$I,'HQ1'!$A:$A, "="&amp;Report_HQ1!C40,'HQ1'!$B:$B, "Total")</f>
        <v>4755080293.5599995</v>
      </c>
      <c r="J40" s="24">
        <f t="shared" si="4"/>
        <v>0</v>
      </c>
    </row>
    <row r="41" spans="1:10" x14ac:dyDescent="0.25">
      <c r="A41" s="9" t="s">
        <v>318</v>
      </c>
      <c r="B41" t="s">
        <v>176</v>
      </c>
      <c r="C41" t="s">
        <v>113</v>
      </c>
      <c r="D41" s="7">
        <f>SUMIFS('HQ1'!$I:$I,'HQ1'!$A:$A, "="&amp;Report_HQ1!C41,'HQ1'!$B:$B, "="&amp;Report_HQ1!$D$6)</f>
        <v>-1396170202.76</v>
      </c>
      <c r="E41" s="7">
        <f>SUMIFS('HQ1'!$I:$I,'HQ1'!$A:$A, "="&amp;Report_HQ1!C41,'HQ1'!$B:$B, "="&amp;Report_HQ1!$E$6)</f>
        <v>11958844.639999978</v>
      </c>
      <c r="F41" s="7">
        <f>SUMIFS('HQ1'!$I:$I,'HQ1'!$A:$A, "="&amp;Report_HQ1!C41,'HQ1'!$B:$B, "="&amp;Report_HQ1!$F$6)</f>
        <v>13611891</v>
      </c>
      <c r="G41" s="7">
        <f>SUMIFS('HQ1'!$I:$I,'HQ1'!$A:$A, "="&amp;Report_HQ1!C41,'HQ1'!$B:$B, "="&amp;Report_HQ1!$G$6)</f>
        <v>-597907511.85000002</v>
      </c>
      <c r="H41" s="7">
        <f t="shared" si="3"/>
        <v>-1968506978.9700003</v>
      </c>
      <c r="I41" s="7">
        <f>SUMIFS('HQ1'!$I:$I,'HQ1'!$A:$A, "="&amp;Report_HQ1!C41,'HQ1'!$B:$B, "Total")</f>
        <v>-1968506978.9700003</v>
      </c>
      <c r="J41" s="24">
        <f t="shared" si="4"/>
        <v>0</v>
      </c>
    </row>
    <row r="42" spans="1:10" x14ac:dyDescent="0.25">
      <c r="A42" s="9" t="s">
        <v>319</v>
      </c>
      <c r="B42" t="s">
        <v>177</v>
      </c>
      <c r="C42" t="s">
        <v>122</v>
      </c>
      <c r="D42" s="7">
        <f>SUMIFS('HQ1'!$I:$I,'HQ1'!$A:$A, "="&amp;Report_HQ1!C42,'HQ1'!$B:$B, "="&amp;Report_HQ1!$D$6)</f>
        <v>25613888.949999999</v>
      </c>
      <c r="E42" s="7">
        <f>SUMIFS('HQ1'!$I:$I,'HQ1'!$A:$A, "="&amp;Report_HQ1!C42,'HQ1'!$B:$B, "="&amp;Report_HQ1!$E$6)</f>
        <v>-31286770.060000025</v>
      </c>
      <c r="F42" s="7">
        <f>SUMIFS('HQ1'!$I:$I,'HQ1'!$A:$A, "="&amp;Report_HQ1!C42,'HQ1'!$B:$B, "="&amp;Report_HQ1!$F$6)</f>
        <v>144439131</v>
      </c>
      <c r="G42" s="7">
        <f>SUMIFS('HQ1'!$I:$I,'HQ1'!$A:$A, "="&amp;Report_HQ1!C42,'HQ1'!$B:$B, "="&amp;Report_HQ1!$G$6)</f>
        <v>976490110.20000005</v>
      </c>
      <c r="H42" s="7">
        <f t="shared" si="3"/>
        <v>1115256360.0900002</v>
      </c>
      <c r="I42" s="7">
        <f>SUMIFS('HQ1'!$I:$I,'HQ1'!$A:$A, "="&amp;Report_HQ1!C42,'HQ1'!$B:$B, "Total")</f>
        <v>1115256360.0900002</v>
      </c>
      <c r="J42" s="24">
        <f t="shared" si="4"/>
        <v>0</v>
      </c>
    </row>
    <row r="43" spans="1:10" x14ac:dyDescent="0.25">
      <c r="A43" s="9" t="s">
        <v>320</v>
      </c>
      <c r="B43" t="s">
        <v>178</v>
      </c>
      <c r="C43" t="s">
        <v>72</v>
      </c>
      <c r="D43" s="7">
        <f>SUMIFS('HQ1'!$I:$I,'HQ1'!$A:$A, "="&amp;Report_HQ1!C43,'HQ1'!$B:$B, "="&amp;Report_HQ1!$D$6)</f>
        <v>-2596414145.8000002</v>
      </c>
      <c r="E43" s="7">
        <f>SUMIFS('HQ1'!$I:$I,'HQ1'!$A:$A, "="&amp;Report_HQ1!C43,'HQ1'!$B:$B, "="&amp;Report_HQ1!$E$6)</f>
        <v>389559968.30000001</v>
      </c>
      <c r="F43" s="7">
        <f>SUMIFS('HQ1'!$I:$I,'HQ1'!$A:$A, "="&amp;Report_HQ1!C43,'HQ1'!$B:$B, "="&amp;Report_HQ1!$F$6)</f>
        <v>6319135</v>
      </c>
      <c r="G43" s="7">
        <f>SUMIFS('HQ1'!$I:$I,'HQ1'!$A:$A, "="&amp;Report_HQ1!C43,'HQ1'!$B:$B, "="&amp;Report_HQ1!$G$6)</f>
        <v>-1146348074.5799999</v>
      </c>
      <c r="H43" s="7">
        <f t="shared" si="3"/>
        <v>-3346883117.0799999</v>
      </c>
      <c r="I43" s="7">
        <f>SUMIFS('HQ1'!$I:$I,'HQ1'!$A:$A, "="&amp;Report_HQ1!C43,'HQ1'!$B:$B, "Total")</f>
        <v>-3346883117.0799999</v>
      </c>
      <c r="J43" s="24">
        <f t="shared" si="4"/>
        <v>0</v>
      </c>
    </row>
    <row r="44" spans="1:10" x14ac:dyDescent="0.25">
      <c r="A44" s="36" t="s">
        <v>321</v>
      </c>
      <c r="B44" s="30" t="s">
        <v>179</v>
      </c>
      <c r="C44" s="30" t="s">
        <v>57</v>
      </c>
      <c r="D44" s="7">
        <f>SUMIFS('HQ1'!$I:$I,'HQ1'!$A:$A, "="&amp;Report_HQ1!C44,'HQ1'!$B:$B, "="&amp;Report_HQ1!$D$6)</f>
        <v>737379623.70000005</v>
      </c>
      <c r="E44" s="7">
        <f>SUMIFS('HQ1'!$I:$I,'HQ1'!$A:$A, "="&amp;Report_HQ1!C44,'HQ1'!$B:$B, "="&amp;Report_HQ1!$E$6)</f>
        <v>1876874831.71</v>
      </c>
      <c r="F44" s="7">
        <f>SUMIFS('HQ1'!$I:$I,'HQ1'!$A:$A, "="&amp;Report_HQ1!C44,'HQ1'!$B:$B, "="&amp;Report_HQ1!$F$6)</f>
        <v>57693812.300000012</v>
      </c>
      <c r="G44" s="7">
        <f>SUMIFS('HQ1'!$I:$I,'HQ1'!$A:$A, "="&amp;Report_HQ1!C44,'HQ1'!$B:$B, "="&amp;Report_HQ1!$G$6)</f>
        <v>-1104705294.190001</v>
      </c>
      <c r="H44" s="7">
        <f t="shared" si="3"/>
        <v>1567242973.519999</v>
      </c>
      <c r="I44" s="7">
        <f>SUMIFS('HQ1'!$I:$I,'HQ1'!$A:$A, "="&amp;Report_HQ1!C44,'HQ1'!$B:$B, "Total")</f>
        <v>1567242973.519999</v>
      </c>
      <c r="J44" s="24">
        <f t="shared" si="4"/>
        <v>0</v>
      </c>
    </row>
    <row r="45" spans="1:10" x14ac:dyDescent="0.25">
      <c r="A45" s="9" t="s">
        <v>322</v>
      </c>
      <c r="B45" t="s">
        <v>180</v>
      </c>
      <c r="C45" t="s">
        <v>67</v>
      </c>
      <c r="D45" s="7">
        <f>SUMIFS('HQ1'!$I:$I,'HQ1'!$A:$A, "="&amp;Report_HQ1!C45,'HQ1'!$B:$B, "="&amp;Report_HQ1!$D$6)</f>
        <v>1235139627.2</v>
      </c>
      <c r="E45" s="7">
        <f>SUMIFS('HQ1'!$I:$I,'HQ1'!$A:$A, "="&amp;Report_HQ1!C45,'HQ1'!$B:$B, "="&amp;Report_HQ1!$E$6)</f>
        <v>93363281.550000012</v>
      </c>
      <c r="F45" s="7">
        <f>SUMIFS('HQ1'!$I:$I,'HQ1'!$A:$A, "="&amp;Report_HQ1!C45,'HQ1'!$B:$B, "="&amp;Report_HQ1!$F$6)</f>
        <v>193056104</v>
      </c>
      <c r="G45" s="7">
        <f>SUMIFS('HQ1'!$I:$I,'HQ1'!$A:$A, "="&amp;Report_HQ1!C45,'HQ1'!$B:$B, "="&amp;Report_HQ1!$G$6)</f>
        <v>865440789</v>
      </c>
      <c r="H45" s="7">
        <f t="shared" si="3"/>
        <v>2386999801.75</v>
      </c>
      <c r="I45" s="7">
        <f>SUMIFS('HQ1'!$I:$I,'HQ1'!$A:$A, "="&amp;Report_HQ1!C45,'HQ1'!$B:$B, "Total")</f>
        <v>2386999801.75</v>
      </c>
      <c r="J45" s="24">
        <f t="shared" si="4"/>
        <v>0</v>
      </c>
    </row>
    <row r="46" spans="1:10" x14ac:dyDescent="0.25">
      <c r="A46" s="9" t="s">
        <v>323</v>
      </c>
      <c r="B46" t="s">
        <v>181</v>
      </c>
      <c r="C46" t="s">
        <v>125</v>
      </c>
      <c r="D46" s="7">
        <f>SUMIFS('HQ1'!$I:$I,'HQ1'!$A:$A, "="&amp;Report_HQ1!C46,'HQ1'!$B:$B, "="&amp;Report_HQ1!$D$6)</f>
        <v>-50787471.5</v>
      </c>
      <c r="E46" s="7">
        <f>SUMIFS('HQ1'!$I:$I,'HQ1'!$A:$A, "="&amp;Report_HQ1!C46,'HQ1'!$B:$B, "="&amp;Report_HQ1!$E$6)</f>
        <v>39529412</v>
      </c>
      <c r="F46" s="7">
        <f>SUMIFS('HQ1'!$I:$I,'HQ1'!$A:$A, "="&amp;Report_HQ1!C46,'HQ1'!$B:$B, "="&amp;Report_HQ1!$F$6)</f>
        <v>996056</v>
      </c>
      <c r="G46" s="7">
        <f>SUMIFS('HQ1'!$I:$I,'HQ1'!$A:$A, "="&amp;Report_HQ1!C46,'HQ1'!$B:$B, "="&amp;Report_HQ1!$G$6)</f>
        <v>-723397985.64999962</v>
      </c>
      <c r="H46" s="7">
        <f t="shared" si="3"/>
        <v>-733659989.14999962</v>
      </c>
      <c r="I46" s="7">
        <f>SUMIFS('HQ1'!$I:$I,'HQ1'!$A:$A, "="&amp;Report_HQ1!C46,'HQ1'!$B:$B, "Total")</f>
        <v>-733659989.14999962</v>
      </c>
      <c r="J46" s="24">
        <f t="shared" si="4"/>
        <v>0</v>
      </c>
    </row>
    <row r="47" spans="1:10" x14ac:dyDescent="0.25">
      <c r="A47" s="9" t="s">
        <v>324</v>
      </c>
      <c r="B47" t="s">
        <v>182</v>
      </c>
      <c r="C47" t="s">
        <v>117</v>
      </c>
      <c r="D47" s="7">
        <f>SUMIFS('HQ1'!$I:$I,'HQ1'!$A:$A, "="&amp;Report_HQ1!C47,'HQ1'!$B:$B, "="&amp;Report_HQ1!$D$6)</f>
        <v>231559125.72</v>
      </c>
      <c r="E47" s="7">
        <f>SUMIFS('HQ1'!$I:$I,'HQ1'!$A:$A, "="&amp;Report_HQ1!C47,'HQ1'!$B:$B, "="&amp;Report_HQ1!$E$6)</f>
        <v>17897153.25</v>
      </c>
      <c r="F47" s="7">
        <f>SUMIFS('HQ1'!$I:$I,'HQ1'!$A:$A, "="&amp;Report_HQ1!C47,'HQ1'!$B:$B, "="&amp;Report_HQ1!$F$6)</f>
        <v>114866783</v>
      </c>
      <c r="G47" s="7">
        <f>SUMIFS('HQ1'!$I:$I,'HQ1'!$A:$A, "="&amp;Report_HQ1!C47,'HQ1'!$B:$B, "="&amp;Report_HQ1!$G$6)</f>
        <v>314163682.37</v>
      </c>
      <c r="H47" s="7">
        <f t="shared" si="3"/>
        <v>678486744.34000003</v>
      </c>
      <c r="I47" s="7">
        <f>SUMIFS('HQ1'!$I:$I,'HQ1'!$A:$A, "="&amp;Report_HQ1!C47,'HQ1'!$B:$B, "Total")</f>
        <v>678486744.34000003</v>
      </c>
      <c r="J47" s="24">
        <f t="shared" si="4"/>
        <v>0</v>
      </c>
    </row>
    <row r="48" spans="1:10" x14ac:dyDescent="0.25">
      <c r="A48" s="9" t="s">
        <v>325</v>
      </c>
      <c r="B48" t="s">
        <v>183</v>
      </c>
      <c r="C48" t="s">
        <v>121</v>
      </c>
      <c r="D48" s="7">
        <f>SUMIFS('HQ1'!$I:$I,'HQ1'!$A:$A, "="&amp;Report_HQ1!C48,'HQ1'!$B:$B, "="&amp;Report_HQ1!$D$6)</f>
        <v>42201569</v>
      </c>
      <c r="E48" s="7">
        <f>SUMIFS('HQ1'!$I:$I,'HQ1'!$A:$A, "="&amp;Report_HQ1!C48,'HQ1'!$B:$B, "="&amp;Report_HQ1!$E$6)</f>
        <v>70233271.49000001</v>
      </c>
      <c r="F48" s="7">
        <f>SUMIFS('HQ1'!$I:$I,'HQ1'!$A:$A, "="&amp;Report_HQ1!C48,'HQ1'!$B:$B, "="&amp;Report_HQ1!$F$6)</f>
        <v>36676344</v>
      </c>
      <c r="G48" s="7">
        <f>SUMIFS('HQ1'!$I:$I,'HQ1'!$A:$A, "="&amp;Report_HQ1!C48,'HQ1'!$B:$B, "="&amp;Report_HQ1!$G$6)</f>
        <v>2905941981.3000002</v>
      </c>
      <c r="H48" s="7">
        <f t="shared" si="3"/>
        <v>3055053165.79</v>
      </c>
      <c r="I48" s="7">
        <f>SUMIFS('HQ1'!$I:$I,'HQ1'!$A:$A, "="&amp;Report_HQ1!C48,'HQ1'!$B:$B, "Total")</f>
        <v>3055053165.79</v>
      </c>
      <c r="J48" s="24">
        <f t="shared" si="4"/>
        <v>0</v>
      </c>
    </row>
    <row r="49" spans="1:10" x14ac:dyDescent="0.25">
      <c r="A49" s="9" t="s">
        <v>326</v>
      </c>
      <c r="B49" t="s">
        <v>184</v>
      </c>
      <c r="C49" t="s">
        <v>128</v>
      </c>
      <c r="D49" s="7">
        <f>SUMIFS('HQ1'!$I:$I,'HQ1'!$A:$A, "="&amp;Report_HQ1!C49,'HQ1'!$B:$B, "="&amp;Report_HQ1!$D$6)</f>
        <v>-104053705.75</v>
      </c>
      <c r="E49" s="7">
        <f>SUMIFS('HQ1'!$I:$I,'HQ1'!$A:$A, "="&amp;Report_HQ1!C49,'HQ1'!$B:$B, "="&amp;Report_HQ1!$E$6)</f>
        <v>58202211.600000001</v>
      </c>
      <c r="F49" s="7">
        <f>SUMIFS('HQ1'!$I:$I,'HQ1'!$A:$A, "="&amp;Report_HQ1!C49,'HQ1'!$B:$B, "="&amp;Report_HQ1!$F$6)</f>
        <v>2377592</v>
      </c>
      <c r="G49" s="7">
        <f>SUMIFS('HQ1'!$I:$I,'HQ1'!$A:$A, "="&amp;Report_HQ1!C49,'HQ1'!$B:$B, "="&amp;Report_HQ1!$G$6)</f>
        <v>401010906.85000002</v>
      </c>
      <c r="H49" s="7">
        <f t="shared" si="3"/>
        <v>357537004.70000005</v>
      </c>
      <c r="I49" s="7">
        <f>SUMIFS('HQ1'!$I:$I,'HQ1'!$A:$A, "="&amp;Report_HQ1!C49,'HQ1'!$B:$B, "Total")</f>
        <v>357537004.70000005</v>
      </c>
      <c r="J49" s="24">
        <f t="shared" si="4"/>
        <v>0</v>
      </c>
    </row>
    <row r="50" spans="1:10" x14ac:dyDescent="0.25">
      <c r="A50" s="9" t="s">
        <v>327</v>
      </c>
      <c r="B50" t="s">
        <v>185</v>
      </c>
      <c r="C50" t="s">
        <v>110</v>
      </c>
      <c r="D50" s="7">
        <f>SUMIFS('HQ1'!$I:$I,'HQ1'!$A:$A, "="&amp;Report_HQ1!C50,'HQ1'!$B:$B, "="&amp;Report_HQ1!$D$6)</f>
        <v>134001025.31</v>
      </c>
      <c r="E50" s="7">
        <f>SUMIFS('HQ1'!$I:$I,'HQ1'!$A:$A, "="&amp;Report_HQ1!C50,'HQ1'!$B:$B, "="&amp;Report_HQ1!$E$6)</f>
        <v>-162165312.5</v>
      </c>
      <c r="F50" s="7">
        <f>SUMIFS('HQ1'!$I:$I,'HQ1'!$A:$A, "="&amp;Report_HQ1!C50,'HQ1'!$B:$B, "="&amp;Report_HQ1!$F$6)</f>
        <v>0</v>
      </c>
      <c r="G50" s="7">
        <f>SUMIFS('HQ1'!$I:$I,'HQ1'!$A:$A, "="&amp;Report_HQ1!C50,'HQ1'!$B:$B, "="&amp;Report_HQ1!$G$6)</f>
        <v>1269168258.1500001</v>
      </c>
      <c r="H50" s="7">
        <f t="shared" si="3"/>
        <v>1241003970.96</v>
      </c>
      <c r="I50" s="7">
        <f>SUMIFS('HQ1'!$I:$I,'HQ1'!$A:$A, "="&amp;Report_HQ1!C50,'HQ1'!$B:$B, "Total")</f>
        <v>1241003970.96</v>
      </c>
      <c r="J50" s="24">
        <f t="shared" si="4"/>
        <v>0</v>
      </c>
    </row>
    <row r="51" spans="1:10" x14ac:dyDescent="0.25">
      <c r="A51" s="9" t="s">
        <v>328</v>
      </c>
      <c r="B51" t="s">
        <v>186</v>
      </c>
      <c r="C51" t="s">
        <v>77</v>
      </c>
      <c r="D51" s="7">
        <f>SUMIFS('HQ1'!$I:$I,'HQ1'!$A:$A, "="&amp;Report_HQ1!C51,'HQ1'!$B:$B, "="&amp;Report_HQ1!$D$6)</f>
        <v>-240812746.11000001</v>
      </c>
      <c r="E51" s="7">
        <f>SUMIFS('HQ1'!$I:$I,'HQ1'!$A:$A, "="&amp;Report_HQ1!C51,'HQ1'!$B:$B, "="&amp;Report_HQ1!$E$6)</f>
        <v>263717993.19999999</v>
      </c>
      <c r="F51" s="7">
        <f>SUMIFS('HQ1'!$I:$I,'HQ1'!$A:$A, "="&amp;Report_HQ1!C51,'HQ1'!$B:$B, "="&amp;Report_HQ1!$F$6)</f>
        <v>6795008</v>
      </c>
      <c r="G51" s="7">
        <f>SUMIFS('HQ1'!$I:$I,'HQ1'!$A:$A, "="&amp;Report_HQ1!C51,'HQ1'!$B:$B, "="&amp;Report_HQ1!$G$6)</f>
        <v>1383941318.0899999</v>
      </c>
      <c r="H51" s="7">
        <f t="shared" si="3"/>
        <v>1413641573.1799998</v>
      </c>
      <c r="I51" s="7">
        <f>SUMIFS('HQ1'!$I:$I,'HQ1'!$A:$A, "="&amp;Report_HQ1!C51,'HQ1'!$B:$B, "Total")</f>
        <v>1413641573.1799998</v>
      </c>
      <c r="J51" s="24">
        <f t="shared" si="4"/>
        <v>0</v>
      </c>
    </row>
    <row r="52" spans="1:10" x14ac:dyDescent="0.25">
      <c r="A52" s="9" t="s">
        <v>329</v>
      </c>
      <c r="B52" t="s">
        <v>187</v>
      </c>
      <c r="C52" t="s">
        <v>68</v>
      </c>
      <c r="D52" s="7">
        <f>SUMIFS('HQ1'!$I:$I,'HQ1'!$A:$A, "="&amp;Report_HQ1!C52,'HQ1'!$B:$B, "="&amp;Report_HQ1!$D$6)</f>
        <v>-1066164386.01</v>
      </c>
      <c r="E52" s="7">
        <f>SUMIFS('HQ1'!$I:$I,'HQ1'!$A:$A, "="&amp;Report_HQ1!C52,'HQ1'!$B:$B, "="&amp;Report_HQ1!$E$6)</f>
        <v>909226416.32000005</v>
      </c>
      <c r="F52" s="7">
        <f>SUMIFS('HQ1'!$I:$I,'HQ1'!$A:$A, "="&amp;Report_HQ1!C52,'HQ1'!$B:$B, "="&amp;Report_HQ1!$F$6)</f>
        <v>-31735143</v>
      </c>
      <c r="G52" s="7">
        <f>SUMIFS('HQ1'!$I:$I,'HQ1'!$A:$A, "="&amp;Report_HQ1!C52,'HQ1'!$B:$B, "="&amp;Report_HQ1!$G$6)</f>
        <v>877675131.07000005</v>
      </c>
      <c r="H52" s="7">
        <f t="shared" si="3"/>
        <v>689002018.38000011</v>
      </c>
      <c r="I52" s="7">
        <f>SUMIFS('HQ1'!$I:$I,'HQ1'!$A:$A, "="&amp;Report_HQ1!C52,'HQ1'!$B:$B, "Total")</f>
        <v>689002018.38000011</v>
      </c>
      <c r="J52" s="24">
        <f t="shared" si="4"/>
        <v>0</v>
      </c>
    </row>
    <row r="53" spans="1:10" x14ac:dyDescent="0.25">
      <c r="A53" s="9" t="s">
        <v>330</v>
      </c>
      <c r="B53" t="s">
        <v>188</v>
      </c>
      <c r="C53" t="s">
        <v>84</v>
      </c>
      <c r="D53" s="7">
        <f>SUMIFS('HQ1'!$I:$I,'HQ1'!$A:$A, "="&amp;Report_HQ1!C53,'HQ1'!$B:$B, "="&amp;Report_HQ1!$D$6)</f>
        <v>17992526.16</v>
      </c>
      <c r="E53" s="7">
        <f>SUMIFS('HQ1'!$I:$I,'HQ1'!$A:$A, "="&amp;Report_HQ1!C53,'HQ1'!$B:$B, "="&amp;Report_HQ1!$E$6)</f>
        <v>3918577067.9400001</v>
      </c>
      <c r="F53" s="7">
        <f>SUMIFS('HQ1'!$I:$I,'HQ1'!$A:$A, "="&amp;Report_HQ1!C53,'HQ1'!$B:$B, "="&amp;Report_HQ1!$F$6)</f>
        <v>457608943.20000005</v>
      </c>
      <c r="G53" s="7">
        <f>SUMIFS('HQ1'!$I:$I,'HQ1'!$A:$A, "="&amp;Report_HQ1!C53,'HQ1'!$B:$B, "="&amp;Report_HQ1!$G$6)</f>
        <v>6331288934.4900017</v>
      </c>
      <c r="H53" s="7">
        <f t="shared" si="3"/>
        <v>10725467471.790001</v>
      </c>
      <c r="I53" s="7">
        <f>SUMIFS('HQ1'!$I:$I,'HQ1'!$A:$A, "="&amp;Report_HQ1!C53,'HQ1'!$B:$B, "Total")</f>
        <v>10725467471.790001</v>
      </c>
      <c r="J53" s="24">
        <f t="shared" si="4"/>
        <v>0</v>
      </c>
    </row>
    <row r="54" spans="1:10" x14ac:dyDescent="0.25">
      <c r="A54" s="9" t="s">
        <v>331</v>
      </c>
      <c r="B54" t="s">
        <v>189</v>
      </c>
      <c r="C54" t="s">
        <v>52</v>
      </c>
      <c r="D54" s="7">
        <f>SUMIFS('HQ1'!$I:$I,'HQ1'!$A:$A, "="&amp;Report_HQ1!C54,'HQ1'!$B:$B, "="&amp;Report_HQ1!$D$6)</f>
        <v>345021370.40000004</v>
      </c>
      <c r="E54" s="7">
        <f>SUMIFS('HQ1'!$I:$I,'HQ1'!$A:$A, "="&amp;Report_HQ1!C54,'HQ1'!$B:$B, "="&amp;Report_HQ1!$E$6)</f>
        <v>2090650695.8299999</v>
      </c>
      <c r="F54" s="7">
        <f>SUMIFS('HQ1'!$I:$I,'HQ1'!$A:$A, "="&amp;Report_HQ1!C54,'HQ1'!$B:$B, "="&amp;Report_HQ1!$F$6)</f>
        <v>14787901.600000001</v>
      </c>
      <c r="G54" s="7">
        <f>SUMIFS('HQ1'!$I:$I,'HQ1'!$A:$A, "="&amp;Report_HQ1!C54,'HQ1'!$B:$B, "="&amp;Report_HQ1!$G$6)</f>
        <v>2368331318.3300004</v>
      </c>
      <c r="H54" s="7">
        <f t="shared" si="3"/>
        <v>4818791286.1599998</v>
      </c>
      <c r="I54" s="7">
        <f>SUMIFS('HQ1'!$I:$I,'HQ1'!$A:$A, "="&amp;Report_HQ1!C54,'HQ1'!$B:$B, "Total")</f>
        <v>4818791286.1599998</v>
      </c>
      <c r="J54" s="24">
        <f t="shared" si="4"/>
        <v>0</v>
      </c>
    </row>
    <row r="55" spans="1:10" x14ac:dyDescent="0.25">
      <c r="A55" s="9" t="s">
        <v>332</v>
      </c>
      <c r="B55" t="s">
        <v>190</v>
      </c>
      <c r="C55" t="s">
        <v>93</v>
      </c>
      <c r="D55" s="7">
        <f>SUMIFS('HQ1'!$I:$I,'HQ1'!$A:$A, "="&amp;Report_HQ1!C55,'HQ1'!$B:$B, "="&amp;Report_HQ1!$D$6)</f>
        <v>107415396</v>
      </c>
      <c r="E55" s="7">
        <f>SUMIFS('HQ1'!$I:$I,'HQ1'!$A:$A, "="&amp;Report_HQ1!C55,'HQ1'!$B:$B, "="&amp;Report_HQ1!$E$6)</f>
        <v>35763772.5</v>
      </c>
      <c r="F55" s="7">
        <f>SUMIFS('HQ1'!$I:$I,'HQ1'!$A:$A, "="&amp;Report_HQ1!C55,'HQ1'!$B:$B, "="&amp;Report_HQ1!$F$6)</f>
        <v>7095744</v>
      </c>
      <c r="G55" s="7">
        <f>SUMIFS('HQ1'!$I:$I,'HQ1'!$A:$A, "="&amp;Report_HQ1!C55,'HQ1'!$B:$B, "="&amp;Report_HQ1!$G$6)</f>
        <v>475748985.04000002</v>
      </c>
      <c r="H55" s="7">
        <f t="shared" si="3"/>
        <v>626023897.53999996</v>
      </c>
      <c r="I55" s="7">
        <f>SUMIFS('HQ1'!$I:$I,'HQ1'!$A:$A, "="&amp;Report_HQ1!C55,'HQ1'!$B:$B, "Total")</f>
        <v>626023897.53999996</v>
      </c>
      <c r="J55" s="24">
        <f t="shared" si="4"/>
        <v>0</v>
      </c>
    </row>
    <row r="56" spans="1:10" x14ac:dyDescent="0.25">
      <c r="A56" s="9" t="s">
        <v>333</v>
      </c>
      <c r="B56" t="s">
        <v>191</v>
      </c>
      <c r="C56" t="s">
        <v>70</v>
      </c>
      <c r="D56" s="7">
        <f>SUMIFS('HQ1'!$I:$I,'HQ1'!$A:$A, "="&amp;Report_HQ1!C56,'HQ1'!$B:$B, "="&amp;Report_HQ1!$D$6)</f>
        <v>2315347909.75</v>
      </c>
      <c r="E56" s="7">
        <f>SUMIFS('HQ1'!$I:$I,'HQ1'!$A:$A, "="&amp;Report_HQ1!C56,'HQ1'!$B:$B, "="&amp;Report_HQ1!$E$6)</f>
        <v>137453634.30000001</v>
      </c>
      <c r="F56" s="7">
        <f>SUMIFS('HQ1'!$I:$I,'HQ1'!$A:$A, "="&amp;Report_HQ1!C56,'HQ1'!$B:$B, "="&amp;Report_HQ1!$F$6)</f>
        <v>91001614</v>
      </c>
      <c r="G56" s="7">
        <f>SUMIFS('HQ1'!$I:$I,'HQ1'!$A:$A, "="&amp;Report_HQ1!C56,'HQ1'!$B:$B, "="&amp;Report_HQ1!$G$6)</f>
        <v>385797253.66000003</v>
      </c>
      <c r="H56" s="7">
        <f t="shared" si="3"/>
        <v>2929600411.71</v>
      </c>
      <c r="I56" s="7">
        <f>SUMIFS('HQ1'!$I:$I,'HQ1'!$A:$A, "="&amp;Report_HQ1!C56,'HQ1'!$B:$B, "Total")</f>
        <v>2929600411.71</v>
      </c>
      <c r="J56" s="24">
        <f t="shared" si="4"/>
        <v>0</v>
      </c>
    </row>
    <row r="57" spans="1:10" x14ac:dyDescent="0.25">
      <c r="A57" s="9" t="s">
        <v>334</v>
      </c>
      <c r="B57" t="s">
        <v>192</v>
      </c>
      <c r="C57" t="s">
        <v>94</v>
      </c>
      <c r="D57" s="7">
        <f>SUMIFS('HQ1'!$I:$I,'HQ1'!$A:$A, "="&amp;Report_HQ1!C57,'HQ1'!$B:$B, "="&amp;Report_HQ1!$D$6)</f>
        <v>-1105982824.5999999</v>
      </c>
      <c r="E57" s="7">
        <f>SUMIFS('HQ1'!$I:$I,'HQ1'!$A:$A, "="&amp;Report_HQ1!C57,'HQ1'!$B:$B, "="&amp;Report_HQ1!$E$6)</f>
        <v>56656879.11999999</v>
      </c>
      <c r="F57" s="7">
        <f>SUMIFS('HQ1'!$I:$I,'HQ1'!$A:$A, "="&amp;Report_HQ1!C57,'HQ1'!$B:$B, "="&amp;Report_HQ1!$F$6)</f>
        <v>-30665767.199999999</v>
      </c>
      <c r="G57" s="7">
        <f>SUMIFS('HQ1'!$I:$I,'HQ1'!$A:$A, "="&amp;Report_HQ1!C57,'HQ1'!$B:$B, "="&amp;Report_HQ1!$G$6)</f>
        <v>350522915.13</v>
      </c>
      <c r="H57" s="7">
        <f t="shared" si="3"/>
        <v>-729468797.54999983</v>
      </c>
      <c r="I57" s="7">
        <f>SUMIFS('HQ1'!$I:$I,'HQ1'!$A:$A, "="&amp;Report_HQ1!C57,'HQ1'!$B:$B, "Total")</f>
        <v>-729468797.54999983</v>
      </c>
      <c r="J57" s="24">
        <f t="shared" si="4"/>
        <v>0</v>
      </c>
    </row>
    <row r="58" spans="1:10" x14ac:dyDescent="0.25">
      <c r="A58" s="9" t="s">
        <v>335</v>
      </c>
      <c r="B58" t="s">
        <v>193</v>
      </c>
      <c r="C58" t="s">
        <v>89</v>
      </c>
      <c r="D58" s="7">
        <f>SUMIFS('HQ1'!$I:$I,'HQ1'!$A:$A, "="&amp;Report_HQ1!C58,'HQ1'!$B:$B, "="&amp;Report_HQ1!$D$6)</f>
        <v>925255659.5</v>
      </c>
      <c r="E58" s="7">
        <f>SUMIFS('HQ1'!$I:$I,'HQ1'!$A:$A, "="&amp;Report_HQ1!C58,'HQ1'!$B:$B, "="&amp;Report_HQ1!$E$6)</f>
        <v>-11268906.25</v>
      </c>
      <c r="F58" s="7">
        <f>SUMIFS('HQ1'!$I:$I,'HQ1'!$A:$A, "="&amp;Report_HQ1!C58,'HQ1'!$B:$B, "="&amp;Report_HQ1!$F$6)</f>
        <v>9165878.5</v>
      </c>
      <c r="G58" s="7">
        <f>SUMIFS('HQ1'!$I:$I,'HQ1'!$A:$A, "="&amp;Report_HQ1!C58,'HQ1'!$B:$B, "="&amp;Report_HQ1!$G$6)</f>
        <v>473289806.59000003</v>
      </c>
      <c r="H58" s="7">
        <f t="shared" si="3"/>
        <v>1396442438.3400002</v>
      </c>
      <c r="I58" s="7">
        <f>SUMIFS('HQ1'!$I:$I,'HQ1'!$A:$A, "="&amp;Report_HQ1!C58,'HQ1'!$B:$B, "Total")</f>
        <v>1396442438.3400002</v>
      </c>
      <c r="J58" s="24">
        <f t="shared" si="4"/>
        <v>0</v>
      </c>
    </row>
    <row r="59" spans="1:10" x14ac:dyDescent="0.25">
      <c r="A59" s="36" t="s">
        <v>336</v>
      </c>
      <c r="B59" s="30" t="s">
        <v>194</v>
      </c>
      <c r="C59" s="30" t="s">
        <v>63</v>
      </c>
      <c r="D59" s="7">
        <f>SUMIFS('HQ1'!$I:$I,'HQ1'!$A:$A, "="&amp;Report_HQ1!C59,'HQ1'!$B:$B, "="&amp;Report_HQ1!$D$6)</f>
        <v>443328521.61000001</v>
      </c>
      <c r="E59" s="7">
        <f>SUMIFS('HQ1'!$I:$I,'HQ1'!$A:$A, "="&amp;Report_HQ1!C59,'HQ1'!$B:$B, "="&amp;Report_HQ1!$E$6)</f>
        <v>3783479370.1300006</v>
      </c>
      <c r="F59" s="7">
        <f>SUMIFS('HQ1'!$I:$I,'HQ1'!$A:$A, "="&amp;Report_HQ1!C59,'HQ1'!$B:$B, "="&amp;Report_HQ1!$F$6)</f>
        <v>410047761.39999998</v>
      </c>
      <c r="G59" s="7">
        <f>SUMIFS('HQ1'!$I:$I,'HQ1'!$A:$A, "="&amp;Report_HQ1!C59,'HQ1'!$B:$B, "="&amp;Report_HQ1!$G$6)</f>
        <v>764891557.39999998</v>
      </c>
      <c r="H59" s="7">
        <f t="shared" si="3"/>
        <v>5401747210.54</v>
      </c>
      <c r="I59" s="7">
        <f>SUMIFS('HQ1'!$I:$I,'HQ1'!$A:$A, "="&amp;Report_HQ1!C59,'HQ1'!$B:$B, "Total")</f>
        <v>5401747210.54</v>
      </c>
      <c r="J59" s="24">
        <f t="shared" si="4"/>
        <v>0</v>
      </c>
    </row>
    <row r="60" spans="1:10" x14ac:dyDescent="0.25">
      <c r="A60" s="9" t="s">
        <v>337</v>
      </c>
      <c r="B60" t="s">
        <v>195</v>
      </c>
      <c r="C60" t="s">
        <v>95</v>
      </c>
      <c r="D60" s="7">
        <f>SUMIFS('HQ1'!$I:$I,'HQ1'!$A:$A, "="&amp;Report_HQ1!C60,'HQ1'!$B:$B, "="&amp;Report_HQ1!$D$6)</f>
        <v>-123659412.5</v>
      </c>
      <c r="E60" s="7">
        <f>SUMIFS('HQ1'!$I:$I,'HQ1'!$A:$A, "="&amp;Report_HQ1!C60,'HQ1'!$B:$B, "="&amp;Report_HQ1!$E$6)</f>
        <v>38098683</v>
      </c>
      <c r="F60" s="7">
        <f>SUMIFS('HQ1'!$I:$I,'HQ1'!$A:$A, "="&amp;Report_HQ1!C60,'HQ1'!$B:$B, "="&amp;Report_HQ1!$F$6)</f>
        <v>45353298.200000003</v>
      </c>
      <c r="G60" s="7">
        <f>SUMIFS('HQ1'!$I:$I,'HQ1'!$A:$A, "="&amp;Report_HQ1!C60,'HQ1'!$B:$B, "="&amp;Report_HQ1!$G$6)</f>
        <v>241743070.61000001</v>
      </c>
      <c r="H60" s="7">
        <f t="shared" si="3"/>
        <v>201535639.31</v>
      </c>
      <c r="I60" s="7">
        <f>SUMIFS('HQ1'!$I:$I,'HQ1'!$A:$A, "="&amp;Report_HQ1!C60,'HQ1'!$B:$B, "Total")</f>
        <v>201535639.31</v>
      </c>
      <c r="J60" s="24">
        <f t="shared" si="4"/>
        <v>0</v>
      </c>
    </row>
    <row r="61" spans="1:10" x14ac:dyDescent="0.25">
      <c r="A61" s="9" t="s">
        <v>338</v>
      </c>
      <c r="B61" t="s">
        <v>196</v>
      </c>
      <c r="C61" t="s">
        <v>75</v>
      </c>
      <c r="D61" s="7">
        <f>SUMIFS('HQ1'!$I:$I,'HQ1'!$A:$A, "="&amp;Report_HQ1!C61,'HQ1'!$B:$B, "="&amp;Report_HQ1!$D$6)</f>
        <v>-923227059.16999996</v>
      </c>
      <c r="E61" s="7">
        <f>SUMIFS('HQ1'!$I:$I,'HQ1'!$A:$A, "="&amp;Report_HQ1!C61,'HQ1'!$B:$B, "="&amp;Report_HQ1!$E$6)</f>
        <v>1953800952.7899997</v>
      </c>
      <c r="F61" s="7">
        <f>SUMIFS('HQ1'!$I:$I,'HQ1'!$A:$A, "="&amp;Report_HQ1!C61,'HQ1'!$B:$B, "="&amp;Report_HQ1!$F$6)</f>
        <v>9810561</v>
      </c>
      <c r="G61" s="7">
        <f>SUMIFS('HQ1'!$I:$I,'HQ1'!$A:$A, "="&amp;Report_HQ1!C61,'HQ1'!$B:$B, "="&amp;Report_HQ1!$G$6)</f>
        <v>1031419910.02</v>
      </c>
      <c r="H61" s="7">
        <f t="shared" si="3"/>
        <v>2071804364.6399999</v>
      </c>
      <c r="I61" s="7">
        <f>SUMIFS('HQ1'!$I:$I,'HQ1'!$A:$A, "="&amp;Report_HQ1!C61,'HQ1'!$B:$B, "Total")</f>
        <v>2071804364.6399999</v>
      </c>
      <c r="J61" s="24">
        <f t="shared" si="4"/>
        <v>0</v>
      </c>
    </row>
    <row r="62" spans="1:10" x14ac:dyDescent="0.25">
      <c r="A62" s="9" t="s">
        <v>339</v>
      </c>
      <c r="B62" t="s">
        <v>197</v>
      </c>
      <c r="C62" t="s">
        <v>105</v>
      </c>
      <c r="D62" s="7">
        <f>SUMIFS('HQ1'!$I:$I,'HQ1'!$A:$A, "="&amp;Report_HQ1!C62,'HQ1'!$B:$B, "="&amp;Report_HQ1!$D$6)</f>
        <v>-1227657721.25</v>
      </c>
      <c r="E62" s="7">
        <f>SUMIFS('HQ1'!$I:$I,'HQ1'!$A:$A, "="&amp;Report_HQ1!C62,'HQ1'!$B:$B, "="&amp;Report_HQ1!$E$6)</f>
        <v>88758154.899999976</v>
      </c>
      <c r="F62" s="7">
        <f>SUMIFS('HQ1'!$I:$I,'HQ1'!$A:$A, "="&amp;Report_HQ1!C62,'HQ1'!$B:$B, "="&amp;Report_HQ1!$F$6)</f>
        <v>3311392</v>
      </c>
      <c r="G62" s="7">
        <f>SUMIFS('HQ1'!$I:$I,'HQ1'!$A:$A, "="&amp;Report_HQ1!C62,'HQ1'!$B:$B, "="&amp;Report_HQ1!$G$6)</f>
        <v>1006583612.9300001</v>
      </c>
      <c r="H62" s="7">
        <f t="shared" si="3"/>
        <v>-129004561.41999984</v>
      </c>
      <c r="I62" s="7">
        <f>SUMIFS('HQ1'!$I:$I,'HQ1'!$A:$A, "="&amp;Report_HQ1!C62,'HQ1'!$B:$B, "Total")</f>
        <v>-129004561.41999984</v>
      </c>
      <c r="J62" s="24">
        <f t="shared" si="4"/>
        <v>0</v>
      </c>
    </row>
    <row r="63" spans="1:10" x14ac:dyDescent="0.25">
      <c r="A63" s="9" t="s">
        <v>340</v>
      </c>
      <c r="B63" t="s">
        <v>198</v>
      </c>
      <c r="C63" t="s">
        <v>73</v>
      </c>
      <c r="D63" s="7">
        <f>SUMIFS('HQ1'!$I:$I,'HQ1'!$A:$A, "="&amp;Report_HQ1!C63,'HQ1'!$B:$B, "="&amp;Report_HQ1!$D$6)</f>
        <v>541544442.19000006</v>
      </c>
      <c r="E63" s="7">
        <f>SUMIFS('HQ1'!$I:$I,'HQ1'!$A:$A, "="&amp;Report_HQ1!C63,'HQ1'!$B:$B, "="&amp;Report_HQ1!$E$6)</f>
        <v>-18748141.899999999</v>
      </c>
      <c r="F63" s="7">
        <f>SUMIFS('HQ1'!$I:$I,'HQ1'!$A:$A, "="&amp;Report_HQ1!C63,'HQ1'!$B:$B, "="&amp;Report_HQ1!$F$6)</f>
        <v>329784993.19999999</v>
      </c>
      <c r="G63" s="7">
        <f>SUMIFS('HQ1'!$I:$I,'HQ1'!$A:$A, "="&amp;Report_HQ1!C63,'HQ1'!$B:$B, "="&amp;Report_HQ1!$G$6)</f>
        <v>-10913379.569999993</v>
      </c>
      <c r="H63" s="7">
        <f t="shared" si="3"/>
        <v>841667913.92000008</v>
      </c>
      <c r="I63" s="7">
        <f>SUMIFS('HQ1'!$I:$I,'HQ1'!$A:$A, "="&amp;Report_HQ1!C63,'HQ1'!$B:$B, "Total")</f>
        <v>841667913.92000008</v>
      </c>
      <c r="J63" s="24">
        <f t="shared" si="4"/>
        <v>0</v>
      </c>
    </row>
    <row r="64" spans="1:10" x14ac:dyDescent="0.25">
      <c r="A64" s="9" t="s">
        <v>341</v>
      </c>
      <c r="B64" t="s">
        <v>199</v>
      </c>
      <c r="C64" t="s">
        <v>101</v>
      </c>
      <c r="D64" s="7">
        <f>SUMIFS('HQ1'!$I:$I,'HQ1'!$A:$A, "="&amp;Report_HQ1!C64,'HQ1'!$B:$B, "="&amp;Report_HQ1!$D$6)</f>
        <v>-973987508.88999999</v>
      </c>
      <c r="E64" s="7">
        <f>SUMIFS('HQ1'!$I:$I,'HQ1'!$A:$A, "="&amp;Report_HQ1!C64,'HQ1'!$B:$B, "="&amp;Report_HQ1!$E$6)</f>
        <v>328097721.25</v>
      </c>
      <c r="F64" s="7">
        <f>SUMIFS('HQ1'!$I:$I,'HQ1'!$A:$A, "="&amp;Report_HQ1!C64,'HQ1'!$B:$B, "="&amp;Report_HQ1!$F$6)</f>
        <v>4802437.5</v>
      </c>
      <c r="G64" s="7">
        <f>SUMIFS('HQ1'!$I:$I,'HQ1'!$A:$A, "="&amp;Report_HQ1!C64,'HQ1'!$B:$B, "="&amp;Report_HQ1!$G$6)</f>
        <v>720966316.10000014</v>
      </c>
      <c r="H64" s="7">
        <f t="shared" si="3"/>
        <v>79878965.960000157</v>
      </c>
      <c r="I64" s="7">
        <f>SUMIFS('HQ1'!$I:$I,'HQ1'!$A:$A, "="&amp;Report_HQ1!C64,'HQ1'!$B:$B, "Total")</f>
        <v>79878965.960000157</v>
      </c>
      <c r="J64" s="24">
        <f t="shared" si="4"/>
        <v>0</v>
      </c>
    </row>
    <row r="65" spans="1:10" x14ac:dyDescent="0.25">
      <c r="A65" s="9" t="s">
        <v>342</v>
      </c>
      <c r="B65" t="s">
        <v>200</v>
      </c>
      <c r="C65" t="s">
        <v>102</v>
      </c>
      <c r="D65" s="7">
        <f>SUMIFS('HQ1'!$I:$I,'HQ1'!$A:$A, "="&amp;Report_HQ1!C65,'HQ1'!$B:$B, "="&amp;Report_HQ1!$D$6)</f>
        <v>759481032.64999998</v>
      </c>
      <c r="E65" s="7">
        <f>SUMIFS('HQ1'!$I:$I,'HQ1'!$A:$A, "="&amp;Report_HQ1!C65,'HQ1'!$B:$B, "="&amp;Report_HQ1!$E$6)</f>
        <v>-45425145.159999996</v>
      </c>
      <c r="F65" s="7">
        <f>SUMIFS('HQ1'!$I:$I,'HQ1'!$A:$A, "="&amp;Report_HQ1!C65,'HQ1'!$B:$B, "="&amp;Report_HQ1!$F$6)</f>
        <v>3591676</v>
      </c>
      <c r="G65" s="7">
        <f>SUMIFS('HQ1'!$I:$I,'HQ1'!$A:$A, "="&amp;Report_HQ1!C65,'HQ1'!$B:$B, "="&amp;Report_HQ1!$G$6)</f>
        <v>766354044.88</v>
      </c>
      <c r="H65" s="7">
        <f t="shared" si="3"/>
        <v>1484001608.3699999</v>
      </c>
      <c r="I65" s="7">
        <f>SUMIFS('HQ1'!$I:$I,'HQ1'!$A:$A, "="&amp;Report_HQ1!C65,'HQ1'!$B:$B, "Total")</f>
        <v>1484001608.3699999</v>
      </c>
      <c r="J65" s="24">
        <f t="shared" si="4"/>
        <v>0</v>
      </c>
    </row>
    <row r="66" spans="1:10" x14ac:dyDescent="0.25">
      <c r="A66" s="9" t="s">
        <v>343</v>
      </c>
      <c r="B66" t="s">
        <v>201</v>
      </c>
      <c r="C66" t="s">
        <v>69</v>
      </c>
      <c r="D66" s="7">
        <f>SUMIFS('HQ1'!$I:$I,'HQ1'!$A:$A, "="&amp;Report_HQ1!C66,'HQ1'!$B:$B, "="&amp;Report_HQ1!$D$6)</f>
        <v>778815070.27999997</v>
      </c>
      <c r="E66" s="7">
        <f>SUMIFS('HQ1'!$I:$I,'HQ1'!$A:$A, "="&amp;Report_HQ1!C66,'HQ1'!$B:$B, "="&amp;Report_HQ1!$E$6)</f>
        <v>1522518461.55</v>
      </c>
      <c r="F66" s="7">
        <f>SUMIFS('HQ1'!$I:$I,'HQ1'!$A:$A, "="&amp;Report_HQ1!C66,'HQ1'!$B:$B, "="&amp;Report_HQ1!$F$6)</f>
        <v>256302541.30000001</v>
      </c>
      <c r="G66" s="7">
        <f>SUMIFS('HQ1'!$I:$I,'HQ1'!$A:$A, "="&amp;Report_HQ1!C66,'HQ1'!$B:$B, "="&amp;Report_HQ1!$G$6)</f>
        <v>316153288.39999998</v>
      </c>
      <c r="H66" s="7">
        <f t="shared" si="3"/>
        <v>2873789361.5300002</v>
      </c>
      <c r="I66" s="7">
        <f>SUMIFS('HQ1'!$I:$I,'HQ1'!$A:$A, "="&amp;Report_HQ1!C66,'HQ1'!$B:$B, "Total")</f>
        <v>2873789361.5300002</v>
      </c>
      <c r="J66" s="24">
        <f t="shared" si="4"/>
        <v>0</v>
      </c>
    </row>
    <row r="67" spans="1:10" x14ac:dyDescent="0.25">
      <c r="A67" s="9" t="s">
        <v>344</v>
      </c>
      <c r="B67" t="s">
        <v>202</v>
      </c>
      <c r="C67" t="s">
        <v>112</v>
      </c>
      <c r="D67" s="7">
        <f>SUMIFS('HQ1'!$I:$I,'HQ1'!$A:$A, "="&amp;Report_HQ1!C67,'HQ1'!$B:$B, "="&amp;Report_HQ1!$D$6)</f>
        <v>-212394383.38999999</v>
      </c>
      <c r="E67" s="7">
        <f>SUMIFS('HQ1'!$I:$I,'HQ1'!$A:$A, "="&amp;Report_HQ1!C67,'HQ1'!$B:$B, "="&amp;Report_HQ1!$E$6)</f>
        <v>677294825.98000002</v>
      </c>
      <c r="F67" s="7">
        <f>SUMIFS('HQ1'!$I:$I,'HQ1'!$A:$A, "="&amp;Report_HQ1!C67,'HQ1'!$B:$B, "="&amp;Report_HQ1!$F$6)</f>
        <v>8688519</v>
      </c>
      <c r="G67" s="7">
        <f>SUMIFS('HQ1'!$I:$I,'HQ1'!$A:$A, "="&amp;Report_HQ1!C67,'HQ1'!$B:$B, "="&amp;Report_HQ1!$G$6)</f>
        <v>-58426453.210000068</v>
      </c>
      <c r="H67" s="7">
        <f t="shared" si="3"/>
        <v>415162508.38</v>
      </c>
      <c r="I67" s="7">
        <f>SUMIFS('HQ1'!$I:$I,'HQ1'!$A:$A, "="&amp;Report_HQ1!C67,'HQ1'!$B:$B, "Total")</f>
        <v>415162508.38</v>
      </c>
      <c r="J67" s="24">
        <f t="shared" si="4"/>
        <v>0</v>
      </c>
    </row>
    <row r="68" spans="1:10" x14ac:dyDescent="0.25">
      <c r="A68" s="9" t="s">
        <v>345</v>
      </c>
      <c r="B68" t="s">
        <v>203</v>
      </c>
      <c r="C68" t="s">
        <v>46</v>
      </c>
      <c r="D68" s="7">
        <f>SUMIFS('HQ1'!$I:$I,'HQ1'!$A:$A, "="&amp;Report_HQ1!C68,'HQ1'!$B:$B, "="&amp;Report_HQ1!$D$6)</f>
        <v>7670387259.1899996</v>
      </c>
      <c r="E68" s="7">
        <f>SUMIFS('HQ1'!$I:$I,'HQ1'!$A:$A, "="&amp;Report_HQ1!C68,'HQ1'!$B:$B, "="&amp;Report_HQ1!$E$6)</f>
        <v>34963035646.360001</v>
      </c>
      <c r="F68" s="7">
        <f>SUMIFS('HQ1'!$I:$I,'HQ1'!$A:$A, "="&amp;Report_HQ1!C68,'HQ1'!$B:$B, "="&amp;Report_HQ1!$F$6)</f>
        <v>1022255367.39</v>
      </c>
      <c r="G68" s="7">
        <f>SUMIFS('HQ1'!$I:$I,'HQ1'!$A:$A, "="&amp;Report_HQ1!C68,'HQ1'!$B:$B, "="&amp;Report_HQ1!$G$6)</f>
        <v>1812498621.79</v>
      </c>
      <c r="H68" s="7">
        <f t="shared" si="3"/>
        <v>45468176894.730003</v>
      </c>
      <c r="I68" s="7">
        <f>SUMIFS('HQ1'!$I:$I,'HQ1'!$A:$A, "="&amp;Report_HQ1!C68,'HQ1'!$B:$B, "Total")</f>
        <v>45468176894.730003</v>
      </c>
      <c r="J68" s="24">
        <f t="shared" si="4"/>
        <v>0</v>
      </c>
    </row>
    <row r="69" spans="1:10" x14ac:dyDescent="0.25">
      <c r="A69" s="9" t="s">
        <v>346</v>
      </c>
      <c r="B69" t="s">
        <v>204</v>
      </c>
      <c r="C69" t="s">
        <v>114</v>
      </c>
      <c r="D69" s="7">
        <f>SUMIFS('HQ1'!$I:$I,'HQ1'!$A:$A, "="&amp;Report_HQ1!C69,'HQ1'!$B:$B, "="&amp;Report_HQ1!$D$6)</f>
        <v>-1023617850.05</v>
      </c>
      <c r="E69" s="7">
        <f>SUMIFS('HQ1'!$I:$I,'HQ1'!$A:$A, "="&amp;Report_HQ1!C69,'HQ1'!$B:$B, "="&amp;Report_HQ1!$E$6)</f>
        <v>37089162.700000003</v>
      </c>
      <c r="F69" s="7">
        <f>SUMIFS('HQ1'!$I:$I,'HQ1'!$A:$A, "="&amp;Report_HQ1!C69,'HQ1'!$B:$B, "="&amp;Report_HQ1!$F$6)</f>
        <v>7952961</v>
      </c>
      <c r="G69" s="7">
        <f>SUMIFS('HQ1'!$I:$I,'HQ1'!$A:$A, "="&amp;Report_HQ1!C69,'HQ1'!$B:$B, "="&amp;Report_HQ1!$G$6)</f>
        <v>718800561.70000005</v>
      </c>
      <c r="H69" s="7">
        <f t="shared" si="3"/>
        <v>-259775164.64999986</v>
      </c>
      <c r="I69" s="7">
        <f>SUMIFS('HQ1'!$I:$I,'HQ1'!$A:$A, "="&amp;Report_HQ1!C69,'HQ1'!$B:$B, "Total")</f>
        <v>-259775164.64999986</v>
      </c>
      <c r="J69" s="24">
        <f t="shared" si="4"/>
        <v>0</v>
      </c>
    </row>
    <row r="70" spans="1:10" x14ac:dyDescent="0.25">
      <c r="A70" s="9" t="s">
        <v>347</v>
      </c>
      <c r="B70" t="s">
        <v>205</v>
      </c>
      <c r="C70" t="s">
        <v>107</v>
      </c>
      <c r="D70" s="7">
        <f>SUMIFS('HQ1'!$I:$I,'HQ1'!$A:$A, "="&amp;Report_HQ1!C70,'HQ1'!$B:$B, "="&amp;Report_HQ1!$D$6)</f>
        <v>146905778.56</v>
      </c>
      <c r="E70" s="7">
        <f>SUMIFS('HQ1'!$I:$I,'HQ1'!$A:$A, "="&amp;Report_HQ1!C70,'HQ1'!$B:$B, "="&amp;Report_HQ1!$E$6)</f>
        <v>55297366.649999999</v>
      </c>
      <c r="F70" s="7">
        <f>SUMIFS('HQ1'!$I:$I,'HQ1'!$A:$A, "="&amp;Report_HQ1!C70,'HQ1'!$B:$B, "="&amp;Report_HQ1!$F$6)</f>
        <v>5643712</v>
      </c>
      <c r="G70" s="7">
        <f>SUMIFS('HQ1'!$I:$I,'HQ1'!$A:$A, "="&amp;Report_HQ1!C70,'HQ1'!$B:$B, "="&amp;Report_HQ1!$G$6)</f>
        <v>-166372249.25999999</v>
      </c>
      <c r="H70" s="7">
        <f t="shared" si="3"/>
        <v>41474607.950000018</v>
      </c>
      <c r="I70" s="7">
        <f>SUMIFS('HQ1'!$I:$I,'HQ1'!$A:$A, "="&amp;Report_HQ1!C70,'HQ1'!$B:$B, "Total")</f>
        <v>41474607.950000018</v>
      </c>
      <c r="J70" s="24">
        <f t="shared" si="4"/>
        <v>0</v>
      </c>
    </row>
    <row r="71" spans="1:10" x14ac:dyDescent="0.25">
      <c r="A71" s="9" t="s">
        <v>348</v>
      </c>
      <c r="B71" t="s">
        <v>206</v>
      </c>
      <c r="C71" t="s">
        <v>90</v>
      </c>
      <c r="D71" s="7">
        <f>SUMIFS('HQ1'!$I:$I,'HQ1'!$A:$A, "="&amp;Report_HQ1!C71,'HQ1'!$B:$B, "="&amp;Report_HQ1!$D$6)</f>
        <v>-243746581.44999999</v>
      </c>
      <c r="E71" s="7">
        <f>SUMIFS('HQ1'!$I:$I,'HQ1'!$A:$A, "="&amp;Report_HQ1!C71,'HQ1'!$B:$B, "="&amp;Report_HQ1!$E$6)</f>
        <v>423844937.18000001</v>
      </c>
      <c r="F71" s="7">
        <f>SUMIFS('HQ1'!$I:$I,'HQ1'!$A:$A, "="&amp;Report_HQ1!C71,'HQ1'!$B:$B, "="&amp;Report_HQ1!$F$6)</f>
        <v>35080337.5</v>
      </c>
      <c r="G71" s="7">
        <f>SUMIFS('HQ1'!$I:$I,'HQ1'!$A:$A, "="&amp;Report_HQ1!C71,'HQ1'!$B:$B, "="&amp;Report_HQ1!$G$6)</f>
        <v>405880665.60000002</v>
      </c>
      <c r="H71" s="7">
        <f t="shared" si="3"/>
        <v>621059358.83000004</v>
      </c>
      <c r="I71" s="7">
        <f>SUMIFS('HQ1'!$I:$I,'HQ1'!$A:$A, "="&amp;Report_HQ1!C71,'HQ1'!$B:$B, "Total")</f>
        <v>621059358.83000004</v>
      </c>
      <c r="J71" s="24">
        <f t="shared" si="4"/>
        <v>0</v>
      </c>
    </row>
    <row r="72" spans="1:10" x14ac:dyDescent="0.25">
      <c r="A72" s="9" t="s">
        <v>349</v>
      </c>
      <c r="B72" t="s">
        <v>207</v>
      </c>
      <c r="C72" t="s">
        <v>96</v>
      </c>
      <c r="D72" s="7">
        <f>SUMIFS('HQ1'!$I:$I,'HQ1'!$A:$A, "="&amp;Report_HQ1!C72,'HQ1'!$B:$B, "="&amp;Report_HQ1!$D$6)</f>
        <v>-1125267113</v>
      </c>
      <c r="E72" s="7">
        <f>SUMIFS('HQ1'!$I:$I,'HQ1'!$A:$A, "="&amp;Report_HQ1!C72,'HQ1'!$B:$B, "="&amp;Report_HQ1!$E$6)</f>
        <v>-2614830429.04</v>
      </c>
      <c r="F72" s="7">
        <f>SUMIFS('HQ1'!$I:$I,'HQ1'!$A:$A, "="&amp;Report_HQ1!C72,'HQ1'!$B:$B, "="&amp;Report_HQ1!$F$6)</f>
        <v>2385414</v>
      </c>
      <c r="G72" s="7">
        <f>SUMIFS('HQ1'!$I:$I,'HQ1'!$A:$A, "="&amp;Report_HQ1!C72,'HQ1'!$B:$B, "="&amp;Report_HQ1!$G$6)</f>
        <v>390914641.88999999</v>
      </c>
      <c r="H72" s="7">
        <f t="shared" ref="H72:H85" si="5">SUM(D72:G72)</f>
        <v>-3346797486.1500001</v>
      </c>
      <c r="I72" s="7">
        <f>SUMIFS('HQ1'!$I:$I,'HQ1'!$A:$A, "="&amp;Report_HQ1!C72,'HQ1'!$B:$B, "Total")</f>
        <v>-3346797486.1500001</v>
      </c>
      <c r="J72" s="24">
        <f t="shared" ref="J72:J95" si="6">H72-I72</f>
        <v>0</v>
      </c>
    </row>
    <row r="73" spans="1:10" x14ac:dyDescent="0.25">
      <c r="A73" s="9" t="s">
        <v>350</v>
      </c>
      <c r="B73" t="s">
        <v>208</v>
      </c>
      <c r="C73" t="s">
        <v>108</v>
      </c>
      <c r="D73" s="7">
        <f>SUMIFS('HQ1'!$I:$I,'HQ1'!$A:$A, "="&amp;Report_HQ1!C73,'HQ1'!$B:$B, "="&amp;Report_HQ1!$D$6)</f>
        <v>86281686.25</v>
      </c>
      <c r="E73" s="7">
        <f>SUMIFS('HQ1'!$I:$I,'HQ1'!$A:$A, "="&amp;Report_HQ1!C73,'HQ1'!$B:$B, "="&amp;Report_HQ1!$E$6)</f>
        <v>153351866.09999999</v>
      </c>
      <c r="F73" s="7">
        <f>SUMIFS('HQ1'!$I:$I,'HQ1'!$A:$A, "="&amp;Report_HQ1!C73,'HQ1'!$B:$B, "="&amp;Report_HQ1!$F$6)</f>
        <v>-32278929</v>
      </c>
      <c r="G73" s="7">
        <f>SUMIFS('HQ1'!$I:$I,'HQ1'!$A:$A, "="&amp;Report_HQ1!C73,'HQ1'!$B:$B, "="&amp;Report_HQ1!$G$6)</f>
        <v>959753234.13000011</v>
      </c>
      <c r="H73" s="7">
        <f t="shared" si="5"/>
        <v>1167107857.48</v>
      </c>
      <c r="I73" s="7">
        <f>SUMIFS('HQ1'!$I:$I,'HQ1'!$A:$A, "="&amp;Report_HQ1!C73,'HQ1'!$B:$B, "Total")</f>
        <v>1167107857.48</v>
      </c>
      <c r="J73" s="24">
        <f t="shared" si="6"/>
        <v>0</v>
      </c>
    </row>
    <row r="74" spans="1:10" x14ac:dyDescent="0.25">
      <c r="A74" s="9" t="s">
        <v>351</v>
      </c>
      <c r="B74" t="s">
        <v>209</v>
      </c>
      <c r="C74" t="s">
        <v>98</v>
      </c>
      <c r="D74" s="7">
        <f>SUMIFS('HQ1'!$I:$I,'HQ1'!$A:$A, "="&amp;Report_HQ1!C74,'HQ1'!$B:$B, "="&amp;Report_HQ1!$D$6)</f>
        <v>-42585789.5</v>
      </c>
      <c r="E74" s="7">
        <f>SUMIFS('HQ1'!$I:$I,'HQ1'!$A:$A, "="&amp;Report_HQ1!C74,'HQ1'!$B:$B, "="&amp;Report_HQ1!$E$6)</f>
        <v>369095968.44</v>
      </c>
      <c r="F74" s="7">
        <f>SUMIFS('HQ1'!$I:$I,'HQ1'!$A:$A, "="&amp;Report_HQ1!C74,'HQ1'!$B:$B, "="&amp;Report_HQ1!$F$6)</f>
        <v>16677876</v>
      </c>
      <c r="G74" s="7">
        <f>SUMIFS('HQ1'!$I:$I,'HQ1'!$A:$A, "="&amp;Report_HQ1!C74,'HQ1'!$B:$B, "="&amp;Report_HQ1!$G$6)</f>
        <v>-453256903.85000002</v>
      </c>
      <c r="H74" s="7">
        <f t="shared" si="5"/>
        <v>-110068848.91000003</v>
      </c>
      <c r="I74" s="7">
        <f>SUMIFS('HQ1'!$I:$I,'HQ1'!$A:$A, "="&amp;Report_HQ1!C74,'HQ1'!$B:$B, "Total")</f>
        <v>-110068848.91000003</v>
      </c>
      <c r="J74" s="24">
        <f t="shared" si="6"/>
        <v>0</v>
      </c>
    </row>
    <row r="75" spans="1:10" x14ac:dyDescent="0.25">
      <c r="A75" s="9" t="s">
        <v>352</v>
      </c>
      <c r="B75" t="s">
        <v>210</v>
      </c>
      <c r="C75" t="s">
        <v>58</v>
      </c>
      <c r="D75" s="7">
        <f>SUMIFS('HQ1'!$I:$I,'HQ1'!$A:$A, "="&amp;Report_HQ1!C75,'HQ1'!$B:$B, "="&amp;Report_HQ1!$D$6)</f>
        <v>-56353108.170000002</v>
      </c>
      <c r="E75" s="7">
        <f>SUMIFS('HQ1'!$I:$I,'HQ1'!$A:$A, "="&amp;Report_HQ1!C75,'HQ1'!$B:$B, "="&amp;Report_HQ1!$E$6)</f>
        <v>2295480422.6399994</v>
      </c>
      <c r="F75" s="7">
        <f>SUMIFS('HQ1'!$I:$I,'HQ1'!$A:$A, "="&amp;Report_HQ1!C75,'HQ1'!$B:$B, "="&amp;Report_HQ1!$F$6)</f>
        <v>-962274299.79999995</v>
      </c>
      <c r="G75" s="7">
        <f>SUMIFS('HQ1'!$I:$I,'HQ1'!$A:$A, "="&amp;Report_HQ1!C75,'HQ1'!$B:$B, "="&amp;Report_HQ1!$G$6)</f>
        <v>1127421280.8599982</v>
      </c>
      <c r="H75" s="7">
        <f t="shared" si="5"/>
        <v>2404274295.5299978</v>
      </c>
      <c r="I75" s="7">
        <f>SUMIFS('HQ1'!$I:$I,'HQ1'!$A:$A, "="&amp;Report_HQ1!C75,'HQ1'!$B:$B, "Total")</f>
        <v>2404274295.5299978</v>
      </c>
      <c r="J75" s="24">
        <f t="shared" si="6"/>
        <v>0</v>
      </c>
    </row>
    <row r="76" spans="1:10" x14ac:dyDescent="0.25">
      <c r="A76" s="9" t="s">
        <v>353</v>
      </c>
      <c r="B76" t="s">
        <v>211</v>
      </c>
      <c r="C76" t="s">
        <v>97</v>
      </c>
      <c r="D76" s="7">
        <f>SUMIFS('HQ1'!$I:$I,'HQ1'!$A:$A, "="&amp;Report_HQ1!C76,'HQ1'!$B:$B, "="&amp;Report_HQ1!$D$6)</f>
        <v>-329036067.81</v>
      </c>
      <c r="E76" s="7">
        <f>SUMIFS('HQ1'!$I:$I,'HQ1'!$A:$A, "="&amp;Report_HQ1!C76,'HQ1'!$B:$B, "="&amp;Report_HQ1!$E$6)</f>
        <v>84672053.199999988</v>
      </c>
      <c r="F76" s="7">
        <f>SUMIFS('HQ1'!$I:$I,'HQ1'!$A:$A, "="&amp;Report_HQ1!C76,'HQ1'!$B:$B, "="&amp;Report_HQ1!$F$6)</f>
        <v>7719558</v>
      </c>
      <c r="G76" s="7">
        <f>SUMIFS('HQ1'!$I:$I,'HQ1'!$A:$A, "="&amp;Report_HQ1!C76,'HQ1'!$B:$B, "="&amp;Report_HQ1!$G$6)</f>
        <v>1399087095.4299998</v>
      </c>
      <c r="H76" s="7">
        <f t="shared" si="5"/>
        <v>1162442638.8199997</v>
      </c>
      <c r="I76" s="7">
        <f>SUMIFS('HQ1'!$I:$I,'HQ1'!$A:$A, "="&amp;Report_HQ1!C76,'HQ1'!$B:$B, "Total")</f>
        <v>1162442638.8199997</v>
      </c>
      <c r="J76" s="24">
        <f t="shared" si="6"/>
        <v>0</v>
      </c>
    </row>
    <row r="77" spans="1:10" x14ac:dyDescent="0.25">
      <c r="A77" s="9" t="s">
        <v>354</v>
      </c>
      <c r="B77" t="s">
        <v>212</v>
      </c>
      <c r="C77" t="s">
        <v>51</v>
      </c>
      <c r="D77" s="7">
        <f>SUMIFS('HQ1'!$I:$I,'HQ1'!$A:$A, "="&amp;Report_HQ1!C77,'HQ1'!$B:$B, "="&amp;Report_HQ1!$D$6)</f>
        <v>1047436292.53</v>
      </c>
      <c r="E77" s="7">
        <f>SUMIFS('HQ1'!$I:$I,'HQ1'!$A:$A, "="&amp;Report_HQ1!C77,'HQ1'!$B:$B, "="&amp;Report_HQ1!$E$6)</f>
        <v>12466749654.35</v>
      </c>
      <c r="F77" s="7">
        <f>SUMIFS('HQ1'!$I:$I,'HQ1'!$A:$A, "="&amp;Report_HQ1!C77,'HQ1'!$B:$B, "="&amp;Report_HQ1!$F$6)</f>
        <v>286709586.55000001</v>
      </c>
      <c r="G77" s="7">
        <f>SUMIFS('HQ1'!$I:$I,'HQ1'!$A:$A, "="&amp;Report_HQ1!C77,'HQ1'!$B:$B, "="&amp;Report_HQ1!$G$6)</f>
        <v>2487893414.0599999</v>
      </c>
      <c r="H77" s="7">
        <f t="shared" si="5"/>
        <v>16288788947.49</v>
      </c>
      <c r="I77" s="7">
        <f>SUMIFS('HQ1'!$I:$I,'HQ1'!$A:$A, "="&amp;Report_HQ1!C77,'HQ1'!$B:$B, "Total")</f>
        <v>16288788947.49</v>
      </c>
      <c r="J77" s="24">
        <f t="shared" si="6"/>
        <v>0</v>
      </c>
    </row>
    <row r="78" spans="1:10" x14ac:dyDescent="0.25">
      <c r="A78" s="9" t="s">
        <v>355</v>
      </c>
      <c r="B78" t="s">
        <v>213</v>
      </c>
      <c r="C78" t="s">
        <v>109</v>
      </c>
      <c r="D78" s="7">
        <f>SUMIFS('HQ1'!$I:$I,'HQ1'!$A:$A, "="&amp;Report_HQ1!C78,'HQ1'!$B:$B, "="&amp;Report_HQ1!$D$6)</f>
        <v>157155149.87</v>
      </c>
      <c r="E78" s="7">
        <f>SUMIFS('HQ1'!$I:$I,'HQ1'!$A:$A, "="&amp;Report_HQ1!C78,'HQ1'!$B:$B, "="&amp;Report_HQ1!$E$6)</f>
        <v>435023514.25000012</v>
      </c>
      <c r="F78" s="7">
        <f>SUMIFS('HQ1'!$I:$I,'HQ1'!$A:$A, "="&amp;Report_HQ1!C78,'HQ1'!$B:$B, "="&amp;Report_HQ1!$F$6)</f>
        <v>26925761.050000001</v>
      </c>
      <c r="G78" s="7">
        <f>SUMIFS('HQ1'!$I:$I,'HQ1'!$A:$A, "="&amp;Report_HQ1!C78,'HQ1'!$B:$B, "="&amp;Report_HQ1!$G$6)</f>
        <v>1160536310.3399999</v>
      </c>
      <c r="H78" s="7">
        <f t="shared" si="5"/>
        <v>1779640735.51</v>
      </c>
      <c r="I78" s="7">
        <f>SUMIFS('HQ1'!$I:$I,'HQ1'!$A:$A, "="&amp;Report_HQ1!C78,'HQ1'!$B:$B, "Total")</f>
        <v>1779640735.51</v>
      </c>
      <c r="J78" s="24">
        <f t="shared" si="6"/>
        <v>0</v>
      </c>
    </row>
    <row r="79" spans="1:10" x14ac:dyDescent="0.25">
      <c r="A79" s="9" t="s">
        <v>356</v>
      </c>
      <c r="B79" t="s">
        <v>214</v>
      </c>
      <c r="C79" t="s">
        <v>80</v>
      </c>
      <c r="D79" s="7">
        <f>SUMIFS('HQ1'!$I:$I,'HQ1'!$A:$A, "="&amp;Report_HQ1!C79,'HQ1'!$B:$B, "="&amp;Report_HQ1!$D$6)</f>
        <v>-2718298457.1100001</v>
      </c>
      <c r="E79" s="7">
        <f>SUMIFS('HQ1'!$I:$I,'HQ1'!$A:$A, "="&amp;Report_HQ1!C79,'HQ1'!$B:$B, "="&amp;Report_HQ1!$E$6)</f>
        <v>309977390.69999999</v>
      </c>
      <c r="F79" s="7">
        <f>SUMIFS('HQ1'!$I:$I,'HQ1'!$A:$A, "="&amp;Report_HQ1!C79,'HQ1'!$B:$B, "="&amp;Report_HQ1!$F$6)</f>
        <v>23878024</v>
      </c>
      <c r="G79" s="7">
        <f>SUMIFS('HQ1'!$I:$I,'HQ1'!$A:$A, "="&amp;Report_HQ1!C79,'HQ1'!$B:$B, "="&amp;Report_HQ1!$G$6)</f>
        <v>-394383505.86000001</v>
      </c>
      <c r="H79" s="7">
        <f t="shared" si="5"/>
        <v>-2778826548.2700005</v>
      </c>
      <c r="I79" s="7">
        <f>SUMIFS('HQ1'!$I:$I,'HQ1'!$A:$A, "="&amp;Report_HQ1!C79,'HQ1'!$B:$B, "Total")</f>
        <v>-2778826548.2700005</v>
      </c>
      <c r="J79" s="24">
        <f t="shared" si="6"/>
        <v>0</v>
      </c>
    </row>
    <row r="80" spans="1:10" x14ac:dyDescent="0.25">
      <c r="A80" s="9" t="s">
        <v>357</v>
      </c>
      <c r="B80" t="s">
        <v>215</v>
      </c>
      <c r="C80" t="s">
        <v>99</v>
      </c>
      <c r="D80" s="7">
        <f>SUMIFS('HQ1'!$I:$I,'HQ1'!$A:$A, "="&amp;Report_HQ1!C80,'HQ1'!$B:$B, "="&amp;Report_HQ1!$D$6)</f>
        <v>-379474013.5</v>
      </c>
      <c r="E80" s="7">
        <f>SUMIFS('HQ1'!$I:$I,'HQ1'!$A:$A, "="&amp;Report_HQ1!C80,'HQ1'!$B:$B, "="&amp;Report_HQ1!$E$6)</f>
        <v>414230840.5</v>
      </c>
      <c r="F80" s="7">
        <f>SUMIFS('HQ1'!$I:$I,'HQ1'!$A:$A, "="&amp;Report_HQ1!C80,'HQ1'!$B:$B, "="&amp;Report_HQ1!$F$6)</f>
        <v>17562730</v>
      </c>
      <c r="G80" s="7">
        <f>SUMIFS('HQ1'!$I:$I,'HQ1'!$A:$A, "="&amp;Report_HQ1!C80,'HQ1'!$B:$B, "="&amp;Report_HQ1!$G$6)</f>
        <v>799059987.13999999</v>
      </c>
      <c r="H80" s="7">
        <f t="shared" si="5"/>
        <v>851379544.13999999</v>
      </c>
      <c r="I80" s="7">
        <f>SUMIFS('HQ1'!$I:$I,'HQ1'!$A:$A, "="&amp;Report_HQ1!C80,'HQ1'!$B:$B, "Total")</f>
        <v>851379544.13999999</v>
      </c>
      <c r="J80" s="24">
        <f t="shared" si="6"/>
        <v>0</v>
      </c>
    </row>
    <row r="81" spans="1:10" x14ac:dyDescent="0.25">
      <c r="A81" s="9" t="s">
        <v>358</v>
      </c>
      <c r="B81" t="s">
        <v>216</v>
      </c>
      <c r="C81" t="s">
        <v>66</v>
      </c>
      <c r="D81" s="7">
        <f>SUMIFS('HQ1'!$I:$I,'HQ1'!$A:$A, "="&amp;Report_HQ1!C81,'HQ1'!$B:$B, "="&amp;Report_HQ1!$D$6)</f>
        <v>943999435.37</v>
      </c>
      <c r="E81" s="7">
        <f>SUMIFS('HQ1'!$I:$I,'HQ1'!$A:$A, "="&amp;Report_HQ1!C81,'HQ1'!$B:$B, "="&amp;Report_HQ1!$E$6)</f>
        <v>2840444208.3700004</v>
      </c>
      <c r="F81" s="7">
        <f>SUMIFS('HQ1'!$I:$I,'HQ1'!$A:$A, "="&amp;Report_HQ1!C81,'HQ1'!$B:$B, "="&amp;Report_HQ1!$F$6)</f>
        <v>301611285.32000005</v>
      </c>
      <c r="G81" s="7">
        <f>SUMIFS('HQ1'!$I:$I,'HQ1'!$A:$A, "="&amp;Report_HQ1!C81,'HQ1'!$B:$B, "="&amp;Report_HQ1!$G$6)</f>
        <v>346926086.03999978</v>
      </c>
      <c r="H81" s="7">
        <f t="shared" si="5"/>
        <v>4432981015.1000004</v>
      </c>
      <c r="I81" s="7">
        <f>SUMIFS('HQ1'!$I:$I,'HQ1'!$A:$A, "="&amp;Report_HQ1!C81,'HQ1'!$B:$B, "Total")</f>
        <v>4432981015.1000004</v>
      </c>
      <c r="J81" s="24">
        <f t="shared" si="6"/>
        <v>0</v>
      </c>
    </row>
    <row r="82" spans="1:10" x14ac:dyDescent="0.25">
      <c r="A82" s="9" t="s">
        <v>359</v>
      </c>
      <c r="B82" t="s">
        <v>217</v>
      </c>
      <c r="C82" t="s">
        <v>116</v>
      </c>
      <c r="D82" s="7">
        <f>SUMIFS('HQ1'!$I:$I,'HQ1'!$A:$A, "="&amp;Report_HQ1!C82,'HQ1'!$B:$B, "="&amp;Report_HQ1!$D$6)</f>
        <v>-148224463.25</v>
      </c>
      <c r="E82" s="7">
        <f>SUMIFS('HQ1'!$I:$I,'HQ1'!$A:$A, "="&amp;Report_HQ1!C82,'HQ1'!$B:$B, "="&amp;Report_HQ1!$E$6)</f>
        <v>65192709.350000001</v>
      </c>
      <c r="F82" s="7">
        <f>SUMIFS('HQ1'!$I:$I,'HQ1'!$A:$A, "="&amp;Report_HQ1!C82,'HQ1'!$B:$B, "="&amp;Report_HQ1!$F$6)</f>
        <v>4538027</v>
      </c>
      <c r="G82" s="7">
        <f>SUMIFS('HQ1'!$I:$I,'HQ1'!$A:$A, "="&amp;Report_HQ1!C82,'HQ1'!$B:$B, "="&amp;Report_HQ1!$G$6)</f>
        <v>586854894.75</v>
      </c>
      <c r="H82" s="7">
        <f t="shared" si="5"/>
        <v>508361167.85000002</v>
      </c>
      <c r="I82" s="7">
        <f>SUMIFS('HQ1'!$I:$I,'HQ1'!$A:$A, "="&amp;Report_HQ1!C82,'HQ1'!$B:$B, "Total")</f>
        <v>508361167.85000002</v>
      </c>
      <c r="J82" s="24">
        <f t="shared" si="6"/>
        <v>0</v>
      </c>
    </row>
    <row r="83" spans="1:10" x14ac:dyDescent="0.25">
      <c r="A83" s="9" t="s">
        <v>360</v>
      </c>
      <c r="B83" t="s">
        <v>218</v>
      </c>
      <c r="C83" t="s">
        <v>86</v>
      </c>
      <c r="D83" s="7">
        <f>SUMIFS('HQ1'!$I:$I,'HQ1'!$A:$A, "="&amp;Report_HQ1!C83,'HQ1'!$B:$B, "="&amp;Report_HQ1!$D$6)</f>
        <v>-2168623100.4299998</v>
      </c>
      <c r="E83" s="7">
        <f>SUMIFS('HQ1'!$I:$I,'HQ1'!$A:$A, "="&amp;Report_HQ1!C83,'HQ1'!$B:$B, "="&amp;Report_HQ1!$E$6)</f>
        <v>85292818.599999964</v>
      </c>
      <c r="F83" s="7">
        <f>SUMIFS('HQ1'!$I:$I,'HQ1'!$A:$A, "="&amp;Report_HQ1!C83,'HQ1'!$B:$B, "="&amp;Report_HQ1!$F$6)</f>
        <v>8243091</v>
      </c>
      <c r="G83" s="7">
        <f>SUMIFS('HQ1'!$I:$I,'HQ1'!$A:$A, "="&amp;Report_HQ1!C83,'HQ1'!$B:$B, "="&amp;Report_HQ1!$G$6)</f>
        <v>1372765540.8499999</v>
      </c>
      <c r="H83" s="7">
        <f t="shared" si="5"/>
        <v>-702321649.98000002</v>
      </c>
      <c r="I83" s="7">
        <f>SUMIFS('HQ1'!$I:$I,'HQ1'!$A:$A, "="&amp;Report_HQ1!C83,'HQ1'!$B:$B, "Total")</f>
        <v>-702321649.98000002</v>
      </c>
      <c r="J83" s="24">
        <f t="shared" si="6"/>
        <v>0</v>
      </c>
    </row>
    <row r="84" spans="1:10" x14ac:dyDescent="0.25">
      <c r="A84" s="9" t="s">
        <v>361</v>
      </c>
      <c r="B84" t="s">
        <v>219</v>
      </c>
      <c r="C84" t="s">
        <v>85</v>
      </c>
      <c r="D84" s="7">
        <f>SUMIFS('HQ1'!$I:$I,'HQ1'!$A:$A, "="&amp;Report_HQ1!C84,'HQ1'!$B:$B, "="&amp;Report_HQ1!$D$6)</f>
        <v>167060471.05000001</v>
      </c>
      <c r="E84" s="7">
        <f>SUMIFS('HQ1'!$I:$I,'HQ1'!$A:$A, "="&amp;Report_HQ1!C84,'HQ1'!$B:$B, "="&amp;Report_HQ1!$E$6)</f>
        <v>775333117.25000012</v>
      </c>
      <c r="F84" s="7">
        <f>SUMIFS('HQ1'!$I:$I,'HQ1'!$A:$A, "="&amp;Report_HQ1!C84,'HQ1'!$B:$B, "="&amp;Report_HQ1!$F$6)</f>
        <v>26093250</v>
      </c>
      <c r="G84" s="7">
        <f>SUMIFS('HQ1'!$I:$I,'HQ1'!$A:$A, "="&amp;Report_HQ1!C84,'HQ1'!$B:$B, "="&amp;Report_HQ1!$G$6)</f>
        <v>455449132.50999999</v>
      </c>
      <c r="H84" s="7">
        <f t="shared" si="5"/>
        <v>1423935970.8100002</v>
      </c>
      <c r="I84" s="7">
        <f>SUMIFS('HQ1'!$I:$I,'HQ1'!$A:$A, "="&amp;Report_HQ1!C84,'HQ1'!$B:$B, "Total")</f>
        <v>1423935970.8100002</v>
      </c>
      <c r="J84" s="24">
        <f t="shared" si="6"/>
        <v>0</v>
      </c>
    </row>
    <row r="85" spans="1:10" x14ac:dyDescent="0.25">
      <c r="A85" s="9" t="s">
        <v>362</v>
      </c>
      <c r="B85" t="s">
        <v>220</v>
      </c>
      <c r="C85" t="s">
        <v>129</v>
      </c>
      <c r="D85" s="7">
        <f>SUMIFS('HQ1'!$I:$I,'HQ1'!$A:$A, "="&amp;Report_HQ1!C85,'HQ1'!$B:$B, "="&amp;Report_HQ1!$D$6)</f>
        <v>-362825546.94999999</v>
      </c>
      <c r="E85" s="7">
        <f>SUMIFS('HQ1'!$I:$I,'HQ1'!$A:$A, "="&amp;Report_HQ1!C85,'HQ1'!$B:$B, "="&amp;Report_HQ1!$E$6)</f>
        <v>-66994905</v>
      </c>
      <c r="F85" s="7">
        <f>SUMIFS('HQ1'!$I:$I,'HQ1'!$A:$A, "="&amp;Report_HQ1!C85,'HQ1'!$B:$B, "="&amp;Report_HQ1!$F$6)</f>
        <v>29575114.75</v>
      </c>
      <c r="G85" s="7">
        <f>SUMIFS('HQ1'!$I:$I,'HQ1'!$A:$A, "="&amp;Report_HQ1!C85,'HQ1'!$B:$B, "="&amp;Report_HQ1!$G$6)</f>
        <v>280119588.61000001</v>
      </c>
      <c r="H85" s="7">
        <f t="shared" si="5"/>
        <v>-120125748.58999997</v>
      </c>
      <c r="I85" s="7">
        <f>SUMIFS('HQ1'!$I:$I,'HQ1'!$A:$A, "="&amp;Report_HQ1!C85,'HQ1'!$B:$B, "Total")</f>
        <v>-120125748.58999997</v>
      </c>
      <c r="J85" s="24">
        <f t="shared" si="6"/>
        <v>0</v>
      </c>
    </row>
    <row r="86" spans="1:10" x14ac:dyDescent="0.25">
      <c r="A86" s="9" t="s">
        <v>233</v>
      </c>
      <c r="B86" t="str">
        <f>VLOOKUP(A86,[1]Sheet1!$A$82:$B$94,2,FALSE)</f>
        <v>Trụ sở chính</v>
      </c>
      <c r="C86" t="str">
        <f>B86</f>
        <v>Trụ sở chính</v>
      </c>
      <c r="D86" s="7">
        <f>SUMIFS('HQ1'!$I:$I,'HQ1'!$A:$A, "="&amp;Report_HQ1!C86,'HQ1'!$B:$B, "="&amp;Report_HQ1!$D$6)</f>
        <v>2783912074.75</v>
      </c>
      <c r="E86" s="7">
        <f>SUMIFS('HQ1'!$I:$I,'HQ1'!$A:$A, "="&amp;Report_HQ1!C86,'HQ1'!$B:$B, "="&amp;Report_HQ1!$E$6)</f>
        <v>166760537260.5</v>
      </c>
      <c r="F86" s="7">
        <f>SUMIFS('HQ1'!$I:$I,'HQ1'!$A:$A, "="&amp;Report_HQ1!C86,'HQ1'!$B:$B, "="&amp;Report_HQ1!$F$6)</f>
        <v>1179900681.5</v>
      </c>
      <c r="G86" s="7">
        <f>SUMIFS('HQ1'!$I:$I,'HQ1'!$A:$A, "="&amp;Report_HQ1!C86,'HQ1'!$B:$B, "="&amp;Report_HQ1!$G$6)</f>
        <v>489783376.75</v>
      </c>
      <c r="H86" s="7">
        <f>SUM(D86:G86)</f>
        <v>171214133393.5</v>
      </c>
      <c r="I86" s="7">
        <f>SUMIFS('HQ1'!$I:$I,'HQ1'!$A:$A, "="&amp;Report_HQ1!C86,'HQ1'!$B:$B, "Total")</f>
        <v>171214133393.5</v>
      </c>
      <c r="J86" s="24">
        <f t="shared" si="6"/>
        <v>0</v>
      </c>
    </row>
    <row r="87" spans="1:10" x14ac:dyDescent="0.25">
      <c r="A87" s="9" t="s">
        <v>229</v>
      </c>
      <c r="B87" s="98" t="s">
        <v>115</v>
      </c>
      <c r="C87" s="98" t="s">
        <v>115</v>
      </c>
      <c r="D87" s="7">
        <f>SUMIFS('HQ1'!$I:$I,'HQ1'!$A:$A, "="&amp;Report_HQ1!C87,'HQ1'!$B:$B, "="&amp;Report_HQ1!$D$6)</f>
        <v>1242958254.6200001</v>
      </c>
      <c r="E87" s="7">
        <f>SUMIFS('HQ1'!$I:$I,'HQ1'!$A:$A, "="&amp;Report_HQ1!C87,'HQ1'!$B:$B, "="&amp;Report_HQ1!$E$6)</f>
        <v>234298560.44999999</v>
      </c>
      <c r="F87" s="7">
        <f>SUMIFS('HQ1'!$I:$I,'HQ1'!$A:$A, "="&amp;Report_HQ1!C87,'HQ1'!$B:$B, "="&amp;Report_HQ1!$F$6)</f>
        <v>5471835115.0500002</v>
      </c>
      <c r="G87" s="7">
        <f>SUMIFS('HQ1'!$I:$I,'HQ1'!$A:$A, "="&amp;Report_HQ1!C87,'HQ1'!$B:$B, "="&amp;Report_HQ1!$G$6)</f>
        <v>-566110503.48000002</v>
      </c>
      <c r="H87" s="7">
        <f t="shared" ref="H87:H95" si="7">SUM(D87:G87)</f>
        <v>6382981426.6400013</v>
      </c>
      <c r="I87" s="7">
        <f>SUMIFS('HQ1'!$I:$I,'HQ1'!$A:$A, "="&amp;Report_HQ1!C87,'HQ1'!$B:$B, "Total")</f>
        <v>6382981426.6400013</v>
      </c>
      <c r="J87" s="24">
        <f t="shared" si="6"/>
        <v>0</v>
      </c>
    </row>
    <row r="88" spans="1:10" x14ac:dyDescent="0.25">
      <c r="A88" s="9" t="s">
        <v>227</v>
      </c>
      <c r="B88" s="93" t="s">
        <v>423</v>
      </c>
      <c r="C88" s="93" t="s">
        <v>423</v>
      </c>
      <c r="D88" s="7">
        <f>SUMIFS('HQ1'!$I:$I,'HQ1'!$A:$A, "="&amp;Report_HQ1!C88,'HQ1'!$B:$B, "="&amp;Report_HQ1!$D$6)</f>
        <v>168724137.59999999</v>
      </c>
      <c r="E88" s="7">
        <f>SUMIFS('HQ1'!$I:$I,'HQ1'!$A:$A, "="&amp;Report_HQ1!C88,'HQ1'!$B:$B, "="&amp;Report_HQ1!$E$6)</f>
        <v>3395985472.7800002</v>
      </c>
      <c r="F88" s="7">
        <f>SUMIFS('HQ1'!$I:$I,'HQ1'!$A:$A, "="&amp;Report_HQ1!C88,'HQ1'!$B:$B, "="&amp;Report_HQ1!$F$6)</f>
        <v>194215320</v>
      </c>
      <c r="G88" s="7">
        <f>SUMIFS('HQ1'!$I:$I,'HQ1'!$A:$A, "="&amp;Report_HQ1!C88,'HQ1'!$B:$B, "="&amp;Report_HQ1!$G$6)</f>
        <v>0</v>
      </c>
      <c r="H88" s="7">
        <f t="shared" si="7"/>
        <v>3758924930.3800001</v>
      </c>
      <c r="I88" s="7">
        <f>SUMIFS('HQ1'!$I:$I,'HQ1'!$A:$A, "="&amp;Report_HQ1!C88,'HQ1'!$B:$B, "Total")</f>
        <v>3758924930.3800001</v>
      </c>
      <c r="J88" s="24">
        <f t="shared" si="6"/>
        <v>0</v>
      </c>
    </row>
    <row r="89" spans="1:10" x14ac:dyDescent="0.25">
      <c r="A89" s="9"/>
      <c r="B89" s="93" t="s">
        <v>424</v>
      </c>
      <c r="C89" s="93" t="s">
        <v>424</v>
      </c>
      <c r="D89" s="7">
        <f>SUMIFS('HQ1'!$I:$I,'HQ1'!$A:$A, "="&amp;Report_HQ1!C89,'HQ1'!$B:$B, "="&amp;Report_HQ1!$D$6)</f>
        <v>-57673048</v>
      </c>
      <c r="E89" s="7">
        <f>SUMIFS('HQ1'!$I:$I,'HQ1'!$A:$A, "="&amp;Report_HQ1!C89,'HQ1'!$B:$B, "="&amp;Report_HQ1!$E$6)</f>
        <v>-2565230653.7700005</v>
      </c>
      <c r="F89" s="7">
        <f>SUMIFS('HQ1'!$I:$I,'HQ1'!$A:$A, "="&amp;Report_HQ1!C89,'HQ1'!$B:$B, "="&amp;Report_HQ1!$F$6)</f>
        <v>0</v>
      </c>
      <c r="G89" s="7">
        <f>SUMIFS('HQ1'!$I:$I,'HQ1'!$A:$A, "="&amp;Report_HQ1!C89,'HQ1'!$B:$B, "="&amp;Report_HQ1!$G$6)</f>
        <v>22160504.16</v>
      </c>
      <c r="H89" s="7">
        <f t="shared" si="7"/>
        <v>-2600743197.6100006</v>
      </c>
      <c r="I89" s="7">
        <f>SUMIFS('HQ1'!$I:$I,'HQ1'!$A:$A, "="&amp;Report_HQ1!C89,'HQ1'!$B:$B, "Total")</f>
        <v>-2600743197.6100006</v>
      </c>
      <c r="J89" s="24">
        <f t="shared" si="6"/>
        <v>0</v>
      </c>
    </row>
    <row r="90" spans="1:10" x14ac:dyDescent="0.25">
      <c r="A90" s="9" t="s">
        <v>230</v>
      </c>
      <c r="B90" s="93" t="s">
        <v>130</v>
      </c>
      <c r="C90" s="93" t="s">
        <v>130</v>
      </c>
      <c r="D90" s="7">
        <f>SUMIFS('HQ1'!$I:$I,'HQ1'!$A:$A, "="&amp;Report_HQ1!C90,'HQ1'!$B:$B, "="&amp;Report_HQ1!$D$6)</f>
        <v>765336100.18000007</v>
      </c>
      <c r="E90" s="7">
        <f>SUMIFS('HQ1'!$I:$I,'HQ1'!$A:$A, "="&amp;Report_HQ1!C90,'HQ1'!$B:$B, "="&amp;Report_HQ1!$E$6)</f>
        <v>108485981059.51001</v>
      </c>
      <c r="F90" s="7">
        <f>SUMIFS('HQ1'!$I:$I,'HQ1'!$A:$A, "="&amp;Report_HQ1!C90,'HQ1'!$B:$B, "="&amp;Report_HQ1!$F$6)</f>
        <v>88749538.900000006</v>
      </c>
      <c r="G90" s="7">
        <f>SUMIFS('HQ1'!$I:$I,'HQ1'!$A:$A, "="&amp;Report_HQ1!C90,'HQ1'!$B:$B, "="&amp;Report_HQ1!$G$6)</f>
        <v>0</v>
      </c>
      <c r="H90" s="7">
        <f t="shared" si="7"/>
        <v>109340066698.59</v>
      </c>
      <c r="I90" s="7">
        <f>SUMIFS('HQ1'!$I:$I,'HQ1'!$A:$A, "="&amp;Report_HQ1!C90,'HQ1'!$B:$B, "Total")</f>
        <v>109340066698.59</v>
      </c>
      <c r="J90" s="24">
        <f t="shared" si="6"/>
        <v>0</v>
      </c>
    </row>
    <row r="91" spans="1:10" x14ac:dyDescent="0.25">
      <c r="A91" s="9" t="s">
        <v>223</v>
      </c>
      <c r="B91" s="93" t="s">
        <v>55</v>
      </c>
      <c r="C91" s="93" t="s">
        <v>55</v>
      </c>
      <c r="D91" s="7">
        <f>SUMIFS('HQ1'!$I:$I,'HQ1'!$A:$A, "="&amp;Report_HQ1!C91,'HQ1'!$B:$B, "="&amp;Report_HQ1!$D$6)</f>
        <v>4250070</v>
      </c>
      <c r="E91" s="7">
        <f>SUMIFS('HQ1'!$I:$I,'HQ1'!$A:$A, "="&amp;Report_HQ1!C91,'HQ1'!$B:$B, "="&amp;Report_HQ1!$E$6)</f>
        <v>-684231434.28999996</v>
      </c>
      <c r="F91" s="7">
        <f>SUMIFS('HQ1'!$I:$I,'HQ1'!$A:$A, "="&amp;Report_HQ1!C91,'HQ1'!$B:$B, "="&amp;Report_HQ1!$F$6)</f>
        <v>2395504</v>
      </c>
      <c r="G91" s="7">
        <f>SUMIFS('HQ1'!$I:$I,'HQ1'!$A:$A, "="&amp;Report_HQ1!C91,'HQ1'!$B:$B, "="&amp;Report_HQ1!$G$6)</f>
        <v>56883958.879999995</v>
      </c>
      <c r="H91" s="7">
        <f t="shared" si="7"/>
        <v>-620701901.40999997</v>
      </c>
      <c r="I91" s="7">
        <f>SUMIFS('HQ1'!$I:$I,'HQ1'!$A:$A, "="&amp;Report_HQ1!C91,'HQ1'!$B:$B, "Total")</f>
        <v>-620701901.40999997</v>
      </c>
      <c r="J91" s="24">
        <f t="shared" si="6"/>
        <v>0</v>
      </c>
    </row>
    <row r="92" spans="1:10" x14ac:dyDescent="0.25">
      <c r="A92" s="9" t="s">
        <v>234</v>
      </c>
      <c r="B92" s="93" t="s">
        <v>126</v>
      </c>
      <c r="C92" s="93" t="s">
        <v>126</v>
      </c>
      <c r="D92" s="7">
        <f>SUMIFS('HQ1'!$I:$I,'HQ1'!$A:$A, "="&amp;Report_HQ1!C92,'HQ1'!$B:$B, "="&amp;Report_HQ1!$D$6)</f>
        <v>265391164.19999999</v>
      </c>
      <c r="E92" s="7">
        <f>SUMIFS('HQ1'!$I:$I,'HQ1'!$A:$A, "="&amp;Report_HQ1!C92,'HQ1'!$B:$B, "="&amp;Report_HQ1!$E$6)</f>
        <v>12455307635.690002</v>
      </c>
      <c r="F92" s="7">
        <f>SUMIFS('HQ1'!$I:$I,'HQ1'!$A:$A, "="&amp;Report_HQ1!C92,'HQ1'!$B:$B, "="&amp;Report_HQ1!$F$6)</f>
        <v>71758130.030000001</v>
      </c>
      <c r="G92" s="7">
        <f>SUMIFS('HQ1'!$I:$I,'HQ1'!$A:$A, "="&amp;Report_HQ1!C92,'HQ1'!$B:$B, "="&amp;Report_HQ1!$G$6)</f>
        <v>456890860.48000002</v>
      </c>
      <c r="H92" s="7">
        <f t="shared" si="7"/>
        <v>13249347790.400003</v>
      </c>
      <c r="I92" s="7">
        <f>SUMIFS('HQ1'!$I:$I,'HQ1'!$A:$A, "="&amp;Report_HQ1!C92,'HQ1'!$B:$B, "Total")</f>
        <v>13249347790.400003</v>
      </c>
      <c r="J92" s="24">
        <f t="shared" si="6"/>
        <v>0</v>
      </c>
    </row>
    <row r="93" spans="1:10" x14ac:dyDescent="0.25">
      <c r="A93" s="9" t="s">
        <v>228</v>
      </c>
      <c r="B93" s="93" t="s">
        <v>50</v>
      </c>
      <c r="C93" s="93" t="s">
        <v>50</v>
      </c>
      <c r="D93" s="7">
        <f>SUMIFS('HQ1'!$I:$I,'HQ1'!$A:$A, "="&amp;Report_HQ1!C93,'HQ1'!$B:$B, "="&amp;Report_HQ1!$D$6)</f>
        <v>160501751.68000001</v>
      </c>
      <c r="E93" s="7">
        <f>SUMIFS('HQ1'!$I:$I,'HQ1'!$A:$A, "="&amp;Report_HQ1!C93,'HQ1'!$B:$B, "="&amp;Report_HQ1!$E$6)</f>
        <v>-59399875</v>
      </c>
      <c r="F93" s="7">
        <f>SUMIFS('HQ1'!$I:$I,'HQ1'!$A:$A, "="&amp;Report_HQ1!C93,'HQ1'!$B:$B, "="&amp;Report_HQ1!$F$6)</f>
        <v>4555240</v>
      </c>
      <c r="G93" s="7">
        <f>SUMIFS('HQ1'!$I:$I,'HQ1'!$A:$A, "="&amp;Report_HQ1!C93,'HQ1'!$B:$B, "="&amp;Report_HQ1!$G$6)</f>
        <v>11064605</v>
      </c>
      <c r="H93" s="7">
        <f t="shared" si="7"/>
        <v>116721721.68000001</v>
      </c>
      <c r="I93" s="7">
        <f>SUMIFS('HQ1'!$I:$I,'HQ1'!$A:$A, "="&amp;Report_HQ1!C93,'HQ1'!$B:$B, "Total")</f>
        <v>116721721.68000001</v>
      </c>
      <c r="J93" s="24">
        <f t="shared" si="6"/>
        <v>0</v>
      </c>
    </row>
    <row r="94" spans="1:10" x14ac:dyDescent="0.25">
      <c r="A94" s="9" t="s">
        <v>231</v>
      </c>
      <c r="B94" s="93" t="s">
        <v>56</v>
      </c>
      <c r="C94" s="93" t="s">
        <v>56</v>
      </c>
      <c r="D94" s="7">
        <f>SUMIFS('HQ1'!$I:$I,'HQ1'!$A:$A, "="&amp;Report_HQ1!C94,'HQ1'!$B:$B, "="&amp;Report_HQ1!$D$6)</f>
        <v>0</v>
      </c>
      <c r="E94" s="7">
        <f>SUMIFS('HQ1'!$I:$I,'HQ1'!$A:$A, "="&amp;Report_HQ1!C94,'HQ1'!$B:$B, "="&amp;Report_HQ1!$E$6)</f>
        <v>0</v>
      </c>
      <c r="F94" s="7">
        <f>SUMIFS('HQ1'!$I:$I,'HQ1'!$A:$A, "="&amp;Report_HQ1!C94,'HQ1'!$B:$B, "="&amp;Report_HQ1!$F$6)</f>
        <v>0</v>
      </c>
      <c r="G94" s="7">
        <f>SUMIFS('HQ1'!$I:$I,'HQ1'!$A:$A, "="&amp;Report_HQ1!C94,'HQ1'!$B:$B, "="&amp;Report_HQ1!$G$6)</f>
        <v>10392750</v>
      </c>
      <c r="H94" s="7">
        <f t="shared" si="7"/>
        <v>10392750</v>
      </c>
      <c r="I94" s="7">
        <f>SUMIFS('HQ1'!$I:$I,'HQ1'!$A:$A, "="&amp;Report_HQ1!C94,'HQ1'!$B:$B, "Total")</f>
        <v>10392750</v>
      </c>
      <c r="J94" s="24">
        <f t="shared" si="6"/>
        <v>0</v>
      </c>
    </row>
    <row r="95" spans="1:10" x14ac:dyDescent="0.25">
      <c r="A95" s="9" t="s">
        <v>225</v>
      </c>
      <c r="B95" s="93" t="s">
        <v>139</v>
      </c>
      <c r="C95" s="93" t="s">
        <v>139</v>
      </c>
      <c r="D95" s="7">
        <f>SUMIFS('HQ1'!$I:$I,'HQ1'!$A:$A, "="&amp;Report_HQ1!C95,'HQ1'!$B:$B, "="&amp;Report_HQ1!$D$6)</f>
        <v>0</v>
      </c>
      <c r="E95" s="7">
        <f>SUMIFS('HQ1'!$I:$I,'HQ1'!$A:$A, "="&amp;Report_HQ1!C95,'HQ1'!$B:$B, "="&amp;Report_HQ1!$E$6)</f>
        <v>16427184993.299999</v>
      </c>
      <c r="F95" s="7">
        <f>SUMIFS('HQ1'!$I:$I,'HQ1'!$A:$A, "="&amp;Report_HQ1!C95,'HQ1'!$B:$B, "="&amp;Report_HQ1!$F$6)</f>
        <v>0</v>
      </c>
      <c r="G95" s="7">
        <f>SUMIFS('HQ1'!$I:$I,'HQ1'!$A:$A, "="&amp;Report_HQ1!C95,'HQ1'!$B:$B, "="&amp;Report_HQ1!$G$6)</f>
        <v>0</v>
      </c>
      <c r="H95" s="7">
        <f t="shared" si="7"/>
        <v>16427184993.299999</v>
      </c>
      <c r="I95" s="7">
        <f>SUMIFS('HQ1'!$I:$I,'HQ1'!$A:$A, "="&amp;Report_HQ1!C95,'HQ1'!$B:$B, "Total")</f>
        <v>16427184993.299999</v>
      </c>
      <c r="J95" s="24">
        <f t="shared" si="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95"/>
  <sheetViews>
    <sheetView workbookViewId="0">
      <pane xSplit="3" ySplit="6" topLeftCell="D61" activePane="bottomRight" state="frozen"/>
      <selection pane="topRight" activeCell="D1" sqref="D1"/>
      <selection pane="bottomLeft" activeCell="A7" sqref="A7"/>
      <selection pane="bottomRight" activeCell="J99" sqref="J99"/>
    </sheetView>
  </sheetViews>
  <sheetFormatPr defaultRowHeight="15" x14ac:dyDescent="0.25"/>
  <cols>
    <col min="1" max="1" width="9.28515625" customWidth="1"/>
    <col min="2" max="2" width="19.140625" hidden="1" customWidth="1"/>
    <col min="3" max="3" width="29.7109375" customWidth="1"/>
    <col min="4" max="5" width="16.28515625" bestFit="1" customWidth="1"/>
    <col min="6" max="6" width="15.28515625" bestFit="1" customWidth="1"/>
    <col min="7" max="7" width="20.140625" bestFit="1" customWidth="1"/>
    <col min="8" max="9" width="16.28515625" bestFit="1" customWidth="1"/>
    <col min="10" max="11" width="17" bestFit="1" customWidth="1"/>
    <col min="12" max="12" width="19.7109375" customWidth="1"/>
    <col min="13" max="13" width="18.7109375" customWidth="1"/>
  </cols>
  <sheetData>
    <row r="1" spans="1:13" x14ac:dyDescent="0.25">
      <c r="B1" t="s">
        <v>368</v>
      </c>
      <c r="C1" t="s">
        <v>368</v>
      </c>
    </row>
    <row r="2" spans="1:13" x14ac:dyDescent="0.25">
      <c r="B2" t="s">
        <v>369</v>
      </c>
      <c r="C2" t="s">
        <v>369</v>
      </c>
    </row>
    <row r="3" spans="1:13" x14ac:dyDescent="0.25">
      <c r="C3" s="37" t="s">
        <v>370</v>
      </c>
      <c r="D3" s="7">
        <f t="shared" ref="D3:G3" si="0">SUMIF(D7:D85, "&lt;0")</f>
        <v>-3744794786.6949997</v>
      </c>
      <c r="E3" s="7">
        <f t="shared" si="0"/>
        <v>-8493124247.8568487</v>
      </c>
      <c r="F3" s="7">
        <f t="shared" si="0"/>
        <v>-1832019787.9559994</v>
      </c>
      <c r="G3" s="7">
        <f t="shared" si="0"/>
        <v>-1606680659.9759998</v>
      </c>
      <c r="H3" s="7">
        <f>SUMIF(H7:H85, "&lt;0")</f>
        <v>-4531384047.0999994</v>
      </c>
      <c r="I3" s="7">
        <f t="shared" ref="I3:K3" si="1">SUMIF(I7:I85, "&lt;0")</f>
        <v>-6602810255.3595009</v>
      </c>
      <c r="J3" s="7">
        <f t="shared" si="1"/>
        <v>-13470400076.032347</v>
      </c>
      <c r="K3" s="7">
        <f t="shared" si="1"/>
        <v>-14644509236.479902</v>
      </c>
      <c r="L3" s="7"/>
      <c r="M3" s="7"/>
    </row>
    <row r="4" spans="1:13" x14ac:dyDescent="0.25">
      <c r="C4" s="37" t="s">
        <v>371</v>
      </c>
      <c r="D4" s="7">
        <f t="shared" ref="D4:G4" si="2">SUMIF(D7:D85, "&gt;=0")</f>
        <v>92591314158.532074</v>
      </c>
      <c r="E4" s="7">
        <f t="shared" si="2"/>
        <v>24321725464.543854</v>
      </c>
      <c r="F4" s="7">
        <f t="shared" si="2"/>
        <v>7609890387.7379999</v>
      </c>
      <c r="G4" s="7">
        <f t="shared" si="2"/>
        <v>42695569460.347939</v>
      </c>
      <c r="H4" s="7">
        <f>SUMIF(H7:H85, "&gt;=0")</f>
        <v>8044388836.9051008</v>
      </c>
      <c r="I4" s="7">
        <f t="shared" ref="I4:K4" si="3">SUMIF(I7:I85, "&gt;=0")</f>
        <v>21780470360.937996</v>
      </c>
      <c r="J4" s="7">
        <f t="shared" si="3"/>
        <v>7285234969.7267523</v>
      </c>
      <c r="K4" s="7">
        <f t="shared" si="3"/>
        <v>178691889014.23587</v>
      </c>
      <c r="L4" s="7"/>
      <c r="M4" s="7"/>
    </row>
    <row r="5" spans="1:13" x14ac:dyDescent="0.25">
      <c r="D5" s="7">
        <f t="shared" ref="D5:G5" si="4">SUM(D7:D85)</f>
        <v>88846519371.837051</v>
      </c>
      <c r="E5" s="7">
        <f t="shared" si="4"/>
        <v>15828601216.687002</v>
      </c>
      <c r="F5" s="7">
        <f t="shared" si="4"/>
        <v>5777870599.7819986</v>
      </c>
      <c r="G5" s="7">
        <f t="shared" si="4"/>
        <v>41088888800.371941</v>
      </c>
      <c r="H5" s="7">
        <f>SUM(H7:H85)</f>
        <v>3513004789.8051023</v>
      </c>
      <c r="I5" s="7">
        <f t="shared" ref="I5:K5" si="5">SUM(I7:I85)</f>
        <v>15177660105.578497</v>
      </c>
      <c r="J5" s="7">
        <f t="shared" si="5"/>
        <v>-6185165106.3055964</v>
      </c>
      <c r="K5" s="7">
        <f t="shared" si="5"/>
        <v>164047379777.75598</v>
      </c>
      <c r="L5" s="7"/>
      <c r="M5" s="7"/>
    </row>
    <row r="6" spans="1:13" x14ac:dyDescent="0.25">
      <c r="A6" s="6" t="s">
        <v>140</v>
      </c>
      <c r="B6" s="6" t="s">
        <v>141</v>
      </c>
      <c r="C6" s="6" t="s">
        <v>141</v>
      </c>
      <c r="D6" s="38" t="s">
        <v>268</v>
      </c>
      <c r="E6" s="38" t="s">
        <v>271</v>
      </c>
      <c r="F6" s="38" t="s">
        <v>269</v>
      </c>
      <c r="G6" s="38" t="s">
        <v>270</v>
      </c>
      <c r="H6" s="38" t="s">
        <v>273</v>
      </c>
      <c r="I6" s="6" t="s">
        <v>23</v>
      </c>
      <c r="J6" s="6" t="s">
        <v>272</v>
      </c>
      <c r="K6" s="6" t="s">
        <v>373</v>
      </c>
      <c r="M6" s="6" t="s">
        <v>374</v>
      </c>
    </row>
    <row r="7" spans="1:13" x14ac:dyDescent="0.25">
      <c r="A7" s="9" t="s">
        <v>284</v>
      </c>
      <c r="B7" t="s">
        <v>142</v>
      </c>
      <c r="C7" t="s">
        <v>82</v>
      </c>
      <c r="D7" s="7">
        <f>SUMIFS('HQ2'!$AC:$AC,'HQ2'!$A:$A, "="&amp;Report_HQ2!C7,'HQ2'!$B:$B,Report_HQ2!$D$6)</f>
        <v>667767478.73259997</v>
      </c>
      <c r="E7" s="7">
        <f>SUMIFS('HQ2'!$AC:$AC,'HQ2'!$A:$A, "="&amp;Report_HQ2!C7,'HQ2'!$B:$B,Report_HQ2!$E$6)</f>
        <v>483597534.09784997</v>
      </c>
      <c r="F7" s="7">
        <f>SUMIFS('HQ2'!$AC:$AC,'HQ2'!$A:$A, "="&amp;Report_HQ2!C7,'HQ2'!$B:$B,Report_HQ2!$F$6)</f>
        <v>-20229214.476000007</v>
      </c>
      <c r="G7" s="7">
        <f>SUMIFS('HQ2'!$AC:$AC,'HQ2'!$A:$A, "="&amp;Report_HQ2!C7,'HQ2'!$B:$B,Report_HQ2!$G$6)</f>
        <v>178229590.73960003</v>
      </c>
      <c r="H7" s="7">
        <f>SUMIFS('HQ2'!$AC:$AC,'HQ2'!$A:$A, "="&amp;Report_HQ2!C7,'HQ2'!$B:$B,Report_HQ2!$H$6)</f>
        <v>0</v>
      </c>
      <c r="I7" s="7">
        <f>SUMIFS('HQ2'!$AC:$AC,'HQ2'!$A:$A, "="&amp;Report_HQ2!C7,'HQ2'!$B:$B,Report_HQ2!$I$6)</f>
        <v>0</v>
      </c>
      <c r="J7" s="7">
        <f>SUMIFS('HQ2'!$AC:$AC,'HQ2'!$A:$A, "="&amp;Report_HQ2!C7,'HQ2'!$B:$B,Report_HQ2!$J$6)</f>
        <v>404697236.96964997</v>
      </c>
      <c r="K7" s="24">
        <f>SUM(D7:J7)</f>
        <v>1714062626.0637</v>
      </c>
      <c r="L7" s="7">
        <f>SUMIFS('HQ2'!$AC:$AC,'HQ2'!$A:$A, "="&amp;Report_HQ2!C7,'HQ2'!$B:$B,"Total")</f>
        <v>1714062626.0636997</v>
      </c>
      <c r="M7" s="24">
        <f>K7-L7</f>
        <v>0</v>
      </c>
    </row>
    <row r="8" spans="1:13" x14ac:dyDescent="0.25">
      <c r="A8" s="9" t="s">
        <v>285</v>
      </c>
      <c r="B8" t="s">
        <v>143</v>
      </c>
      <c r="C8" t="s">
        <v>61</v>
      </c>
      <c r="D8" s="7">
        <f>SUMIFS('HQ2'!$AC:$AC,'HQ2'!$A:$A, "="&amp;Report_HQ2!C8,'HQ2'!$B:$B,Report_HQ2!$D$6)</f>
        <v>1712832642.1657999</v>
      </c>
      <c r="E8" s="7">
        <f>SUMIFS('HQ2'!$AC:$AC,'HQ2'!$A:$A, "="&amp;Report_HQ2!C8,'HQ2'!$B:$B,Report_HQ2!$E$6)</f>
        <v>131779145.3462</v>
      </c>
      <c r="F8" s="7">
        <f>SUMIFS('HQ2'!$AC:$AC,'HQ2'!$A:$A, "="&amp;Report_HQ2!C8,'HQ2'!$B:$B,Report_HQ2!$F$6)</f>
        <v>182431192.70799997</v>
      </c>
      <c r="G8" s="7">
        <f>SUMIFS('HQ2'!$AC:$AC,'HQ2'!$A:$A, "="&amp;Report_HQ2!C8,'HQ2'!$B:$B,Report_HQ2!$G$6)</f>
        <v>2109984108.6080999</v>
      </c>
      <c r="H8" s="7">
        <f>SUMIFS('HQ2'!$AC:$AC,'HQ2'!$A:$A, "="&amp;Report_HQ2!C8,'HQ2'!$B:$B,Report_HQ2!$H$6)</f>
        <v>0</v>
      </c>
      <c r="I8" s="7">
        <f>SUMIFS('HQ2'!$AC:$AC,'HQ2'!$A:$A, "="&amp;Report_HQ2!C8,'HQ2'!$B:$B,Report_HQ2!$I$6)</f>
        <v>0</v>
      </c>
      <c r="J8" s="7">
        <f>SUMIFS('HQ2'!$AC:$AC,'HQ2'!$A:$A, "="&amp;Report_HQ2!C8,'HQ2'!$B:$B,Report_HQ2!$J$6)</f>
        <v>6215157.7999999998</v>
      </c>
      <c r="K8" s="24">
        <f t="shared" ref="K8:K71" si="6">SUM(D8:J8)</f>
        <v>4143242246.6280999</v>
      </c>
      <c r="L8" s="7">
        <f>SUMIFS('HQ2'!$AC:$AC,'HQ2'!$A:$A, "="&amp;Report_HQ2!C8,'HQ2'!$B:$B,"Total")</f>
        <v>4143242246.6280994</v>
      </c>
      <c r="M8" s="24">
        <f t="shared" ref="M8:M71" si="7">K8-L8</f>
        <v>0</v>
      </c>
    </row>
    <row r="9" spans="1:13" x14ac:dyDescent="0.25">
      <c r="A9" s="9" t="s">
        <v>286</v>
      </c>
      <c r="B9" t="s">
        <v>144</v>
      </c>
      <c r="C9" t="s">
        <v>76</v>
      </c>
      <c r="D9" s="7">
        <f>SUMIFS('HQ2'!$AC:$AC,'HQ2'!$A:$A, "="&amp;Report_HQ2!C9,'HQ2'!$B:$B,Report_HQ2!$D$6)</f>
        <v>364561423.86079991</v>
      </c>
      <c r="E9" s="7">
        <f>SUMIFS('HQ2'!$AC:$AC,'HQ2'!$A:$A, "="&amp;Report_HQ2!C9,'HQ2'!$B:$B,Report_HQ2!$E$6)</f>
        <v>68102614.656799957</v>
      </c>
      <c r="F9" s="7">
        <f>SUMIFS('HQ2'!$AC:$AC,'HQ2'!$A:$A, "="&amp;Report_HQ2!C9,'HQ2'!$B:$B,Report_HQ2!$F$6)</f>
        <v>8655656.7399999984</v>
      </c>
      <c r="G9" s="7">
        <f>SUMIFS('HQ2'!$AC:$AC,'HQ2'!$A:$A, "="&amp;Report_HQ2!C9,'HQ2'!$B:$B,Report_HQ2!$G$6)</f>
        <v>1267117333.4129</v>
      </c>
      <c r="H9" s="7">
        <f>SUMIFS('HQ2'!$AC:$AC,'HQ2'!$A:$A, "="&amp;Report_HQ2!C9,'HQ2'!$B:$B,Report_HQ2!$H$6)</f>
        <v>-185609953.62</v>
      </c>
      <c r="I9" s="7">
        <f>SUMIFS('HQ2'!$AC:$AC,'HQ2'!$A:$A, "="&amp;Report_HQ2!C9,'HQ2'!$B:$B,Report_HQ2!$I$6)</f>
        <v>363267348.245</v>
      </c>
      <c r="J9" s="7">
        <f>SUMIFS('HQ2'!$AC:$AC,'HQ2'!$A:$A, "="&amp;Report_HQ2!C9,'HQ2'!$B:$B,Report_HQ2!$J$6)</f>
        <v>533606934.05500007</v>
      </c>
      <c r="K9" s="24">
        <f t="shared" si="6"/>
        <v>2419701357.3505001</v>
      </c>
      <c r="L9" s="7">
        <f>SUMIFS('HQ2'!$AC:$AC,'HQ2'!$A:$A, "="&amp;Report_HQ2!C9,'HQ2'!$B:$B,"Total")</f>
        <v>2419701357.3505001</v>
      </c>
      <c r="M9" s="24">
        <f t="shared" si="7"/>
        <v>0</v>
      </c>
    </row>
    <row r="10" spans="1:13" x14ac:dyDescent="0.25">
      <c r="A10" s="9" t="s">
        <v>287</v>
      </c>
      <c r="B10" t="s">
        <v>145</v>
      </c>
      <c r="C10" t="s">
        <v>127</v>
      </c>
      <c r="D10" s="7">
        <f>SUMIFS('HQ2'!$AC:$AC,'HQ2'!$A:$A, "="&amp;Report_HQ2!C10,'HQ2'!$B:$B,Report_HQ2!$D$6)</f>
        <v>42590351.380799994</v>
      </c>
      <c r="E10" s="7">
        <f>SUMIFS('HQ2'!$AC:$AC,'HQ2'!$A:$A, "="&amp;Report_HQ2!C10,'HQ2'!$B:$B,Report_HQ2!$E$6)</f>
        <v>36013767.220000148</v>
      </c>
      <c r="F10" s="7">
        <f>SUMIFS('HQ2'!$AC:$AC,'HQ2'!$A:$A, "="&amp;Report_HQ2!C10,'HQ2'!$B:$B,Report_HQ2!$F$6)</f>
        <v>-720000</v>
      </c>
      <c r="G10" s="7">
        <f>SUMIFS('HQ2'!$AC:$AC,'HQ2'!$A:$A, "="&amp;Report_HQ2!C10,'HQ2'!$B:$B,Report_HQ2!$G$6)</f>
        <v>0</v>
      </c>
      <c r="H10" s="7">
        <f>SUMIFS('HQ2'!$AC:$AC,'HQ2'!$A:$A, "="&amp;Report_HQ2!C10,'HQ2'!$B:$B,Report_HQ2!$H$6)</f>
        <v>0</v>
      </c>
      <c r="I10" s="7">
        <f>SUMIFS('HQ2'!$AC:$AC,'HQ2'!$A:$A, "="&amp;Report_HQ2!C10,'HQ2'!$B:$B,Report_HQ2!$I$6)</f>
        <v>0</v>
      </c>
      <c r="J10" s="7">
        <f>SUMIFS('HQ2'!$AC:$AC,'HQ2'!$A:$A, "="&amp;Report_HQ2!C10,'HQ2'!$B:$B,Report_HQ2!$J$6)</f>
        <v>0</v>
      </c>
      <c r="K10" s="24">
        <f t="shared" si="6"/>
        <v>77884118.600800142</v>
      </c>
      <c r="L10" s="7">
        <f>SUMIFS('HQ2'!$AC:$AC,'HQ2'!$A:$A, "="&amp;Report_HQ2!C10,'HQ2'!$B:$B,"Total")</f>
        <v>77884118.600800142</v>
      </c>
      <c r="M10" s="24">
        <f t="shared" si="7"/>
        <v>0</v>
      </c>
    </row>
    <row r="11" spans="1:13" x14ac:dyDescent="0.25">
      <c r="A11" s="9" t="s">
        <v>288</v>
      </c>
      <c r="B11" t="s">
        <v>146</v>
      </c>
      <c r="C11" t="s">
        <v>91</v>
      </c>
      <c r="D11" s="7">
        <f>SUMIFS('HQ2'!$AC:$AC,'HQ2'!$A:$A, "="&amp;Report_HQ2!C11,'HQ2'!$B:$B,Report_HQ2!$D$6)</f>
        <v>686270957.0546</v>
      </c>
      <c r="E11" s="7">
        <f>SUMIFS('HQ2'!$AC:$AC,'HQ2'!$A:$A, "="&amp;Report_HQ2!C11,'HQ2'!$B:$B,Report_HQ2!$E$6)</f>
        <v>151884714.3935</v>
      </c>
      <c r="F11" s="7">
        <f>SUMIFS('HQ2'!$AC:$AC,'HQ2'!$A:$A, "="&amp;Report_HQ2!C11,'HQ2'!$B:$B,Report_HQ2!$F$6)</f>
        <v>0</v>
      </c>
      <c r="G11" s="7">
        <f>SUMIFS('HQ2'!$AC:$AC,'HQ2'!$A:$A, "="&amp;Report_HQ2!C11,'HQ2'!$B:$B,Report_HQ2!$G$6)</f>
        <v>-225921818.77204999</v>
      </c>
      <c r="H11" s="7">
        <f>SUMIFS('HQ2'!$AC:$AC,'HQ2'!$A:$A, "="&amp;Report_HQ2!C11,'HQ2'!$B:$B,Report_HQ2!$H$6)</f>
        <v>0</v>
      </c>
      <c r="I11" s="7">
        <f>SUMIFS('HQ2'!$AC:$AC,'HQ2'!$A:$A, "="&amp;Report_HQ2!C11,'HQ2'!$B:$B,Report_HQ2!$I$6)</f>
        <v>0</v>
      </c>
      <c r="J11" s="7">
        <f>SUMIFS('HQ2'!$AC:$AC,'HQ2'!$A:$A, "="&amp;Report_HQ2!C11,'HQ2'!$B:$B,Report_HQ2!$J$6)</f>
        <v>19978612.5</v>
      </c>
      <c r="K11" s="24">
        <f t="shared" si="6"/>
        <v>632212465.17604995</v>
      </c>
      <c r="L11" s="7">
        <f>SUMIFS('HQ2'!$AC:$AC,'HQ2'!$A:$A, "="&amp;Report_HQ2!C11,'HQ2'!$B:$B,"Total")</f>
        <v>632212465.17604995</v>
      </c>
      <c r="M11" s="24">
        <f t="shared" si="7"/>
        <v>0</v>
      </c>
    </row>
    <row r="12" spans="1:13" x14ac:dyDescent="0.25">
      <c r="A12" s="9" t="s">
        <v>289</v>
      </c>
      <c r="B12" t="s">
        <v>147</v>
      </c>
      <c r="C12" t="s">
        <v>123</v>
      </c>
      <c r="D12" s="7">
        <f>SUMIFS('HQ2'!$AC:$AC,'HQ2'!$A:$A, "="&amp;Report_HQ2!C12,'HQ2'!$B:$B,Report_HQ2!$D$6)</f>
        <v>516821347.44940007</v>
      </c>
      <c r="E12" s="7">
        <f>SUMIFS('HQ2'!$AC:$AC,'HQ2'!$A:$A, "="&amp;Report_HQ2!C12,'HQ2'!$B:$B,Report_HQ2!$E$6)</f>
        <v>0</v>
      </c>
      <c r="F12" s="7">
        <f>SUMIFS('HQ2'!$AC:$AC,'HQ2'!$A:$A, "="&amp;Report_HQ2!C12,'HQ2'!$B:$B,Report_HQ2!$F$6)</f>
        <v>731043</v>
      </c>
      <c r="G12" s="7">
        <f>SUMIFS('HQ2'!$AC:$AC,'HQ2'!$A:$A, "="&amp;Report_HQ2!C12,'HQ2'!$B:$B,Report_HQ2!$G$6)</f>
        <v>26287190.172750004</v>
      </c>
      <c r="H12" s="7">
        <f>SUMIFS('HQ2'!$AC:$AC,'HQ2'!$A:$A, "="&amp;Report_HQ2!C12,'HQ2'!$B:$B,Report_HQ2!$H$6)</f>
        <v>0</v>
      </c>
      <c r="I12" s="7">
        <f>SUMIFS('HQ2'!$AC:$AC,'HQ2'!$A:$A, "="&amp;Report_HQ2!C12,'HQ2'!$B:$B,Report_HQ2!$I$6)</f>
        <v>0</v>
      </c>
      <c r="J12" s="7">
        <f>SUMIFS('HQ2'!$AC:$AC,'HQ2'!$A:$A, "="&amp;Report_HQ2!C12,'HQ2'!$B:$B,Report_HQ2!$J$6)</f>
        <v>-47340348.396699987</v>
      </c>
      <c r="K12" s="24">
        <f t="shared" si="6"/>
        <v>496499232.2254501</v>
      </c>
      <c r="L12" s="7">
        <f>SUMIFS('HQ2'!$AC:$AC,'HQ2'!$A:$A, "="&amp;Report_HQ2!C12,'HQ2'!$B:$B,"Total")</f>
        <v>496499232.2254501</v>
      </c>
      <c r="M12" s="24">
        <f t="shared" si="7"/>
        <v>0</v>
      </c>
    </row>
    <row r="13" spans="1:13" x14ac:dyDescent="0.25">
      <c r="A13" s="9" t="s">
        <v>290</v>
      </c>
      <c r="B13" t="s">
        <v>148</v>
      </c>
      <c r="C13" t="s">
        <v>49</v>
      </c>
      <c r="D13" s="7">
        <f>SUMIFS('HQ2'!$AC:$AC,'HQ2'!$A:$A, "="&amp;Report_HQ2!C13,'HQ2'!$B:$B,Report_HQ2!$D$6)</f>
        <v>11577645012.6474</v>
      </c>
      <c r="E13" s="7">
        <f>SUMIFS('HQ2'!$AC:$AC,'HQ2'!$A:$A, "="&amp;Report_HQ2!C13,'HQ2'!$B:$B,Report_HQ2!$E$6)</f>
        <v>622357864.40814996</v>
      </c>
      <c r="F13" s="7">
        <f>SUMIFS('HQ2'!$AC:$AC,'HQ2'!$A:$A, "="&amp;Report_HQ2!C13,'HQ2'!$B:$B,Report_HQ2!$F$6)</f>
        <v>50006540.600000001</v>
      </c>
      <c r="G13" s="7">
        <f>SUMIFS('HQ2'!$AC:$AC,'HQ2'!$A:$A, "="&amp;Report_HQ2!C13,'HQ2'!$B:$B,Report_HQ2!$G$6)</f>
        <v>272787413.58505005</v>
      </c>
      <c r="H13" s="7">
        <f>SUMIFS('HQ2'!$AC:$AC,'HQ2'!$A:$A, "="&amp;Report_HQ2!C13,'HQ2'!$B:$B,Report_HQ2!$H$6)</f>
        <v>0</v>
      </c>
      <c r="I13" s="7">
        <f>SUMIFS('HQ2'!$AC:$AC,'HQ2'!$A:$A, "="&amp;Report_HQ2!C13,'HQ2'!$B:$B,Report_HQ2!$I$6)</f>
        <v>0</v>
      </c>
      <c r="J13" s="7">
        <f>SUMIFS('HQ2'!$AC:$AC,'HQ2'!$A:$A, "="&amp;Report_HQ2!C13,'HQ2'!$B:$B,Report_HQ2!$J$6)</f>
        <v>87254358.072000027</v>
      </c>
      <c r="K13" s="24">
        <f t="shared" si="6"/>
        <v>12610051189.312601</v>
      </c>
      <c r="L13" s="7">
        <f>SUMIFS('HQ2'!$AC:$AC,'HQ2'!$A:$A, "="&amp;Report_HQ2!C13,'HQ2'!$B:$B,"Total")</f>
        <v>12610051189.312601</v>
      </c>
      <c r="M13" s="24">
        <f t="shared" si="7"/>
        <v>0</v>
      </c>
    </row>
    <row r="14" spans="1:13" x14ac:dyDescent="0.25">
      <c r="A14" s="9" t="s">
        <v>291</v>
      </c>
      <c r="B14" t="s">
        <v>149</v>
      </c>
      <c r="C14" t="s">
        <v>79</v>
      </c>
      <c r="D14" s="7">
        <f>SUMIFS('HQ2'!$AC:$AC,'HQ2'!$A:$A, "="&amp;Report_HQ2!C14,'HQ2'!$B:$B,Report_HQ2!$D$6)</f>
        <v>756401587.34459925</v>
      </c>
      <c r="E14" s="7">
        <f>SUMIFS('HQ2'!$AC:$AC,'HQ2'!$A:$A, "="&amp;Report_HQ2!C14,'HQ2'!$B:$B,Report_HQ2!$E$6)</f>
        <v>-13316805.570600005</v>
      </c>
      <c r="F14" s="7">
        <f>SUMIFS('HQ2'!$AC:$AC,'HQ2'!$A:$A, "="&amp;Report_HQ2!C14,'HQ2'!$B:$B,Report_HQ2!$F$6)</f>
        <v>448816803.07399988</v>
      </c>
      <c r="G14" s="7">
        <f>SUMIFS('HQ2'!$AC:$AC,'HQ2'!$A:$A, "="&amp;Report_HQ2!C14,'HQ2'!$B:$B,Report_HQ2!$G$6)</f>
        <v>516084972.22205013</v>
      </c>
      <c r="H14" s="7">
        <f>SUMIFS('HQ2'!$AC:$AC,'HQ2'!$A:$A, "="&amp;Report_HQ2!C14,'HQ2'!$B:$B,Report_HQ2!$H$6)</f>
        <v>0</v>
      </c>
      <c r="I14" s="7">
        <f>SUMIFS('HQ2'!$AC:$AC,'HQ2'!$A:$A, "="&amp;Report_HQ2!C14,'HQ2'!$B:$B,Report_HQ2!$I$6)</f>
        <v>0</v>
      </c>
      <c r="J14" s="7">
        <f>SUMIFS('HQ2'!$AC:$AC,'HQ2'!$A:$A, "="&amp;Report_HQ2!C14,'HQ2'!$B:$B,Report_HQ2!$J$6)</f>
        <v>-3159952.8000000003</v>
      </c>
      <c r="K14" s="24">
        <f t="shared" si="6"/>
        <v>1704826604.2700493</v>
      </c>
      <c r="L14" s="7">
        <f>SUMIFS('HQ2'!$AC:$AC,'HQ2'!$A:$A, "="&amp;Report_HQ2!C14,'HQ2'!$B:$B,"Total")</f>
        <v>1704826604.2700493</v>
      </c>
      <c r="M14" s="24">
        <f t="shared" si="7"/>
        <v>0</v>
      </c>
    </row>
    <row r="15" spans="1:13" x14ac:dyDescent="0.25">
      <c r="A15" s="9" t="s">
        <v>292</v>
      </c>
      <c r="B15" t="s">
        <v>150</v>
      </c>
      <c r="C15" t="s">
        <v>100</v>
      </c>
      <c r="D15" s="7">
        <f>SUMIFS('HQ2'!$AC:$AC,'HQ2'!$A:$A, "="&amp;Report_HQ2!C15,'HQ2'!$B:$B,Report_HQ2!$D$6)</f>
        <v>252429687.13759997</v>
      </c>
      <c r="E15" s="7">
        <f>SUMIFS('HQ2'!$AC:$AC,'HQ2'!$A:$A, "="&amp;Report_HQ2!C15,'HQ2'!$B:$B,Report_HQ2!$E$6)</f>
        <v>394126163.40979993</v>
      </c>
      <c r="F15" s="7">
        <f>SUMIFS('HQ2'!$AC:$AC,'HQ2'!$A:$A, "="&amp;Report_HQ2!C15,'HQ2'!$B:$B,Report_HQ2!$F$6)</f>
        <v>0</v>
      </c>
      <c r="G15" s="7">
        <f>SUMIFS('HQ2'!$AC:$AC,'HQ2'!$A:$A, "="&amp;Report_HQ2!C15,'HQ2'!$B:$B,Report_HQ2!$G$6)</f>
        <v>21689028.951550003</v>
      </c>
      <c r="H15" s="7">
        <f>SUMIFS('HQ2'!$AC:$AC,'HQ2'!$A:$A, "="&amp;Report_HQ2!C15,'HQ2'!$B:$B,Report_HQ2!$H$6)</f>
        <v>0</v>
      </c>
      <c r="I15" s="7">
        <f>SUMIFS('HQ2'!$AC:$AC,'HQ2'!$A:$A, "="&amp;Report_HQ2!C15,'HQ2'!$B:$B,Report_HQ2!$I$6)</f>
        <v>0</v>
      </c>
      <c r="J15" s="7">
        <f>SUMIFS('HQ2'!$AC:$AC,'HQ2'!$A:$A, "="&amp;Report_HQ2!C15,'HQ2'!$B:$B,Report_HQ2!$J$6)</f>
        <v>-1040066405.1666499</v>
      </c>
      <c r="K15" s="24">
        <f t="shared" si="6"/>
        <v>-371821525.66770005</v>
      </c>
      <c r="L15" s="7">
        <f>SUMIFS('HQ2'!$AC:$AC,'HQ2'!$A:$A, "="&amp;Report_HQ2!C15,'HQ2'!$B:$B,"Total")</f>
        <v>-371821525.66770005</v>
      </c>
      <c r="M15" s="24">
        <f t="shared" si="7"/>
        <v>0</v>
      </c>
    </row>
    <row r="16" spans="1:13" x14ac:dyDescent="0.25">
      <c r="A16" s="9" t="s">
        <v>293</v>
      </c>
      <c r="B16" t="s">
        <v>151</v>
      </c>
      <c r="C16" t="s">
        <v>62</v>
      </c>
      <c r="D16" s="7">
        <f>SUMIFS('HQ2'!$AC:$AC,'HQ2'!$A:$A, "="&amp;Report_HQ2!C16,'HQ2'!$B:$B,Report_HQ2!$D$6)</f>
        <v>1758063878.413198</v>
      </c>
      <c r="E16" s="7">
        <f>SUMIFS('HQ2'!$AC:$AC,'HQ2'!$A:$A, "="&amp;Report_HQ2!C16,'HQ2'!$B:$B,Report_HQ2!$E$6)</f>
        <v>760273385.8544997</v>
      </c>
      <c r="F16" s="7">
        <f>SUMIFS('HQ2'!$AC:$AC,'HQ2'!$A:$A, "="&amp;Report_HQ2!C16,'HQ2'!$B:$B,Report_HQ2!$F$6)</f>
        <v>2310683</v>
      </c>
      <c r="G16" s="7">
        <f>SUMIFS('HQ2'!$AC:$AC,'HQ2'!$A:$A, "="&amp;Report_HQ2!C16,'HQ2'!$B:$B,Report_HQ2!$G$6)</f>
        <v>85625976.510799989</v>
      </c>
      <c r="H16" s="7">
        <f>SUMIFS('HQ2'!$AC:$AC,'HQ2'!$A:$A, "="&amp;Report_HQ2!C16,'HQ2'!$B:$B,Report_HQ2!$H$6)</f>
        <v>0</v>
      </c>
      <c r="I16" s="7">
        <f>SUMIFS('HQ2'!$AC:$AC,'HQ2'!$A:$A, "="&amp;Report_HQ2!C16,'HQ2'!$B:$B,Report_HQ2!$I$6)</f>
        <v>0</v>
      </c>
      <c r="J16" s="7">
        <f>SUMIFS('HQ2'!$AC:$AC,'HQ2'!$A:$A, "="&amp;Report_HQ2!C16,'HQ2'!$B:$B,Report_HQ2!$J$6)</f>
        <v>-5436523903.4499998</v>
      </c>
      <c r="K16" s="24">
        <f t="shared" si="6"/>
        <v>-2830249979.6715021</v>
      </c>
      <c r="L16" s="7">
        <f>SUMIFS('HQ2'!$AC:$AC,'HQ2'!$A:$A, "="&amp;Report_HQ2!C16,'HQ2'!$B:$B,"Total")</f>
        <v>-2830249979.6715021</v>
      </c>
      <c r="M16" s="24">
        <f t="shared" si="7"/>
        <v>0</v>
      </c>
    </row>
    <row r="17" spans="1:13" x14ac:dyDescent="0.25">
      <c r="A17" s="9" t="s">
        <v>294</v>
      </c>
      <c r="B17" t="s">
        <v>152</v>
      </c>
      <c r="C17" t="s">
        <v>54</v>
      </c>
      <c r="D17" s="7">
        <f>SUMIFS('HQ2'!$AC:$AC,'HQ2'!$A:$A, "="&amp;Report_HQ2!C17,'HQ2'!$B:$B,Report_HQ2!$D$6)</f>
        <v>4505409929.5695982</v>
      </c>
      <c r="E17" s="7">
        <f>SUMIFS('HQ2'!$AC:$AC,'HQ2'!$A:$A, "="&amp;Report_HQ2!C17,'HQ2'!$B:$B,Report_HQ2!$E$6)</f>
        <v>202682995.32005</v>
      </c>
      <c r="F17" s="7">
        <f>SUMIFS('HQ2'!$AC:$AC,'HQ2'!$A:$A, "="&amp;Report_HQ2!C17,'HQ2'!$B:$B,Report_HQ2!$F$6)</f>
        <v>26094384.580000002</v>
      </c>
      <c r="G17" s="7">
        <f>SUMIFS('HQ2'!$AC:$AC,'HQ2'!$A:$A, "="&amp;Report_HQ2!C17,'HQ2'!$B:$B,Report_HQ2!$G$6)</f>
        <v>1275156017.7471499</v>
      </c>
      <c r="H17" s="7">
        <f>SUMIFS('HQ2'!$AC:$AC,'HQ2'!$A:$A, "="&amp;Report_HQ2!C17,'HQ2'!$B:$B,Report_HQ2!$H$6)</f>
        <v>0</v>
      </c>
      <c r="I17" s="7">
        <f>SUMIFS('HQ2'!$AC:$AC,'HQ2'!$A:$A, "="&amp;Report_HQ2!C17,'HQ2'!$B:$B,Report_HQ2!$I$6)</f>
        <v>0</v>
      </c>
      <c r="J17" s="7">
        <f>SUMIFS('HQ2'!$AC:$AC,'HQ2'!$A:$A, "="&amp;Report_HQ2!C17,'HQ2'!$B:$B,Report_HQ2!$J$6)</f>
        <v>-757023791.00699985</v>
      </c>
      <c r="K17" s="24">
        <f t="shared" si="6"/>
        <v>5252319536.2097988</v>
      </c>
      <c r="L17" s="7">
        <f>SUMIFS('HQ2'!$AC:$AC,'HQ2'!$A:$A, "="&amp;Report_HQ2!C17,'HQ2'!$B:$B,"Total")</f>
        <v>5252319536.2097979</v>
      </c>
      <c r="M17" s="24">
        <f t="shared" si="7"/>
        <v>0</v>
      </c>
    </row>
    <row r="18" spans="1:13" x14ac:dyDescent="0.25">
      <c r="A18" s="9" t="s">
        <v>295</v>
      </c>
      <c r="B18" t="s">
        <v>153</v>
      </c>
      <c r="C18" t="s">
        <v>78</v>
      </c>
      <c r="D18" s="7">
        <f>SUMIFS('HQ2'!$AC:$AC,'HQ2'!$A:$A, "="&amp;Report_HQ2!C18,'HQ2'!$B:$B,Report_HQ2!$D$6)</f>
        <v>1045221595.2799997</v>
      </c>
      <c r="E18" s="7">
        <f>SUMIFS('HQ2'!$AC:$AC,'HQ2'!$A:$A, "="&amp;Report_HQ2!C18,'HQ2'!$B:$B,Report_HQ2!$E$6)</f>
        <v>169211680.13289997</v>
      </c>
      <c r="F18" s="7">
        <f>SUMIFS('HQ2'!$AC:$AC,'HQ2'!$A:$A, "="&amp;Report_HQ2!C18,'HQ2'!$B:$B,Report_HQ2!$F$6)</f>
        <v>7790606.595999999</v>
      </c>
      <c r="G18" s="7">
        <f>SUMIFS('HQ2'!$AC:$AC,'HQ2'!$A:$A, "="&amp;Report_HQ2!C18,'HQ2'!$B:$B,Report_HQ2!$G$6)</f>
        <v>417676119.77020001</v>
      </c>
      <c r="H18" s="7">
        <f>SUMIFS('HQ2'!$AC:$AC,'HQ2'!$A:$A, "="&amp;Report_HQ2!C18,'HQ2'!$B:$B,Report_HQ2!$H$6)</f>
        <v>0</v>
      </c>
      <c r="I18" s="7">
        <f>SUMIFS('HQ2'!$AC:$AC,'HQ2'!$A:$A, "="&amp;Report_HQ2!C18,'HQ2'!$B:$B,Report_HQ2!$I$6)</f>
        <v>0</v>
      </c>
      <c r="J18" s="7">
        <f>SUMIFS('HQ2'!$AC:$AC,'HQ2'!$A:$A, "="&amp;Report_HQ2!C18,'HQ2'!$B:$B,Report_HQ2!$J$6)</f>
        <v>467101983.69065005</v>
      </c>
      <c r="K18" s="24">
        <f>SUM(D18:J18)</f>
        <v>2107001985.4697497</v>
      </c>
      <c r="L18" s="7">
        <f>SUMIFS('HQ2'!$AC:$AC,'HQ2'!$A:$A, "="&amp;Report_HQ2!C18,'HQ2'!$B:$B,"Total")</f>
        <v>2107001985.4697497</v>
      </c>
      <c r="M18" s="24">
        <f t="shared" si="7"/>
        <v>0</v>
      </c>
    </row>
    <row r="19" spans="1:13" x14ac:dyDescent="0.25">
      <c r="A19" s="9" t="s">
        <v>296</v>
      </c>
      <c r="B19" t="s">
        <v>154</v>
      </c>
      <c r="C19" t="s">
        <v>88</v>
      </c>
      <c r="D19" s="7">
        <f>SUMIFS('HQ2'!$AC:$AC,'HQ2'!$A:$A, "="&amp;Report_HQ2!C19,'HQ2'!$B:$B,Report_HQ2!$D$6)</f>
        <v>591985159.15399981</v>
      </c>
      <c r="E19" s="7">
        <f>SUMIFS('HQ2'!$AC:$AC,'HQ2'!$A:$A, "="&amp;Report_HQ2!C19,'HQ2'!$B:$B,Report_HQ2!$E$6)</f>
        <v>46420510.038999997</v>
      </c>
      <c r="F19" s="7">
        <f>SUMIFS('HQ2'!$AC:$AC,'HQ2'!$A:$A, "="&amp;Report_HQ2!C19,'HQ2'!$B:$B,Report_HQ2!$F$6)</f>
        <v>8025886.9239999996</v>
      </c>
      <c r="G19" s="7">
        <f>SUMIFS('HQ2'!$AC:$AC,'HQ2'!$A:$A, "="&amp;Report_HQ2!C19,'HQ2'!$B:$B,Report_HQ2!$G$6)</f>
        <v>15410097.537849998</v>
      </c>
      <c r="H19" s="7">
        <f>SUMIFS('HQ2'!$AC:$AC,'HQ2'!$A:$A, "="&amp;Report_HQ2!C19,'HQ2'!$B:$B,Report_HQ2!$H$6)</f>
        <v>0</v>
      </c>
      <c r="I19" s="7">
        <f>SUMIFS('HQ2'!$AC:$AC,'HQ2'!$A:$A, "="&amp;Report_HQ2!C19,'HQ2'!$B:$B,Report_HQ2!$I$6)</f>
        <v>0</v>
      </c>
      <c r="J19" s="7">
        <f>SUMIFS('HQ2'!$AC:$AC,'HQ2'!$A:$A, "="&amp;Report_HQ2!C19,'HQ2'!$B:$B,Report_HQ2!$J$6)</f>
        <v>420817785.89999998</v>
      </c>
      <c r="K19" s="24">
        <f t="shared" si="6"/>
        <v>1082659439.5548499</v>
      </c>
      <c r="L19" s="7">
        <f>SUMIFS('HQ2'!$AC:$AC,'HQ2'!$A:$A, "="&amp;Report_HQ2!C19,'HQ2'!$B:$B,"Total")</f>
        <v>1082659439.5548499</v>
      </c>
      <c r="M19" s="24">
        <f t="shared" si="7"/>
        <v>0</v>
      </c>
    </row>
    <row r="20" spans="1:13" x14ac:dyDescent="0.25">
      <c r="A20" s="9" t="s">
        <v>297</v>
      </c>
      <c r="B20" t="s">
        <v>155</v>
      </c>
      <c r="C20" t="s">
        <v>106</v>
      </c>
      <c r="D20" s="7">
        <f>SUMIFS('HQ2'!$AC:$AC,'HQ2'!$A:$A, "="&amp;Report_HQ2!C20,'HQ2'!$B:$B,Report_HQ2!$D$6)</f>
        <v>226966050.48959994</v>
      </c>
      <c r="E20" s="7">
        <f>SUMIFS('HQ2'!$AC:$AC,'HQ2'!$A:$A, "="&amp;Report_HQ2!C20,'HQ2'!$B:$B,Report_HQ2!$E$6)</f>
        <v>-1376651457.6475501</v>
      </c>
      <c r="F20" s="7">
        <f>SUMIFS('HQ2'!$AC:$AC,'HQ2'!$A:$A, "="&amp;Report_HQ2!C20,'HQ2'!$B:$B,Report_HQ2!$F$6)</f>
        <v>-17816037</v>
      </c>
      <c r="G20" s="7">
        <f>SUMIFS('HQ2'!$AC:$AC,'HQ2'!$A:$A, "="&amp;Report_HQ2!C20,'HQ2'!$B:$B,Report_HQ2!$G$6)</f>
        <v>125033109.90184999</v>
      </c>
      <c r="H20" s="7">
        <f>SUMIFS('HQ2'!$AC:$AC,'HQ2'!$A:$A, "="&amp;Report_HQ2!C20,'HQ2'!$B:$B,Report_HQ2!$H$6)</f>
        <v>0</v>
      </c>
      <c r="I20" s="7">
        <f>SUMIFS('HQ2'!$AC:$AC,'HQ2'!$A:$A, "="&amp;Report_HQ2!C20,'HQ2'!$B:$B,Report_HQ2!$I$6)</f>
        <v>0</v>
      </c>
      <c r="J20" s="7">
        <f>SUMIFS('HQ2'!$AC:$AC,'HQ2'!$A:$A, "="&amp;Report_HQ2!C20,'HQ2'!$B:$B,Report_HQ2!$J$6)</f>
        <v>-47018291.288300022</v>
      </c>
      <c r="K20" s="24">
        <f t="shared" si="6"/>
        <v>-1089486625.5444002</v>
      </c>
      <c r="L20" s="7">
        <f>SUMIFS('HQ2'!$AC:$AC,'HQ2'!$A:$A, "="&amp;Report_HQ2!C20,'HQ2'!$B:$B,"Total")</f>
        <v>-1089486625.5444002</v>
      </c>
      <c r="M20" s="24">
        <f t="shared" si="7"/>
        <v>0</v>
      </c>
    </row>
    <row r="21" spans="1:13" x14ac:dyDescent="0.25">
      <c r="A21" s="9" t="s">
        <v>298</v>
      </c>
      <c r="B21" t="s">
        <v>156</v>
      </c>
      <c r="C21" t="s">
        <v>83</v>
      </c>
      <c r="D21" s="7">
        <f>SUMIFS('HQ2'!$AC:$AC,'HQ2'!$A:$A, "="&amp;Report_HQ2!C21,'HQ2'!$B:$B,Report_HQ2!$D$6)</f>
        <v>704629727.1839999</v>
      </c>
      <c r="E21" s="7">
        <f>SUMIFS('HQ2'!$AC:$AC,'HQ2'!$A:$A, "="&amp;Report_HQ2!C21,'HQ2'!$B:$B,Report_HQ2!$E$6)</f>
        <v>140196522.1523</v>
      </c>
      <c r="F21" s="7">
        <f>SUMIFS('HQ2'!$AC:$AC,'HQ2'!$A:$A, "="&amp;Report_HQ2!C21,'HQ2'!$B:$B,Report_HQ2!$F$6)</f>
        <v>52821740.84799999</v>
      </c>
      <c r="G21" s="7">
        <f>SUMIFS('HQ2'!$AC:$AC,'HQ2'!$A:$A, "="&amp;Report_HQ2!C21,'HQ2'!$B:$B,Report_HQ2!$G$6)</f>
        <v>114245982.83325003</v>
      </c>
      <c r="H21" s="7">
        <f>SUMIFS('HQ2'!$AC:$AC,'HQ2'!$A:$A, "="&amp;Report_HQ2!C21,'HQ2'!$B:$B,Report_HQ2!$H$6)</f>
        <v>0</v>
      </c>
      <c r="I21" s="7">
        <f>SUMIFS('HQ2'!$AC:$AC,'HQ2'!$A:$A, "="&amp;Report_HQ2!C21,'HQ2'!$B:$B,Report_HQ2!$I$6)</f>
        <v>0</v>
      </c>
      <c r="J21" s="7">
        <f>SUMIFS('HQ2'!$AC:$AC,'HQ2'!$A:$A, "="&amp;Report_HQ2!C21,'HQ2'!$B:$B,Report_HQ2!$J$6)</f>
        <v>108206165.09155008</v>
      </c>
      <c r="K21" s="24">
        <f t="shared" si="6"/>
        <v>1120100138.1091001</v>
      </c>
      <c r="L21" s="7">
        <f>SUMIFS('HQ2'!$AC:$AC,'HQ2'!$A:$A, "="&amp;Report_HQ2!C21,'HQ2'!$B:$B,"Total")</f>
        <v>1120100138.1090999</v>
      </c>
      <c r="M21" s="24">
        <f t="shared" si="7"/>
        <v>0</v>
      </c>
    </row>
    <row r="22" spans="1:13" x14ac:dyDescent="0.25">
      <c r="A22" s="9" t="s">
        <v>299</v>
      </c>
      <c r="B22" t="s">
        <v>157</v>
      </c>
      <c r="C22" t="s">
        <v>124</v>
      </c>
      <c r="D22" s="7">
        <f>SUMIFS('HQ2'!$AC:$AC,'HQ2'!$A:$A, "="&amp;Report_HQ2!C22,'HQ2'!$B:$B,Report_HQ2!$D$6)</f>
        <v>26642725.4802</v>
      </c>
      <c r="E22" s="7">
        <f>SUMIFS('HQ2'!$AC:$AC,'HQ2'!$A:$A, "="&amp;Report_HQ2!C22,'HQ2'!$B:$B,Report_HQ2!$E$6)</f>
        <v>127646470.48999999</v>
      </c>
      <c r="F22" s="7">
        <f>SUMIFS('HQ2'!$AC:$AC,'HQ2'!$A:$A, "="&amp;Report_HQ2!C22,'HQ2'!$B:$B,Report_HQ2!$F$6)</f>
        <v>2977810.92</v>
      </c>
      <c r="G22" s="7">
        <f>SUMIFS('HQ2'!$AC:$AC,'HQ2'!$A:$A, "="&amp;Report_HQ2!C22,'HQ2'!$B:$B,Report_HQ2!$G$6)</f>
        <v>0</v>
      </c>
      <c r="H22" s="7">
        <f>SUMIFS('HQ2'!$AC:$AC,'HQ2'!$A:$A, "="&amp;Report_HQ2!C22,'HQ2'!$B:$B,Report_HQ2!$H$6)</f>
        <v>0</v>
      </c>
      <c r="I22" s="7">
        <f>SUMIFS('HQ2'!$AC:$AC,'HQ2'!$A:$A, "="&amp;Report_HQ2!C22,'HQ2'!$B:$B,Report_HQ2!$I$6)</f>
        <v>0</v>
      </c>
      <c r="J22" s="7">
        <f>SUMIFS('HQ2'!$AC:$AC,'HQ2'!$A:$A, "="&amp;Report_HQ2!C22,'HQ2'!$B:$B,Report_HQ2!$J$6)</f>
        <v>0</v>
      </c>
      <c r="K22" s="24">
        <f t="shared" si="6"/>
        <v>157267006.89019999</v>
      </c>
      <c r="L22" s="7">
        <f>SUMIFS('HQ2'!$AC:$AC,'HQ2'!$A:$A, "="&amp;Report_HQ2!C22,'HQ2'!$B:$B,"Total")</f>
        <v>157267006.89019999</v>
      </c>
      <c r="M22" s="24">
        <f t="shared" si="7"/>
        <v>0</v>
      </c>
    </row>
    <row r="23" spans="1:13" x14ac:dyDescent="0.25">
      <c r="A23" s="9" t="s">
        <v>300</v>
      </c>
      <c r="B23" t="s">
        <v>158</v>
      </c>
      <c r="C23" t="s">
        <v>59</v>
      </c>
      <c r="D23" s="7">
        <f>SUMIFS('HQ2'!$AC:$AC,'HQ2'!$A:$A, "="&amp;Report_HQ2!C23,'HQ2'!$B:$B,Report_HQ2!$D$6)</f>
        <v>1664986479.9938006</v>
      </c>
      <c r="E23" s="7">
        <f>SUMIFS('HQ2'!$AC:$AC,'HQ2'!$A:$A, "="&amp;Report_HQ2!C23,'HQ2'!$B:$B,Report_HQ2!$E$6)</f>
        <v>1451774996.6859498</v>
      </c>
      <c r="F23" s="7">
        <f>SUMIFS('HQ2'!$AC:$AC,'HQ2'!$A:$A, "="&amp;Report_HQ2!C23,'HQ2'!$B:$B,Report_HQ2!$F$6)</f>
        <v>46997868.509999961</v>
      </c>
      <c r="G23" s="7">
        <f>SUMIFS('HQ2'!$AC:$AC,'HQ2'!$A:$A, "="&amp;Report_HQ2!C23,'HQ2'!$B:$B,Report_HQ2!$G$6)</f>
        <v>2077627448.5525002</v>
      </c>
      <c r="H23" s="7">
        <f>SUMIFS('HQ2'!$AC:$AC,'HQ2'!$A:$A, "="&amp;Report_HQ2!C23,'HQ2'!$B:$B,Report_HQ2!$H$6)</f>
        <v>49129348.962500006</v>
      </c>
      <c r="I23" s="7">
        <f>SUMIFS('HQ2'!$AC:$AC,'HQ2'!$A:$A, "="&amp;Report_HQ2!C23,'HQ2'!$B:$B,Report_HQ2!$I$6)</f>
        <v>56052668.51199998</v>
      </c>
      <c r="J23" s="7">
        <f>SUMIFS('HQ2'!$AC:$AC,'HQ2'!$A:$A, "="&amp;Report_HQ2!C23,'HQ2'!$B:$B,Report_HQ2!$J$6)</f>
        <v>222970096.035</v>
      </c>
      <c r="K23" s="24">
        <f t="shared" si="6"/>
        <v>5569538907.25175</v>
      </c>
      <c r="L23" s="7">
        <f>SUMIFS('HQ2'!$AC:$AC,'HQ2'!$A:$A, "="&amp;Report_HQ2!C23,'HQ2'!$B:$B,"Total")</f>
        <v>5569538907.2517509</v>
      </c>
      <c r="M23" s="24">
        <f t="shared" si="7"/>
        <v>0</v>
      </c>
    </row>
    <row r="24" spans="1:13" x14ac:dyDescent="0.25">
      <c r="A24" s="9" t="s">
        <v>301</v>
      </c>
      <c r="B24" t="s">
        <v>159</v>
      </c>
      <c r="C24" t="s">
        <v>81</v>
      </c>
      <c r="D24" s="7">
        <f>SUMIFS('HQ2'!$AC:$AC,'HQ2'!$A:$A, "="&amp;Report_HQ2!C24,'HQ2'!$B:$B,Report_HQ2!$D$6)</f>
        <v>1223805684.7147999</v>
      </c>
      <c r="E24" s="7">
        <f>SUMIFS('HQ2'!$AC:$AC,'HQ2'!$A:$A, "="&amp;Report_HQ2!C24,'HQ2'!$B:$B,Report_HQ2!$E$6)</f>
        <v>338721889.98355001</v>
      </c>
      <c r="F24" s="7">
        <f>SUMIFS('HQ2'!$AC:$AC,'HQ2'!$A:$A, "="&amp;Report_HQ2!C24,'HQ2'!$B:$B,Report_HQ2!$F$6)</f>
        <v>36127373.100000001</v>
      </c>
      <c r="G24" s="7">
        <f>SUMIFS('HQ2'!$AC:$AC,'HQ2'!$A:$A, "="&amp;Report_HQ2!C24,'HQ2'!$B:$B,Report_HQ2!$G$6)</f>
        <v>321520741.75199997</v>
      </c>
      <c r="H24" s="7">
        <f>SUMIFS('HQ2'!$AC:$AC,'HQ2'!$A:$A, "="&amp;Report_HQ2!C24,'HQ2'!$B:$B,Report_HQ2!$H$6)</f>
        <v>0</v>
      </c>
      <c r="I24" s="7">
        <f>SUMIFS('HQ2'!$AC:$AC,'HQ2'!$A:$A, "="&amp;Report_HQ2!C24,'HQ2'!$B:$B,Report_HQ2!$I$6)</f>
        <v>0</v>
      </c>
      <c r="J24" s="7">
        <f>SUMIFS('HQ2'!$AC:$AC,'HQ2'!$A:$A, "="&amp;Report_HQ2!C24,'HQ2'!$B:$B,Report_HQ2!$J$6)</f>
        <v>0</v>
      </c>
      <c r="K24" s="24">
        <f t="shared" si="6"/>
        <v>1920175689.5503497</v>
      </c>
      <c r="L24" s="7">
        <f>SUMIFS('HQ2'!$AC:$AC,'HQ2'!$A:$A, "="&amp;Report_HQ2!C24,'HQ2'!$B:$B,"Total")</f>
        <v>1920175689.5503497</v>
      </c>
      <c r="M24" s="24">
        <f t="shared" si="7"/>
        <v>0</v>
      </c>
    </row>
    <row r="25" spans="1:13" x14ac:dyDescent="0.25">
      <c r="A25" s="9" t="s">
        <v>302</v>
      </c>
      <c r="B25" t="s">
        <v>160</v>
      </c>
      <c r="C25" t="s">
        <v>120</v>
      </c>
      <c r="D25" s="7">
        <f>SUMIFS('HQ2'!$AC:$AC,'HQ2'!$A:$A, "="&amp;Report_HQ2!C25,'HQ2'!$B:$B,Report_HQ2!$D$6)</f>
        <v>46793352.009999998</v>
      </c>
      <c r="E25" s="7">
        <f>SUMIFS('HQ2'!$AC:$AC,'HQ2'!$A:$A, "="&amp;Report_HQ2!C25,'HQ2'!$B:$B,Report_HQ2!$E$6)</f>
        <v>165381020.62284997</v>
      </c>
      <c r="F25" s="7">
        <f>SUMIFS('HQ2'!$AC:$AC,'HQ2'!$A:$A, "="&amp;Report_HQ2!C25,'HQ2'!$B:$B,Report_HQ2!$F$6)</f>
        <v>0</v>
      </c>
      <c r="G25" s="7">
        <f>SUMIFS('HQ2'!$AC:$AC,'HQ2'!$A:$A, "="&amp;Report_HQ2!C25,'HQ2'!$B:$B,Report_HQ2!$G$6)</f>
        <v>0</v>
      </c>
      <c r="H25" s="7">
        <f>SUMIFS('HQ2'!$AC:$AC,'HQ2'!$A:$A, "="&amp;Report_HQ2!C25,'HQ2'!$B:$B,Report_HQ2!$H$6)</f>
        <v>0</v>
      </c>
      <c r="I25" s="7">
        <f>SUMIFS('HQ2'!$AC:$AC,'HQ2'!$A:$A, "="&amp;Report_HQ2!C25,'HQ2'!$B:$B,Report_HQ2!$I$6)</f>
        <v>0</v>
      </c>
      <c r="J25" s="7">
        <f>SUMIFS('HQ2'!$AC:$AC,'HQ2'!$A:$A, "="&amp;Report_HQ2!C25,'HQ2'!$B:$B,Report_HQ2!$J$6)</f>
        <v>0</v>
      </c>
      <c r="K25" s="24">
        <f t="shared" si="6"/>
        <v>212174372.63284996</v>
      </c>
      <c r="L25" s="7">
        <f>SUMIFS('HQ2'!$AC:$AC,'HQ2'!$A:$A, "="&amp;Report_HQ2!C25,'HQ2'!$B:$B,"Total")</f>
        <v>212174372.63284996</v>
      </c>
      <c r="M25" s="24">
        <f t="shared" si="7"/>
        <v>0</v>
      </c>
    </row>
    <row r="26" spans="1:13" x14ac:dyDescent="0.25">
      <c r="A26" s="9" t="s">
        <v>303</v>
      </c>
      <c r="B26" t="s">
        <v>161</v>
      </c>
      <c r="C26" t="s">
        <v>111</v>
      </c>
      <c r="D26" s="7">
        <f>SUMIFS('HQ2'!$AC:$AC,'HQ2'!$A:$A, "="&amp;Report_HQ2!C26,'HQ2'!$B:$B,Report_HQ2!$D$6)</f>
        <v>876190093.69259989</v>
      </c>
      <c r="E26" s="7">
        <f>SUMIFS('HQ2'!$AC:$AC,'HQ2'!$A:$A, "="&amp;Report_HQ2!C26,'HQ2'!$B:$B,Report_HQ2!$E$6)</f>
        <v>339696326.34805</v>
      </c>
      <c r="F26" s="7">
        <f>SUMIFS('HQ2'!$AC:$AC,'HQ2'!$A:$A, "="&amp;Report_HQ2!C26,'HQ2'!$B:$B,Report_HQ2!$F$6)</f>
        <v>36888610.962000005</v>
      </c>
      <c r="G26" s="7">
        <f>SUMIFS('HQ2'!$AC:$AC,'HQ2'!$A:$A, "="&amp;Report_HQ2!C26,'HQ2'!$B:$B,Report_HQ2!$G$6)</f>
        <v>0</v>
      </c>
      <c r="H26" s="7">
        <f>SUMIFS('HQ2'!$AC:$AC,'HQ2'!$A:$A, "="&amp;Report_HQ2!C26,'HQ2'!$B:$B,Report_HQ2!$H$6)</f>
        <v>0</v>
      </c>
      <c r="I26" s="7">
        <f>SUMIFS('HQ2'!$AC:$AC,'HQ2'!$A:$A, "="&amp;Report_HQ2!C26,'HQ2'!$B:$B,Report_HQ2!$I$6)</f>
        <v>0</v>
      </c>
      <c r="J26" s="7">
        <f>SUMIFS('HQ2'!$AC:$AC,'HQ2'!$A:$A, "="&amp;Report_HQ2!C26,'HQ2'!$B:$B,Report_HQ2!$J$6)</f>
        <v>0</v>
      </c>
      <c r="K26" s="24">
        <f t="shared" si="6"/>
        <v>1252775031.0026498</v>
      </c>
      <c r="L26" s="7">
        <f>SUMIFS('HQ2'!$AC:$AC,'HQ2'!$A:$A, "="&amp;Report_HQ2!C26,'HQ2'!$B:$B,"Total")</f>
        <v>1252775031.0026498</v>
      </c>
      <c r="M26" s="24">
        <f t="shared" si="7"/>
        <v>0</v>
      </c>
    </row>
    <row r="27" spans="1:13" x14ac:dyDescent="0.25">
      <c r="A27" s="9" t="s">
        <v>304</v>
      </c>
      <c r="B27" t="s">
        <v>162</v>
      </c>
      <c r="C27" t="s">
        <v>48</v>
      </c>
      <c r="D27" s="7">
        <f>SUMIFS('HQ2'!$AC:$AC,'HQ2'!$A:$A, "="&amp;Report_HQ2!C27,'HQ2'!$B:$B,Report_HQ2!$D$6)</f>
        <v>1270731851.7329998</v>
      </c>
      <c r="E27" s="7">
        <f>SUMIFS('HQ2'!$AC:$AC,'HQ2'!$A:$A, "="&amp;Report_HQ2!C27,'HQ2'!$B:$B,Report_HQ2!$E$6)</f>
        <v>490887178.00105006</v>
      </c>
      <c r="F27" s="7">
        <f>SUMIFS('HQ2'!$AC:$AC,'HQ2'!$A:$A, "="&amp;Report_HQ2!C27,'HQ2'!$B:$B,Report_HQ2!$F$6)</f>
        <v>62869938.920000002</v>
      </c>
      <c r="G27" s="7">
        <f>SUMIFS('HQ2'!$AC:$AC,'HQ2'!$A:$A, "="&amp;Report_HQ2!C27,'HQ2'!$B:$B,Report_HQ2!$G$6)</f>
        <v>1287785360.2932003</v>
      </c>
      <c r="H27" s="7">
        <f>SUMIFS('HQ2'!$AC:$AC,'HQ2'!$A:$A, "="&amp;Report_HQ2!C27,'HQ2'!$B:$B,Report_HQ2!$H$6)</f>
        <v>2367954979.2385006</v>
      </c>
      <c r="I27" s="7">
        <f>SUMIFS('HQ2'!$AC:$AC,'HQ2'!$A:$A, "="&amp;Report_HQ2!C27,'HQ2'!$B:$B,Report_HQ2!$I$6)</f>
        <v>-4779514081.4535007</v>
      </c>
      <c r="J27" s="7">
        <f>SUMIFS('HQ2'!$AC:$AC,'HQ2'!$A:$A, "="&amp;Report_HQ2!C27,'HQ2'!$B:$B,Report_HQ2!$J$6)</f>
        <v>59896753.302000001</v>
      </c>
      <c r="K27" s="24">
        <f t="shared" si="6"/>
        <v>760611980.03425026</v>
      </c>
      <c r="L27" s="7">
        <f>SUMIFS('HQ2'!$AC:$AC,'HQ2'!$A:$A, "="&amp;Report_HQ2!C27,'HQ2'!$B:$B,"Total")</f>
        <v>760611980.0342499</v>
      </c>
      <c r="M27" s="24">
        <f t="shared" si="7"/>
        <v>0</v>
      </c>
    </row>
    <row r="28" spans="1:13" x14ac:dyDescent="0.25">
      <c r="A28" s="9" t="s">
        <v>305</v>
      </c>
      <c r="B28" t="s">
        <v>163</v>
      </c>
      <c r="C28" t="s">
        <v>118</v>
      </c>
      <c r="D28" s="7">
        <f>SUMIFS('HQ2'!$AC:$AC,'HQ2'!$A:$A, "="&amp;Report_HQ2!C28,'HQ2'!$B:$B,Report_HQ2!$D$6)</f>
        <v>-590405273.06440008</v>
      </c>
      <c r="E28" s="7">
        <f>SUMIFS('HQ2'!$AC:$AC,'HQ2'!$A:$A, "="&amp;Report_HQ2!C28,'HQ2'!$B:$B,Report_HQ2!$E$6)</f>
        <v>171305689.00420001</v>
      </c>
      <c r="F28" s="7">
        <f>SUMIFS('HQ2'!$AC:$AC,'HQ2'!$A:$A, "="&amp;Report_HQ2!C28,'HQ2'!$B:$B,Report_HQ2!$F$6)</f>
        <v>-2726672.64</v>
      </c>
      <c r="G28" s="7">
        <f>SUMIFS('HQ2'!$AC:$AC,'HQ2'!$A:$A, "="&amp;Report_HQ2!C28,'HQ2'!$B:$B,Report_HQ2!$G$6)</f>
        <v>77892966.959399998</v>
      </c>
      <c r="H28" s="7">
        <f>SUMIFS('HQ2'!$AC:$AC,'HQ2'!$A:$A, "="&amp;Report_HQ2!C28,'HQ2'!$B:$B,Report_HQ2!$H$6)</f>
        <v>-9237178</v>
      </c>
      <c r="I28" s="7">
        <f>SUMIFS('HQ2'!$AC:$AC,'HQ2'!$A:$A, "="&amp;Report_HQ2!C28,'HQ2'!$B:$B,Report_HQ2!$I$6)</f>
        <v>-35509231.707999997</v>
      </c>
      <c r="J28" s="7">
        <f>SUMIFS('HQ2'!$AC:$AC,'HQ2'!$A:$A, "="&amp;Report_HQ2!C28,'HQ2'!$B:$B,Report_HQ2!$J$6)</f>
        <v>-45250101.5</v>
      </c>
      <c r="K28" s="24">
        <f t="shared" si="6"/>
        <v>-433929800.94880009</v>
      </c>
      <c r="L28" s="7">
        <f>SUMIFS('HQ2'!$AC:$AC,'HQ2'!$A:$A, "="&amp;Report_HQ2!C28,'HQ2'!$B:$B,"Total")</f>
        <v>-433929800.94880009</v>
      </c>
      <c r="M28" s="24">
        <f t="shared" si="7"/>
        <v>0</v>
      </c>
    </row>
    <row r="29" spans="1:13" x14ac:dyDescent="0.25">
      <c r="A29" s="9" t="s">
        <v>306</v>
      </c>
      <c r="B29" t="s">
        <v>164</v>
      </c>
      <c r="C29" t="s">
        <v>71</v>
      </c>
      <c r="D29" s="7">
        <f>SUMIFS('HQ2'!$AC:$AC,'HQ2'!$A:$A, "="&amp;Report_HQ2!C29,'HQ2'!$B:$B,Report_HQ2!$D$6)</f>
        <v>-423757225.5144009</v>
      </c>
      <c r="E29" s="7">
        <f>SUMIFS('HQ2'!$AC:$AC,'HQ2'!$A:$A, "="&amp;Report_HQ2!C29,'HQ2'!$B:$B,Report_HQ2!$E$6)</f>
        <v>1485264699.2346001</v>
      </c>
      <c r="F29" s="7">
        <f>SUMIFS('HQ2'!$AC:$AC,'HQ2'!$A:$A, "="&amp;Report_HQ2!C29,'HQ2'!$B:$B,Report_HQ2!$F$6)</f>
        <v>300346935.32999998</v>
      </c>
      <c r="G29" s="7">
        <f>SUMIFS('HQ2'!$AC:$AC,'HQ2'!$A:$A, "="&amp;Report_HQ2!C29,'HQ2'!$B:$B,Report_HQ2!$G$6)</f>
        <v>175371171.31905001</v>
      </c>
      <c r="H29" s="7">
        <f>SUMIFS('HQ2'!$AC:$AC,'HQ2'!$A:$A, "="&amp;Report_HQ2!C29,'HQ2'!$B:$B,Report_HQ2!$H$6)</f>
        <v>0</v>
      </c>
      <c r="I29" s="7">
        <f>SUMIFS('HQ2'!$AC:$AC,'HQ2'!$A:$A, "="&amp;Report_HQ2!C29,'HQ2'!$B:$B,Report_HQ2!$I$6)</f>
        <v>0</v>
      </c>
      <c r="J29" s="7">
        <f>SUMIFS('HQ2'!$AC:$AC,'HQ2'!$A:$A, "="&amp;Report_HQ2!C29,'HQ2'!$B:$B,Report_HQ2!$J$6)</f>
        <v>4169568</v>
      </c>
      <c r="K29" s="24">
        <f t="shared" si="6"/>
        <v>1541395148.3692491</v>
      </c>
      <c r="L29" s="7">
        <f>SUMIFS('HQ2'!$AC:$AC,'HQ2'!$A:$A, "="&amp;Report_HQ2!C29,'HQ2'!$B:$B,"Total")</f>
        <v>1541395148.3692491</v>
      </c>
      <c r="M29" s="24">
        <f t="shared" si="7"/>
        <v>0</v>
      </c>
    </row>
    <row r="30" spans="1:13" x14ac:dyDescent="0.25">
      <c r="A30" s="9" t="s">
        <v>307</v>
      </c>
      <c r="B30" t="s">
        <v>165</v>
      </c>
      <c r="C30" t="s">
        <v>92</v>
      </c>
      <c r="D30" s="7">
        <f>SUMIFS('HQ2'!$AC:$AC,'HQ2'!$A:$A, "="&amp;Report_HQ2!C30,'HQ2'!$B:$B,Report_HQ2!$D$6)</f>
        <v>1358575447.6110997</v>
      </c>
      <c r="E30" s="7">
        <f>SUMIFS('HQ2'!$AC:$AC,'HQ2'!$A:$A, "="&amp;Report_HQ2!C30,'HQ2'!$B:$B,Report_HQ2!$E$6)</f>
        <v>74437455.490850002</v>
      </c>
      <c r="F30" s="7">
        <f>SUMIFS('HQ2'!$AC:$AC,'HQ2'!$A:$A, "="&amp;Report_HQ2!C30,'HQ2'!$B:$B,Report_HQ2!$F$6)</f>
        <v>10158840</v>
      </c>
      <c r="G30" s="7">
        <f>SUMIFS('HQ2'!$AC:$AC,'HQ2'!$A:$A, "="&amp;Report_HQ2!C30,'HQ2'!$B:$B,Report_HQ2!$G$6)</f>
        <v>140432915.62760004</v>
      </c>
      <c r="H30" s="7">
        <f>SUMIFS('HQ2'!$AC:$AC,'HQ2'!$A:$A, "="&amp;Report_HQ2!C30,'HQ2'!$B:$B,Report_HQ2!$H$6)</f>
        <v>0</v>
      </c>
      <c r="I30" s="7">
        <f>SUMIFS('HQ2'!$AC:$AC,'HQ2'!$A:$A, "="&amp;Report_HQ2!C30,'HQ2'!$B:$B,Report_HQ2!$I$6)</f>
        <v>0</v>
      </c>
      <c r="J30" s="7">
        <f>SUMIFS('HQ2'!$AC:$AC,'HQ2'!$A:$A, "="&amp;Report_HQ2!C30,'HQ2'!$B:$B,Report_HQ2!$J$6)</f>
        <v>2035172</v>
      </c>
      <c r="K30" s="24">
        <f t="shared" si="6"/>
        <v>1585639830.7295496</v>
      </c>
      <c r="L30" s="7">
        <f>SUMIFS('HQ2'!$AC:$AC,'HQ2'!$A:$A, "="&amp;Report_HQ2!C30,'HQ2'!$B:$B,"Total")</f>
        <v>1585639830.7295496</v>
      </c>
      <c r="M30" s="24">
        <f t="shared" si="7"/>
        <v>0</v>
      </c>
    </row>
    <row r="31" spans="1:13" x14ac:dyDescent="0.25">
      <c r="A31" s="9" t="s">
        <v>308</v>
      </c>
      <c r="B31" t="s">
        <v>166</v>
      </c>
      <c r="C31" t="s">
        <v>60</v>
      </c>
      <c r="D31" s="7">
        <f>SUMIFS('HQ2'!$AC:$AC,'HQ2'!$A:$A, "="&amp;Report_HQ2!C31,'HQ2'!$B:$B,Report_HQ2!$D$6)</f>
        <v>3159830966.3801999</v>
      </c>
      <c r="E31" s="7">
        <f>SUMIFS('HQ2'!$AC:$AC,'HQ2'!$A:$A, "="&amp;Report_HQ2!C31,'HQ2'!$B:$B,Report_HQ2!$E$6)</f>
        <v>-59882342.641500011</v>
      </c>
      <c r="F31" s="7">
        <f>SUMIFS('HQ2'!$AC:$AC,'HQ2'!$A:$A, "="&amp;Report_HQ2!C31,'HQ2'!$B:$B,Report_HQ2!$F$6)</f>
        <v>23981790.84</v>
      </c>
      <c r="G31" s="7">
        <f>SUMIFS('HQ2'!$AC:$AC,'HQ2'!$A:$A, "="&amp;Report_HQ2!C31,'HQ2'!$B:$B,Report_HQ2!$G$6)</f>
        <v>912723605.96115053</v>
      </c>
      <c r="H31" s="7">
        <f>SUMIFS('HQ2'!$AC:$AC,'HQ2'!$A:$A, "="&amp;Report_HQ2!C31,'HQ2'!$B:$B,Report_HQ2!$H$6)</f>
        <v>0</v>
      </c>
      <c r="I31" s="7">
        <f>SUMIFS('HQ2'!$AC:$AC,'HQ2'!$A:$A, "="&amp;Report_HQ2!C31,'HQ2'!$B:$B,Report_HQ2!$I$6)</f>
        <v>0</v>
      </c>
      <c r="J31" s="7">
        <f>SUMIFS('HQ2'!$AC:$AC,'HQ2'!$A:$A, "="&amp;Report_HQ2!C31,'HQ2'!$B:$B,Report_HQ2!$J$6)</f>
        <v>-554298248.96774995</v>
      </c>
      <c r="K31" s="24">
        <f t="shared" si="6"/>
        <v>3482355771.5721006</v>
      </c>
      <c r="L31" s="7">
        <f>SUMIFS('HQ2'!$AC:$AC,'HQ2'!$A:$A, "="&amp;Report_HQ2!C31,'HQ2'!$B:$B,"Total")</f>
        <v>3482355771.5721006</v>
      </c>
      <c r="M31" s="24">
        <f t="shared" si="7"/>
        <v>0</v>
      </c>
    </row>
    <row r="32" spans="1:13" x14ac:dyDescent="0.25">
      <c r="A32" s="9" t="s">
        <v>309</v>
      </c>
      <c r="B32" t="s">
        <v>167</v>
      </c>
      <c r="C32" t="s">
        <v>65</v>
      </c>
      <c r="D32" s="7">
        <f>SUMIFS('HQ2'!$AC:$AC,'HQ2'!$A:$A, "="&amp;Report_HQ2!C32,'HQ2'!$B:$B,Report_HQ2!$D$6)</f>
        <v>-193866665.31040007</v>
      </c>
      <c r="E32" s="7">
        <f>SUMIFS('HQ2'!$AC:$AC,'HQ2'!$A:$A, "="&amp;Report_HQ2!C32,'HQ2'!$B:$B,Report_HQ2!$E$6)</f>
        <v>608279884.36639977</v>
      </c>
      <c r="F32" s="7">
        <f>SUMIFS('HQ2'!$AC:$AC,'HQ2'!$A:$A, "="&amp;Report_HQ2!C32,'HQ2'!$B:$B,Report_HQ2!$F$6)</f>
        <v>163666710.87199998</v>
      </c>
      <c r="G32" s="7">
        <f>SUMIFS('HQ2'!$AC:$AC,'HQ2'!$A:$A, "="&amp;Report_HQ2!C32,'HQ2'!$B:$B,Report_HQ2!$G$6)</f>
        <v>978767897.01170015</v>
      </c>
      <c r="H32" s="7">
        <f>SUMIFS('HQ2'!$AC:$AC,'HQ2'!$A:$A, "="&amp;Report_HQ2!C32,'HQ2'!$B:$B,Report_HQ2!$H$6)</f>
        <v>-768250658.89599991</v>
      </c>
      <c r="I32" s="7">
        <f>SUMIFS('HQ2'!$AC:$AC,'HQ2'!$A:$A, "="&amp;Report_HQ2!C32,'HQ2'!$B:$B,Report_HQ2!$I$6)</f>
        <v>270302004.76899981</v>
      </c>
      <c r="J32" s="7">
        <f>SUMIFS('HQ2'!$AC:$AC,'HQ2'!$A:$A, "="&amp;Report_HQ2!C32,'HQ2'!$B:$B,Report_HQ2!$J$6)</f>
        <v>14149483.910300003</v>
      </c>
      <c r="K32" s="24">
        <f t="shared" si="6"/>
        <v>1073048656.7229998</v>
      </c>
      <c r="L32" s="7">
        <f>SUMIFS('HQ2'!$AC:$AC,'HQ2'!$A:$A, "="&amp;Report_HQ2!C32,'HQ2'!$B:$B,"Total")</f>
        <v>1073048656.7229998</v>
      </c>
      <c r="M32" s="24">
        <f t="shared" si="7"/>
        <v>0</v>
      </c>
    </row>
    <row r="33" spans="1:13" x14ac:dyDescent="0.25">
      <c r="A33" s="9" t="s">
        <v>310</v>
      </c>
      <c r="B33" t="s">
        <v>168</v>
      </c>
      <c r="C33" t="s">
        <v>74</v>
      </c>
      <c r="D33" s="7">
        <f>SUMIFS('HQ2'!$AC:$AC,'HQ2'!$A:$A, "="&amp;Report_HQ2!C33,'HQ2'!$B:$B,Report_HQ2!$D$6)</f>
        <v>1834378579.3067992</v>
      </c>
      <c r="E33" s="7">
        <f>SUMIFS('HQ2'!$AC:$AC,'HQ2'!$A:$A, "="&amp;Report_HQ2!C33,'HQ2'!$B:$B,Report_HQ2!$E$6)</f>
        <v>2996595784.8886495</v>
      </c>
      <c r="F33" s="7">
        <f>SUMIFS('HQ2'!$AC:$AC,'HQ2'!$A:$A, "="&amp;Report_HQ2!C33,'HQ2'!$B:$B,Report_HQ2!$F$6)</f>
        <v>61359622.151999995</v>
      </c>
      <c r="G33" s="7">
        <f>SUMIFS('HQ2'!$AC:$AC,'HQ2'!$A:$A, "="&amp;Report_HQ2!C33,'HQ2'!$B:$B,Report_HQ2!$G$6)</f>
        <v>-2858180.4767999961</v>
      </c>
      <c r="H33" s="7">
        <f>SUMIFS('HQ2'!$AC:$AC,'HQ2'!$A:$A, "="&amp;Report_HQ2!C33,'HQ2'!$B:$B,Report_HQ2!$H$6)</f>
        <v>0</v>
      </c>
      <c r="I33" s="7">
        <f>SUMIFS('HQ2'!$AC:$AC,'HQ2'!$A:$A, "="&amp;Report_HQ2!C33,'HQ2'!$B:$B,Report_HQ2!$I$6)</f>
        <v>0</v>
      </c>
      <c r="J33" s="7">
        <f>SUMIFS('HQ2'!$AC:$AC,'HQ2'!$A:$A, "="&amp;Report_HQ2!C33,'HQ2'!$B:$B,Report_HQ2!$J$6)</f>
        <v>14273401.134999998</v>
      </c>
      <c r="K33" s="24">
        <f t="shared" si="6"/>
        <v>4903749207.0056496</v>
      </c>
      <c r="L33" s="7">
        <f>SUMIFS('HQ2'!$AC:$AC,'HQ2'!$A:$A, "="&amp;Report_HQ2!C33,'HQ2'!$B:$B,"Total")</f>
        <v>4903749207.0056486</v>
      </c>
      <c r="M33" s="24">
        <f t="shared" si="7"/>
        <v>0</v>
      </c>
    </row>
    <row r="34" spans="1:13" x14ac:dyDescent="0.25">
      <c r="A34" s="9" t="s">
        <v>311</v>
      </c>
      <c r="B34" t="s">
        <v>169</v>
      </c>
      <c r="C34" t="s">
        <v>119</v>
      </c>
      <c r="D34" s="7">
        <f>SUMIFS('HQ2'!$AC:$AC,'HQ2'!$A:$A, "="&amp;Report_HQ2!C34,'HQ2'!$B:$B,Report_HQ2!$D$6)</f>
        <v>40197232.204400003</v>
      </c>
      <c r="E34" s="7">
        <f>SUMIFS('HQ2'!$AC:$AC,'HQ2'!$A:$A, "="&amp;Report_HQ2!C34,'HQ2'!$B:$B,Report_HQ2!$E$6)</f>
        <v>-106331748.37354998</v>
      </c>
      <c r="F34" s="7">
        <f>SUMIFS('HQ2'!$AC:$AC,'HQ2'!$A:$A, "="&amp;Report_HQ2!C34,'HQ2'!$B:$B,Report_HQ2!$F$6)</f>
        <v>1583563.62</v>
      </c>
      <c r="G34" s="7">
        <f>SUMIFS('HQ2'!$AC:$AC,'HQ2'!$A:$A, "="&amp;Report_HQ2!C34,'HQ2'!$B:$B,Report_HQ2!$G$6)</f>
        <v>3204622.24</v>
      </c>
      <c r="H34" s="7">
        <f>SUMIFS('HQ2'!$AC:$AC,'HQ2'!$A:$A, "="&amp;Report_HQ2!C34,'HQ2'!$B:$B,Report_HQ2!$H$6)</f>
        <v>0</v>
      </c>
      <c r="I34" s="7">
        <f>SUMIFS('HQ2'!$AC:$AC,'HQ2'!$A:$A, "="&amp;Report_HQ2!C34,'HQ2'!$B:$B,Report_HQ2!$I$6)</f>
        <v>0</v>
      </c>
      <c r="J34" s="7">
        <f>SUMIFS('HQ2'!$AC:$AC,'HQ2'!$A:$A, "="&amp;Report_HQ2!C34,'HQ2'!$B:$B,Report_HQ2!$J$6)</f>
        <v>0</v>
      </c>
      <c r="K34" s="24">
        <f t="shared" si="6"/>
        <v>-61346330.309149981</v>
      </c>
      <c r="L34" s="7">
        <f>SUMIFS('HQ2'!$AC:$AC,'HQ2'!$A:$A, "="&amp;Report_HQ2!C34,'HQ2'!$B:$B,"Total")</f>
        <v>-61346330.309149981</v>
      </c>
      <c r="M34" s="24">
        <f t="shared" si="7"/>
        <v>0</v>
      </c>
    </row>
    <row r="35" spans="1:13" x14ac:dyDescent="0.25">
      <c r="A35" s="9" t="s">
        <v>312</v>
      </c>
      <c r="B35" t="s">
        <v>170</v>
      </c>
      <c r="C35" t="s">
        <v>103</v>
      </c>
      <c r="D35" s="7">
        <f>SUMIFS('HQ2'!$AC:$AC,'HQ2'!$A:$A, "="&amp;Report_HQ2!C35,'HQ2'!$B:$B,Report_HQ2!$D$6)</f>
        <v>585707546.19099998</v>
      </c>
      <c r="E35" s="7">
        <f>SUMIFS('HQ2'!$AC:$AC,'HQ2'!$A:$A, "="&amp;Report_HQ2!C35,'HQ2'!$B:$B,Report_HQ2!$E$6)</f>
        <v>-219019250.63700005</v>
      </c>
      <c r="F35" s="7">
        <f>SUMIFS('HQ2'!$AC:$AC,'HQ2'!$A:$A, "="&amp;Report_HQ2!C35,'HQ2'!$B:$B,Report_HQ2!$F$6)</f>
        <v>30000000</v>
      </c>
      <c r="G35" s="7">
        <f>SUMIFS('HQ2'!$AC:$AC,'HQ2'!$A:$A, "="&amp;Report_HQ2!C35,'HQ2'!$B:$B,Report_HQ2!$G$6)</f>
        <v>47526580.940750003</v>
      </c>
      <c r="H35" s="7">
        <f>SUMIFS('HQ2'!$AC:$AC,'HQ2'!$A:$A, "="&amp;Report_HQ2!C35,'HQ2'!$B:$B,Report_HQ2!$H$6)</f>
        <v>0</v>
      </c>
      <c r="I35" s="7">
        <f>SUMIFS('HQ2'!$AC:$AC,'HQ2'!$A:$A, "="&amp;Report_HQ2!C35,'HQ2'!$B:$B,Report_HQ2!$I$6)</f>
        <v>0</v>
      </c>
      <c r="J35" s="7">
        <f>SUMIFS('HQ2'!$AC:$AC,'HQ2'!$A:$A, "="&amp;Report_HQ2!C35,'HQ2'!$B:$B,Report_HQ2!$J$6)</f>
        <v>0</v>
      </c>
      <c r="K35" s="24">
        <f t="shared" si="6"/>
        <v>444214876.4947499</v>
      </c>
      <c r="L35" s="7">
        <f>SUMIFS('HQ2'!$AC:$AC,'HQ2'!$A:$A, "="&amp;Report_HQ2!C35,'HQ2'!$B:$B,"Total")</f>
        <v>444214876.4947499</v>
      </c>
      <c r="M35" s="24">
        <f t="shared" si="7"/>
        <v>0</v>
      </c>
    </row>
    <row r="36" spans="1:13" x14ac:dyDescent="0.25">
      <c r="A36" s="9" t="s">
        <v>313</v>
      </c>
      <c r="B36" t="s">
        <v>171</v>
      </c>
      <c r="C36" t="s">
        <v>53</v>
      </c>
      <c r="D36" s="7">
        <f>SUMIFS('HQ2'!$AC:$AC,'HQ2'!$A:$A, "="&amp;Report_HQ2!C36,'HQ2'!$B:$B,Report_HQ2!$D$6)</f>
        <v>3113082955.3887973</v>
      </c>
      <c r="E36" s="7">
        <f>SUMIFS('HQ2'!$AC:$AC,'HQ2'!$A:$A, "="&amp;Report_HQ2!C36,'HQ2'!$B:$B,Report_HQ2!$E$6)</f>
        <v>514702903.18924969</v>
      </c>
      <c r="F36" s="7">
        <f>SUMIFS('HQ2'!$AC:$AC,'HQ2'!$A:$A, "="&amp;Report_HQ2!C36,'HQ2'!$B:$B,Report_HQ2!$F$6)</f>
        <v>776569164.18400002</v>
      </c>
      <c r="G36" s="7">
        <f>SUMIFS('HQ2'!$AC:$AC,'HQ2'!$A:$A, "="&amp;Report_HQ2!C36,'HQ2'!$B:$B,Report_HQ2!$G$6)</f>
        <v>2044208415.7081497</v>
      </c>
      <c r="H36" s="7">
        <f>SUMIFS('HQ2'!$AC:$AC,'HQ2'!$A:$A, "="&amp;Report_HQ2!C36,'HQ2'!$B:$B,Report_HQ2!$H$6)</f>
        <v>65551109.808500007</v>
      </c>
      <c r="I36" s="7">
        <f>SUMIFS('HQ2'!$AC:$AC,'HQ2'!$A:$A, "="&amp;Report_HQ2!C36,'HQ2'!$B:$B,Report_HQ2!$I$6)</f>
        <v>135933411.72599998</v>
      </c>
      <c r="J36" s="7">
        <f>SUMIFS('HQ2'!$AC:$AC,'HQ2'!$A:$A, "="&amp;Report_HQ2!C36,'HQ2'!$B:$B,Report_HQ2!$J$6)</f>
        <v>8184000</v>
      </c>
      <c r="K36" s="24">
        <f t="shared" si="6"/>
        <v>6658231960.0046968</v>
      </c>
      <c r="L36" s="7">
        <f>SUMIFS('HQ2'!$AC:$AC,'HQ2'!$A:$A, "="&amp;Report_HQ2!C36,'HQ2'!$B:$B,"Total")</f>
        <v>6658231960.0046968</v>
      </c>
      <c r="M36" s="24">
        <f t="shared" si="7"/>
        <v>0</v>
      </c>
    </row>
    <row r="37" spans="1:13" x14ac:dyDescent="0.25">
      <c r="A37" s="9" t="s">
        <v>314</v>
      </c>
      <c r="B37" t="s">
        <v>172</v>
      </c>
      <c r="C37" t="s">
        <v>64</v>
      </c>
      <c r="D37" s="7">
        <f>SUMIFS('HQ2'!$AC:$AC,'HQ2'!$A:$A, "="&amp;Report_HQ2!C37,'HQ2'!$B:$B,Report_HQ2!$D$6)</f>
        <v>1733776935.507796</v>
      </c>
      <c r="E37" s="7">
        <f>SUMIFS('HQ2'!$AC:$AC,'HQ2'!$A:$A, "="&amp;Report_HQ2!C37,'HQ2'!$B:$B,Report_HQ2!$E$6)</f>
        <v>-204794491.64544994</v>
      </c>
      <c r="F37" s="7">
        <f>SUMIFS('HQ2'!$AC:$AC,'HQ2'!$A:$A, "="&amp;Report_HQ2!C37,'HQ2'!$B:$B,Report_HQ2!$F$6)</f>
        <v>517428452.17800087</v>
      </c>
      <c r="G37" s="7">
        <f>SUMIFS('HQ2'!$AC:$AC,'HQ2'!$A:$A, "="&amp;Report_HQ2!C37,'HQ2'!$B:$B,Report_HQ2!$G$6)</f>
        <v>145470194.60185021</v>
      </c>
      <c r="H37" s="7">
        <f>SUMIFS('HQ2'!$AC:$AC,'HQ2'!$A:$A, "="&amp;Report_HQ2!C37,'HQ2'!$B:$B,Report_HQ2!$H$6)</f>
        <v>406681698.74650002</v>
      </c>
      <c r="I37" s="7">
        <f>SUMIFS('HQ2'!$AC:$AC,'HQ2'!$A:$A, "="&amp;Report_HQ2!C37,'HQ2'!$B:$B,Report_HQ2!$I$6)</f>
        <v>163979472.92649996</v>
      </c>
      <c r="J37" s="7">
        <f>SUMIFS('HQ2'!$AC:$AC,'HQ2'!$A:$A, "="&amp;Report_HQ2!C37,'HQ2'!$B:$B,Report_HQ2!$J$6)</f>
        <v>246290026.20455</v>
      </c>
      <c r="K37" s="24">
        <f t="shared" si="6"/>
        <v>3008832288.5197468</v>
      </c>
      <c r="L37" s="7">
        <f>SUMIFS('HQ2'!$AC:$AC,'HQ2'!$A:$A, "="&amp;Report_HQ2!C37,'HQ2'!$B:$B,"Total")</f>
        <v>3008832288.5197468</v>
      </c>
      <c r="M37" s="24">
        <f t="shared" si="7"/>
        <v>0</v>
      </c>
    </row>
    <row r="38" spans="1:13" x14ac:dyDescent="0.25">
      <c r="A38" s="9" t="s">
        <v>315</v>
      </c>
      <c r="B38" t="s">
        <v>173</v>
      </c>
      <c r="C38" t="s">
        <v>104</v>
      </c>
      <c r="D38" s="7">
        <f>SUMIFS('HQ2'!$AC:$AC,'HQ2'!$A:$A, "="&amp;Report_HQ2!C38,'HQ2'!$B:$B,Report_HQ2!$D$6)</f>
        <v>14690165.111799993</v>
      </c>
      <c r="E38" s="7">
        <f>SUMIFS('HQ2'!$AC:$AC,'HQ2'!$A:$A, "="&amp;Report_HQ2!C38,'HQ2'!$B:$B,Report_HQ2!$E$6)</f>
        <v>-370371428.72935003</v>
      </c>
      <c r="F38" s="7">
        <f>SUMIFS('HQ2'!$AC:$AC,'HQ2'!$A:$A, "="&amp;Report_HQ2!C38,'HQ2'!$B:$B,Report_HQ2!$F$6)</f>
        <v>154763882.07999998</v>
      </c>
      <c r="G38" s="7">
        <f>SUMIFS('HQ2'!$AC:$AC,'HQ2'!$A:$A, "="&amp;Report_HQ2!C38,'HQ2'!$B:$B,Report_HQ2!$G$6)</f>
        <v>16933799.604049999</v>
      </c>
      <c r="H38" s="7">
        <f>SUMIFS('HQ2'!$AC:$AC,'HQ2'!$A:$A, "="&amp;Report_HQ2!C38,'HQ2'!$B:$B,Report_HQ2!$H$6)</f>
        <v>-348653750</v>
      </c>
      <c r="I38" s="7">
        <f>SUMIFS('HQ2'!$AC:$AC,'HQ2'!$A:$A, "="&amp;Report_HQ2!C38,'HQ2'!$B:$B,Report_HQ2!$I$6)</f>
        <v>0</v>
      </c>
      <c r="J38" s="7">
        <f>SUMIFS('HQ2'!$AC:$AC,'HQ2'!$A:$A, "="&amp;Report_HQ2!C38,'HQ2'!$B:$B,Report_HQ2!$J$6)</f>
        <v>-473294705</v>
      </c>
      <c r="K38" s="24">
        <f t="shared" si="6"/>
        <v>-1005932036.9335001</v>
      </c>
      <c r="L38" s="7">
        <f>SUMIFS('HQ2'!$AC:$AC,'HQ2'!$A:$A, "="&amp;Report_HQ2!C38,'HQ2'!$B:$B,"Total")</f>
        <v>-1005932036.9335001</v>
      </c>
      <c r="M38" s="24">
        <f t="shared" si="7"/>
        <v>0</v>
      </c>
    </row>
    <row r="39" spans="1:13" x14ac:dyDescent="0.25">
      <c r="A39" s="9" t="s">
        <v>316</v>
      </c>
      <c r="B39" t="s">
        <v>174</v>
      </c>
      <c r="C39" t="s">
        <v>87</v>
      </c>
      <c r="D39" s="7">
        <f>SUMIFS('HQ2'!$AC:$AC,'HQ2'!$A:$A, "="&amp;Report_HQ2!C39,'HQ2'!$B:$B,Report_HQ2!$D$6)</f>
        <v>718359979.92299986</v>
      </c>
      <c r="E39" s="7">
        <f>SUMIFS('HQ2'!$AC:$AC,'HQ2'!$A:$A, "="&amp;Report_HQ2!C39,'HQ2'!$B:$B,Report_HQ2!$E$6)</f>
        <v>177216094.54069999</v>
      </c>
      <c r="F39" s="7">
        <f>SUMIFS('HQ2'!$AC:$AC,'HQ2'!$A:$A, "="&amp;Report_HQ2!C39,'HQ2'!$B:$B,Report_HQ2!$F$6)</f>
        <v>53768726.380000003</v>
      </c>
      <c r="G39" s="7">
        <f>SUMIFS('HQ2'!$AC:$AC,'HQ2'!$A:$A, "="&amp;Report_HQ2!C39,'HQ2'!$B:$B,Report_HQ2!$G$6)</f>
        <v>191409828.75525004</v>
      </c>
      <c r="H39" s="7">
        <f>SUMIFS('HQ2'!$AC:$AC,'HQ2'!$A:$A, "="&amp;Report_HQ2!C39,'HQ2'!$B:$B,Report_HQ2!$H$6)</f>
        <v>0</v>
      </c>
      <c r="I39" s="7">
        <f>SUMIFS('HQ2'!$AC:$AC,'HQ2'!$A:$A, "="&amp;Report_HQ2!C39,'HQ2'!$B:$B,Report_HQ2!$I$6)</f>
        <v>0</v>
      </c>
      <c r="J39" s="7">
        <f>SUMIFS('HQ2'!$AC:$AC,'HQ2'!$A:$A, "="&amp;Report_HQ2!C39,'HQ2'!$B:$B,Report_HQ2!$J$6)</f>
        <v>-1283922783.46435</v>
      </c>
      <c r="K39" s="24">
        <f t="shared" si="6"/>
        <v>-143168153.86540008</v>
      </c>
      <c r="L39" s="7">
        <f>SUMIFS('HQ2'!$AC:$AC,'HQ2'!$A:$A, "="&amp;Report_HQ2!C39,'HQ2'!$B:$B,"Total")</f>
        <v>-143168153.86540014</v>
      </c>
      <c r="M39" s="24">
        <f t="shared" si="7"/>
        <v>0</v>
      </c>
    </row>
    <row r="40" spans="1:13" x14ac:dyDescent="0.25">
      <c r="A40" s="9" t="s">
        <v>317</v>
      </c>
      <c r="B40" t="s">
        <v>175</v>
      </c>
      <c r="C40" t="s">
        <v>47</v>
      </c>
      <c r="D40" s="7">
        <f>SUMIFS('HQ2'!$AC:$AC,'HQ2'!$A:$A, "="&amp;Report_HQ2!C40,'HQ2'!$B:$B,Report_HQ2!$D$6)</f>
        <v>2544451519.2845998</v>
      </c>
      <c r="E40" s="7">
        <f>SUMIFS('HQ2'!$AC:$AC,'HQ2'!$A:$A, "="&amp;Report_HQ2!C40,'HQ2'!$B:$B,Report_HQ2!$E$6)</f>
        <v>1540252812.0244999</v>
      </c>
      <c r="F40" s="7">
        <f>SUMIFS('HQ2'!$AC:$AC,'HQ2'!$A:$A, "="&amp;Report_HQ2!C40,'HQ2'!$B:$B,Report_HQ2!$F$6)</f>
        <v>-1689052731.4559996</v>
      </c>
      <c r="G40" s="7">
        <f>SUMIFS('HQ2'!$AC:$AC,'HQ2'!$A:$A, "="&amp;Report_HQ2!C40,'HQ2'!$B:$B,Report_HQ2!$G$6)</f>
        <v>4266870230.9351501</v>
      </c>
      <c r="H40" s="7">
        <f>SUMIFS('HQ2'!$AC:$AC,'HQ2'!$A:$A, "="&amp;Report_HQ2!C40,'HQ2'!$B:$B,Report_HQ2!$H$6)</f>
        <v>678076050.49970067</v>
      </c>
      <c r="I40" s="7">
        <f>SUMIFS('HQ2'!$AC:$AC,'HQ2'!$A:$A, "="&amp;Report_HQ2!C40,'HQ2'!$B:$B,Report_HQ2!$I$6)</f>
        <v>12690210660.551498</v>
      </c>
      <c r="J40" s="7">
        <f>SUMIFS('HQ2'!$AC:$AC,'HQ2'!$A:$A, "="&amp;Report_HQ2!C40,'HQ2'!$B:$B,Report_HQ2!$J$6)</f>
        <v>67847425.57735008</v>
      </c>
      <c r="K40" s="24">
        <f t="shared" si="6"/>
        <v>20098655967.416798</v>
      </c>
      <c r="L40" s="7">
        <f>SUMIFS('HQ2'!$AC:$AC,'HQ2'!$A:$A, "="&amp;Report_HQ2!C40,'HQ2'!$B:$B,"Total")</f>
        <v>20098655967.416798</v>
      </c>
      <c r="M40" s="24">
        <f t="shared" si="7"/>
        <v>0</v>
      </c>
    </row>
    <row r="41" spans="1:13" x14ac:dyDescent="0.25">
      <c r="A41" s="9" t="s">
        <v>318</v>
      </c>
      <c r="B41" t="s">
        <v>176</v>
      </c>
      <c r="C41" t="s">
        <v>113</v>
      </c>
      <c r="D41" s="7">
        <f>SUMIFS('HQ2'!$AC:$AC,'HQ2'!$A:$A, "="&amp;Report_HQ2!C41,'HQ2'!$B:$B,Report_HQ2!$D$6)</f>
        <v>355126347.87339997</v>
      </c>
      <c r="E41" s="7">
        <f>SUMIFS('HQ2'!$AC:$AC,'HQ2'!$A:$A, "="&amp;Report_HQ2!C41,'HQ2'!$B:$B,Report_HQ2!$E$6)</f>
        <v>12797290.83945</v>
      </c>
      <c r="F41" s="7">
        <f>SUMIFS('HQ2'!$AC:$AC,'HQ2'!$A:$A, "="&amp;Report_HQ2!C41,'HQ2'!$B:$B,Report_HQ2!$F$6)</f>
        <v>21995510.368000001</v>
      </c>
      <c r="G41" s="7">
        <f>SUMIFS('HQ2'!$AC:$AC,'HQ2'!$A:$A, "="&amp;Report_HQ2!C41,'HQ2'!$B:$B,Report_HQ2!$G$6)</f>
        <v>9169378.3840000033</v>
      </c>
      <c r="H41" s="7">
        <f>SUMIFS('HQ2'!$AC:$AC,'HQ2'!$A:$A, "="&amp;Report_HQ2!C41,'HQ2'!$B:$B,Report_HQ2!$H$6)</f>
        <v>0</v>
      </c>
      <c r="I41" s="7">
        <f>SUMIFS('HQ2'!$AC:$AC,'HQ2'!$A:$A, "="&amp;Report_HQ2!C41,'HQ2'!$B:$B,Report_HQ2!$I$6)</f>
        <v>0</v>
      </c>
      <c r="J41" s="7">
        <f>SUMIFS('HQ2'!$AC:$AC,'HQ2'!$A:$A, "="&amp;Report_HQ2!C41,'HQ2'!$B:$B,Report_HQ2!$J$6)</f>
        <v>19581412.219950009</v>
      </c>
      <c r="K41" s="24">
        <f t="shared" si="6"/>
        <v>418669939.68480003</v>
      </c>
      <c r="L41" s="7">
        <f>SUMIFS('HQ2'!$AC:$AC,'HQ2'!$A:$A, "="&amp;Report_HQ2!C41,'HQ2'!$B:$B,"Total")</f>
        <v>418669939.68480003</v>
      </c>
      <c r="M41" s="24">
        <f t="shared" si="7"/>
        <v>0</v>
      </c>
    </row>
    <row r="42" spans="1:13" x14ac:dyDescent="0.25">
      <c r="A42" s="9" t="s">
        <v>319</v>
      </c>
      <c r="B42" t="s">
        <v>177</v>
      </c>
      <c r="C42" t="s">
        <v>122</v>
      </c>
      <c r="D42" s="7">
        <f>SUMIFS('HQ2'!$AC:$AC,'HQ2'!$A:$A, "="&amp;Report_HQ2!C42,'HQ2'!$B:$B,Report_HQ2!$D$6)</f>
        <v>202562707.64500001</v>
      </c>
      <c r="E42" s="7">
        <f>SUMIFS('HQ2'!$AC:$AC,'HQ2'!$A:$A, "="&amp;Report_HQ2!C42,'HQ2'!$B:$B,Report_HQ2!$E$6)</f>
        <v>-375986515.28950006</v>
      </c>
      <c r="F42" s="7">
        <f>SUMIFS('HQ2'!$AC:$AC,'HQ2'!$A:$A, "="&amp;Report_HQ2!C42,'HQ2'!$B:$B,Report_HQ2!$F$6)</f>
        <v>-47400000</v>
      </c>
      <c r="G42" s="7">
        <f>SUMIFS('HQ2'!$AC:$AC,'HQ2'!$A:$A, "="&amp;Report_HQ2!C42,'HQ2'!$B:$B,Report_HQ2!$G$6)</f>
        <v>7715091.665</v>
      </c>
      <c r="H42" s="7">
        <f>SUMIFS('HQ2'!$AC:$AC,'HQ2'!$A:$A, "="&amp;Report_HQ2!C42,'HQ2'!$B:$B,Report_HQ2!$H$6)</f>
        <v>0</v>
      </c>
      <c r="I42" s="7">
        <f>SUMIFS('HQ2'!$AC:$AC,'HQ2'!$A:$A, "="&amp;Report_HQ2!C42,'HQ2'!$B:$B,Report_HQ2!$I$6)</f>
        <v>0</v>
      </c>
      <c r="J42" s="7">
        <f>SUMIFS('HQ2'!$AC:$AC,'HQ2'!$A:$A, "="&amp;Report_HQ2!C42,'HQ2'!$B:$B,Report_HQ2!$J$6)</f>
        <v>1620632.6</v>
      </c>
      <c r="K42" s="24">
        <f t="shared" si="6"/>
        <v>-211488083.37950006</v>
      </c>
      <c r="L42" s="7">
        <f>SUMIFS('HQ2'!$AC:$AC,'HQ2'!$A:$A, "="&amp;Report_HQ2!C42,'HQ2'!$B:$B,"Total")</f>
        <v>-211488083.37950006</v>
      </c>
      <c r="M42" s="24">
        <f t="shared" si="7"/>
        <v>0</v>
      </c>
    </row>
    <row r="43" spans="1:13" x14ac:dyDescent="0.25">
      <c r="A43" s="9" t="s">
        <v>320</v>
      </c>
      <c r="B43" t="s">
        <v>178</v>
      </c>
      <c r="C43" t="s">
        <v>72</v>
      </c>
      <c r="D43" s="7">
        <f>SUMIFS('HQ2'!$AC:$AC,'HQ2'!$A:$A, "="&amp;Report_HQ2!C43,'HQ2'!$B:$B,Report_HQ2!$D$6)</f>
        <v>1971753901.9959993</v>
      </c>
      <c r="E43" s="7">
        <f>SUMIFS('HQ2'!$AC:$AC,'HQ2'!$A:$A, "="&amp;Report_HQ2!C43,'HQ2'!$B:$B,Report_HQ2!$E$6)</f>
        <v>103085137.71894999</v>
      </c>
      <c r="F43" s="7">
        <f>SUMIFS('HQ2'!$AC:$AC,'HQ2'!$A:$A, "="&amp;Report_HQ2!C43,'HQ2'!$B:$B,Report_HQ2!$F$6)</f>
        <v>0</v>
      </c>
      <c r="G43" s="7">
        <f>SUMIFS('HQ2'!$AC:$AC,'HQ2'!$A:$A, "="&amp;Report_HQ2!C43,'HQ2'!$B:$B,Report_HQ2!$G$6)</f>
        <v>54916119.76865001</v>
      </c>
      <c r="H43" s="7">
        <f>SUMIFS('HQ2'!$AC:$AC,'HQ2'!$A:$A, "="&amp;Report_HQ2!C43,'HQ2'!$B:$B,Report_HQ2!$H$6)</f>
        <v>0</v>
      </c>
      <c r="I43" s="7">
        <f>SUMIFS('HQ2'!$AC:$AC,'HQ2'!$A:$A, "="&amp;Report_HQ2!C43,'HQ2'!$B:$B,Report_HQ2!$I$6)</f>
        <v>-94171363.292999998</v>
      </c>
      <c r="J43" s="7">
        <f>SUMIFS('HQ2'!$AC:$AC,'HQ2'!$A:$A, "="&amp;Report_HQ2!C43,'HQ2'!$B:$B,Report_HQ2!$J$6)</f>
        <v>0</v>
      </c>
      <c r="K43" s="24">
        <f t="shared" si="6"/>
        <v>2035583796.1905994</v>
      </c>
      <c r="L43" s="7">
        <f>SUMIFS('HQ2'!$AC:$AC,'HQ2'!$A:$A, "="&amp;Report_HQ2!C43,'HQ2'!$B:$B,"Total")</f>
        <v>2035583796.1905994</v>
      </c>
      <c r="M43" s="24">
        <f t="shared" si="7"/>
        <v>0</v>
      </c>
    </row>
    <row r="44" spans="1:13" x14ac:dyDescent="0.25">
      <c r="A44" s="36" t="s">
        <v>321</v>
      </c>
      <c r="B44" s="30" t="s">
        <v>179</v>
      </c>
      <c r="C44" s="30" t="s">
        <v>57</v>
      </c>
      <c r="D44" s="7">
        <f>SUMIFS('HQ2'!$AC:$AC,'HQ2'!$A:$A, "="&amp;Report_HQ2!C44,'HQ2'!$B:$B,Report_HQ2!$D$6)</f>
        <v>4933654448.9446001</v>
      </c>
      <c r="E44" s="7">
        <f>SUMIFS('HQ2'!$AC:$AC,'HQ2'!$A:$A, "="&amp;Report_HQ2!C44,'HQ2'!$B:$B,Report_HQ2!$E$6)</f>
        <v>585823537.36684978</v>
      </c>
      <c r="F44" s="7">
        <f>SUMIFS('HQ2'!$AC:$AC,'HQ2'!$A:$A, "="&amp;Report_HQ2!C44,'HQ2'!$B:$B,Report_HQ2!$F$6)</f>
        <v>121892553.22400002</v>
      </c>
      <c r="G44" s="7">
        <f>SUMIFS('HQ2'!$AC:$AC,'HQ2'!$A:$A, "="&amp;Report_HQ2!C44,'HQ2'!$B:$B,Report_HQ2!$G$6)</f>
        <v>1392028558.8752</v>
      </c>
      <c r="H44" s="7">
        <f>SUMIFS('HQ2'!$AC:$AC,'HQ2'!$A:$A, "="&amp;Report_HQ2!C44,'HQ2'!$B:$B,Report_HQ2!$H$6)</f>
        <v>0</v>
      </c>
      <c r="I44" s="7">
        <f>SUMIFS('HQ2'!$AC:$AC,'HQ2'!$A:$A, "="&amp;Report_HQ2!C44,'HQ2'!$B:$B,Report_HQ2!$I$6)</f>
        <v>0</v>
      </c>
      <c r="J44" s="7">
        <f>SUMIFS('HQ2'!$AC:$AC,'HQ2'!$A:$A, "="&amp;Report_HQ2!C44,'HQ2'!$B:$B,Report_HQ2!$J$6)</f>
        <v>841400581.8956002</v>
      </c>
      <c r="K44" s="24">
        <f t="shared" si="6"/>
        <v>7874799680.3062506</v>
      </c>
      <c r="L44" s="7">
        <f>SUMIFS('HQ2'!$AC:$AC,'HQ2'!$A:$A, "="&amp;Report_HQ2!C44,'HQ2'!$B:$B,"Total")</f>
        <v>7874799680.3062506</v>
      </c>
      <c r="M44" s="24">
        <f t="shared" si="7"/>
        <v>0</v>
      </c>
    </row>
    <row r="45" spans="1:13" x14ac:dyDescent="0.25">
      <c r="A45" s="9" t="s">
        <v>322</v>
      </c>
      <c r="B45" t="s">
        <v>180</v>
      </c>
      <c r="C45" t="s">
        <v>67</v>
      </c>
      <c r="D45" s="7">
        <f>SUMIFS('HQ2'!$AC:$AC,'HQ2'!$A:$A, "="&amp;Report_HQ2!C45,'HQ2'!$B:$B,Report_HQ2!$D$6)</f>
        <v>1440809233.9419999</v>
      </c>
      <c r="E45" s="7">
        <f>SUMIFS('HQ2'!$AC:$AC,'HQ2'!$A:$A, "="&amp;Report_HQ2!C45,'HQ2'!$B:$B,Report_HQ2!$E$6)</f>
        <v>703067200.12279999</v>
      </c>
      <c r="F45" s="7">
        <f>SUMIFS('HQ2'!$AC:$AC,'HQ2'!$A:$A, "="&amp;Report_HQ2!C45,'HQ2'!$B:$B,Report_HQ2!$F$6)</f>
        <v>5048832</v>
      </c>
      <c r="G45" s="7">
        <f>SUMIFS('HQ2'!$AC:$AC,'HQ2'!$A:$A, "="&amp;Report_HQ2!C45,'HQ2'!$B:$B,Report_HQ2!$G$6)</f>
        <v>274735973.40605003</v>
      </c>
      <c r="H45" s="7">
        <f>SUMIFS('HQ2'!$AC:$AC,'HQ2'!$A:$A, "="&amp;Report_HQ2!C45,'HQ2'!$B:$B,Report_HQ2!$H$6)</f>
        <v>37375623.500000007</v>
      </c>
      <c r="I45" s="7">
        <f>SUMIFS('HQ2'!$AC:$AC,'HQ2'!$A:$A, "="&amp;Report_HQ2!C45,'HQ2'!$B:$B,Report_HQ2!$I$6)</f>
        <v>0</v>
      </c>
      <c r="J45" s="7">
        <f>SUMIFS('HQ2'!$AC:$AC,'HQ2'!$A:$A, "="&amp;Report_HQ2!C45,'HQ2'!$B:$B,Report_HQ2!$J$6)</f>
        <v>948207937.37730002</v>
      </c>
      <c r="K45" s="24">
        <f t="shared" si="6"/>
        <v>3409244800.3481503</v>
      </c>
      <c r="L45" s="7">
        <f>SUMIFS('HQ2'!$AC:$AC,'HQ2'!$A:$A, "="&amp;Report_HQ2!C45,'HQ2'!$B:$B,"Total")</f>
        <v>3409244800.3481498</v>
      </c>
      <c r="M45" s="24">
        <f t="shared" si="7"/>
        <v>0</v>
      </c>
    </row>
    <row r="46" spans="1:13" x14ac:dyDescent="0.25">
      <c r="A46" s="9" t="s">
        <v>323</v>
      </c>
      <c r="B46" t="s">
        <v>181</v>
      </c>
      <c r="C46" t="s">
        <v>125</v>
      </c>
      <c r="D46" s="7">
        <f>SUMIFS('HQ2'!$AC:$AC,'HQ2'!$A:$A, "="&amp;Report_HQ2!C46,'HQ2'!$B:$B,Report_HQ2!$D$6)</f>
        <v>73877348.939799994</v>
      </c>
      <c r="E46" s="7">
        <f>SUMIFS('HQ2'!$AC:$AC,'HQ2'!$A:$A, "="&amp;Report_HQ2!C46,'HQ2'!$B:$B,Report_HQ2!$E$6)</f>
        <v>145260510.50764999</v>
      </c>
      <c r="F46" s="7">
        <f>SUMIFS('HQ2'!$AC:$AC,'HQ2'!$A:$A, "="&amp;Report_HQ2!C46,'HQ2'!$B:$B,Report_HQ2!$F$6)</f>
        <v>0</v>
      </c>
      <c r="G46" s="7">
        <f>SUMIFS('HQ2'!$AC:$AC,'HQ2'!$A:$A, "="&amp;Report_HQ2!C46,'HQ2'!$B:$B,Report_HQ2!$G$6)</f>
        <v>0</v>
      </c>
      <c r="H46" s="7">
        <f>SUMIFS('HQ2'!$AC:$AC,'HQ2'!$A:$A, "="&amp;Report_HQ2!C46,'HQ2'!$B:$B,Report_HQ2!$H$6)</f>
        <v>0</v>
      </c>
      <c r="I46" s="7">
        <f>SUMIFS('HQ2'!$AC:$AC,'HQ2'!$A:$A, "="&amp;Report_HQ2!C46,'HQ2'!$B:$B,Report_HQ2!$I$6)</f>
        <v>0</v>
      </c>
      <c r="J46" s="7">
        <f>SUMIFS('HQ2'!$AC:$AC,'HQ2'!$A:$A, "="&amp;Report_HQ2!C46,'HQ2'!$B:$B,Report_HQ2!$J$6)</f>
        <v>0</v>
      </c>
      <c r="K46" s="24">
        <f t="shared" si="6"/>
        <v>219137859.44744998</v>
      </c>
      <c r="L46" s="7">
        <f>SUMIFS('HQ2'!$AC:$AC,'HQ2'!$A:$A, "="&amp;Report_HQ2!C46,'HQ2'!$B:$B,"Total")</f>
        <v>219137859.44744998</v>
      </c>
      <c r="M46" s="24">
        <f t="shared" si="7"/>
        <v>0</v>
      </c>
    </row>
    <row r="47" spans="1:13" x14ac:dyDescent="0.25">
      <c r="A47" s="9" t="s">
        <v>324</v>
      </c>
      <c r="B47" t="s">
        <v>182</v>
      </c>
      <c r="C47" t="s">
        <v>117</v>
      </c>
      <c r="D47" s="7">
        <f>SUMIFS('HQ2'!$AC:$AC,'HQ2'!$A:$A, "="&amp;Report_HQ2!C47,'HQ2'!$B:$B,Report_HQ2!$D$6)</f>
        <v>123796785.82039998</v>
      </c>
      <c r="E47" s="7">
        <f>SUMIFS('HQ2'!$AC:$AC,'HQ2'!$A:$A, "="&amp;Report_HQ2!C47,'HQ2'!$B:$B,Report_HQ2!$E$6)</f>
        <v>-95034441.390250042</v>
      </c>
      <c r="F47" s="7">
        <f>SUMIFS('HQ2'!$AC:$AC,'HQ2'!$A:$A, "="&amp;Report_HQ2!C47,'HQ2'!$B:$B,Report_HQ2!$F$6)</f>
        <v>52314018.923999995</v>
      </c>
      <c r="G47" s="7">
        <f>SUMIFS('HQ2'!$AC:$AC,'HQ2'!$A:$A, "="&amp;Report_HQ2!C47,'HQ2'!$B:$B,Report_HQ2!$G$6)</f>
        <v>0</v>
      </c>
      <c r="H47" s="7">
        <f>SUMIFS('HQ2'!$AC:$AC,'HQ2'!$A:$A, "="&amp;Report_HQ2!C47,'HQ2'!$B:$B,Report_HQ2!$H$6)</f>
        <v>0</v>
      </c>
      <c r="I47" s="7">
        <f>SUMIFS('HQ2'!$AC:$AC,'HQ2'!$A:$A, "="&amp;Report_HQ2!C47,'HQ2'!$B:$B,Report_HQ2!$I$6)</f>
        <v>0</v>
      </c>
      <c r="J47" s="7">
        <f>SUMIFS('HQ2'!$AC:$AC,'HQ2'!$A:$A, "="&amp;Report_HQ2!C47,'HQ2'!$B:$B,Report_HQ2!$J$6)</f>
        <v>0</v>
      </c>
      <c r="K47" s="24">
        <f t="shared" si="6"/>
        <v>81076363.354149938</v>
      </c>
      <c r="L47" s="7">
        <f>SUMIFS('HQ2'!$AC:$AC,'HQ2'!$A:$A, "="&amp;Report_HQ2!C47,'HQ2'!$B:$B,"Total")</f>
        <v>81076363.354149923</v>
      </c>
      <c r="M47" s="24">
        <f t="shared" si="7"/>
        <v>0</v>
      </c>
    </row>
    <row r="48" spans="1:13" x14ac:dyDescent="0.25">
      <c r="A48" s="9" t="s">
        <v>325</v>
      </c>
      <c r="B48" t="s">
        <v>183</v>
      </c>
      <c r="C48" t="s">
        <v>121</v>
      </c>
      <c r="D48" s="7">
        <f>SUMIFS('HQ2'!$AC:$AC,'HQ2'!$A:$A, "="&amp;Report_HQ2!C48,'HQ2'!$B:$B,Report_HQ2!$D$6)</f>
        <v>308247792.53159994</v>
      </c>
      <c r="E48" s="7">
        <f>SUMIFS('HQ2'!$AC:$AC,'HQ2'!$A:$A, "="&amp;Report_HQ2!C48,'HQ2'!$B:$B,Report_HQ2!$E$6)</f>
        <v>33593891.946199998</v>
      </c>
      <c r="F48" s="7">
        <f>SUMIFS('HQ2'!$AC:$AC,'HQ2'!$A:$A, "="&amp;Report_HQ2!C48,'HQ2'!$B:$B,Report_HQ2!$F$6)</f>
        <v>1643559</v>
      </c>
      <c r="G48" s="7">
        <f>SUMIFS('HQ2'!$AC:$AC,'HQ2'!$A:$A, "="&amp;Report_HQ2!C48,'HQ2'!$B:$B,Report_HQ2!$G$6)</f>
        <v>457926.34385000006</v>
      </c>
      <c r="H48" s="7">
        <f>SUMIFS('HQ2'!$AC:$AC,'HQ2'!$A:$A, "="&amp;Report_HQ2!C48,'HQ2'!$B:$B,Report_HQ2!$H$6)</f>
        <v>0</v>
      </c>
      <c r="I48" s="7">
        <f>SUMIFS('HQ2'!$AC:$AC,'HQ2'!$A:$A, "="&amp;Report_HQ2!C48,'HQ2'!$B:$B,Report_HQ2!$I$6)</f>
        <v>15353587.047999997</v>
      </c>
      <c r="J48" s="7">
        <f>SUMIFS('HQ2'!$AC:$AC,'HQ2'!$A:$A, "="&amp;Report_HQ2!C48,'HQ2'!$B:$B,Report_HQ2!$J$6)</f>
        <v>3366715.15</v>
      </c>
      <c r="K48" s="24">
        <f t="shared" si="6"/>
        <v>362663472.01964992</v>
      </c>
      <c r="L48" s="7">
        <f>SUMIFS('HQ2'!$AC:$AC,'HQ2'!$A:$A, "="&amp;Report_HQ2!C48,'HQ2'!$B:$B,"Total")</f>
        <v>362663472.01964992</v>
      </c>
      <c r="M48" s="24">
        <f t="shared" si="7"/>
        <v>0</v>
      </c>
    </row>
    <row r="49" spans="1:13" x14ac:dyDescent="0.25">
      <c r="A49" s="9" t="s">
        <v>326</v>
      </c>
      <c r="B49" t="s">
        <v>184</v>
      </c>
      <c r="C49" t="s">
        <v>128</v>
      </c>
      <c r="D49" s="7">
        <f>SUMIFS('HQ2'!$AC:$AC,'HQ2'!$A:$A, "="&amp;Report_HQ2!C49,'HQ2'!$B:$B,Report_HQ2!$D$6)</f>
        <v>34496946.382799998</v>
      </c>
      <c r="E49" s="7">
        <f>SUMIFS('HQ2'!$AC:$AC,'HQ2'!$A:$A, "="&amp;Report_HQ2!C49,'HQ2'!$B:$B,Report_HQ2!$E$6)</f>
        <v>-132811257.56684989</v>
      </c>
      <c r="F49" s="7">
        <f>SUMIFS('HQ2'!$AC:$AC,'HQ2'!$A:$A, "="&amp;Report_HQ2!C49,'HQ2'!$B:$B,Report_HQ2!$F$6)</f>
        <v>0</v>
      </c>
      <c r="G49" s="7">
        <f>SUMIFS('HQ2'!$AC:$AC,'HQ2'!$A:$A, "="&amp;Report_HQ2!C49,'HQ2'!$B:$B,Report_HQ2!$G$6)</f>
        <v>0</v>
      </c>
      <c r="H49" s="7">
        <f>SUMIFS('HQ2'!$AC:$AC,'HQ2'!$A:$A, "="&amp;Report_HQ2!C49,'HQ2'!$B:$B,Report_HQ2!$H$6)</f>
        <v>0</v>
      </c>
      <c r="I49" s="7">
        <f>SUMIFS('HQ2'!$AC:$AC,'HQ2'!$A:$A, "="&amp;Report_HQ2!C49,'HQ2'!$B:$B,Report_HQ2!$I$6)</f>
        <v>0</v>
      </c>
      <c r="J49" s="7">
        <f>SUMIFS('HQ2'!$AC:$AC,'HQ2'!$A:$A, "="&amp;Report_HQ2!C49,'HQ2'!$B:$B,Report_HQ2!$J$6)</f>
        <v>0</v>
      </c>
      <c r="K49" s="24">
        <f t="shared" si="6"/>
        <v>-98314311.184049889</v>
      </c>
      <c r="L49" s="7">
        <f>SUMIFS('HQ2'!$AC:$AC,'HQ2'!$A:$A, "="&amp;Report_HQ2!C49,'HQ2'!$B:$B,"Total")</f>
        <v>-98314311.184049889</v>
      </c>
      <c r="M49" s="24">
        <f t="shared" si="7"/>
        <v>0</v>
      </c>
    </row>
    <row r="50" spans="1:13" x14ac:dyDescent="0.25">
      <c r="A50" s="9" t="s">
        <v>327</v>
      </c>
      <c r="B50" t="s">
        <v>185</v>
      </c>
      <c r="C50" t="s">
        <v>110</v>
      </c>
      <c r="D50" s="7">
        <f>SUMIFS('HQ2'!$AC:$AC,'HQ2'!$A:$A, "="&amp;Report_HQ2!C50,'HQ2'!$B:$B,Report_HQ2!$D$6)</f>
        <v>295181912.42139983</v>
      </c>
      <c r="E50" s="7">
        <f>SUMIFS('HQ2'!$AC:$AC,'HQ2'!$A:$A, "="&amp;Report_HQ2!C50,'HQ2'!$B:$B,Report_HQ2!$E$6)</f>
        <v>318468918.46399999</v>
      </c>
      <c r="F50" s="7">
        <f>SUMIFS('HQ2'!$AC:$AC,'HQ2'!$A:$A, "="&amp;Report_HQ2!C50,'HQ2'!$B:$B,Report_HQ2!$F$6)</f>
        <v>38124237.760000005</v>
      </c>
      <c r="G50" s="7">
        <f>SUMIFS('HQ2'!$AC:$AC,'HQ2'!$A:$A, "="&amp;Report_HQ2!C50,'HQ2'!$B:$B,Report_HQ2!$G$6)</f>
        <v>-14068434.930549994</v>
      </c>
      <c r="H50" s="7">
        <f>SUMIFS('HQ2'!$AC:$AC,'HQ2'!$A:$A, "="&amp;Report_HQ2!C50,'HQ2'!$B:$B,Report_HQ2!$H$6)</f>
        <v>0</v>
      </c>
      <c r="I50" s="7">
        <f>SUMIFS('HQ2'!$AC:$AC,'HQ2'!$A:$A, "="&amp;Report_HQ2!C50,'HQ2'!$B:$B,Report_HQ2!$I$6)</f>
        <v>0</v>
      </c>
      <c r="J50" s="7">
        <f>SUMIFS('HQ2'!$AC:$AC,'HQ2'!$A:$A, "="&amp;Report_HQ2!C50,'HQ2'!$B:$B,Report_HQ2!$J$6)</f>
        <v>0</v>
      </c>
      <c r="K50" s="24">
        <f t="shared" si="6"/>
        <v>637706633.71484983</v>
      </c>
      <c r="L50" s="7">
        <f>SUMIFS('HQ2'!$AC:$AC,'HQ2'!$A:$A, "="&amp;Report_HQ2!C50,'HQ2'!$B:$B,"Total")</f>
        <v>637706633.71484983</v>
      </c>
      <c r="M50" s="24">
        <f t="shared" si="7"/>
        <v>0</v>
      </c>
    </row>
    <row r="51" spans="1:13" x14ac:dyDescent="0.25">
      <c r="A51" s="9" t="s">
        <v>328</v>
      </c>
      <c r="B51" t="s">
        <v>186</v>
      </c>
      <c r="C51" t="s">
        <v>77</v>
      </c>
      <c r="D51" s="7">
        <f>SUMIFS('HQ2'!$AC:$AC,'HQ2'!$A:$A, "="&amp;Report_HQ2!C51,'HQ2'!$B:$B,Report_HQ2!$D$6)</f>
        <v>1907438694.9072001</v>
      </c>
      <c r="E51" s="7">
        <f>SUMIFS('HQ2'!$AC:$AC,'HQ2'!$A:$A, "="&amp;Report_HQ2!C51,'HQ2'!$B:$B,Report_HQ2!$E$6)</f>
        <v>128289249.16745</v>
      </c>
      <c r="F51" s="7">
        <f>SUMIFS('HQ2'!$AC:$AC,'HQ2'!$A:$A, "="&amp;Report_HQ2!C51,'HQ2'!$B:$B,Report_HQ2!$F$6)</f>
        <v>13243642.675999997</v>
      </c>
      <c r="G51" s="7">
        <f>SUMIFS('HQ2'!$AC:$AC,'HQ2'!$A:$A, "="&amp;Report_HQ2!C51,'HQ2'!$B:$B,Report_HQ2!$G$6)</f>
        <v>310870882.62905008</v>
      </c>
      <c r="H51" s="7">
        <f>SUMIFS('HQ2'!$AC:$AC,'HQ2'!$A:$A, "="&amp;Report_HQ2!C51,'HQ2'!$B:$B,Report_HQ2!$H$6)</f>
        <v>0</v>
      </c>
      <c r="I51" s="7">
        <f>SUMIFS('HQ2'!$AC:$AC,'HQ2'!$A:$A, "="&amp;Report_HQ2!C51,'HQ2'!$B:$B,Report_HQ2!$I$6)</f>
        <v>0</v>
      </c>
      <c r="J51" s="7">
        <f>SUMIFS('HQ2'!$AC:$AC,'HQ2'!$A:$A, "="&amp;Report_HQ2!C51,'HQ2'!$B:$B,Report_HQ2!$J$6)</f>
        <v>-78163188.86120002</v>
      </c>
      <c r="K51" s="24">
        <f t="shared" si="6"/>
        <v>2281679280.5185003</v>
      </c>
      <c r="L51" s="7">
        <f>SUMIFS('HQ2'!$AC:$AC,'HQ2'!$A:$A, "="&amp;Report_HQ2!C51,'HQ2'!$B:$B,"Total")</f>
        <v>2281679280.5185003</v>
      </c>
      <c r="M51" s="24">
        <f t="shared" si="7"/>
        <v>0</v>
      </c>
    </row>
    <row r="52" spans="1:13" x14ac:dyDescent="0.25">
      <c r="A52" s="9" t="s">
        <v>329</v>
      </c>
      <c r="B52" t="s">
        <v>187</v>
      </c>
      <c r="C52" t="s">
        <v>68</v>
      </c>
      <c r="D52" s="7">
        <f>SUMIFS('HQ2'!$AC:$AC,'HQ2'!$A:$A, "="&amp;Report_HQ2!C52,'HQ2'!$B:$B,Report_HQ2!$D$6)</f>
        <v>592225809.25599992</v>
      </c>
      <c r="E52" s="7">
        <f>SUMIFS('HQ2'!$AC:$AC,'HQ2'!$A:$A, "="&amp;Report_HQ2!C52,'HQ2'!$B:$B,Report_HQ2!$E$6)</f>
        <v>22653077.439999998</v>
      </c>
      <c r="F52" s="7">
        <f>SUMIFS('HQ2'!$AC:$AC,'HQ2'!$A:$A, "="&amp;Report_HQ2!C52,'HQ2'!$B:$B,Report_HQ2!$F$6)</f>
        <v>6641239.4759999989</v>
      </c>
      <c r="G52" s="7">
        <f>SUMIFS('HQ2'!$AC:$AC,'HQ2'!$A:$A, "="&amp;Report_HQ2!C52,'HQ2'!$B:$B,Report_HQ2!$G$6)</f>
        <v>3423343804.3302016</v>
      </c>
      <c r="H52" s="7">
        <f>SUMIFS('HQ2'!$AC:$AC,'HQ2'!$A:$A, "="&amp;Report_HQ2!C52,'HQ2'!$B:$B,Report_HQ2!$H$6)</f>
        <v>0</v>
      </c>
      <c r="I52" s="7">
        <f>SUMIFS('HQ2'!$AC:$AC,'HQ2'!$A:$A, "="&amp;Report_HQ2!C52,'HQ2'!$B:$B,Report_HQ2!$I$6)</f>
        <v>0</v>
      </c>
      <c r="J52" s="7">
        <f>SUMIFS('HQ2'!$AC:$AC,'HQ2'!$A:$A, "="&amp;Report_HQ2!C52,'HQ2'!$B:$B,Report_HQ2!$J$6)</f>
        <v>0</v>
      </c>
      <c r="K52" s="24">
        <f t="shared" si="6"/>
        <v>4044863930.5022016</v>
      </c>
      <c r="L52" s="7">
        <f>SUMIFS('HQ2'!$AC:$AC,'HQ2'!$A:$A, "="&amp;Report_HQ2!C52,'HQ2'!$B:$B,"Total")</f>
        <v>4044863930.5022016</v>
      </c>
      <c r="M52" s="24">
        <f t="shared" si="7"/>
        <v>0</v>
      </c>
    </row>
    <row r="53" spans="1:13" x14ac:dyDescent="0.25">
      <c r="A53" s="9" t="s">
        <v>330</v>
      </c>
      <c r="B53" t="s">
        <v>188</v>
      </c>
      <c r="C53" t="s">
        <v>84</v>
      </c>
      <c r="D53" s="7">
        <f>SUMIFS('HQ2'!$AC:$AC,'HQ2'!$A:$A, "="&amp;Report_HQ2!C53,'HQ2'!$B:$B,Report_HQ2!$D$6)</f>
        <v>275726171.88319981</v>
      </c>
      <c r="E53" s="7">
        <f>SUMIFS('HQ2'!$AC:$AC,'HQ2'!$A:$A, "="&amp;Report_HQ2!C53,'HQ2'!$B:$B,Report_HQ2!$E$6)</f>
        <v>-487935081.54345</v>
      </c>
      <c r="F53" s="7">
        <f>SUMIFS('HQ2'!$AC:$AC,'HQ2'!$A:$A, "="&amp;Report_HQ2!C53,'HQ2'!$B:$B,Report_HQ2!$F$6)</f>
        <v>180826795.48000002</v>
      </c>
      <c r="G53" s="7">
        <f>SUMIFS('HQ2'!$AC:$AC,'HQ2'!$A:$A, "="&amp;Report_HQ2!C53,'HQ2'!$B:$B,Report_HQ2!$G$6)</f>
        <v>520641266.46949995</v>
      </c>
      <c r="H53" s="7">
        <f>SUMIFS('HQ2'!$AC:$AC,'HQ2'!$A:$A, "="&amp;Report_HQ2!C53,'HQ2'!$B:$B,Report_HQ2!$H$6)</f>
        <v>-2817354112.5664997</v>
      </c>
      <c r="I53" s="7">
        <f>SUMIFS('HQ2'!$AC:$AC,'HQ2'!$A:$A, "="&amp;Report_HQ2!C53,'HQ2'!$B:$B,Report_HQ2!$I$6)</f>
        <v>367996444.18299997</v>
      </c>
      <c r="J53" s="7">
        <f>SUMIFS('HQ2'!$AC:$AC,'HQ2'!$A:$A, "="&amp;Report_HQ2!C53,'HQ2'!$B:$B,Report_HQ2!$J$6)</f>
        <v>-5492934</v>
      </c>
      <c r="K53" s="24">
        <f t="shared" si="6"/>
        <v>-1965591450.0942497</v>
      </c>
      <c r="L53" s="7">
        <f>SUMIFS('HQ2'!$AC:$AC,'HQ2'!$A:$A, "="&amp;Report_HQ2!C53,'HQ2'!$B:$B,"Total")</f>
        <v>-1965591450.09425</v>
      </c>
      <c r="M53" s="24">
        <f t="shared" si="7"/>
        <v>0</v>
      </c>
    </row>
    <row r="54" spans="1:13" x14ac:dyDescent="0.25">
      <c r="A54" s="9" t="s">
        <v>331</v>
      </c>
      <c r="B54" t="s">
        <v>189</v>
      </c>
      <c r="C54" t="s">
        <v>52</v>
      </c>
      <c r="D54" s="7">
        <f>SUMIFS('HQ2'!$AC:$AC,'HQ2'!$A:$A, "="&amp;Report_HQ2!C54,'HQ2'!$B:$B,Report_HQ2!$D$6)</f>
        <v>4712480588.9394016</v>
      </c>
      <c r="E54" s="7">
        <f>SUMIFS('HQ2'!$AC:$AC,'HQ2'!$A:$A, "="&amp;Report_HQ2!C54,'HQ2'!$B:$B,Report_HQ2!$E$6)</f>
        <v>421445892.46929997</v>
      </c>
      <c r="F54" s="7">
        <f>SUMIFS('HQ2'!$AC:$AC,'HQ2'!$A:$A, "="&amp;Report_HQ2!C54,'HQ2'!$B:$B,Report_HQ2!$F$6)</f>
        <v>185494357.00600004</v>
      </c>
      <c r="G54" s="7">
        <f>SUMIFS('HQ2'!$AC:$AC,'HQ2'!$A:$A, "="&amp;Report_HQ2!C54,'HQ2'!$B:$B,Report_HQ2!$G$6)</f>
        <v>3430987527.6993999</v>
      </c>
      <c r="H54" s="7">
        <f>SUMIFS('HQ2'!$AC:$AC,'HQ2'!$A:$A, "="&amp;Report_HQ2!C54,'HQ2'!$B:$B,Report_HQ2!$H$6)</f>
        <v>0</v>
      </c>
      <c r="I54" s="7">
        <f>SUMIFS('HQ2'!$AC:$AC,'HQ2'!$A:$A, "="&amp;Report_HQ2!C54,'HQ2'!$B:$B,Report_HQ2!$I$6)</f>
        <v>0</v>
      </c>
      <c r="J54" s="7">
        <f>SUMIFS('HQ2'!$AC:$AC,'HQ2'!$A:$A, "="&amp;Report_HQ2!C54,'HQ2'!$B:$B,Report_HQ2!$J$6)</f>
        <v>19777026.5</v>
      </c>
      <c r="K54" s="24">
        <f t="shared" si="6"/>
        <v>8770185392.6141014</v>
      </c>
      <c r="L54" s="7">
        <f>SUMIFS('HQ2'!$AC:$AC,'HQ2'!$A:$A, "="&amp;Report_HQ2!C54,'HQ2'!$B:$B,"Total")</f>
        <v>8770185392.6141014</v>
      </c>
      <c r="M54" s="24">
        <f t="shared" si="7"/>
        <v>0</v>
      </c>
    </row>
    <row r="55" spans="1:13" x14ac:dyDescent="0.25">
      <c r="A55" s="9" t="s">
        <v>332</v>
      </c>
      <c r="B55" t="s">
        <v>190</v>
      </c>
      <c r="C55" t="s">
        <v>93</v>
      </c>
      <c r="D55" s="7">
        <f>SUMIFS('HQ2'!$AC:$AC,'HQ2'!$A:$A, "="&amp;Report_HQ2!C55,'HQ2'!$B:$B,Report_HQ2!$D$6)</f>
        <v>457168107.69679993</v>
      </c>
      <c r="E55" s="7">
        <f>SUMIFS('HQ2'!$AC:$AC,'HQ2'!$A:$A, "="&amp;Report_HQ2!C55,'HQ2'!$B:$B,Report_HQ2!$E$6)</f>
        <v>278610305.30500001</v>
      </c>
      <c r="F55" s="7">
        <f>SUMIFS('HQ2'!$AC:$AC,'HQ2'!$A:$A, "="&amp;Report_HQ2!C55,'HQ2'!$B:$B,Report_HQ2!$F$6)</f>
        <v>4013100</v>
      </c>
      <c r="G55" s="7">
        <f>SUMIFS('HQ2'!$AC:$AC,'HQ2'!$A:$A, "="&amp;Report_HQ2!C55,'HQ2'!$B:$B,Report_HQ2!$G$6)</f>
        <v>0</v>
      </c>
      <c r="H55" s="7">
        <f>SUMIFS('HQ2'!$AC:$AC,'HQ2'!$A:$A, "="&amp;Report_HQ2!C55,'HQ2'!$B:$B,Report_HQ2!$H$6)</f>
        <v>185287425.05849999</v>
      </c>
      <c r="I55" s="7">
        <f>SUMIFS('HQ2'!$AC:$AC,'HQ2'!$A:$A, "="&amp;Report_HQ2!C55,'HQ2'!$B:$B,Report_HQ2!$I$6)</f>
        <v>355388504.11899996</v>
      </c>
      <c r="J55" s="7">
        <f>SUMIFS('HQ2'!$AC:$AC,'HQ2'!$A:$A, "="&amp;Report_HQ2!C55,'HQ2'!$B:$B,Report_HQ2!$J$6)</f>
        <v>-254453270.87200001</v>
      </c>
      <c r="K55" s="24">
        <f t="shared" si="6"/>
        <v>1026014171.3072999</v>
      </c>
      <c r="L55" s="7">
        <f>SUMIFS('HQ2'!$AC:$AC,'HQ2'!$A:$A, "="&amp;Report_HQ2!C55,'HQ2'!$B:$B,"Total")</f>
        <v>1026014171.3073001</v>
      </c>
      <c r="M55" s="24">
        <f t="shared" si="7"/>
        <v>0</v>
      </c>
    </row>
    <row r="56" spans="1:13" x14ac:dyDescent="0.25">
      <c r="A56" s="9" t="s">
        <v>333</v>
      </c>
      <c r="B56" t="s">
        <v>191</v>
      </c>
      <c r="C56" t="s">
        <v>70</v>
      </c>
      <c r="D56" s="7">
        <f>SUMIFS('HQ2'!$AC:$AC,'HQ2'!$A:$A, "="&amp;Report_HQ2!C56,'HQ2'!$B:$B,Report_HQ2!$D$6)</f>
        <v>405359126.55259961</v>
      </c>
      <c r="E56" s="7">
        <f>SUMIFS('HQ2'!$AC:$AC,'HQ2'!$A:$A, "="&amp;Report_HQ2!C56,'HQ2'!$B:$B,Report_HQ2!$E$6)</f>
        <v>-556953323.55285048</v>
      </c>
      <c r="F56" s="7">
        <f>SUMIFS('HQ2'!$AC:$AC,'HQ2'!$A:$A, "="&amp;Report_HQ2!C56,'HQ2'!$B:$B,Report_HQ2!$F$6)</f>
        <v>220758871</v>
      </c>
      <c r="G56" s="7">
        <f>SUMIFS('HQ2'!$AC:$AC,'HQ2'!$A:$A, "="&amp;Report_HQ2!C56,'HQ2'!$B:$B,Report_HQ2!$G$6)</f>
        <v>14526672.784899998</v>
      </c>
      <c r="H56" s="7">
        <f>SUMIFS('HQ2'!$AC:$AC,'HQ2'!$A:$A, "="&amp;Report_HQ2!C56,'HQ2'!$B:$B,Report_HQ2!$H$6)</f>
        <v>634095187.8635</v>
      </c>
      <c r="I56" s="7">
        <f>SUMIFS('HQ2'!$AC:$AC,'HQ2'!$A:$A, "="&amp;Report_HQ2!C56,'HQ2'!$B:$B,Report_HQ2!$I$6)</f>
        <v>-1528498702.342</v>
      </c>
      <c r="J56" s="7">
        <f>SUMIFS('HQ2'!$AC:$AC,'HQ2'!$A:$A, "="&amp;Report_HQ2!C56,'HQ2'!$B:$B,Report_HQ2!$J$6)</f>
        <v>16337478.300000001</v>
      </c>
      <c r="K56" s="24">
        <f t="shared" si="6"/>
        <v>-794374689.39385092</v>
      </c>
      <c r="L56" s="7">
        <f>SUMIFS('HQ2'!$AC:$AC,'HQ2'!$A:$A, "="&amp;Report_HQ2!C56,'HQ2'!$B:$B,"Total")</f>
        <v>-794374689.39385092</v>
      </c>
      <c r="M56" s="24">
        <f t="shared" si="7"/>
        <v>0</v>
      </c>
    </row>
    <row r="57" spans="1:13" x14ac:dyDescent="0.25">
      <c r="A57" s="9" t="s">
        <v>334</v>
      </c>
      <c r="B57" t="s">
        <v>192</v>
      </c>
      <c r="C57" t="s">
        <v>94</v>
      </c>
      <c r="D57" s="7">
        <f>SUMIFS('HQ2'!$AC:$AC,'HQ2'!$A:$A, "="&amp;Report_HQ2!C57,'HQ2'!$B:$B,Report_HQ2!$D$6)</f>
        <v>-200056726.66520002</v>
      </c>
      <c r="E57" s="7">
        <f>SUMIFS('HQ2'!$AC:$AC,'HQ2'!$A:$A, "="&amp;Report_HQ2!C57,'HQ2'!$B:$B,Report_HQ2!$E$6)</f>
        <v>-171875383.22300002</v>
      </c>
      <c r="F57" s="7">
        <f>SUMIFS('HQ2'!$AC:$AC,'HQ2'!$A:$A, "="&amp;Report_HQ2!C57,'HQ2'!$B:$B,Report_HQ2!$F$6)</f>
        <v>1090909.0799999998</v>
      </c>
      <c r="G57" s="7">
        <f>SUMIFS('HQ2'!$AC:$AC,'HQ2'!$A:$A, "="&amp;Report_HQ2!C57,'HQ2'!$B:$B,Report_HQ2!$G$6)</f>
        <v>509309272.78960013</v>
      </c>
      <c r="H57" s="7">
        <f>SUMIFS('HQ2'!$AC:$AC,'HQ2'!$A:$A, "="&amp;Report_HQ2!C57,'HQ2'!$B:$B,Report_HQ2!$H$6)</f>
        <v>102746103.12000003</v>
      </c>
      <c r="I57" s="7">
        <f>SUMIFS('HQ2'!$AC:$AC,'HQ2'!$A:$A, "="&amp;Report_HQ2!C57,'HQ2'!$B:$B,Report_HQ2!$I$6)</f>
        <v>0</v>
      </c>
      <c r="J57" s="7">
        <f>SUMIFS('HQ2'!$AC:$AC,'HQ2'!$A:$A, "="&amp;Report_HQ2!C57,'HQ2'!$B:$B,Report_HQ2!$J$6)</f>
        <v>258930432.88255003</v>
      </c>
      <c r="K57" s="24">
        <f t="shared" si="6"/>
        <v>500144607.98395014</v>
      </c>
      <c r="L57" s="7">
        <f>SUMIFS('HQ2'!$AC:$AC,'HQ2'!$A:$A, "="&amp;Report_HQ2!C57,'HQ2'!$B:$B,"Total")</f>
        <v>500144607.98395014</v>
      </c>
      <c r="M57" s="24">
        <f t="shared" si="7"/>
        <v>0</v>
      </c>
    </row>
    <row r="58" spans="1:13" x14ac:dyDescent="0.25">
      <c r="A58" s="9" t="s">
        <v>335</v>
      </c>
      <c r="B58" t="s">
        <v>193</v>
      </c>
      <c r="C58" t="s">
        <v>89</v>
      </c>
      <c r="D58" s="7">
        <f>SUMIFS('HQ2'!$AC:$AC,'HQ2'!$A:$A, "="&amp;Report_HQ2!C58,'HQ2'!$B:$B,Report_HQ2!$D$6)</f>
        <v>36681602.696399979</v>
      </c>
      <c r="E58" s="7">
        <f>SUMIFS('HQ2'!$AC:$AC,'HQ2'!$A:$A, "="&amp;Report_HQ2!C58,'HQ2'!$B:$B,Report_HQ2!$E$6)</f>
        <v>65684189.637500003</v>
      </c>
      <c r="F58" s="7">
        <f>SUMIFS('HQ2'!$AC:$AC,'HQ2'!$A:$A, "="&amp;Report_HQ2!C58,'HQ2'!$B:$B,Report_HQ2!$F$6)</f>
        <v>0</v>
      </c>
      <c r="G58" s="7">
        <f>SUMIFS('HQ2'!$AC:$AC,'HQ2'!$A:$A, "="&amp;Report_HQ2!C58,'HQ2'!$B:$B,Report_HQ2!$G$6)</f>
        <v>30565.920000000002</v>
      </c>
      <c r="H58" s="7">
        <f>SUMIFS('HQ2'!$AC:$AC,'HQ2'!$A:$A, "="&amp;Report_HQ2!C58,'HQ2'!$B:$B,Report_HQ2!$H$6)</f>
        <v>0</v>
      </c>
      <c r="I58" s="7">
        <f>SUMIFS('HQ2'!$AC:$AC,'HQ2'!$A:$A, "="&amp;Report_HQ2!C58,'HQ2'!$B:$B,Report_HQ2!$I$6)</f>
        <v>0</v>
      </c>
      <c r="J58" s="7">
        <f>SUMIFS('HQ2'!$AC:$AC,'HQ2'!$A:$A, "="&amp;Report_HQ2!C58,'HQ2'!$B:$B,Report_HQ2!$J$6)</f>
        <v>-509920645.35724986</v>
      </c>
      <c r="K58" s="24">
        <f t="shared" si="6"/>
        <v>-407524287.10334986</v>
      </c>
      <c r="L58" s="7">
        <f>SUMIFS('HQ2'!$AC:$AC,'HQ2'!$A:$A, "="&amp;Report_HQ2!C58,'HQ2'!$B:$B,"Total")</f>
        <v>-407524287.10334986</v>
      </c>
      <c r="M58" s="24">
        <f t="shared" si="7"/>
        <v>0</v>
      </c>
    </row>
    <row r="59" spans="1:13" x14ac:dyDescent="0.25">
      <c r="A59" s="36" t="s">
        <v>336</v>
      </c>
      <c r="B59" s="30" t="s">
        <v>194</v>
      </c>
      <c r="C59" s="30" t="s">
        <v>63</v>
      </c>
      <c r="D59" s="7">
        <f>SUMIFS('HQ2'!$AC:$AC,'HQ2'!$A:$A, "="&amp;Report_HQ2!C59,'HQ2'!$B:$B,Report_HQ2!$D$6)</f>
        <v>2456349848.5886006</v>
      </c>
      <c r="E59" s="7">
        <f>SUMIFS('HQ2'!$AC:$AC,'HQ2'!$A:$A, "="&amp;Report_HQ2!C59,'HQ2'!$B:$B,Report_HQ2!$E$6)</f>
        <v>300458923.21735001</v>
      </c>
      <c r="F59" s="7">
        <f>SUMIFS('HQ2'!$AC:$AC,'HQ2'!$A:$A, "="&amp;Report_HQ2!C59,'HQ2'!$B:$B,Report_HQ2!$F$6)</f>
        <v>98645341.298000008</v>
      </c>
      <c r="G59" s="7">
        <f>SUMIFS('HQ2'!$AC:$AC,'HQ2'!$A:$A, "="&amp;Report_HQ2!C59,'HQ2'!$B:$B,Report_HQ2!$G$6)</f>
        <v>408787058.43045002</v>
      </c>
      <c r="H59" s="7">
        <f>SUMIFS('HQ2'!$AC:$AC,'HQ2'!$A:$A, "="&amp;Report_HQ2!C59,'HQ2'!$B:$B,Report_HQ2!$H$6)</f>
        <v>-397806174.20499992</v>
      </c>
      <c r="I59" s="7">
        <f>SUMIFS('HQ2'!$AC:$AC,'HQ2'!$A:$A, "="&amp;Report_HQ2!C59,'HQ2'!$B:$B,Report_HQ2!$I$6)</f>
        <v>2317953176.7665</v>
      </c>
      <c r="J59" s="7">
        <f>SUMIFS('HQ2'!$AC:$AC,'HQ2'!$A:$A, "="&amp;Report_HQ2!C59,'HQ2'!$B:$B,Report_HQ2!$J$6)</f>
        <v>-240419833.49000001</v>
      </c>
      <c r="K59" s="24">
        <f t="shared" si="6"/>
        <v>4943968340.6059008</v>
      </c>
      <c r="L59" s="7">
        <f>SUMIFS('HQ2'!$AC:$AC,'HQ2'!$A:$A, "="&amp;Report_HQ2!C59,'HQ2'!$B:$B,"Total")</f>
        <v>4943968340.6059017</v>
      </c>
      <c r="M59" s="24">
        <f t="shared" si="7"/>
        <v>0</v>
      </c>
    </row>
    <row r="60" spans="1:13" x14ac:dyDescent="0.25">
      <c r="A60" s="9" t="s">
        <v>337</v>
      </c>
      <c r="B60" t="s">
        <v>195</v>
      </c>
      <c r="C60" t="s">
        <v>95</v>
      </c>
      <c r="D60" s="7">
        <f>SUMIFS('HQ2'!$AC:$AC,'HQ2'!$A:$A, "="&amp;Report_HQ2!C60,'HQ2'!$B:$B,Report_HQ2!$D$6)</f>
        <v>181654714.34900001</v>
      </c>
      <c r="E60" s="7">
        <f>SUMIFS('HQ2'!$AC:$AC,'HQ2'!$A:$A, "="&amp;Report_HQ2!C60,'HQ2'!$B:$B,Report_HQ2!$E$6)</f>
        <v>369462377.06</v>
      </c>
      <c r="F60" s="7">
        <f>SUMIFS('HQ2'!$AC:$AC,'HQ2'!$A:$A, "="&amp;Report_HQ2!C60,'HQ2'!$B:$B,Report_HQ2!$F$6)</f>
        <v>3622966</v>
      </c>
      <c r="G60" s="7">
        <f>SUMIFS('HQ2'!$AC:$AC,'HQ2'!$A:$A, "="&amp;Report_HQ2!C60,'HQ2'!$B:$B,Report_HQ2!$G$6)</f>
        <v>66672979.224350013</v>
      </c>
      <c r="H60" s="7">
        <f>SUMIFS('HQ2'!$AC:$AC,'HQ2'!$A:$A, "="&amp;Report_HQ2!C60,'HQ2'!$B:$B,Report_HQ2!$H$6)</f>
        <v>0</v>
      </c>
      <c r="I60" s="7">
        <f>SUMIFS('HQ2'!$AC:$AC,'HQ2'!$A:$A, "="&amp;Report_HQ2!C60,'HQ2'!$B:$B,Report_HQ2!$I$6)</f>
        <v>0</v>
      </c>
      <c r="J60" s="7">
        <f>SUMIFS('HQ2'!$AC:$AC,'HQ2'!$A:$A, "="&amp;Report_HQ2!C60,'HQ2'!$B:$B,Report_HQ2!$J$6)</f>
        <v>64441269.602299988</v>
      </c>
      <c r="K60" s="24">
        <f t="shared" si="6"/>
        <v>685854306.23565006</v>
      </c>
      <c r="L60" s="7">
        <f>SUMIFS('HQ2'!$AC:$AC,'HQ2'!$A:$A, "="&amp;Report_HQ2!C60,'HQ2'!$B:$B,"Total")</f>
        <v>685854306.23565006</v>
      </c>
      <c r="M60" s="24">
        <f t="shared" si="7"/>
        <v>0</v>
      </c>
    </row>
    <row r="61" spans="1:13" x14ac:dyDescent="0.25">
      <c r="A61" s="9" t="s">
        <v>338</v>
      </c>
      <c r="B61" t="s">
        <v>196</v>
      </c>
      <c r="C61" t="s">
        <v>75</v>
      </c>
      <c r="D61" s="7">
        <f>SUMIFS('HQ2'!$AC:$AC,'HQ2'!$A:$A, "="&amp;Report_HQ2!C61,'HQ2'!$B:$B,Report_HQ2!$D$6)</f>
        <v>1439223377.0653999</v>
      </c>
      <c r="E61" s="7">
        <f>SUMIFS('HQ2'!$AC:$AC,'HQ2'!$A:$A, "="&amp;Report_HQ2!C61,'HQ2'!$B:$B,Report_HQ2!$E$6)</f>
        <v>292158014.35654998</v>
      </c>
      <c r="F61" s="7">
        <f>SUMIFS('HQ2'!$AC:$AC,'HQ2'!$A:$A, "="&amp;Report_HQ2!C61,'HQ2'!$B:$B,Report_HQ2!$F$6)</f>
        <v>102893860.12</v>
      </c>
      <c r="G61" s="7">
        <f>SUMIFS('HQ2'!$AC:$AC,'HQ2'!$A:$A, "="&amp;Report_HQ2!C61,'HQ2'!$B:$B,Report_HQ2!$G$6)</f>
        <v>-224461859.54044995</v>
      </c>
      <c r="H61" s="7">
        <f>SUMIFS('HQ2'!$AC:$AC,'HQ2'!$A:$A, "="&amp;Report_HQ2!C61,'HQ2'!$B:$B,Report_HQ2!$H$6)</f>
        <v>0</v>
      </c>
      <c r="I61" s="7">
        <f>SUMIFS('HQ2'!$AC:$AC,'HQ2'!$A:$A, "="&amp;Report_HQ2!C61,'HQ2'!$B:$B,Report_HQ2!$I$6)</f>
        <v>229657926.92049998</v>
      </c>
      <c r="J61" s="7">
        <f>SUMIFS('HQ2'!$AC:$AC,'HQ2'!$A:$A, "="&amp;Report_HQ2!C61,'HQ2'!$B:$B,Report_HQ2!$J$6)</f>
        <v>-294489830.39999998</v>
      </c>
      <c r="K61" s="24">
        <f t="shared" si="6"/>
        <v>1544981488.5219998</v>
      </c>
      <c r="L61" s="7">
        <f>SUMIFS('HQ2'!$AC:$AC,'HQ2'!$A:$A, "="&amp;Report_HQ2!C61,'HQ2'!$B:$B,"Total")</f>
        <v>1544981488.5219998</v>
      </c>
      <c r="M61" s="24">
        <f t="shared" si="7"/>
        <v>0</v>
      </c>
    </row>
    <row r="62" spans="1:13" x14ac:dyDescent="0.25">
      <c r="A62" s="9" t="s">
        <v>339</v>
      </c>
      <c r="B62" t="s">
        <v>197</v>
      </c>
      <c r="C62" t="s">
        <v>105</v>
      </c>
      <c r="D62" s="7">
        <f>SUMIFS('HQ2'!$AC:$AC,'HQ2'!$A:$A, "="&amp;Report_HQ2!C62,'HQ2'!$B:$B,Report_HQ2!$D$6)</f>
        <v>168491900.6813989</v>
      </c>
      <c r="E62" s="7">
        <f>SUMIFS('HQ2'!$AC:$AC,'HQ2'!$A:$A, "="&amp;Report_HQ2!C62,'HQ2'!$B:$B,Report_HQ2!$E$6)</f>
        <v>28503901.826200001</v>
      </c>
      <c r="F62" s="7">
        <f>SUMIFS('HQ2'!$AC:$AC,'HQ2'!$A:$A, "="&amp;Report_HQ2!C62,'HQ2'!$B:$B,Report_HQ2!$F$6)</f>
        <v>710445</v>
      </c>
      <c r="G62" s="7">
        <f>SUMIFS('HQ2'!$AC:$AC,'HQ2'!$A:$A, "="&amp;Report_HQ2!C62,'HQ2'!$B:$B,Report_HQ2!$G$6)</f>
        <v>50208444.725400023</v>
      </c>
      <c r="H62" s="7">
        <f>SUMIFS('HQ2'!$AC:$AC,'HQ2'!$A:$A, "="&amp;Report_HQ2!C62,'HQ2'!$B:$B,Report_HQ2!$H$6)</f>
        <v>0</v>
      </c>
      <c r="I62" s="7">
        <f>SUMIFS('HQ2'!$AC:$AC,'HQ2'!$A:$A, "="&amp;Report_HQ2!C62,'HQ2'!$B:$B,Report_HQ2!$I$6)</f>
        <v>0</v>
      </c>
      <c r="J62" s="7">
        <f>SUMIFS('HQ2'!$AC:$AC,'HQ2'!$A:$A, "="&amp;Report_HQ2!C62,'HQ2'!$B:$B,Report_HQ2!$J$6)</f>
        <v>171724784.04000002</v>
      </c>
      <c r="K62" s="24">
        <f t="shared" si="6"/>
        <v>419639476.27299893</v>
      </c>
      <c r="L62" s="7">
        <f>SUMIFS('HQ2'!$AC:$AC,'HQ2'!$A:$A, "="&amp;Report_HQ2!C62,'HQ2'!$B:$B,"Total")</f>
        <v>419639476.27299893</v>
      </c>
      <c r="M62" s="24">
        <f t="shared" si="7"/>
        <v>0</v>
      </c>
    </row>
    <row r="63" spans="1:13" x14ac:dyDescent="0.25">
      <c r="A63" s="9" t="s">
        <v>340</v>
      </c>
      <c r="B63" t="s">
        <v>198</v>
      </c>
      <c r="C63" t="s">
        <v>73</v>
      </c>
      <c r="D63" s="7">
        <f>SUMIFS('HQ2'!$AC:$AC,'HQ2'!$A:$A, "="&amp;Report_HQ2!C63,'HQ2'!$B:$B,Report_HQ2!$D$6)</f>
        <v>52458726.974200003</v>
      </c>
      <c r="E63" s="7">
        <f>SUMIFS('HQ2'!$AC:$AC,'HQ2'!$A:$A, "="&amp;Report_HQ2!C63,'HQ2'!$B:$B,Report_HQ2!$E$6)</f>
        <v>-510690242.24049991</v>
      </c>
      <c r="F63" s="7">
        <f>SUMIFS('HQ2'!$AC:$AC,'HQ2'!$A:$A, "="&amp;Report_HQ2!C63,'HQ2'!$B:$B,Report_HQ2!$F$6)</f>
        <v>0</v>
      </c>
      <c r="G63" s="7">
        <f>SUMIFS('HQ2'!$AC:$AC,'HQ2'!$A:$A, "="&amp;Report_HQ2!C63,'HQ2'!$B:$B,Report_HQ2!$G$6)</f>
        <v>0</v>
      </c>
      <c r="H63" s="7">
        <f>SUMIFS('HQ2'!$AC:$AC,'HQ2'!$A:$A, "="&amp;Report_HQ2!C63,'HQ2'!$B:$B,Report_HQ2!$H$6)</f>
        <v>0</v>
      </c>
      <c r="I63" s="7">
        <f>SUMIFS('HQ2'!$AC:$AC,'HQ2'!$A:$A, "="&amp;Report_HQ2!C63,'HQ2'!$B:$B,Report_HQ2!$I$6)</f>
        <v>0</v>
      </c>
      <c r="J63" s="7">
        <f>SUMIFS('HQ2'!$AC:$AC,'HQ2'!$A:$A, "="&amp;Report_HQ2!C63,'HQ2'!$B:$B,Report_HQ2!$J$6)</f>
        <v>272262533.46320015</v>
      </c>
      <c r="K63" s="24">
        <f t="shared" si="6"/>
        <v>-185968981.80309975</v>
      </c>
      <c r="L63" s="7">
        <f>SUMIFS('HQ2'!$AC:$AC,'HQ2'!$A:$A, "="&amp;Report_HQ2!C63,'HQ2'!$B:$B,"Total")</f>
        <v>-185968981.80309975</v>
      </c>
      <c r="M63" s="24">
        <f t="shared" si="7"/>
        <v>0</v>
      </c>
    </row>
    <row r="64" spans="1:13" x14ac:dyDescent="0.25">
      <c r="A64" s="9" t="s">
        <v>341</v>
      </c>
      <c r="B64" t="s">
        <v>199</v>
      </c>
      <c r="C64" t="s">
        <v>101</v>
      </c>
      <c r="D64" s="7">
        <f>SUMIFS('HQ2'!$AC:$AC,'HQ2'!$A:$A, "="&amp;Report_HQ2!C64,'HQ2'!$B:$B,Report_HQ2!$D$6)</f>
        <v>-489007784.41399962</v>
      </c>
      <c r="E64" s="7">
        <f>SUMIFS('HQ2'!$AC:$AC,'HQ2'!$A:$A, "="&amp;Report_HQ2!C64,'HQ2'!$B:$B,Report_HQ2!$E$6)</f>
        <v>40238321.014099985</v>
      </c>
      <c r="F64" s="7">
        <f>SUMIFS('HQ2'!$AC:$AC,'HQ2'!$A:$A, "="&amp;Report_HQ2!C64,'HQ2'!$B:$B,Report_HQ2!$F$6)</f>
        <v>986658.00399999938</v>
      </c>
      <c r="G64" s="7">
        <f>SUMIFS('HQ2'!$AC:$AC,'HQ2'!$A:$A, "="&amp;Report_HQ2!C64,'HQ2'!$B:$B,Report_HQ2!$G$6)</f>
        <v>71591009.419799998</v>
      </c>
      <c r="H64" s="7">
        <f>SUMIFS('HQ2'!$AC:$AC,'HQ2'!$A:$A, "="&amp;Report_HQ2!C64,'HQ2'!$B:$B,Report_HQ2!$H$6)</f>
        <v>0</v>
      </c>
      <c r="I64" s="7">
        <f>SUMIFS('HQ2'!$AC:$AC,'HQ2'!$A:$A, "="&amp;Report_HQ2!C64,'HQ2'!$B:$B,Report_HQ2!$I$6)</f>
        <v>0</v>
      </c>
      <c r="J64" s="7">
        <f>SUMIFS('HQ2'!$AC:$AC,'HQ2'!$A:$A, "="&amp;Report_HQ2!C64,'HQ2'!$B:$B,Report_HQ2!$J$6)</f>
        <v>-702546959.09254992</v>
      </c>
      <c r="K64" s="24">
        <f t="shared" si="6"/>
        <v>-1078738755.0686495</v>
      </c>
      <c r="L64" s="7">
        <f>SUMIFS('HQ2'!$AC:$AC,'HQ2'!$A:$A, "="&amp;Report_HQ2!C64,'HQ2'!$B:$B,"Total")</f>
        <v>-1078738755.0686495</v>
      </c>
      <c r="M64" s="24">
        <f t="shared" si="7"/>
        <v>0</v>
      </c>
    </row>
    <row r="65" spans="1:13" x14ac:dyDescent="0.25">
      <c r="A65" s="9" t="s">
        <v>342</v>
      </c>
      <c r="B65" t="s">
        <v>200</v>
      </c>
      <c r="C65" t="s">
        <v>102</v>
      </c>
      <c r="D65" s="7">
        <f>SUMIFS('HQ2'!$AC:$AC,'HQ2'!$A:$A, "="&amp;Report_HQ2!C65,'HQ2'!$B:$B,Report_HQ2!$D$6)</f>
        <v>252091685.9393999</v>
      </c>
      <c r="E65" s="7">
        <f>SUMIFS('HQ2'!$AC:$AC,'HQ2'!$A:$A, "="&amp;Report_HQ2!C65,'HQ2'!$B:$B,Report_HQ2!$E$6)</f>
        <v>18901482.840000004</v>
      </c>
      <c r="F65" s="7">
        <f>SUMIFS('HQ2'!$AC:$AC,'HQ2'!$A:$A, "="&amp;Report_HQ2!C65,'HQ2'!$B:$B,Report_HQ2!$F$6)</f>
        <v>1575756.06</v>
      </c>
      <c r="G65" s="7">
        <f>SUMIFS('HQ2'!$AC:$AC,'HQ2'!$A:$A, "="&amp;Report_HQ2!C65,'HQ2'!$B:$B,Report_HQ2!$G$6)</f>
        <v>517641839.22110009</v>
      </c>
      <c r="H65" s="7">
        <f>SUMIFS('HQ2'!$AC:$AC,'HQ2'!$A:$A, "="&amp;Report_HQ2!C65,'HQ2'!$B:$B,Report_HQ2!$H$6)</f>
        <v>0</v>
      </c>
      <c r="I65" s="7">
        <f>SUMIFS('HQ2'!$AC:$AC,'HQ2'!$A:$A, "="&amp;Report_HQ2!C65,'HQ2'!$B:$B,Report_HQ2!$I$6)</f>
        <v>0</v>
      </c>
      <c r="J65" s="7">
        <f>SUMIFS('HQ2'!$AC:$AC,'HQ2'!$A:$A, "="&amp;Report_HQ2!C65,'HQ2'!$B:$B,Report_HQ2!$J$6)</f>
        <v>21791046</v>
      </c>
      <c r="K65" s="24">
        <f t="shared" si="6"/>
        <v>812001810.06049991</v>
      </c>
      <c r="L65" s="7">
        <f>SUMIFS('HQ2'!$AC:$AC,'HQ2'!$A:$A, "="&amp;Report_HQ2!C65,'HQ2'!$B:$B,"Total")</f>
        <v>812001810.06050003</v>
      </c>
      <c r="M65" s="24">
        <f t="shared" si="7"/>
        <v>0</v>
      </c>
    </row>
    <row r="66" spans="1:13" x14ac:dyDescent="0.25">
      <c r="A66" s="9" t="s">
        <v>343</v>
      </c>
      <c r="B66" t="s">
        <v>201</v>
      </c>
      <c r="C66" t="s">
        <v>69</v>
      </c>
      <c r="D66" s="7">
        <f>SUMIFS('HQ2'!$AC:$AC,'HQ2'!$A:$A, "="&amp;Report_HQ2!C66,'HQ2'!$B:$B,Report_HQ2!$D$6)</f>
        <v>484844498.9052</v>
      </c>
      <c r="E66" s="7">
        <f>SUMIFS('HQ2'!$AC:$AC,'HQ2'!$A:$A, "="&amp;Report_HQ2!C66,'HQ2'!$B:$B,Report_HQ2!$E$6)</f>
        <v>570566295.82869995</v>
      </c>
      <c r="F66" s="7">
        <f>SUMIFS('HQ2'!$AC:$AC,'HQ2'!$A:$A, "="&amp;Report_HQ2!C66,'HQ2'!$B:$B,Report_HQ2!$F$6)</f>
        <v>-12667646.82</v>
      </c>
      <c r="G66" s="7">
        <f>SUMIFS('HQ2'!$AC:$AC,'HQ2'!$A:$A, "="&amp;Report_HQ2!C66,'HQ2'!$B:$B,Report_HQ2!$G$6)</f>
        <v>-127916265.04039992</v>
      </c>
      <c r="H66" s="7">
        <f>SUMIFS('HQ2'!$AC:$AC,'HQ2'!$A:$A, "="&amp;Report_HQ2!C66,'HQ2'!$B:$B,Report_HQ2!$H$6)</f>
        <v>229485813.76939997</v>
      </c>
      <c r="I66" s="7">
        <f>SUMIFS('HQ2'!$AC:$AC,'HQ2'!$A:$A, "="&amp;Report_HQ2!C66,'HQ2'!$B:$B,Report_HQ2!$I$6)</f>
        <v>278135616.19149995</v>
      </c>
      <c r="J66" s="7">
        <f>SUMIFS('HQ2'!$AC:$AC,'HQ2'!$A:$A, "="&amp;Report_HQ2!C66,'HQ2'!$B:$B,Report_HQ2!$J$6)</f>
        <v>1210743712.0658002</v>
      </c>
      <c r="K66" s="24">
        <f t="shared" si="6"/>
        <v>2633192024.9001999</v>
      </c>
      <c r="L66" s="7">
        <f>SUMIFS('HQ2'!$AC:$AC,'HQ2'!$A:$A, "="&amp;Report_HQ2!C66,'HQ2'!$B:$B,"Total")</f>
        <v>2633192024.9001999</v>
      </c>
      <c r="M66" s="24">
        <f t="shared" si="7"/>
        <v>0</v>
      </c>
    </row>
    <row r="67" spans="1:13" x14ac:dyDescent="0.25">
      <c r="A67" s="9" t="s">
        <v>344</v>
      </c>
      <c r="B67" t="s">
        <v>202</v>
      </c>
      <c r="C67" t="s">
        <v>112</v>
      </c>
      <c r="D67" s="7">
        <f>SUMIFS('HQ2'!$AC:$AC,'HQ2'!$A:$A, "="&amp;Report_HQ2!C67,'HQ2'!$B:$B,Report_HQ2!$D$6)</f>
        <v>138875493.48199996</v>
      </c>
      <c r="E67" s="7">
        <f>SUMIFS('HQ2'!$AC:$AC,'HQ2'!$A:$A, "="&amp;Report_HQ2!C67,'HQ2'!$B:$B,Report_HQ2!$E$6)</f>
        <v>-51074394.444150008</v>
      </c>
      <c r="F67" s="7">
        <f>SUMIFS('HQ2'!$AC:$AC,'HQ2'!$A:$A, "="&amp;Report_HQ2!C67,'HQ2'!$B:$B,Report_HQ2!$F$6)</f>
        <v>444000</v>
      </c>
      <c r="G67" s="7">
        <f>SUMIFS('HQ2'!$AC:$AC,'HQ2'!$A:$A, "="&amp;Report_HQ2!C67,'HQ2'!$B:$B,Report_HQ2!$G$6)</f>
        <v>106160.88</v>
      </c>
      <c r="H67" s="7">
        <f>SUMIFS('HQ2'!$AC:$AC,'HQ2'!$A:$A, "="&amp;Report_HQ2!C67,'HQ2'!$B:$B,Report_HQ2!$H$6)</f>
        <v>152468046.72</v>
      </c>
      <c r="I67" s="7">
        <f>SUMIFS('HQ2'!$AC:$AC,'HQ2'!$A:$A, "="&amp;Report_HQ2!C67,'HQ2'!$B:$B,Report_HQ2!$I$6)</f>
        <v>-155424426.56300002</v>
      </c>
      <c r="J67" s="7">
        <f>SUMIFS('HQ2'!$AC:$AC,'HQ2'!$A:$A, "="&amp;Report_HQ2!C67,'HQ2'!$B:$B,Report_HQ2!$J$6)</f>
        <v>-403268248.07999998</v>
      </c>
      <c r="K67" s="24">
        <f t="shared" si="6"/>
        <v>-317873368.00515008</v>
      </c>
      <c r="L67" s="7">
        <f>SUMIFS('HQ2'!$AC:$AC,'HQ2'!$A:$A, "="&amp;Report_HQ2!C67,'HQ2'!$B:$B,"Total")</f>
        <v>-317873368.00515008</v>
      </c>
      <c r="M67" s="24">
        <f t="shared" si="7"/>
        <v>0</v>
      </c>
    </row>
    <row r="68" spans="1:13" x14ac:dyDescent="0.25">
      <c r="A68" s="9" t="s">
        <v>345</v>
      </c>
      <c r="B68" t="s">
        <v>203</v>
      </c>
      <c r="C68" t="s">
        <v>46</v>
      </c>
      <c r="D68" s="7">
        <f>SUMIFS('HQ2'!$AC:$AC,'HQ2'!$A:$A, "="&amp;Report_HQ2!C68,'HQ2'!$B:$B,Report_HQ2!$D$6)</f>
        <v>10660711080.087198</v>
      </c>
      <c r="E68" s="7">
        <f>SUMIFS('HQ2'!$AC:$AC,'HQ2'!$A:$A, "="&amp;Report_HQ2!C68,'HQ2'!$B:$B,Report_HQ2!$E$6)</f>
        <v>2141617443.0016496</v>
      </c>
      <c r="F68" s="7">
        <f>SUMIFS('HQ2'!$AC:$AC,'HQ2'!$A:$A, "="&amp;Report_HQ2!C68,'HQ2'!$B:$B,Report_HQ2!$F$6)</f>
        <v>2909727137.1339998</v>
      </c>
      <c r="G68" s="7">
        <f>SUMIFS('HQ2'!$AC:$AC,'HQ2'!$A:$A, "="&amp;Report_HQ2!C68,'HQ2'!$B:$B,Report_HQ2!$G$6)</f>
        <v>6559045607.8165007</v>
      </c>
      <c r="H68" s="7">
        <f>SUMIFS('HQ2'!$AC:$AC,'HQ2'!$A:$A, "="&amp;Report_HQ2!C68,'HQ2'!$B:$B,Report_HQ2!$H$6)</f>
        <v>1044125143.2696003</v>
      </c>
      <c r="I68" s="7">
        <f>SUMIFS('HQ2'!$AC:$AC,'HQ2'!$A:$A, "="&amp;Report_HQ2!C68,'HQ2'!$B:$B,Report_HQ2!$I$6)</f>
        <v>2645207103.0224996</v>
      </c>
      <c r="J68" s="7">
        <f>SUMIFS('HQ2'!$AC:$AC,'HQ2'!$A:$A, "="&amp;Report_HQ2!C68,'HQ2'!$B:$B,Report_HQ2!$J$6)</f>
        <v>-1016075993.0493</v>
      </c>
      <c r="K68" s="24">
        <f t="shared" si="6"/>
        <v>24944357521.282146</v>
      </c>
      <c r="L68" s="7">
        <f>SUMIFS('HQ2'!$AC:$AC,'HQ2'!$A:$A, "="&amp;Report_HQ2!C68,'HQ2'!$B:$B,"Total")</f>
        <v>24944357521.282146</v>
      </c>
      <c r="M68" s="24">
        <f t="shared" si="7"/>
        <v>0</v>
      </c>
    </row>
    <row r="69" spans="1:13" x14ac:dyDescent="0.25">
      <c r="A69" s="9" t="s">
        <v>346</v>
      </c>
      <c r="B69" t="s">
        <v>204</v>
      </c>
      <c r="C69" t="s">
        <v>114</v>
      </c>
      <c r="D69" s="7">
        <f>SUMIFS('HQ2'!$AC:$AC,'HQ2'!$A:$A, "="&amp;Report_HQ2!C69,'HQ2'!$B:$B,Report_HQ2!$D$6)</f>
        <v>549335661.43079996</v>
      </c>
      <c r="E69" s="7">
        <f>SUMIFS('HQ2'!$AC:$AC,'HQ2'!$A:$A, "="&amp;Report_HQ2!C69,'HQ2'!$B:$B,Report_HQ2!$E$6)</f>
        <v>79456950.644199997</v>
      </c>
      <c r="F69" s="7">
        <f>SUMIFS('HQ2'!$AC:$AC,'HQ2'!$A:$A, "="&amp;Report_HQ2!C69,'HQ2'!$B:$B,Report_HQ2!$F$6)</f>
        <v>30869737.502</v>
      </c>
      <c r="G69" s="7">
        <f>SUMIFS('HQ2'!$AC:$AC,'HQ2'!$A:$A, "="&amp;Report_HQ2!C69,'HQ2'!$B:$B,Report_HQ2!$G$6)</f>
        <v>1139360.1600000001</v>
      </c>
      <c r="H69" s="7">
        <f>SUMIFS('HQ2'!$AC:$AC,'HQ2'!$A:$A, "="&amp;Report_HQ2!C69,'HQ2'!$B:$B,Report_HQ2!$H$6)</f>
        <v>0</v>
      </c>
      <c r="I69" s="7">
        <f>SUMIFS('HQ2'!$AC:$AC,'HQ2'!$A:$A, "="&amp;Report_HQ2!C69,'HQ2'!$B:$B,Report_HQ2!$I$6)</f>
        <v>0</v>
      </c>
      <c r="J69" s="7">
        <f>SUMIFS('HQ2'!$AC:$AC,'HQ2'!$A:$A, "="&amp;Report_HQ2!C69,'HQ2'!$B:$B,Report_HQ2!$J$6)</f>
        <v>28223436.99625</v>
      </c>
      <c r="K69" s="24">
        <f t="shared" si="6"/>
        <v>689025146.7332499</v>
      </c>
      <c r="L69" s="7">
        <f>SUMIFS('HQ2'!$AC:$AC,'HQ2'!$A:$A, "="&amp;Report_HQ2!C69,'HQ2'!$B:$B,"Total")</f>
        <v>689025146.7332499</v>
      </c>
      <c r="M69" s="24">
        <f t="shared" si="7"/>
        <v>0</v>
      </c>
    </row>
    <row r="70" spans="1:13" x14ac:dyDescent="0.25">
      <c r="A70" s="9" t="s">
        <v>347</v>
      </c>
      <c r="B70" t="s">
        <v>205</v>
      </c>
      <c r="C70" t="s">
        <v>107</v>
      </c>
      <c r="D70" s="7">
        <f>SUMIFS('HQ2'!$AC:$AC,'HQ2'!$A:$A, "="&amp;Report_HQ2!C70,'HQ2'!$B:$B,Report_HQ2!$D$6)</f>
        <v>231440898.15719998</v>
      </c>
      <c r="E70" s="7">
        <f>SUMIFS('HQ2'!$AC:$AC,'HQ2'!$A:$A, "="&amp;Report_HQ2!C70,'HQ2'!$B:$B,Report_HQ2!$E$6)</f>
        <v>180428110.34025005</v>
      </c>
      <c r="F70" s="7">
        <f>SUMIFS('HQ2'!$AC:$AC,'HQ2'!$A:$A, "="&amp;Report_HQ2!C70,'HQ2'!$B:$B,Report_HQ2!$F$6)</f>
        <v>-1201878.1400000006</v>
      </c>
      <c r="G70" s="7">
        <f>SUMIFS('HQ2'!$AC:$AC,'HQ2'!$A:$A, "="&amp;Report_HQ2!C70,'HQ2'!$B:$B,Report_HQ2!$G$6)</f>
        <v>0</v>
      </c>
      <c r="H70" s="7">
        <f>SUMIFS('HQ2'!$AC:$AC,'HQ2'!$A:$A, "="&amp;Report_HQ2!C70,'HQ2'!$B:$B,Report_HQ2!$H$6)</f>
        <v>0</v>
      </c>
      <c r="I70" s="7">
        <f>SUMIFS('HQ2'!$AC:$AC,'HQ2'!$A:$A, "="&amp;Report_HQ2!C70,'HQ2'!$B:$B,Report_HQ2!$I$6)</f>
        <v>0</v>
      </c>
      <c r="J70" s="7">
        <f>SUMIFS('HQ2'!$AC:$AC,'HQ2'!$A:$A, "="&amp;Report_HQ2!C70,'HQ2'!$B:$B,Report_HQ2!$J$6)</f>
        <v>26604373.600000001</v>
      </c>
      <c r="K70" s="24">
        <f t="shared" si="6"/>
        <v>437271503.95745003</v>
      </c>
      <c r="L70" s="7">
        <f>SUMIFS('HQ2'!$AC:$AC,'HQ2'!$A:$A, "="&amp;Report_HQ2!C70,'HQ2'!$B:$B,"Total")</f>
        <v>437271503.95745003</v>
      </c>
      <c r="M70" s="24">
        <f t="shared" si="7"/>
        <v>0</v>
      </c>
    </row>
    <row r="71" spans="1:13" x14ac:dyDescent="0.25">
      <c r="A71" s="9" t="s">
        <v>348</v>
      </c>
      <c r="B71" t="s">
        <v>206</v>
      </c>
      <c r="C71" t="s">
        <v>90</v>
      </c>
      <c r="D71" s="7">
        <f>SUMIFS('HQ2'!$AC:$AC,'HQ2'!$A:$A, "="&amp;Report_HQ2!C71,'HQ2'!$B:$B,Report_HQ2!$D$6)</f>
        <v>133621288.47979999</v>
      </c>
      <c r="E71" s="7">
        <f>SUMIFS('HQ2'!$AC:$AC,'HQ2'!$A:$A, "="&amp;Report_HQ2!C71,'HQ2'!$B:$B,Report_HQ2!$E$6)</f>
        <v>999635273.8464998</v>
      </c>
      <c r="F71" s="7">
        <f>SUMIFS('HQ2'!$AC:$AC,'HQ2'!$A:$A, "="&amp;Report_HQ2!C71,'HQ2'!$B:$B,Report_HQ2!$F$6)</f>
        <v>-1295641</v>
      </c>
      <c r="G71" s="7">
        <f>SUMIFS('HQ2'!$AC:$AC,'HQ2'!$A:$A, "="&amp;Report_HQ2!C71,'HQ2'!$B:$B,Report_HQ2!$G$6)</f>
        <v>3918742.606850001</v>
      </c>
      <c r="H71" s="7">
        <f>SUMIFS('HQ2'!$AC:$AC,'HQ2'!$A:$A, "="&amp;Report_HQ2!C71,'HQ2'!$B:$B,Report_HQ2!$H$6)</f>
        <v>0</v>
      </c>
      <c r="I71" s="7">
        <f>SUMIFS('HQ2'!$AC:$AC,'HQ2'!$A:$A, "="&amp;Report_HQ2!C71,'HQ2'!$B:$B,Report_HQ2!$I$6)</f>
        <v>0</v>
      </c>
      <c r="J71" s="7">
        <f>SUMIFS('HQ2'!$AC:$AC,'HQ2'!$A:$A, "="&amp;Report_HQ2!C71,'HQ2'!$B:$B,Report_HQ2!$J$6)</f>
        <v>0</v>
      </c>
      <c r="K71" s="24">
        <f t="shared" si="6"/>
        <v>1135879663.9331496</v>
      </c>
      <c r="L71" s="7">
        <f>SUMIFS('HQ2'!$AC:$AC,'HQ2'!$A:$A, "="&amp;Report_HQ2!C71,'HQ2'!$B:$B,"Total")</f>
        <v>1135879663.9331496</v>
      </c>
      <c r="M71" s="24">
        <f t="shared" si="7"/>
        <v>0</v>
      </c>
    </row>
    <row r="72" spans="1:13" x14ac:dyDescent="0.25">
      <c r="A72" s="9" t="s">
        <v>349</v>
      </c>
      <c r="B72" t="s">
        <v>207</v>
      </c>
      <c r="C72" t="s">
        <v>96</v>
      </c>
      <c r="D72" s="7">
        <f>SUMIFS('HQ2'!$AC:$AC,'HQ2'!$A:$A, "="&amp;Report_HQ2!C72,'HQ2'!$B:$B,Report_HQ2!$D$6)</f>
        <v>1081408928.6609998</v>
      </c>
      <c r="E72" s="7">
        <f>SUMIFS('HQ2'!$AC:$AC,'HQ2'!$A:$A, "="&amp;Report_HQ2!C72,'HQ2'!$B:$B,Report_HQ2!$E$6)</f>
        <v>58470863.893849999</v>
      </c>
      <c r="F72" s="7">
        <f>SUMIFS('HQ2'!$AC:$AC,'HQ2'!$A:$A, "="&amp;Report_HQ2!C72,'HQ2'!$B:$B,Report_HQ2!$F$6)</f>
        <v>25419708.140000001</v>
      </c>
      <c r="G72" s="7">
        <f>SUMIFS('HQ2'!$AC:$AC,'HQ2'!$A:$A, "="&amp;Report_HQ2!C72,'HQ2'!$B:$B,Report_HQ2!$G$6)</f>
        <v>33558539.470650002</v>
      </c>
      <c r="H72" s="7">
        <f>SUMIFS('HQ2'!$AC:$AC,'HQ2'!$A:$A, "="&amp;Report_HQ2!C72,'HQ2'!$B:$B,Report_HQ2!$H$6)</f>
        <v>0</v>
      </c>
      <c r="I72" s="7">
        <f>SUMIFS('HQ2'!$AC:$AC,'HQ2'!$A:$A, "="&amp;Report_HQ2!C72,'HQ2'!$B:$B,Report_HQ2!$I$6)</f>
        <v>0</v>
      </c>
      <c r="J72" s="7">
        <f>SUMIFS('HQ2'!$AC:$AC,'HQ2'!$A:$A, "="&amp;Report_HQ2!C72,'HQ2'!$B:$B,Report_HQ2!$J$6)</f>
        <v>0</v>
      </c>
      <c r="K72" s="24">
        <f t="shared" ref="K72:K95" si="8">SUM(D72:J72)</f>
        <v>1198858040.1654999</v>
      </c>
      <c r="L72" s="7">
        <f>SUMIFS('HQ2'!$AC:$AC,'HQ2'!$A:$A, "="&amp;Report_HQ2!C72,'HQ2'!$B:$B,"Total")</f>
        <v>1198858040.1654997</v>
      </c>
      <c r="M72" s="24">
        <f t="shared" ref="M72:M95" si="9">K72-L72</f>
        <v>0</v>
      </c>
    </row>
    <row r="73" spans="1:13" x14ac:dyDescent="0.25">
      <c r="A73" s="9" t="s">
        <v>350</v>
      </c>
      <c r="B73" t="s">
        <v>208</v>
      </c>
      <c r="C73" t="s">
        <v>108</v>
      </c>
      <c r="D73" s="7">
        <f>SUMIFS('HQ2'!$AC:$AC,'HQ2'!$A:$A, "="&amp;Report_HQ2!C73,'HQ2'!$B:$B,Report_HQ2!$D$6)</f>
        <v>-805265784.0424</v>
      </c>
      <c r="E73" s="7">
        <f>SUMIFS('HQ2'!$AC:$AC,'HQ2'!$A:$A, "="&amp;Report_HQ2!C73,'HQ2'!$B:$B,Report_HQ2!$E$6)</f>
        <v>130109624.06209999</v>
      </c>
      <c r="F73" s="7">
        <f>SUMIFS('HQ2'!$AC:$AC,'HQ2'!$A:$A, "="&amp;Report_HQ2!C73,'HQ2'!$B:$B,Report_HQ2!$F$6)</f>
        <v>-19427907.508000001</v>
      </c>
      <c r="G73" s="7">
        <f>SUMIFS('HQ2'!$AC:$AC,'HQ2'!$A:$A, "="&amp;Report_HQ2!C73,'HQ2'!$B:$B,Report_HQ2!$G$6)</f>
        <v>5230712.17105</v>
      </c>
      <c r="H73" s="7">
        <f>SUMIFS('HQ2'!$AC:$AC,'HQ2'!$A:$A, "="&amp;Report_HQ2!C73,'HQ2'!$B:$B,Report_HQ2!$H$6)</f>
        <v>28738341.050000004</v>
      </c>
      <c r="I73" s="7">
        <f>SUMIFS('HQ2'!$AC:$AC,'HQ2'!$A:$A, "="&amp;Report_HQ2!C73,'HQ2'!$B:$B,Report_HQ2!$I$6)</f>
        <v>-9692450</v>
      </c>
      <c r="J73" s="7">
        <f>SUMIFS('HQ2'!$AC:$AC,'HQ2'!$A:$A, "="&amp;Report_HQ2!C73,'HQ2'!$B:$B,Report_HQ2!$J$6)</f>
        <v>0</v>
      </c>
      <c r="K73" s="24">
        <f t="shared" si="8"/>
        <v>-670307464.26725006</v>
      </c>
      <c r="L73" s="7">
        <f>SUMIFS('HQ2'!$AC:$AC,'HQ2'!$A:$A, "="&amp;Report_HQ2!C73,'HQ2'!$B:$B,"Total")</f>
        <v>-670307464.26725006</v>
      </c>
      <c r="M73" s="24">
        <f t="shared" si="9"/>
        <v>0</v>
      </c>
    </row>
    <row r="74" spans="1:13" x14ac:dyDescent="0.25">
      <c r="A74" s="9" t="s">
        <v>351</v>
      </c>
      <c r="B74" t="s">
        <v>209</v>
      </c>
      <c r="C74" t="s">
        <v>98</v>
      </c>
      <c r="D74" s="7">
        <f>SUMIFS('HQ2'!$AC:$AC,'HQ2'!$A:$A, "="&amp;Report_HQ2!C74,'HQ2'!$B:$B,Report_HQ2!$D$6)</f>
        <v>-1037981644.2035993</v>
      </c>
      <c r="E74" s="7">
        <f>SUMIFS('HQ2'!$AC:$AC,'HQ2'!$A:$A, "="&amp;Report_HQ2!C74,'HQ2'!$B:$B,Report_HQ2!$E$6)</f>
        <v>-552835088.48559988</v>
      </c>
      <c r="F74" s="7">
        <f>SUMIFS('HQ2'!$AC:$AC,'HQ2'!$A:$A, "="&amp;Report_HQ2!C74,'HQ2'!$B:$B,Report_HQ2!$F$6)</f>
        <v>1234117.5579999988</v>
      </c>
      <c r="G74" s="7">
        <f>SUMIFS('HQ2'!$AC:$AC,'HQ2'!$A:$A, "="&amp;Report_HQ2!C74,'HQ2'!$B:$B,Report_HQ2!$G$6)</f>
        <v>-935583323.26534986</v>
      </c>
      <c r="H74" s="7">
        <f>SUMIFS('HQ2'!$AC:$AC,'HQ2'!$A:$A, "="&amp;Report_HQ2!C74,'HQ2'!$B:$B,Report_HQ2!$H$6)</f>
        <v>0</v>
      </c>
      <c r="I74" s="7">
        <f>SUMIFS('HQ2'!$AC:$AC,'HQ2'!$A:$A, "="&amp;Report_HQ2!C74,'HQ2'!$B:$B,Report_HQ2!$I$6)</f>
        <v>0</v>
      </c>
      <c r="J74" s="7">
        <f>SUMIFS('HQ2'!$AC:$AC,'HQ2'!$A:$A, "="&amp;Report_HQ2!C74,'HQ2'!$B:$B,Report_HQ2!$J$6)</f>
        <v>-80000000</v>
      </c>
      <c r="K74" s="24">
        <f t="shared" si="8"/>
        <v>-2605165938.3965492</v>
      </c>
      <c r="L74" s="7">
        <f>SUMIFS('HQ2'!$AC:$AC,'HQ2'!$A:$A, "="&amp;Report_HQ2!C74,'HQ2'!$B:$B,"Total")</f>
        <v>-2605165938.3965492</v>
      </c>
      <c r="M74" s="24">
        <f t="shared" si="9"/>
        <v>0</v>
      </c>
    </row>
    <row r="75" spans="1:13" x14ac:dyDescent="0.25">
      <c r="A75" s="9" t="s">
        <v>352</v>
      </c>
      <c r="B75" t="s">
        <v>210</v>
      </c>
      <c r="C75" t="s">
        <v>58</v>
      </c>
      <c r="D75" s="7">
        <f>SUMIFS('HQ2'!$AC:$AC,'HQ2'!$A:$A, "="&amp;Report_HQ2!C75,'HQ2'!$B:$B,Report_HQ2!$D$6)</f>
        <v>2274684502.8565993</v>
      </c>
      <c r="E75" s="7">
        <f>SUMIFS('HQ2'!$AC:$AC,'HQ2'!$A:$A, "="&amp;Report_HQ2!C75,'HQ2'!$B:$B,Report_HQ2!$E$6)</f>
        <v>641195019.77794993</v>
      </c>
      <c r="F75" s="7">
        <f>SUMIFS('HQ2'!$AC:$AC,'HQ2'!$A:$A, "="&amp;Report_HQ2!C75,'HQ2'!$B:$B,Report_HQ2!$F$6)</f>
        <v>140423678.132</v>
      </c>
      <c r="G75" s="7">
        <f>SUMIFS('HQ2'!$AC:$AC,'HQ2'!$A:$A, "="&amp;Report_HQ2!C75,'HQ2'!$B:$B,Report_HQ2!$G$6)</f>
        <v>361999076.79750007</v>
      </c>
      <c r="H75" s="7">
        <f>SUMIFS('HQ2'!$AC:$AC,'HQ2'!$A:$A, "="&amp;Report_HQ2!C75,'HQ2'!$B:$B,Report_HQ2!$H$6)</f>
        <v>235548999.82950005</v>
      </c>
      <c r="I75" s="7">
        <f>SUMIFS('HQ2'!$AC:$AC,'HQ2'!$A:$A, "="&amp;Report_HQ2!C75,'HQ2'!$B:$B,Report_HQ2!$I$6)</f>
        <v>168876572.53799999</v>
      </c>
      <c r="J75" s="7">
        <f>SUMIFS('HQ2'!$AC:$AC,'HQ2'!$A:$A, "="&amp;Report_HQ2!C75,'HQ2'!$B:$B,Report_HQ2!$J$6)</f>
        <v>37479263.200000003</v>
      </c>
      <c r="K75" s="24">
        <f t="shared" si="8"/>
        <v>3860207113.1315494</v>
      </c>
      <c r="L75" s="7">
        <f>SUMIFS('HQ2'!$AC:$AC,'HQ2'!$A:$A, "="&amp;Report_HQ2!C75,'HQ2'!$B:$B,"Total")</f>
        <v>3860207113.1315494</v>
      </c>
      <c r="M75" s="24">
        <f t="shared" si="9"/>
        <v>0</v>
      </c>
    </row>
    <row r="76" spans="1:13" x14ac:dyDescent="0.25">
      <c r="A76" s="9" t="s">
        <v>353</v>
      </c>
      <c r="B76" t="s">
        <v>211</v>
      </c>
      <c r="C76" t="s">
        <v>97</v>
      </c>
      <c r="D76" s="7">
        <f>SUMIFS('HQ2'!$AC:$AC,'HQ2'!$A:$A, "="&amp;Report_HQ2!C76,'HQ2'!$B:$B,Report_HQ2!$D$6)</f>
        <v>281256246.49799997</v>
      </c>
      <c r="E76" s="7">
        <f>SUMIFS('HQ2'!$AC:$AC,'HQ2'!$A:$A, "="&amp;Report_HQ2!C76,'HQ2'!$B:$B,Report_HQ2!$E$6)</f>
        <v>258433341.82824999</v>
      </c>
      <c r="F76" s="7">
        <f>SUMIFS('HQ2'!$AC:$AC,'HQ2'!$A:$A, "="&amp;Report_HQ2!C76,'HQ2'!$B:$B,Report_HQ2!$F$6)</f>
        <v>5925685</v>
      </c>
      <c r="G76" s="7">
        <f>SUMIFS('HQ2'!$AC:$AC,'HQ2'!$A:$A, "="&amp;Report_HQ2!C76,'HQ2'!$B:$B,Report_HQ2!$G$6)</f>
        <v>281819.36000000004</v>
      </c>
      <c r="H76" s="7">
        <f>SUMIFS('HQ2'!$AC:$AC,'HQ2'!$A:$A, "="&amp;Report_HQ2!C76,'HQ2'!$B:$B,Report_HQ2!$H$6)</f>
        <v>125452257.11650002</v>
      </c>
      <c r="I76" s="7">
        <f>SUMIFS('HQ2'!$AC:$AC,'HQ2'!$A:$A, "="&amp;Report_HQ2!C76,'HQ2'!$B:$B,Report_HQ2!$I$6)</f>
        <v>115203580.31599997</v>
      </c>
      <c r="J76" s="7">
        <f>SUMIFS('HQ2'!$AC:$AC,'HQ2'!$A:$A, "="&amp;Report_HQ2!C76,'HQ2'!$B:$B,Report_HQ2!$J$6)</f>
        <v>22026882.335999999</v>
      </c>
      <c r="K76" s="24">
        <f t="shared" si="8"/>
        <v>808579812.45474994</v>
      </c>
      <c r="L76" s="7">
        <f>SUMIFS('HQ2'!$AC:$AC,'HQ2'!$A:$A, "="&amp;Report_HQ2!C76,'HQ2'!$B:$B,"Total")</f>
        <v>808579812.45474994</v>
      </c>
      <c r="M76" s="24">
        <f t="shared" si="9"/>
        <v>0</v>
      </c>
    </row>
    <row r="77" spans="1:13" x14ac:dyDescent="0.25">
      <c r="A77" s="9" t="s">
        <v>354</v>
      </c>
      <c r="B77" t="s">
        <v>212</v>
      </c>
      <c r="C77" t="s">
        <v>51</v>
      </c>
      <c r="D77" s="7">
        <f>SUMIFS('HQ2'!$AC:$AC,'HQ2'!$A:$A, "="&amp;Report_HQ2!C77,'HQ2'!$B:$B,Report_HQ2!$D$6)</f>
        <v>1924044041.0239985</v>
      </c>
      <c r="E77" s="7">
        <f>SUMIFS('HQ2'!$AC:$AC,'HQ2'!$A:$A, "="&amp;Report_HQ2!C77,'HQ2'!$B:$B,Report_HQ2!$E$6)</f>
        <v>864327343.8880502</v>
      </c>
      <c r="F77" s="7">
        <f>SUMIFS('HQ2'!$AC:$AC,'HQ2'!$A:$A, "="&amp;Report_HQ2!C77,'HQ2'!$B:$B,Report_HQ2!$F$6)</f>
        <v>282023354.38199997</v>
      </c>
      <c r="G77" s="7">
        <f>SUMIFS('HQ2'!$AC:$AC,'HQ2'!$A:$A, "="&amp;Report_HQ2!C77,'HQ2'!$B:$B,Report_HQ2!$G$6)</f>
        <v>5010106017.2772989</v>
      </c>
      <c r="H77" s="7">
        <f>SUMIFS('HQ2'!$AC:$AC,'HQ2'!$A:$A, "="&amp;Report_HQ2!C77,'HQ2'!$B:$B,Report_HQ2!$H$6)</f>
        <v>1194885848.5084002</v>
      </c>
      <c r="I77" s="7">
        <f>SUMIFS('HQ2'!$AC:$AC,'HQ2'!$A:$A, "="&amp;Report_HQ2!C77,'HQ2'!$B:$B,Report_HQ2!$I$6)</f>
        <v>1484114655.7349999</v>
      </c>
      <c r="J77" s="7">
        <f>SUMIFS('HQ2'!$AC:$AC,'HQ2'!$A:$A, "="&amp;Report_HQ2!C77,'HQ2'!$B:$B,Report_HQ2!$J$6)</f>
        <v>232970566.90945008</v>
      </c>
      <c r="K77" s="24">
        <f t="shared" si="8"/>
        <v>10992471827.724199</v>
      </c>
      <c r="L77" s="7">
        <f>SUMIFS('HQ2'!$AC:$AC,'HQ2'!$A:$A, "="&amp;Report_HQ2!C77,'HQ2'!$B:$B,"Total")</f>
        <v>10992471827.724197</v>
      </c>
      <c r="M77" s="24">
        <f t="shared" si="9"/>
        <v>0</v>
      </c>
    </row>
    <row r="78" spans="1:13" x14ac:dyDescent="0.25">
      <c r="A78" s="9" t="s">
        <v>355</v>
      </c>
      <c r="B78" t="s">
        <v>213</v>
      </c>
      <c r="C78" t="s">
        <v>109</v>
      </c>
      <c r="D78" s="7">
        <f>SUMIFS('HQ2'!$AC:$AC,'HQ2'!$A:$A, "="&amp;Report_HQ2!C78,'HQ2'!$B:$B,Report_HQ2!$D$6)</f>
        <v>757549207.00700009</v>
      </c>
      <c r="E78" s="7">
        <f>SUMIFS('HQ2'!$AC:$AC,'HQ2'!$A:$A, "="&amp;Report_HQ2!C78,'HQ2'!$B:$B,Report_HQ2!$E$6)</f>
        <v>-1008151752.06845</v>
      </c>
      <c r="F78" s="7">
        <f>SUMIFS('HQ2'!$AC:$AC,'HQ2'!$A:$A, "="&amp;Report_HQ2!C78,'HQ2'!$B:$B,Report_HQ2!$F$6)</f>
        <v>-12208170</v>
      </c>
      <c r="G78" s="7">
        <f>SUMIFS('HQ2'!$AC:$AC,'HQ2'!$A:$A, "="&amp;Report_HQ2!C78,'HQ2'!$B:$B,Report_HQ2!$G$6)</f>
        <v>102383789.38805</v>
      </c>
      <c r="H78" s="7">
        <f>SUMIFS('HQ2'!$AC:$AC,'HQ2'!$A:$A, "="&amp;Report_HQ2!C78,'HQ2'!$B:$B,Report_HQ2!$H$6)</f>
        <v>-4472219.8125</v>
      </c>
      <c r="I78" s="7">
        <f>SUMIFS('HQ2'!$AC:$AC,'HQ2'!$A:$A, "="&amp;Report_HQ2!C78,'HQ2'!$B:$B,Report_HQ2!$I$6)</f>
        <v>0</v>
      </c>
      <c r="J78" s="7">
        <f>SUMIFS('HQ2'!$AC:$AC,'HQ2'!$A:$A, "="&amp;Report_HQ2!C78,'HQ2'!$B:$B,Report_HQ2!$J$6)</f>
        <v>-189644231.63514996</v>
      </c>
      <c r="K78" s="24">
        <f t="shared" si="8"/>
        <v>-354543377.12104982</v>
      </c>
      <c r="L78" s="7">
        <f>SUMIFS('HQ2'!$AC:$AC,'HQ2'!$A:$A, "="&amp;Report_HQ2!C78,'HQ2'!$B:$B,"Total")</f>
        <v>-354543377.12104988</v>
      </c>
      <c r="M78" s="24">
        <f t="shared" si="9"/>
        <v>0</v>
      </c>
    </row>
    <row r="79" spans="1:13" x14ac:dyDescent="0.25">
      <c r="A79" s="9" t="s">
        <v>356</v>
      </c>
      <c r="B79" t="s">
        <v>214</v>
      </c>
      <c r="C79" t="s">
        <v>80</v>
      </c>
      <c r="D79" s="7">
        <f>SUMIFS('HQ2'!$AC:$AC,'HQ2'!$A:$A, "="&amp;Report_HQ2!C79,'HQ2'!$B:$B,Report_HQ2!$D$6)</f>
        <v>628042795.87239993</v>
      </c>
      <c r="E79" s="7">
        <f>SUMIFS('HQ2'!$AC:$AC,'HQ2'!$A:$A, "="&amp;Report_HQ2!C79,'HQ2'!$B:$B,Report_HQ2!$E$6)</f>
        <v>351421973.19484997</v>
      </c>
      <c r="F79" s="7">
        <f>SUMIFS('HQ2'!$AC:$AC,'HQ2'!$A:$A, "="&amp;Report_HQ2!C79,'HQ2'!$B:$B,Report_HQ2!$F$6)</f>
        <v>0</v>
      </c>
      <c r="G79" s="7">
        <f>SUMIFS('HQ2'!$AC:$AC,'HQ2'!$A:$A, "="&amp;Report_HQ2!C79,'HQ2'!$B:$B,Report_HQ2!$G$6)</f>
        <v>279623426.81380004</v>
      </c>
      <c r="H79" s="7">
        <f>SUMIFS('HQ2'!$AC:$AC,'HQ2'!$A:$A, "="&amp;Report_HQ2!C79,'HQ2'!$B:$B,Report_HQ2!$H$6)</f>
        <v>0</v>
      </c>
      <c r="I79" s="7">
        <f>SUMIFS('HQ2'!$AC:$AC,'HQ2'!$A:$A, "="&amp;Report_HQ2!C79,'HQ2'!$B:$B,Report_HQ2!$I$6)</f>
        <v>0</v>
      </c>
      <c r="J79" s="7">
        <f>SUMIFS('HQ2'!$AC:$AC,'HQ2'!$A:$A, "="&amp;Report_HQ2!C79,'HQ2'!$B:$B,Report_HQ2!$J$6)</f>
        <v>-8026410.1541499272</v>
      </c>
      <c r="K79" s="24">
        <f t="shared" si="8"/>
        <v>1251061785.7268999</v>
      </c>
      <c r="L79" s="7">
        <f>SUMIFS('HQ2'!$AC:$AC,'HQ2'!$A:$A, "="&amp;Report_HQ2!C79,'HQ2'!$B:$B,"Total")</f>
        <v>1251061785.7269001</v>
      </c>
      <c r="M79" s="24">
        <f t="shared" si="9"/>
        <v>0</v>
      </c>
    </row>
    <row r="80" spans="1:13" x14ac:dyDescent="0.25">
      <c r="A80" s="9" t="s">
        <v>357</v>
      </c>
      <c r="B80" t="s">
        <v>215</v>
      </c>
      <c r="C80" t="s">
        <v>99</v>
      </c>
      <c r="D80" s="7">
        <f>SUMIFS('HQ2'!$AC:$AC,'HQ2'!$A:$A, "="&amp;Report_HQ2!C80,'HQ2'!$B:$B,Report_HQ2!$D$6)</f>
        <v>379035275.80539995</v>
      </c>
      <c r="E80" s="7">
        <f>SUMIFS('HQ2'!$AC:$AC,'HQ2'!$A:$A, "="&amp;Report_HQ2!C80,'HQ2'!$B:$B,Report_HQ2!$E$6)</f>
        <v>88768481.907449991</v>
      </c>
      <c r="F80" s="7">
        <f>SUMIFS('HQ2'!$AC:$AC,'HQ2'!$A:$A, "="&amp;Report_HQ2!C80,'HQ2'!$B:$B,Report_HQ2!$F$6)</f>
        <v>1021963.62</v>
      </c>
      <c r="G80" s="7">
        <f>SUMIFS('HQ2'!$AC:$AC,'HQ2'!$A:$A, "="&amp;Report_HQ2!C80,'HQ2'!$B:$B,Report_HQ2!$G$6)</f>
        <v>0</v>
      </c>
      <c r="H80" s="7">
        <f>SUMIFS('HQ2'!$AC:$AC,'HQ2'!$A:$A, "="&amp;Report_HQ2!C80,'HQ2'!$B:$B,Report_HQ2!$H$6)</f>
        <v>0</v>
      </c>
      <c r="I80" s="7">
        <f>SUMIFS('HQ2'!$AC:$AC,'HQ2'!$A:$A, "="&amp;Report_HQ2!C80,'HQ2'!$B:$B,Report_HQ2!$I$6)</f>
        <v>0</v>
      </c>
      <c r="J80" s="7">
        <f>SUMIFS('HQ2'!$AC:$AC,'HQ2'!$A:$A, "="&amp;Report_HQ2!C80,'HQ2'!$B:$B,Report_HQ2!$J$6)</f>
        <v>292496673.7313</v>
      </c>
      <c r="K80" s="24">
        <f t="shared" si="8"/>
        <v>761322395.06414998</v>
      </c>
      <c r="L80" s="7">
        <f>SUMIFS('HQ2'!$AC:$AC,'HQ2'!$A:$A, "="&amp;Report_HQ2!C80,'HQ2'!$B:$B,"Total")</f>
        <v>761322395.06414998</v>
      </c>
      <c r="M80" s="24">
        <f t="shared" si="9"/>
        <v>0</v>
      </c>
    </row>
    <row r="81" spans="1:13" x14ac:dyDescent="0.25">
      <c r="A81" s="9" t="s">
        <v>358</v>
      </c>
      <c r="B81" t="s">
        <v>216</v>
      </c>
      <c r="C81" t="s">
        <v>66</v>
      </c>
      <c r="D81" s="7">
        <f>SUMIFS('HQ2'!$AC:$AC,'HQ2'!$A:$A, "="&amp;Report_HQ2!C81,'HQ2'!$B:$B,Report_HQ2!$D$6)</f>
        <v>1427557430.4383998</v>
      </c>
      <c r="E81" s="7">
        <f>SUMIFS('HQ2'!$AC:$AC,'HQ2'!$A:$A, "="&amp;Report_HQ2!C81,'HQ2'!$B:$B,Report_HQ2!$E$6)</f>
        <v>-1683891598.2851498</v>
      </c>
      <c r="F81" s="7">
        <f>SUMIFS('HQ2'!$AC:$AC,'HQ2'!$A:$A, "="&amp;Report_HQ2!C81,'HQ2'!$B:$B,Report_HQ2!$F$6)</f>
        <v>-6013888.9160000049</v>
      </c>
      <c r="G81" s="7">
        <f>SUMIFS('HQ2'!$AC:$AC,'HQ2'!$A:$A, "="&amp;Report_HQ2!C81,'HQ2'!$B:$B,Report_HQ2!$G$6)</f>
        <v>-75870777.95040001</v>
      </c>
      <c r="H81" s="7">
        <f>SUMIFS('HQ2'!$AC:$AC,'HQ2'!$A:$A, "="&amp;Report_HQ2!C81,'HQ2'!$B:$B,Report_HQ2!$H$6)</f>
        <v>506786859.8440001</v>
      </c>
      <c r="I81" s="7">
        <f>SUMIFS('HQ2'!$AC:$AC,'HQ2'!$A:$A, "="&amp;Report_HQ2!C81,'HQ2'!$B:$B,Report_HQ2!$I$6)</f>
        <v>122837627.36799999</v>
      </c>
      <c r="J81" s="7">
        <f>SUMIFS('HQ2'!$AC:$AC,'HQ2'!$A:$A, "="&amp;Report_HQ2!C81,'HQ2'!$B:$B,Report_HQ2!$J$6)</f>
        <v>0</v>
      </c>
      <c r="K81" s="24">
        <f t="shared" si="8"/>
        <v>291405652.49885005</v>
      </c>
      <c r="L81" s="7">
        <f>SUMIFS('HQ2'!$AC:$AC,'HQ2'!$A:$A, "="&amp;Report_HQ2!C81,'HQ2'!$B:$B,"Total")</f>
        <v>291405652.49885017</v>
      </c>
      <c r="M81" s="24">
        <f t="shared" si="9"/>
        <v>0</v>
      </c>
    </row>
    <row r="82" spans="1:13" x14ac:dyDescent="0.25">
      <c r="A82" s="9" t="s">
        <v>359</v>
      </c>
      <c r="B82" t="s">
        <v>217</v>
      </c>
      <c r="C82" t="s">
        <v>116</v>
      </c>
      <c r="D82" s="7">
        <f>SUMIFS('HQ2'!$AC:$AC,'HQ2'!$A:$A, "="&amp;Report_HQ2!C82,'HQ2'!$B:$B,Report_HQ2!$D$6)</f>
        <v>653246437.22420001</v>
      </c>
      <c r="E82" s="7">
        <f>SUMIFS('HQ2'!$AC:$AC,'HQ2'!$A:$A, "="&amp;Report_HQ2!C82,'HQ2'!$B:$B,Report_HQ2!$E$6)</f>
        <v>-502547250.27999997</v>
      </c>
      <c r="F82" s="7">
        <f>SUMIFS('HQ2'!$AC:$AC,'HQ2'!$A:$A, "="&amp;Report_HQ2!C82,'HQ2'!$B:$B,Report_HQ2!$F$6)</f>
        <v>0</v>
      </c>
      <c r="G82" s="7">
        <f>SUMIFS('HQ2'!$AC:$AC,'HQ2'!$A:$A, "="&amp;Report_HQ2!C82,'HQ2'!$B:$B,Report_HQ2!$G$6)</f>
        <v>1356209.5200000003</v>
      </c>
      <c r="H82" s="7">
        <f>SUMIFS('HQ2'!$AC:$AC,'HQ2'!$A:$A, "="&amp;Report_HQ2!C82,'HQ2'!$B:$B,Report_HQ2!$H$6)</f>
        <v>0</v>
      </c>
      <c r="I82" s="7">
        <f>SUMIFS('HQ2'!$AC:$AC,'HQ2'!$A:$A, "="&amp;Report_HQ2!C82,'HQ2'!$B:$B,Report_HQ2!$I$6)</f>
        <v>0</v>
      </c>
      <c r="J82" s="7">
        <f>SUMIFS('HQ2'!$AC:$AC,'HQ2'!$A:$A, "="&amp;Report_HQ2!C82,'HQ2'!$B:$B,Report_HQ2!$J$6)</f>
        <v>6082312.080000001</v>
      </c>
      <c r="K82" s="24">
        <f t="shared" si="8"/>
        <v>158137708.54420006</v>
      </c>
      <c r="L82" s="7">
        <f>SUMIFS('HQ2'!$AC:$AC,'HQ2'!$A:$A, "="&amp;Report_HQ2!C82,'HQ2'!$B:$B,"Total")</f>
        <v>158137708.54420009</v>
      </c>
      <c r="M82" s="24">
        <f t="shared" si="9"/>
        <v>0</v>
      </c>
    </row>
    <row r="83" spans="1:13" x14ac:dyDescent="0.25">
      <c r="A83" s="9" t="s">
        <v>360</v>
      </c>
      <c r="B83" t="s">
        <v>218</v>
      </c>
      <c r="C83" t="s">
        <v>86</v>
      </c>
      <c r="D83" s="7">
        <f>SUMIFS('HQ2'!$AC:$AC,'HQ2'!$A:$A, "="&amp;Report_HQ2!C83,'HQ2'!$B:$B,Report_HQ2!$D$6)</f>
        <v>999495682.06560004</v>
      </c>
      <c r="E83" s="7">
        <f>SUMIFS('HQ2'!$AC:$AC,'HQ2'!$A:$A, "="&amp;Report_HQ2!C83,'HQ2'!$B:$B,Report_HQ2!$E$6)</f>
        <v>276418981.11804998</v>
      </c>
      <c r="F83" s="7">
        <f>SUMIFS('HQ2'!$AC:$AC,'HQ2'!$A:$A, "="&amp;Report_HQ2!C83,'HQ2'!$B:$B,Report_HQ2!$F$6)</f>
        <v>28005665.676000003</v>
      </c>
      <c r="G83" s="7">
        <f>SUMIFS('HQ2'!$AC:$AC,'HQ2'!$A:$A, "="&amp;Report_HQ2!C83,'HQ2'!$B:$B,Report_HQ2!$G$6)</f>
        <v>90270373.988399997</v>
      </c>
      <c r="H83" s="7">
        <f>SUMIFS('HQ2'!$AC:$AC,'HQ2'!$A:$A, "="&amp;Report_HQ2!C83,'HQ2'!$B:$B,Report_HQ2!$H$6)</f>
        <v>0</v>
      </c>
      <c r="I83" s="7">
        <f>SUMIFS('HQ2'!$AC:$AC,'HQ2'!$A:$A, "="&amp;Report_HQ2!C83,'HQ2'!$B:$B,Report_HQ2!$I$6)</f>
        <v>0</v>
      </c>
      <c r="J83" s="7">
        <f>SUMIFS('HQ2'!$AC:$AC,'HQ2'!$A:$A, "="&amp;Report_HQ2!C83,'HQ2'!$B:$B,Report_HQ2!$J$6)</f>
        <v>87391945.534000009</v>
      </c>
      <c r="K83" s="24">
        <f t="shared" si="8"/>
        <v>1481582648.38205</v>
      </c>
      <c r="L83" s="7">
        <f>SUMIFS('HQ2'!$AC:$AC,'HQ2'!$A:$A, "="&amp;Report_HQ2!C83,'HQ2'!$B:$B,"Total")</f>
        <v>1481582648.38205</v>
      </c>
      <c r="M83" s="24">
        <f t="shared" si="9"/>
        <v>0</v>
      </c>
    </row>
    <row r="84" spans="1:13" x14ac:dyDescent="0.25">
      <c r="A84" s="9" t="s">
        <v>361</v>
      </c>
      <c r="B84" t="s">
        <v>219</v>
      </c>
      <c r="C84" t="s">
        <v>85</v>
      </c>
      <c r="D84" s="7">
        <f>SUMIFS('HQ2'!$AC:$AC,'HQ2'!$A:$A, "="&amp;Report_HQ2!C84,'HQ2'!$B:$B,Report_HQ2!$D$6)</f>
        <v>1687508566.1128004</v>
      </c>
      <c r="E84" s="7">
        <f>SUMIFS('HQ2'!$AC:$AC,'HQ2'!$A:$A, "="&amp;Report_HQ2!C84,'HQ2'!$B:$B,Report_HQ2!$E$6)</f>
        <v>123563438.01099998</v>
      </c>
      <c r="F84" s="7">
        <f>SUMIFS('HQ2'!$AC:$AC,'HQ2'!$A:$A, "="&amp;Report_HQ2!C84,'HQ2'!$B:$B,Report_HQ2!$F$6)</f>
        <v>56098860</v>
      </c>
      <c r="G84" s="7">
        <f>SUMIFS('HQ2'!$AC:$AC,'HQ2'!$A:$A, "="&amp;Report_HQ2!C84,'HQ2'!$B:$B,Report_HQ2!$G$6)</f>
        <v>69842529.756449997</v>
      </c>
      <c r="H84" s="7">
        <f>SUMIFS('HQ2'!$AC:$AC,'HQ2'!$A:$A, "="&amp;Report_HQ2!C84,'HQ2'!$B:$B,Report_HQ2!$H$6)</f>
        <v>0</v>
      </c>
      <c r="I84" s="7">
        <f>SUMIFS('HQ2'!$AC:$AC,'HQ2'!$A:$A, "="&amp;Report_HQ2!C84,'HQ2'!$B:$B,Report_HQ2!$I$6)</f>
        <v>0</v>
      </c>
      <c r="J84" s="7">
        <f>SUMIFS('HQ2'!$AC:$AC,'HQ2'!$A:$A, "="&amp;Report_HQ2!C84,'HQ2'!$B:$B,Report_HQ2!$J$6)</f>
        <v>14079793</v>
      </c>
      <c r="K84" s="24">
        <f t="shared" si="8"/>
        <v>1951093186.8802502</v>
      </c>
      <c r="L84" s="7">
        <f>SUMIFS('HQ2'!$AC:$AC,'HQ2'!$A:$A, "="&amp;Report_HQ2!C84,'HQ2'!$B:$B,"Total")</f>
        <v>1951093186.8802502</v>
      </c>
      <c r="M84" s="24">
        <f t="shared" si="9"/>
        <v>0</v>
      </c>
    </row>
    <row r="85" spans="1:13" x14ac:dyDescent="0.25">
      <c r="A85" s="9" t="s">
        <v>362</v>
      </c>
      <c r="B85" t="s">
        <v>220</v>
      </c>
      <c r="C85" t="s">
        <v>129</v>
      </c>
      <c r="D85" s="7">
        <f>SUMIFS('HQ2'!$AC:$AC,'HQ2'!$A:$A, "="&amp;Report_HQ2!C85,'HQ2'!$B:$B,Report_HQ2!$D$6)</f>
        <v>-4453683.4806000022</v>
      </c>
      <c r="E85" s="7">
        <f>SUMIFS('HQ2'!$AC:$AC,'HQ2'!$A:$A, "="&amp;Report_HQ2!C85,'HQ2'!$B:$B,Report_HQ2!$E$6)</f>
        <v>-12970394.242100002</v>
      </c>
      <c r="F85" s="7">
        <f>SUMIFS('HQ2'!$AC:$AC,'HQ2'!$A:$A, "="&amp;Report_HQ2!C85,'HQ2'!$B:$B,Report_HQ2!$F$6)</f>
        <v>-1260000</v>
      </c>
      <c r="G85" s="7">
        <f>SUMIFS('HQ2'!$AC:$AC,'HQ2'!$A:$A, "="&amp;Report_HQ2!C85,'HQ2'!$B:$B,Report_HQ2!$G$6)</f>
        <v>0</v>
      </c>
      <c r="H85" s="7">
        <f>SUMIFS('HQ2'!$AC:$AC,'HQ2'!$A:$A, "="&amp;Report_HQ2!C85,'HQ2'!$B:$B,Report_HQ2!$H$6)</f>
        <v>0</v>
      </c>
      <c r="I85" s="7">
        <f>SUMIFS('HQ2'!$AC:$AC,'HQ2'!$A:$A, "="&amp;Report_HQ2!C85,'HQ2'!$B:$B,Report_HQ2!$I$6)</f>
        <v>0</v>
      </c>
      <c r="J85" s="7">
        <f>SUMIFS('HQ2'!$AC:$AC,'HQ2'!$A:$A, "="&amp;Report_HQ2!C85,'HQ2'!$B:$B,Report_HQ2!$J$6)</f>
        <v>0</v>
      </c>
      <c r="K85" s="24">
        <f t="shared" si="8"/>
        <v>-18684077.722700004</v>
      </c>
      <c r="L85" s="7">
        <f>SUMIFS('HQ2'!$AC:$AC,'HQ2'!$A:$A, "="&amp;Report_HQ2!C85,'HQ2'!$B:$B,"Total")</f>
        <v>-18684077.722700004</v>
      </c>
      <c r="M85" s="24">
        <f t="shared" si="9"/>
        <v>0</v>
      </c>
    </row>
    <row r="86" spans="1:13" x14ac:dyDescent="0.25">
      <c r="A86" s="9" t="s">
        <v>233</v>
      </c>
      <c r="B86" t="str">
        <f>VLOOKUP(A86,[1]Sheet1!$A$82:$B$94,2,FALSE)</f>
        <v>Trụ sở chính</v>
      </c>
      <c r="C86" t="str">
        <f>B86</f>
        <v>Trụ sở chính</v>
      </c>
      <c r="D86" s="7">
        <f>SUMIFS('HQ2'!$AC:$AC,'HQ2'!$A:$A, "="&amp;Report_HQ2!C86,'HQ2'!$B:$B,Report_HQ2!$D$6)</f>
        <v>17194072201.844997</v>
      </c>
      <c r="E86" s="7">
        <f>SUMIFS('HQ2'!$AC:$AC,'HQ2'!$A:$A, "="&amp;Report_HQ2!C86,'HQ2'!$B:$B,Report_HQ2!$E$6)</f>
        <v>2375575161.96</v>
      </c>
      <c r="F86" s="7">
        <f>SUMIFS('HQ2'!$AC:$AC,'HQ2'!$A:$A, "="&amp;Report_HQ2!C86,'HQ2'!$B:$B,Report_HQ2!$F$6)</f>
        <v>2448067843.2599998</v>
      </c>
      <c r="G86" s="7">
        <f>SUMIFS('HQ2'!$AC:$AC,'HQ2'!$A:$A, "="&amp;Report_HQ2!C86,'HQ2'!$B:$B,Report_HQ2!$G$6)</f>
        <v>1749247086.7200003</v>
      </c>
      <c r="H86" s="7">
        <f>SUMIFS('HQ2'!$AC:$AC,'HQ2'!$A:$A, "="&amp;Report_HQ2!C86,'HQ2'!$B:$B,Report_HQ2!$H$6)</f>
        <v>726473123.0625</v>
      </c>
      <c r="I86" s="7">
        <f>SUMIFS('HQ2'!$AC:$AC,'HQ2'!$A:$A, "="&amp;Report_HQ2!C86,'HQ2'!$B:$B,Report_HQ2!$I$6)</f>
        <v>1049314841.4875</v>
      </c>
      <c r="J86" s="7">
        <f>SUMIFS('HQ2'!$AC:$AC,'HQ2'!$A:$A, "="&amp;Report_HQ2!C86,'HQ2'!$B:$B,Report_HQ2!$J$6)</f>
        <v>1321604041.6000001</v>
      </c>
      <c r="K86" s="24">
        <f t="shared" si="8"/>
        <v>26864354299.934994</v>
      </c>
      <c r="L86" s="7">
        <f>SUMIFS('HQ2'!$AC:$AC,'HQ2'!$A:$A, "="&amp;Report_HQ2!C86,'HQ2'!$B:$B,"Total")</f>
        <v>26864354299.934994</v>
      </c>
      <c r="M86" s="24">
        <f t="shared" si="9"/>
        <v>0</v>
      </c>
    </row>
    <row r="87" spans="1:13" x14ac:dyDescent="0.25">
      <c r="A87" s="9" t="s">
        <v>229</v>
      </c>
      <c r="B87" s="98" t="s">
        <v>115</v>
      </c>
      <c r="C87" s="98" t="s">
        <v>115</v>
      </c>
      <c r="D87" s="7">
        <f>SUMIFS('HQ2'!$AC:$AC,'HQ2'!$A:$A, "="&amp;Report_HQ2!C87,'HQ2'!$B:$B,Report_HQ2!$D$6)</f>
        <v>633266975.39659989</v>
      </c>
      <c r="E87" s="7">
        <f>SUMIFS('HQ2'!$AC:$AC,'HQ2'!$A:$A, "="&amp;Report_HQ2!C87,'HQ2'!$B:$B,Report_HQ2!$E$6)</f>
        <v>0</v>
      </c>
      <c r="F87" s="7">
        <f>SUMIFS('HQ2'!$AC:$AC,'HQ2'!$A:$A, "="&amp;Report_HQ2!C87,'HQ2'!$B:$B,Report_HQ2!$F$6)</f>
        <v>0</v>
      </c>
      <c r="G87" s="7">
        <f>SUMIFS('HQ2'!$AC:$AC,'HQ2'!$A:$A, "="&amp;Report_HQ2!C87,'HQ2'!$B:$B,Report_HQ2!$G$6)</f>
        <v>0</v>
      </c>
      <c r="H87" s="7">
        <f>SUMIFS('HQ2'!$AC:$AC,'HQ2'!$A:$A, "="&amp;Report_HQ2!C87,'HQ2'!$B:$B,Report_HQ2!$H$6)</f>
        <v>0</v>
      </c>
      <c r="I87" s="7">
        <f>SUMIFS('HQ2'!$AC:$AC,'HQ2'!$A:$A, "="&amp;Report_HQ2!C87,'HQ2'!$B:$B,Report_HQ2!$I$6)</f>
        <v>0</v>
      </c>
      <c r="J87" s="7">
        <f>SUMIFS('HQ2'!$AC:$AC,'HQ2'!$A:$A, "="&amp;Report_HQ2!C87,'HQ2'!$B:$B,Report_HQ2!$J$6)</f>
        <v>0</v>
      </c>
      <c r="K87" s="24">
        <f t="shared" si="8"/>
        <v>633266975.39659989</v>
      </c>
      <c r="L87" s="7">
        <f>SUMIFS('HQ2'!$AC:$AC,'HQ2'!$A:$A, "="&amp;Report_HQ2!C87,'HQ2'!$B:$B,"Total")</f>
        <v>633266975.39659989</v>
      </c>
      <c r="M87" s="24">
        <f t="shared" si="9"/>
        <v>0</v>
      </c>
    </row>
    <row r="88" spans="1:13" x14ac:dyDescent="0.25">
      <c r="A88" s="9" t="s">
        <v>227</v>
      </c>
      <c r="B88" s="93" t="s">
        <v>423</v>
      </c>
      <c r="C88" s="93" t="s">
        <v>423</v>
      </c>
      <c r="D88" s="7">
        <f>SUMIFS('HQ2'!$AC:$AC,'HQ2'!$A:$A, "="&amp;Report_HQ2!C88,'HQ2'!$B:$B,Report_HQ2!$D$6)</f>
        <v>190270842776.59222</v>
      </c>
      <c r="E88" s="7">
        <f>SUMIFS('HQ2'!$AC:$AC,'HQ2'!$A:$A, "="&amp;Report_HQ2!C88,'HQ2'!$B:$B,Report_HQ2!$E$6)</f>
        <v>277985613.31699997</v>
      </c>
      <c r="F88" s="7">
        <f>SUMIFS('HQ2'!$AC:$AC,'HQ2'!$A:$A, "="&amp;Report_HQ2!C88,'HQ2'!$B:$B,Report_HQ2!$F$6)</f>
        <v>21969615356.705994</v>
      </c>
      <c r="G88" s="7">
        <f>SUMIFS('HQ2'!$AC:$AC,'HQ2'!$A:$A, "="&amp;Report_HQ2!C88,'HQ2'!$B:$B,Report_HQ2!$G$6)</f>
        <v>22955722958.368649</v>
      </c>
      <c r="H88" s="7">
        <f>SUMIFS('HQ2'!$AC:$AC,'HQ2'!$A:$A, "="&amp;Report_HQ2!C88,'HQ2'!$B:$B,Report_HQ2!$H$6)</f>
        <v>0</v>
      </c>
      <c r="I88" s="7">
        <f>SUMIFS('HQ2'!$AC:$AC,'HQ2'!$A:$A, "="&amp;Report_HQ2!C88,'HQ2'!$B:$B,Report_HQ2!$I$6)</f>
        <v>0</v>
      </c>
      <c r="J88" s="7">
        <f>SUMIFS('HQ2'!$AC:$AC,'HQ2'!$A:$A, "="&amp;Report_HQ2!C88,'HQ2'!$B:$B,Report_HQ2!$J$6)</f>
        <v>5198846982.5599995</v>
      </c>
      <c r="K88" s="24">
        <f t="shared" si="8"/>
        <v>240673013687.54385</v>
      </c>
      <c r="L88" s="7">
        <f>SUMIFS('HQ2'!$AC:$AC,'HQ2'!$A:$A, "="&amp;Report_HQ2!C88,'HQ2'!$B:$B,"Total")</f>
        <v>240673013687.54388</v>
      </c>
      <c r="M88" s="24">
        <f t="shared" si="9"/>
        <v>0</v>
      </c>
    </row>
    <row r="89" spans="1:13" x14ac:dyDescent="0.25">
      <c r="A89" s="9"/>
      <c r="B89" s="93" t="s">
        <v>424</v>
      </c>
      <c r="C89" s="93" t="s">
        <v>424</v>
      </c>
      <c r="D89" s="7">
        <f>SUMIFS('HQ2'!$AC:$AC,'HQ2'!$A:$A, "="&amp;Report_HQ2!C89,'HQ2'!$B:$B,Report_HQ2!$D$6)</f>
        <v>14465530109.355705</v>
      </c>
      <c r="E89" s="7">
        <f>SUMIFS('HQ2'!$AC:$AC,'HQ2'!$A:$A, "="&amp;Report_HQ2!C89,'HQ2'!$B:$B,Report_HQ2!$E$6)</f>
        <v>9939934100.7893982</v>
      </c>
      <c r="F89" s="7">
        <f>SUMIFS('HQ2'!$AC:$AC,'HQ2'!$A:$A, "="&amp;Report_HQ2!C89,'HQ2'!$B:$B,Report_HQ2!$F$6)</f>
        <v>3341085978.4920006</v>
      </c>
      <c r="G89" s="7">
        <f>SUMIFS('HQ2'!$AC:$AC,'HQ2'!$A:$A, "="&amp;Report_HQ2!C89,'HQ2'!$B:$B,Report_HQ2!$G$6)</f>
        <v>-39856899164.121841</v>
      </c>
      <c r="H89" s="7">
        <f>SUMIFS('HQ2'!$AC:$AC,'HQ2'!$A:$A, "="&amp;Report_HQ2!C89,'HQ2'!$B:$B,Report_HQ2!$H$6)</f>
        <v>0</v>
      </c>
      <c r="I89" s="7">
        <f>SUMIFS('HQ2'!$AC:$AC,'HQ2'!$A:$A, "="&amp;Report_HQ2!C89,'HQ2'!$B:$B,Report_HQ2!$I$6)</f>
        <v>0</v>
      </c>
      <c r="J89" s="7">
        <f>SUMIFS('HQ2'!$AC:$AC,'HQ2'!$A:$A, "="&amp;Report_HQ2!C89,'HQ2'!$B:$B,Report_HQ2!$J$6)</f>
        <v>0</v>
      </c>
      <c r="K89" s="24">
        <f t="shared" si="8"/>
        <v>-12110348975.484737</v>
      </c>
      <c r="L89" s="7">
        <f>SUMIFS('HQ2'!$AC:$AC,'HQ2'!$A:$A, "="&amp;Report_HQ2!C89,'HQ2'!$B:$B,"Total")</f>
        <v>-12110348975.484737</v>
      </c>
      <c r="M89" s="24">
        <f>K89-L89</f>
        <v>0</v>
      </c>
    </row>
    <row r="90" spans="1:13" x14ac:dyDescent="0.25">
      <c r="A90" s="9" t="s">
        <v>230</v>
      </c>
      <c r="B90" s="93" t="s">
        <v>130</v>
      </c>
      <c r="C90" s="93" t="s">
        <v>130</v>
      </c>
      <c r="D90" s="7">
        <f>SUMIFS('HQ2'!$AC:$AC,'HQ2'!$A:$A, "="&amp;Report_HQ2!C90,'HQ2'!$B:$B,Report_HQ2!$D$6)</f>
        <v>0</v>
      </c>
      <c r="E90" s="7">
        <f>SUMIFS('HQ2'!$AC:$AC,'HQ2'!$A:$A, "="&amp;Report_HQ2!C90,'HQ2'!$B:$B,Report_HQ2!$E$6)</f>
        <v>0</v>
      </c>
      <c r="F90" s="7">
        <f>SUMIFS('HQ2'!$AC:$AC,'HQ2'!$A:$A, "="&amp;Report_HQ2!C90,'HQ2'!$B:$B,Report_HQ2!$F$6)</f>
        <v>1990434.5459999996</v>
      </c>
      <c r="G90" s="7">
        <f>SUMIFS('HQ2'!$AC:$AC,'HQ2'!$A:$A, "="&amp;Report_HQ2!C90,'HQ2'!$B:$B,Report_HQ2!$G$6)</f>
        <v>0</v>
      </c>
      <c r="H90" s="7">
        <f>SUMIFS('HQ2'!$AC:$AC,'HQ2'!$A:$A, "="&amp;Report_HQ2!C90,'HQ2'!$B:$B,Report_HQ2!$H$6)</f>
        <v>0</v>
      </c>
      <c r="I90" s="7">
        <f>SUMIFS('HQ2'!$AC:$AC,'HQ2'!$A:$A, "="&amp;Report_HQ2!C90,'HQ2'!$B:$B,Report_HQ2!$I$6)</f>
        <v>0</v>
      </c>
      <c r="J90" s="7">
        <f>SUMIFS('HQ2'!$AC:$AC,'HQ2'!$A:$A, "="&amp;Report_HQ2!C90,'HQ2'!$B:$B,Report_HQ2!$J$6)</f>
        <v>0</v>
      </c>
      <c r="K90" s="24">
        <f t="shared" si="8"/>
        <v>1990434.5459999996</v>
      </c>
      <c r="L90" s="7">
        <f>SUMIFS('HQ2'!$AC:$AC,'HQ2'!$A:$A, "="&amp;Report_HQ2!C90,'HQ2'!$B:$B,"Total")</f>
        <v>1990434.5459999996</v>
      </c>
      <c r="M90" s="24">
        <f t="shared" si="9"/>
        <v>0</v>
      </c>
    </row>
    <row r="91" spans="1:13" x14ac:dyDescent="0.25">
      <c r="A91" s="9" t="s">
        <v>223</v>
      </c>
      <c r="B91" s="93" t="s">
        <v>55</v>
      </c>
      <c r="C91" s="93" t="s">
        <v>55</v>
      </c>
      <c r="D91" s="7">
        <f>SUMIFS('HQ2'!$AC:$AC,'HQ2'!$A:$A, "="&amp;Report_HQ2!C91,'HQ2'!$B:$B,Report_HQ2!$D$6)</f>
        <v>599326280.73390007</v>
      </c>
      <c r="E91" s="7">
        <f>SUMIFS('HQ2'!$AC:$AC,'HQ2'!$A:$A, "="&amp;Report_HQ2!C91,'HQ2'!$B:$B,Report_HQ2!$E$6)</f>
        <v>4457236.8686499996</v>
      </c>
      <c r="F91" s="7">
        <f>SUMIFS('HQ2'!$AC:$AC,'HQ2'!$A:$A, "="&amp;Report_HQ2!C91,'HQ2'!$B:$B,Report_HQ2!$F$6)</f>
        <v>2976000</v>
      </c>
      <c r="G91" s="7">
        <f>SUMIFS('HQ2'!$AC:$AC,'HQ2'!$A:$A, "="&amp;Report_HQ2!C91,'HQ2'!$B:$B,Report_HQ2!$G$6)</f>
        <v>8067587322.6399498</v>
      </c>
      <c r="H91" s="7">
        <f>SUMIFS('HQ2'!$AC:$AC,'HQ2'!$A:$A, "="&amp;Report_HQ2!C91,'HQ2'!$B:$B,Report_HQ2!$H$6)</f>
        <v>71625759.920000002</v>
      </c>
      <c r="I91" s="7">
        <f>SUMIFS('HQ2'!$AC:$AC,'HQ2'!$A:$A, "="&amp;Report_HQ2!C91,'HQ2'!$B:$B,Report_HQ2!$I$6)</f>
        <v>0</v>
      </c>
      <c r="J91" s="7">
        <f>SUMIFS('HQ2'!$AC:$AC,'HQ2'!$A:$A, "="&amp;Report_HQ2!C91,'HQ2'!$B:$B,Report_HQ2!$J$6)</f>
        <v>81630641.504350007</v>
      </c>
      <c r="K91" s="24">
        <f t="shared" si="8"/>
        <v>8827603241.666851</v>
      </c>
      <c r="L91" s="7">
        <f>SUMIFS('HQ2'!$AC:$AC,'HQ2'!$A:$A, "="&amp;Report_HQ2!C91,'HQ2'!$B:$B,"Total")</f>
        <v>8827603241.6668491</v>
      </c>
      <c r="M91" s="24">
        <f t="shared" si="9"/>
        <v>0</v>
      </c>
    </row>
    <row r="92" spans="1:13" x14ac:dyDescent="0.25">
      <c r="A92" s="9" t="s">
        <v>234</v>
      </c>
      <c r="B92" s="93" t="s">
        <v>126</v>
      </c>
      <c r="C92" s="93" t="s">
        <v>126</v>
      </c>
      <c r="D92" s="7">
        <f>SUMIFS('HQ2'!$AC:$AC,'HQ2'!$A:$A, "="&amp;Report_HQ2!C92,'HQ2'!$B:$B,Report_HQ2!$D$6)</f>
        <v>70437799.095599979</v>
      </c>
      <c r="E92" s="7">
        <f>SUMIFS('HQ2'!$AC:$AC,'HQ2'!$A:$A, "="&amp;Report_HQ2!C92,'HQ2'!$B:$B,Report_HQ2!$E$6)</f>
        <v>0</v>
      </c>
      <c r="F92" s="7">
        <f>SUMIFS('HQ2'!$AC:$AC,'HQ2'!$A:$A, "="&amp;Report_HQ2!C92,'HQ2'!$B:$B,Report_HQ2!$F$6)</f>
        <v>-1365159024.4619999</v>
      </c>
      <c r="G92" s="7">
        <f>SUMIFS('HQ2'!$AC:$AC,'HQ2'!$A:$A, "="&amp;Report_HQ2!C92,'HQ2'!$B:$B,Report_HQ2!$G$6)</f>
        <v>0</v>
      </c>
      <c r="H92" s="7">
        <f>SUMIFS('HQ2'!$AC:$AC,'HQ2'!$A:$A, "="&amp;Report_HQ2!C92,'HQ2'!$B:$B,Report_HQ2!$H$6)</f>
        <v>0</v>
      </c>
      <c r="I92" s="7">
        <f>SUMIFS('HQ2'!$AC:$AC,'HQ2'!$A:$A, "="&amp;Report_HQ2!C92,'HQ2'!$B:$B,Report_HQ2!$I$6)</f>
        <v>0</v>
      </c>
      <c r="J92" s="7">
        <f>SUMIFS('HQ2'!$AC:$AC,'HQ2'!$A:$A, "="&amp;Report_HQ2!C92,'HQ2'!$B:$B,Report_HQ2!$J$6)</f>
        <v>0</v>
      </c>
      <c r="K92" s="24">
        <f t="shared" si="8"/>
        <v>-1294721225.3664</v>
      </c>
      <c r="L92" s="7">
        <f>SUMIFS('HQ2'!$AC:$AC,'HQ2'!$A:$A, "="&amp;Report_HQ2!C92,'HQ2'!$B:$B,"Total")</f>
        <v>-1294721225.3664</v>
      </c>
      <c r="M92" s="24">
        <f t="shared" si="9"/>
        <v>0</v>
      </c>
    </row>
    <row r="93" spans="1:13" x14ac:dyDescent="0.25">
      <c r="A93" s="9" t="s">
        <v>228</v>
      </c>
      <c r="B93" s="93" t="s">
        <v>50</v>
      </c>
      <c r="C93" s="93" t="s">
        <v>50</v>
      </c>
      <c r="D93" s="7">
        <f>SUMIFS('HQ2'!$AC:$AC,'HQ2'!$A:$A, "="&amp;Report_HQ2!C93,'HQ2'!$B:$B,Report_HQ2!$D$6)</f>
        <v>1666481618.8223999</v>
      </c>
      <c r="E93" s="7">
        <f>SUMIFS('HQ2'!$AC:$AC,'HQ2'!$A:$A, "="&amp;Report_HQ2!C93,'HQ2'!$B:$B,Report_HQ2!$E$6)</f>
        <v>-5292227379.3052492</v>
      </c>
      <c r="F93" s="7">
        <f>SUMIFS('HQ2'!$AC:$AC,'HQ2'!$A:$A, "="&amp;Report_HQ2!C93,'HQ2'!$B:$B,Report_HQ2!$F$6)</f>
        <v>192990231.40799999</v>
      </c>
      <c r="G93" s="7">
        <f>SUMIFS('HQ2'!$AC:$AC,'HQ2'!$A:$A, "="&amp;Report_HQ2!C93,'HQ2'!$B:$B,Report_HQ2!$G$6)</f>
        <v>1285741997.7932999</v>
      </c>
      <c r="H93" s="7">
        <f>SUMIFS('HQ2'!$AC:$AC,'HQ2'!$A:$A, "="&amp;Report_HQ2!C93,'HQ2'!$B:$B,Report_HQ2!$H$6)</f>
        <v>6177921303.908</v>
      </c>
      <c r="I93" s="7">
        <f>SUMIFS('HQ2'!$AC:$AC,'HQ2'!$A:$A, "="&amp;Report_HQ2!C93,'HQ2'!$B:$B,Report_HQ2!$I$6)</f>
        <v>-335055163.42999947</v>
      </c>
      <c r="J93" s="7">
        <f>SUMIFS('HQ2'!$AC:$AC,'HQ2'!$A:$A, "="&amp;Report_HQ2!C93,'HQ2'!$B:$B,Report_HQ2!$J$6)</f>
        <v>-318603933.10649979</v>
      </c>
      <c r="K93" s="24">
        <f t="shared" si="8"/>
        <v>3377248676.0899515</v>
      </c>
      <c r="L93" s="7">
        <f>SUMIFS('HQ2'!$AC:$AC,'HQ2'!$A:$A, "="&amp;Report_HQ2!C93,'HQ2'!$B:$B,"Total")</f>
        <v>3377248676.0899515</v>
      </c>
      <c r="M93" s="24">
        <f t="shared" si="9"/>
        <v>0</v>
      </c>
    </row>
    <row r="94" spans="1:13" x14ac:dyDescent="0.25">
      <c r="A94" s="9" t="s">
        <v>231</v>
      </c>
      <c r="B94" s="93" t="s">
        <v>56</v>
      </c>
      <c r="C94" s="93" t="s">
        <v>56</v>
      </c>
      <c r="D94" s="7">
        <f>SUMIFS('HQ2'!$AC:$AC,'HQ2'!$A:$A, "="&amp;Report_HQ2!C94,'HQ2'!$B:$B,Report_HQ2!$D$6)</f>
        <v>1528069641.6159983</v>
      </c>
      <c r="E94" s="7">
        <f>SUMIFS('HQ2'!$AC:$AC,'HQ2'!$A:$A, "="&amp;Report_HQ2!C94,'HQ2'!$B:$B,Report_HQ2!$E$6)</f>
        <v>-325305960.05500084</v>
      </c>
      <c r="F94" s="7">
        <f>SUMIFS('HQ2'!$AC:$AC,'HQ2'!$A:$A, "="&amp;Report_HQ2!C94,'HQ2'!$B:$B,Report_HQ2!$F$6)</f>
        <v>169434364.01399997</v>
      </c>
      <c r="G94" s="7">
        <f>SUMIFS('HQ2'!$AC:$AC,'HQ2'!$A:$A, "="&amp;Report_HQ2!C94,'HQ2'!$B:$B,Report_HQ2!$G$6)</f>
        <v>9413595785.8220005</v>
      </c>
      <c r="H94" s="7">
        <f>SUMIFS('HQ2'!$AC:$AC,'HQ2'!$A:$A, "="&amp;Report_HQ2!C94,'HQ2'!$B:$B,Report_HQ2!$H$6)</f>
        <v>0</v>
      </c>
      <c r="I94" s="7">
        <f>SUMIFS('HQ2'!$AC:$AC,'HQ2'!$A:$A, "="&amp;Report_HQ2!C94,'HQ2'!$B:$B,Report_HQ2!$I$6)</f>
        <v>0</v>
      </c>
      <c r="J94" s="7">
        <f>SUMIFS('HQ2'!$AC:$AC,'HQ2'!$A:$A, "="&amp;Report_HQ2!C94,'HQ2'!$B:$B,Report_HQ2!$J$6)</f>
        <v>0</v>
      </c>
      <c r="K94" s="24">
        <f t="shared" si="8"/>
        <v>10785793831.396997</v>
      </c>
      <c r="L94" s="7">
        <f>SUMIFS('HQ2'!$AC:$AC,'HQ2'!$A:$A, "="&amp;Report_HQ2!C94,'HQ2'!$B:$B,"Total")</f>
        <v>10785793831.396999</v>
      </c>
      <c r="M94" s="24">
        <f t="shared" si="9"/>
        <v>0</v>
      </c>
    </row>
    <row r="95" spans="1:13" x14ac:dyDescent="0.25">
      <c r="A95" s="9" t="s">
        <v>225</v>
      </c>
      <c r="B95" s="93" t="s">
        <v>139</v>
      </c>
      <c r="C95" s="93" t="s">
        <v>139</v>
      </c>
      <c r="D95" s="7">
        <f>SUMIFS('HQ2'!$AC:$AC,'HQ2'!$A:$A, "="&amp;Report_HQ2!C95,'HQ2'!$B:$B,Report_HQ2!$D$6)</f>
        <v>0</v>
      </c>
      <c r="E95" s="7">
        <f>SUMIFS('HQ2'!$AC:$AC,'HQ2'!$A:$A, "="&amp;Report_HQ2!C95,'HQ2'!$B:$B,Report_HQ2!$E$6)</f>
        <v>0</v>
      </c>
      <c r="F95" s="7">
        <f>SUMIFS('HQ2'!$AC:$AC,'HQ2'!$A:$A, "="&amp;Report_HQ2!C95,'HQ2'!$B:$B,Report_HQ2!$F$6)</f>
        <v>0</v>
      </c>
      <c r="G95" s="7">
        <f>SUMIFS('HQ2'!$AC:$AC,'HQ2'!$A:$A, "="&amp;Report_HQ2!C95,'HQ2'!$B:$B,Report_HQ2!$G$6)</f>
        <v>0</v>
      </c>
      <c r="H95" s="7">
        <f>SUMIFS('HQ2'!$AC:$AC,'HQ2'!$A:$A, "="&amp;Report_HQ2!C95,'HQ2'!$B:$B,Report_HQ2!$H$6)</f>
        <v>0</v>
      </c>
      <c r="I95" s="7">
        <f>SUMIFS('HQ2'!$AC:$AC,'HQ2'!$A:$A, "="&amp;Report_HQ2!C95,'HQ2'!$B:$B,Report_HQ2!$I$6)</f>
        <v>0</v>
      </c>
      <c r="J95" s="7">
        <f>SUMIFS('HQ2'!$AC:$AC,'HQ2'!$A:$A, "="&amp;Report_HQ2!C95,'HQ2'!$B:$B,Report_HQ2!$J$6)</f>
        <v>0</v>
      </c>
      <c r="K95" s="24">
        <f t="shared" si="8"/>
        <v>0</v>
      </c>
      <c r="L95" s="7">
        <f>SUMIFS('HQ2'!$AC:$AC,'HQ2'!$A:$A, "="&amp;Report_HQ2!C95,'HQ2'!$B:$B,"Total")</f>
        <v>0</v>
      </c>
      <c r="M95" s="24">
        <f t="shared" si="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95"/>
  <sheetViews>
    <sheetView workbookViewId="0">
      <selection activeCell="K32" sqref="K32"/>
    </sheetView>
  </sheetViews>
  <sheetFormatPr defaultRowHeight="15" x14ac:dyDescent="0.25"/>
  <cols>
    <col min="1" max="1" width="4" bestFit="1" customWidth="1"/>
    <col min="2" max="2" width="19.140625" hidden="1" customWidth="1"/>
    <col min="3" max="3" width="15.28515625" bestFit="1" customWidth="1"/>
    <col min="4" max="4" width="20.140625" bestFit="1" customWidth="1"/>
    <col min="5" max="5" width="21.42578125" customWidth="1"/>
    <col min="6" max="6" width="19" bestFit="1" customWidth="1"/>
    <col min="7" max="7" width="21.7109375" customWidth="1"/>
    <col min="8" max="8" width="21.42578125" customWidth="1"/>
    <col min="9" max="9" width="15.85546875" customWidth="1"/>
    <col min="10" max="10" width="19.5703125" bestFit="1" customWidth="1"/>
    <col min="12" max="12" width="13.5703125" customWidth="1"/>
  </cols>
  <sheetData>
    <row r="1" spans="1:12" x14ac:dyDescent="0.25">
      <c r="B1" t="s">
        <v>368</v>
      </c>
      <c r="C1" t="s">
        <v>368</v>
      </c>
    </row>
    <row r="2" spans="1:12" x14ac:dyDescent="0.25">
      <c r="B2" t="s">
        <v>369</v>
      </c>
      <c r="C2" t="s">
        <v>369</v>
      </c>
    </row>
    <row r="3" spans="1:12" x14ac:dyDescent="0.25">
      <c r="E3" s="37" t="s">
        <v>370</v>
      </c>
      <c r="F3" s="7">
        <f>SUMIF(F7:F85, "&lt;0")</f>
        <v>-37617804950.900002</v>
      </c>
      <c r="G3" s="7">
        <f t="shared" ref="G3:H3" si="0">SUMIF(G7:G85, "&lt;0")</f>
        <v>-14644509236.479902</v>
      </c>
      <c r="H3" s="7">
        <f t="shared" si="0"/>
        <v>-29598870582.166355</v>
      </c>
    </row>
    <row r="4" spans="1:12" x14ac:dyDescent="0.25">
      <c r="E4" s="37" t="s">
        <v>371</v>
      </c>
      <c r="F4" s="7">
        <f>SUMIF(F7:F85, "&gt;=0")</f>
        <v>263418113205.90009</v>
      </c>
      <c r="G4" s="7">
        <f t="shared" ref="G4:H4" si="1">SUMIF(G7:G85, "&gt;=0")</f>
        <v>178691889014.23587</v>
      </c>
      <c r="H4" s="7">
        <f t="shared" si="1"/>
        <v>419446558614.92249</v>
      </c>
    </row>
    <row r="5" spans="1:12" x14ac:dyDescent="0.25">
      <c r="C5" s="39"/>
      <c r="D5" s="24"/>
      <c r="E5" s="24"/>
      <c r="F5" s="7">
        <f>SUM(F7:F85)</f>
        <v>225800308255.00009</v>
      </c>
      <c r="G5" s="7">
        <f t="shared" ref="G5:H5" si="2">SUM(G7:G85)</f>
        <v>164047379777.75598</v>
      </c>
      <c r="H5" s="7">
        <f t="shared" si="2"/>
        <v>389847688032.75616</v>
      </c>
    </row>
    <row r="6" spans="1:12" x14ac:dyDescent="0.25">
      <c r="A6" s="6" t="s">
        <v>140</v>
      </c>
      <c r="B6" s="6" t="s">
        <v>141</v>
      </c>
      <c r="C6" s="6" t="s">
        <v>141</v>
      </c>
      <c r="D6" s="77" t="s">
        <v>415</v>
      </c>
      <c r="E6" s="77" t="s">
        <v>416</v>
      </c>
      <c r="F6" s="77" t="s">
        <v>279</v>
      </c>
      <c r="G6" s="77" t="s">
        <v>280</v>
      </c>
      <c r="H6" s="77" t="s">
        <v>277</v>
      </c>
      <c r="I6" s="77" t="s">
        <v>417</v>
      </c>
      <c r="J6" s="77" t="s">
        <v>418</v>
      </c>
      <c r="K6" s="6" t="s">
        <v>421</v>
      </c>
      <c r="L6" s="6" t="s">
        <v>422</v>
      </c>
    </row>
    <row r="7" spans="1:12" x14ac:dyDescent="0.25">
      <c r="A7" s="9" t="s">
        <v>284</v>
      </c>
      <c r="B7" t="s">
        <v>142</v>
      </c>
      <c r="C7" t="s">
        <v>82</v>
      </c>
      <c r="D7" s="7">
        <f>SUMIFS('HQ1'!$C:$C,'HQ1'!$A:$A, "="&amp;Report_Tổng!C7, 'HQ1'!$B:$B, "Total")</f>
        <v>17997611630</v>
      </c>
      <c r="E7" s="7">
        <f>SUMIFS('HQ2'!$F:$F,'HQ2'!$A:$A, "="&amp;Report_Tổng!C7, 'HQ2'!$B:$B, "Total")</f>
        <v>3102733034.46</v>
      </c>
      <c r="F7" s="7">
        <f>SUMIFS(Report_HQ1!$H:$H,Report_HQ1!$A:$A, "="&amp;Report_Tổng!A7)</f>
        <v>1049110927.35</v>
      </c>
      <c r="G7" s="7">
        <f>SUMIFS(Report_HQ2!$K:$K,Report_HQ2!$A:$A, "="&amp;Report_Tổng!A7)</f>
        <v>1714062626.0637</v>
      </c>
      <c r="H7" s="24">
        <f>F7+G7</f>
        <v>2763173553.4137001</v>
      </c>
      <c r="I7" s="78">
        <f>SUMIFS('HQ1'!$L:$L,'HQ1'!$A:$A,"="&amp;Report_Tổng!C7,'HQ1'!$B:$B, "Total")</f>
        <v>0.59335940146413346</v>
      </c>
      <c r="J7" s="78">
        <f>SUMIFS('HQ2'!$AD:$AD,'HQ2'!$A:$A,"="&amp;Report_Tổng!C7,'HQ1'!$B:$B, "Total")</f>
        <v>0.26212018137216514</v>
      </c>
      <c r="K7" s="78">
        <f>F7/D7</f>
        <v>5.829167496876362E-2</v>
      </c>
      <c r="L7" s="78">
        <f>G7/E7</f>
        <v>0.55243638657491378</v>
      </c>
    </row>
    <row r="8" spans="1:12" x14ac:dyDescent="0.25">
      <c r="A8" s="9" t="s">
        <v>285</v>
      </c>
      <c r="B8" t="s">
        <v>143</v>
      </c>
      <c r="C8" t="s">
        <v>61</v>
      </c>
      <c r="D8" s="7">
        <f>SUMIFS('HQ1'!$C:$C,'HQ1'!$A:$A, "="&amp;Report_Tổng!C8, 'HQ1'!$B:$B, "Total")</f>
        <v>31933573654</v>
      </c>
      <c r="E8" s="7">
        <f>SUMIFS('HQ2'!$F:$F,'HQ2'!$A:$A, "="&amp;Report_Tổng!C8, 'HQ2'!$B:$B, "Total")</f>
        <v>8715711623.0299988</v>
      </c>
      <c r="F8" s="7">
        <f>SUMIFS(Report_HQ1!$H:$H,Report_HQ1!$A:$A, "="&amp;Report_Tổng!A8)</f>
        <v>6435140098.6300001</v>
      </c>
      <c r="G8" s="7">
        <f>SUMIFS(Report_HQ2!$K:$K,Report_HQ2!$A:$A, "="&amp;Report_Tổng!A8)</f>
        <v>4143242246.6280999</v>
      </c>
      <c r="H8" s="24">
        <f t="shared" ref="H8:H71" si="3">F8+G8</f>
        <v>10578382345.258101</v>
      </c>
      <c r="I8" s="78">
        <f>SUMIFS('HQ1'!$L:$L,'HQ1'!$A:$A,"="&amp;Report_Tổng!C8,'HQ1'!$B:$B, "Total")</f>
        <v>0.4237348974368163</v>
      </c>
      <c r="J8" s="78">
        <f>SUMIFS('HQ2'!$AD:$AD,'HQ2'!$A:$A,"="&amp;Report_Tổng!C8,'HQ1'!$B:$B, "Total")</f>
        <v>0</v>
      </c>
      <c r="K8" s="78">
        <f t="shared" ref="K8:K71" si="4">F8/D8</f>
        <v>0.20151644060745247</v>
      </c>
      <c r="L8" s="78">
        <f t="shared" ref="L8:L71" si="5">G8/E8</f>
        <v>0.47537624302302356</v>
      </c>
    </row>
    <row r="9" spans="1:12" x14ac:dyDescent="0.25">
      <c r="A9" s="9" t="s">
        <v>286</v>
      </c>
      <c r="B9" t="s">
        <v>144</v>
      </c>
      <c r="C9" t="s">
        <v>76</v>
      </c>
      <c r="D9" s="7">
        <f>SUMIFS('HQ1'!$C:$C,'HQ1'!$A:$A, "="&amp;Report_Tổng!C9, 'HQ1'!$B:$B, "Total")</f>
        <v>9046686799</v>
      </c>
      <c r="E9" s="7">
        <f>SUMIFS('HQ2'!$F:$F,'HQ2'!$A:$A, "="&amp;Report_Tổng!C9, 'HQ2'!$B:$B, "Total")</f>
        <v>3973574106.7000003</v>
      </c>
      <c r="F9" s="7">
        <f>SUMIFS(Report_HQ1!$H:$H,Report_HQ1!$A:$A, "="&amp;Report_Tổng!A9)</f>
        <v>8172522259.2300005</v>
      </c>
      <c r="G9" s="7">
        <f>SUMIFS(Report_HQ2!$K:$K,Report_HQ2!$A:$A, "="&amp;Report_Tổng!A9)</f>
        <v>2419701357.3505001</v>
      </c>
      <c r="H9" s="24">
        <f t="shared" si="3"/>
        <v>10592223616.580502</v>
      </c>
      <c r="I9" s="78">
        <f>SUMIFS('HQ1'!$L:$L,'HQ1'!$A:$A,"="&amp;Report_Tổng!C9,'HQ1'!$B:$B, "Total")</f>
        <v>-2.0128808475215462E-2</v>
      </c>
      <c r="J9" s="78">
        <f>SUMIFS('HQ2'!$AD:$AD,'HQ2'!$A:$A,"="&amp;Report_Tổng!C9,'HQ1'!$B:$B, "Total")</f>
        <v>1.1547317495016873</v>
      </c>
      <c r="K9" s="78">
        <f t="shared" si="4"/>
        <v>0.90337185765438155</v>
      </c>
      <c r="L9" s="78">
        <f t="shared" si="5"/>
        <v>0.60894834030414735</v>
      </c>
    </row>
    <row r="10" spans="1:12" x14ac:dyDescent="0.25">
      <c r="A10" s="9" t="s">
        <v>287</v>
      </c>
      <c r="B10" t="s">
        <v>145</v>
      </c>
      <c r="C10" t="s">
        <v>127</v>
      </c>
      <c r="D10" s="7">
        <f>SUMIFS('HQ1'!$C:$C,'HQ1'!$A:$A, "="&amp;Report_Tổng!C10, 'HQ1'!$B:$B, "Total")</f>
        <v>1385081499</v>
      </c>
      <c r="E10" s="7">
        <f>SUMIFS('HQ2'!$F:$F,'HQ2'!$A:$A, "="&amp;Report_Tổng!C10, 'HQ2'!$B:$B, "Total")</f>
        <v>90707871.439999998</v>
      </c>
      <c r="F10" s="7">
        <f>SUMIFS(Report_HQ1!$H:$H,Report_HQ1!$A:$A, "="&amp;Report_Tổng!A10)</f>
        <v>234190342.53</v>
      </c>
      <c r="G10" s="7">
        <f>SUMIFS(Report_HQ2!$K:$K,Report_HQ2!$A:$A, "="&amp;Report_Tổng!A10)</f>
        <v>77884118.600800142</v>
      </c>
      <c r="H10" s="24">
        <f t="shared" si="3"/>
        <v>312074461.13080013</v>
      </c>
      <c r="I10" s="78">
        <f>SUMIFS('HQ1'!$L:$L,'HQ1'!$A:$A,"="&amp;Report_Tổng!C10,'HQ1'!$B:$B, "Total")</f>
        <v>0.40103771827447621</v>
      </c>
      <c r="J10" s="78">
        <f>SUMIFS('HQ2'!$AD:$AD,'HQ2'!$A:$A,"="&amp;Report_Tổng!C10,'HQ1'!$B:$B, "Total")</f>
        <v>0</v>
      </c>
      <c r="K10" s="78">
        <f t="shared" si="4"/>
        <v>0.1690805506384141</v>
      </c>
      <c r="L10" s="78">
        <f t="shared" si="5"/>
        <v>0.85862579911069448</v>
      </c>
    </row>
    <row r="11" spans="1:12" x14ac:dyDescent="0.25">
      <c r="A11" s="9" t="s">
        <v>288</v>
      </c>
      <c r="B11" t="s">
        <v>146</v>
      </c>
      <c r="C11" t="s">
        <v>91</v>
      </c>
      <c r="D11" s="7">
        <f>SUMIFS('HQ1'!$C:$C,'HQ1'!$A:$A, "="&amp;Report_Tổng!C11, 'HQ1'!$B:$B, "Total")</f>
        <v>14133840902</v>
      </c>
      <c r="E11" s="7">
        <f>SUMIFS('HQ2'!$F:$F,'HQ2'!$A:$A, "="&amp;Report_Tổng!C11, 'HQ2'!$B:$B, "Total")</f>
        <v>2184394459.1149998</v>
      </c>
      <c r="F11" s="7">
        <f>SUMIFS(Report_HQ1!$H:$H,Report_HQ1!$A:$A, "="&amp;Report_Tổng!A11)</f>
        <v>374403449.34000003</v>
      </c>
      <c r="G11" s="7">
        <f>SUMIFS(Report_HQ2!$K:$K,Report_HQ2!$A:$A, "="&amp;Report_Tổng!A11)</f>
        <v>632212465.17604995</v>
      </c>
      <c r="H11" s="24">
        <f t="shared" si="3"/>
        <v>1006615914.51605</v>
      </c>
      <c r="I11" s="78">
        <f>SUMIFS('HQ1'!$L:$L,'HQ1'!$A:$A,"="&amp;Report_Tổng!C11,'HQ1'!$B:$B, "Total")</f>
        <v>0.57812377860537456</v>
      </c>
      <c r="J11" s="78">
        <f>SUMIFS('HQ2'!$AD:$AD,'HQ2'!$A:$A,"="&amp;Report_Tổng!C11,'HQ1'!$B:$B, "Total")</f>
        <v>0</v>
      </c>
      <c r="K11" s="78">
        <f t="shared" si="4"/>
        <v>2.6489858767762154E-2</v>
      </c>
      <c r="L11" s="78">
        <f t="shared" si="5"/>
        <v>0.28942229849465412</v>
      </c>
    </row>
    <row r="12" spans="1:12" x14ac:dyDescent="0.25">
      <c r="A12" s="9" t="s">
        <v>289</v>
      </c>
      <c r="B12" t="s">
        <v>147</v>
      </c>
      <c r="C12" t="s">
        <v>123</v>
      </c>
      <c r="D12" s="7">
        <f>SUMIFS('HQ1'!$C:$C,'HQ1'!$A:$A, "="&amp;Report_Tổng!C12, 'HQ1'!$B:$B, "Total")</f>
        <v>4987676698</v>
      </c>
      <c r="E12" s="7">
        <f>SUMIFS('HQ2'!$F:$F,'HQ2'!$A:$A, "="&amp;Report_Tổng!C12, 'HQ2'!$B:$B, "Total")</f>
        <v>332740162.78499997</v>
      </c>
      <c r="F12" s="7">
        <f>SUMIFS(Report_HQ1!$H:$H,Report_HQ1!$A:$A, "="&amp;Report_Tổng!A12)</f>
        <v>817682748.16000009</v>
      </c>
      <c r="G12" s="7">
        <f>SUMIFS(Report_HQ2!$K:$K,Report_HQ2!$A:$A, "="&amp;Report_Tổng!A12)</f>
        <v>496499232.2254501</v>
      </c>
      <c r="H12" s="24">
        <f t="shared" si="3"/>
        <v>1314181980.3854501</v>
      </c>
      <c r="I12" s="78">
        <f>SUMIFS('HQ1'!$L:$L,'HQ1'!$A:$A,"="&amp;Report_Tổng!C12,'HQ1'!$B:$B, "Total")</f>
        <v>0.41661343813615004</v>
      </c>
      <c r="J12" s="78">
        <f>SUMIFS('HQ2'!$AD:$AD,'HQ2'!$A:$A,"="&amp;Report_Tổng!C12,'HQ1'!$B:$B, "Total")</f>
        <v>0</v>
      </c>
      <c r="K12" s="78">
        <f t="shared" si="4"/>
        <v>0.16394060755539375</v>
      </c>
      <c r="L12" s="78">
        <f t="shared" si="5"/>
        <v>1.4921530003165353</v>
      </c>
    </row>
    <row r="13" spans="1:12" x14ac:dyDescent="0.25">
      <c r="A13" s="9" t="s">
        <v>290</v>
      </c>
      <c r="B13" t="s">
        <v>148</v>
      </c>
      <c r="C13" t="s">
        <v>49</v>
      </c>
      <c r="D13" s="7">
        <f>SUMIFS('HQ1'!$C:$C,'HQ1'!$A:$A, "="&amp;Report_Tổng!C13, 'HQ1'!$B:$B, "Total")</f>
        <v>12392812129</v>
      </c>
      <c r="E13" s="7">
        <f>SUMIFS('HQ2'!$F:$F,'HQ2'!$A:$A, "="&amp;Report_Tổng!C13, 'HQ2'!$B:$B, "Total")</f>
        <v>19428822320.880001</v>
      </c>
      <c r="F13" s="7">
        <f>SUMIFS(Report_HQ1!$H:$H,Report_HQ1!$A:$A, "="&amp;Report_Tổng!A13)</f>
        <v>474076922.69999981</v>
      </c>
      <c r="G13" s="7">
        <f>SUMIFS(Report_HQ2!$K:$K,Report_HQ2!$A:$A, "="&amp;Report_Tổng!A13)</f>
        <v>12610051189.312601</v>
      </c>
      <c r="H13" s="24">
        <f t="shared" si="3"/>
        <v>13084128112.0126</v>
      </c>
      <c r="I13" s="78">
        <f>SUMIFS('HQ1'!$L:$L,'HQ1'!$A:$A,"="&amp;Report_Tổng!C13,'HQ1'!$B:$B, "Total")</f>
        <v>0.60432447712402126</v>
      </c>
      <c r="J13" s="78">
        <f>SUMIFS('HQ2'!$AD:$AD,'HQ2'!$A:$A,"="&amp;Report_Tổng!C13,'HQ1'!$B:$B, "Total")</f>
        <v>1.2848084427525112E-2</v>
      </c>
      <c r="K13" s="78">
        <f t="shared" si="4"/>
        <v>3.8254184584193641E-2</v>
      </c>
      <c r="L13" s="78">
        <f t="shared" si="5"/>
        <v>0.64903837098559902</v>
      </c>
    </row>
    <row r="14" spans="1:12" x14ac:dyDescent="0.25">
      <c r="A14" s="9" t="s">
        <v>291</v>
      </c>
      <c r="B14" t="s">
        <v>149</v>
      </c>
      <c r="C14" t="s">
        <v>79</v>
      </c>
      <c r="D14" s="7">
        <f>SUMIFS('HQ1'!$C:$C,'HQ1'!$A:$A, "="&amp;Report_Tổng!C14, 'HQ1'!$B:$B, "Total")</f>
        <v>16408234629</v>
      </c>
      <c r="E14" s="7">
        <f>SUMIFS('HQ2'!$F:$F,'HQ2'!$A:$A, "="&amp;Report_Tổng!C14, 'HQ2'!$B:$B, "Total")</f>
        <v>3305600954.915</v>
      </c>
      <c r="F14" s="7">
        <f>SUMIFS(Report_HQ1!$H:$H,Report_HQ1!$A:$A, "="&amp;Report_Tổng!A14)</f>
        <v>4349463607.0799999</v>
      </c>
      <c r="G14" s="7">
        <f>SUMIFS(Report_HQ2!$K:$K,Report_HQ2!$A:$A, "="&amp;Report_Tổng!A14)</f>
        <v>1704826604.2700493</v>
      </c>
      <c r="H14" s="24">
        <f t="shared" si="3"/>
        <v>6054290211.350049</v>
      </c>
      <c r="I14" s="78">
        <f>SUMIFS('HQ1'!$L:$L,'HQ1'!$A:$A,"="&amp;Report_Tổng!C14,'HQ1'!$B:$B, "Total")</f>
        <v>0.35230503175108668</v>
      </c>
      <c r="J14" s="78">
        <f>SUMIFS('HQ2'!$AD:$AD,'HQ2'!$A:$A,"="&amp;Report_Tổng!C14,'HQ1'!$B:$B, "Total")</f>
        <v>5.8587711204579444E-2</v>
      </c>
      <c r="K14" s="78">
        <f t="shared" si="4"/>
        <v>0.26507809678639865</v>
      </c>
      <c r="L14" s="78">
        <f t="shared" si="5"/>
        <v>0.51573878018615438</v>
      </c>
    </row>
    <row r="15" spans="1:12" x14ac:dyDescent="0.25">
      <c r="A15" s="9" t="s">
        <v>292</v>
      </c>
      <c r="B15" t="s">
        <v>150</v>
      </c>
      <c r="C15" t="s">
        <v>100</v>
      </c>
      <c r="D15" s="7">
        <f>SUMIFS('HQ1'!$C:$C,'HQ1'!$A:$A, "="&amp;Report_Tổng!C15, 'HQ1'!$B:$B, "Total")</f>
        <v>3637715604</v>
      </c>
      <c r="E15" s="7">
        <f>SUMIFS('HQ2'!$F:$F,'HQ2'!$A:$A, "="&amp;Report_Tổng!C15, 'HQ2'!$B:$B, "Total")</f>
        <v>1544882993.3400002</v>
      </c>
      <c r="F15" s="7">
        <f>SUMIFS(Report_HQ1!$H:$H,Report_HQ1!$A:$A, "="&amp;Report_Tổng!A15)</f>
        <v>-3799695799.0700002</v>
      </c>
      <c r="G15" s="7">
        <f>SUMIFS(Report_HQ2!$K:$K,Report_HQ2!$A:$A, "="&amp;Report_Tổng!A15)</f>
        <v>-371821525.66770005</v>
      </c>
      <c r="H15" s="24">
        <f t="shared" si="3"/>
        <v>-4171517324.7377005</v>
      </c>
      <c r="I15" s="78">
        <f>SUMIFS('HQ1'!$L:$L,'HQ1'!$A:$A,"="&amp;Report_Tổng!C15,'HQ1'!$B:$B, "Total")</f>
        <v>1.5508957696234751</v>
      </c>
      <c r="J15" s="78">
        <f>SUMIFS('HQ2'!$AD:$AD,'HQ2'!$A:$A,"="&amp;Report_Tổng!C15,'HQ1'!$B:$B, "Total")</f>
        <v>0</v>
      </c>
      <c r="K15" s="78">
        <f t="shared" si="4"/>
        <v>-1.0445279985306954</v>
      </c>
      <c r="L15" s="78">
        <f t="shared" si="5"/>
        <v>-0.24067940890709838</v>
      </c>
    </row>
    <row r="16" spans="1:12" x14ac:dyDescent="0.25">
      <c r="A16" s="9" t="s">
        <v>293</v>
      </c>
      <c r="B16" t="s">
        <v>151</v>
      </c>
      <c r="C16" t="s">
        <v>62</v>
      </c>
      <c r="D16" s="7">
        <f>SUMIFS('HQ1'!$C:$C,'HQ1'!$A:$A, "="&amp;Report_Tổng!C16, 'HQ1'!$B:$B, "Total")</f>
        <v>13536054851</v>
      </c>
      <c r="E16" s="7">
        <f>SUMIFS('HQ2'!$F:$F,'HQ2'!$A:$A, "="&amp;Report_Tổng!C16, 'HQ2'!$B:$B, "Total")</f>
        <v>8552598967.7000008</v>
      </c>
      <c r="F16" s="7">
        <f>SUMIFS(Report_HQ1!$H:$H,Report_HQ1!$A:$A, "="&amp;Report_Tổng!A16)</f>
        <v>1918788755.47</v>
      </c>
      <c r="G16" s="7">
        <f>SUMIFS(Report_HQ2!$K:$K,Report_HQ2!$A:$A, "="&amp;Report_Tổng!A16)</f>
        <v>-2830249979.6715021</v>
      </c>
      <c r="H16" s="24">
        <f t="shared" si="3"/>
        <v>-911461224.20150208</v>
      </c>
      <c r="I16" s="78">
        <f>SUMIFS('HQ1'!$L:$L,'HQ1'!$A:$A,"="&amp;Report_Tổng!C16,'HQ1'!$B:$B, "Total")</f>
        <v>0.49228269882098791</v>
      </c>
      <c r="J16" s="78">
        <f>SUMIFS('HQ2'!$AD:$AD,'HQ2'!$A:$A,"="&amp;Report_Tổng!C16,'HQ1'!$B:$B, "Total")</f>
        <v>1.4966742167084133</v>
      </c>
      <c r="K16" s="78">
        <f t="shared" si="4"/>
        <v>0.1417539140164053</v>
      </c>
      <c r="L16" s="78">
        <f t="shared" si="5"/>
        <v>-0.33092279789574003</v>
      </c>
    </row>
    <row r="17" spans="1:12" x14ac:dyDescent="0.25">
      <c r="A17" s="9" t="s">
        <v>294</v>
      </c>
      <c r="B17" t="s">
        <v>152</v>
      </c>
      <c r="C17" t="s">
        <v>54</v>
      </c>
      <c r="D17" s="7">
        <f>SUMIFS('HQ1'!$C:$C,'HQ1'!$A:$A, "="&amp;Report_Tổng!C17, 'HQ1'!$B:$B, "Total")</f>
        <v>14029532706</v>
      </c>
      <c r="E17" s="7">
        <f>SUMIFS('HQ2'!$F:$F,'HQ2'!$A:$A, "="&amp;Report_Tổng!C17, 'HQ2'!$B:$B, "Total")</f>
        <v>11137246252.689999</v>
      </c>
      <c r="F17" s="7">
        <f>SUMIFS(Report_HQ1!$H:$H,Report_HQ1!$A:$A, "="&amp;Report_Tổng!A17)</f>
        <v>955940975.17000008</v>
      </c>
      <c r="G17" s="7">
        <f>SUMIFS(Report_HQ2!$K:$K,Report_HQ2!$A:$A, "="&amp;Report_Tổng!A17)</f>
        <v>5252319536.2097988</v>
      </c>
      <c r="H17" s="24">
        <f t="shared" si="3"/>
        <v>6208260511.3797989</v>
      </c>
      <c r="I17" s="78">
        <f>SUMIFS('HQ1'!$L:$L,'HQ1'!$A:$A,"="&amp;Report_Tổng!C17,'HQ1'!$B:$B, "Total")</f>
        <v>0.54767900083192822</v>
      </c>
      <c r="J17" s="78">
        <f>SUMIFS('HQ2'!$AD:$AD,'HQ2'!$A:$A,"="&amp;Report_Tổng!C17,'HQ1'!$B:$B, "Total")</f>
        <v>0</v>
      </c>
      <c r="K17" s="78">
        <f t="shared" si="4"/>
        <v>6.8137763046175692E-2</v>
      </c>
      <c r="L17" s="78">
        <f t="shared" si="5"/>
        <v>0.4715994795339285</v>
      </c>
    </row>
    <row r="18" spans="1:12" x14ac:dyDescent="0.25">
      <c r="A18" s="9" t="s">
        <v>295</v>
      </c>
      <c r="B18" t="s">
        <v>153</v>
      </c>
      <c r="C18" t="s">
        <v>78</v>
      </c>
      <c r="D18" s="7">
        <f>SUMIFS('HQ1'!$C:$C,'HQ1'!$A:$A, "="&amp;Report_Tổng!C18, 'HQ1'!$B:$B, "Total")</f>
        <v>8575615147</v>
      </c>
      <c r="E18" s="7">
        <f>SUMIFS('HQ2'!$F:$F,'HQ2'!$A:$A, "="&amp;Report_Tổng!C18, 'HQ2'!$B:$B, "Total")</f>
        <v>3780506482.3750005</v>
      </c>
      <c r="F18" s="7">
        <f>SUMIFS(Report_HQ1!$H:$H,Report_HQ1!$A:$A, "="&amp;Report_Tổng!A18)</f>
        <v>1431533399.3399999</v>
      </c>
      <c r="G18" s="7">
        <f>SUMIFS(Report_HQ2!$K:$K,Report_HQ2!$A:$A, "="&amp;Report_Tổng!A18)</f>
        <v>2107001985.4697497</v>
      </c>
      <c r="H18" s="24">
        <f t="shared" si="3"/>
        <v>3538535384.8097496</v>
      </c>
      <c r="I18" s="78">
        <f>SUMIFS('HQ1'!$L:$L,'HQ1'!$A:$A,"="&amp;Report_Tổng!C18,'HQ1'!$B:$B, "Total")</f>
        <v>0.46282068432077306</v>
      </c>
      <c r="J18" s="78">
        <f>SUMIFS('HQ2'!$AD:$AD,'HQ2'!$A:$A,"="&amp;Report_Tổng!C18,'HQ1'!$B:$B, "Total")</f>
        <v>0</v>
      </c>
      <c r="K18" s="78">
        <f t="shared" si="4"/>
        <v>0.16693069532636293</v>
      </c>
      <c r="L18" s="78">
        <f t="shared" si="5"/>
        <v>0.5573332555552406</v>
      </c>
    </row>
    <row r="19" spans="1:12" x14ac:dyDescent="0.25">
      <c r="A19" s="9" t="s">
        <v>296</v>
      </c>
      <c r="B19" t="s">
        <v>154</v>
      </c>
      <c r="C19" t="s">
        <v>88</v>
      </c>
      <c r="D19" s="7">
        <f>SUMIFS('HQ1'!$C:$C,'HQ1'!$A:$A, "="&amp;Report_Tổng!C19, 'HQ1'!$B:$B, "Total")</f>
        <v>14259804502</v>
      </c>
      <c r="E19" s="7">
        <f>SUMIFS('HQ2'!$F:$F,'HQ2'!$A:$A, "="&amp;Report_Tổng!C19, 'HQ2'!$B:$B, "Total")</f>
        <v>2330396207.4049993</v>
      </c>
      <c r="F19" s="7">
        <f>SUMIFS(Report_HQ1!$H:$H,Report_HQ1!$A:$A, "="&amp;Report_Tổng!A19)</f>
        <v>-648842164.3099997</v>
      </c>
      <c r="G19" s="7">
        <f>SUMIFS(Report_HQ2!$K:$K,Report_HQ2!$A:$A, "="&amp;Report_Tổng!A19)</f>
        <v>1082659439.5548499</v>
      </c>
      <c r="H19" s="24">
        <f t="shared" si="3"/>
        <v>433817275.24485016</v>
      </c>
      <c r="I19" s="78">
        <f>SUMIFS('HQ1'!$L:$L,'HQ1'!$A:$A,"="&amp;Report_Tổng!C19,'HQ1'!$B:$B, "Total")</f>
        <v>0.65589445156433301</v>
      </c>
      <c r="J19" s="78">
        <f>SUMIFS('HQ2'!$AD:$AD,'HQ2'!$A:$A,"="&amp;Report_Tổng!C19,'HQ1'!$B:$B, "Total")</f>
        <v>0</v>
      </c>
      <c r="K19" s="78">
        <f t="shared" si="4"/>
        <v>-4.5501476841354783E-2</v>
      </c>
      <c r="L19" s="78">
        <f t="shared" si="5"/>
        <v>0.46458170336641585</v>
      </c>
    </row>
    <row r="20" spans="1:12" x14ac:dyDescent="0.25">
      <c r="A20" s="9" t="s">
        <v>297</v>
      </c>
      <c r="B20" t="s">
        <v>155</v>
      </c>
      <c r="C20" t="s">
        <v>106</v>
      </c>
      <c r="D20" s="7">
        <f>SUMIFS('HQ1'!$C:$C,'HQ1'!$A:$A, "="&amp;Report_Tổng!C20, 'HQ1'!$B:$B, "Total")</f>
        <v>4982425894</v>
      </c>
      <c r="E20" s="7">
        <f>SUMIFS('HQ2'!$F:$F,'HQ2'!$A:$A, "="&amp;Report_Tổng!C20, 'HQ2'!$B:$B, "Total")</f>
        <v>1109131820.9299998</v>
      </c>
      <c r="F20" s="7">
        <f>SUMIFS(Report_HQ1!$H:$H,Report_HQ1!$A:$A, "="&amp;Report_Tổng!A20)</f>
        <v>-243437502.72000024</v>
      </c>
      <c r="G20" s="7">
        <f>SUMIFS(Report_HQ2!$K:$K,Report_HQ2!$A:$A, "="&amp;Report_Tổng!A20)</f>
        <v>-1089486625.5444002</v>
      </c>
      <c r="H20" s="24">
        <f t="shared" si="3"/>
        <v>-1332924128.2644005</v>
      </c>
      <c r="I20" s="78">
        <f>SUMIFS('HQ1'!$L:$L,'HQ1'!$A:$A,"="&amp;Report_Tổng!C20,'HQ1'!$B:$B, "Total")</f>
        <v>0.66266920186090106</v>
      </c>
      <c r="J20" s="78">
        <f>SUMIFS('HQ2'!$AD:$AD,'HQ2'!$A:$A,"="&amp;Report_Tổng!C20,'HQ1'!$B:$B, "Total")</f>
        <v>0</v>
      </c>
      <c r="K20" s="78">
        <f t="shared" si="4"/>
        <v>-4.8859232008479171E-2</v>
      </c>
      <c r="L20" s="78">
        <f t="shared" si="5"/>
        <v>-0.98228777227838682</v>
      </c>
    </row>
    <row r="21" spans="1:12" x14ac:dyDescent="0.25">
      <c r="A21" s="9" t="s">
        <v>298</v>
      </c>
      <c r="B21" t="s">
        <v>156</v>
      </c>
      <c r="C21" t="s">
        <v>83</v>
      </c>
      <c r="D21" s="7">
        <f>SUMIFS('HQ1'!$C:$C,'HQ1'!$A:$A, "="&amp;Report_Tổng!C21, 'HQ1'!$B:$B, "Total")</f>
        <v>21468583342</v>
      </c>
      <c r="E21" s="7">
        <f>SUMIFS('HQ2'!$F:$F,'HQ2'!$A:$A, "="&amp;Report_Tổng!C21, 'HQ2'!$B:$B, "Total")</f>
        <v>2950751967.5799999</v>
      </c>
      <c r="F21" s="7">
        <f>SUMIFS(Report_HQ1!$H:$H,Report_HQ1!$A:$A, "="&amp;Report_Tổng!A21)</f>
        <v>1880226895.4900002</v>
      </c>
      <c r="G21" s="7">
        <f>SUMIFS(Report_HQ2!$K:$K,Report_HQ2!$A:$A, "="&amp;Report_Tổng!A21)</f>
        <v>1120100138.1091001</v>
      </c>
      <c r="H21" s="24">
        <f t="shared" si="3"/>
        <v>3000327033.5991001</v>
      </c>
      <c r="I21" s="78">
        <f>SUMIFS('HQ1'!$L:$L,'HQ1'!$A:$A,"="&amp;Report_Tổng!C21,'HQ1'!$B:$B, "Total")</f>
        <v>0.52002864902798596</v>
      </c>
      <c r="J21" s="78">
        <f>SUMIFS('HQ2'!$AD:$AD,'HQ2'!$A:$A,"="&amp;Report_Tổng!C21,'HQ1'!$B:$B, "Total")</f>
        <v>0</v>
      </c>
      <c r="K21" s="78">
        <f t="shared" si="4"/>
        <v>8.7580389704225325E-2</v>
      </c>
      <c r="L21" s="78">
        <f t="shared" si="5"/>
        <v>0.37959820087071833</v>
      </c>
    </row>
    <row r="22" spans="1:12" x14ac:dyDescent="0.25">
      <c r="A22" s="9" t="s">
        <v>299</v>
      </c>
      <c r="B22" t="s">
        <v>157</v>
      </c>
      <c r="C22" t="s">
        <v>124</v>
      </c>
      <c r="D22" s="7">
        <f>SUMIFS('HQ1'!$C:$C,'HQ1'!$A:$A, "="&amp;Report_Tổng!C22, 'HQ1'!$B:$B, "Total")</f>
        <v>3323199029</v>
      </c>
      <c r="E22" s="7">
        <f>SUMIFS('HQ2'!$F:$F,'HQ2'!$A:$A, "="&amp;Report_Tổng!C22, 'HQ2'!$B:$B, "Total")</f>
        <v>237577828.61000001</v>
      </c>
      <c r="F22" s="7">
        <f>SUMIFS(Report_HQ1!$H:$H,Report_HQ1!$A:$A, "="&amp;Report_Tổng!A22)</f>
        <v>1114637938.1300001</v>
      </c>
      <c r="G22" s="7">
        <f>SUMIFS(Report_HQ2!$K:$K,Report_HQ2!$A:$A, "="&amp;Report_Tổng!A22)</f>
        <v>157267006.89019999</v>
      </c>
      <c r="H22" s="24">
        <f t="shared" si="3"/>
        <v>1271904945.0202</v>
      </c>
      <c r="I22" s="78">
        <f>SUMIFS('HQ1'!$L:$L,'HQ1'!$A:$A,"="&amp;Report_Tổng!C22,'HQ1'!$B:$B, "Total")</f>
        <v>0.26979723253256582</v>
      </c>
      <c r="J22" s="78">
        <f>SUMIFS('HQ2'!$AD:$AD,'HQ2'!$A:$A,"="&amp;Report_Tổng!C22,'HQ1'!$B:$B, "Total")</f>
        <v>0</v>
      </c>
      <c r="K22" s="78">
        <f t="shared" si="4"/>
        <v>0.33541112897635</v>
      </c>
      <c r="L22" s="78">
        <f t="shared" si="5"/>
        <v>0.66195994723213147</v>
      </c>
    </row>
    <row r="23" spans="1:12" x14ac:dyDescent="0.25">
      <c r="A23" s="9" t="s">
        <v>300</v>
      </c>
      <c r="B23" t="s">
        <v>158</v>
      </c>
      <c r="C23" t="s">
        <v>59</v>
      </c>
      <c r="D23" s="7">
        <f>SUMIFS('HQ1'!$C:$C,'HQ1'!$A:$A, "="&amp;Report_Tổng!C23, 'HQ1'!$B:$B, "Total")</f>
        <v>53174961463</v>
      </c>
      <c r="E23" s="7">
        <f>SUMIFS('HQ2'!$F:$F,'HQ2'!$A:$A, "="&amp;Report_Tổng!C23, 'HQ2'!$B:$B, "Total")</f>
        <v>9280014792.6749992</v>
      </c>
      <c r="F23" s="7">
        <f>SUMIFS(Report_HQ1!$H:$H,Report_HQ1!$A:$A, "="&amp;Report_Tổng!A23)</f>
        <v>13861320159.110001</v>
      </c>
      <c r="G23" s="7">
        <f>SUMIFS(Report_HQ2!$K:$K,Report_HQ2!$A:$A, "="&amp;Report_Tổng!A23)</f>
        <v>5569538907.25175</v>
      </c>
      <c r="H23" s="24">
        <f t="shared" si="3"/>
        <v>19430859066.361752</v>
      </c>
      <c r="I23" s="78">
        <f>SUMIFS('HQ1'!$L:$L,'HQ1'!$A:$A,"="&amp;Report_Tổng!C23,'HQ1'!$B:$B, "Total")</f>
        <v>0.41599619534107907</v>
      </c>
      <c r="J23" s="78">
        <f>SUMIFS('HQ2'!$AD:$AD,'HQ2'!$A:$A,"="&amp;Report_Tổng!C23,'HQ1'!$B:$B, "Total")</f>
        <v>0.26543518017301998</v>
      </c>
      <c r="K23" s="78">
        <f t="shared" si="4"/>
        <v>0.26067381673148804</v>
      </c>
      <c r="L23" s="78">
        <f t="shared" si="5"/>
        <v>0.60016487383705019</v>
      </c>
    </row>
    <row r="24" spans="1:12" x14ac:dyDescent="0.25">
      <c r="A24" s="9" t="s">
        <v>301</v>
      </c>
      <c r="B24" t="s">
        <v>159</v>
      </c>
      <c r="C24" t="s">
        <v>81</v>
      </c>
      <c r="D24" s="7">
        <f>SUMIFS('HQ1'!$C:$C,'HQ1'!$A:$A, "="&amp;Report_Tổng!C24, 'HQ1'!$B:$B, "Total")</f>
        <v>15715882530</v>
      </c>
      <c r="E24" s="7">
        <f>SUMIFS('HQ2'!$F:$F,'HQ2'!$A:$A, "="&amp;Report_Tổng!C24, 'HQ2'!$B:$B, "Total")</f>
        <v>3176798128.105</v>
      </c>
      <c r="F24" s="7">
        <f>SUMIFS(Report_HQ1!$H:$H,Report_HQ1!$A:$A, "="&amp;Report_Tổng!A24)</f>
        <v>-376002884.8499999</v>
      </c>
      <c r="G24" s="7">
        <f>SUMIFS(Report_HQ2!$K:$K,Report_HQ2!$A:$A, "="&amp;Report_Tổng!A24)</f>
        <v>1920175689.5503497</v>
      </c>
      <c r="H24" s="24">
        <f t="shared" si="3"/>
        <v>1544172804.7003498</v>
      </c>
      <c r="I24" s="78">
        <f>SUMIFS('HQ1'!$L:$L,'HQ1'!$A:$A,"="&amp;Report_Tổng!C24,'HQ1'!$B:$B, "Total")</f>
        <v>0.65470227665940373</v>
      </c>
      <c r="J24" s="78">
        <f>SUMIFS('HQ2'!$AD:$AD,'HQ2'!$A:$A,"="&amp;Report_Tổng!C24,'HQ1'!$B:$B, "Total")</f>
        <v>0</v>
      </c>
      <c r="K24" s="78">
        <f t="shared" si="4"/>
        <v>-2.3925025154155306E-2</v>
      </c>
      <c r="L24" s="78">
        <f t="shared" si="5"/>
        <v>0.6044374279129151</v>
      </c>
    </row>
    <row r="25" spans="1:12" x14ac:dyDescent="0.25">
      <c r="A25" s="9" t="s">
        <v>302</v>
      </c>
      <c r="B25" t="s">
        <v>160</v>
      </c>
      <c r="C25" t="s">
        <v>120</v>
      </c>
      <c r="D25" s="7">
        <f>SUMIFS('HQ1'!$C:$C,'HQ1'!$A:$A, "="&amp;Report_Tổng!C25, 'HQ1'!$B:$B, "Total")</f>
        <v>4584409783</v>
      </c>
      <c r="E25" s="7">
        <f>SUMIFS('HQ2'!$F:$F,'HQ2'!$A:$A, "="&amp;Report_Tổng!C25, 'HQ2'!$B:$B, "Total")</f>
        <v>398810119.95499992</v>
      </c>
      <c r="F25" s="7">
        <f>SUMIFS(Report_HQ1!$H:$H,Report_HQ1!$A:$A, "="&amp;Report_Tổng!A25)</f>
        <v>809325147.25999999</v>
      </c>
      <c r="G25" s="7">
        <f>SUMIFS(Report_HQ2!$K:$K,Report_HQ2!$A:$A, "="&amp;Report_Tổng!A25)</f>
        <v>212174372.63284996</v>
      </c>
      <c r="H25" s="24">
        <f t="shared" si="3"/>
        <v>1021499519.8928499</v>
      </c>
      <c r="I25" s="78">
        <f>SUMIFS('HQ1'!$L:$L,'HQ1'!$A:$A,"="&amp;Report_Tổng!C25,'HQ1'!$B:$B, "Total")</f>
        <v>0.41550183621991749</v>
      </c>
      <c r="J25" s="78">
        <f>SUMIFS('HQ2'!$AD:$AD,'HQ2'!$A:$A,"="&amp;Report_Tổng!C25,'HQ1'!$B:$B, "Total")</f>
        <v>0</v>
      </c>
      <c r="K25" s="78">
        <f t="shared" si="4"/>
        <v>0.17653856997277068</v>
      </c>
      <c r="L25" s="78">
        <f t="shared" si="5"/>
        <v>0.53201852715470421</v>
      </c>
    </row>
    <row r="26" spans="1:12" x14ac:dyDescent="0.25">
      <c r="A26" s="9" t="s">
        <v>303</v>
      </c>
      <c r="B26" t="s">
        <v>161</v>
      </c>
      <c r="C26" t="s">
        <v>111</v>
      </c>
      <c r="D26" s="7">
        <f>SUMIFS('HQ1'!$C:$C,'HQ1'!$A:$A, "="&amp;Report_Tổng!C26, 'HQ1'!$B:$B, "Total")</f>
        <v>6169897870</v>
      </c>
      <c r="E26" s="7">
        <f>SUMIFS('HQ2'!$F:$F,'HQ2'!$A:$A, "="&amp;Report_Tổng!C26, 'HQ2'!$B:$B, "Total")</f>
        <v>940294202.24499989</v>
      </c>
      <c r="F26" s="7">
        <f>SUMIFS(Report_HQ1!$H:$H,Report_HQ1!$A:$A, "="&amp;Report_Tổng!A26)</f>
        <v>-801775194.85000002</v>
      </c>
      <c r="G26" s="7">
        <f>SUMIFS(Report_HQ2!$K:$K,Report_HQ2!$A:$A, "="&amp;Report_Tổng!A26)</f>
        <v>1252775031.0026498</v>
      </c>
      <c r="H26" s="24">
        <f t="shared" si="3"/>
        <v>450999836.15264976</v>
      </c>
      <c r="I26" s="78">
        <f>SUMIFS('HQ1'!$L:$L,'HQ1'!$A:$A,"="&amp;Report_Tổng!C26,'HQ1'!$B:$B, "Total")</f>
        <v>0.56940009825501581</v>
      </c>
      <c r="J26" s="78">
        <f>SUMIFS('HQ2'!$AD:$AD,'HQ2'!$A:$A,"="&amp;Report_Tổng!C26,'HQ1'!$B:$B, "Total")</f>
        <v>0</v>
      </c>
      <c r="K26" s="78">
        <f t="shared" si="4"/>
        <v>-0.12994950836195931</v>
      </c>
      <c r="L26" s="78">
        <f t="shared" si="5"/>
        <v>1.3323224029368532</v>
      </c>
    </row>
    <row r="27" spans="1:12" x14ac:dyDescent="0.25">
      <c r="A27" s="9" t="s">
        <v>304</v>
      </c>
      <c r="B27" t="s">
        <v>162</v>
      </c>
      <c r="C27" t="s">
        <v>48</v>
      </c>
      <c r="D27" s="7">
        <f>SUMIFS('HQ1'!$C:$C,'HQ1'!$A:$A, "="&amp;Report_Tổng!C27, 'HQ1'!$B:$B, "Total")</f>
        <v>5853481961</v>
      </c>
      <c r="E27" s="7">
        <f>SUMIFS('HQ2'!$F:$F,'HQ2'!$A:$A, "="&amp;Report_Tổng!C27, 'HQ2'!$B:$B, "Total")</f>
        <v>23754607793.475002</v>
      </c>
      <c r="F27" s="7">
        <f>SUMIFS(Report_HQ1!$H:$H,Report_HQ1!$A:$A, "="&amp;Report_Tổng!A27)</f>
        <v>406010894.03000003</v>
      </c>
      <c r="G27" s="7">
        <f>SUMIFS(Report_HQ2!$K:$K,Report_HQ2!$A:$A, "="&amp;Report_Tổng!A27)</f>
        <v>760611980.03425026</v>
      </c>
      <c r="H27" s="24">
        <f t="shared" si="3"/>
        <v>1166622874.0642502</v>
      </c>
      <c r="I27" s="78">
        <f>SUMIFS('HQ1'!$L:$L,'HQ1'!$A:$A,"="&amp;Report_Tổng!C27,'HQ1'!$B:$B, "Total")</f>
        <v>0.52351598521192999</v>
      </c>
      <c r="J27" s="78">
        <f>SUMIFS('HQ2'!$AD:$AD,'HQ2'!$A:$A,"="&amp;Report_Tổng!C27,'HQ1'!$B:$B, "Total")</f>
        <v>5.7790173515056683E-3</v>
      </c>
      <c r="K27" s="78">
        <f t="shared" si="4"/>
        <v>6.936228670988126E-2</v>
      </c>
      <c r="L27" s="78">
        <f t="shared" si="5"/>
        <v>3.2019555390983043E-2</v>
      </c>
    </row>
    <row r="28" spans="1:12" x14ac:dyDescent="0.25">
      <c r="A28" s="9" t="s">
        <v>305</v>
      </c>
      <c r="B28" t="s">
        <v>163</v>
      </c>
      <c r="C28" t="s">
        <v>118</v>
      </c>
      <c r="D28" s="7">
        <f>SUMIFS('HQ1'!$C:$C,'HQ1'!$A:$A, "="&amp;Report_Tổng!C28, 'HQ1'!$B:$B, "Total")</f>
        <v>6151909108</v>
      </c>
      <c r="E28" s="7">
        <f>SUMIFS('HQ2'!$F:$F,'HQ2'!$A:$A, "="&amp;Report_Tổng!C28, 'HQ2'!$B:$B, "Total")</f>
        <v>490378377.75999999</v>
      </c>
      <c r="F28" s="7">
        <f>SUMIFS(Report_HQ1!$H:$H,Report_HQ1!$A:$A, "="&amp;Report_Tổng!A28)</f>
        <v>1680433928.76</v>
      </c>
      <c r="G28" s="7">
        <f>SUMIFS(Report_HQ2!$K:$K,Report_HQ2!$A:$A, "="&amp;Report_Tổng!A28)</f>
        <v>-433929800.94880009</v>
      </c>
      <c r="H28" s="24">
        <f t="shared" si="3"/>
        <v>1246504127.8111999</v>
      </c>
      <c r="I28" s="78">
        <f>SUMIFS('HQ1'!$L:$L,'HQ1'!$A:$A,"="&amp;Report_Tổng!C28,'HQ1'!$B:$B, "Total")</f>
        <v>0.32853115482616235</v>
      </c>
      <c r="J28" s="78">
        <f>SUMIFS('HQ2'!$AD:$AD,'HQ2'!$A:$A,"="&amp;Report_Tổng!C28,'HQ1'!$B:$B, "Total")</f>
        <v>0</v>
      </c>
      <c r="K28" s="78">
        <f t="shared" si="4"/>
        <v>0.27315649487973548</v>
      </c>
      <c r="L28" s="78">
        <f t="shared" si="5"/>
        <v>-0.88488771248632248</v>
      </c>
    </row>
    <row r="29" spans="1:12" x14ac:dyDescent="0.25">
      <c r="A29" s="9" t="s">
        <v>306</v>
      </c>
      <c r="B29" t="s">
        <v>164</v>
      </c>
      <c r="C29" t="s">
        <v>71</v>
      </c>
      <c r="D29" s="7">
        <f>SUMIFS('HQ1'!$C:$C,'HQ1'!$A:$A, "="&amp;Report_Tổng!C29, 'HQ1'!$B:$B, "Total")</f>
        <v>40423151794</v>
      </c>
      <c r="E29" s="7">
        <f>SUMIFS('HQ2'!$F:$F,'HQ2'!$A:$A, "="&amp;Report_Tổng!C29, 'HQ2'!$B:$B, "Total")</f>
        <v>5154361155.124999</v>
      </c>
      <c r="F29" s="7">
        <f>SUMIFS(Report_HQ1!$H:$H,Report_HQ1!$A:$A, "="&amp;Report_Tổng!A29)</f>
        <v>-9051187578.9300003</v>
      </c>
      <c r="G29" s="7">
        <f>SUMIFS(Report_HQ2!$K:$K,Report_HQ2!$A:$A, "="&amp;Report_Tổng!A29)</f>
        <v>1541395148.3692491</v>
      </c>
      <c r="H29" s="24">
        <f t="shared" si="3"/>
        <v>-7509792430.560751</v>
      </c>
      <c r="I29" s="78">
        <f>SUMIFS('HQ1'!$L:$L,'HQ1'!$A:$A,"="&amp;Report_Tổng!C29,'HQ1'!$B:$B, "Total")</f>
        <v>0.85182875447612072</v>
      </c>
      <c r="J29" s="78">
        <f>SUMIFS('HQ2'!$AD:$AD,'HQ2'!$A:$A,"="&amp;Report_Tổng!C29,'HQ1'!$B:$B, "Total")</f>
        <v>0</v>
      </c>
      <c r="K29" s="78">
        <f t="shared" si="4"/>
        <v>-0.22391098113911706</v>
      </c>
      <c r="L29" s="78">
        <f t="shared" si="5"/>
        <v>0.2990467881430145</v>
      </c>
    </row>
    <row r="30" spans="1:12" x14ac:dyDescent="0.25">
      <c r="A30" s="9" t="s">
        <v>307</v>
      </c>
      <c r="B30" t="s">
        <v>165</v>
      </c>
      <c r="C30" t="s">
        <v>92</v>
      </c>
      <c r="D30" s="7">
        <f>SUMIFS('HQ1'!$C:$C,'HQ1'!$A:$A, "="&amp;Report_Tổng!C30, 'HQ1'!$B:$B, "Total")</f>
        <v>9909717980</v>
      </c>
      <c r="E30" s="7">
        <f>SUMIFS('HQ2'!$F:$F,'HQ2'!$A:$A, "="&amp;Report_Tổng!C30, 'HQ2'!$B:$B, "Total")</f>
        <v>2087860069.5150001</v>
      </c>
      <c r="F30" s="7">
        <f>SUMIFS(Report_HQ1!$H:$H,Report_HQ1!$A:$A, "="&amp;Report_Tổng!A30)</f>
        <v>-347667430.04999995</v>
      </c>
      <c r="G30" s="7">
        <f>SUMIFS(Report_HQ2!$K:$K,Report_HQ2!$A:$A, "="&amp;Report_Tổng!A30)</f>
        <v>1585639830.7295496</v>
      </c>
      <c r="H30" s="24">
        <f t="shared" si="3"/>
        <v>1237972400.6795497</v>
      </c>
      <c r="I30" s="78">
        <f>SUMIFS('HQ1'!$L:$L,'HQ1'!$A:$A,"="&amp;Report_Tổng!C30,'HQ1'!$B:$B, "Total")</f>
        <v>0.65354950382749943</v>
      </c>
      <c r="J30" s="78">
        <f>SUMIFS('HQ2'!$AD:$AD,'HQ2'!$A:$A,"="&amp;Report_Tổng!C30,'HQ1'!$B:$B, "Total")</f>
        <v>-0.12240369926599115</v>
      </c>
      <c r="K30" s="78">
        <f t="shared" si="4"/>
        <v>-3.5083483783460802E-2</v>
      </c>
      <c r="L30" s="78">
        <f t="shared" si="5"/>
        <v>0.75945694535835739</v>
      </c>
    </row>
    <row r="31" spans="1:12" x14ac:dyDescent="0.25">
      <c r="A31" s="9" t="s">
        <v>308</v>
      </c>
      <c r="B31" t="s">
        <v>166</v>
      </c>
      <c r="C31" t="s">
        <v>60</v>
      </c>
      <c r="D31" s="7">
        <f>SUMIFS('HQ1'!$C:$C,'HQ1'!$A:$A, "="&amp;Report_Tổng!C31, 'HQ1'!$B:$B, "Total")</f>
        <v>9846338721</v>
      </c>
      <c r="E31" s="7">
        <f>SUMIFS('HQ2'!$F:$F,'HQ2'!$A:$A, "="&amp;Report_Tổng!C31, 'HQ2'!$B:$B, "Total")</f>
        <v>9007989849.7299995</v>
      </c>
      <c r="F31" s="7">
        <f>SUMIFS(Report_HQ1!$H:$H,Report_HQ1!$A:$A, "="&amp;Report_Tổng!A31)</f>
        <v>-5129412962.3299999</v>
      </c>
      <c r="G31" s="7">
        <f>SUMIFS(Report_HQ2!$K:$K,Report_HQ2!$A:$A, "="&amp;Report_Tổng!A31)</f>
        <v>3482355771.5721006</v>
      </c>
      <c r="H31" s="24">
        <f t="shared" si="3"/>
        <v>-1647057190.7578993</v>
      </c>
      <c r="I31" s="78">
        <f>SUMIFS('HQ1'!$L:$L,'HQ1'!$A:$A,"="&amp;Report_Tổng!C31,'HQ1'!$B:$B, "Total")</f>
        <v>1.1022488080000543</v>
      </c>
      <c r="J31" s="78">
        <f>SUMIFS('HQ2'!$AD:$AD,'HQ2'!$A:$A,"="&amp;Report_Tổng!C31,'HQ1'!$B:$B, "Total")</f>
        <v>0.2507167461473605</v>
      </c>
      <c r="K31" s="78">
        <f t="shared" si="4"/>
        <v>-0.52094622251722145</v>
      </c>
      <c r="L31" s="78">
        <f t="shared" si="5"/>
        <v>0.38658522374739118</v>
      </c>
    </row>
    <row r="32" spans="1:12" x14ac:dyDescent="0.25">
      <c r="A32" s="9" t="s">
        <v>309</v>
      </c>
      <c r="B32" t="s">
        <v>167</v>
      </c>
      <c r="C32" t="s">
        <v>65</v>
      </c>
      <c r="D32" s="7">
        <f>SUMIFS('HQ1'!$C:$C,'HQ1'!$A:$A, "="&amp;Report_Tổng!C32, 'HQ1'!$B:$B, "Total")</f>
        <v>19283141317</v>
      </c>
      <c r="E32" s="7">
        <f>SUMIFS('HQ2'!$F:$F,'HQ2'!$A:$A, "="&amp;Report_Tổng!C32, 'HQ2'!$B:$B, "Total")</f>
        <v>7550172833.6499996</v>
      </c>
      <c r="F32" s="7">
        <f>SUMIFS(Report_HQ1!$H:$H,Report_HQ1!$A:$A, "="&amp;Report_Tổng!A32)</f>
        <v>5576017008.039999</v>
      </c>
      <c r="G32" s="7">
        <f>SUMIFS(Report_HQ2!$K:$K,Report_HQ2!$A:$A, "="&amp;Report_Tổng!A32)</f>
        <v>1073048656.7229998</v>
      </c>
      <c r="H32" s="24">
        <f t="shared" si="3"/>
        <v>6649065664.7629986</v>
      </c>
      <c r="I32" s="78">
        <f>SUMIFS('HQ1'!$L:$L,'HQ1'!$A:$A,"="&amp;Report_Tổng!C32,'HQ1'!$B:$B, "Total")</f>
        <v>0.35506770450739528</v>
      </c>
      <c r="J32" s="78">
        <f>SUMIFS('HQ2'!$AD:$AD,'HQ2'!$A:$A,"="&amp;Report_Tổng!C32,'HQ1'!$B:$B, "Total")</f>
        <v>-8.3760868890234083E-2</v>
      </c>
      <c r="K32" s="78">
        <f t="shared" si="4"/>
        <v>0.28916538630167005</v>
      </c>
      <c r="L32" s="78">
        <f t="shared" si="5"/>
        <v>0.14212239644906952</v>
      </c>
    </row>
    <row r="33" spans="1:12" x14ac:dyDescent="0.25">
      <c r="A33" s="9" t="s">
        <v>310</v>
      </c>
      <c r="B33" t="s">
        <v>168</v>
      </c>
      <c r="C33" t="s">
        <v>74</v>
      </c>
      <c r="D33" s="7">
        <f>SUMIFS('HQ1'!$C:$C,'HQ1'!$A:$A, "="&amp;Report_Tổng!C33, 'HQ1'!$B:$B, "Total")</f>
        <v>12535412824</v>
      </c>
      <c r="E33" s="7">
        <f>SUMIFS('HQ2'!$F:$F,'HQ2'!$A:$A, "="&amp;Report_Tổng!C33, 'HQ2'!$B:$B, "Total")</f>
        <v>4769181266.1949997</v>
      </c>
      <c r="F33" s="7">
        <f>SUMIFS(Report_HQ1!$H:$H,Report_HQ1!$A:$A, "="&amp;Report_Tổng!A33)</f>
        <v>3470767357.0299997</v>
      </c>
      <c r="G33" s="7">
        <f>SUMIFS(Report_HQ2!$K:$K,Report_HQ2!$A:$A, "="&amp;Report_Tổng!A33)</f>
        <v>4903749207.0056496</v>
      </c>
      <c r="H33" s="24">
        <f t="shared" si="3"/>
        <v>8374516564.0356493</v>
      </c>
      <c r="I33" s="78">
        <f>SUMIFS('HQ1'!$L:$L,'HQ1'!$A:$A,"="&amp;Report_Tổng!C33,'HQ1'!$B:$B, "Total")</f>
        <v>0.38468212688899167</v>
      </c>
      <c r="J33" s="78">
        <f>SUMIFS('HQ2'!$AD:$AD,'HQ2'!$A:$A,"="&amp;Report_Tổng!C33,'HQ1'!$B:$B, "Total")</f>
        <v>-0.30561707439793928</v>
      </c>
      <c r="K33" s="78">
        <f t="shared" si="4"/>
        <v>0.276876988876262</v>
      </c>
      <c r="L33" s="78">
        <f t="shared" si="5"/>
        <v>1.0282161514313781</v>
      </c>
    </row>
    <row r="34" spans="1:12" x14ac:dyDescent="0.25">
      <c r="A34" s="9" t="s">
        <v>311</v>
      </c>
      <c r="B34" t="s">
        <v>169</v>
      </c>
      <c r="C34" t="s">
        <v>119</v>
      </c>
      <c r="D34" s="7">
        <f>SUMIFS('HQ1'!$C:$C,'HQ1'!$A:$A, "="&amp;Report_Tổng!C34, 'HQ1'!$B:$B, "Total")</f>
        <v>5002614560</v>
      </c>
      <c r="E34" s="7">
        <f>SUMIFS('HQ2'!$F:$F,'HQ2'!$A:$A, "="&amp;Report_Tổng!C34, 'HQ2'!$B:$B, "Total")</f>
        <v>421406302.05500001</v>
      </c>
      <c r="F34" s="7">
        <f>SUMIFS(Report_HQ1!$H:$H,Report_HQ1!$A:$A, "="&amp;Report_Tổng!A34)</f>
        <v>554771212.70000029</v>
      </c>
      <c r="G34" s="7">
        <f>SUMIFS(Report_HQ2!$K:$K,Report_HQ2!$A:$A, "="&amp;Report_Tổng!A34)</f>
        <v>-61346330.309149981</v>
      </c>
      <c r="H34" s="24">
        <f t="shared" si="3"/>
        <v>493424882.39085031</v>
      </c>
      <c r="I34" s="78">
        <f>SUMIFS('HQ1'!$L:$L,'HQ1'!$A:$A,"="&amp;Report_Tổng!C34,'HQ1'!$B:$B, "Total")</f>
        <v>0.47435201745101319</v>
      </c>
      <c r="J34" s="78">
        <f>SUMIFS('HQ2'!$AD:$AD,'HQ2'!$A:$A,"="&amp;Report_Tổng!C34,'HQ1'!$B:$B, "Total")</f>
        <v>0</v>
      </c>
      <c r="K34" s="78">
        <f t="shared" si="4"/>
        <v>0.1108962535582594</v>
      </c>
      <c r="L34" s="78">
        <f t="shared" si="5"/>
        <v>-0.14557525601775015</v>
      </c>
    </row>
    <row r="35" spans="1:12" x14ac:dyDescent="0.25">
      <c r="A35" s="9" t="s">
        <v>312</v>
      </c>
      <c r="B35" t="s">
        <v>170</v>
      </c>
      <c r="C35" t="s">
        <v>103</v>
      </c>
      <c r="D35" s="7">
        <f>SUMIFS('HQ1'!$C:$C,'HQ1'!$A:$A, "="&amp;Report_Tổng!C35, 'HQ1'!$B:$B, "Total")</f>
        <v>4625176390</v>
      </c>
      <c r="E35" s="7">
        <f>SUMIFS('HQ2'!$F:$F,'HQ2'!$A:$A, "="&amp;Report_Tổng!C35, 'HQ2'!$B:$B, "Total")</f>
        <v>1322594927.1749997</v>
      </c>
      <c r="F35" s="7">
        <f>SUMIFS(Report_HQ1!$H:$H,Report_HQ1!$A:$A, "="&amp;Report_Tổng!A35)</f>
        <v>-244985703.98999941</v>
      </c>
      <c r="G35" s="7">
        <f>SUMIFS(Report_HQ2!$K:$K,Report_HQ2!$A:$A, "="&amp;Report_Tổng!A35)</f>
        <v>444214876.4947499</v>
      </c>
      <c r="H35" s="24">
        <f t="shared" si="3"/>
        <v>199229172.50475049</v>
      </c>
      <c r="I35" s="78">
        <f>SUMIFS('HQ1'!$L:$L,'HQ1'!$A:$A,"="&amp;Report_Tổng!C35,'HQ1'!$B:$B, "Total")</f>
        <v>0.64851273776820173</v>
      </c>
      <c r="J35" s="78">
        <f>SUMIFS('HQ2'!$AD:$AD,'HQ2'!$A:$A,"="&amp;Report_Tổng!C35,'HQ1'!$B:$B, "Total")</f>
        <v>0</v>
      </c>
      <c r="K35" s="78">
        <f t="shared" si="4"/>
        <v>-5.2967861835427087E-2</v>
      </c>
      <c r="L35" s="78">
        <f t="shared" si="5"/>
        <v>0.33586615778390433</v>
      </c>
    </row>
    <row r="36" spans="1:12" x14ac:dyDescent="0.25">
      <c r="A36" s="9" t="s">
        <v>313</v>
      </c>
      <c r="B36" t="s">
        <v>171</v>
      </c>
      <c r="C36" t="s">
        <v>53</v>
      </c>
      <c r="D36" s="7">
        <f>SUMIFS('HQ1'!$C:$C,'HQ1'!$A:$A, "="&amp;Report_Tổng!C36, 'HQ1'!$B:$B, "Total")</f>
        <v>94136455762</v>
      </c>
      <c r="E36" s="7">
        <f>SUMIFS('HQ2'!$F:$F,'HQ2'!$A:$A, "="&amp;Report_Tổng!C36, 'HQ2'!$B:$B, "Total")</f>
        <v>15049088266.16</v>
      </c>
      <c r="F36" s="7">
        <f>SUMIFS(Report_HQ1!$H:$H,Report_HQ1!$A:$A, "="&amp;Report_Tổng!A36)</f>
        <v>33099982299.720001</v>
      </c>
      <c r="G36" s="7">
        <f>SUMIFS(Report_HQ2!$K:$K,Report_HQ2!$A:$A, "="&amp;Report_Tổng!A36)</f>
        <v>6658231960.0046968</v>
      </c>
      <c r="H36" s="24">
        <f t="shared" si="3"/>
        <v>39758214259.724701</v>
      </c>
      <c r="I36" s="78">
        <f>SUMIFS('HQ1'!$L:$L,'HQ1'!$A:$A,"="&amp;Report_Tổng!C36,'HQ1'!$B:$B, "Total")</f>
        <v>0.3819659073028443</v>
      </c>
      <c r="J36" s="78">
        <f>SUMIFS('HQ2'!$AD:$AD,'HQ2'!$A:$A,"="&amp;Report_Tổng!C36,'HQ1'!$B:$B, "Total")</f>
        <v>0</v>
      </c>
      <c r="K36" s="78">
        <f t="shared" si="4"/>
        <v>0.35161704391553533</v>
      </c>
      <c r="L36" s="78">
        <f t="shared" si="5"/>
        <v>0.44243424201163545</v>
      </c>
    </row>
    <row r="37" spans="1:12" x14ac:dyDescent="0.25">
      <c r="A37" s="9" t="s">
        <v>314</v>
      </c>
      <c r="B37" t="s">
        <v>172</v>
      </c>
      <c r="C37" t="s">
        <v>64</v>
      </c>
      <c r="D37" s="7">
        <f>SUMIFS('HQ1'!$C:$C,'HQ1'!$A:$A, "="&amp;Report_Tổng!C37, 'HQ1'!$B:$B, "Total")</f>
        <v>120968372844</v>
      </c>
      <c r="E37" s="7">
        <f>SUMIFS('HQ2'!$F:$F,'HQ2'!$A:$A, "="&amp;Report_Tổng!C37, 'HQ2'!$B:$B, "Total")</f>
        <v>7803203836.1749992</v>
      </c>
      <c r="F37" s="7">
        <f>SUMIFS(Report_HQ1!$H:$H,Report_HQ1!$A:$A, "="&amp;Report_Tổng!A37)</f>
        <v>46363671192.25</v>
      </c>
      <c r="G37" s="7">
        <f>SUMIFS(Report_HQ2!$K:$K,Report_HQ2!$A:$A, "="&amp;Report_Tổng!A37)</f>
        <v>3008832288.5197468</v>
      </c>
      <c r="H37" s="24">
        <f t="shared" si="3"/>
        <v>49372503480.769745</v>
      </c>
      <c r="I37" s="78">
        <f>SUMIFS('HQ1'!$L:$L,'HQ1'!$A:$A,"="&amp;Report_Tổng!C37,'HQ1'!$B:$B, "Total")</f>
        <v>0.33527863023975196</v>
      </c>
      <c r="J37" s="78">
        <f>SUMIFS('HQ2'!$AD:$AD,'HQ2'!$A:$A,"="&amp;Report_Tổng!C37,'HQ1'!$B:$B, "Total")</f>
        <v>0.29021847268914547</v>
      </c>
      <c r="K37" s="78">
        <f t="shared" si="4"/>
        <v>0.38327101623529547</v>
      </c>
      <c r="L37" s="78">
        <f t="shared" si="5"/>
        <v>0.38558934915567017</v>
      </c>
    </row>
    <row r="38" spans="1:12" x14ac:dyDescent="0.25">
      <c r="A38" s="9" t="s">
        <v>315</v>
      </c>
      <c r="B38" t="s">
        <v>173</v>
      </c>
      <c r="C38" t="s">
        <v>104</v>
      </c>
      <c r="D38" s="7">
        <f>SUMIFS('HQ1'!$C:$C,'HQ1'!$A:$A, "="&amp;Report_Tổng!C38, 'HQ1'!$B:$B, "Total")</f>
        <v>9073197298</v>
      </c>
      <c r="E38" s="7">
        <f>SUMIFS('HQ2'!$F:$F,'HQ2'!$A:$A, "="&amp;Report_Tổng!C38, 'HQ2'!$B:$B, "Total")</f>
        <v>1283217642.4000001</v>
      </c>
      <c r="F38" s="7">
        <f>SUMIFS(Report_HQ1!$H:$H,Report_HQ1!$A:$A, "="&amp;Report_Tổng!A38)</f>
        <v>1113255669.6799994</v>
      </c>
      <c r="G38" s="7">
        <f>SUMIFS(Report_HQ2!$K:$K,Report_HQ2!$A:$A, "="&amp;Report_Tổng!A38)</f>
        <v>-1005932036.9335001</v>
      </c>
      <c r="H38" s="24">
        <f t="shared" si="3"/>
        <v>107323632.7464993</v>
      </c>
      <c r="I38" s="78">
        <f>SUMIFS('HQ1'!$L:$L,'HQ1'!$A:$A,"="&amp;Report_Tổng!C38,'HQ1'!$B:$B, "Total")</f>
        <v>0.51350398056312807</v>
      </c>
      <c r="J38" s="78">
        <f>SUMIFS('HQ2'!$AD:$AD,'HQ2'!$A:$A,"="&amp;Report_Tổng!C38,'HQ1'!$B:$B, "Total")</f>
        <v>0</v>
      </c>
      <c r="K38" s="78">
        <f t="shared" si="4"/>
        <v>0.12269717422825069</v>
      </c>
      <c r="L38" s="78">
        <f t="shared" si="5"/>
        <v>-0.78391381453586217</v>
      </c>
    </row>
    <row r="39" spans="1:12" x14ac:dyDescent="0.25">
      <c r="A39" s="9" t="s">
        <v>316</v>
      </c>
      <c r="B39" t="s">
        <v>174</v>
      </c>
      <c r="C39" t="s">
        <v>87</v>
      </c>
      <c r="D39" s="7">
        <f>SUMIFS('HQ1'!$C:$C,'HQ1'!$A:$A, "="&amp;Report_Tổng!C39, 'HQ1'!$B:$B, "Total")</f>
        <v>10670816351</v>
      </c>
      <c r="E39" s="7">
        <f>SUMIFS('HQ2'!$F:$F,'HQ2'!$A:$A, "="&amp;Report_Tổng!C39, 'HQ2'!$B:$B, "Total")</f>
        <v>2466611468.98</v>
      </c>
      <c r="F39" s="7">
        <f>SUMIFS(Report_HQ1!$H:$H,Report_HQ1!$A:$A, "="&amp;Report_Tổng!A39)</f>
        <v>-2749358839.0799999</v>
      </c>
      <c r="G39" s="7">
        <f>SUMIFS(Report_HQ2!$K:$K,Report_HQ2!$A:$A, "="&amp;Report_Tổng!A39)</f>
        <v>-143168153.86540008</v>
      </c>
      <c r="H39" s="24">
        <f t="shared" si="3"/>
        <v>-2892526992.9454002</v>
      </c>
      <c r="I39" s="78">
        <f>SUMIFS('HQ1'!$L:$L,'HQ1'!$A:$A,"="&amp;Report_Tổng!C39,'HQ1'!$B:$B, "Total")</f>
        <v>0.85925694011249509</v>
      </c>
      <c r="J39" s="78">
        <f>SUMIFS('HQ2'!$AD:$AD,'HQ2'!$A:$A,"="&amp;Report_Tổng!C39,'HQ1'!$B:$B, "Total")</f>
        <v>6.0618959312176268E-3</v>
      </c>
      <c r="K39" s="78">
        <f t="shared" si="4"/>
        <v>-0.25765215599670099</v>
      </c>
      <c r="L39" s="78">
        <f t="shared" si="5"/>
        <v>-5.8042442300247375E-2</v>
      </c>
    </row>
    <row r="40" spans="1:12" x14ac:dyDescent="0.25">
      <c r="A40" s="9" t="s">
        <v>317</v>
      </c>
      <c r="B40" t="s">
        <v>175</v>
      </c>
      <c r="C40" t="s">
        <v>47</v>
      </c>
      <c r="D40" s="7">
        <f>SUMIFS('HQ1'!$C:$C,'HQ1'!$A:$A, "="&amp;Report_Tổng!C40, 'HQ1'!$B:$B, "Total")</f>
        <v>19264321533</v>
      </c>
      <c r="E40" s="7">
        <f>SUMIFS('HQ2'!$F:$F,'HQ2'!$A:$A, "="&amp;Report_Tổng!C40, 'HQ2'!$B:$B, "Total")</f>
        <v>44621696447.489998</v>
      </c>
      <c r="F40" s="7">
        <f>SUMIFS(Report_HQ1!$H:$H,Report_HQ1!$A:$A, "="&amp;Report_Tổng!A40)</f>
        <v>4755080293.5599995</v>
      </c>
      <c r="G40" s="7">
        <f>SUMIFS(Report_HQ2!$K:$K,Report_HQ2!$A:$A, "="&amp;Report_Tổng!A40)</f>
        <v>20098655967.416798</v>
      </c>
      <c r="H40" s="24">
        <f t="shared" si="3"/>
        <v>24853736260.976799</v>
      </c>
      <c r="I40" s="78">
        <f>SUMIFS('HQ1'!$L:$L,'HQ1'!$A:$A,"="&amp;Report_Tổng!C40,'HQ1'!$B:$B, "Total")</f>
        <v>0.40952057370236156</v>
      </c>
      <c r="J40" s="78">
        <f>SUMIFS('HQ2'!$AD:$AD,'HQ2'!$A:$A,"="&amp;Report_Tổng!C40,'HQ1'!$B:$B, "Total")</f>
        <v>6.2830306539508357E-2</v>
      </c>
      <c r="K40" s="78">
        <f t="shared" si="4"/>
        <v>0.24683351995628255</v>
      </c>
      <c r="L40" s="78">
        <f t="shared" si="5"/>
        <v>0.45042339416809335</v>
      </c>
    </row>
    <row r="41" spans="1:12" x14ac:dyDescent="0.25">
      <c r="A41" s="9" t="s">
        <v>318</v>
      </c>
      <c r="B41" t="s">
        <v>176</v>
      </c>
      <c r="C41" t="s">
        <v>113</v>
      </c>
      <c r="D41" s="7">
        <f>SUMIFS('HQ1'!$C:$C,'HQ1'!$A:$A, "="&amp;Report_Tổng!C41, 'HQ1'!$B:$B, "Total")</f>
        <v>6119639629</v>
      </c>
      <c r="E41" s="7">
        <f>SUMIFS('HQ2'!$F:$F,'HQ2'!$A:$A, "="&amp;Report_Tổng!C41, 'HQ2'!$B:$B, "Total")</f>
        <v>802210822.93999994</v>
      </c>
      <c r="F41" s="7">
        <f>SUMIFS(Report_HQ1!$H:$H,Report_HQ1!$A:$A, "="&amp;Report_Tổng!A41)</f>
        <v>-1968506978.9700003</v>
      </c>
      <c r="G41" s="7">
        <f>SUMIFS(Report_HQ2!$K:$K,Report_HQ2!$A:$A, "="&amp;Report_Tổng!A41)</f>
        <v>418669939.68480003</v>
      </c>
      <c r="H41" s="24">
        <f t="shared" si="3"/>
        <v>-1549837039.2852001</v>
      </c>
      <c r="I41" s="78">
        <f>SUMIFS('HQ1'!$L:$L,'HQ1'!$A:$A,"="&amp;Report_Tổng!C41,'HQ1'!$B:$B, "Total")</f>
        <v>0.86233243145061</v>
      </c>
      <c r="J41" s="78">
        <f>SUMIFS('HQ2'!$AD:$AD,'HQ2'!$A:$A,"="&amp;Report_Tổng!C41,'HQ1'!$B:$B, "Total")</f>
        <v>0</v>
      </c>
      <c r="K41" s="78">
        <f t="shared" si="4"/>
        <v>-0.32167040844064715</v>
      </c>
      <c r="L41" s="78">
        <f t="shared" si="5"/>
        <v>0.52189515238703499</v>
      </c>
    </row>
    <row r="42" spans="1:12" x14ac:dyDescent="0.25">
      <c r="A42" s="9" t="s">
        <v>319</v>
      </c>
      <c r="B42" t="s">
        <v>177</v>
      </c>
      <c r="C42" t="s">
        <v>122</v>
      </c>
      <c r="D42" s="7">
        <f>SUMIFS('HQ1'!$C:$C,'HQ1'!$A:$A, "="&amp;Report_Tổng!C42, 'HQ1'!$B:$B, "Total")</f>
        <v>4333299427</v>
      </c>
      <c r="E42" s="7">
        <f>SUMIFS('HQ2'!$F:$F,'HQ2'!$A:$A, "="&amp;Report_Tổng!C42, 'HQ2'!$B:$B, "Total")</f>
        <v>379553447.39999998</v>
      </c>
      <c r="F42" s="7">
        <f>SUMIFS(Report_HQ1!$H:$H,Report_HQ1!$A:$A, "="&amp;Report_Tổng!A42)</f>
        <v>1115256360.0900002</v>
      </c>
      <c r="G42" s="7">
        <f>SUMIFS(Report_HQ2!$K:$K,Report_HQ2!$A:$A, "="&amp;Report_Tổng!A42)</f>
        <v>-211488083.37950006</v>
      </c>
      <c r="H42" s="24">
        <f t="shared" si="3"/>
        <v>903768276.71050012</v>
      </c>
      <c r="I42" s="78">
        <f>SUMIFS('HQ1'!$L:$L,'HQ1'!$A:$A,"="&amp;Report_Tổng!C42,'HQ1'!$B:$B, "Total")</f>
        <v>0.30911224991406139</v>
      </c>
      <c r="J42" s="78">
        <f>SUMIFS('HQ2'!$AD:$AD,'HQ2'!$A:$A,"="&amp;Report_Tổng!C42,'HQ1'!$B:$B, "Total")</f>
        <v>0</v>
      </c>
      <c r="K42" s="78">
        <f t="shared" si="4"/>
        <v>0.25736886612105336</v>
      </c>
      <c r="L42" s="78">
        <f t="shared" si="5"/>
        <v>-0.55720237776320114</v>
      </c>
    </row>
    <row r="43" spans="1:12" x14ac:dyDescent="0.25">
      <c r="A43" s="9" t="s">
        <v>320</v>
      </c>
      <c r="B43" t="s">
        <v>178</v>
      </c>
      <c r="C43" t="s">
        <v>72</v>
      </c>
      <c r="D43" s="7">
        <f>SUMIFS('HQ1'!$C:$C,'HQ1'!$A:$A, "="&amp;Report_Tổng!C43, 'HQ1'!$B:$B, "Total")</f>
        <v>10892546161</v>
      </c>
      <c r="E43" s="7">
        <f>SUMIFS('HQ2'!$F:$F,'HQ2'!$A:$A, "="&amp;Report_Tổng!C43, 'HQ2'!$B:$B, "Total")</f>
        <v>5018162583.1800003</v>
      </c>
      <c r="F43" s="7">
        <f>SUMIFS(Report_HQ1!$H:$H,Report_HQ1!$A:$A, "="&amp;Report_Tổng!A43)</f>
        <v>-3346883117.0799999</v>
      </c>
      <c r="G43" s="7">
        <f>SUMIFS(Report_HQ2!$K:$K,Report_HQ2!$A:$A, "="&amp;Report_Tổng!A43)</f>
        <v>2035583796.1905994</v>
      </c>
      <c r="H43" s="24">
        <f t="shared" si="3"/>
        <v>-1311299320.8894005</v>
      </c>
      <c r="I43" s="78">
        <f>SUMIFS('HQ1'!$L:$L,'HQ1'!$A:$A,"="&amp;Report_Tổng!C43,'HQ1'!$B:$B, "Total")</f>
        <v>0.95486145325622185</v>
      </c>
      <c r="J43" s="78">
        <f>SUMIFS('HQ2'!$AD:$AD,'HQ2'!$A:$A,"="&amp;Report_Tổng!C43,'HQ1'!$B:$B, "Total")</f>
        <v>7.9263614119316882E-3</v>
      </c>
      <c r="K43" s="78">
        <f t="shared" si="4"/>
        <v>-0.30726361565152516</v>
      </c>
      <c r="L43" s="78">
        <f t="shared" si="5"/>
        <v>0.40564325337196505</v>
      </c>
    </row>
    <row r="44" spans="1:12" x14ac:dyDescent="0.25">
      <c r="A44" s="36" t="s">
        <v>321</v>
      </c>
      <c r="B44" s="30" t="s">
        <v>179</v>
      </c>
      <c r="C44" s="30" t="s">
        <v>57</v>
      </c>
      <c r="D44" s="7">
        <f>SUMIFS('HQ1'!$C:$C,'HQ1'!$A:$A, "="&amp;Report_Tổng!C44, 'HQ1'!$B:$B, "Total")</f>
        <v>25378170888</v>
      </c>
      <c r="E44" s="7">
        <f>SUMIFS('HQ2'!$F:$F,'HQ2'!$A:$A, "="&amp;Report_Tổng!C44, 'HQ2'!$B:$B, "Total")</f>
        <v>13132092050.875002</v>
      </c>
      <c r="F44" s="7">
        <f>SUMIFS(Report_HQ1!$H:$H,Report_HQ1!$A:$A, "="&amp;Report_Tổng!A44)</f>
        <v>1567242973.519999</v>
      </c>
      <c r="G44" s="7">
        <f>SUMIFS(Report_HQ2!$K:$K,Report_HQ2!$A:$A, "="&amp;Report_Tổng!A44)</f>
        <v>7874799680.3062506</v>
      </c>
      <c r="H44" s="24">
        <f t="shared" si="3"/>
        <v>9442042653.8262501</v>
      </c>
      <c r="I44" s="78">
        <f>SUMIFS('HQ1'!$L:$L,'HQ1'!$A:$A,"="&amp;Report_Tổng!C44,'HQ1'!$B:$B, "Total")</f>
        <v>0.668735431361139</v>
      </c>
      <c r="J44" s="78">
        <f>SUMIFS('HQ2'!$AD:$AD,'HQ2'!$A:$A,"="&amp;Report_Tổng!C44,'HQ1'!$B:$B, "Total")</f>
        <v>4.9418892010528098E-2</v>
      </c>
      <c r="K44" s="78">
        <f t="shared" si="4"/>
        <v>6.175555285038551E-2</v>
      </c>
      <c r="L44" s="78">
        <f t="shared" si="5"/>
        <v>0.59966071283985145</v>
      </c>
    </row>
    <row r="45" spans="1:12" x14ac:dyDescent="0.25">
      <c r="A45" s="9" t="s">
        <v>322</v>
      </c>
      <c r="B45" t="s">
        <v>180</v>
      </c>
      <c r="C45" t="s">
        <v>67</v>
      </c>
      <c r="D45" s="7">
        <f>SUMIFS('HQ1'!$C:$C,'HQ1'!$A:$A, "="&amp;Report_Tổng!C45, 'HQ1'!$B:$B, "Total")</f>
        <v>28409914650</v>
      </c>
      <c r="E45" s="7">
        <f>SUMIFS('HQ2'!$F:$F,'HQ2'!$A:$A, "="&amp;Report_Tổng!C45, 'HQ2'!$B:$B, "Total")</f>
        <v>6680227171.1450005</v>
      </c>
      <c r="F45" s="7">
        <f>SUMIFS(Report_HQ1!$H:$H,Report_HQ1!$A:$A, "="&amp;Report_Tổng!A45)</f>
        <v>2386999801.75</v>
      </c>
      <c r="G45" s="7">
        <f>SUMIFS(Report_HQ2!$K:$K,Report_HQ2!$A:$A, "="&amp;Report_Tổng!A45)</f>
        <v>3409244800.3481503</v>
      </c>
      <c r="H45" s="24">
        <f t="shared" si="3"/>
        <v>5796244602.0981503</v>
      </c>
      <c r="I45" s="78">
        <f>SUMIFS('HQ1'!$L:$L,'HQ1'!$A:$A,"="&amp;Report_Tổng!C45,'HQ1'!$B:$B, "Total")</f>
        <v>0.53345666549989101</v>
      </c>
      <c r="J45" s="78">
        <f>SUMIFS('HQ2'!$AD:$AD,'HQ2'!$A:$A,"="&amp;Report_Tổng!C45,'HQ1'!$B:$B, "Total")</f>
        <v>0.25025065477705066</v>
      </c>
      <c r="K45" s="78">
        <f t="shared" si="4"/>
        <v>8.4019956805818849E-2</v>
      </c>
      <c r="L45" s="78">
        <f t="shared" si="5"/>
        <v>0.5103486323151194</v>
      </c>
    </row>
    <row r="46" spans="1:12" x14ac:dyDescent="0.25">
      <c r="A46" s="9" t="s">
        <v>323</v>
      </c>
      <c r="B46" t="s">
        <v>181</v>
      </c>
      <c r="C46" t="s">
        <v>125</v>
      </c>
      <c r="D46" s="7">
        <f>SUMIFS('HQ1'!$C:$C,'HQ1'!$A:$A, "="&amp;Report_Tổng!C46, 'HQ1'!$B:$B, "Total")</f>
        <v>4793539368</v>
      </c>
      <c r="E46" s="7">
        <f>SUMIFS('HQ2'!$F:$F,'HQ2'!$A:$A, "="&amp;Report_Tổng!C46, 'HQ2'!$B:$B, "Total")</f>
        <v>229364363.08499998</v>
      </c>
      <c r="F46" s="7">
        <f>SUMIFS(Report_HQ1!$H:$H,Report_HQ1!$A:$A, "="&amp;Report_Tổng!A46)</f>
        <v>-733659989.14999962</v>
      </c>
      <c r="G46" s="7">
        <f>SUMIFS(Report_HQ2!$K:$K,Report_HQ2!$A:$A, "="&amp;Report_Tổng!A46)</f>
        <v>219137859.44744998</v>
      </c>
      <c r="H46" s="24">
        <f t="shared" si="3"/>
        <v>-514522129.70254964</v>
      </c>
      <c r="I46" s="78">
        <f>SUMIFS('HQ1'!$L:$L,'HQ1'!$A:$A,"="&amp;Report_Tổng!C46,'HQ1'!$B:$B, "Total")</f>
        <v>0.79138562019882286</v>
      </c>
      <c r="J46" s="78">
        <f>SUMIFS('HQ2'!$AD:$AD,'HQ2'!$A:$A,"="&amp;Report_Tổng!C46,'HQ1'!$B:$B, "Total")</f>
        <v>0</v>
      </c>
      <c r="K46" s="78">
        <f t="shared" si="4"/>
        <v>-0.15305183348397183</v>
      </c>
      <c r="L46" s="78">
        <f t="shared" si="5"/>
        <v>0.95541372033562089</v>
      </c>
    </row>
    <row r="47" spans="1:12" x14ac:dyDescent="0.25">
      <c r="A47" s="9" t="s">
        <v>324</v>
      </c>
      <c r="B47" t="s">
        <v>182</v>
      </c>
      <c r="C47" t="s">
        <v>117</v>
      </c>
      <c r="D47" s="7">
        <f>SUMIFS('HQ1'!$C:$C,'HQ1'!$A:$A, "="&amp;Report_Tổng!C47, 'HQ1'!$B:$B, "Total")</f>
        <v>1982683097</v>
      </c>
      <c r="E47" s="7">
        <f>SUMIFS('HQ2'!$F:$F,'HQ2'!$A:$A, "="&amp;Report_Tổng!C47, 'HQ2'!$B:$B, "Total")</f>
        <v>590006309.59500003</v>
      </c>
      <c r="F47" s="7">
        <f>SUMIFS(Report_HQ1!$H:$H,Report_HQ1!$A:$A, "="&amp;Report_Tổng!A47)</f>
        <v>678486744.34000003</v>
      </c>
      <c r="G47" s="7">
        <f>SUMIFS(Report_HQ2!$K:$K,Report_HQ2!$A:$A, "="&amp;Report_Tổng!A47)</f>
        <v>81076363.354149938</v>
      </c>
      <c r="H47" s="24">
        <f t="shared" si="3"/>
        <v>759563107.69414997</v>
      </c>
      <c r="I47" s="78">
        <f>SUMIFS('HQ1'!$L:$L,'HQ1'!$A:$A,"="&amp;Report_Tổng!C47,'HQ1'!$B:$B, "Total")</f>
        <v>0.27148174341053488</v>
      </c>
      <c r="J47" s="78">
        <f>SUMIFS('HQ2'!$AD:$AD,'HQ2'!$A:$A,"="&amp;Report_Tổng!C47,'HQ1'!$B:$B, "Total")</f>
        <v>0</v>
      </c>
      <c r="K47" s="78">
        <f t="shared" si="4"/>
        <v>0.34220634924795551</v>
      </c>
      <c r="L47" s="78">
        <f t="shared" si="5"/>
        <v>0.1374160954478664</v>
      </c>
    </row>
    <row r="48" spans="1:12" x14ac:dyDescent="0.25">
      <c r="A48" s="9" t="s">
        <v>325</v>
      </c>
      <c r="B48" t="s">
        <v>183</v>
      </c>
      <c r="C48" t="s">
        <v>121</v>
      </c>
      <c r="D48" s="7">
        <f>SUMIFS('HQ1'!$C:$C,'HQ1'!$A:$A, "="&amp;Report_Tổng!C48, 'HQ1'!$B:$B, "Total")</f>
        <v>11999045307</v>
      </c>
      <c r="E48" s="7">
        <f>SUMIFS('HQ2'!$F:$F,'HQ2'!$A:$A, "="&amp;Report_Tổng!C48, 'HQ2'!$B:$B, "Total")</f>
        <v>381673519.69499999</v>
      </c>
      <c r="F48" s="7">
        <f>SUMIFS(Report_HQ1!$H:$H,Report_HQ1!$A:$A, "="&amp;Report_Tổng!A48)</f>
        <v>3055053165.79</v>
      </c>
      <c r="G48" s="7">
        <f>SUMIFS(Report_HQ2!$K:$K,Report_HQ2!$A:$A, "="&amp;Report_Tổng!A48)</f>
        <v>362663472.01964992</v>
      </c>
      <c r="H48" s="24">
        <f t="shared" si="3"/>
        <v>3417716637.8096499</v>
      </c>
      <c r="I48" s="78">
        <f>SUMIFS('HQ1'!$L:$L,'HQ1'!$A:$A,"="&amp;Report_Tổng!C48,'HQ1'!$B:$B, "Total")</f>
        <v>0.37582815049383</v>
      </c>
      <c r="J48" s="78">
        <f>SUMIFS('HQ2'!$AD:$AD,'HQ2'!$A:$A,"="&amp;Report_Tổng!C48,'HQ1'!$B:$B, "Total")</f>
        <v>0</v>
      </c>
      <c r="K48" s="78">
        <f t="shared" si="4"/>
        <v>0.25460801985702514</v>
      </c>
      <c r="L48" s="78">
        <f t="shared" si="5"/>
        <v>0.95019290913726151</v>
      </c>
    </row>
    <row r="49" spans="1:12" x14ac:dyDescent="0.25">
      <c r="A49" s="9" t="s">
        <v>326</v>
      </c>
      <c r="B49" t="s">
        <v>184</v>
      </c>
      <c r="C49" t="s">
        <v>128</v>
      </c>
      <c r="D49" s="7">
        <f>SUMIFS('HQ1'!$C:$C,'HQ1'!$A:$A, "="&amp;Report_Tổng!C49, 'HQ1'!$B:$B, "Total")</f>
        <v>4039698310</v>
      </c>
      <c r="E49" s="7">
        <f>SUMIFS('HQ2'!$F:$F,'HQ2'!$A:$A, "="&amp;Report_Tổng!C49, 'HQ2'!$B:$B, "Total")</f>
        <v>72701079.63499999</v>
      </c>
      <c r="F49" s="7">
        <f>SUMIFS(Report_HQ1!$H:$H,Report_HQ1!$A:$A, "="&amp;Report_Tổng!A49)</f>
        <v>357537004.70000005</v>
      </c>
      <c r="G49" s="7">
        <f>SUMIFS(Report_HQ2!$K:$K,Report_HQ2!$A:$A, "="&amp;Report_Tổng!A49)</f>
        <v>-98314311.184049889</v>
      </c>
      <c r="H49" s="24">
        <f t="shared" si="3"/>
        <v>259222693.51595014</v>
      </c>
      <c r="I49" s="78">
        <f>SUMIFS('HQ1'!$L:$L,'HQ1'!$A:$A,"="&amp;Report_Tổng!C49,'HQ1'!$B:$B, "Total")</f>
        <v>0.44620961762525835</v>
      </c>
      <c r="J49" s="78">
        <f>SUMIFS('HQ2'!$AD:$AD,'HQ2'!$A:$A,"="&amp;Report_Tổng!C49,'HQ1'!$B:$B, "Total")</f>
        <v>0</v>
      </c>
      <c r="K49" s="78">
        <f t="shared" si="4"/>
        <v>8.8505867830511342E-2</v>
      </c>
      <c r="L49" s="78">
        <f t="shared" si="5"/>
        <v>-1.352308819588961</v>
      </c>
    </row>
    <row r="50" spans="1:12" x14ac:dyDescent="0.25">
      <c r="A50" s="9" t="s">
        <v>327</v>
      </c>
      <c r="B50" t="s">
        <v>185</v>
      </c>
      <c r="C50" t="s">
        <v>110</v>
      </c>
      <c r="D50" s="7">
        <f>SUMIFS('HQ1'!$C:$C,'HQ1'!$A:$A, "="&amp;Report_Tổng!C50, 'HQ1'!$B:$B, "Total")</f>
        <v>4483417993</v>
      </c>
      <c r="E50" s="7">
        <f>SUMIFS('HQ2'!$F:$F,'HQ2'!$A:$A, "="&amp;Report_Tổng!C50, 'HQ2'!$B:$B, "Total")</f>
        <v>1001451387.205</v>
      </c>
      <c r="F50" s="7">
        <f>SUMIFS(Report_HQ1!$H:$H,Report_HQ1!$A:$A, "="&amp;Report_Tổng!A50)</f>
        <v>1241003970.96</v>
      </c>
      <c r="G50" s="7">
        <f>SUMIFS(Report_HQ2!$K:$K,Report_HQ2!$A:$A, "="&amp;Report_Tổng!A50)</f>
        <v>637706633.71484983</v>
      </c>
      <c r="H50" s="24">
        <f t="shared" si="3"/>
        <v>1878710604.67485</v>
      </c>
      <c r="I50" s="78">
        <f>SUMIFS('HQ1'!$L:$L,'HQ1'!$A:$A,"="&amp;Report_Tổng!C50,'HQ1'!$B:$B, "Total")</f>
        <v>0.3366311769864257</v>
      </c>
      <c r="J50" s="78">
        <f>SUMIFS('HQ2'!$AD:$AD,'HQ2'!$A:$A,"="&amp;Report_Tổng!C50,'HQ1'!$B:$B, "Total")</f>
        <v>0</v>
      </c>
      <c r="K50" s="78">
        <f t="shared" si="4"/>
        <v>0.27679863285055967</v>
      </c>
      <c r="L50" s="78">
        <f t="shared" si="5"/>
        <v>0.63678241586409567</v>
      </c>
    </row>
    <row r="51" spans="1:12" x14ac:dyDescent="0.25">
      <c r="A51" s="9" t="s">
        <v>328</v>
      </c>
      <c r="B51" t="s">
        <v>186</v>
      </c>
      <c r="C51" t="s">
        <v>77</v>
      </c>
      <c r="D51" s="7">
        <f>SUMIFS('HQ1'!$C:$C,'HQ1'!$A:$A, "="&amp;Report_Tổng!C51, 'HQ1'!$B:$B, "Total")</f>
        <v>7519591244</v>
      </c>
      <c r="E51" s="7">
        <f>SUMIFS('HQ2'!$F:$F,'HQ2'!$A:$A, "="&amp;Report_Tổng!C51, 'HQ2'!$B:$B, "Total")</f>
        <v>3913489704.9500003</v>
      </c>
      <c r="F51" s="7">
        <f>SUMIFS(Report_HQ1!$H:$H,Report_HQ1!$A:$A, "="&amp;Report_Tổng!A51)</f>
        <v>1413641573.1799998</v>
      </c>
      <c r="G51" s="7">
        <f>SUMIFS(Report_HQ2!$K:$K,Report_HQ2!$A:$A, "="&amp;Report_Tổng!A51)</f>
        <v>2281679280.5185003</v>
      </c>
      <c r="H51" s="24">
        <f t="shared" si="3"/>
        <v>3695320853.6985002</v>
      </c>
      <c r="I51" s="78">
        <f>SUMIFS('HQ1'!$L:$L,'HQ1'!$A:$A,"="&amp;Report_Tổng!C51,'HQ1'!$B:$B, "Total")</f>
        <v>0.41743649045566333</v>
      </c>
      <c r="J51" s="78">
        <f>SUMIFS('HQ2'!$AD:$AD,'HQ2'!$A:$A,"="&amp;Report_Tổng!C51,'HQ1'!$B:$B, "Total")</f>
        <v>0</v>
      </c>
      <c r="K51" s="78">
        <f t="shared" si="4"/>
        <v>0.18799447035209083</v>
      </c>
      <c r="L51" s="78">
        <f t="shared" si="5"/>
        <v>0.58302932996923562</v>
      </c>
    </row>
    <row r="52" spans="1:12" x14ac:dyDescent="0.25">
      <c r="A52" s="9" t="s">
        <v>329</v>
      </c>
      <c r="B52" t="s">
        <v>187</v>
      </c>
      <c r="C52" t="s">
        <v>68</v>
      </c>
      <c r="D52" s="7">
        <f>SUMIFS('HQ1'!$C:$C,'HQ1'!$A:$A, "="&amp;Report_Tổng!C52, 'HQ1'!$B:$B, "Total")</f>
        <v>6260133604</v>
      </c>
      <c r="E52" s="7">
        <f>SUMIFS('HQ2'!$F:$F,'HQ2'!$A:$A, "="&amp;Report_Tổng!C52, 'HQ2'!$B:$B, "Total")</f>
        <v>5477434103.8100004</v>
      </c>
      <c r="F52" s="7">
        <f>SUMIFS(Report_HQ1!$H:$H,Report_HQ1!$A:$A, "="&amp;Report_Tổng!A52)</f>
        <v>689002018.38000011</v>
      </c>
      <c r="G52" s="7">
        <f>SUMIFS(Report_HQ2!$K:$K,Report_HQ2!$A:$A, "="&amp;Report_Tổng!A52)</f>
        <v>4044863930.5022016</v>
      </c>
      <c r="H52" s="24">
        <f t="shared" si="3"/>
        <v>4733865948.8822021</v>
      </c>
      <c r="I52" s="78">
        <f>SUMIFS('HQ1'!$L:$L,'HQ1'!$A:$A,"="&amp;Report_Tổng!C52,'HQ1'!$B:$B, "Total")</f>
        <v>0.49399387919656829</v>
      </c>
      <c r="J52" s="78">
        <f>SUMIFS('HQ2'!$AD:$AD,'HQ2'!$A:$A,"="&amp;Report_Tổng!C52,'HQ1'!$B:$B, "Total")</f>
        <v>0</v>
      </c>
      <c r="K52" s="78">
        <f t="shared" si="4"/>
        <v>0.11006187119389155</v>
      </c>
      <c r="L52" s="78">
        <f t="shared" si="5"/>
        <v>0.73845962431363077</v>
      </c>
    </row>
    <row r="53" spans="1:12" x14ac:dyDescent="0.25">
      <c r="A53" s="9" t="s">
        <v>330</v>
      </c>
      <c r="B53" t="s">
        <v>188</v>
      </c>
      <c r="C53" t="s">
        <v>84</v>
      </c>
      <c r="D53" s="7">
        <f>SUMIFS('HQ1'!$C:$C,'HQ1'!$A:$A, "="&amp;Report_Tổng!C53, 'HQ1'!$B:$B, "Total")</f>
        <v>25900712718</v>
      </c>
      <c r="E53" s="7">
        <f>SUMIFS('HQ2'!$F:$F,'HQ2'!$A:$A, "="&amp;Report_Tổng!C53, 'HQ2'!$B:$B, "Total")</f>
        <v>2902744451.8250003</v>
      </c>
      <c r="F53" s="7">
        <f>SUMIFS(Report_HQ1!$H:$H,Report_HQ1!$A:$A, "="&amp;Report_Tổng!A53)</f>
        <v>10725467471.790001</v>
      </c>
      <c r="G53" s="7">
        <f>SUMIFS(Report_HQ2!$K:$K,Report_HQ2!$A:$A, "="&amp;Report_Tổng!A53)</f>
        <v>-1965591450.0942497</v>
      </c>
      <c r="H53" s="24">
        <f t="shared" si="3"/>
        <v>8759876021.6957512</v>
      </c>
      <c r="I53" s="78">
        <f>SUMIFS('HQ1'!$L:$L,'HQ1'!$A:$A,"="&amp;Report_Tổng!C53,'HQ1'!$B:$B, "Total")</f>
        <v>0.3334214495469377</v>
      </c>
      <c r="J53" s="78">
        <f>SUMIFS('HQ2'!$AD:$AD,'HQ2'!$A:$A,"="&amp;Report_Tổng!C53,'HQ1'!$B:$B, "Total")</f>
        <v>1.2512842899769607</v>
      </c>
      <c r="K53" s="78">
        <f t="shared" si="4"/>
        <v>0.41409931798271377</v>
      </c>
      <c r="L53" s="78">
        <f t="shared" si="5"/>
        <v>-0.67714932634130165</v>
      </c>
    </row>
    <row r="54" spans="1:12" x14ac:dyDescent="0.25">
      <c r="A54" s="9" t="s">
        <v>331</v>
      </c>
      <c r="B54" t="s">
        <v>189</v>
      </c>
      <c r="C54" t="s">
        <v>52</v>
      </c>
      <c r="D54" s="7">
        <f>SUMIFS('HQ1'!$C:$C,'HQ1'!$A:$A, "="&amp;Report_Tổng!C54, 'HQ1'!$B:$B, "Total")</f>
        <v>17663917361</v>
      </c>
      <c r="E54" s="7">
        <f>SUMIFS('HQ2'!$F:$F,'HQ2'!$A:$A, "="&amp;Report_Tổng!C54, 'HQ2'!$B:$B, "Total")</f>
        <v>16574719010.129999</v>
      </c>
      <c r="F54" s="7">
        <f>SUMIFS(Report_HQ1!$H:$H,Report_HQ1!$A:$A, "="&amp;Report_Tổng!A54)</f>
        <v>4818791286.1599998</v>
      </c>
      <c r="G54" s="7">
        <f>SUMIFS(Report_HQ2!$K:$K,Report_HQ2!$A:$A, "="&amp;Report_Tổng!A54)</f>
        <v>8770185392.6141014</v>
      </c>
      <c r="H54" s="24">
        <f t="shared" si="3"/>
        <v>13588976678.774101</v>
      </c>
      <c r="I54" s="78">
        <f>SUMIFS('HQ1'!$L:$L,'HQ1'!$A:$A,"="&amp;Report_Tổng!C54,'HQ1'!$B:$B, "Total")</f>
        <v>0.38099172707925139</v>
      </c>
      <c r="J54" s="78">
        <f>SUMIFS('HQ2'!$AD:$AD,'HQ2'!$A:$A,"="&amp;Report_Tổng!C54,'HQ1'!$B:$B, "Total")</f>
        <v>9.3153730034027396E-2</v>
      </c>
      <c r="K54" s="78">
        <f t="shared" si="4"/>
        <v>0.27280422500160495</v>
      </c>
      <c r="L54" s="78">
        <f t="shared" si="5"/>
        <v>0.52913026080587022</v>
      </c>
    </row>
    <row r="55" spans="1:12" x14ac:dyDescent="0.25">
      <c r="A55" s="9" t="s">
        <v>332</v>
      </c>
      <c r="B55" t="s">
        <v>190</v>
      </c>
      <c r="C55" t="s">
        <v>93</v>
      </c>
      <c r="D55" s="7">
        <f>SUMIFS('HQ1'!$C:$C,'HQ1'!$A:$A, "="&amp;Report_Tổng!C55, 'HQ1'!$B:$B, "Total")</f>
        <v>4998265757</v>
      </c>
      <c r="E55" s="7">
        <f>SUMIFS('HQ2'!$F:$F,'HQ2'!$A:$A, "="&amp;Report_Tổng!C55, 'HQ2'!$B:$B, "Total")</f>
        <v>2080169532.1400001</v>
      </c>
      <c r="F55" s="7">
        <f>SUMIFS(Report_HQ1!$H:$H,Report_HQ1!$A:$A, "="&amp;Report_Tổng!A55)</f>
        <v>626023897.53999996</v>
      </c>
      <c r="G55" s="7">
        <f>SUMIFS(Report_HQ2!$K:$K,Report_HQ2!$A:$A, "="&amp;Report_Tổng!A55)</f>
        <v>1026014171.3072999</v>
      </c>
      <c r="H55" s="24">
        <f t="shared" si="3"/>
        <v>1652038068.8472998</v>
      </c>
      <c r="I55" s="78">
        <f>SUMIFS('HQ1'!$L:$L,'HQ1'!$A:$A,"="&amp;Report_Tổng!C55,'HQ1'!$B:$B, "Total")</f>
        <v>0.49639889273363658</v>
      </c>
      <c r="J55" s="78">
        <f>SUMIFS('HQ2'!$AD:$AD,'HQ2'!$A:$A,"="&amp;Report_Tổng!C55,'HQ1'!$B:$B, "Total")</f>
        <v>0</v>
      </c>
      <c r="K55" s="78">
        <f t="shared" si="4"/>
        <v>0.12524822167834163</v>
      </c>
      <c r="L55" s="78">
        <f t="shared" si="5"/>
        <v>0.49323584229780304</v>
      </c>
    </row>
    <row r="56" spans="1:12" x14ac:dyDescent="0.25">
      <c r="A56" s="9" t="s">
        <v>333</v>
      </c>
      <c r="B56" t="s">
        <v>191</v>
      </c>
      <c r="C56" t="s">
        <v>70</v>
      </c>
      <c r="D56" s="7">
        <f>SUMIFS('HQ1'!$C:$C,'HQ1'!$A:$A, "="&amp;Report_Tổng!C56, 'HQ1'!$B:$B, "Total")</f>
        <v>31979609868</v>
      </c>
      <c r="E56" s="7">
        <f>SUMIFS('HQ2'!$F:$F,'HQ2'!$A:$A, "="&amp;Report_Tổng!C56, 'HQ2'!$B:$B, "Total")</f>
        <v>5220652018.2449999</v>
      </c>
      <c r="F56" s="7">
        <f>SUMIFS(Report_HQ1!$H:$H,Report_HQ1!$A:$A, "="&amp;Report_Tổng!A56)</f>
        <v>2929600411.71</v>
      </c>
      <c r="G56" s="7">
        <f>SUMIFS(Report_HQ2!$K:$K,Report_HQ2!$A:$A, "="&amp;Report_Tổng!A56)</f>
        <v>-794374689.39385092</v>
      </c>
      <c r="H56" s="24">
        <f t="shared" si="3"/>
        <v>2135225722.3161492</v>
      </c>
      <c r="I56" s="78">
        <f>SUMIFS('HQ1'!$L:$L,'HQ1'!$A:$A,"="&amp;Report_Tổng!C56,'HQ1'!$B:$B, "Total")</f>
        <v>0.58556821178716467</v>
      </c>
      <c r="J56" s="78">
        <f>SUMIFS('HQ2'!$AD:$AD,'HQ2'!$A:$A,"="&amp;Report_Tổng!C56,'HQ1'!$B:$B, "Total")</f>
        <v>0.23724605171097085</v>
      </c>
      <c r="K56" s="78">
        <f t="shared" si="4"/>
        <v>9.1608384961614817E-2</v>
      </c>
      <c r="L56" s="78">
        <f t="shared" si="5"/>
        <v>-0.15216005330707558</v>
      </c>
    </row>
    <row r="57" spans="1:12" x14ac:dyDescent="0.25">
      <c r="A57" s="9" t="s">
        <v>334</v>
      </c>
      <c r="B57" t="s">
        <v>192</v>
      </c>
      <c r="C57" t="s">
        <v>94</v>
      </c>
      <c r="D57" s="7">
        <f>SUMIFS('HQ1'!$C:$C,'HQ1'!$A:$A, "="&amp;Report_Tổng!C57, 'HQ1'!$B:$B, "Total")</f>
        <v>4840612225</v>
      </c>
      <c r="E57" s="7">
        <f>SUMIFS('HQ2'!$F:$F,'HQ2'!$A:$A, "="&amp;Report_Tổng!C57, 'HQ2'!$B:$B, "Total")</f>
        <v>2064743800.635</v>
      </c>
      <c r="F57" s="7">
        <f>SUMIFS(Report_HQ1!$H:$H,Report_HQ1!$A:$A, "="&amp;Report_Tổng!A57)</f>
        <v>-729468797.54999983</v>
      </c>
      <c r="G57" s="7">
        <f>SUMIFS(Report_HQ2!$K:$K,Report_HQ2!$A:$A, "="&amp;Report_Tổng!A57)</f>
        <v>500144607.98395014</v>
      </c>
      <c r="H57" s="24">
        <f t="shared" si="3"/>
        <v>-229324189.5660497</v>
      </c>
      <c r="I57" s="78">
        <f>SUMIFS('HQ1'!$L:$L,'HQ1'!$A:$A,"="&amp;Report_Tổng!C57,'HQ1'!$B:$B, "Total")</f>
        <v>0.76377201731115374</v>
      </c>
      <c r="J57" s="78">
        <f>SUMIFS('HQ2'!$AD:$AD,'HQ2'!$A:$A,"="&amp;Report_Tổng!C57,'HQ1'!$B:$B, "Total")</f>
        <v>0</v>
      </c>
      <c r="K57" s="78">
        <f t="shared" si="4"/>
        <v>-0.15069763154804242</v>
      </c>
      <c r="L57" s="78">
        <f t="shared" si="5"/>
        <v>0.24223083165578876</v>
      </c>
    </row>
    <row r="58" spans="1:12" x14ac:dyDescent="0.25">
      <c r="A58" s="9" t="s">
        <v>335</v>
      </c>
      <c r="B58" t="s">
        <v>193</v>
      </c>
      <c r="C58" t="s">
        <v>89</v>
      </c>
      <c r="D58" s="7">
        <f>SUMIFS('HQ1'!$C:$C,'HQ1'!$A:$A, "="&amp;Report_Tổng!C58, 'HQ1'!$B:$B, "Total")</f>
        <v>6619063447</v>
      </c>
      <c r="E58" s="7">
        <f>SUMIFS('HQ2'!$F:$F,'HQ2'!$A:$A, "="&amp;Report_Tổng!C58, 'HQ2'!$B:$B, "Total")</f>
        <v>2314443503.5950003</v>
      </c>
      <c r="F58" s="7">
        <f>SUMIFS(Report_HQ1!$H:$H,Report_HQ1!$A:$A, "="&amp;Report_Tổng!A58)</f>
        <v>1396442438.3400002</v>
      </c>
      <c r="G58" s="7">
        <f>SUMIFS(Report_HQ2!$K:$K,Report_HQ2!$A:$A, "="&amp;Report_Tổng!A58)</f>
        <v>-407524287.10334986</v>
      </c>
      <c r="H58" s="24">
        <f t="shared" si="3"/>
        <v>988918151.23665023</v>
      </c>
      <c r="I58" s="78">
        <f>SUMIFS('HQ1'!$L:$L,'HQ1'!$A:$A,"="&amp;Report_Tổng!C58,'HQ1'!$B:$B, "Total")</f>
        <v>0.44159261378572862</v>
      </c>
      <c r="J58" s="78">
        <f>SUMIFS('HQ2'!$AD:$AD,'HQ2'!$A:$A,"="&amp;Report_Tổng!C58,'HQ1'!$B:$B, "Total")</f>
        <v>0.73424204627831002</v>
      </c>
      <c r="K58" s="78">
        <f t="shared" si="4"/>
        <v>0.21097281352891678</v>
      </c>
      <c r="L58" s="78">
        <f t="shared" si="5"/>
        <v>-0.17607873619310507</v>
      </c>
    </row>
    <row r="59" spans="1:12" x14ac:dyDescent="0.25">
      <c r="A59" s="36" t="s">
        <v>336</v>
      </c>
      <c r="B59" s="30" t="s">
        <v>194</v>
      </c>
      <c r="C59" s="30" t="s">
        <v>63</v>
      </c>
      <c r="D59" s="7">
        <f>SUMIFS('HQ1'!$C:$C,'HQ1'!$A:$A, "="&amp;Report_Tổng!C59, 'HQ1'!$B:$B, "Total")</f>
        <v>29763446452</v>
      </c>
      <c r="E59" s="7">
        <f>SUMIFS('HQ2'!$F:$F,'HQ2'!$A:$A, "="&amp;Report_Tổng!C59, 'HQ2'!$B:$B, "Total")</f>
        <v>8296465288.4200001</v>
      </c>
      <c r="F59" s="7">
        <f>SUMIFS(Report_HQ1!$H:$H,Report_HQ1!$A:$A, "="&amp;Report_Tổng!A59)</f>
        <v>5401747210.54</v>
      </c>
      <c r="G59" s="7">
        <f>SUMIFS(Report_HQ2!$K:$K,Report_HQ2!$A:$A, "="&amp;Report_Tổng!A59)</f>
        <v>4943968340.6059008</v>
      </c>
      <c r="H59" s="24">
        <f t="shared" si="3"/>
        <v>10345715551.145901</v>
      </c>
      <c r="I59" s="78">
        <f>SUMIFS('HQ1'!$L:$L,'HQ1'!$A:$A,"="&amp;Report_Tổng!C59,'HQ1'!$B:$B, "Total")</f>
        <v>0.42884772048444858</v>
      </c>
      <c r="J59" s="78">
        <f>SUMIFS('HQ2'!$AD:$AD,'HQ2'!$A:$A,"="&amp;Report_Tổng!C59,'HQ1'!$B:$B, "Total")</f>
        <v>-0.19001276356317989</v>
      </c>
      <c r="K59" s="78">
        <f t="shared" si="4"/>
        <v>0.18148930498527738</v>
      </c>
      <c r="L59" s="78">
        <f t="shared" si="5"/>
        <v>0.59591261684739028</v>
      </c>
    </row>
    <row r="60" spans="1:12" x14ac:dyDescent="0.25">
      <c r="A60" s="9" t="s">
        <v>337</v>
      </c>
      <c r="B60" t="s">
        <v>195</v>
      </c>
      <c r="C60" t="s">
        <v>95</v>
      </c>
      <c r="D60" s="7">
        <f>SUMIFS('HQ1'!$C:$C,'HQ1'!$A:$A, "="&amp;Report_Tổng!C60, 'HQ1'!$B:$B, "Total")</f>
        <v>2463693148</v>
      </c>
      <c r="E60" s="7">
        <f>SUMIFS('HQ2'!$F:$F,'HQ2'!$A:$A, "="&amp;Report_Tổng!C60, 'HQ2'!$B:$B, "Total")</f>
        <v>1821248309.1950002</v>
      </c>
      <c r="F60" s="7">
        <f>SUMIFS(Report_HQ1!$H:$H,Report_HQ1!$A:$A, "="&amp;Report_Tổng!A60)</f>
        <v>201535639.31</v>
      </c>
      <c r="G60" s="7">
        <f>SUMIFS(Report_HQ2!$K:$K,Report_HQ2!$A:$A, "="&amp;Report_Tổng!A60)</f>
        <v>685854306.23565006</v>
      </c>
      <c r="H60" s="24">
        <f t="shared" si="3"/>
        <v>887389945.54565001</v>
      </c>
      <c r="I60" s="78">
        <f>SUMIFS('HQ1'!$L:$L,'HQ1'!$A:$A,"="&amp;Report_Tổng!C60,'HQ1'!$B:$B, "Total")</f>
        <v>0.50920872433407283</v>
      </c>
      <c r="J60" s="78">
        <f>SUMIFS('HQ2'!$AD:$AD,'HQ2'!$A:$A,"="&amp;Report_Tổng!C60,'HQ1'!$B:$B, "Total")</f>
        <v>0</v>
      </c>
      <c r="K60" s="78">
        <f t="shared" si="4"/>
        <v>8.1802248576940073E-2</v>
      </c>
      <c r="L60" s="78">
        <f t="shared" si="5"/>
        <v>0.37658473189677288</v>
      </c>
    </row>
    <row r="61" spans="1:12" x14ac:dyDescent="0.25">
      <c r="A61" s="9" t="s">
        <v>338</v>
      </c>
      <c r="B61" t="s">
        <v>196</v>
      </c>
      <c r="C61" t="s">
        <v>75</v>
      </c>
      <c r="D61" s="7">
        <f>SUMIFS('HQ1'!$C:$C,'HQ1'!$A:$A, "="&amp;Report_Tổng!C61, 'HQ1'!$B:$B, "Total")</f>
        <v>11062436102</v>
      </c>
      <c r="E61" s="7">
        <f>SUMIFS('HQ2'!$F:$F,'HQ2'!$A:$A, "="&amp;Report_Tổng!C61, 'HQ2'!$B:$B, "Total")</f>
        <v>4462099832.0999994</v>
      </c>
      <c r="F61" s="7">
        <f>SUMIFS(Report_HQ1!$H:$H,Report_HQ1!$A:$A, "="&amp;Report_Tổng!A61)</f>
        <v>2071804364.6399999</v>
      </c>
      <c r="G61" s="7">
        <f>SUMIFS(Report_HQ2!$K:$K,Report_HQ2!$A:$A, "="&amp;Report_Tổng!A61)</f>
        <v>1544981488.5219998</v>
      </c>
      <c r="H61" s="24">
        <f t="shared" si="3"/>
        <v>3616785853.1619997</v>
      </c>
      <c r="I61" s="78">
        <f>SUMIFS('HQ1'!$L:$L,'HQ1'!$A:$A,"="&amp;Report_Tổng!C61,'HQ1'!$B:$B, "Total")</f>
        <v>0.49920736429940338</v>
      </c>
      <c r="J61" s="78">
        <f>SUMIFS('HQ2'!$AD:$AD,'HQ2'!$A:$A,"="&amp;Report_Tổng!C61,'HQ1'!$B:$B, "Total")</f>
        <v>54.511654395200942</v>
      </c>
      <c r="K61" s="78">
        <f t="shared" si="4"/>
        <v>0.18728283223850073</v>
      </c>
      <c r="L61" s="78">
        <f t="shared" si="5"/>
        <v>0.34624538819313794</v>
      </c>
    </row>
    <row r="62" spans="1:12" x14ac:dyDescent="0.25">
      <c r="A62" s="9" t="s">
        <v>339</v>
      </c>
      <c r="B62" t="s">
        <v>197</v>
      </c>
      <c r="C62" t="s">
        <v>105</v>
      </c>
      <c r="D62" s="7">
        <f>SUMIFS('HQ1'!$C:$C,'HQ1'!$A:$A, "="&amp;Report_Tổng!C62, 'HQ1'!$B:$B, "Total")</f>
        <v>5841935569</v>
      </c>
      <c r="E62" s="7">
        <f>SUMIFS('HQ2'!$F:$F,'HQ2'!$A:$A, "="&amp;Report_Tổng!C62, 'HQ2'!$B:$B, "Total")</f>
        <v>1267705398</v>
      </c>
      <c r="F62" s="7">
        <f>SUMIFS(Report_HQ1!$H:$H,Report_HQ1!$A:$A, "="&amp;Report_Tổng!A62)</f>
        <v>-129004561.41999984</v>
      </c>
      <c r="G62" s="7">
        <f>SUMIFS(Report_HQ2!$K:$K,Report_HQ2!$A:$A, "="&amp;Report_Tổng!A62)</f>
        <v>419639476.27299893</v>
      </c>
      <c r="H62" s="24">
        <f t="shared" si="3"/>
        <v>290634914.85299909</v>
      </c>
      <c r="I62" s="78">
        <f>SUMIFS('HQ1'!$L:$L,'HQ1'!$A:$A,"="&amp;Report_Tổng!C62,'HQ1'!$B:$B, "Total")</f>
        <v>0.6174759204124266</v>
      </c>
      <c r="J62" s="78">
        <f>SUMIFS('HQ2'!$AD:$AD,'HQ2'!$A:$A,"="&amp;Report_Tổng!C62,'HQ1'!$B:$B, "Total")</f>
        <v>0</v>
      </c>
      <c r="K62" s="78">
        <f t="shared" si="4"/>
        <v>-2.2082503289587347E-2</v>
      </c>
      <c r="L62" s="78">
        <f t="shared" si="5"/>
        <v>0.33102286772229939</v>
      </c>
    </row>
    <row r="63" spans="1:12" x14ac:dyDescent="0.25">
      <c r="A63" s="9" t="s">
        <v>340</v>
      </c>
      <c r="B63" t="s">
        <v>198</v>
      </c>
      <c r="C63" t="s">
        <v>73</v>
      </c>
      <c r="D63" s="7">
        <f>SUMIFS('HQ1'!$C:$C,'HQ1'!$A:$A, "="&amp;Report_Tổng!C63, 'HQ1'!$B:$B, "Total")</f>
        <v>7434986981</v>
      </c>
      <c r="E63" s="7">
        <f>SUMIFS('HQ2'!$F:$F,'HQ2'!$A:$A, "="&amp;Report_Tổng!C63, 'HQ2'!$B:$B, "Total")</f>
        <v>4863760046.8200006</v>
      </c>
      <c r="F63" s="7">
        <f>SUMIFS(Report_HQ1!$H:$H,Report_HQ1!$A:$A, "="&amp;Report_Tổng!A63)</f>
        <v>841667913.92000008</v>
      </c>
      <c r="G63" s="7">
        <f>SUMIFS(Report_HQ2!$K:$K,Report_HQ2!$A:$A, "="&amp;Report_Tổng!A63)</f>
        <v>-185968981.80309975</v>
      </c>
      <c r="H63" s="24">
        <f t="shared" si="3"/>
        <v>655698932.11690032</v>
      </c>
      <c r="I63" s="78">
        <f>SUMIFS('HQ1'!$L:$L,'HQ1'!$A:$A,"="&amp;Report_Tổng!C63,'HQ1'!$B:$B, "Total")</f>
        <v>0.5739234695215002</v>
      </c>
      <c r="J63" s="78">
        <f>SUMIFS('HQ2'!$AD:$AD,'HQ2'!$A:$A,"="&amp;Report_Tổng!C63,'HQ1'!$B:$B, "Total")</f>
        <v>0</v>
      </c>
      <c r="K63" s="78">
        <f t="shared" si="4"/>
        <v>0.11320368362054568</v>
      </c>
      <c r="L63" s="78">
        <f t="shared" si="5"/>
        <v>-3.8235640741505962E-2</v>
      </c>
    </row>
    <row r="64" spans="1:12" x14ac:dyDescent="0.25">
      <c r="A64" s="9" t="s">
        <v>341</v>
      </c>
      <c r="B64" t="s">
        <v>199</v>
      </c>
      <c r="C64" t="s">
        <v>101</v>
      </c>
      <c r="D64" s="7">
        <f>SUMIFS('HQ1'!$C:$C,'HQ1'!$A:$A, "="&amp;Report_Tổng!C64, 'HQ1'!$B:$B, "Total")</f>
        <v>14033327078</v>
      </c>
      <c r="E64" s="7">
        <f>SUMIFS('HQ2'!$F:$F,'HQ2'!$A:$A, "="&amp;Report_Tổng!C64, 'HQ2'!$B:$B, "Total")</f>
        <v>1505520629.5549998</v>
      </c>
      <c r="F64" s="7">
        <f>SUMIFS(Report_HQ1!$H:$H,Report_HQ1!$A:$A, "="&amp;Report_Tổng!A64)</f>
        <v>79878965.960000157</v>
      </c>
      <c r="G64" s="7">
        <f>SUMIFS(Report_HQ2!$K:$K,Report_HQ2!$A:$A, "="&amp;Report_Tổng!A64)</f>
        <v>-1078738755.0686495</v>
      </c>
      <c r="H64" s="24">
        <f t="shared" si="3"/>
        <v>-998859789.10864937</v>
      </c>
      <c r="I64" s="78">
        <f>SUMIFS('HQ1'!$L:$L,'HQ1'!$A:$A,"="&amp;Report_Tổng!C64,'HQ1'!$B:$B, "Total")</f>
        <v>0.66763792726169913</v>
      </c>
      <c r="J64" s="78">
        <f>SUMIFS('HQ2'!$AD:$AD,'HQ2'!$A:$A,"="&amp;Report_Tổng!C64,'HQ1'!$B:$B, "Total")</f>
        <v>0</v>
      </c>
      <c r="K64" s="78">
        <f t="shared" si="4"/>
        <v>5.6920903728686087E-3</v>
      </c>
      <c r="L64" s="78">
        <f t="shared" si="5"/>
        <v>-0.716522068108427</v>
      </c>
    </row>
    <row r="65" spans="1:12" x14ac:dyDescent="0.25">
      <c r="A65" s="9" t="s">
        <v>342</v>
      </c>
      <c r="B65" t="s">
        <v>200</v>
      </c>
      <c r="C65" t="s">
        <v>102</v>
      </c>
      <c r="D65" s="7">
        <f>SUMIFS('HQ1'!$C:$C,'HQ1'!$A:$A, "="&amp;Report_Tổng!C65, 'HQ1'!$B:$B, "Total")</f>
        <v>6581739401</v>
      </c>
      <c r="E65" s="7">
        <f>SUMIFS('HQ2'!$F:$F,'HQ2'!$A:$A, "="&amp;Report_Tổng!C65, 'HQ2'!$B:$B, "Total")</f>
        <v>1461955000.2</v>
      </c>
      <c r="F65" s="7">
        <f>SUMIFS(Report_HQ1!$H:$H,Report_HQ1!$A:$A, "="&amp;Report_Tổng!A65)</f>
        <v>1484001608.3699999</v>
      </c>
      <c r="G65" s="7">
        <f>SUMIFS(Report_HQ2!$K:$K,Report_HQ2!$A:$A, "="&amp;Report_Tổng!A65)</f>
        <v>812001810.06049991</v>
      </c>
      <c r="H65" s="24">
        <f t="shared" si="3"/>
        <v>2296003418.4305</v>
      </c>
      <c r="I65" s="78">
        <f>SUMIFS('HQ1'!$L:$L,'HQ1'!$A:$A,"="&amp;Report_Tổng!C65,'HQ1'!$B:$B, "Total")</f>
        <v>0.45397045446126427</v>
      </c>
      <c r="J65" s="78">
        <f>SUMIFS('HQ2'!$AD:$AD,'HQ2'!$A:$A,"="&amp;Report_Tổng!C65,'HQ1'!$B:$B, "Total")</f>
        <v>0</v>
      </c>
      <c r="K65" s="78">
        <f t="shared" si="4"/>
        <v>0.22547255641032024</v>
      </c>
      <c r="L65" s="78">
        <f t="shared" si="5"/>
        <v>0.55542189051606616</v>
      </c>
    </row>
    <row r="66" spans="1:12" x14ac:dyDescent="0.25">
      <c r="A66" s="9" t="s">
        <v>343</v>
      </c>
      <c r="B66" t="s">
        <v>201</v>
      </c>
      <c r="C66" t="s">
        <v>69</v>
      </c>
      <c r="D66" s="7">
        <f>SUMIFS('HQ1'!$C:$C,'HQ1'!$A:$A, "="&amp;Report_Tổng!C66, 'HQ1'!$B:$B, "Total")</f>
        <v>17476403349</v>
      </c>
      <c r="E66" s="7">
        <f>SUMIFS('HQ2'!$F:$F,'HQ2'!$A:$A, "="&amp;Report_Tổng!C66, 'HQ2'!$B:$B, "Total")</f>
        <v>5467980589.1350002</v>
      </c>
      <c r="F66" s="7">
        <f>SUMIFS(Report_HQ1!$H:$H,Report_HQ1!$A:$A, "="&amp;Report_Tổng!A66)</f>
        <v>2873789361.5300002</v>
      </c>
      <c r="G66" s="7">
        <f>SUMIFS(Report_HQ2!$K:$K,Report_HQ2!$A:$A, "="&amp;Report_Tổng!A66)</f>
        <v>2633192024.9001999</v>
      </c>
      <c r="H66" s="24">
        <f t="shared" si="3"/>
        <v>5506981386.4302006</v>
      </c>
      <c r="I66" s="78">
        <f>SUMIFS('HQ1'!$L:$L,'HQ1'!$A:$A,"="&amp;Report_Tổng!C66,'HQ1'!$B:$B, "Total")</f>
        <v>0.48986503646528667</v>
      </c>
      <c r="J66" s="78">
        <f>SUMIFS('HQ2'!$AD:$AD,'HQ2'!$A:$A,"="&amp;Report_Tổng!C66,'HQ1'!$B:$B, "Total")</f>
        <v>0.25373980192754536</v>
      </c>
      <c r="K66" s="78">
        <f t="shared" si="4"/>
        <v>0.16443826021527699</v>
      </c>
      <c r="L66" s="78">
        <f t="shared" si="5"/>
        <v>0.48156572284334942</v>
      </c>
    </row>
    <row r="67" spans="1:12" x14ac:dyDescent="0.25">
      <c r="A67" s="9" t="s">
        <v>344</v>
      </c>
      <c r="B67" t="s">
        <v>202</v>
      </c>
      <c r="C67" t="s">
        <v>112</v>
      </c>
      <c r="D67" s="7">
        <f>SUMIFS('HQ1'!$C:$C,'HQ1'!$A:$A, "="&amp;Report_Tổng!C67, 'HQ1'!$B:$B, "Total")</f>
        <v>11423416265</v>
      </c>
      <c r="E67" s="7">
        <f>SUMIFS('HQ2'!$F:$F,'HQ2'!$A:$A, "="&amp;Report_Tổng!C67, 'HQ2'!$B:$B, "Total")</f>
        <v>739681851.05499995</v>
      </c>
      <c r="F67" s="7">
        <f>SUMIFS(Report_HQ1!$H:$H,Report_HQ1!$A:$A, "="&amp;Report_Tổng!A67)</f>
        <v>415162508.38</v>
      </c>
      <c r="G67" s="7">
        <f>SUMIFS(Report_HQ2!$K:$K,Report_HQ2!$A:$A, "="&amp;Report_Tổng!A67)</f>
        <v>-317873368.00515008</v>
      </c>
      <c r="H67" s="24">
        <f t="shared" si="3"/>
        <v>97289140.374849916</v>
      </c>
      <c r="I67" s="78">
        <f>SUMIFS('HQ1'!$L:$L,'HQ1'!$A:$A,"="&amp;Report_Tổng!C67,'HQ1'!$B:$B, "Total")</f>
        <v>0.5905118201428301</v>
      </c>
      <c r="J67" s="78">
        <f>SUMIFS('HQ2'!$AD:$AD,'HQ2'!$A:$A,"="&amp;Report_Tổng!C67,'HQ1'!$B:$B, "Total")</f>
        <v>0</v>
      </c>
      <c r="K67" s="78">
        <f t="shared" si="4"/>
        <v>3.634311301882686E-2</v>
      </c>
      <c r="L67" s="78">
        <f t="shared" si="5"/>
        <v>-0.42974336541010283</v>
      </c>
    </row>
    <row r="68" spans="1:12" x14ac:dyDescent="0.25">
      <c r="A68" s="9" t="s">
        <v>345</v>
      </c>
      <c r="B68" t="s">
        <v>203</v>
      </c>
      <c r="C68" t="s">
        <v>46</v>
      </c>
      <c r="D68" s="7">
        <f>SUMIFS('HQ1'!$C:$C,'HQ1'!$A:$A, "="&amp;Report_Tổng!C68, 'HQ1'!$B:$B, "Total")</f>
        <v>113123560634</v>
      </c>
      <c r="E68" s="7">
        <f>SUMIFS('HQ2'!$F:$F,'HQ2'!$A:$A, "="&amp;Report_Tổng!C68, 'HQ2'!$B:$B, "Total")</f>
        <v>50774551023.32</v>
      </c>
      <c r="F68" s="7">
        <f>SUMIFS(Report_HQ1!$H:$H,Report_HQ1!$A:$A, "="&amp;Report_Tổng!A68)</f>
        <v>45468176894.730003</v>
      </c>
      <c r="G68" s="7">
        <f>SUMIFS(Report_HQ2!$K:$K,Report_HQ2!$A:$A, "="&amp;Report_Tổng!A68)</f>
        <v>24944357521.282146</v>
      </c>
      <c r="H68" s="24">
        <f t="shared" si="3"/>
        <v>70412534416.012146</v>
      </c>
      <c r="I68" s="78">
        <f>SUMIFS('HQ1'!$L:$L,'HQ1'!$A:$A,"="&amp;Report_Tổng!C68,'HQ1'!$B:$B, "Total")</f>
        <v>0.36333599006742751</v>
      </c>
      <c r="J68" s="78">
        <f>SUMIFS('HQ2'!$AD:$AD,'HQ2'!$A:$A,"="&amp;Report_Tổng!C68,'HQ1'!$B:$B, "Total")</f>
        <v>2.2361201426428737E-2</v>
      </c>
      <c r="K68" s="78">
        <f t="shared" si="4"/>
        <v>0.40193374960887024</v>
      </c>
      <c r="L68" s="78">
        <f t="shared" si="5"/>
        <v>0.49127677189751168</v>
      </c>
    </row>
    <row r="69" spans="1:12" x14ac:dyDescent="0.25">
      <c r="A69" s="9" t="s">
        <v>346</v>
      </c>
      <c r="B69" t="s">
        <v>204</v>
      </c>
      <c r="C69" t="s">
        <v>114</v>
      </c>
      <c r="D69" s="7">
        <f>SUMIFS('HQ1'!$C:$C,'HQ1'!$A:$A, "="&amp;Report_Tổng!C69, 'HQ1'!$B:$B, "Total")</f>
        <v>4599927105</v>
      </c>
      <c r="E69" s="7">
        <f>SUMIFS('HQ2'!$F:$F,'HQ2'!$A:$A, "="&amp;Report_Tổng!C69, 'HQ2'!$B:$B, "Total")</f>
        <v>775428070.125</v>
      </c>
      <c r="F69" s="7">
        <f>SUMIFS(Report_HQ1!$H:$H,Report_HQ1!$A:$A, "="&amp;Report_Tổng!A69)</f>
        <v>-259775164.64999986</v>
      </c>
      <c r="G69" s="7">
        <f>SUMIFS(Report_HQ2!$K:$K,Report_HQ2!$A:$A, "="&amp;Report_Tổng!A69)</f>
        <v>689025146.7332499</v>
      </c>
      <c r="H69" s="24">
        <f t="shared" si="3"/>
        <v>429249982.08325005</v>
      </c>
      <c r="I69" s="78">
        <f>SUMIFS('HQ1'!$L:$L,'HQ1'!$A:$A,"="&amp;Report_Tổng!C69,'HQ1'!$B:$B, "Total")</f>
        <v>0.66483365692511864</v>
      </c>
      <c r="J69" s="78">
        <f>SUMIFS('HQ2'!$AD:$AD,'HQ2'!$A:$A,"="&amp;Report_Tổng!C69,'HQ1'!$B:$B, "Total")</f>
        <v>0</v>
      </c>
      <c r="K69" s="78">
        <f t="shared" si="4"/>
        <v>-5.6473756805326562E-2</v>
      </c>
      <c r="L69" s="78">
        <f t="shared" si="5"/>
        <v>0.88857390295682503</v>
      </c>
    </row>
    <row r="70" spans="1:12" x14ac:dyDescent="0.25">
      <c r="A70" s="9" t="s">
        <v>347</v>
      </c>
      <c r="B70" t="s">
        <v>205</v>
      </c>
      <c r="C70" t="s">
        <v>107</v>
      </c>
      <c r="D70" s="7">
        <f>SUMIFS('HQ1'!$C:$C,'HQ1'!$A:$A, "="&amp;Report_Tổng!C70, 'HQ1'!$B:$B, "Total")</f>
        <v>8484479985</v>
      </c>
      <c r="E70" s="7">
        <f>SUMIFS('HQ2'!$F:$F,'HQ2'!$A:$A, "="&amp;Report_Tổng!C70, 'HQ2'!$B:$B, "Total")</f>
        <v>1084108595.0350001</v>
      </c>
      <c r="F70" s="7">
        <f>SUMIFS(Report_HQ1!$H:$H,Report_HQ1!$A:$A, "="&amp;Report_Tổng!A70)</f>
        <v>41474607.950000018</v>
      </c>
      <c r="G70" s="7">
        <f>SUMIFS(Report_HQ2!$K:$K,Report_HQ2!$A:$A, "="&amp;Report_Tổng!A70)</f>
        <v>437271503.95745003</v>
      </c>
      <c r="H70" s="24">
        <f t="shared" si="3"/>
        <v>478746111.90745008</v>
      </c>
      <c r="I70" s="78">
        <f>SUMIFS('HQ1'!$L:$L,'HQ1'!$A:$A,"="&amp;Report_Tổng!C70,'HQ1'!$B:$B, "Total")</f>
        <v>0.56284903275100151</v>
      </c>
      <c r="J70" s="78">
        <f>SUMIFS('HQ2'!$AD:$AD,'HQ2'!$A:$A,"="&amp;Report_Tổng!C70,'HQ1'!$B:$B, "Total")</f>
        <v>0</v>
      </c>
      <c r="K70" s="78">
        <f t="shared" si="4"/>
        <v>4.8882910942478954E-3</v>
      </c>
      <c r="L70" s="78">
        <f t="shared" si="5"/>
        <v>0.40334658904104792</v>
      </c>
    </row>
    <row r="71" spans="1:12" x14ac:dyDescent="0.25">
      <c r="A71" s="9" t="s">
        <v>348</v>
      </c>
      <c r="B71" t="s">
        <v>206</v>
      </c>
      <c r="C71" t="s">
        <v>90</v>
      </c>
      <c r="D71" s="7">
        <f>SUMIFS('HQ1'!$C:$C,'HQ1'!$A:$A, "="&amp;Report_Tổng!C71, 'HQ1'!$B:$B, "Total")</f>
        <v>12695383039</v>
      </c>
      <c r="E71" s="7">
        <f>SUMIFS('HQ2'!$F:$F,'HQ2'!$A:$A, "="&amp;Report_Tổng!C71, 'HQ2'!$B:$B, "Total")</f>
        <v>2279794674.5949998</v>
      </c>
      <c r="F71" s="7">
        <f>SUMIFS(Report_HQ1!$H:$H,Report_HQ1!$A:$A, "="&amp;Report_Tổng!A71)</f>
        <v>621059358.83000004</v>
      </c>
      <c r="G71" s="7">
        <f>SUMIFS(Report_HQ2!$K:$K,Report_HQ2!$A:$A, "="&amp;Report_Tổng!A71)</f>
        <v>1135879663.9331496</v>
      </c>
      <c r="H71" s="24">
        <f t="shared" si="3"/>
        <v>1756939022.7631497</v>
      </c>
      <c r="I71" s="78">
        <f>SUMIFS('HQ1'!$L:$L,'HQ1'!$A:$A,"="&amp;Report_Tổng!C71,'HQ1'!$B:$B, "Total")</f>
        <v>0.63611171487456997</v>
      </c>
      <c r="J71" s="78">
        <f>SUMIFS('HQ2'!$AD:$AD,'HQ2'!$A:$A,"="&amp;Report_Tổng!C71,'HQ1'!$B:$B, "Total")</f>
        <v>5.778786049872784E-2</v>
      </c>
      <c r="K71" s="78">
        <f t="shared" si="4"/>
        <v>4.8920096142205105E-2</v>
      </c>
      <c r="L71" s="78">
        <f t="shared" si="5"/>
        <v>0.49823770385591237</v>
      </c>
    </row>
    <row r="72" spans="1:12" x14ac:dyDescent="0.25">
      <c r="A72" s="9" t="s">
        <v>349</v>
      </c>
      <c r="B72" t="s">
        <v>207</v>
      </c>
      <c r="C72" t="s">
        <v>96</v>
      </c>
      <c r="D72" s="7">
        <f>SUMIFS('HQ1'!$C:$C,'HQ1'!$A:$A, "="&amp;Report_Tổng!C72, 'HQ1'!$B:$B, "Total")</f>
        <v>5526939400</v>
      </c>
      <c r="E72" s="7">
        <f>SUMIFS('HQ2'!$F:$F,'HQ2'!$A:$A, "="&amp;Report_Tổng!C72, 'HQ2'!$B:$B, "Total")</f>
        <v>1770096185.0499997</v>
      </c>
      <c r="F72" s="7">
        <f>SUMIFS(Report_HQ1!$H:$H,Report_HQ1!$A:$A, "="&amp;Report_Tổng!A72)</f>
        <v>-3346797486.1500001</v>
      </c>
      <c r="G72" s="7">
        <f>SUMIFS(Report_HQ2!$K:$K,Report_HQ2!$A:$A, "="&amp;Report_Tổng!A72)</f>
        <v>1198858040.1654999</v>
      </c>
      <c r="H72" s="24">
        <f t="shared" ref="H72:H95" si="6">F72+G72</f>
        <v>-2147939445.9844999</v>
      </c>
      <c r="I72" s="78">
        <f>SUMIFS('HQ1'!$L:$L,'HQ1'!$A:$A,"="&amp;Report_Tổng!C72,'HQ1'!$B:$B, "Total")</f>
        <v>1.2391674180276968</v>
      </c>
      <c r="J72" s="78">
        <f>SUMIFS('HQ2'!$AD:$AD,'HQ2'!$A:$A,"="&amp;Report_Tổng!C72,'HQ1'!$B:$B, "Total")</f>
        <v>0</v>
      </c>
      <c r="K72" s="78">
        <f t="shared" ref="K72:K95" si="7">F72/D72</f>
        <v>-0.60554264194573948</v>
      </c>
      <c r="L72" s="78">
        <f t="shared" ref="L72:L95" si="8">G72/E72</f>
        <v>0.67728412178439668</v>
      </c>
    </row>
    <row r="73" spans="1:12" x14ac:dyDescent="0.25">
      <c r="A73" s="9" t="s">
        <v>350</v>
      </c>
      <c r="B73" t="s">
        <v>208</v>
      </c>
      <c r="C73" t="s">
        <v>108</v>
      </c>
      <c r="D73" s="7">
        <f>SUMIFS('HQ1'!$C:$C,'HQ1'!$A:$A, "="&amp;Report_Tổng!C73, 'HQ1'!$B:$B, "Total")</f>
        <v>9409899589</v>
      </c>
      <c r="E73" s="7">
        <f>SUMIFS('HQ2'!$F:$F,'HQ2'!$A:$A, "="&amp;Report_Tổng!C73, 'HQ2'!$B:$B, "Total")</f>
        <v>1074242950.425</v>
      </c>
      <c r="F73" s="7">
        <f>SUMIFS(Report_HQ1!$H:$H,Report_HQ1!$A:$A, "="&amp;Report_Tổng!A73)</f>
        <v>1167107857.48</v>
      </c>
      <c r="G73" s="7">
        <f>SUMIFS(Report_HQ2!$K:$K,Report_HQ2!$A:$A, "="&amp;Report_Tổng!A73)</f>
        <v>-670307464.26725006</v>
      </c>
      <c r="H73" s="24">
        <f t="shared" si="6"/>
        <v>496800393.21274996</v>
      </c>
      <c r="I73" s="78">
        <f>SUMIFS('HQ1'!$L:$L,'HQ1'!$A:$A,"="&amp;Report_Tổng!C73,'HQ1'!$B:$B, "Total")</f>
        <v>0.56954083631915076</v>
      </c>
      <c r="J73" s="78">
        <f>SUMIFS('HQ2'!$AD:$AD,'HQ2'!$A:$A,"="&amp;Report_Tổng!C73,'HQ1'!$B:$B, "Total")</f>
        <v>0</v>
      </c>
      <c r="K73" s="78">
        <f t="shared" si="7"/>
        <v>0.12402978867535715</v>
      </c>
      <c r="L73" s="78">
        <f t="shared" si="8"/>
        <v>-0.62398125489402378</v>
      </c>
    </row>
    <row r="74" spans="1:12" x14ac:dyDescent="0.25">
      <c r="A74" s="9" t="s">
        <v>351</v>
      </c>
      <c r="B74" t="s">
        <v>209</v>
      </c>
      <c r="C74" t="s">
        <v>98</v>
      </c>
      <c r="D74" s="7">
        <f>SUMIFS('HQ1'!$C:$C,'HQ1'!$A:$A, "="&amp;Report_Tổng!C74, 'HQ1'!$B:$B, "Total")</f>
        <v>10631004622</v>
      </c>
      <c r="E74" s="7">
        <f>SUMIFS('HQ2'!$F:$F,'HQ2'!$A:$A, "="&amp;Report_Tổng!C74, 'HQ2'!$B:$B, "Total")</f>
        <v>1635771452.335</v>
      </c>
      <c r="F74" s="7">
        <f>SUMIFS(Report_HQ1!$H:$H,Report_HQ1!$A:$A, "="&amp;Report_Tổng!A74)</f>
        <v>-110068848.91000003</v>
      </c>
      <c r="G74" s="7">
        <f>SUMIFS(Report_HQ2!$K:$K,Report_HQ2!$A:$A, "="&amp;Report_Tổng!A74)</f>
        <v>-2605165938.3965492</v>
      </c>
      <c r="H74" s="24">
        <f t="shared" si="6"/>
        <v>-2715234787.3065491</v>
      </c>
      <c r="I74" s="78">
        <f>SUMIFS('HQ1'!$L:$L,'HQ1'!$A:$A,"="&amp;Report_Tổng!C74,'HQ1'!$B:$B, "Total")</f>
        <v>0.62470058464066658</v>
      </c>
      <c r="J74" s="78">
        <f>SUMIFS('HQ2'!$AD:$AD,'HQ2'!$A:$A,"="&amp;Report_Tổng!C74,'HQ1'!$B:$B, "Total")</f>
        <v>1.1691399300648091</v>
      </c>
      <c r="K74" s="78">
        <f t="shared" si="7"/>
        <v>-1.0353569848161057E-2</v>
      </c>
      <c r="L74" s="78">
        <f t="shared" si="8"/>
        <v>-1.5926222056741339</v>
      </c>
    </row>
    <row r="75" spans="1:12" x14ac:dyDescent="0.25">
      <c r="A75" s="9" t="s">
        <v>352</v>
      </c>
      <c r="B75" t="s">
        <v>210</v>
      </c>
      <c r="C75" t="s">
        <v>58</v>
      </c>
      <c r="D75" s="7">
        <f>SUMIFS('HQ1'!$C:$C,'HQ1'!$A:$A, "="&amp;Report_Tổng!C75, 'HQ1'!$B:$B, "Total")</f>
        <v>26152465236</v>
      </c>
      <c r="E75" s="7">
        <f>SUMIFS('HQ2'!$F:$F,'HQ2'!$A:$A, "="&amp;Report_Tổng!C75, 'HQ2'!$B:$B, "Total")</f>
        <v>10184137226.565001</v>
      </c>
      <c r="F75" s="7">
        <f>SUMIFS(Report_HQ1!$H:$H,Report_HQ1!$A:$A, "="&amp;Report_Tổng!A75)</f>
        <v>2404274295.5299978</v>
      </c>
      <c r="G75" s="7">
        <f>SUMIFS(Report_HQ2!$K:$K,Report_HQ2!$A:$A, "="&amp;Report_Tổng!A75)</f>
        <v>3860207113.1315494</v>
      </c>
      <c r="H75" s="24">
        <f t="shared" si="6"/>
        <v>6264481408.6615467</v>
      </c>
      <c r="I75" s="78">
        <f>SUMIFS('HQ1'!$L:$L,'HQ1'!$A:$A,"="&amp;Report_Tổng!C75,'HQ1'!$B:$B, "Total")</f>
        <v>0.57051556071987519</v>
      </c>
      <c r="J75" s="78">
        <f>SUMIFS('HQ2'!$AD:$AD,'HQ2'!$A:$A,"="&amp;Report_Tổng!C75,'HQ1'!$B:$B, "Total")</f>
        <v>0.10481261519718689</v>
      </c>
      <c r="K75" s="78">
        <f t="shared" si="7"/>
        <v>9.1932988872514027E-2</v>
      </c>
      <c r="L75" s="78">
        <f t="shared" si="8"/>
        <v>0.37904115265280608</v>
      </c>
    </row>
    <row r="76" spans="1:12" x14ac:dyDescent="0.25">
      <c r="A76" s="9" t="s">
        <v>353</v>
      </c>
      <c r="B76" t="s">
        <v>211</v>
      </c>
      <c r="C76" t="s">
        <v>97</v>
      </c>
      <c r="D76" s="7">
        <f>SUMIFS('HQ1'!$C:$C,'HQ1'!$A:$A, "="&amp;Report_Tổng!C76, 'HQ1'!$B:$B, "Total")</f>
        <v>8962180997</v>
      </c>
      <c r="E76" s="7">
        <f>SUMIFS('HQ2'!$F:$F,'HQ2'!$A:$A, "="&amp;Report_Tổng!C76, 'HQ2'!$B:$B, "Total")</f>
        <v>1760193546.175</v>
      </c>
      <c r="F76" s="7">
        <f>SUMIFS(Report_HQ1!$H:$H,Report_HQ1!$A:$A, "="&amp;Report_Tổng!A76)</f>
        <v>1162442638.8199997</v>
      </c>
      <c r="G76" s="7">
        <f>SUMIFS(Report_HQ2!$K:$K,Report_HQ2!$A:$A, "="&amp;Report_Tổng!A76)</f>
        <v>808579812.45474994</v>
      </c>
      <c r="H76" s="24">
        <f t="shared" si="6"/>
        <v>1971022451.2747498</v>
      </c>
      <c r="I76" s="78">
        <f>SUMIFS('HQ1'!$L:$L,'HQ1'!$A:$A,"="&amp;Report_Tổng!C76,'HQ1'!$B:$B, "Total")</f>
        <v>0.52497895160521768</v>
      </c>
      <c r="J76" s="78">
        <f>SUMIFS('HQ2'!$AD:$AD,'HQ2'!$A:$A,"="&amp;Report_Tổng!C76,'HQ1'!$B:$B, "Total")</f>
        <v>0</v>
      </c>
      <c r="K76" s="78">
        <f t="shared" si="7"/>
        <v>0.12970532945151583</v>
      </c>
      <c r="L76" s="78">
        <f t="shared" si="8"/>
        <v>0.45936983135283022</v>
      </c>
    </row>
    <row r="77" spans="1:12" x14ac:dyDescent="0.25">
      <c r="A77" s="9" t="s">
        <v>354</v>
      </c>
      <c r="B77" t="s">
        <v>212</v>
      </c>
      <c r="C77" t="s">
        <v>51</v>
      </c>
      <c r="D77" s="7">
        <f>SUMIFS('HQ1'!$C:$C,'HQ1'!$A:$A, "="&amp;Report_Tổng!C77, 'HQ1'!$B:$B, "Total")</f>
        <v>59764646857</v>
      </c>
      <c r="E77" s="7">
        <f>SUMIFS('HQ2'!$F:$F,'HQ2'!$A:$A, "="&amp;Report_Tổng!C77, 'HQ2'!$B:$B, "Total")</f>
        <v>18836064740.185001</v>
      </c>
      <c r="F77" s="7">
        <f>SUMIFS(Report_HQ1!$H:$H,Report_HQ1!$A:$A, "="&amp;Report_Tổng!A77)</f>
        <v>16288788947.49</v>
      </c>
      <c r="G77" s="7">
        <f>SUMIFS(Report_HQ2!$K:$K,Report_HQ2!$A:$A, "="&amp;Report_Tổng!A77)</f>
        <v>10992471827.724199</v>
      </c>
      <c r="H77" s="24">
        <f t="shared" si="6"/>
        <v>27281260775.214199</v>
      </c>
      <c r="I77" s="78">
        <f>SUMIFS('HQ1'!$L:$L,'HQ1'!$A:$A,"="&amp;Report_Tổng!C77,'HQ1'!$B:$B, "Total")</f>
        <v>0.39860464861381412</v>
      </c>
      <c r="J77" s="78">
        <f>SUMIFS('HQ2'!$AD:$AD,'HQ2'!$A:$A,"="&amp;Report_Tổng!C77,'HQ1'!$B:$B, "Total")</f>
        <v>-0.12844326804446821</v>
      </c>
      <c r="K77" s="78">
        <f t="shared" si="7"/>
        <v>0.27254890314109098</v>
      </c>
      <c r="L77" s="78">
        <f t="shared" si="8"/>
        <v>0.58358643269433974</v>
      </c>
    </row>
    <row r="78" spans="1:12" x14ac:dyDescent="0.25">
      <c r="A78" s="9" t="s">
        <v>355</v>
      </c>
      <c r="B78" t="s">
        <v>213</v>
      </c>
      <c r="C78" t="s">
        <v>109</v>
      </c>
      <c r="D78" s="7">
        <f>SUMIFS('HQ1'!$C:$C,'HQ1'!$A:$A, "="&amp;Report_Tổng!C78, 'HQ1'!$B:$B, "Total")</f>
        <v>10830210588</v>
      </c>
      <c r="E78" s="7">
        <f>SUMIFS('HQ2'!$F:$F,'HQ2'!$A:$A, "="&amp;Report_Tổng!C78, 'HQ2'!$B:$B, "Total")</f>
        <v>1010797289.6849999</v>
      </c>
      <c r="F78" s="7">
        <f>SUMIFS(Report_HQ1!$H:$H,Report_HQ1!$A:$A, "="&amp;Report_Tổng!A78)</f>
        <v>1779640735.51</v>
      </c>
      <c r="G78" s="7">
        <f>SUMIFS(Report_HQ2!$K:$K,Report_HQ2!$A:$A, "="&amp;Report_Tổng!A78)</f>
        <v>-354543377.12104982</v>
      </c>
      <c r="H78" s="24">
        <f t="shared" si="6"/>
        <v>1425097358.3889501</v>
      </c>
      <c r="I78" s="78">
        <f>SUMIFS('HQ1'!$L:$L,'HQ1'!$A:$A,"="&amp;Report_Tổng!C78,'HQ1'!$B:$B, "Total")</f>
        <v>0.4735872440285584</v>
      </c>
      <c r="J78" s="78">
        <f>SUMIFS('HQ2'!$AD:$AD,'HQ2'!$A:$A,"="&amp;Report_Tổng!C78,'HQ1'!$B:$B, "Total")</f>
        <v>0</v>
      </c>
      <c r="K78" s="78">
        <f t="shared" si="7"/>
        <v>0.16432189577937317</v>
      </c>
      <c r="L78" s="78">
        <f t="shared" si="8"/>
        <v>-0.35075616123935</v>
      </c>
    </row>
    <row r="79" spans="1:12" x14ac:dyDescent="0.25">
      <c r="A79" s="9" t="s">
        <v>356</v>
      </c>
      <c r="B79" t="s">
        <v>214</v>
      </c>
      <c r="C79" t="s">
        <v>80</v>
      </c>
      <c r="D79" s="7">
        <f>SUMIFS('HQ1'!$C:$C,'HQ1'!$A:$A, "="&amp;Report_Tổng!C79, 'HQ1'!$B:$B, "Total")</f>
        <v>6657654159</v>
      </c>
      <c r="E79" s="7">
        <f>SUMIFS('HQ2'!$F:$F,'HQ2'!$A:$A, "="&amp;Report_Tổng!C79, 'HQ2'!$B:$B, "Total")</f>
        <v>3215455681.7199998</v>
      </c>
      <c r="F79" s="7">
        <f>SUMIFS(Report_HQ1!$H:$H,Report_HQ1!$A:$A, "="&amp;Report_Tổng!A79)</f>
        <v>-2778826548.2700005</v>
      </c>
      <c r="G79" s="7">
        <f>SUMIFS(Report_HQ2!$K:$K,Report_HQ2!$A:$A, "="&amp;Report_Tổng!A79)</f>
        <v>1251061785.7268999</v>
      </c>
      <c r="H79" s="24">
        <f t="shared" si="6"/>
        <v>-1527764762.5431006</v>
      </c>
      <c r="I79" s="78">
        <f>SUMIFS('HQ1'!$L:$L,'HQ1'!$A:$A,"="&amp;Report_Tổng!C79,'HQ1'!$B:$B, "Total")</f>
        <v>1.0224729882319898</v>
      </c>
      <c r="J79" s="78">
        <f>SUMIFS('HQ2'!$AD:$AD,'HQ2'!$A:$A,"="&amp;Report_Tổng!C79,'HQ1'!$B:$B, "Total")</f>
        <v>0</v>
      </c>
      <c r="K79" s="78">
        <f t="shared" si="7"/>
        <v>-0.41738823944669856</v>
      </c>
      <c r="L79" s="78">
        <f t="shared" si="8"/>
        <v>0.38907760192100876</v>
      </c>
    </row>
    <row r="80" spans="1:12" x14ac:dyDescent="0.25">
      <c r="A80" s="9" t="s">
        <v>357</v>
      </c>
      <c r="B80" t="s">
        <v>215</v>
      </c>
      <c r="C80" t="s">
        <v>99</v>
      </c>
      <c r="D80" s="7">
        <f>SUMIFS('HQ1'!$C:$C,'HQ1'!$A:$A, "="&amp;Report_Tổng!C80, 'HQ1'!$B:$B, "Total")</f>
        <v>4983645037</v>
      </c>
      <c r="E80" s="7">
        <f>SUMIFS('HQ2'!$F:$F,'HQ2'!$A:$A, "="&amp;Report_Tổng!C80, 'HQ2'!$B:$B, "Total")</f>
        <v>1588248970.595</v>
      </c>
      <c r="F80" s="7">
        <f>SUMIFS(Report_HQ1!$H:$H,Report_HQ1!$A:$A, "="&amp;Report_Tổng!A80)</f>
        <v>851379544.13999999</v>
      </c>
      <c r="G80" s="7">
        <f>SUMIFS(Report_HQ2!$K:$K,Report_HQ2!$A:$A, "="&amp;Report_Tổng!A80)</f>
        <v>761322395.06414998</v>
      </c>
      <c r="H80" s="24">
        <f t="shared" si="6"/>
        <v>1612701939.20415</v>
      </c>
      <c r="I80" s="78">
        <f>SUMIFS('HQ1'!$L:$L,'HQ1'!$A:$A,"="&amp;Report_Tổng!C80,'HQ1'!$B:$B, "Total")</f>
        <v>0.39575221830130747</v>
      </c>
      <c r="J80" s="78">
        <f>SUMIFS('HQ2'!$AD:$AD,'HQ2'!$A:$A,"="&amp;Report_Tổng!C80,'HQ1'!$B:$B, "Total")</f>
        <v>0</v>
      </c>
      <c r="K80" s="78">
        <f t="shared" si="7"/>
        <v>0.17083470789334229</v>
      </c>
      <c r="L80" s="78">
        <f t="shared" si="8"/>
        <v>0.47934700992057844</v>
      </c>
    </row>
    <row r="81" spans="1:12" x14ac:dyDescent="0.25">
      <c r="A81" s="9" t="s">
        <v>358</v>
      </c>
      <c r="B81" t="s">
        <v>216</v>
      </c>
      <c r="C81" t="s">
        <v>66</v>
      </c>
      <c r="D81" s="7">
        <f>SUMIFS('HQ1'!$C:$C,'HQ1'!$A:$A, "="&amp;Report_Tổng!C81, 'HQ1'!$B:$B, "Total")</f>
        <v>18400233163</v>
      </c>
      <c r="E81" s="7">
        <f>SUMIFS('HQ2'!$F:$F,'HQ2'!$A:$A, "="&amp;Report_Tổng!C81, 'HQ2'!$B:$B, "Total")</f>
        <v>7026481772.3049994</v>
      </c>
      <c r="F81" s="7">
        <f>SUMIFS(Report_HQ1!$H:$H,Report_HQ1!$A:$A, "="&amp;Report_Tổng!A81)</f>
        <v>4432981015.1000004</v>
      </c>
      <c r="G81" s="7">
        <f>SUMIFS(Report_HQ2!$K:$K,Report_HQ2!$A:$A, "="&amp;Report_Tổng!A81)</f>
        <v>291405652.49885005</v>
      </c>
      <c r="H81" s="24">
        <f t="shared" si="6"/>
        <v>4724386667.5988503</v>
      </c>
      <c r="I81" s="78">
        <f>SUMIFS('HQ1'!$L:$L,'HQ1'!$A:$A,"="&amp;Report_Tổng!C81,'HQ1'!$B:$B, "Total")</f>
        <v>0.38067012347584339</v>
      </c>
      <c r="J81" s="78">
        <f>SUMIFS('HQ2'!$AD:$AD,'HQ2'!$A:$A,"="&amp;Report_Tổng!C81,'HQ1'!$B:$B, "Total")</f>
        <v>1.013223657578745</v>
      </c>
      <c r="K81" s="78">
        <f t="shared" si="7"/>
        <v>0.24091982834293829</v>
      </c>
      <c r="L81" s="78">
        <f t="shared" si="8"/>
        <v>4.1472483946009865E-2</v>
      </c>
    </row>
    <row r="82" spans="1:12" x14ac:dyDescent="0.25">
      <c r="A82" s="9" t="s">
        <v>359</v>
      </c>
      <c r="B82" t="s">
        <v>217</v>
      </c>
      <c r="C82" t="s">
        <v>116</v>
      </c>
      <c r="D82" s="7">
        <f>SUMIFS('HQ1'!$C:$C,'HQ1'!$A:$A, "="&amp;Report_Tổng!C82, 'HQ1'!$B:$B, "Total")</f>
        <v>4854779180</v>
      </c>
      <c r="E82" s="7">
        <f>SUMIFS('HQ2'!$F:$F,'HQ2'!$A:$A, "="&amp;Report_Tổng!C82, 'HQ2'!$B:$B, "Total")</f>
        <v>628011625.05999994</v>
      </c>
      <c r="F82" s="7">
        <f>SUMIFS(Report_HQ1!$H:$H,Report_HQ1!$A:$A, "="&amp;Report_Tổng!A82)</f>
        <v>508361167.85000002</v>
      </c>
      <c r="G82" s="7">
        <f>SUMIFS(Report_HQ2!$K:$K,Report_HQ2!$A:$A, "="&amp;Report_Tổng!A82)</f>
        <v>158137708.54420006</v>
      </c>
      <c r="H82" s="24">
        <f t="shared" si="6"/>
        <v>666498876.39420009</v>
      </c>
      <c r="I82" s="78">
        <f>SUMIFS('HQ1'!$L:$L,'HQ1'!$A:$A,"="&amp;Report_Tổng!C82,'HQ1'!$B:$B, "Total")</f>
        <v>0.57998455409337879</v>
      </c>
      <c r="J82" s="78">
        <f>SUMIFS('HQ2'!$AD:$AD,'HQ2'!$A:$A,"="&amp;Report_Tổng!C82,'HQ1'!$B:$B, "Total")</f>
        <v>0</v>
      </c>
      <c r="K82" s="78">
        <f t="shared" si="7"/>
        <v>0.10471355112180407</v>
      </c>
      <c r="L82" s="78">
        <f t="shared" si="8"/>
        <v>0.25180697654934597</v>
      </c>
    </row>
    <row r="83" spans="1:12" x14ac:dyDescent="0.25">
      <c r="A83" s="9" t="s">
        <v>360</v>
      </c>
      <c r="B83" t="s">
        <v>218</v>
      </c>
      <c r="C83" t="s">
        <v>86</v>
      </c>
      <c r="D83" s="7">
        <f>SUMIFS('HQ1'!$C:$C,'HQ1'!$A:$A, "="&amp;Report_Tổng!C83, 'HQ1'!$B:$B, "Total")</f>
        <v>6632793201</v>
      </c>
      <c r="E83" s="7">
        <f>SUMIFS('HQ2'!$F:$F,'HQ2'!$A:$A, "="&amp;Report_Tổng!C83, 'HQ2'!$B:$B, "Total")</f>
        <v>2509074748.3650002</v>
      </c>
      <c r="F83" s="7">
        <f>SUMIFS(Report_HQ1!$H:$H,Report_HQ1!$A:$A, "="&amp;Report_Tổng!A83)</f>
        <v>-702321649.98000002</v>
      </c>
      <c r="G83" s="7">
        <f>SUMIFS(Report_HQ2!$K:$K,Report_HQ2!$A:$A, "="&amp;Report_Tổng!A83)</f>
        <v>1481582648.38205</v>
      </c>
      <c r="H83" s="24">
        <f t="shared" si="6"/>
        <v>779260998.40205002</v>
      </c>
      <c r="I83" s="78">
        <f>SUMIFS('HQ1'!$L:$L,'HQ1'!$A:$A,"="&amp;Report_Tổng!C83,'HQ1'!$B:$B, "Total")</f>
        <v>0.70060395781242046</v>
      </c>
      <c r="J83" s="78">
        <f>SUMIFS('HQ2'!$AD:$AD,'HQ2'!$A:$A,"="&amp;Report_Tổng!C83,'HQ1'!$B:$B, "Total")</f>
        <v>0.12784016995833203</v>
      </c>
      <c r="K83" s="78">
        <f t="shared" si="7"/>
        <v>-0.10588625767408424</v>
      </c>
      <c r="L83" s="78">
        <f t="shared" si="8"/>
        <v>0.5904896413897196</v>
      </c>
    </row>
    <row r="84" spans="1:12" x14ac:dyDescent="0.25">
      <c r="A84" s="9" t="s">
        <v>361</v>
      </c>
      <c r="B84" t="s">
        <v>219</v>
      </c>
      <c r="C84" t="s">
        <v>85</v>
      </c>
      <c r="D84" s="7">
        <f>SUMIFS('HQ1'!$C:$C,'HQ1'!$A:$A, "="&amp;Report_Tổng!C84, 'HQ1'!$B:$B, "Total")</f>
        <v>8945844328</v>
      </c>
      <c r="E84" s="7">
        <f>SUMIFS('HQ2'!$F:$F,'HQ2'!$A:$A, "="&amp;Report_Tổng!C84, 'HQ2'!$B:$B, "Total")</f>
        <v>2722500184.9250002</v>
      </c>
      <c r="F84" s="7">
        <f>SUMIFS(Report_HQ1!$H:$H,Report_HQ1!$A:$A, "="&amp;Report_Tổng!A84)</f>
        <v>1423935970.8100002</v>
      </c>
      <c r="G84" s="7">
        <f>SUMIFS(Report_HQ2!$K:$K,Report_HQ2!$A:$A, "="&amp;Report_Tổng!A84)</f>
        <v>1951093186.8802502</v>
      </c>
      <c r="H84" s="24">
        <f t="shared" si="6"/>
        <v>3375029157.6902504</v>
      </c>
      <c r="I84" s="78">
        <f>SUMIFS('HQ1'!$L:$L,'HQ1'!$A:$A,"="&amp;Report_Tổng!C84,'HQ1'!$B:$B, "Total")</f>
        <v>0.47087075566409431</v>
      </c>
      <c r="J84" s="78">
        <f>SUMIFS('HQ2'!$AD:$AD,'HQ2'!$A:$A,"="&amp;Report_Tổng!C84,'HQ1'!$B:$B, "Total")</f>
        <v>0</v>
      </c>
      <c r="K84" s="78">
        <f t="shared" si="7"/>
        <v>0.15917289845444316</v>
      </c>
      <c r="L84" s="78">
        <f t="shared" si="8"/>
        <v>0.71665493272831471</v>
      </c>
    </row>
    <row r="85" spans="1:12" x14ac:dyDescent="0.25">
      <c r="A85" s="9" t="s">
        <v>362</v>
      </c>
      <c r="B85" t="s">
        <v>220</v>
      </c>
      <c r="C85" t="s">
        <v>129</v>
      </c>
      <c r="D85" s="7">
        <f>SUMIFS('HQ1'!$C:$C,'HQ1'!$A:$A, "="&amp;Report_Tổng!C85, 'HQ1'!$B:$B, "Total")</f>
        <v>3463224553</v>
      </c>
      <c r="E85" s="7">
        <f>SUMIFS('HQ2'!$F:$F,'HQ2'!$A:$A, "="&amp;Report_Tổng!C85, 'HQ2'!$B:$B, "Total")</f>
        <v>41059183.439999998</v>
      </c>
      <c r="F85" s="7">
        <f>SUMIFS(Report_HQ1!$H:$H,Report_HQ1!$A:$A, "="&amp;Report_Tổng!A85)</f>
        <v>-120125748.58999997</v>
      </c>
      <c r="G85" s="7">
        <f>SUMIFS(Report_HQ2!$K:$K,Report_HQ2!$A:$A, "="&amp;Report_Tổng!A85)</f>
        <v>-18684077.722700004</v>
      </c>
      <c r="H85" s="24">
        <f t="shared" si="6"/>
        <v>-138809826.31269997</v>
      </c>
      <c r="I85" s="78">
        <f>SUMIFS('HQ1'!$L:$L,'HQ1'!$A:$A,"="&amp;Report_Tổng!C85,'HQ1'!$B:$B, "Total")</f>
        <v>0.62401210299128396</v>
      </c>
      <c r="J85" s="78">
        <f>SUMIFS('HQ2'!$AD:$AD,'HQ2'!$A:$A,"="&amp;Report_Tổng!C85,'HQ1'!$B:$B, "Total")</f>
        <v>0</v>
      </c>
      <c r="K85" s="78">
        <f t="shared" si="7"/>
        <v>-3.4686098678164454E-2</v>
      </c>
      <c r="L85" s="78">
        <f t="shared" si="8"/>
        <v>-0.45505234535419209</v>
      </c>
    </row>
    <row r="86" spans="1:12" x14ac:dyDescent="0.25">
      <c r="A86" s="9" t="s">
        <v>233</v>
      </c>
      <c r="B86" t="str">
        <f>VLOOKUP(A86,[1]Sheet1!$A$82:$B$94,2,FALSE)</f>
        <v>Trụ sở chính</v>
      </c>
      <c r="C86" t="str">
        <f>B86</f>
        <v>Trụ sở chính</v>
      </c>
      <c r="D86" s="7">
        <f>SUMIFS('HQ1'!$C:$C,'HQ1'!$A:$A, "="&amp;Report_Tổng!C86, 'HQ1'!$B:$B, "Total")</f>
        <v>0</v>
      </c>
      <c r="E86" s="7">
        <f>SUMIFS('HQ2'!$F:$F,'HQ2'!$A:$A, "="&amp;Report_Tổng!C86, 'HQ2'!$B:$B, "Total")</f>
        <v>0</v>
      </c>
      <c r="F86" s="7">
        <f>SUMIFS(Report_HQ1!$H:$H,Report_HQ1!$A:$A, "="&amp;Report_Tổng!A86)</f>
        <v>171214133393.5</v>
      </c>
      <c r="G86" s="7">
        <f>SUMIFS(Report_HQ2!$K:$K,Report_HQ2!$A:$A, "="&amp;Report_Tổng!A86)</f>
        <v>26864354299.934994</v>
      </c>
      <c r="H86" s="24">
        <f t="shared" si="6"/>
        <v>198078487693.435</v>
      </c>
      <c r="I86" s="78">
        <f>SUMIFS('HQ1'!$L:$L,'HQ1'!$A:$A,"="&amp;Report_Tổng!C86,'HQ1'!$B:$B, "Total")</f>
        <v>0</v>
      </c>
      <c r="J86" s="78">
        <f>SUMIFS('HQ2'!$AD:$AD,'HQ2'!$A:$A,"="&amp;Report_Tổng!C86,'HQ1'!$B:$B, "Total")</f>
        <v>0</v>
      </c>
      <c r="K86" s="78" t="e">
        <f t="shared" si="7"/>
        <v>#DIV/0!</v>
      </c>
      <c r="L86" s="78" t="e">
        <f t="shared" si="8"/>
        <v>#DIV/0!</v>
      </c>
    </row>
    <row r="87" spans="1:12" x14ac:dyDescent="0.25">
      <c r="A87" s="9" t="s">
        <v>229</v>
      </c>
      <c r="B87" s="98" t="s">
        <v>115</v>
      </c>
      <c r="C87" s="98" t="s">
        <v>115</v>
      </c>
      <c r="D87" s="7">
        <f>SUMIFS('HQ1'!$C:$C,'HQ1'!$A:$A, "="&amp;Report_Tổng!C87, 'HQ1'!$B:$B, "Total")</f>
        <v>18512880302</v>
      </c>
      <c r="E87" s="7">
        <f>SUMIFS('HQ2'!$F:$F,'HQ2'!$A:$A, "="&amp;Report_Tổng!C87, 'HQ2'!$B:$B, "Total")</f>
        <v>766274359.13</v>
      </c>
      <c r="F87" s="7">
        <f>SUMIFS(Report_HQ1!$H:$H,Report_HQ1!$A:$A, "="&amp;Report_Tổng!A87)</f>
        <v>6382981426.6400013</v>
      </c>
      <c r="G87" s="7">
        <f>SUMIFS(Report_HQ2!$K:$K,Report_HQ2!$A:$A, "="&amp;Report_Tổng!A87)</f>
        <v>633266975.39659989</v>
      </c>
      <c r="H87" s="24">
        <f t="shared" si="6"/>
        <v>7016248402.0366011</v>
      </c>
      <c r="I87" s="78">
        <f>SUMIFS('HQ1'!$L:$L,'HQ1'!$A:$A,"="&amp;Report_Tổng!C87,'HQ1'!$B:$B, "Total")</f>
        <v>0.2756634007728565</v>
      </c>
      <c r="J87" s="78">
        <f>SUMIFS('HQ2'!$AD:$AD,'HQ2'!$A:$A,"="&amp;Report_Tổng!C87,'HQ1'!$B:$B, "Total")</f>
        <v>0</v>
      </c>
      <c r="K87" s="78">
        <f t="shared" si="7"/>
        <v>0.34478597184849885</v>
      </c>
      <c r="L87" s="78">
        <f t="shared" si="8"/>
        <v>0.82642328801865195</v>
      </c>
    </row>
    <row r="88" spans="1:12" x14ac:dyDescent="0.25">
      <c r="A88" s="9" t="s">
        <v>227</v>
      </c>
      <c r="B88" s="93" t="s">
        <v>423</v>
      </c>
      <c r="C88" s="93" t="s">
        <v>423</v>
      </c>
      <c r="D88" s="7">
        <f>SUMIFS('HQ1'!$C:$C,'HQ1'!$A:$A, "="&amp;Report_Tổng!C88, 'HQ1'!$B:$B, "Total")</f>
        <v>5526210114</v>
      </c>
      <c r="E88" s="7">
        <f>SUMIFS('HQ2'!$F:$F,'HQ2'!$A:$A, "="&amp;Report_Tổng!C88, 'HQ2'!$B:$B, "Total")</f>
        <v>238489959420.505</v>
      </c>
      <c r="F88" s="7">
        <f>SUMIFS(Report_HQ1!$H:$H,Report_HQ1!$A:$A, "="&amp;Report_Tổng!A88)</f>
        <v>3758924930.3800001</v>
      </c>
      <c r="G88" s="7">
        <f>SUMIFS(Report_HQ2!$K:$K,Report_HQ2!$A:$A, "="&amp;Report_Tổng!A88)</f>
        <v>240673013687.54385</v>
      </c>
      <c r="H88" s="24">
        <f t="shared" si="6"/>
        <v>244431938617.92386</v>
      </c>
      <c r="I88" s="78">
        <f>SUMIFS('HQ1'!$L:$L,'HQ1'!$A:$A,"="&amp;Report_Tổng!C88,'HQ1'!$B:$B, "Total")</f>
        <v>0</v>
      </c>
      <c r="J88" s="78">
        <f>SUMIFS('HQ2'!$AD:$AD,'HQ2'!$A:$A,"="&amp;Report_Tổng!C88,'HQ1'!$B:$B, "Total")</f>
        <v>0.48520381366963983</v>
      </c>
      <c r="K88" s="78">
        <f t="shared" si="7"/>
        <v>0.68019942290236268</v>
      </c>
      <c r="L88" s="78">
        <f t="shared" si="8"/>
        <v>1.009153652725437</v>
      </c>
    </row>
    <row r="89" spans="1:12" x14ac:dyDescent="0.25">
      <c r="A89" s="9"/>
      <c r="B89" s="93" t="s">
        <v>424</v>
      </c>
      <c r="C89" s="93" t="s">
        <v>424</v>
      </c>
      <c r="D89" s="7">
        <f>SUMIFS('HQ1'!$C:$C,'HQ1'!$A:$A, "="&amp;Report_Tổng!C89, 'HQ1'!$B:$B, "Total")</f>
        <v>69545281</v>
      </c>
      <c r="E89" s="7">
        <f>SUMIFS('HQ2'!$F:$F,'HQ2'!$A:$A, "="&amp;Report_Tổng!C89, 'HQ2'!$B:$B, "Total")</f>
        <v>29757972346.024998</v>
      </c>
      <c r="F89" s="7">
        <f>SUMIFS(Report_HQ1!$H:$H,Report_HQ1!$A:$A, "="&amp;Report_Tổng!A89)</f>
        <v>448999873312.3902</v>
      </c>
      <c r="G89" s="7">
        <f>SUMIFS(Report_HQ2!$K:$K,Report_HQ2!$A:$A, "="&amp;Report_Tổng!A89)</f>
        <v>315984410580.02722</v>
      </c>
      <c r="H89" s="24">
        <f t="shared" si="6"/>
        <v>764984283892.41748</v>
      </c>
      <c r="I89" s="78">
        <f>SUMIFS('HQ1'!$L:$L,'HQ1'!$A:$A,"="&amp;Report_Tổng!C89,'HQ1'!$B:$B, "Total")</f>
        <v>52.536365222299395</v>
      </c>
      <c r="J89" s="78">
        <f>SUMIFS('HQ2'!$AD:$AD,'HQ2'!$A:$A,"="&amp;Report_Tổng!C89,'HQ1'!$B:$B, "Total")</f>
        <v>14.8072704504382</v>
      </c>
      <c r="K89" s="78">
        <f t="shared" si="7"/>
        <v>6456.2234396952135</v>
      </c>
      <c r="L89" s="78">
        <f t="shared" si="8"/>
        <v>10.618479206370917</v>
      </c>
    </row>
    <row r="90" spans="1:12" x14ac:dyDescent="0.25">
      <c r="A90" s="9" t="s">
        <v>230</v>
      </c>
      <c r="B90" s="93" t="s">
        <v>130</v>
      </c>
      <c r="C90" s="93" t="s">
        <v>130</v>
      </c>
      <c r="D90" s="7">
        <f>SUMIFS('HQ1'!$C:$C,'HQ1'!$A:$A, "="&amp;Report_Tổng!C90, 'HQ1'!$B:$B, "Total")</f>
        <v>489327179462</v>
      </c>
      <c r="E90" s="7">
        <f>SUMIFS('HQ2'!$F:$F,'HQ2'!$A:$A, "="&amp;Report_Tổng!C90, 'HQ2'!$B:$B, "Total")</f>
        <v>2287855.7999999998</v>
      </c>
      <c r="F90" s="7">
        <f>SUMIFS(Report_HQ1!$H:$H,Report_HQ1!$A:$A, "="&amp;Report_Tổng!A90)</f>
        <v>109340066698.59</v>
      </c>
      <c r="G90" s="7">
        <f>SUMIFS(Report_HQ2!$K:$K,Report_HQ2!$A:$A, "="&amp;Report_Tổng!A90)</f>
        <v>1990434.5459999996</v>
      </c>
      <c r="H90" s="24">
        <f t="shared" si="6"/>
        <v>109342057133.136</v>
      </c>
      <c r="I90" s="78">
        <f>SUMIFS('HQ1'!$L:$L,'HQ1'!$A:$A,"="&amp;Report_Tổng!C90,'HQ1'!$B:$B, "Total")</f>
        <v>0.36842522966463398</v>
      </c>
      <c r="J90" s="78">
        <f>SUMIFS('HQ2'!$AD:$AD,'HQ2'!$A:$A,"="&amp;Report_Tổng!C90,'HQ1'!$B:$B, "Total")</f>
        <v>0</v>
      </c>
      <c r="K90" s="78">
        <f t="shared" si="7"/>
        <v>0.22344981290188293</v>
      </c>
      <c r="L90" s="78">
        <f t="shared" si="8"/>
        <v>0.86999999999999988</v>
      </c>
    </row>
    <row r="91" spans="1:12" x14ac:dyDescent="0.25">
      <c r="A91" s="9" t="s">
        <v>223</v>
      </c>
      <c r="B91" s="93" t="s">
        <v>55</v>
      </c>
      <c r="C91" s="93" t="s">
        <v>55</v>
      </c>
      <c r="D91" s="7">
        <f>SUMIFS('HQ1'!$C:$C,'HQ1'!$A:$A, "="&amp;Report_Tổng!C91, 'HQ1'!$B:$B, "Total")</f>
        <v>751489102</v>
      </c>
      <c r="E91" s="7">
        <f>SUMIFS('HQ2'!$F:$F,'HQ2'!$A:$A, "="&amp;Report_Tổng!C91, 'HQ2'!$B:$B, "Total")</f>
        <v>11087155634.005001</v>
      </c>
      <c r="F91" s="7">
        <f>SUMIFS(Report_HQ1!$H:$H,Report_HQ1!$A:$A, "="&amp;Report_Tổng!A91)</f>
        <v>-620701901.40999997</v>
      </c>
      <c r="G91" s="7">
        <f>SUMIFS(Report_HQ2!$K:$K,Report_HQ2!$A:$A, "="&amp;Report_Tổng!A91)</f>
        <v>8827603241.666851</v>
      </c>
      <c r="H91" s="24">
        <f t="shared" si="6"/>
        <v>8206901340.2568512</v>
      </c>
      <c r="I91" s="78">
        <f>SUMIFS('HQ1'!$L:$L,'HQ1'!$A:$A,"="&amp;Report_Tổng!C91,'HQ1'!$B:$B, "Total")</f>
        <v>1.7807937574278858</v>
      </c>
      <c r="J91" s="78">
        <f>SUMIFS('HQ2'!$AD:$AD,'HQ2'!$A:$A,"="&amp;Report_Tổng!C91,'HQ1'!$B:$B, "Total")</f>
        <v>-0.16678099486882844</v>
      </c>
      <c r="K91" s="78">
        <f t="shared" si="7"/>
        <v>-0.82596261177716979</v>
      </c>
      <c r="L91" s="78">
        <f t="shared" si="8"/>
        <v>0.79620089525865756</v>
      </c>
    </row>
    <row r="92" spans="1:12" x14ac:dyDescent="0.25">
      <c r="A92" s="9" t="s">
        <v>234</v>
      </c>
      <c r="B92" s="93" t="s">
        <v>126</v>
      </c>
      <c r="C92" s="93" t="s">
        <v>126</v>
      </c>
      <c r="D92" s="7">
        <f>SUMIFS('HQ1'!$C:$C,'HQ1'!$A:$A, "="&amp;Report_Tổng!C92, 'HQ1'!$B:$B, "Total")</f>
        <v>168738067865</v>
      </c>
      <c r="E92" s="7">
        <f>SUMIFS('HQ2'!$F:$F,'HQ2'!$A:$A, "="&amp;Report_Tổng!C92, 'HQ2'!$B:$B, "Total")</f>
        <v>213652247.97999996</v>
      </c>
      <c r="F92" s="7">
        <f>SUMIFS(Report_HQ1!$H:$H,Report_HQ1!$A:$A, "="&amp;Report_Tổng!A92)</f>
        <v>13249347790.400003</v>
      </c>
      <c r="G92" s="7">
        <f>SUMIFS(Report_HQ2!$K:$K,Report_HQ2!$A:$A, "="&amp;Report_Tổng!A92)</f>
        <v>-1294721225.3664</v>
      </c>
      <c r="H92" s="24">
        <f t="shared" si="6"/>
        <v>11954626565.033604</v>
      </c>
      <c r="I92" s="78">
        <f>SUMIFS('HQ1'!$L:$L,'HQ1'!$A:$A,"="&amp;Report_Tổng!C92,'HQ1'!$B:$B, "Total")</f>
        <v>0.58826056112621716</v>
      </c>
      <c r="J92" s="78">
        <f>SUMIFS('HQ2'!$AD:$AD,'HQ2'!$A:$A,"="&amp;Report_Tổng!C92,'HQ1'!$B:$B, "Total")</f>
        <v>0</v>
      </c>
      <c r="K92" s="78">
        <f t="shared" si="7"/>
        <v>7.8520205653890923E-2</v>
      </c>
      <c r="L92" s="78">
        <f t="shared" si="8"/>
        <v>-6.0599466544700205</v>
      </c>
    </row>
    <row r="93" spans="1:12" x14ac:dyDescent="0.25">
      <c r="A93" s="9" t="s">
        <v>228</v>
      </c>
      <c r="B93" s="93" t="s">
        <v>50</v>
      </c>
      <c r="C93" s="93" t="s">
        <v>50</v>
      </c>
      <c r="D93" s="7">
        <f>SUMIFS('HQ1'!$C:$C,'HQ1'!$A:$A, "="&amp;Report_Tổng!C93, 'HQ1'!$B:$B, "Total")</f>
        <v>494684094</v>
      </c>
      <c r="E93" s="7">
        <f>SUMIFS('HQ2'!$F:$F,'HQ2'!$A:$A, "="&amp;Report_Tổng!C93, 'HQ2'!$B:$B, "Total")</f>
        <v>18961542810.184998</v>
      </c>
      <c r="F93" s="7">
        <f>SUMIFS(Report_HQ1!$H:$H,Report_HQ1!$A:$A, "="&amp;Report_Tổng!A93)</f>
        <v>116721721.68000001</v>
      </c>
      <c r="G93" s="7">
        <f>SUMIFS(Report_HQ2!$K:$K,Report_HQ2!$A:$A, "="&amp;Report_Tổng!A93)</f>
        <v>3377248676.0899515</v>
      </c>
      <c r="H93" s="24">
        <f t="shared" si="6"/>
        <v>3493970397.7699513</v>
      </c>
      <c r="I93" s="78">
        <f>SUMIFS('HQ1'!$L:$L,'HQ1'!$A:$A,"="&amp;Report_Tổng!C93,'HQ1'!$B:$B, "Total")</f>
        <v>0.21067957947131927</v>
      </c>
      <c r="J93" s="78">
        <f>SUMIFS('HQ2'!$AD:$AD,'HQ2'!$A:$A,"="&amp;Report_Tổng!C93,'HQ1'!$B:$B, "Total")</f>
        <v>6.0518170397624678E-3</v>
      </c>
      <c r="K93" s="78">
        <f t="shared" si="7"/>
        <v>0.2359520411020129</v>
      </c>
      <c r="L93" s="78">
        <f t="shared" si="8"/>
        <v>0.17811043699861265</v>
      </c>
    </row>
    <row r="94" spans="1:12" x14ac:dyDescent="0.25">
      <c r="A94" s="9" t="s">
        <v>231</v>
      </c>
      <c r="B94" s="93" t="s">
        <v>56</v>
      </c>
      <c r="C94" s="93" t="s">
        <v>56</v>
      </c>
      <c r="D94" s="7">
        <f>SUMIFS('HQ1'!$C:$C,'HQ1'!$A:$A, "="&amp;Report_Tổng!C94, 'HQ1'!$B:$B, "Total")</f>
        <v>22350000</v>
      </c>
      <c r="E94" s="7">
        <f>SUMIFS('HQ2'!$F:$F,'HQ2'!$A:$A, "="&amp;Report_Tổng!C94, 'HQ2'!$B:$B, "Total")</f>
        <v>10813120704.300001</v>
      </c>
      <c r="F94" s="7">
        <f>SUMIFS(Report_HQ1!$H:$H,Report_HQ1!$A:$A, "="&amp;Report_Tổng!A94)</f>
        <v>10392750</v>
      </c>
      <c r="G94" s="7">
        <f>SUMIFS(Report_HQ2!$K:$K,Report_HQ2!$A:$A, "="&amp;Report_Tổng!A94)</f>
        <v>10785793831.396997</v>
      </c>
      <c r="H94" s="24">
        <f t="shared" si="6"/>
        <v>10796186581.396997</v>
      </c>
      <c r="I94" s="78">
        <f>SUMIFS('HQ1'!$L:$L,'HQ1'!$A:$A,"="&amp;Report_Tổng!C94,'HQ1'!$B:$B, "Total")</f>
        <v>0</v>
      </c>
      <c r="J94" s="78">
        <f>SUMIFS('HQ2'!$AD:$AD,'HQ2'!$A:$A,"="&amp;Report_Tổng!C94,'HQ1'!$B:$B, "Total")</f>
        <v>0.9028773029253534</v>
      </c>
      <c r="K94" s="78">
        <f t="shared" si="7"/>
        <v>0.46500000000000002</v>
      </c>
      <c r="L94" s="78">
        <f t="shared" si="8"/>
        <v>0.99747280423012974</v>
      </c>
    </row>
    <row r="95" spans="1:12" x14ac:dyDescent="0.25">
      <c r="A95" s="9" t="s">
        <v>225</v>
      </c>
      <c r="B95" s="93" t="s">
        <v>139</v>
      </c>
      <c r="C95" s="93" t="s">
        <v>139</v>
      </c>
      <c r="D95" s="7">
        <f>SUMIFS('HQ1'!$C:$C,'HQ1'!$A:$A, "="&amp;Report_Tổng!C95, 'HQ1'!$B:$B, "Total")</f>
        <v>83568545350</v>
      </c>
      <c r="E95" s="7">
        <f>SUMIFS('HQ2'!$F:$F,'HQ2'!$A:$A, "="&amp;Report_Tổng!C95, 'HQ2'!$B:$B, "Total")</f>
        <v>0</v>
      </c>
      <c r="F95" s="7">
        <f>SUMIFS(Report_HQ1!$H:$H,Report_HQ1!$A:$A, "="&amp;Report_Tổng!A95)</f>
        <v>16427184993.299999</v>
      </c>
      <c r="G95" s="7">
        <f>SUMIFS(Report_HQ2!$K:$K,Report_HQ2!$A:$A, "="&amp;Report_Tổng!A95)</f>
        <v>0</v>
      </c>
      <c r="H95" s="24">
        <f t="shared" si="6"/>
        <v>16427184993.299999</v>
      </c>
      <c r="I95" s="78">
        <f>SUMIFS('HQ1'!$L:$L,'HQ1'!$A:$A,"="&amp;Report_Tổng!C95,'HQ1'!$B:$B, "Total")</f>
        <v>0.45798497466094079</v>
      </c>
      <c r="J95" s="78">
        <f>SUMIFS('HQ2'!$AD:$AD,'HQ2'!$A:$A,"="&amp;Report_Tổng!C95,'HQ1'!$B:$B, "Total")</f>
        <v>0</v>
      </c>
      <c r="K95" s="78">
        <f t="shared" si="7"/>
        <v>0.19657138848713968</v>
      </c>
      <c r="L95" s="78" t="e">
        <f t="shared" si="8"/>
        <v>#DIV/0!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7:AR25"/>
  <sheetViews>
    <sheetView workbookViewId="0">
      <selection activeCell="M24" sqref="M24"/>
    </sheetView>
  </sheetViews>
  <sheetFormatPr defaultRowHeight="15" x14ac:dyDescent="0.25"/>
  <cols>
    <col min="6" max="7" width="11.5703125" bestFit="1" customWidth="1"/>
    <col min="8" max="8" width="15.28515625" bestFit="1" customWidth="1"/>
    <col min="9" max="9" width="14.28515625" bestFit="1" customWidth="1"/>
    <col min="11" max="11" width="16.85546875" bestFit="1" customWidth="1"/>
  </cols>
  <sheetData>
    <row r="7" spans="6:44" x14ac:dyDescent="0.25">
      <c r="F7" s="23">
        <v>57807460</v>
      </c>
      <c r="G7" s="7">
        <v>11482276</v>
      </c>
      <c r="H7" s="7">
        <v>9498565722</v>
      </c>
      <c r="I7" s="7">
        <v>3206374119</v>
      </c>
      <c r="M7" t="s">
        <v>14</v>
      </c>
      <c r="N7" t="s">
        <v>16</v>
      </c>
      <c r="O7" t="s">
        <v>32</v>
      </c>
      <c r="P7" t="s">
        <v>33</v>
      </c>
      <c r="Q7" t="s">
        <v>18</v>
      </c>
      <c r="R7" t="s">
        <v>23</v>
      </c>
      <c r="S7" t="s">
        <v>25</v>
      </c>
      <c r="T7" t="s">
        <v>37</v>
      </c>
      <c r="U7" t="s">
        <v>29</v>
      </c>
      <c r="V7" t="s">
        <v>35</v>
      </c>
      <c r="W7" t="s">
        <v>28</v>
      </c>
      <c r="X7" t="s">
        <v>21</v>
      </c>
      <c r="Y7" t="s">
        <v>38</v>
      </c>
      <c r="Z7" s="126" t="s">
        <v>277</v>
      </c>
      <c r="AA7" s="126"/>
      <c r="AB7" s="126" t="s">
        <v>278</v>
      </c>
      <c r="AC7" s="127"/>
      <c r="AD7" s="128" t="s">
        <v>281</v>
      </c>
      <c r="AE7" s="127"/>
      <c r="AF7" s="21" t="s">
        <v>14</v>
      </c>
      <c r="AG7" t="s">
        <v>16</v>
      </c>
      <c r="AH7" t="s">
        <v>32</v>
      </c>
      <c r="AI7" t="s">
        <v>33</v>
      </c>
      <c r="AJ7" t="s">
        <v>18</v>
      </c>
      <c r="AK7" t="s">
        <v>23</v>
      </c>
      <c r="AL7" t="s">
        <v>25</v>
      </c>
      <c r="AM7" t="s">
        <v>37</v>
      </c>
      <c r="AN7" t="s">
        <v>29</v>
      </c>
      <c r="AO7" t="s">
        <v>35</v>
      </c>
      <c r="AP7" t="s">
        <v>28</v>
      </c>
      <c r="AQ7" t="s">
        <v>21</v>
      </c>
      <c r="AR7" t="s">
        <v>38</v>
      </c>
    </row>
    <row r="8" spans="6:44" x14ac:dyDescent="0.25">
      <c r="F8" s="5">
        <v>57807460</v>
      </c>
      <c r="G8" s="5">
        <v>11482276</v>
      </c>
      <c r="H8" s="5">
        <v>12804641171</v>
      </c>
      <c r="I8" s="5">
        <v>3206374119</v>
      </c>
      <c r="M8" s="18" t="s">
        <v>135</v>
      </c>
      <c r="N8" s="3" t="s">
        <v>136</v>
      </c>
      <c r="O8" s="3" t="s">
        <v>137</v>
      </c>
      <c r="P8" s="3" t="s">
        <v>138</v>
      </c>
      <c r="Q8" s="19" t="s">
        <v>270</v>
      </c>
      <c r="R8" s="16" t="s">
        <v>23</v>
      </c>
      <c r="S8" s="19" t="s">
        <v>273</v>
      </c>
      <c r="T8" s="19" t="s">
        <v>272</v>
      </c>
      <c r="U8" s="19" t="s">
        <v>268</v>
      </c>
      <c r="V8" s="19" t="s">
        <v>271</v>
      </c>
      <c r="W8" s="19" t="s">
        <v>269</v>
      </c>
      <c r="X8" s="3"/>
      <c r="Y8" s="20"/>
      <c r="Z8" s="20" t="s">
        <v>279</v>
      </c>
      <c r="AA8" s="20" t="s">
        <v>280</v>
      </c>
      <c r="AB8" s="20" t="s">
        <v>279</v>
      </c>
      <c r="AC8" s="20" t="s">
        <v>280</v>
      </c>
      <c r="AD8" s="20" t="s">
        <v>279</v>
      </c>
      <c r="AE8" s="20" t="s">
        <v>280</v>
      </c>
      <c r="AF8" s="22" t="s">
        <v>135</v>
      </c>
      <c r="AG8" s="3" t="s">
        <v>136</v>
      </c>
      <c r="AH8" s="3" t="s">
        <v>137</v>
      </c>
      <c r="AI8" s="3" t="s">
        <v>138</v>
      </c>
      <c r="AJ8" s="19" t="s">
        <v>270</v>
      </c>
      <c r="AK8" s="16" t="s">
        <v>23</v>
      </c>
      <c r="AL8" s="19" t="s">
        <v>273</v>
      </c>
      <c r="AM8" s="19" t="s">
        <v>272</v>
      </c>
      <c r="AN8" s="19" t="s">
        <v>268</v>
      </c>
      <c r="AO8" s="19" t="s">
        <v>271</v>
      </c>
      <c r="AP8" s="19" t="s">
        <v>269</v>
      </c>
      <c r="AQ8" s="3"/>
      <c r="AR8" s="3"/>
    </row>
    <row r="11" spans="6:44" x14ac:dyDescent="0.25">
      <c r="K11" t="s">
        <v>14</v>
      </c>
      <c r="L11" s="18" t="s">
        <v>135</v>
      </c>
      <c r="M11" t="s">
        <v>279</v>
      </c>
    </row>
    <row r="12" spans="6:44" x14ac:dyDescent="0.25">
      <c r="K12" t="s">
        <v>16</v>
      </c>
      <c r="L12" s="3" t="s">
        <v>136</v>
      </c>
      <c r="M12" t="s">
        <v>279</v>
      </c>
    </row>
    <row r="13" spans="6:44" x14ac:dyDescent="0.25">
      <c r="K13" t="s">
        <v>32</v>
      </c>
      <c r="L13" s="3" t="s">
        <v>137</v>
      </c>
      <c r="M13" t="s">
        <v>279</v>
      </c>
    </row>
    <row r="14" spans="6:44" x14ac:dyDescent="0.25">
      <c r="K14" t="s">
        <v>33</v>
      </c>
      <c r="L14" s="3" t="s">
        <v>138</v>
      </c>
      <c r="M14" t="s">
        <v>279</v>
      </c>
    </row>
    <row r="15" spans="6:44" x14ac:dyDescent="0.25">
      <c r="K15" t="s">
        <v>18</v>
      </c>
      <c r="L15" s="19" t="s">
        <v>270</v>
      </c>
      <c r="M15" t="s">
        <v>280</v>
      </c>
    </row>
    <row r="16" spans="6:44" x14ac:dyDescent="0.25">
      <c r="K16" t="s">
        <v>23</v>
      </c>
      <c r="L16" s="16" t="s">
        <v>23</v>
      </c>
      <c r="M16" t="s">
        <v>280</v>
      </c>
    </row>
    <row r="17" spans="11:13" x14ac:dyDescent="0.25">
      <c r="K17" t="s">
        <v>25</v>
      </c>
      <c r="L17" s="19" t="s">
        <v>273</v>
      </c>
      <c r="M17" t="s">
        <v>280</v>
      </c>
    </row>
    <row r="18" spans="11:13" x14ac:dyDescent="0.25">
      <c r="K18" t="s">
        <v>37</v>
      </c>
      <c r="L18" s="19" t="s">
        <v>272</v>
      </c>
      <c r="M18" t="s">
        <v>280</v>
      </c>
    </row>
    <row r="19" spans="11:13" x14ac:dyDescent="0.25">
      <c r="K19" t="s">
        <v>29</v>
      </c>
      <c r="L19" s="19" t="s">
        <v>268</v>
      </c>
      <c r="M19" t="s">
        <v>280</v>
      </c>
    </row>
    <row r="20" spans="11:13" x14ac:dyDescent="0.25">
      <c r="K20" t="s">
        <v>35</v>
      </c>
      <c r="L20" s="19" t="s">
        <v>271</v>
      </c>
      <c r="M20" t="s">
        <v>280</v>
      </c>
    </row>
    <row r="21" spans="11:13" x14ac:dyDescent="0.25">
      <c r="K21" t="s">
        <v>28</v>
      </c>
      <c r="L21" s="19" t="s">
        <v>269</v>
      </c>
      <c r="M21" t="s">
        <v>280</v>
      </c>
    </row>
    <row r="22" spans="11:13" x14ac:dyDescent="0.25">
      <c r="K22" t="s">
        <v>21</v>
      </c>
      <c r="L22" s="3"/>
    </row>
    <row r="23" spans="11:13" x14ac:dyDescent="0.25">
      <c r="K23" t="s">
        <v>38</v>
      </c>
      <c r="L23" s="20"/>
    </row>
    <row r="24" spans="11:13" x14ac:dyDescent="0.25">
      <c r="K24" s="126" t="s">
        <v>277</v>
      </c>
      <c r="L24" s="20" t="s">
        <v>279</v>
      </c>
    </row>
    <row r="25" spans="11:13" x14ac:dyDescent="0.25">
      <c r="K25" s="126"/>
      <c r="L25" s="20" t="s">
        <v>280</v>
      </c>
    </row>
  </sheetData>
  <mergeCells count="4">
    <mergeCell ref="Z7:AA7"/>
    <mergeCell ref="AB7:AC7"/>
    <mergeCell ref="AD7:AE7"/>
    <mergeCell ref="K24:K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H98"/>
  <sheetViews>
    <sheetView workbookViewId="0">
      <selection activeCell="J26" sqref="J26"/>
    </sheetView>
  </sheetViews>
  <sheetFormatPr defaultRowHeight="15" x14ac:dyDescent="0.25"/>
  <sheetData>
    <row r="1" spans="5:8" x14ac:dyDescent="0.25">
      <c r="G1" s="9" t="s">
        <v>233</v>
      </c>
      <c r="H1" t="str">
        <f>VLOOKUP(G1,[1]Sheet1!$A$82:$B$94,2,FALSE)</f>
        <v>Trụ sở chính</v>
      </c>
    </row>
    <row r="2" spans="5:8" x14ac:dyDescent="0.25">
      <c r="G2" s="9" t="s">
        <v>223</v>
      </c>
      <c r="H2" t="str">
        <f>VLOOKUP(G2,[1]Sheet1!$A$82:$B$94,2,FALSE)</f>
        <v>TSC-Ban KDBH Hàng hóa</v>
      </c>
    </row>
    <row r="3" spans="5:8" x14ac:dyDescent="0.25">
      <c r="E3">
        <v>101008</v>
      </c>
      <c r="G3" s="9" t="s">
        <v>234</v>
      </c>
      <c r="H3" t="s">
        <v>239</v>
      </c>
    </row>
    <row r="4" spans="5:8" x14ac:dyDescent="0.25">
      <c r="E4">
        <v>103</v>
      </c>
      <c r="G4" s="9" t="s">
        <v>226</v>
      </c>
      <c r="H4" t="str">
        <f>VLOOKUP(G4,[1]Sheet1!$A$82:$B$94,2,FALSE)</f>
        <v>TSC-Ban bảo hiểm DKHK</v>
      </c>
    </row>
    <row r="5" spans="5:8" x14ac:dyDescent="0.25">
      <c r="E5">
        <v>107</v>
      </c>
      <c r="G5" s="9" t="s">
        <v>227</v>
      </c>
      <c r="H5" t="str">
        <f>VLOOKUP(G5,[1]Sheet1!$A$82:$B$94,2,FALSE)</f>
        <v>TSC-Ban BH Dự án</v>
      </c>
    </row>
    <row r="6" spans="5:8" x14ac:dyDescent="0.25">
      <c r="E6">
        <v>122</v>
      </c>
      <c r="G6" s="9" t="s">
        <v>228</v>
      </c>
      <c r="H6" t="str">
        <f>VLOOKUP(G6,[1]Sheet1!$A$82:$B$94,2,FALSE)</f>
        <v>TSC-Ban KDBH Tàu thủy</v>
      </c>
    </row>
    <row r="7" spans="5:8" x14ac:dyDescent="0.25">
      <c r="E7">
        <v>142</v>
      </c>
      <c r="G7" s="9" t="s">
        <v>229</v>
      </c>
      <c r="H7" t="str">
        <f>VLOOKUP(G7,[1]Sheet1!$A$82:$B$94,2,FALSE)</f>
        <v>TSC-Ban Bảo hiểm trực tuyến</v>
      </c>
    </row>
    <row r="8" spans="5:8" x14ac:dyDescent="0.25">
      <c r="E8">
        <v>169</v>
      </c>
      <c r="G8" s="9" t="s">
        <v>230</v>
      </c>
      <c r="H8" t="str">
        <f>VLOOKUP(G8,[1]Sheet1!$A$82:$B$94,2,FALSE)</f>
        <v>TSC-Ban KD Bảo hiểm sức khỏe</v>
      </c>
    </row>
    <row r="9" spans="5:8" x14ac:dyDescent="0.25">
      <c r="E9">
        <v>175</v>
      </c>
      <c r="G9" s="9" t="s">
        <v>231</v>
      </c>
      <c r="H9" t="str">
        <f>VLOOKUP(G9,[1]Sheet1!$A$82:$B$94,2,FALSE)</f>
        <v>TSC-Ban Khách hàng doanh nghiệp</v>
      </c>
    </row>
    <row r="10" spans="5:8" x14ac:dyDescent="0.25">
      <c r="E10">
        <v>182</v>
      </c>
      <c r="G10" s="9" t="s">
        <v>232</v>
      </c>
      <c r="H10" t="str">
        <f>VLOOKUP(G10,[1]Sheet1!$A$82:$B$94,2,FALSE)</f>
        <v>TSC-Ban BH Tài sản kỹ thuật</v>
      </c>
    </row>
    <row r="11" spans="5:8" x14ac:dyDescent="0.25">
      <c r="E11">
        <v>185</v>
      </c>
      <c r="G11" s="10" t="s">
        <v>235</v>
      </c>
      <c r="H11" s="8" t="s">
        <v>240</v>
      </c>
    </row>
    <row r="12" spans="5:8" x14ac:dyDescent="0.25">
      <c r="E12">
        <v>186</v>
      </c>
      <c r="G12" s="9" t="s">
        <v>224</v>
      </c>
      <c r="H12" t="str">
        <f>VLOOKUP(G12,[1]Sheet1!$A$82:$B$94,2,FALSE)</f>
        <v>TSC-Ban KDBH Phi hàng hải TSC</v>
      </c>
    </row>
    <row r="13" spans="5:8" x14ac:dyDescent="0.25">
      <c r="E13">
        <v>101001</v>
      </c>
      <c r="G13" s="9" t="s">
        <v>225</v>
      </c>
      <c r="H13" t="str">
        <f>VLOOKUP(G13,[1]Sheet1!$A$82:$B$94,2,FALSE)</f>
        <v>TSC-Ban Kinh doanh Phi hàng hải - Phòng Allianz</v>
      </c>
    </row>
    <row r="14" spans="5:8" x14ac:dyDescent="0.25">
      <c r="E14">
        <v>101009</v>
      </c>
      <c r="G14" s="9" t="s">
        <v>236</v>
      </c>
      <c r="H14" t="s">
        <v>243</v>
      </c>
    </row>
    <row r="15" spans="5:8" x14ac:dyDescent="0.25">
      <c r="E15">
        <v>128</v>
      </c>
      <c r="G15" s="10" t="s">
        <v>237</v>
      </c>
      <c r="H15" s="8" t="s">
        <v>242</v>
      </c>
    </row>
    <row r="16" spans="5:8" x14ac:dyDescent="0.25">
      <c r="E16">
        <v>138</v>
      </c>
      <c r="G16" s="10" t="s">
        <v>238</v>
      </c>
      <c r="H16" s="8" t="s">
        <v>241</v>
      </c>
    </row>
    <row r="17" spans="5:8" x14ac:dyDescent="0.25">
      <c r="E17">
        <v>101004</v>
      </c>
      <c r="G17" s="9" t="s">
        <v>222</v>
      </c>
    </row>
    <row r="18" spans="5:8" x14ac:dyDescent="0.25">
      <c r="E18">
        <v>101006</v>
      </c>
    </row>
    <row r="19" spans="5:8" x14ac:dyDescent="0.25">
      <c r="E19">
        <v>101005</v>
      </c>
    </row>
    <row r="20" spans="5:8" x14ac:dyDescent="0.25">
      <c r="E20">
        <v>195</v>
      </c>
    </row>
    <row r="21" spans="5:8" x14ac:dyDescent="0.25">
      <c r="E21">
        <v>104</v>
      </c>
      <c r="H21" s="11"/>
    </row>
    <row r="22" spans="5:8" ht="15.75" thickBot="1" x14ac:dyDescent="0.3">
      <c r="E22">
        <v>125</v>
      </c>
      <c r="H22" s="12"/>
    </row>
    <row r="23" spans="5:8" x14ac:dyDescent="0.25">
      <c r="E23">
        <v>139</v>
      </c>
    </row>
    <row r="24" spans="5:8" x14ac:dyDescent="0.25">
      <c r="E24">
        <v>167</v>
      </c>
    </row>
    <row r="25" spans="5:8" x14ac:dyDescent="0.25">
      <c r="E25">
        <v>10100301</v>
      </c>
    </row>
    <row r="26" spans="5:8" x14ac:dyDescent="0.25">
      <c r="E26">
        <v>101007</v>
      </c>
    </row>
    <row r="27" spans="5:8" x14ac:dyDescent="0.25">
      <c r="E27">
        <v>105</v>
      </c>
    </row>
    <row r="28" spans="5:8" x14ac:dyDescent="0.25">
      <c r="E28">
        <v>106</v>
      </c>
    </row>
    <row r="29" spans="5:8" x14ac:dyDescent="0.25">
      <c r="E29">
        <v>121</v>
      </c>
    </row>
    <row r="30" spans="5:8" x14ac:dyDescent="0.25">
      <c r="E30">
        <v>124</v>
      </c>
    </row>
    <row r="31" spans="5:8" x14ac:dyDescent="0.25">
      <c r="E31">
        <v>126</v>
      </c>
    </row>
    <row r="32" spans="5:8" x14ac:dyDescent="0.25">
      <c r="E32">
        <v>129</v>
      </c>
    </row>
    <row r="33" spans="5:5" x14ac:dyDescent="0.25">
      <c r="E33">
        <v>130</v>
      </c>
    </row>
    <row r="34" spans="5:5" x14ac:dyDescent="0.25">
      <c r="E34">
        <v>132</v>
      </c>
    </row>
    <row r="35" spans="5:5" x14ac:dyDescent="0.25">
      <c r="E35">
        <v>133</v>
      </c>
    </row>
    <row r="36" spans="5:5" x14ac:dyDescent="0.25">
      <c r="E36">
        <v>134</v>
      </c>
    </row>
    <row r="37" spans="5:5" x14ac:dyDescent="0.25">
      <c r="E37">
        <v>135</v>
      </c>
    </row>
    <row r="38" spans="5:5" x14ac:dyDescent="0.25">
      <c r="E38">
        <v>136</v>
      </c>
    </row>
    <row r="39" spans="5:5" x14ac:dyDescent="0.25">
      <c r="E39">
        <v>137</v>
      </c>
    </row>
    <row r="40" spans="5:5" x14ac:dyDescent="0.25">
      <c r="E40">
        <v>140</v>
      </c>
    </row>
    <row r="41" spans="5:5" x14ac:dyDescent="0.25">
      <c r="E41">
        <v>141</v>
      </c>
    </row>
    <row r="42" spans="5:5" x14ac:dyDescent="0.25">
      <c r="E42">
        <v>143</v>
      </c>
    </row>
    <row r="43" spans="5:5" x14ac:dyDescent="0.25">
      <c r="E43">
        <v>144</v>
      </c>
    </row>
    <row r="44" spans="5:5" x14ac:dyDescent="0.25">
      <c r="E44">
        <v>145</v>
      </c>
    </row>
    <row r="45" spans="5:5" x14ac:dyDescent="0.25">
      <c r="E45">
        <v>146</v>
      </c>
    </row>
    <row r="46" spans="5:5" x14ac:dyDescent="0.25">
      <c r="E46">
        <v>147</v>
      </c>
    </row>
    <row r="47" spans="5:5" x14ac:dyDescent="0.25">
      <c r="E47">
        <v>148</v>
      </c>
    </row>
    <row r="48" spans="5:5" x14ac:dyDescent="0.25">
      <c r="E48">
        <v>149</v>
      </c>
    </row>
    <row r="49" spans="5:5" x14ac:dyDescent="0.25">
      <c r="E49">
        <v>150</v>
      </c>
    </row>
    <row r="50" spans="5:5" x14ac:dyDescent="0.25">
      <c r="E50">
        <v>152</v>
      </c>
    </row>
    <row r="51" spans="5:5" x14ac:dyDescent="0.25">
      <c r="E51">
        <v>153</v>
      </c>
    </row>
    <row r="52" spans="5:5" x14ac:dyDescent="0.25">
      <c r="E52">
        <v>155</v>
      </c>
    </row>
    <row r="53" spans="5:5" x14ac:dyDescent="0.25">
      <c r="E53">
        <v>156</v>
      </c>
    </row>
    <row r="54" spans="5:5" x14ac:dyDescent="0.25">
      <c r="E54">
        <v>157</v>
      </c>
    </row>
    <row r="55" spans="5:5" x14ac:dyDescent="0.25">
      <c r="E55">
        <v>158</v>
      </c>
    </row>
    <row r="56" spans="5:5" x14ac:dyDescent="0.25">
      <c r="E56">
        <v>159</v>
      </c>
    </row>
    <row r="57" spans="5:5" x14ac:dyDescent="0.25">
      <c r="E57">
        <v>160</v>
      </c>
    </row>
    <row r="58" spans="5:5" x14ac:dyDescent="0.25">
      <c r="E58">
        <v>161</v>
      </c>
    </row>
    <row r="59" spans="5:5" x14ac:dyDescent="0.25">
      <c r="E59">
        <v>162</v>
      </c>
    </row>
    <row r="60" spans="5:5" x14ac:dyDescent="0.25">
      <c r="E60">
        <v>163</v>
      </c>
    </row>
    <row r="61" spans="5:5" x14ac:dyDescent="0.25">
      <c r="E61">
        <v>164</v>
      </c>
    </row>
    <row r="62" spans="5:5" x14ac:dyDescent="0.25">
      <c r="E62">
        <v>165</v>
      </c>
    </row>
    <row r="63" spans="5:5" x14ac:dyDescent="0.25">
      <c r="E63">
        <v>166</v>
      </c>
    </row>
    <row r="64" spans="5:5" x14ac:dyDescent="0.25">
      <c r="E64">
        <v>168</v>
      </c>
    </row>
    <row r="65" spans="5:5" x14ac:dyDescent="0.25">
      <c r="E65">
        <v>172</v>
      </c>
    </row>
    <row r="66" spans="5:5" x14ac:dyDescent="0.25">
      <c r="E66">
        <v>173</v>
      </c>
    </row>
    <row r="67" spans="5:5" x14ac:dyDescent="0.25">
      <c r="E67">
        <v>174</v>
      </c>
    </row>
    <row r="68" spans="5:5" x14ac:dyDescent="0.25">
      <c r="E68">
        <v>176</v>
      </c>
    </row>
    <row r="69" spans="5:5" x14ac:dyDescent="0.25">
      <c r="E69">
        <v>177</v>
      </c>
    </row>
    <row r="70" spans="5:5" x14ac:dyDescent="0.25">
      <c r="E70">
        <v>178</v>
      </c>
    </row>
    <row r="71" spans="5:5" x14ac:dyDescent="0.25">
      <c r="E71">
        <v>180</v>
      </c>
    </row>
    <row r="72" spans="5:5" x14ac:dyDescent="0.25">
      <c r="E72">
        <v>181</v>
      </c>
    </row>
    <row r="73" spans="5:5" x14ac:dyDescent="0.25">
      <c r="E73">
        <v>183</v>
      </c>
    </row>
    <row r="74" spans="5:5" x14ac:dyDescent="0.25">
      <c r="E74">
        <v>188</v>
      </c>
    </row>
    <row r="75" spans="5:5" x14ac:dyDescent="0.25">
      <c r="E75">
        <v>189</v>
      </c>
    </row>
    <row r="76" spans="5:5" x14ac:dyDescent="0.25">
      <c r="E76">
        <v>194</v>
      </c>
    </row>
    <row r="77" spans="5:5" x14ac:dyDescent="0.25">
      <c r="E77">
        <v>184</v>
      </c>
    </row>
    <row r="78" spans="5:5" x14ac:dyDescent="0.25">
      <c r="E78">
        <v>191</v>
      </c>
    </row>
    <row r="79" spans="5:5" x14ac:dyDescent="0.25">
      <c r="E79">
        <v>196</v>
      </c>
    </row>
    <row r="80" spans="5:5" x14ac:dyDescent="0.25">
      <c r="E80">
        <v>131</v>
      </c>
    </row>
    <row r="81" spans="5:5" x14ac:dyDescent="0.25">
      <c r="E81">
        <v>171</v>
      </c>
    </row>
    <row r="82" spans="5:5" x14ac:dyDescent="0.25">
      <c r="E82">
        <v>192</v>
      </c>
    </row>
    <row r="83" spans="5:5" x14ac:dyDescent="0.25">
      <c r="E83">
        <v>127</v>
      </c>
    </row>
    <row r="84" spans="5:5" x14ac:dyDescent="0.25">
      <c r="E84">
        <v>123</v>
      </c>
    </row>
    <row r="85" spans="5:5" x14ac:dyDescent="0.25">
      <c r="E85">
        <v>151</v>
      </c>
    </row>
    <row r="86" spans="5:5" x14ac:dyDescent="0.25">
      <c r="E86">
        <v>154</v>
      </c>
    </row>
    <row r="87" spans="5:5" x14ac:dyDescent="0.25">
      <c r="E87">
        <v>170</v>
      </c>
    </row>
    <row r="88" spans="5:5" x14ac:dyDescent="0.25">
      <c r="E88">
        <v>179</v>
      </c>
    </row>
    <row r="89" spans="5:5" x14ac:dyDescent="0.25">
      <c r="E89">
        <v>10100302</v>
      </c>
    </row>
    <row r="90" spans="5:5" x14ac:dyDescent="0.25">
      <c r="E90">
        <v>193</v>
      </c>
    </row>
    <row r="91" spans="5:5" x14ac:dyDescent="0.25">
      <c r="E91">
        <v>101003</v>
      </c>
    </row>
    <row r="92" spans="5:5" x14ac:dyDescent="0.25">
      <c r="E92">
        <v>10130301</v>
      </c>
    </row>
    <row r="93" spans="5:5" x14ac:dyDescent="0.25">
      <c r="E93">
        <v>101302</v>
      </c>
    </row>
    <row r="94" spans="5:5" x14ac:dyDescent="0.25">
      <c r="E94">
        <v>10130201</v>
      </c>
    </row>
    <row r="95" spans="5:5" x14ac:dyDescent="0.25">
      <c r="E95">
        <v>10130202</v>
      </c>
    </row>
    <row r="96" spans="5:5" x14ac:dyDescent="0.25">
      <c r="E96">
        <v>101103</v>
      </c>
    </row>
    <row r="97" spans="5:5" x14ac:dyDescent="0.25">
      <c r="E97">
        <v>10110301</v>
      </c>
    </row>
    <row r="98" spans="5:5" x14ac:dyDescent="0.25">
      <c r="E98">
        <v>101</v>
      </c>
    </row>
  </sheetData>
  <sortState ref="G3:G19">
    <sortCondition ref="G19"/>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31"/>
  <sheetViews>
    <sheetView workbookViewId="0">
      <selection activeCell="M21" sqref="M21"/>
    </sheetView>
  </sheetViews>
  <sheetFormatPr defaultRowHeight="15" x14ac:dyDescent="0.25"/>
  <cols>
    <col min="1" max="1" width="26.42578125" customWidth="1"/>
    <col min="13" max="13" width="18.7109375" bestFit="1" customWidth="1"/>
    <col min="22" max="22" width="18.7109375" bestFit="1" customWidth="1"/>
  </cols>
  <sheetData>
    <row r="2" spans="1:22" x14ac:dyDescent="0.25">
      <c r="A2" s="97" t="s">
        <v>40</v>
      </c>
    </row>
    <row r="3" spans="1:22" x14ac:dyDescent="0.25">
      <c r="A3" s="98" t="s">
        <v>115</v>
      </c>
    </row>
    <row r="4" spans="1:22" x14ac:dyDescent="0.25">
      <c r="A4" s="93" t="s">
        <v>423</v>
      </c>
      <c r="U4" s="65" t="s">
        <v>394</v>
      </c>
      <c r="V4" s="16" t="s">
        <v>135</v>
      </c>
    </row>
    <row r="5" spans="1:22" x14ac:dyDescent="0.25">
      <c r="A5" s="93" t="s">
        <v>424</v>
      </c>
      <c r="U5" s="65" t="s">
        <v>397</v>
      </c>
      <c r="V5" s="16" t="s">
        <v>136</v>
      </c>
    </row>
    <row r="6" spans="1:22" x14ac:dyDescent="0.25">
      <c r="A6" s="93" t="s">
        <v>130</v>
      </c>
      <c r="U6" s="65" t="s">
        <v>393</v>
      </c>
      <c r="V6" s="16" t="s">
        <v>137</v>
      </c>
    </row>
    <row r="7" spans="1:22" x14ac:dyDescent="0.25">
      <c r="A7" s="93" t="s">
        <v>55</v>
      </c>
      <c r="U7" s="65" t="s">
        <v>396</v>
      </c>
      <c r="V7" s="16" t="s">
        <v>138</v>
      </c>
    </row>
    <row r="8" spans="1:22" x14ac:dyDescent="0.25">
      <c r="A8" s="93" t="s">
        <v>126</v>
      </c>
      <c r="U8" s="65" t="s">
        <v>392</v>
      </c>
      <c r="V8" s="16" t="s">
        <v>268</v>
      </c>
    </row>
    <row r="9" spans="1:22" x14ac:dyDescent="0.25">
      <c r="A9" s="93" t="s">
        <v>50</v>
      </c>
      <c r="U9" s="65" t="s">
        <v>391</v>
      </c>
      <c r="V9" s="16" t="s">
        <v>271</v>
      </c>
    </row>
    <row r="10" spans="1:22" x14ac:dyDescent="0.25">
      <c r="A10" s="93" t="s">
        <v>56</v>
      </c>
      <c r="U10" s="65" t="s">
        <v>387</v>
      </c>
      <c r="V10" s="16" t="s">
        <v>270</v>
      </c>
    </row>
    <row r="11" spans="1:22" x14ac:dyDescent="0.25">
      <c r="A11" s="93" t="s">
        <v>139</v>
      </c>
      <c r="U11" s="65" t="s">
        <v>389</v>
      </c>
      <c r="V11" s="16" t="s">
        <v>269</v>
      </c>
    </row>
    <row r="12" spans="1:22" x14ac:dyDescent="0.25">
      <c r="H12" t="s">
        <v>14</v>
      </c>
      <c r="J12" t="s">
        <v>14</v>
      </c>
      <c r="L12" t="s">
        <v>18</v>
      </c>
      <c r="U12" s="65" t="s">
        <v>388</v>
      </c>
      <c r="V12" s="16" t="s">
        <v>273</v>
      </c>
    </row>
    <row r="13" spans="1:22" x14ac:dyDescent="0.25">
      <c r="H13" t="s">
        <v>16</v>
      </c>
      <c r="J13" t="s">
        <v>16</v>
      </c>
      <c r="L13" t="s">
        <v>18</v>
      </c>
      <c r="M13" s="16" t="s">
        <v>270</v>
      </c>
      <c r="U13" s="65" t="s">
        <v>23</v>
      </c>
      <c r="V13" s="16" t="s">
        <v>23</v>
      </c>
    </row>
    <row r="14" spans="1:22" x14ac:dyDescent="0.25">
      <c r="H14" t="s">
        <v>18</v>
      </c>
      <c r="J14" t="s">
        <v>32</v>
      </c>
      <c r="L14" t="s">
        <v>23</v>
      </c>
      <c r="M14" s="16" t="s">
        <v>271</v>
      </c>
      <c r="N14" s="16"/>
      <c r="U14" s="65" t="s">
        <v>272</v>
      </c>
      <c r="V14" s="16" t="s">
        <v>272</v>
      </c>
    </row>
    <row r="15" spans="1:22" x14ac:dyDescent="0.25">
      <c r="H15" t="s">
        <v>21</v>
      </c>
      <c r="J15" t="s">
        <v>33</v>
      </c>
      <c r="L15" t="s">
        <v>25</v>
      </c>
      <c r="M15" s="16" t="s">
        <v>273</v>
      </c>
      <c r="N15" s="16"/>
    </row>
    <row r="16" spans="1:22" x14ac:dyDescent="0.25">
      <c r="H16" t="s">
        <v>23</v>
      </c>
      <c r="L16" t="s">
        <v>37</v>
      </c>
      <c r="M16" s="16" t="s">
        <v>272</v>
      </c>
      <c r="N16" s="16"/>
    </row>
    <row r="17" spans="1:19" x14ac:dyDescent="0.25">
      <c r="H17" t="s">
        <v>25</v>
      </c>
      <c r="L17" t="s">
        <v>29</v>
      </c>
      <c r="M17" s="16" t="s">
        <v>268</v>
      </c>
      <c r="N17" s="16"/>
    </row>
    <row r="18" spans="1:19" x14ac:dyDescent="0.25">
      <c r="A18" s="65" t="s">
        <v>394</v>
      </c>
      <c r="B18" s="16" t="s">
        <v>135</v>
      </c>
      <c r="H18" t="s">
        <v>28</v>
      </c>
      <c r="L18" t="s">
        <v>35</v>
      </c>
      <c r="M18" s="16" t="s">
        <v>271</v>
      </c>
      <c r="N18" s="16"/>
    </row>
    <row r="19" spans="1:19" x14ac:dyDescent="0.25">
      <c r="A19" s="65" t="s">
        <v>397</v>
      </c>
      <c r="B19" s="16" t="s">
        <v>136</v>
      </c>
      <c r="H19" t="s">
        <v>29</v>
      </c>
      <c r="L19" t="s">
        <v>28</v>
      </c>
      <c r="M19" s="16" t="s">
        <v>269</v>
      </c>
      <c r="N19" s="16"/>
    </row>
    <row r="20" spans="1:19" x14ac:dyDescent="0.25">
      <c r="A20" s="65" t="s">
        <v>393</v>
      </c>
      <c r="B20" s="16" t="s">
        <v>137</v>
      </c>
      <c r="H20" t="s">
        <v>32</v>
      </c>
      <c r="L20" t="s">
        <v>21</v>
      </c>
    </row>
    <row r="21" spans="1:19" x14ac:dyDescent="0.25">
      <c r="A21" s="65" t="s">
        <v>396</v>
      </c>
      <c r="B21" s="16" t="s">
        <v>138</v>
      </c>
      <c r="H21" t="s">
        <v>33</v>
      </c>
      <c r="L21" t="s">
        <v>38</v>
      </c>
      <c r="S21" s="65" t="s">
        <v>388</v>
      </c>
    </row>
    <row r="22" spans="1:19" x14ac:dyDescent="0.25">
      <c r="A22" s="65" t="s">
        <v>392</v>
      </c>
      <c r="B22" s="16" t="s">
        <v>268</v>
      </c>
      <c r="H22" t="s">
        <v>22</v>
      </c>
      <c r="S22" s="65" t="s">
        <v>23</v>
      </c>
    </row>
    <row r="23" spans="1:19" x14ac:dyDescent="0.25">
      <c r="A23" s="65" t="s">
        <v>391</v>
      </c>
      <c r="B23" s="16" t="s">
        <v>271</v>
      </c>
      <c r="H23" t="s">
        <v>35</v>
      </c>
      <c r="S23" s="65" t="s">
        <v>389</v>
      </c>
    </row>
    <row r="24" spans="1:19" x14ac:dyDescent="0.25">
      <c r="A24" s="65" t="s">
        <v>387</v>
      </c>
      <c r="B24" s="16" t="s">
        <v>270</v>
      </c>
      <c r="H24" t="s">
        <v>37</v>
      </c>
      <c r="S24" s="65" t="s">
        <v>390</v>
      </c>
    </row>
    <row r="25" spans="1:19" x14ac:dyDescent="0.25">
      <c r="A25" s="65" t="s">
        <v>389</v>
      </c>
      <c r="B25" s="16" t="s">
        <v>269</v>
      </c>
      <c r="H25" t="s">
        <v>38</v>
      </c>
      <c r="S25" s="65" t="s">
        <v>391</v>
      </c>
    </row>
    <row r="26" spans="1:19" x14ac:dyDescent="0.25">
      <c r="A26" t="s">
        <v>273</v>
      </c>
      <c r="B26" s="16" t="s">
        <v>273</v>
      </c>
      <c r="S26" s="65" t="s">
        <v>392</v>
      </c>
    </row>
    <row r="27" spans="1:19" x14ac:dyDescent="0.25">
      <c r="A27" s="65" t="s">
        <v>23</v>
      </c>
      <c r="B27" s="16" t="s">
        <v>23</v>
      </c>
      <c r="S27" s="65" t="s">
        <v>393</v>
      </c>
    </row>
    <row r="28" spans="1:19" x14ac:dyDescent="0.25">
      <c r="A28" s="65" t="s">
        <v>272</v>
      </c>
      <c r="B28" s="16" t="s">
        <v>272</v>
      </c>
      <c r="S28" s="65" t="s">
        <v>394</v>
      </c>
    </row>
    <row r="29" spans="1:19" x14ac:dyDescent="0.25">
      <c r="S29" s="65" t="s">
        <v>395</v>
      </c>
    </row>
    <row r="30" spans="1:19" x14ac:dyDescent="0.25">
      <c r="S30" s="65" t="s">
        <v>396</v>
      </c>
    </row>
    <row r="31" spans="1:19" x14ac:dyDescent="0.25">
      <c r="S31" s="65" t="s">
        <v>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PGĐ</vt:lpstr>
      <vt:lpstr>ĐMCP</vt:lpstr>
      <vt:lpstr>HQ1</vt:lpstr>
      <vt:lpstr>HQ2</vt:lpstr>
      <vt:lpstr>Tong_hop_HQNV_2026Q1_2026-06-23</vt:lpstr>
      <vt:lpstr>checkDT-BT(1)</vt:lpstr>
      <vt:lpstr>CHECK_DT-BT</vt:lpstr>
      <vt:lpstr>CHECK_DT-BT_chi_tiet</vt:lpstr>
      <vt:lpstr>Report_HQ1</vt:lpstr>
      <vt:lpstr>Report_HQ2</vt:lpstr>
      <vt:lpstr>Report_Tổng</vt:lpstr>
      <vt:lpstr>Sheet3</vt:lpstr>
      <vt:lpstr>Sheet2</vt:lpstr>
      <vt:lpstr>Sheet1</vt:lpstr>
    </vt:vector>
  </TitlesOfParts>
  <Company>BaoViet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TTS Tran Thi Diem Quynh</dc:creator>
  <cp:lastModifiedBy>TTS Tran Thi Diem Quynh</cp:lastModifiedBy>
  <dcterms:created xsi:type="dcterms:W3CDTF">2026-06-15T11:31:15Z</dcterms:created>
  <dcterms:modified xsi:type="dcterms:W3CDTF">2026-06-29T03:10:25Z</dcterms:modified>
</cp:coreProperties>
</file>